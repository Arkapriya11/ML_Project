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9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C44" i="39" l="1"/>
  <c r="D44" i="39"/>
  <c r="B44" i="39"/>
  <c r="I110" i="41"/>
  <c r="C110" i="41"/>
  <c r="D110" i="41"/>
  <c r="B110" i="41"/>
  <c r="C110" i="40"/>
  <c r="D110" i="40"/>
  <c r="B110" i="40"/>
  <c r="H110" i="40"/>
  <c r="I110" i="40"/>
  <c r="C110" i="33"/>
  <c r="D110" i="33"/>
  <c r="B110" i="33"/>
  <c r="G110" i="33"/>
  <c r="H110" i="33"/>
  <c r="I110" i="33"/>
  <c r="J110" i="33"/>
  <c r="Q110" i="32"/>
  <c r="K110" i="32"/>
  <c r="L110" i="32"/>
  <c r="M110" i="32"/>
  <c r="N110" i="32"/>
  <c r="O110" i="32"/>
  <c r="P110" i="32"/>
  <c r="J110" i="32"/>
  <c r="I110" i="32"/>
  <c r="H110" i="32"/>
  <c r="G110" i="32"/>
  <c r="F110" i="32"/>
  <c r="E110" i="32"/>
  <c r="C110" i="32"/>
  <c r="D110" i="32"/>
  <c r="B110" i="32"/>
  <c r="Q110" i="31"/>
  <c r="I110" i="31"/>
  <c r="H110" i="31"/>
  <c r="G110" i="31"/>
  <c r="I110" i="30"/>
  <c r="H110" i="30"/>
  <c r="G110" i="30"/>
  <c r="J110" i="29"/>
  <c r="G110" i="29"/>
  <c r="J110" i="28"/>
  <c r="I110" i="27"/>
  <c r="H110" i="24"/>
  <c r="G110" i="24"/>
  <c r="H110" i="23"/>
  <c r="G110" i="23"/>
  <c r="G110" i="22" l="1"/>
  <c r="H110" i="22"/>
  <c r="H110" i="21"/>
  <c r="H110" i="20"/>
  <c r="H110" i="19"/>
  <c r="Q110" i="19"/>
  <c r="H110" i="18"/>
  <c r="I110" i="18"/>
  <c r="J110" i="18"/>
  <c r="Q110" i="17"/>
  <c r="H110" i="17"/>
  <c r="Q110" i="16"/>
  <c r="Q110" i="15"/>
  <c r="F110" i="12"/>
  <c r="G110" i="12"/>
  <c r="H110" i="12"/>
  <c r="I110" i="12"/>
  <c r="J110" i="12"/>
  <c r="C110" i="11"/>
  <c r="D110" i="11"/>
  <c r="B110" i="11"/>
  <c r="I110" i="11"/>
  <c r="H110" i="11"/>
  <c r="H110" i="9"/>
  <c r="G110" i="9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H110" i="2"/>
  <c r="G110" i="2"/>
  <c r="I110" i="2"/>
  <c r="C110" i="26" l="1"/>
  <c r="C112" i="26" s="1"/>
  <c r="D110" i="26"/>
  <c r="D112" i="26" s="1"/>
  <c r="B110" i="26"/>
  <c r="B112" i="26" s="1"/>
  <c r="E110" i="26"/>
  <c r="E112" i="26"/>
  <c r="F110" i="26"/>
  <c r="F111" i="26" s="1"/>
  <c r="G110" i="26"/>
  <c r="G112" i="26" s="1"/>
  <c r="H110" i="26"/>
  <c r="H112" i="26"/>
  <c r="I110" i="26"/>
  <c r="I112" i="26" s="1"/>
  <c r="J110" i="26"/>
  <c r="J111" i="26" s="1"/>
  <c r="K110" i="26"/>
  <c r="K112" i="26" s="1"/>
  <c r="L110" i="26"/>
  <c r="M110" i="26"/>
  <c r="N110" i="26"/>
  <c r="N112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I111" i="25" s="1"/>
  <c r="J110" i="25"/>
  <c r="K110" i="25"/>
  <c r="K111" i="25" s="1"/>
  <c r="L110" i="25"/>
  <c r="L112" i="25" s="1"/>
  <c r="M110" i="25"/>
  <c r="M111" i="25"/>
  <c r="N110" i="25"/>
  <c r="O110" i="25"/>
  <c r="P110" i="25"/>
  <c r="P111" i="25" s="1"/>
  <c r="Q110" i="25"/>
  <c r="Q111" i="25" s="1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0" i="41"/>
  <c r="H112" i="41"/>
  <c r="J110" i="40"/>
  <c r="J111" i="40" s="1"/>
  <c r="H111" i="40"/>
  <c r="I111" i="40"/>
  <c r="G112" i="33"/>
  <c r="H111" i="33"/>
  <c r="I111" i="33"/>
  <c r="J112" i="33"/>
  <c r="J111" i="32"/>
  <c r="I112" i="32"/>
  <c r="H111" i="32"/>
  <c r="H112" i="31"/>
  <c r="I111" i="31"/>
  <c r="J110" i="31"/>
  <c r="J111" i="31" s="1"/>
  <c r="G112" i="31"/>
  <c r="J110" i="30"/>
  <c r="J111" i="30" s="1"/>
  <c r="I112" i="30"/>
  <c r="H112" i="30"/>
  <c r="J112" i="29"/>
  <c r="I110" i="29"/>
  <c r="I112" i="29" s="1"/>
  <c r="H110" i="29"/>
  <c r="H112" i="29" s="1"/>
  <c r="J111" i="28"/>
  <c r="I110" i="28"/>
  <c r="I112" i="28"/>
  <c r="H110" i="28"/>
  <c r="H111" i="28" s="1"/>
  <c r="I112" i="27"/>
  <c r="C110" i="27"/>
  <c r="C111" i="27" s="1"/>
  <c r="D110" i="27"/>
  <c r="D111" i="27"/>
  <c r="E110" i="27"/>
  <c r="F110" i="27"/>
  <c r="F112" i="27" s="1"/>
  <c r="G110" i="27"/>
  <c r="G112" i="27" s="1"/>
  <c r="H110" i="27"/>
  <c r="H111" i="27" s="1"/>
  <c r="J110" i="27"/>
  <c r="K110" i="27"/>
  <c r="K112" i="27" s="1"/>
  <c r="L110" i="27"/>
  <c r="L112" i="27" s="1"/>
  <c r="M110" i="27"/>
  <c r="M111" i="27" s="1"/>
  <c r="N110" i="27"/>
  <c r="O110" i="27"/>
  <c r="O112" i="27" s="1"/>
  <c r="P110" i="27"/>
  <c r="Q110" i="27"/>
  <c r="Q111" i="26"/>
  <c r="O112" i="25"/>
  <c r="N111" i="25"/>
  <c r="J112" i="25"/>
  <c r="F112" i="25"/>
  <c r="J110" i="24"/>
  <c r="J111" i="24" s="1"/>
  <c r="I110" i="24"/>
  <c r="I112" i="24" s="1"/>
  <c r="H112" i="24"/>
  <c r="J110" i="23"/>
  <c r="J112" i="23" s="1"/>
  <c r="I110" i="23"/>
  <c r="I112" i="23" s="1"/>
  <c r="H112" i="23"/>
  <c r="J110" i="22"/>
  <c r="J112" i="22" s="1"/>
  <c r="I110" i="22"/>
  <c r="I112" i="22" s="1"/>
  <c r="H112" i="22"/>
  <c r="G111" i="22"/>
  <c r="J110" i="21"/>
  <c r="J111" i="21" s="1"/>
  <c r="I110" i="21"/>
  <c r="I111" i="21" s="1"/>
  <c r="H111" i="21"/>
  <c r="H112" i="20"/>
  <c r="I110" i="20"/>
  <c r="I111" i="20" s="1"/>
  <c r="J110" i="20"/>
  <c r="J112" i="20" s="1"/>
  <c r="Q112" i="19"/>
  <c r="J110" i="19"/>
  <c r="J111" i="19" s="1"/>
  <c r="I110" i="19"/>
  <c r="I112" i="19" s="1"/>
  <c r="H112" i="19"/>
  <c r="Q112" i="17"/>
  <c r="J110" i="17"/>
  <c r="J112" i="17" s="1"/>
  <c r="I110" i="17"/>
  <c r="I111" i="17" s="1"/>
  <c r="H112" i="17"/>
  <c r="H110" i="16"/>
  <c r="H111" i="16" s="1"/>
  <c r="I110" i="16"/>
  <c r="I111" i="16" s="1"/>
  <c r="J110" i="16"/>
  <c r="J111" i="16" s="1"/>
  <c r="H110" i="15"/>
  <c r="H111" i="15" s="1"/>
  <c r="I110" i="15"/>
  <c r="I111" i="15" s="1"/>
  <c r="J110" i="15"/>
  <c r="J112" i="15" s="1"/>
  <c r="Q111" i="15"/>
  <c r="J110" i="14"/>
  <c r="J111" i="14" s="1"/>
  <c r="H110" i="14"/>
  <c r="H112" i="14" s="1"/>
  <c r="D112" i="11"/>
  <c r="C112" i="11"/>
  <c r="B111" i="11"/>
  <c r="J110" i="13"/>
  <c r="J112" i="13" s="1"/>
  <c r="H110" i="13"/>
  <c r="H112" i="13" s="1"/>
  <c r="F111" i="12"/>
  <c r="J112" i="12"/>
  <c r="H111" i="12"/>
  <c r="I112" i="12"/>
  <c r="J110" i="11"/>
  <c r="J111" i="11"/>
  <c r="I111" i="11"/>
  <c r="H111" i="11"/>
  <c r="G110" i="11"/>
  <c r="G112" i="11" s="1"/>
  <c r="J110" i="10"/>
  <c r="J112" i="10" s="1"/>
  <c r="I110" i="10"/>
  <c r="I111" i="10" s="1"/>
  <c r="H110" i="10"/>
  <c r="H112" i="10" s="1"/>
  <c r="J110" i="9"/>
  <c r="J111" i="9" s="1"/>
  <c r="I110" i="9"/>
  <c r="I111" i="9" s="1"/>
  <c r="H111" i="9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0" i="2"/>
  <c r="C111" i="2" s="1"/>
  <c r="D110" i="2"/>
  <c r="E110" i="2"/>
  <c r="E111" i="2" s="1"/>
  <c r="F110" i="2"/>
  <c r="F111" i="2" s="1"/>
  <c r="G112" i="2"/>
  <c r="H112" i="2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2" i="41"/>
  <c r="C112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/>
  <c r="P108" i="41"/>
  <c r="O108" i="41"/>
  <c r="N108" i="41"/>
  <c r="N38" i="39" s="1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C108" i="41"/>
  <c r="B108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/>
  <c r="N110" i="40"/>
  <c r="N111" i="40" s="1"/>
  <c r="M110" i="40"/>
  <c r="M112" i="40" s="1"/>
  <c r="L110" i="40"/>
  <c r="L112" i="40"/>
  <c r="K110" i="40"/>
  <c r="K112" i="40" s="1"/>
  <c r="G110" i="40"/>
  <c r="G112" i="40" s="1"/>
  <c r="F110" i="40"/>
  <c r="F112" i="40" s="1"/>
  <c r="E110" i="40"/>
  <c r="E112" i="40" s="1"/>
  <c r="D112" i="40"/>
  <c r="C111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/>
  <c r="F108" i="40"/>
  <c r="F37" i="39" s="1"/>
  <c r="E108" i="40"/>
  <c r="E37" i="39" s="1"/>
  <c r="D108" i="40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/>
  <c r="F110" i="33"/>
  <c r="F112" i="33" s="1"/>
  <c r="E110" i="33"/>
  <c r="E112" i="33" s="1"/>
  <c r="D112" i="33"/>
  <c r="C112" i="33"/>
  <c r="B111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N36" i="39" s="1"/>
  <c r="M108" i="33"/>
  <c r="M36" i="39" s="1"/>
  <c r="L108" i="33"/>
  <c r="L36" i="39" s="1"/>
  <c r="K108" i="33"/>
  <c r="J108" i="33"/>
  <c r="I108" i="33"/>
  <c r="I36" i="39" s="1"/>
  <c r="H108" i="33"/>
  <c r="H36" i="39" s="1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2" i="32"/>
  <c r="P112" i="32"/>
  <c r="O112" i="32"/>
  <c r="N111" i="32"/>
  <c r="M112" i="32"/>
  <c r="L111" i="32"/>
  <c r="K112" i="32"/>
  <c r="G111" i="32"/>
  <c r="F112" i="32"/>
  <c r="E111" i="32"/>
  <c r="D112" i="32"/>
  <c r="C111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C108" i="32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/>
  <c r="M110" i="31"/>
  <c r="M111" i="31" s="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G112" i="30"/>
  <c r="F110" i="30"/>
  <c r="F112" i="30" s="1"/>
  <c r="E110" i="30"/>
  <c r="E111" i="30" s="1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L33" i="39" s="1"/>
  <c r="K108" i="30"/>
  <c r="K33" i="39" s="1"/>
  <c r="J108" i="30"/>
  <c r="I108" i="30"/>
  <c r="H108" i="30"/>
  <c r="G108" i="30"/>
  <c r="G33" i="39" s="1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1" i="29"/>
  <c r="F110" i="29"/>
  <c r="F111" i="29" s="1"/>
  <c r="E110" i="29"/>
  <c r="E112" i="29" s="1"/>
  <c r="D110" i="29"/>
  <c r="D112" i="29" s="1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I32" i="39" s="1"/>
  <c r="H108" i="29"/>
  <c r="H32" i="39" s="1"/>
  <c r="G108" i="29"/>
  <c r="F108" i="29"/>
  <c r="E108" i="29"/>
  <c r="D108" i="29"/>
  <c r="D32" i="39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N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O111" i="26"/>
  <c r="M111" i="26"/>
  <c r="L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/>
  <c r="N110" i="24"/>
  <c r="N112" i="24" s="1"/>
  <c r="N111" i="24"/>
  <c r="M110" i="24"/>
  <c r="M112" i="24" s="1"/>
  <c r="L110" i="24"/>
  <c r="L112" i="24" s="1"/>
  <c r="K110" i="24"/>
  <c r="K111" i="24" s="1"/>
  <c r="G112" i="24"/>
  <c r="F110" i="24"/>
  <c r="F112" i="24"/>
  <c r="E110" i="24"/>
  <c r="E112" i="24"/>
  <c r="D110" i="24"/>
  <c r="D112" i="24"/>
  <c r="C110" i="24"/>
  <c r="C112" i="24" s="1"/>
  <c r="C111" i="24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 s="1"/>
  <c r="J108" i="24"/>
  <c r="I108" i="24"/>
  <c r="H108" i="24"/>
  <c r="H27" i="39" s="1"/>
  <c r="G108" i="24"/>
  <c r="G27" i="39" s="1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1" i="23" s="1"/>
  <c r="M110" i="23"/>
  <c r="M112" i="23" s="1"/>
  <c r="L110" i="23"/>
  <c r="L112" i="23" s="1"/>
  <c r="K110" i="23"/>
  <c r="K112" i="23" s="1"/>
  <c r="G111" i="23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/>
  <c r="M108" i="23"/>
  <c r="M26" i="39"/>
  <c r="L108" i="23"/>
  <c r="K108" i="23"/>
  <c r="K26" i="39" s="1"/>
  <c r="J108" i="23"/>
  <c r="J26" i="39" s="1"/>
  <c r="I108" i="23"/>
  <c r="H108" i="23"/>
  <c r="H26" i="39" s="1"/>
  <c r="G108" i="23"/>
  <c r="G26" i="39" s="1"/>
  <c r="F108" i="23"/>
  <c r="F26" i="39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/>
  <c r="E110" i="21"/>
  <c r="E112" i="21"/>
  <c r="D110" i="21"/>
  <c r="D111" i="21" s="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G108" i="21"/>
  <c r="G24" i="39" s="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P23" i="39" s="1"/>
  <c r="O108" i="20"/>
  <c r="N108" i="20"/>
  <c r="M108" i="20"/>
  <c r="L108" i="20"/>
  <c r="K108" i="20"/>
  <c r="J108" i="20"/>
  <c r="J23" i="39"/>
  <c r="I108" i="20"/>
  <c r="I23" i="39" s="1"/>
  <c r="H108" i="20"/>
  <c r="H23" i="39" s="1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2" i="18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 s="1"/>
  <c r="I108" i="17"/>
  <c r="I20" i="39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/>
  <c r="L108" i="16"/>
  <c r="K108" i="16"/>
  <c r="J108" i="16"/>
  <c r="J19" i="39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 s="1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I17" i="39" s="1"/>
  <c r="H108" i="14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 s="1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 s="1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2" i="12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N15" i="39" s="1"/>
  <c r="M108" i="12"/>
  <c r="M15" i="39"/>
  <c r="L108" i="12"/>
  <c r="L15" i="39" s="1"/>
  <c r="K108" i="12"/>
  <c r="K15" i="39" s="1"/>
  <c r="J108" i="12"/>
  <c r="J15" i="39" s="1"/>
  <c r="I108" i="12"/>
  <c r="I15" i="39" s="1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/>
  <c r="N108" i="11"/>
  <c r="N14" i="39"/>
  <c r="M108" i="11"/>
  <c r="M14" i="39" s="1"/>
  <c r="L108" i="11"/>
  <c r="K108" i="11"/>
  <c r="K14" i="39" s="1"/>
  <c r="J108" i="11"/>
  <c r="J14" i="39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2" i="9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 s="1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/>
  <c r="L108" i="8"/>
  <c r="L11" i="39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21" i="39"/>
  <c r="L35" i="39"/>
  <c r="K35" i="39"/>
  <c r="D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G38" i="39"/>
  <c r="F38" i="39"/>
  <c r="E38" i="39"/>
  <c r="O37" i="39"/>
  <c r="N37" i="39"/>
  <c r="M37" i="39"/>
  <c r="L37" i="39"/>
  <c r="J37" i="39"/>
  <c r="I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C25" i="39"/>
  <c r="E24" i="39"/>
  <c r="A24" i="39"/>
  <c r="Q23" i="39"/>
  <c r="M23" i="39"/>
  <c r="L23" i="39"/>
  <c r="K23" i="39"/>
  <c r="E23" i="39"/>
  <c r="B23" i="39"/>
  <c r="Q22" i="39"/>
  <c r="N22" i="39"/>
  <c r="M22" i="39"/>
  <c r="L22" i="39"/>
  <c r="G22" i="39"/>
  <c r="C22" i="39"/>
  <c r="Q21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A17" i="39"/>
  <c r="Q16" i="39"/>
  <c r="P16" i="39"/>
  <c r="L16" i="39"/>
  <c r="I16" i="39"/>
  <c r="F16" i="39"/>
  <c r="E16" i="39"/>
  <c r="D16" i="39"/>
  <c r="C16" i="39"/>
  <c r="B16" i="39"/>
  <c r="H15" i="39"/>
  <c r="F15" i="39"/>
  <c r="C15" i="39"/>
  <c r="L14" i="39"/>
  <c r="I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K36" i="39"/>
  <c r="E36" i="39"/>
  <c r="A36" i="39"/>
  <c r="P35" i="39"/>
  <c r="C35" i="39"/>
  <c r="M34" i="39"/>
  <c r="K34" i="39"/>
  <c r="J34" i="39"/>
  <c r="I34" i="39"/>
  <c r="H34" i="39"/>
  <c r="F34" i="39"/>
  <c r="J33" i="39"/>
  <c r="I33" i="39"/>
  <c r="H33" i="39"/>
  <c r="F33" i="39"/>
  <c r="B33" i="39"/>
  <c r="Q32" i="39"/>
  <c r="O32" i="39"/>
  <c r="N32" i="39"/>
  <c r="K32" i="39"/>
  <c r="G32" i="39"/>
  <c r="F32" i="39"/>
  <c r="E32" i="39"/>
  <c r="Q31" i="39"/>
  <c r="M31" i="39"/>
  <c r="J31" i="39"/>
  <c r="I31" i="39"/>
  <c r="F31" i="39"/>
  <c r="M30" i="39"/>
  <c r="L30" i="39"/>
  <c r="I30" i="39"/>
  <c r="F30" i="39"/>
  <c r="C30" i="39"/>
  <c r="B30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B27" i="39"/>
  <c r="O26" i="39"/>
  <c r="I25" i="39"/>
  <c r="P24" i="39"/>
  <c r="H24" i="39"/>
  <c r="N23" i="39"/>
  <c r="C23" i="39"/>
  <c r="O22" i="39"/>
  <c r="D22" i="39"/>
  <c r="P20" i="39"/>
  <c r="D20" i="39"/>
  <c r="F18" i="39"/>
  <c r="E17" i="39"/>
  <c r="M16" i="39"/>
  <c r="K16" i="39"/>
  <c r="Q12" i="39"/>
  <c r="B12" i="39"/>
  <c r="P10" i="39"/>
  <c r="P36" i="39"/>
  <c r="E34" i="39"/>
  <c r="E26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G34" i="39"/>
  <c r="J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N31" i="39"/>
  <c r="G31" i="39"/>
  <c r="J22" i="39"/>
  <c r="N19" i="39"/>
  <c r="F19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B111" i="41"/>
  <c r="Q111" i="40"/>
  <c r="O111" i="40"/>
  <c r="M111" i="40"/>
  <c r="K111" i="40"/>
  <c r="G111" i="40"/>
  <c r="F111" i="40"/>
  <c r="B111" i="40"/>
  <c r="P111" i="33"/>
  <c r="O111" i="33"/>
  <c r="L111" i="33"/>
  <c r="F111" i="33"/>
  <c r="D111" i="33"/>
  <c r="C111" i="33"/>
  <c r="Q111" i="32"/>
  <c r="O111" i="32"/>
  <c r="M111" i="32"/>
  <c r="K111" i="32"/>
  <c r="F111" i="32"/>
  <c r="O111" i="31"/>
  <c r="N111" i="31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E111" i="29"/>
  <c r="D111" i="29"/>
  <c r="C111" i="29"/>
  <c r="B111" i="29"/>
  <c r="O111" i="28"/>
  <c r="N111" i="28"/>
  <c r="M111" i="28"/>
  <c r="L111" i="28"/>
  <c r="G111" i="28"/>
  <c r="E111" i="28"/>
  <c r="D111" i="28"/>
  <c r="C111" i="28"/>
  <c r="P111" i="27"/>
  <c r="N111" i="27"/>
  <c r="E111" i="27"/>
  <c r="B111" i="27"/>
  <c r="N111" i="26"/>
  <c r="L111" i="26"/>
  <c r="P111" i="24"/>
  <c r="O111" i="24"/>
  <c r="M111" i="24"/>
  <c r="L111" i="24"/>
  <c r="Q111" i="24"/>
  <c r="F111" i="24"/>
  <c r="E111" i="24"/>
  <c r="D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D111" i="22"/>
  <c r="Q111" i="21"/>
  <c r="N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B111" i="19"/>
  <c r="Q111" i="18"/>
  <c r="N111" i="18"/>
  <c r="L111" i="18"/>
  <c r="I111" i="18"/>
  <c r="F111" i="18"/>
  <c r="E111" i="18"/>
  <c r="D111" i="18"/>
  <c r="O111" i="17"/>
  <c r="O111" i="16"/>
  <c r="N111" i="16"/>
  <c r="L111" i="16"/>
  <c r="F111" i="16"/>
  <c r="E111" i="16"/>
  <c r="D111" i="16"/>
  <c r="P111" i="15"/>
  <c r="O111" i="15"/>
  <c r="M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N111" i="10"/>
  <c r="K111" i="10"/>
  <c r="G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G111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O111" i="9"/>
  <c r="D111" i="10"/>
  <c r="O112" i="10"/>
  <c r="H111" i="10"/>
  <c r="M112" i="12"/>
  <c r="K112" i="12"/>
  <c r="D112" i="13"/>
  <c r="O112" i="13"/>
  <c r="B112" i="13"/>
  <c r="M112" i="13"/>
  <c r="F112" i="14"/>
  <c r="O112" i="14"/>
  <c r="L112" i="15"/>
  <c r="G112" i="15"/>
  <c r="H112" i="15"/>
  <c r="H112" i="16"/>
  <c r="B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L112" i="29"/>
  <c r="C112" i="40"/>
  <c r="K111" i="3"/>
  <c r="F112" i="2"/>
  <c r="J112" i="16"/>
  <c r="I111" i="19"/>
  <c r="G111" i="27"/>
  <c r="G112" i="13"/>
  <c r="B112" i="21"/>
  <c r="B112" i="22"/>
  <c r="N112" i="22"/>
  <c r="N112" i="23"/>
  <c r="K112" i="28"/>
  <c r="L112" i="32"/>
  <c r="N112" i="33"/>
  <c r="N112" i="41"/>
  <c r="I112" i="10"/>
  <c r="J111" i="12"/>
  <c r="H111" i="14"/>
  <c r="H111" i="24"/>
  <c r="G111" i="25"/>
  <c r="O111" i="25"/>
  <c r="H111" i="26"/>
  <c r="J112" i="28"/>
  <c r="F112" i="10"/>
  <c r="G112" i="16"/>
  <c r="O112" i="18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P112" i="30"/>
  <c r="G112" i="32"/>
  <c r="O112" i="8"/>
  <c r="J112" i="9"/>
  <c r="I111" i="12"/>
  <c r="I111" i="23"/>
  <c r="E111" i="25"/>
  <c r="M112" i="25"/>
  <c r="F112" i="26"/>
  <c r="D44" i="5" l="1"/>
  <c r="C111" i="41"/>
  <c r="L112" i="41"/>
  <c r="H112" i="33"/>
  <c r="B112" i="33"/>
  <c r="M111" i="33"/>
  <c r="D111" i="32"/>
  <c r="G111" i="30"/>
  <c r="E112" i="30"/>
  <c r="J112" i="30"/>
  <c r="G112" i="29"/>
  <c r="M112" i="27"/>
  <c r="K111" i="26"/>
  <c r="P111" i="26"/>
  <c r="G111" i="24"/>
  <c r="J112" i="24"/>
  <c r="B111" i="24"/>
  <c r="C111" i="22"/>
  <c r="I112" i="20"/>
  <c r="F111" i="19"/>
  <c r="B111" i="17"/>
  <c r="M111" i="16"/>
  <c r="K111" i="15"/>
  <c r="I112" i="15"/>
  <c r="D111" i="14"/>
  <c r="N111" i="13"/>
  <c r="H111" i="13"/>
  <c r="H112" i="11"/>
  <c r="E111" i="11"/>
  <c r="B112" i="11"/>
  <c r="P111" i="10"/>
  <c r="K41" i="39"/>
  <c r="D112" i="9"/>
  <c r="J41" i="39"/>
  <c r="K43" i="39"/>
  <c r="K44" i="39"/>
  <c r="K46" i="39" s="1"/>
  <c r="J42" i="39"/>
  <c r="K42" i="39"/>
  <c r="K40" i="39"/>
  <c r="E44" i="39"/>
  <c r="E43" i="39"/>
  <c r="E40" i="39"/>
  <c r="E42" i="39"/>
  <c r="E41" i="39"/>
  <c r="N43" i="39"/>
  <c r="N42" i="39"/>
  <c r="N44" i="39"/>
  <c r="N40" i="39"/>
  <c r="N41" i="39"/>
  <c r="D42" i="39"/>
  <c r="D41" i="39"/>
  <c r="D40" i="39"/>
  <c r="D43" i="39"/>
  <c r="C41" i="39"/>
  <c r="C43" i="39"/>
  <c r="C40" i="39"/>
  <c r="C42" i="39"/>
  <c r="B41" i="39"/>
  <c r="B40" i="39"/>
  <c r="B42" i="39"/>
  <c r="B43" i="39"/>
  <c r="F43" i="39"/>
  <c r="F41" i="39"/>
  <c r="F40" i="39"/>
  <c r="F42" i="39"/>
  <c r="F44" i="39"/>
  <c r="Q44" i="39"/>
  <c r="Q42" i="39"/>
  <c r="Q40" i="39"/>
  <c r="Q41" i="39"/>
  <c r="Q43" i="39"/>
  <c r="M44" i="39"/>
  <c r="M42" i="39"/>
  <c r="M43" i="39"/>
  <c r="M40" i="39"/>
  <c r="M41" i="39"/>
  <c r="L44" i="39"/>
  <c r="L41" i="39"/>
  <c r="L42" i="39"/>
  <c r="L43" i="39"/>
  <c r="L40" i="39"/>
  <c r="O41" i="39"/>
  <c r="O40" i="39"/>
  <c r="O43" i="39"/>
  <c r="O44" i="39"/>
  <c r="O42" i="39"/>
  <c r="I42" i="39"/>
  <c r="I43" i="39"/>
  <c r="I40" i="39"/>
  <c r="I41" i="39"/>
  <c r="I44" i="39"/>
  <c r="H44" i="39"/>
  <c r="H41" i="39"/>
  <c r="H43" i="39"/>
  <c r="H42" i="39"/>
  <c r="H40" i="39"/>
  <c r="G40" i="39"/>
  <c r="G42" i="39"/>
  <c r="G44" i="39"/>
  <c r="G41" i="39"/>
  <c r="G43" i="39"/>
  <c r="P43" i="39"/>
  <c r="P42" i="39"/>
  <c r="P44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4" i="39"/>
  <c r="J40" i="39"/>
  <c r="K45" i="39" l="1"/>
  <c r="D46" i="39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<sst xmlns="http://schemas.openxmlformats.org/spreadsheetml/2006/main" count="7163" uniqueCount="3129">
  <si>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</si>
  <si>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</si>
  <si>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</si>
  <si>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</si>
  <si>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</si>
  <si>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</si>
  <si>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</si>
  <si>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</si>
  <si>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</si>
  <si>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</si>
  <si>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</si>
  <si>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</si>
  <si>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</si>
  <si>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</si>
  <si>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</si>
  <si>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</si>
  <si>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</si>
  <si>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</si>
  <si>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</si>
  <si>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</si>
  <si>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</si>
  <si>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</si>
  <si>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</si>
  <si>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</si>
  <si>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</si>
  <si>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</si>
  <si>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</si>
  <si>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</si>
  <si>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</si>
  <si>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</si>
  <si>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</si>
  <si>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</si>
  <si>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</si>
  <si>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</si>
  <si>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</si>
  <si>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</si>
  <si>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</si>
  <si>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</si>
  <si>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</si>
  <si>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</si>
  <si>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</si>
  <si>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</si>
  <si>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</si>
  <si>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</si>
  <si>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</si>
  <si>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</si>
  <si>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</si>
  <si>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</si>
  <si>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</si>
  <si>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</si>
  <si>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</si>
  <si>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</si>
  <si>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</si>
  <si>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</si>
  <si>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</si>
  <si>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</si>
  <si>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</si>
  <si>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</si>
  <si>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</si>
  <si>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</si>
  <si>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</si>
  <si>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</si>
  <si>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</si>
  <si>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</si>
  <si>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</si>
  <si>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</si>
  <si>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</si>
  <si>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</si>
  <si>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</si>
  <si>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</si>
  <si>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</si>
  <si>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</si>
  <si>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</si>
  <si>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</si>
  <si>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</si>
  <si>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</si>
  <si>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</si>
  <si>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</si>
  <si>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</si>
  <si>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</si>
  <si>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</si>
  <si>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</si>
  <si>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</si>
  <si>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</si>
  <si>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</si>
  <si>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</si>
  <si>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</si>
  <si>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</si>
  <si>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</si>
  <si>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</si>
  <si>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</si>
  <si>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</si>
  <si>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</si>
  <si>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</si>
  <si>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</si>
  <si>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</si>
  <si>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</si>
  <si>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</si>
  <si>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</si>
  <si>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</si>
  <si>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</si>
  <si>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</si>
  <si>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</si>
  <si>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</si>
  <si>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</si>
  <si>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</si>
  <si>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</si>
  <si>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</si>
  <si>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</si>
  <si>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</si>
  <si>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</si>
  <si>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</si>
  <si>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</si>
  <si>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</si>
  <si>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</si>
  <si>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</si>
  <si>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</si>
  <si>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</si>
  <si>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</si>
  <si>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</si>
  <si>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</si>
  <si>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</si>
  <si>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</si>
  <si>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</si>
  <si>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</si>
  <si>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</si>
  <si>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</si>
  <si>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</si>
  <si>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</si>
  <si>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</si>
  <si>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</si>
  <si>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</si>
  <si>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</si>
  <si>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</si>
  <si>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</si>
  <si>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</si>
  <si>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</si>
  <si>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</si>
  <si>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</si>
  <si>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</si>
  <si>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</si>
  <si>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</si>
  <si>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</si>
  <si>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</si>
  <si>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</si>
  <si>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</si>
  <si>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</si>
  <si>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</si>
  <si>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</si>
  <si>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</si>
  <si>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</si>
  <si>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</si>
  <si>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</si>
  <si>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</si>
  <si>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</si>
  <si>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</si>
  <si>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</si>
  <si>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</si>
  <si>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</si>
  <si>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</si>
  <si>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</si>
  <si>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</si>
  <si>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</si>
  <si>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</si>
  <si>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</si>
  <si>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</si>
  <si>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</si>
  <si>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</si>
  <si>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</si>
  <si>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</si>
  <si>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</si>
  <si>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</si>
  <si>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</si>
  <si>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</si>
  <si>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</si>
  <si>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</si>
  <si>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</si>
  <si>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</si>
  <si>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</si>
  <si>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</si>
  <si>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</si>
  <si>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</si>
  <si>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</si>
  <si>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</si>
  <si>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</si>
  <si>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</si>
  <si>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</si>
  <si>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</si>
  <si>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</si>
  <si>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</si>
  <si>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</si>
  <si>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</si>
  <si>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</si>
  <si>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</si>
  <si>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</si>
  <si>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</si>
  <si>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</si>
  <si>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</si>
  <si>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</si>
  <si>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</si>
  <si>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</si>
  <si>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</si>
  <si>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</si>
  <si>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</si>
  <si>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</si>
  <si>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</si>
  <si>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</si>
  <si>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</si>
  <si>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</si>
  <si>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</si>
  <si>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</si>
  <si>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</si>
  <si>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</si>
  <si>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</si>
  <si>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</si>
  <si>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</si>
  <si>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</si>
  <si>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</si>
  <si>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</si>
  <si>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</si>
  <si>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</si>
  <si>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</si>
  <si>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</si>
  <si>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</si>
  <si>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</si>
  <si>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</si>
  <si>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Calibration report Of SILTARA, RAIPUR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</si>
  <si>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</si>
  <si>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</si>
  <si>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</si>
  <si>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</si>
  <si>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</si>
  <si>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</si>
  <si>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</si>
  <si>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</si>
  <si>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</si>
  <si>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</si>
  <si>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</si>
  <si>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</si>
  <si>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</si>
  <si>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</si>
  <si>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</si>
  <si>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</si>
  <si>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</si>
  <si>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</si>
  <si>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01/11/2024 00:15</t>
  </si>
  <si>
    <t>01/11/2024 00:30</t>
  </si>
  <si>
    <t>01/11/2024 00:45</t>
  </si>
  <si>
    <t>01/11/2024 01:00</t>
  </si>
  <si>
    <t>01/11/2024 01:15</t>
  </si>
  <si>
    <t>01/11/2024 01:30</t>
  </si>
  <si>
    <t>01/11/2024 01:45</t>
  </si>
  <si>
    <t>01/11/2024 02:00</t>
  </si>
  <si>
    <t>01/11/2024 02:15</t>
  </si>
  <si>
    <t>01/11/2024 02:30</t>
  </si>
  <si>
    <t>01/11/2024 02:45</t>
  </si>
  <si>
    <t>01/11/2024 03:00</t>
  </si>
  <si>
    <t>01/11/2024 03:15</t>
  </si>
  <si>
    <t>01/11/2024 03:30</t>
  </si>
  <si>
    <t>01/11/2024 03:45</t>
  </si>
  <si>
    <t>01/11/2024 04:00</t>
  </si>
  <si>
    <t>01/11/2024 04:15</t>
  </si>
  <si>
    <t>01/11/2024 04:30</t>
  </si>
  <si>
    <t>01/11/2024 04:45</t>
  </si>
  <si>
    <t>01/11/2024 05:00</t>
  </si>
  <si>
    <t>01/11/2024 05:15</t>
  </si>
  <si>
    <t>01/11/2024 05:30</t>
  </si>
  <si>
    <t>01/11/2024 05:45</t>
  </si>
  <si>
    <t>01/11/2024 06:00</t>
  </si>
  <si>
    <t>01/11/2024 06:15</t>
  </si>
  <si>
    <t>01/11/2024 06:30</t>
  </si>
  <si>
    <t>01/11/2024 06:45</t>
  </si>
  <si>
    <t>01/11/2024 07:00</t>
  </si>
  <si>
    <t>01/11/2024 07:15</t>
  </si>
  <si>
    <t>01/11/2024 07:30</t>
  </si>
  <si>
    <t>01/11/2024 07:45</t>
  </si>
  <si>
    <t>01/11/2024 08:00</t>
  </si>
  <si>
    <t>01/11/2024 08:15</t>
  </si>
  <si>
    <t>01/11/2024 08:30</t>
  </si>
  <si>
    <t>01/11/2024 08:45</t>
  </si>
  <si>
    <t>01/11/2024 09:00</t>
  </si>
  <si>
    <t>01/11/2024 09:15</t>
  </si>
  <si>
    <t>01/11/2024 09:30</t>
  </si>
  <si>
    <t>01/11/2024 09:45</t>
  </si>
  <si>
    <t>01/11/2024 10:00</t>
  </si>
  <si>
    <t>01/11/2024 10:15</t>
  </si>
  <si>
    <t>01/11/2024 10:30</t>
  </si>
  <si>
    <t>01/11/2024 10:45</t>
  </si>
  <si>
    <t>01/11/2024 11:00</t>
  </si>
  <si>
    <t>01/11/2024 11:15</t>
  </si>
  <si>
    <t>01/11/2024 11:30</t>
  </si>
  <si>
    <t>01/11/2024 11:45</t>
  </si>
  <si>
    <t>01/11/2024 12:00</t>
  </si>
  <si>
    <t>01/11/2024 12:15</t>
  </si>
  <si>
    <t>01/11/2024 12:30</t>
  </si>
  <si>
    <t>01/11/2024 12:45</t>
  </si>
  <si>
    <t>01/11/2024 13:00</t>
  </si>
  <si>
    <t>01/11/2024 13:15</t>
  </si>
  <si>
    <t>01/11/2024 13:30</t>
  </si>
  <si>
    <t>01/11/2024 13:45</t>
  </si>
  <si>
    <t>01/11/2024 14:00</t>
  </si>
  <si>
    <t>01/11/2024 14:15</t>
  </si>
  <si>
    <t>01/11/2024 14:30</t>
  </si>
  <si>
    <t>01/11/2024 14:45</t>
  </si>
  <si>
    <t>01/11/2024 15:00</t>
  </si>
  <si>
    <t>01/11/2024 15:15</t>
  </si>
  <si>
    <t>01/11/2024 15:30</t>
  </si>
  <si>
    <t>01/11/2024 15:45</t>
  </si>
  <si>
    <t>01/11/2024 16:00</t>
  </si>
  <si>
    <t>01/11/2024 16:15</t>
  </si>
  <si>
    <t>01/11/2024 16:30</t>
  </si>
  <si>
    <t>01/11/2024 16:45</t>
  </si>
  <si>
    <t>01/11/2024 17:00</t>
  </si>
  <si>
    <t>01/11/2024 17:15</t>
  </si>
  <si>
    <t>01/11/2024 17:30</t>
  </si>
  <si>
    <t>01/11/2024 17:45</t>
  </si>
  <si>
    <t>01/11/2024 18:00</t>
  </si>
  <si>
    <t>01/11/2024 18:15</t>
  </si>
  <si>
    <t>01/11/2024 18:30</t>
  </si>
  <si>
    <t>01/11/2024 18:45</t>
  </si>
  <si>
    <t>01/11/2024 19:00</t>
  </si>
  <si>
    <t>01/11/2024 19:15</t>
  </si>
  <si>
    <t>01/11/2024 19:30</t>
  </si>
  <si>
    <t>01/11/2024 19:45</t>
  </si>
  <si>
    <t>01/11/2024 20:00</t>
  </si>
  <si>
    <t>01/11/2024 20:15</t>
  </si>
  <si>
    <t>01/11/2024 20:30</t>
  </si>
  <si>
    <t>01/11/2024 20:45</t>
  </si>
  <si>
    <t>01/11/2024 21:00</t>
  </si>
  <si>
    <t>01/11/2024 21:15</t>
  </si>
  <si>
    <t>01/11/2024 21:30</t>
  </si>
  <si>
    <t>01/11/2024 21:45</t>
  </si>
  <si>
    <t>01/11/2024 22:00</t>
  </si>
  <si>
    <t>01/11/2024 22:15</t>
  </si>
  <si>
    <t>01/11/2024 22:30</t>
  </si>
  <si>
    <t>01/11/2024 22:45</t>
  </si>
  <si>
    <t>01/11/2024 23:00</t>
  </si>
  <si>
    <t>01/11/2024 23:15</t>
  </si>
  <si>
    <t>01/11/2024 23:30</t>
  </si>
  <si>
    <t>01/11/2024 23:45</t>
  </si>
  <si>
    <t>01/11/2024 24:00</t>
  </si>
  <si>
    <t>02/11/2024 00:15</t>
  </si>
  <si>
    <t>02/11/2024 00:30</t>
  </si>
  <si>
    <t>02/11/2024 00:45</t>
  </si>
  <si>
    <t>02/11/2024 01:00</t>
  </si>
  <si>
    <t>02/11/2024 01:15</t>
  </si>
  <si>
    <t>02/11/2024 01:30</t>
  </si>
  <si>
    <t>02/11/2024 01:45</t>
  </si>
  <si>
    <t>02/11/2024 02:00</t>
  </si>
  <si>
    <t>02/11/2024 02:15</t>
  </si>
  <si>
    <t>02/11/2024 02:30</t>
  </si>
  <si>
    <t>02/11/2024 02:45</t>
  </si>
  <si>
    <t>02/11/2024 03:00</t>
  </si>
  <si>
    <t>02/11/2024 03:15</t>
  </si>
  <si>
    <t>02/11/2024 03:30</t>
  </si>
  <si>
    <t>02/11/2024 03:45</t>
  </si>
  <si>
    <t>02/11/2024 04:00</t>
  </si>
  <si>
    <t>02/11/2024 04:15</t>
  </si>
  <si>
    <t>02/11/2024 04:30</t>
  </si>
  <si>
    <t>02/11/2024 04:45</t>
  </si>
  <si>
    <t>02/11/2024 05:00</t>
  </si>
  <si>
    <t>02/11/2024 05:15</t>
  </si>
  <si>
    <t>02/11/2024 05:30</t>
  </si>
  <si>
    <t>02/11/2024 05:45</t>
  </si>
  <si>
    <t>02/11/2024 06:00</t>
  </si>
  <si>
    <t>02/11/2024 06:15</t>
  </si>
  <si>
    <t>02/11/2024 06:30</t>
  </si>
  <si>
    <t>02/11/2024 06:45</t>
  </si>
  <si>
    <t>02/11/2024 07:00</t>
  </si>
  <si>
    <t>02/11/2024 07:15</t>
  </si>
  <si>
    <t>02/11/2024 07:30</t>
  </si>
  <si>
    <t>02/11/2024 07:45</t>
  </si>
  <si>
    <t>02/11/2024 08:00</t>
  </si>
  <si>
    <t>02/11/2024 08:15</t>
  </si>
  <si>
    <t>02/11/2024 08:30</t>
  </si>
  <si>
    <t>02/11/2024 08:45</t>
  </si>
  <si>
    <t>02/11/2024 09:00</t>
  </si>
  <si>
    <t>02/11/2024 09:15</t>
  </si>
  <si>
    <t>02/11/2024 09:30</t>
  </si>
  <si>
    <t>02/11/2024 09:45</t>
  </si>
  <si>
    <t>02/11/2024 10:00</t>
  </si>
  <si>
    <t>02/11/2024 10:15</t>
  </si>
  <si>
    <t>02/11/2024 10:30</t>
  </si>
  <si>
    <t>02/11/2024 10:45</t>
  </si>
  <si>
    <t>02/11/2024 11:00</t>
  </si>
  <si>
    <t>02/11/2024 11:15</t>
  </si>
  <si>
    <t>02/11/2024 11:30</t>
  </si>
  <si>
    <t>02/11/2024 11:45</t>
  </si>
  <si>
    <t>02/11/2024 12:00</t>
  </si>
  <si>
    <t>02/11/2024 12:15</t>
  </si>
  <si>
    <t>02/11/2024 12:30</t>
  </si>
  <si>
    <t>02/11/2024 12:45</t>
  </si>
  <si>
    <t>02/11/2024 13:00</t>
  </si>
  <si>
    <t>02/11/2024 13:15</t>
  </si>
  <si>
    <t>02/11/2024 13:30</t>
  </si>
  <si>
    <t>02/11/2024 13:45</t>
  </si>
  <si>
    <t>02/11/2024 14:00</t>
  </si>
  <si>
    <t>02/11/2024 14:15</t>
  </si>
  <si>
    <t>02/11/2024 14:30</t>
  </si>
  <si>
    <t>02/11/2024 14:45</t>
  </si>
  <si>
    <t>02/11/2024 15:00</t>
  </si>
  <si>
    <t>02/11/2024 15:15</t>
  </si>
  <si>
    <t>02/11/2024 15:30</t>
  </si>
  <si>
    <t>02/11/2024 15:45</t>
  </si>
  <si>
    <t>02/11/2024 16:00</t>
  </si>
  <si>
    <t>02/11/2024 16:15</t>
  </si>
  <si>
    <t>02/11/2024 16:30</t>
  </si>
  <si>
    <t>02/11/2024 16:45</t>
  </si>
  <si>
    <t>02/11/2024 17:00</t>
  </si>
  <si>
    <t>02/11/2024 17:15</t>
  </si>
  <si>
    <t>02/11/2024 17:30</t>
  </si>
  <si>
    <t>02/11/2024 17:45</t>
  </si>
  <si>
    <t>02/11/2024 18:00</t>
  </si>
  <si>
    <t>02/11/2024 18:15</t>
  </si>
  <si>
    <t>02/11/2024 18:30</t>
  </si>
  <si>
    <t>02/11/2024 18:45</t>
  </si>
  <si>
    <t>02/11/2024 19:00</t>
  </si>
  <si>
    <t>02/11/2024 19:15</t>
  </si>
  <si>
    <t>02/11/2024 19:30</t>
  </si>
  <si>
    <t>02/11/2024 19:45</t>
  </si>
  <si>
    <t>02/11/2024 20:00</t>
  </si>
  <si>
    <t>02/11/2024 20:15</t>
  </si>
  <si>
    <t>02/11/2024 20:30</t>
  </si>
  <si>
    <t>02/11/2024 20:45</t>
  </si>
  <si>
    <t>02/11/2024 21:00</t>
  </si>
  <si>
    <t>02/11/2024 21:15</t>
  </si>
  <si>
    <t>02/11/2024 21:30</t>
  </si>
  <si>
    <t>02/11/2024 21:45</t>
  </si>
  <si>
    <t>02/11/2024 22:00</t>
  </si>
  <si>
    <t>02/11/2024 22:15</t>
  </si>
  <si>
    <t>02/11/2024 22:30</t>
  </si>
  <si>
    <t>02/11/2024 22:45</t>
  </si>
  <si>
    <t>02/11/2024 23:00</t>
  </si>
  <si>
    <t>02/11/2024 23:15</t>
  </si>
  <si>
    <t>02/11/2024 23:30</t>
  </si>
  <si>
    <t>02/11/2024 23:45</t>
  </si>
  <si>
    <t>02/11/2024 24:00</t>
  </si>
  <si>
    <t>03/11/2024 00:15</t>
  </si>
  <si>
    <t>03/11/2024 00:30</t>
  </si>
  <si>
    <t>03/11/2024 00:45</t>
  </si>
  <si>
    <t>03/11/2024 01:00</t>
  </si>
  <si>
    <t>03/11/2024 01:15</t>
  </si>
  <si>
    <t>03/11/2024 01:30</t>
  </si>
  <si>
    <t>03/11/2024 01:45</t>
  </si>
  <si>
    <t>03/11/2024 02:00</t>
  </si>
  <si>
    <t>03/11/2024 02:15</t>
  </si>
  <si>
    <t>03/11/2024 02:30</t>
  </si>
  <si>
    <t>03/11/2024 02:45</t>
  </si>
  <si>
    <t>03/11/2024 03:00</t>
  </si>
  <si>
    <t>03/11/2024 03:15</t>
  </si>
  <si>
    <t>03/11/2024 03:30</t>
  </si>
  <si>
    <t>03/11/2024 03:45</t>
  </si>
  <si>
    <t>03/11/2024 04:00</t>
  </si>
  <si>
    <t>03/11/2024 04:15</t>
  </si>
  <si>
    <t>03/11/2024 04:30</t>
  </si>
  <si>
    <t>03/11/2024 04:45</t>
  </si>
  <si>
    <t>03/11/2024 05:00</t>
  </si>
  <si>
    <t>03/11/2024 05:15</t>
  </si>
  <si>
    <t>03/11/2024 05:30</t>
  </si>
  <si>
    <t>03/11/2024 05:45</t>
  </si>
  <si>
    <t>03/11/2024 06:00</t>
  </si>
  <si>
    <t>03/11/2024 06:15</t>
  </si>
  <si>
    <t>03/11/2024 06:30</t>
  </si>
  <si>
    <t>03/11/2024 06:45</t>
  </si>
  <si>
    <t>03/11/2024 07:00</t>
  </si>
  <si>
    <t>03/11/2024 07:15</t>
  </si>
  <si>
    <t>03/11/2024 07:30</t>
  </si>
  <si>
    <t>03/11/2024 07:45</t>
  </si>
  <si>
    <t>03/11/2024 08:00</t>
  </si>
  <si>
    <t>03/11/2024 08:15</t>
  </si>
  <si>
    <t>03/11/2024 08:30</t>
  </si>
  <si>
    <t>03/11/2024 08:45</t>
  </si>
  <si>
    <t>03/11/2024 09:00</t>
  </si>
  <si>
    <t>03/11/2024 09:15</t>
  </si>
  <si>
    <t>03/11/2024 09:30</t>
  </si>
  <si>
    <t>03/11/2024 09:45</t>
  </si>
  <si>
    <t>03/11/2024 10:00</t>
  </si>
  <si>
    <t>03/11/2024 10:15</t>
  </si>
  <si>
    <t>03/11/2024 10:30</t>
  </si>
  <si>
    <t>03/11/2024 10:45</t>
  </si>
  <si>
    <t>03/11/2024 11:00</t>
  </si>
  <si>
    <t>03/11/2024 11:15</t>
  </si>
  <si>
    <t>03/11/2024 11:30</t>
  </si>
  <si>
    <t>03/11/2024 11:45</t>
  </si>
  <si>
    <t>03/11/2024 12:00</t>
  </si>
  <si>
    <t>03/11/2024 12:15</t>
  </si>
  <si>
    <t>03/11/2024 12:30</t>
  </si>
  <si>
    <t>03/11/2024 12:45</t>
  </si>
  <si>
    <t>03/11/2024 13:00</t>
  </si>
  <si>
    <t>03/11/2024 13:15</t>
  </si>
  <si>
    <t>03/11/2024 13:30</t>
  </si>
  <si>
    <t>03/11/2024 13:45</t>
  </si>
  <si>
    <t>03/11/2024 14:00</t>
  </si>
  <si>
    <t>03/11/2024 14:15</t>
  </si>
  <si>
    <t>03/11/2024 14:30</t>
  </si>
  <si>
    <t>03/11/2024 14:45</t>
  </si>
  <si>
    <t>03/11/2024 15:00</t>
  </si>
  <si>
    <t>03/11/2024 15:15</t>
  </si>
  <si>
    <t>03/11/2024 15:30</t>
  </si>
  <si>
    <t>03/11/2024 15:45</t>
  </si>
  <si>
    <t>03/11/2024 16:00</t>
  </si>
  <si>
    <t>03/11/2024 16:15</t>
  </si>
  <si>
    <t>03/11/2024 16:30</t>
  </si>
  <si>
    <t>03/11/2024 16:45</t>
  </si>
  <si>
    <t>03/11/2024 17:00</t>
  </si>
  <si>
    <t>03/11/2024 17:15</t>
  </si>
  <si>
    <t>03/11/2024 17:30</t>
  </si>
  <si>
    <t>03/11/2024 17:45</t>
  </si>
  <si>
    <t>03/11/2024 18:00</t>
  </si>
  <si>
    <t>03/11/2024 18:15</t>
  </si>
  <si>
    <t>03/11/2024 18:30</t>
  </si>
  <si>
    <t>03/11/2024 18:45</t>
  </si>
  <si>
    <t>03/11/2024 19:00</t>
  </si>
  <si>
    <t>03/11/2024 19:15</t>
  </si>
  <si>
    <t>03/11/2024 19:30</t>
  </si>
  <si>
    <t>03/11/2024 19:45</t>
  </si>
  <si>
    <t>03/11/2024 20:00</t>
  </si>
  <si>
    <t>03/11/2024 20:15</t>
  </si>
  <si>
    <t>03/11/2024 20:30</t>
  </si>
  <si>
    <t>03/11/2024 20:45</t>
  </si>
  <si>
    <t>03/11/2024 21:00</t>
  </si>
  <si>
    <t>03/11/2024 21:15</t>
  </si>
  <si>
    <t>03/11/2024 21:30</t>
  </si>
  <si>
    <t>03/11/2024 21:45</t>
  </si>
  <si>
    <t>03/11/2024 22:00</t>
  </si>
  <si>
    <t>03/11/2024 22:15</t>
  </si>
  <si>
    <t>03/11/2024 22:30</t>
  </si>
  <si>
    <t>03/11/2024 22:45</t>
  </si>
  <si>
    <t>03/11/2024 23:00</t>
  </si>
  <si>
    <t>03/11/2024 23:15</t>
  </si>
  <si>
    <t>03/11/2024 23:30</t>
  </si>
  <si>
    <t>03/11/2024 23:45</t>
  </si>
  <si>
    <t>03/11/2024 24:00</t>
  </si>
  <si>
    <t>04/11/2024 00:15</t>
  </si>
  <si>
    <t>04/11/2024 00:30</t>
  </si>
  <si>
    <t>04/11/2024 00:45</t>
  </si>
  <si>
    <t>04/11/2024 01:00</t>
  </si>
  <si>
    <t>04/11/2024 01:15</t>
  </si>
  <si>
    <t>04/11/2024 01:30</t>
  </si>
  <si>
    <t>04/11/2024 01:45</t>
  </si>
  <si>
    <t>04/11/2024 02:00</t>
  </si>
  <si>
    <t>04/11/2024 02:15</t>
  </si>
  <si>
    <t>04/11/2024 02:30</t>
  </si>
  <si>
    <t>04/11/2024 02:45</t>
  </si>
  <si>
    <t>04/11/2024 03:00</t>
  </si>
  <si>
    <t>04/11/2024 03:15</t>
  </si>
  <si>
    <t>04/11/2024 03:30</t>
  </si>
  <si>
    <t>04/11/2024 03:45</t>
  </si>
  <si>
    <t>04/11/2024 04:00</t>
  </si>
  <si>
    <t>04/11/2024 04:15</t>
  </si>
  <si>
    <t>04/11/2024 04:30</t>
  </si>
  <si>
    <t>04/11/2024 04:45</t>
  </si>
  <si>
    <t>04/11/2024 05:00</t>
  </si>
  <si>
    <t>04/11/2024 05:15</t>
  </si>
  <si>
    <t>04/11/2024 05:30</t>
  </si>
  <si>
    <t>04/11/2024 05:45</t>
  </si>
  <si>
    <t>04/11/2024 06:00</t>
  </si>
  <si>
    <t>04/11/2024 06:15</t>
  </si>
  <si>
    <t>04/11/2024 06:30</t>
  </si>
  <si>
    <t>04/11/2024 06:45</t>
  </si>
  <si>
    <t>04/11/2024 07:00</t>
  </si>
  <si>
    <t>04/11/2024 07:15</t>
  </si>
  <si>
    <t>04/11/2024 07:30</t>
  </si>
  <si>
    <t>04/11/2024 07:45</t>
  </si>
  <si>
    <t>04/11/2024 08:00</t>
  </si>
  <si>
    <t>04/11/2024 08:15</t>
  </si>
  <si>
    <t>04/11/2024 08:30</t>
  </si>
  <si>
    <t>04/11/2024 08:45</t>
  </si>
  <si>
    <t>04/11/2024 09:00</t>
  </si>
  <si>
    <t>04/11/2024 09:15</t>
  </si>
  <si>
    <t>04/11/2024 09:30</t>
  </si>
  <si>
    <t>04/11/2024 09:45</t>
  </si>
  <si>
    <t>04/11/2024 10:00</t>
  </si>
  <si>
    <t>04/11/2024 10:15</t>
  </si>
  <si>
    <t>04/11/2024 10:30</t>
  </si>
  <si>
    <t>04/11/2024 10:45</t>
  </si>
  <si>
    <t>04/11/2024 11:00</t>
  </si>
  <si>
    <t>04/11/2024 11:15</t>
  </si>
  <si>
    <t>04/11/2024 11:30</t>
  </si>
  <si>
    <t>04/11/2024 11:45</t>
  </si>
  <si>
    <t>04/11/2024 12:00</t>
  </si>
  <si>
    <t>04/11/2024 12:15</t>
  </si>
  <si>
    <t>04/11/2024 12:30</t>
  </si>
  <si>
    <t>04/11/2024 12:45</t>
  </si>
  <si>
    <t>04/11/2024 13:00</t>
  </si>
  <si>
    <t>04/11/2024 13:15</t>
  </si>
  <si>
    <t>04/11/2024 13:30</t>
  </si>
  <si>
    <t>04/11/2024 13:45</t>
  </si>
  <si>
    <t>04/11/2024 14:00</t>
  </si>
  <si>
    <t>04/11/2024 14:15</t>
  </si>
  <si>
    <t>04/11/2024 14:30</t>
  </si>
  <si>
    <t>04/11/2024 14:45</t>
  </si>
  <si>
    <t>04/11/2024 15:00</t>
  </si>
  <si>
    <t>04/11/2024 15:15</t>
  </si>
  <si>
    <t>04/11/2024 15:30</t>
  </si>
  <si>
    <t>04/11/2024 15:45</t>
  </si>
  <si>
    <t>04/11/2024 16:00</t>
  </si>
  <si>
    <t>04/11/2024 16:15</t>
  </si>
  <si>
    <t>04/11/2024 16:30</t>
  </si>
  <si>
    <t>04/11/2024 16:45</t>
  </si>
  <si>
    <t>04/11/2024 17:00</t>
  </si>
  <si>
    <t>04/11/2024 17:15</t>
  </si>
  <si>
    <t>04/11/2024 17:30</t>
  </si>
  <si>
    <t>04/11/2024 17:45</t>
  </si>
  <si>
    <t>04/11/2024 18:00</t>
  </si>
  <si>
    <t>04/11/2024 18:15</t>
  </si>
  <si>
    <t>04/11/2024 18:30</t>
  </si>
  <si>
    <t>04/11/2024 18:45</t>
  </si>
  <si>
    <t>04/11/2024 19:00</t>
  </si>
  <si>
    <t>04/11/2024 19:15</t>
  </si>
  <si>
    <t>04/11/2024 19:30</t>
  </si>
  <si>
    <t>04/11/2024 19:45</t>
  </si>
  <si>
    <t>04/11/2024 20:00</t>
  </si>
  <si>
    <t>04/11/2024 20:15</t>
  </si>
  <si>
    <t>04/11/2024 20:30</t>
  </si>
  <si>
    <t>04/11/2024 20:45</t>
  </si>
  <si>
    <t>04/11/2024 21:00</t>
  </si>
  <si>
    <t>04/11/2024 21:15</t>
  </si>
  <si>
    <t>04/11/2024 21:30</t>
  </si>
  <si>
    <t>04/11/2024 21:45</t>
  </si>
  <si>
    <t>04/11/2024 22:00</t>
  </si>
  <si>
    <t>04/11/2024 22:15</t>
  </si>
  <si>
    <t>04/11/2024 22:30</t>
  </si>
  <si>
    <t>04/11/2024 22:45</t>
  </si>
  <si>
    <t>04/11/2024 23:00</t>
  </si>
  <si>
    <t>04/11/2024 23:15</t>
  </si>
  <si>
    <t>04/11/2024 23:30</t>
  </si>
  <si>
    <t>04/11/2024 23:45</t>
  </si>
  <si>
    <t>04/11/2024 24:00</t>
  </si>
  <si>
    <t>05/11/2024 00:15</t>
  </si>
  <si>
    <t>05/11/2024 00:30</t>
  </si>
  <si>
    <t>05/11/2024 00:45</t>
  </si>
  <si>
    <t>05/11/2024 01:00</t>
  </si>
  <si>
    <t>05/11/2024 01:15</t>
  </si>
  <si>
    <t>05/11/2024 01:30</t>
  </si>
  <si>
    <t>05/11/2024 01:45</t>
  </si>
  <si>
    <t>05/11/2024 02:00</t>
  </si>
  <si>
    <t>05/11/2024 02:15</t>
  </si>
  <si>
    <t>05/11/2024 02:30</t>
  </si>
  <si>
    <t>05/11/2024 02:45</t>
  </si>
  <si>
    <t>05/11/2024 03:00</t>
  </si>
  <si>
    <t>05/11/2024 03:15</t>
  </si>
  <si>
    <t>05/11/2024 03:30</t>
  </si>
  <si>
    <t>05/11/2024 03:45</t>
  </si>
  <si>
    <t>05/11/2024 04:00</t>
  </si>
  <si>
    <t>05/11/2024 04:15</t>
  </si>
  <si>
    <t>05/11/2024 04:30</t>
  </si>
  <si>
    <t>05/11/2024 04:45</t>
  </si>
  <si>
    <t>05/11/2024 05:00</t>
  </si>
  <si>
    <t>05/11/2024 05:15</t>
  </si>
  <si>
    <t>05/11/2024 05:30</t>
  </si>
  <si>
    <t>05/11/2024 05:45</t>
  </si>
  <si>
    <t>05/11/2024 06:00</t>
  </si>
  <si>
    <t>05/11/2024 06:15</t>
  </si>
  <si>
    <t>05/11/2024 06:30</t>
  </si>
  <si>
    <t>05/11/2024 06:45</t>
  </si>
  <si>
    <t>05/11/2024 07:00</t>
  </si>
  <si>
    <t>05/11/2024 07:15</t>
  </si>
  <si>
    <t>05/11/2024 07:30</t>
  </si>
  <si>
    <t>05/11/2024 07:45</t>
  </si>
  <si>
    <t>05/11/2024 08:00</t>
  </si>
  <si>
    <t>05/11/2024 08:15</t>
  </si>
  <si>
    <t>05/11/2024 08:30</t>
  </si>
  <si>
    <t>05/11/2024 08:45</t>
  </si>
  <si>
    <t>05/11/2024 09:00</t>
  </si>
  <si>
    <t>05/11/2024 09:15</t>
  </si>
  <si>
    <t>05/11/2024 09:30</t>
  </si>
  <si>
    <t>05/11/2024 09:45</t>
  </si>
  <si>
    <t>05/11/2024 10:00</t>
  </si>
  <si>
    <t>05/11/2024 10:15</t>
  </si>
  <si>
    <t>05/11/2024 10:30</t>
  </si>
  <si>
    <t>05/11/2024 10:45</t>
  </si>
  <si>
    <t>05/11/2024 11:00</t>
  </si>
  <si>
    <t>05/11/2024 11:15</t>
  </si>
  <si>
    <t>05/11/2024 11:30</t>
  </si>
  <si>
    <t>05/11/2024 11:45</t>
  </si>
  <si>
    <t>05/11/2024 12:00</t>
  </si>
  <si>
    <t>05/11/2024 12:15</t>
  </si>
  <si>
    <t>05/11/2024 12:30</t>
  </si>
  <si>
    <t>05/11/2024 12:45</t>
  </si>
  <si>
    <t>05/11/2024 13:00</t>
  </si>
  <si>
    <t>05/11/2024 13:15</t>
  </si>
  <si>
    <t>05/11/2024 13:30</t>
  </si>
  <si>
    <t>05/11/2024 13:45</t>
  </si>
  <si>
    <t>05/11/2024 14:00</t>
  </si>
  <si>
    <t>05/11/2024 14:15</t>
  </si>
  <si>
    <t>05/11/2024 14:30</t>
  </si>
  <si>
    <t>05/11/2024 14:45</t>
  </si>
  <si>
    <t>05/11/2024 15:00</t>
  </si>
  <si>
    <t>05/11/2024 15:15</t>
  </si>
  <si>
    <t>05/11/2024 15:30</t>
  </si>
  <si>
    <t>05/11/2024 15:45</t>
  </si>
  <si>
    <t>05/11/2024 16:00</t>
  </si>
  <si>
    <t>05/11/2024 16:15</t>
  </si>
  <si>
    <t>05/11/2024 16:30</t>
  </si>
  <si>
    <t>05/11/2024 16:45</t>
  </si>
  <si>
    <t>05/11/2024 17:00</t>
  </si>
  <si>
    <t>05/11/2024 17:15</t>
  </si>
  <si>
    <t>05/11/2024 17:30</t>
  </si>
  <si>
    <t>05/11/2024 17:45</t>
  </si>
  <si>
    <t>05/11/2024 18:00</t>
  </si>
  <si>
    <t>05/11/2024 18:15</t>
  </si>
  <si>
    <t>05/11/2024 18:30</t>
  </si>
  <si>
    <t>05/11/2024 18:45</t>
  </si>
  <si>
    <t>05/11/2024 19:00</t>
  </si>
  <si>
    <t>05/11/2024 19:15</t>
  </si>
  <si>
    <t>05/11/2024 19:30</t>
  </si>
  <si>
    <t>05/11/2024 19:45</t>
  </si>
  <si>
    <t>05/11/2024 20:00</t>
  </si>
  <si>
    <t>05/11/2024 20:15</t>
  </si>
  <si>
    <t>05/11/2024 20:30</t>
  </si>
  <si>
    <t>05/11/2024 20:45</t>
  </si>
  <si>
    <t>05/11/2024 21:00</t>
  </si>
  <si>
    <t>05/11/2024 21:15</t>
  </si>
  <si>
    <t>05/11/2024 21:30</t>
  </si>
  <si>
    <t>05/11/2024 21:45</t>
  </si>
  <si>
    <t>05/11/2024 22:00</t>
  </si>
  <si>
    <t>05/11/2024 22:15</t>
  </si>
  <si>
    <t>05/11/2024 22:30</t>
  </si>
  <si>
    <t>05/11/2024 22:45</t>
  </si>
  <si>
    <t>05/11/2024 23:00</t>
  </si>
  <si>
    <t>05/11/2024 23:15</t>
  </si>
  <si>
    <t>05/11/2024 23:30</t>
  </si>
  <si>
    <t>05/11/2024 23:45</t>
  </si>
  <si>
    <t>05/11/2024 24:00</t>
  </si>
  <si>
    <t>06/11/2024 00:15</t>
  </si>
  <si>
    <t>06/11/2024 00:30</t>
  </si>
  <si>
    <t>06/11/2024 00:45</t>
  </si>
  <si>
    <t>06/11/2024 01:00</t>
  </si>
  <si>
    <t>06/11/2024 01:15</t>
  </si>
  <si>
    <t>06/11/2024 01:30</t>
  </si>
  <si>
    <t>06/11/2024 01:45</t>
  </si>
  <si>
    <t>06/11/2024 02:00</t>
  </si>
  <si>
    <t>06/11/2024 02:15</t>
  </si>
  <si>
    <t>06/11/2024 02:30</t>
  </si>
  <si>
    <t>06/11/2024 02:45</t>
  </si>
  <si>
    <t>06/11/2024 03:00</t>
  </si>
  <si>
    <t>06/11/2024 03:15</t>
  </si>
  <si>
    <t>06/11/2024 03:30</t>
  </si>
  <si>
    <t>06/11/2024 03:45</t>
  </si>
  <si>
    <t>06/11/2024 04:00</t>
  </si>
  <si>
    <t>06/11/2024 04:15</t>
  </si>
  <si>
    <t>06/11/2024 04:30</t>
  </si>
  <si>
    <t>06/11/2024 04:45</t>
  </si>
  <si>
    <t>06/11/2024 05:00</t>
  </si>
  <si>
    <t>06/11/2024 05:15</t>
  </si>
  <si>
    <t>06/11/2024 05:30</t>
  </si>
  <si>
    <t>06/11/2024 05:45</t>
  </si>
  <si>
    <t>06/11/2024 06:00</t>
  </si>
  <si>
    <t>06/11/2024 06:15</t>
  </si>
  <si>
    <t>06/11/2024 06:30</t>
  </si>
  <si>
    <t>06/11/2024 06:45</t>
  </si>
  <si>
    <t>06/11/2024 07:00</t>
  </si>
  <si>
    <t>06/11/2024 07:15</t>
  </si>
  <si>
    <t>06/11/2024 07:30</t>
  </si>
  <si>
    <t>06/11/2024 07:45</t>
  </si>
  <si>
    <t>06/11/2024 08:00</t>
  </si>
  <si>
    <t>06/11/2024 08:15</t>
  </si>
  <si>
    <t>06/11/2024 08:30</t>
  </si>
  <si>
    <t>06/11/2024 08:45</t>
  </si>
  <si>
    <t>06/11/2024 09:00</t>
  </si>
  <si>
    <t>06/11/2024 09:15</t>
  </si>
  <si>
    <t>06/11/2024 09:30</t>
  </si>
  <si>
    <t>06/11/2024 09:45</t>
  </si>
  <si>
    <t>06/11/2024 10:00</t>
  </si>
  <si>
    <t>06/11/2024 10:15</t>
  </si>
  <si>
    <t>06/11/2024 10:30</t>
  </si>
  <si>
    <t>06/11/2024 10:45</t>
  </si>
  <si>
    <t>06/11/2024 11:00</t>
  </si>
  <si>
    <t>06/11/2024 11:15</t>
  </si>
  <si>
    <t>06/11/2024 11:30</t>
  </si>
  <si>
    <t>06/11/2024 11:45</t>
  </si>
  <si>
    <t>06/11/2024 12:00</t>
  </si>
  <si>
    <t>06/11/2024 12:15</t>
  </si>
  <si>
    <t>06/11/2024 12:30</t>
  </si>
  <si>
    <t>06/11/2024 12:45</t>
  </si>
  <si>
    <t>06/11/2024 13:00</t>
  </si>
  <si>
    <t>06/11/2024 13:15</t>
  </si>
  <si>
    <t>06/11/2024 13:30</t>
  </si>
  <si>
    <t>06/11/2024 13:45</t>
  </si>
  <si>
    <t>06/11/2024 14:00</t>
  </si>
  <si>
    <t>06/11/2024 14:15</t>
  </si>
  <si>
    <t>06/11/2024 14:30</t>
  </si>
  <si>
    <t>06/11/2024 14:45</t>
  </si>
  <si>
    <t>06/11/2024 15:00</t>
  </si>
  <si>
    <t>06/11/2024 15:15</t>
  </si>
  <si>
    <t>06/11/2024 15:30</t>
  </si>
  <si>
    <t>06/11/2024 15:45</t>
  </si>
  <si>
    <t>06/11/2024 16:00</t>
  </si>
  <si>
    <t>06/11/2024 16:15</t>
  </si>
  <si>
    <t>06/11/2024 16:30</t>
  </si>
  <si>
    <t>06/11/2024 16:45</t>
  </si>
  <si>
    <t>06/11/2024 17:00</t>
  </si>
  <si>
    <t>06/11/2024 17:15</t>
  </si>
  <si>
    <t>06/11/2024 17:30</t>
  </si>
  <si>
    <t>06/11/2024 17:45</t>
  </si>
  <si>
    <t>06/11/2024 18:00</t>
  </si>
  <si>
    <t>06/11/2024 18:15</t>
  </si>
  <si>
    <t>06/11/2024 18:30</t>
  </si>
  <si>
    <t>06/11/2024 18:45</t>
  </si>
  <si>
    <t>06/11/2024 19:00</t>
  </si>
  <si>
    <t>06/11/2024 19:15</t>
  </si>
  <si>
    <t>06/11/2024 19:30</t>
  </si>
  <si>
    <t>06/11/2024 19:45</t>
  </si>
  <si>
    <t>06/11/2024 20:00</t>
  </si>
  <si>
    <t>06/11/2024 20:15</t>
  </si>
  <si>
    <t>06/11/2024 20:30</t>
  </si>
  <si>
    <t>06/11/2024 20:45</t>
  </si>
  <si>
    <t>06/11/2024 21:00</t>
  </si>
  <si>
    <t>06/11/2024 21:15</t>
  </si>
  <si>
    <t>06/11/2024 21:30</t>
  </si>
  <si>
    <t>06/11/2024 21:45</t>
  </si>
  <si>
    <t>06/11/2024 22:00</t>
  </si>
  <si>
    <t>06/11/2024 22:15</t>
  </si>
  <si>
    <t>06/11/2024 22:30</t>
  </si>
  <si>
    <t>06/11/2024 22:45</t>
  </si>
  <si>
    <t>06/11/2024 23:00</t>
  </si>
  <si>
    <t>06/11/2024 23:15</t>
  </si>
  <si>
    <t>06/11/2024 23:30</t>
  </si>
  <si>
    <t>06/11/2024 23:45</t>
  </si>
  <si>
    <t>06/11/2024 24:00</t>
  </si>
  <si>
    <t>07/11/2024 00:15</t>
  </si>
  <si>
    <t>07/11/2024 00:30</t>
  </si>
  <si>
    <t>07/11/2024 00:45</t>
  </si>
  <si>
    <t>07/11/2024 01:00</t>
  </si>
  <si>
    <t>07/11/2024 01:15</t>
  </si>
  <si>
    <t>07/11/2024 01:30</t>
  </si>
  <si>
    <t>07/11/2024 01:45</t>
  </si>
  <si>
    <t>07/11/2024 02:00</t>
  </si>
  <si>
    <t>07/11/2024 02:15</t>
  </si>
  <si>
    <t>07/11/2024 02:30</t>
  </si>
  <si>
    <t>07/11/2024 02:45</t>
  </si>
  <si>
    <t>07/11/2024 03:00</t>
  </si>
  <si>
    <t>07/11/2024 03:15</t>
  </si>
  <si>
    <t>07/11/2024 03:30</t>
  </si>
  <si>
    <t>07/11/2024 03:45</t>
  </si>
  <si>
    <t>07/11/2024 04:00</t>
  </si>
  <si>
    <t>07/11/2024 04:15</t>
  </si>
  <si>
    <t>07/11/2024 04:30</t>
  </si>
  <si>
    <t>07/11/2024 04:45</t>
  </si>
  <si>
    <t>07/11/2024 05:00</t>
  </si>
  <si>
    <t>07/11/2024 05:15</t>
  </si>
  <si>
    <t>07/11/2024 05:30</t>
  </si>
  <si>
    <t>07/11/2024 05:45</t>
  </si>
  <si>
    <t>07/11/2024 06:00</t>
  </si>
  <si>
    <t>07/11/2024 06:15</t>
  </si>
  <si>
    <t>07/11/2024 06:30</t>
  </si>
  <si>
    <t>07/11/2024 06:45</t>
  </si>
  <si>
    <t>07/11/2024 07:00</t>
  </si>
  <si>
    <t>07/11/2024 07:15</t>
  </si>
  <si>
    <t>07/11/2024 07:30</t>
  </si>
  <si>
    <t>07/11/2024 07:45</t>
  </si>
  <si>
    <t>07/11/2024 08:00</t>
  </si>
  <si>
    <t>07/11/2024 08:15</t>
  </si>
  <si>
    <t>07/11/2024 08:30</t>
  </si>
  <si>
    <t>07/11/2024 08:45</t>
  </si>
  <si>
    <t>07/11/2024 09:00</t>
  </si>
  <si>
    <t>07/11/2024 09:15</t>
  </si>
  <si>
    <t>07/11/2024 09:30</t>
  </si>
  <si>
    <t>07/11/2024 09:45</t>
  </si>
  <si>
    <t>07/11/2024 10:00</t>
  </si>
  <si>
    <t>07/11/2024 10:15</t>
  </si>
  <si>
    <t>07/11/2024 10:30</t>
  </si>
  <si>
    <t>07/11/2024 10:45</t>
  </si>
  <si>
    <t>07/11/2024 11:00</t>
  </si>
  <si>
    <t>07/11/2024 11:15</t>
  </si>
  <si>
    <t>07/11/2024 11:30</t>
  </si>
  <si>
    <t>07/11/2024 11:45</t>
  </si>
  <si>
    <t>07/11/2024 12:00</t>
  </si>
  <si>
    <t>07/11/2024 12:15</t>
  </si>
  <si>
    <t>07/11/2024 12:30</t>
  </si>
  <si>
    <t>07/11/2024 12:45</t>
  </si>
  <si>
    <t>07/11/2024 13:00</t>
  </si>
  <si>
    <t>07/11/2024 13:15</t>
  </si>
  <si>
    <t>07/11/2024 13:30</t>
  </si>
  <si>
    <t>07/11/2024 13:45</t>
  </si>
  <si>
    <t>07/11/2024 14:00</t>
  </si>
  <si>
    <t>07/11/2024 14:15</t>
  </si>
  <si>
    <t>07/11/2024 14:30</t>
  </si>
  <si>
    <t>07/11/2024 14:45</t>
  </si>
  <si>
    <t>07/11/2024 15:00</t>
  </si>
  <si>
    <t>07/11/2024 15:15</t>
  </si>
  <si>
    <t>07/11/2024 15:30</t>
  </si>
  <si>
    <t>07/11/2024 15:45</t>
  </si>
  <si>
    <t>07/11/2024 16:00</t>
  </si>
  <si>
    <t>07/11/2024 16:15</t>
  </si>
  <si>
    <t>07/11/2024 16:30</t>
  </si>
  <si>
    <t>07/11/2024 16:45</t>
  </si>
  <si>
    <t>07/11/2024 17:00</t>
  </si>
  <si>
    <t>07/11/2024 17:15</t>
  </si>
  <si>
    <t>07/11/2024 17:30</t>
  </si>
  <si>
    <t>07/11/2024 17:45</t>
  </si>
  <si>
    <t>07/11/2024 18:00</t>
  </si>
  <si>
    <t>07/11/2024 18:15</t>
  </si>
  <si>
    <t>07/11/2024 18:30</t>
  </si>
  <si>
    <t>07/11/2024 18:45</t>
  </si>
  <si>
    <t>07/11/2024 19:00</t>
  </si>
  <si>
    <t>07/11/2024 19:15</t>
  </si>
  <si>
    <t>07/11/2024 19:30</t>
  </si>
  <si>
    <t>07/11/2024 19:45</t>
  </si>
  <si>
    <t>07/11/2024 20:00</t>
  </si>
  <si>
    <t>07/11/2024 20:15</t>
  </si>
  <si>
    <t>07/11/2024 20:30</t>
  </si>
  <si>
    <t>07/11/2024 20:45</t>
  </si>
  <si>
    <t>07/11/2024 21:00</t>
  </si>
  <si>
    <t>07/11/2024 21:15</t>
  </si>
  <si>
    <t>07/11/2024 21:30</t>
  </si>
  <si>
    <t>07/11/2024 21:45</t>
  </si>
  <si>
    <t>07/11/2024 22:00</t>
  </si>
  <si>
    <t>07/11/2024 22:15</t>
  </si>
  <si>
    <t>07/11/2024 22:30</t>
  </si>
  <si>
    <t>07/11/2024 22:45</t>
  </si>
  <si>
    <t>07/11/2024 23:00</t>
  </si>
  <si>
    <t>07/11/2024 23:15</t>
  </si>
  <si>
    <t>07/11/2024 23:30</t>
  </si>
  <si>
    <t>07/11/2024 23:45</t>
  </si>
  <si>
    <t>07/11/2024 24:00</t>
  </si>
  <si>
    <t>08/11/2024 00:15</t>
  </si>
  <si>
    <t>08/11/2024 00:30</t>
  </si>
  <si>
    <t>08/11/2024 00:45</t>
  </si>
  <si>
    <t>08/11/2024 01:00</t>
  </si>
  <si>
    <t>08/11/2024 01:15</t>
  </si>
  <si>
    <t>08/11/2024 01:30</t>
  </si>
  <si>
    <t>08/11/2024 01:45</t>
  </si>
  <si>
    <t>08/11/2024 02:00</t>
  </si>
  <si>
    <t>08/11/2024 02:15</t>
  </si>
  <si>
    <t>08/11/2024 02:30</t>
  </si>
  <si>
    <t>08/11/2024 02:45</t>
  </si>
  <si>
    <t>08/11/2024 03:00</t>
  </si>
  <si>
    <t>08/11/2024 03:15</t>
  </si>
  <si>
    <t>08/11/2024 03:30</t>
  </si>
  <si>
    <t>08/11/2024 03:45</t>
  </si>
  <si>
    <t>08/11/2024 04:00</t>
  </si>
  <si>
    <t>08/11/2024 04:15</t>
  </si>
  <si>
    <t>08/11/2024 04:30</t>
  </si>
  <si>
    <t>08/11/2024 04:45</t>
  </si>
  <si>
    <t>08/11/2024 05:00</t>
  </si>
  <si>
    <t>08/11/2024 05:15</t>
  </si>
  <si>
    <t>08/11/2024 05:30</t>
  </si>
  <si>
    <t>08/11/2024 05:45</t>
  </si>
  <si>
    <t>08/11/2024 06:00</t>
  </si>
  <si>
    <t>08/11/2024 06:15</t>
  </si>
  <si>
    <t>08/11/2024 06:30</t>
  </si>
  <si>
    <t>08/11/2024 06:45</t>
  </si>
  <si>
    <t>08/11/2024 07:00</t>
  </si>
  <si>
    <t>08/11/2024 07:15</t>
  </si>
  <si>
    <t>08/11/2024 07:30</t>
  </si>
  <si>
    <t>08/11/2024 07:45</t>
  </si>
  <si>
    <t>08/11/2024 08:00</t>
  </si>
  <si>
    <t>08/11/2024 08:15</t>
  </si>
  <si>
    <t>08/11/2024 08:30</t>
  </si>
  <si>
    <t>08/11/2024 08:45</t>
  </si>
  <si>
    <t>08/11/2024 09:00</t>
  </si>
  <si>
    <t>08/11/2024 09:15</t>
  </si>
  <si>
    <t>08/11/2024 09:30</t>
  </si>
  <si>
    <t>08/11/2024 09:45</t>
  </si>
  <si>
    <t>08/11/2024 10:00</t>
  </si>
  <si>
    <t>08/11/2024 10:15</t>
  </si>
  <si>
    <t>08/11/2024 10:30</t>
  </si>
  <si>
    <t>08/11/2024 10:45</t>
  </si>
  <si>
    <t>08/11/2024 11:00</t>
  </si>
  <si>
    <t>08/11/2024 11:15</t>
  </si>
  <si>
    <t>08/11/2024 11:30</t>
  </si>
  <si>
    <t>08/11/2024 11:45</t>
  </si>
  <si>
    <t>08/11/2024 12:00</t>
  </si>
  <si>
    <t>08/11/2024 12:15</t>
  </si>
  <si>
    <t>08/11/2024 12:30</t>
  </si>
  <si>
    <t>08/11/2024 12:45</t>
  </si>
  <si>
    <t>08/11/2024 13:00</t>
  </si>
  <si>
    <t>08/11/2024 13:15</t>
  </si>
  <si>
    <t>08/11/2024 13:30</t>
  </si>
  <si>
    <t>08/11/2024 13:45</t>
  </si>
  <si>
    <t>08/11/2024 14:00</t>
  </si>
  <si>
    <t>08/11/2024 14:15</t>
  </si>
  <si>
    <t>08/11/2024 14:30</t>
  </si>
  <si>
    <t>08/11/2024 14:45</t>
  </si>
  <si>
    <t>08/11/2024 15:00</t>
  </si>
  <si>
    <t>08/11/2024 15:15</t>
  </si>
  <si>
    <t>08/11/2024 15:30</t>
  </si>
  <si>
    <t>08/11/2024 15:45</t>
  </si>
  <si>
    <t>08/11/2024 16:00</t>
  </si>
  <si>
    <t>08/11/2024 16:15</t>
  </si>
  <si>
    <t>08/11/2024 16:30</t>
  </si>
  <si>
    <t>08/11/2024 16:45</t>
  </si>
  <si>
    <t>08/11/2024 17:00</t>
  </si>
  <si>
    <t>08/11/2024 17:15</t>
  </si>
  <si>
    <t>08/11/2024 17:30</t>
  </si>
  <si>
    <t>08/11/2024 17:45</t>
  </si>
  <si>
    <t>08/11/2024 18:00</t>
  </si>
  <si>
    <t>08/11/2024 18:15</t>
  </si>
  <si>
    <t>08/11/2024 18:30</t>
  </si>
  <si>
    <t>08/11/2024 18:45</t>
  </si>
  <si>
    <t>08/11/2024 19:00</t>
  </si>
  <si>
    <t>08/11/2024 19:15</t>
  </si>
  <si>
    <t>08/11/2024 19:30</t>
  </si>
  <si>
    <t>08/11/2024 19:45</t>
  </si>
  <si>
    <t>08/11/2024 20:00</t>
  </si>
  <si>
    <t>08/11/2024 20:15</t>
  </si>
  <si>
    <t>08/11/2024 20:30</t>
  </si>
  <si>
    <t>08/11/2024 20:45</t>
  </si>
  <si>
    <t>08/11/2024 21:00</t>
  </si>
  <si>
    <t>08/11/2024 21:15</t>
  </si>
  <si>
    <t>08/11/2024 21:30</t>
  </si>
  <si>
    <t>08/11/2024 21:45</t>
  </si>
  <si>
    <t>08/11/2024 22:00</t>
  </si>
  <si>
    <t>08/11/2024 22:15</t>
  </si>
  <si>
    <t>08/11/2024 22:30</t>
  </si>
  <si>
    <t>08/11/2024 22:45</t>
  </si>
  <si>
    <t>08/11/2024 23:00</t>
  </si>
  <si>
    <t>08/11/2024 23:15</t>
  </si>
  <si>
    <t>08/11/2024 23:30</t>
  </si>
  <si>
    <t>08/11/2024 23:45</t>
  </si>
  <si>
    <t>08/11/2024 24:00</t>
  </si>
  <si>
    <t>09/11/2024 00:15</t>
  </si>
  <si>
    <t>09/11/2024 00:30</t>
  </si>
  <si>
    <t>09/11/2024 00:45</t>
  </si>
  <si>
    <t>09/11/2024 01:00</t>
  </si>
  <si>
    <t>09/11/2024 01:15</t>
  </si>
  <si>
    <t>09/11/2024 01:30</t>
  </si>
  <si>
    <t>09/11/2024 01:45</t>
  </si>
  <si>
    <t>09/11/2024 02:00</t>
  </si>
  <si>
    <t>09/11/2024 02:15</t>
  </si>
  <si>
    <t>09/11/2024 02:30</t>
  </si>
  <si>
    <t>09/11/2024 02:45</t>
  </si>
  <si>
    <t>09/11/2024 03:00</t>
  </si>
  <si>
    <t>09/11/2024 03:15</t>
  </si>
  <si>
    <t>09/11/2024 03:30</t>
  </si>
  <si>
    <t>09/11/2024 03:45</t>
  </si>
  <si>
    <t>09/11/2024 04:00</t>
  </si>
  <si>
    <t>09/11/2024 04:15</t>
  </si>
  <si>
    <t>09/11/2024 04:30</t>
  </si>
  <si>
    <t>09/11/2024 04:45</t>
  </si>
  <si>
    <t>09/11/2024 05:00</t>
  </si>
  <si>
    <t>09/11/2024 05:15</t>
  </si>
  <si>
    <t>09/11/2024 05:30</t>
  </si>
  <si>
    <t>09/11/2024 05:45</t>
  </si>
  <si>
    <t>09/11/2024 06:00</t>
  </si>
  <si>
    <t>09/11/2024 06:15</t>
  </si>
  <si>
    <t>09/11/2024 06:30</t>
  </si>
  <si>
    <t>09/11/2024 06:45</t>
  </si>
  <si>
    <t>09/11/2024 07:00</t>
  </si>
  <si>
    <t>09/11/2024 07:15</t>
  </si>
  <si>
    <t>09/11/2024 07:30</t>
  </si>
  <si>
    <t>09/11/2024 07:45</t>
  </si>
  <si>
    <t>09/11/2024 08:00</t>
  </si>
  <si>
    <t>09/11/2024 08:15</t>
  </si>
  <si>
    <t>09/11/2024 08:30</t>
  </si>
  <si>
    <t>09/11/2024 08:45</t>
  </si>
  <si>
    <t>09/11/2024 09:00</t>
  </si>
  <si>
    <t>09/11/2024 09:15</t>
  </si>
  <si>
    <t>09/11/2024 09:30</t>
  </si>
  <si>
    <t>09/11/2024 09:45</t>
  </si>
  <si>
    <t>09/11/2024 10:00</t>
  </si>
  <si>
    <t>09/11/2024 10:15</t>
  </si>
  <si>
    <t>09/11/2024 10:30</t>
  </si>
  <si>
    <t>09/11/2024 10:45</t>
  </si>
  <si>
    <t>09/11/2024 11:00</t>
  </si>
  <si>
    <t>09/11/2024 11:15</t>
  </si>
  <si>
    <t>09/11/2024 11:30</t>
  </si>
  <si>
    <t>09/11/2024 11:45</t>
  </si>
  <si>
    <t>09/11/2024 12:00</t>
  </si>
  <si>
    <t>09/11/2024 12:15</t>
  </si>
  <si>
    <t>09/11/2024 12:30</t>
  </si>
  <si>
    <t>09/11/2024 12:45</t>
  </si>
  <si>
    <t>09/11/2024 13:00</t>
  </si>
  <si>
    <t>09/11/2024 13:15</t>
  </si>
  <si>
    <t>09/11/2024 13:30</t>
  </si>
  <si>
    <t>09/11/2024 13:45</t>
  </si>
  <si>
    <t>09/11/2024 14:00</t>
  </si>
  <si>
    <t>09/11/2024 14:15</t>
  </si>
  <si>
    <t>09/11/2024 14:30</t>
  </si>
  <si>
    <t>09/11/2024 14:45</t>
  </si>
  <si>
    <t>09/11/2024 15:00</t>
  </si>
  <si>
    <t>09/11/2024 15:15</t>
  </si>
  <si>
    <t>09/11/2024 15:30</t>
  </si>
  <si>
    <t>09/11/2024 15:45</t>
  </si>
  <si>
    <t>09/11/2024 16:00</t>
  </si>
  <si>
    <t>09/11/2024 16:15</t>
  </si>
  <si>
    <t>09/11/2024 16:30</t>
  </si>
  <si>
    <t>09/11/2024 16:45</t>
  </si>
  <si>
    <t>09/11/2024 17:00</t>
  </si>
  <si>
    <t>09/11/2024 17:15</t>
  </si>
  <si>
    <t>09/11/2024 17:30</t>
  </si>
  <si>
    <t>09/11/2024 17:45</t>
  </si>
  <si>
    <t>09/11/2024 18:00</t>
  </si>
  <si>
    <t>09/11/2024 18:15</t>
  </si>
  <si>
    <t>09/11/2024 18:30</t>
  </si>
  <si>
    <t>09/11/2024 18:45</t>
  </si>
  <si>
    <t>09/11/2024 19:00</t>
  </si>
  <si>
    <t>09/11/2024 19:15</t>
  </si>
  <si>
    <t>09/11/2024 19:30</t>
  </si>
  <si>
    <t>09/11/2024 19:45</t>
  </si>
  <si>
    <t>09/11/2024 20:00</t>
  </si>
  <si>
    <t>09/11/2024 20:15</t>
  </si>
  <si>
    <t>09/11/2024 20:30</t>
  </si>
  <si>
    <t>09/11/2024 20:45</t>
  </si>
  <si>
    <t>09/11/2024 21:00</t>
  </si>
  <si>
    <t>09/11/2024 21:15</t>
  </si>
  <si>
    <t>09/11/2024 21:30</t>
  </si>
  <si>
    <t>09/11/2024 21:45</t>
  </si>
  <si>
    <t>09/11/2024 22:00</t>
  </si>
  <si>
    <t>09/11/2024 22:15</t>
  </si>
  <si>
    <t>09/11/2024 22:30</t>
  </si>
  <si>
    <t>09/11/2024 22:45</t>
  </si>
  <si>
    <t>09/11/2024 23:00</t>
  </si>
  <si>
    <t>09/11/2024 23:15</t>
  </si>
  <si>
    <t>09/11/2024 23:30</t>
  </si>
  <si>
    <t>09/11/2024 23:45</t>
  </si>
  <si>
    <t>09/11/2024 24:00</t>
  </si>
  <si>
    <t>10/11/2024 00:15</t>
  </si>
  <si>
    <t>10/11/2024 00:30</t>
  </si>
  <si>
    <t>10/11/2024 00:45</t>
  </si>
  <si>
    <t>10/11/2024 01:00</t>
  </si>
  <si>
    <t>10/11/2024 01:15</t>
  </si>
  <si>
    <t>10/11/2024 01:30</t>
  </si>
  <si>
    <t>10/11/2024 01:45</t>
  </si>
  <si>
    <t>10/11/2024 02:00</t>
  </si>
  <si>
    <t>10/11/2024 02:15</t>
  </si>
  <si>
    <t>10/11/2024 02:30</t>
  </si>
  <si>
    <t>10/11/2024 02:45</t>
  </si>
  <si>
    <t>10/11/2024 03:00</t>
  </si>
  <si>
    <t>10/11/2024 03:15</t>
  </si>
  <si>
    <t>10/11/2024 03:30</t>
  </si>
  <si>
    <t>10/11/2024 03:45</t>
  </si>
  <si>
    <t>10/11/2024 04:00</t>
  </si>
  <si>
    <t>10/11/2024 04:15</t>
  </si>
  <si>
    <t>10/11/2024 04:30</t>
  </si>
  <si>
    <t>10/11/2024 04:45</t>
  </si>
  <si>
    <t>10/11/2024 05:00</t>
  </si>
  <si>
    <t>10/11/2024 05:15</t>
  </si>
  <si>
    <t>10/11/2024 05:30</t>
  </si>
  <si>
    <t>10/11/2024 05:45</t>
  </si>
  <si>
    <t>10/11/2024 06:00</t>
  </si>
  <si>
    <t>10/11/2024 06:15</t>
  </si>
  <si>
    <t>10/11/2024 06:30</t>
  </si>
  <si>
    <t>10/11/2024 06:45</t>
  </si>
  <si>
    <t>10/11/2024 07:00</t>
  </si>
  <si>
    <t>10/11/2024 07:15</t>
  </si>
  <si>
    <t>10/11/2024 07:30</t>
  </si>
  <si>
    <t>10/11/2024 07:45</t>
  </si>
  <si>
    <t>10/11/2024 08:00</t>
  </si>
  <si>
    <t>10/11/2024 08:15</t>
  </si>
  <si>
    <t>10/11/2024 08:30</t>
  </si>
  <si>
    <t>10/11/2024 08:45</t>
  </si>
  <si>
    <t>10/11/2024 09:00</t>
  </si>
  <si>
    <t>10/11/2024 09:15</t>
  </si>
  <si>
    <t>10/11/2024 09:30</t>
  </si>
  <si>
    <t>10/11/2024 09:45</t>
  </si>
  <si>
    <t>10/11/2024 10:00</t>
  </si>
  <si>
    <t>10/11/2024 10:15</t>
  </si>
  <si>
    <t>10/11/2024 10:30</t>
  </si>
  <si>
    <t>10/11/2024 10:45</t>
  </si>
  <si>
    <t>10/11/2024 11:00</t>
  </si>
  <si>
    <t>10/11/2024 11:15</t>
  </si>
  <si>
    <t>10/11/2024 11:30</t>
  </si>
  <si>
    <t>10/11/2024 11:45</t>
  </si>
  <si>
    <t>10/11/2024 12:00</t>
  </si>
  <si>
    <t>10/11/2024 12:15</t>
  </si>
  <si>
    <t>10/11/2024 12:30</t>
  </si>
  <si>
    <t>10/11/2024 12:45</t>
  </si>
  <si>
    <t>10/11/2024 13:00</t>
  </si>
  <si>
    <t>10/11/2024 13:15</t>
  </si>
  <si>
    <t>10/11/2024 13:30</t>
  </si>
  <si>
    <t>10/11/2024 13:45</t>
  </si>
  <si>
    <t>10/11/2024 14:00</t>
  </si>
  <si>
    <t>10/11/2024 14:15</t>
  </si>
  <si>
    <t>10/11/2024 14:30</t>
  </si>
  <si>
    <t>10/11/2024 14:45</t>
  </si>
  <si>
    <t>10/11/2024 15:00</t>
  </si>
  <si>
    <t>10/11/2024 15:15</t>
  </si>
  <si>
    <t>10/11/2024 15:30</t>
  </si>
  <si>
    <t>10/11/2024 15:45</t>
  </si>
  <si>
    <t>10/11/2024 16:00</t>
  </si>
  <si>
    <t>10/11/2024 16:15</t>
  </si>
  <si>
    <t>10/11/2024 16:30</t>
  </si>
  <si>
    <t>10/11/2024 16:45</t>
  </si>
  <si>
    <t>10/11/2024 17:00</t>
  </si>
  <si>
    <t>10/11/2024 17:15</t>
  </si>
  <si>
    <t>10/11/2024 17:30</t>
  </si>
  <si>
    <t>10/11/2024 17:45</t>
  </si>
  <si>
    <t>10/11/2024 18:00</t>
  </si>
  <si>
    <t>10/11/2024 18:15</t>
  </si>
  <si>
    <t>10/11/2024 18:30</t>
  </si>
  <si>
    <t>10/11/2024 18:45</t>
  </si>
  <si>
    <t>10/11/2024 19:00</t>
  </si>
  <si>
    <t>10/11/2024 19:15</t>
  </si>
  <si>
    <t>10/11/2024 19:30</t>
  </si>
  <si>
    <t>10/11/2024 19:45</t>
  </si>
  <si>
    <t>10/11/2024 20:00</t>
  </si>
  <si>
    <t>10/11/2024 20:15</t>
  </si>
  <si>
    <t>10/11/2024 20:30</t>
  </si>
  <si>
    <t>10/11/2024 20:45</t>
  </si>
  <si>
    <t>10/11/2024 21:00</t>
  </si>
  <si>
    <t>10/11/2024 21:15</t>
  </si>
  <si>
    <t>10/11/2024 21:30</t>
  </si>
  <si>
    <t>10/11/2024 21:45</t>
  </si>
  <si>
    <t>10/11/2024 22:00</t>
  </si>
  <si>
    <t>10/11/2024 22:15</t>
  </si>
  <si>
    <t>10/11/2024 22:30</t>
  </si>
  <si>
    <t>10/11/2024 22:45</t>
  </si>
  <si>
    <t>10/11/2024 23:00</t>
  </si>
  <si>
    <t>10/11/2024 23:15</t>
  </si>
  <si>
    <t>10/11/2024 23:30</t>
  </si>
  <si>
    <t>10/11/2024 23:45</t>
  </si>
  <si>
    <t>10/11/2024 24:00</t>
  </si>
  <si>
    <t>11/11/2024 00:15</t>
  </si>
  <si>
    <t>11/11/2024 00:30</t>
  </si>
  <si>
    <t>11/11/2024 00:45</t>
  </si>
  <si>
    <t>11/11/2024 01:00</t>
  </si>
  <si>
    <t>11/11/2024 01:15</t>
  </si>
  <si>
    <t>11/11/2024 01:30</t>
  </si>
  <si>
    <t>11/11/2024 01:45</t>
  </si>
  <si>
    <t>11/11/2024 02:00</t>
  </si>
  <si>
    <t>11/11/2024 02:15</t>
  </si>
  <si>
    <t>11/11/2024 02:30</t>
  </si>
  <si>
    <t>11/11/2024 02:45</t>
  </si>
  <si>
    <t>11/11/2024 03:00</t>
  </si>
  <si>
    <t>11/11/2024 03:15</t>
  </si>
  <si>
    <t>11/11/2024 03:30</t>
  </si>
  <si>
    <t>11/11/2024 03:45</t>
  </si>
  <si>
    <t>11/11/2024 04:00</t>
  </si>
  <si>
    <t>11/11/2024 04:15</t>
  </si>
  <si>
    <t>11/11/2024 04:30</t>
  </si>
  <si>
    <t>11/11/2024 04:45</t>
  </si>
  <si>
    <t>11/11/2024 05:00</t>
  </si>
  <si>
    <t>11/11/2024 05:15</t>
  </si>
  <si>
    <t>11/11/2024 05:30</t>
  </si>
  <si>
    <t>11/11/2024 05:45</t>
  </si>
  <si>
    <t>11/11/2024 06:00</t>
  </si>
  <si>
    <t>11/11/2024 06:15</t>
  </si>
  <si>
    <t>11/11/2024 06:30</t>
  </si>
  <si>
    <t>11/11/2024 06:45</t>
  </si>
  <si>
    <t>11/11/2024 07:00</t>
  </si>
  <si>
    <t>11/11/2024 07:15</t>
  </si>
  <si>
    <t>11/11/2024 07:30</t>
  </si>
  <si>
    <t>11/11/2024 07:45</t>
  </si>
  <si>
    <t>11/11/2024 08:00</t>
  </si>
  <si>
    <t>11/11/2024 08:15</t>
  </si>
  <si>
    <t>11/11/2024 08:30</t>
  </si>
  <si>
    <t>11/11/2024 08:45</t>
  </si>
  <si>
    <t>11/11/2024 09:00</t>
  </si>
  <si>
    <t>11/11/2024 09:15</t>
  </si>
  <si>
    <t>11/11/2024 09:30</t>
  </si>
  <si>
    <t>11/11/2024 09:45</t>
  </si>
  <si>
    <t>11/11/2024 10:00</t>
  </si>
  <si>
    <t>11/11/2024 10:15</t>
  </si>
  <si>
    <t>11/11/2024 10:30</t>
  </si>
  <si>
    <t>11/11/2024 10:45</t>
  </si>
  <si>
    <t>11/11/2024 11:00</t>
  </si>
  <si>
    <t>11/11/2024 11:15</t>
  </si>
  <si>
    <t>11/11/2024 11:30</t>
  </si>
  <si>
    <t>11/11/2024 11:45</t>
  </si>
  <si>
    <t>11/11/2024 12:00</t>
  </si>
  <si>
    <t>11/11/2024 12:15</t>
  </si>
  <si>
    <t>11/11/2024 12:30</t>
  </si>
  <si>
    <t>11/11/2024 12:45</t>
  </si>
  <si>
    <t>11/11/2024 13:00</t>
  </si>
  <si>
    <t>11/11/2024 13:15</t>
  </si>
  <si>
    <t>11/11/2024 13:30</t>
  </si>
  <si>
    <t>11/11/2024 13:45</t>
  </si>
  <si>
    <t>11/11/2024 14:00</t>
  </si>
  <si>
    <t>11/11/2024 14:15</t>
  </si>
  <si>
    <t>11/11/2024 14:30</t>
  </si>
  <si>
    <t>11/11/2024 14:45</t>
  </si>
  <si>
    <t>11/11/2024 15:00</t>
  </si>
  <si>
    <t>11/11/2024 15:15</t>
  </si>
  <si>
    <t>11/11/2024 15:30</t>
  </si>
  <si>
    <t>11/11/2024 15:45</t>
  </si>
  <si>
    <t>11/11/2024 16:00</t>
  </si>
  <si>
    <t>11/11/2024 16:15</t>
  </si>
  <si>
    <t>11/11/2024 16:30</t>
  </si>
  <si>
    <t>11/11/2024 16:45</t>
  </si>
  <si>
    <t>11/11/2024 17:00</t>
  </si>
  <si>
    <t>11/11/2024 17:15</t>
  </si>
  <si>
    <t>11/11/2024 17:30</t>
  </si>
  <si>
    <t>11/11/2024 17:45</t>
  </si>
  <si>
    <t>11/11/2024 18:00</t>
  </si>
  <si>
    <t>11/11/2024 18:15</t>
  </si>
  <si>
    <t>11/11/2024 18:30</t>
  </si>
  <si>
    <t>11/11/2024 18:45</t>
  </si>
  <si>
    <t>11/11/2024 19:00</t>
  </si>
  <si>
    <t>11/11/2024 19:15</t>
  </si>
  <si>
    <t>11/11/2024 19:30</t>
  </si>
  <si>
    <t>11/11/2024 19:45</t>
  </si>
  <si>
    <t>11/11/2024 20:00</t>
  </si>
  <si>
    <t>11/11/2024 20:15</t>
  </si>
  <si>
    <t>11/11/2024 20:30</t>
  </si>
  <si>
    <t>11/11/2024 20:45</t>
  </si>
  <si>
    <t>11/11/2024 21:00</t>
  </si>
  <si>
    <t>11/11/2024 21:15</t>
  </si>
  <si>
    <t>11/11/2024 21:30</t>
  </si>
  <si>
    <t>11/11/2024 21:45</t>
  </si>
  <si>
    <t>11/11/2024 22:00</t>
  </si>
  <si>
    <t>11/11/2024 22:15</t>
  </si>
  <si>
    <t>11/11/2024 22:30</t>
  </si>
  <si>
    <t>11/11/2024 22:45</t>
  </si>
  <si>
    <t>11/11/2024 23:00</t>
  </si>
  <si>
    <t>11/11/2024 23:15</t>
  </si>
  <si>
    <t>11/11/2024 23:30</t>
  </si>
  <si>
    <t>11/11/2024 23:45</t>
  </si>
  <si>
    <t>11/11/2024 24:00</t>
  </si>
  <si>
    <t>12/11/2024 00:15</t>
  </si>
  <si>
    <t>12/11/2024 00:30</t>
  </si>
  <si>
    <t>12/11/2024 00:45</t>
  </si>
  <si>
    <t>12/11/2024 01:00</t>
  </si>
  <si>
    <t>12/11/2024 01:15</t>
  </si>
  <si>
    <t>12/11/2024 01:30</t>
  </si>
  <si>
    <t>12/11/2024 01:45</t>
  </si>
  <si>
    <t>12/11/2024 02:00</t>
  </si>
  <si>
    <t>12/11/2024 02:15</t>
  </si>
  <si>
    <t>12/11/2024 02:30</t>
  </si>
  <si>
    <t>12/11/2024 02:45</t>
  </si>
  <si>
    <t>12/11/2024 03:00</t>
  </si>
  <si>
    <t>12/11/2024 03:15</t>
  </si>
  <si>
    <t>12/11/2024 03:30</t>
  </si>
  <si>
    <t>12/11/2024 03:45</t>
  </si>
  <si>
    <t>12/11/2024 04:00</t>
  </si>
  <si>
    <t>12/11/2024 04:15</t>
  </si>
  <si>
    <t>12/11/2024 04:30</t>
  </si>
  <si>
    <t>12/11/2024 04:45</t>
  </si>
  <si>
    <t>12/11/2024 05:00</t>
  </si>
  <si>
    <t>12/11/2024 05:15</t>
  </si>
  <si>
    <t>12/11/2024 05:30</t>
  </si>
  <si>
    <t>12/11/2024 05:45</t>
  </si>
  <si>
    <t>12/11/2024 06:00</t>
  </si>
  <si>
    <t>12/11/2024 06:15</t>
  </si>
  <si>
    <t>12/11/2024 06:30</t>
  </si>
  <si>
    <t>12/11/2024 06:45</t>
  </si>
  <si>
    <t>12/11/2024 07:00</t>
  </si>
  <si>
    <t>12/11/2024 07:15</t>
  </si>
  <si>
    <t>12/11/2024 07:30</t>
  </si>
  <si>
    <t>12/11/2024 07:45</t>
  </si>
  <si>
    <t>12/11/2024 08:00</t>
  </si>
  <si>
    <t>12/11/2024 08:15</t>
  </si>
  <si>
    <t>12/11/2024 08:30</t>
  </si>
  <si>
    <t>12/11/2024 08:45</t>
  </si>
  <si>
    <t>12/11/2024 09:00</t>
  </si>
  <si>
    <t>12/11/2024 09:15</t>
  </si>
  <si>
    <t>12/11/2024 09:30</t>
  </si>
  <si>
    <t>12/11/2024 09:45</t>
  </si>
  <si>
    <t>12/11/2024 10:00</t>
  </si>
  <si>
    <t>12/11/2024 10:15</t>
  </si>
  <si>
    <t>12/11/2024 10:30</t>
  </si>
  <si>
    <t>12/11/2024 10:45</t>
  </si>
  <si>
    <t>12/11/2024 11:00</t>
  </si>
  <si>
    <t>12/11/2024 11:15</t>
  </si>
  <si>
    <t>12/11/2024 11:30</t>
  </si>
  <si>
    <t>12/11/2024 11:45</t>
  </si>
  <si>
    <t>12/11/2024 12:00</t>
  </si>
  <si>
    <t>12/11/2024 12:15</t>
  </si>
  <si>
    <t>12/11/2024 12:30</t>
  </si>
  <si>
    <t>12/11/2024 12:45</t>
  </si>
  <si>
    <t>12/11/2024 13:00</t>
  </si>
  <si>
    <t>12/11/2024 13:15</t>
  </si>
  <si>
    <t>12/11/2024 13:30</t>
  </si>
  <si>
    <t>12/11/2024 13:45</t>
  </si>
  <si>
    <t>12/11/2024 14:00</t>
  </si>
  <si>
    <t>12/11/2024 14:15</t>
  </si>
  <si>
    <t>12/11/2024 14:30</t>
  </si>
  <si>
    <t>12/11/2024 14:45</t>
  </si>
  <si>
    <t>12/11/2024 15:00</t>
  </si>
  <si>
    <t>12/11/2024 15:15</t>
  </si>
  <si>
    <t>12/11/2024 15:30</t>
  </si>
  <si>
    <t>12/11/2024 15:45</t>
  </si>
  <si>
    <t>12/11/2024 16:00</t>
  </si>
  <si>
    <t>12/11/2024 16:15</t>
  </si>
  <si>
    <t>12/11/2024 16:30</t>
  </si>
  <si>
    <t>12/11/2024 16:45</t>
  </si>
  <si>
    <t>12/11/2024 17:00</t>
  </si>
  <si>
    <t>12/11/2024 17:15</t>
  </si>
  <si>
    <t>12/11/2024 17:30</t>
  </si>
  <si>
    <t>12/11/2024 17:45</t>
  </si>
  <si>
    <t>12/11/2024 18:00</t>
  </si>
  <si>
    <t>12/11/2024 18:15</t>
  </si>
  <si>
    <t>12/11/2024 18:30</t>
  </si>
  <si>
    <t>12/11/2024 18:45</t>
  </si>
  <si>
    <t>12/11/2024 19:00</t>
  </si>
  <si>
    <t>12/11/2024 19:15</t>
  </si>
  <si>
    <t>12/11/2024 19:30</t>
  </si>
  <si>
    <t>12/11/2024 19:45</t>
  </si>
  <si>
    <t>12/11/2024 20:00</t>
  </si>
  <si>
    <t>12/11/2024 20:15</t>
  </si>
  <si>
    <t>12/11/2024 20:30</t>
  </si>
  <si>
    <t>12/11/2024 20:45</t>
  </si>
  <si>
    <t>12/11/2024 21:00</t>
  </si>
  <si>
    <t>12/11/2024 21:15</t>
  </si>
  <si>
    <t>12/11/2024 21:30</t>
  </si>
  <si>
    <t>12/11/2024 21:45</t>
  </si>
  <si>
    <t>12/11/2024 22:00</t>
  </si>
  <si>
    <t>12/11/2024 22:15</t>
  </si>
  <si>
    <t>12/11/2024 22:30</t>
  </si>
  <si>
    <t>12/11/2024 22:45</t>
  </si>
  <si>
    <t>12/11/2024 23:00</t>
  </si>
  <si>
    <t>12/11/2024 23:15</t>
  </si>
  <si>
    <t>12/11/2024 23:30</t>
  </si>
  <si>
    <t>12/11/2024 23:45</t>
  </si>
  <si>
    <t>12/11/2024 24:00</t>
  </si>
  <si>
    <t>13/11/2024 00:15</t>
  </si>
  <si>
    <t>13/11/2024 00:30</t>
  </si>
  <si>
    <t>13/11/2024 00:45</t>
  </si>
  <si>
    <t>13/11/2024 01:00</t>
  </si>
  <si>
    <t>13/11/2024 01:15</t>
  </si>
  <si>
    <t>13/11/2024 01:30</t>
  </si>
  <si>
    <t>13/11/2024 01:45</t>
  </si>
  <si>
    <t>13/11/2024 02:00</t>
  </si>
  <si>
    <t>13/11/2024 02:15</t>
  </si>
  <si>
    <t>13/11/2024 02:30</t>
  </si>
  <si>
    <t>13/11/2024 02:45</t>
  </si>
  <si>
    <t>13/11/2024 03:00</t>
  </si>
  <si>
    <t>13/11/2024 03:15</t>
  </si>
  <si>
    <t>13/11/2024 03:30</t>
  </si>
  <si>
    <t>13/11/2024 03:45</t>
  </si>
  <si>
    <t>13/11/2024 04:00</t>
  </si>
  <si>
    <t>13/11/2024 04:15</t>
  </si>
  <si>
    <t>13/11/2024 04:30</t>
  </si>
  <si>
    <t>13/11/2024 04:45</t>
  </si>
  <si>
    <t>13/11/2024 05:00</t>
  </si>
  <si>
    <t>13/11/2024 05:15</t>
  </si>
  <si>
    <t>13/11/2024 05:30</t>
  </si>
  <si>
    <t>13/11/2024 05:45</t>
  </si>
  <si>
    <t>13/11/2024 06:00</t>
  </si>
  <si>
    <t>13/11/2024 06:15</t>
  </si>
  <si>
    <t>13/11/2024 06:30</t>
  </si>
  <si>
    <t>13/11/2024 06:45</t>
  </si>
  <si>
    <t>13/11/2024 07:00</t>
  </si>
  <si>
    <t>13/11/2024 07:15</t>
  </si>
  <si>
    <t>13/11/2024 07:30</t>
  </si>
  <si>
    <t>13/11/2024 07:45</t>
  </si>
  <si>
    <t>13/11/2024 08:00</t>
  </si>
  <si>
    <t>13/11/2024 08:15</t>
  </si>
  <si>
    <t>13/11/2024 08:30</t>
  </si>
  <si>
    <t>13/11/2024 08:45</t>
  </si>
  <si>
    <t>13/11/2024 09:00</t>
  </si>
  <si>
    <t>13/11/2024 09:15</t>
  </si>
  <si>
    <t>13/11/2024 09:30</t>
  </si>
  <si>
    <t>13/11/2024 09:45</t>
  </si>
  <si>
    <t>13/11/2024 10:00</t>
  </si>
  <si>
    <t>13/11/2024 10:15</t>
  </si>
  <si>
    <t>13/11/2024 10:30</t>
  </si>
  <si>
    <t>13/11/2024 10:45</t>
  </si>
  <si>
    <t>13/11/2024 11:00</t>
  </si>
  <si>
    <t>13/11/2024 11:15</t>
  </si>
  <si>
    <t>13/11/2024 11:30</t>
  </si>
  <si>
    <t>13/11/2024 11:45</t>
  </si>
  <si>
    <t>13/11/2024 12:00</t>
  </si>
  <si>
    <t>13/11/2024 12:15</t>
  </si>
  <si>
    <t>13/11/2024 12:30</t>
  </si>
  <si>
    <t>13/11/2024 12:45</t>
  </si>
  <si>
    <t>13/11/2024 13:00</t>
  </si>
  <si>
    <t>13/11/2024 13:15</t>
  </si>
  <si>
    <t>13/11/2024 13:30</t>
  </si>
  <si>
    <t>13/11/2024 13:45</t>
  </si>
  <si>
    <t>13/11/2024 14:00</t>
  </si>
  <si>
    <t>13/11/2024 14:15</t>
  </si>
  <si>
    <t>13/11/2024 14:30</t>
  </si>
  <si>
    <t>13/11/2024 14:45</t>
  </si>
  <si>
    <t>13/11/2024 15:00</t>
  </si>
  <si>
    <t>13/11/2024 15:15</t>
  </si>
  <si>
    <t>13/11/2024 15:30</t>
  </si>
  <si>
    <t>13/11/2024 15:45</t>
  </si>
  <si>
    <t>13/11/2024 16:00</t>
  </si>
  <si>
    <t>13/11/2024 16:15</t>
  </si>
  <si>
    <t>13/11/2024 16:30</t>
  </si>
  <si>
    <t>13/11/2024 16:45</t>
  </si>
  <si>
    <t>13/11/2024 17:00</t>
  </si>
  <si>
    <t>13/11/2024 17:15</t>
  </si>
  <si>
    <t>13/11/2024 17:30</t>
  </si>
  <si>
    <t>13/11/2024 17:45</t>
  </si>
  <si>
    <t>13/11/2024 18:00</t>
  </si>
  <si>
    <t>13/11/2024 18:15</t>
  </si>
  <si>
    <t>13/11/2024 18:30</t>
  </si>
  <si>
    <t>13/11/2024 18:45</t>
  </si>
  <si>
    <t>13/11/2024 19:00</t>
  </si>
  <si>
    <t>13/11/2024 19:15</t>
  </si>
  <si>
    <t>13/11/2024 19:30</t>
  </si>
  <si>
    <t>13/11/2024 19:45</t>
  </si>
  <si>
    <t>13/11/2024 20:00</t>
  </si>
  <si>
    <t>13/11/2024 20:15</t>
  </si>
  <si>
    <t>13/11/2024 20:30</t>
  </si>
  <si>
    <t>13/11/2024 20:45</t>
  </si>
  <si>
    <t>13/11/2024 21:00</t>
  </si>
  <si>
    <t>13/11/2024 21:15</t>
  </si>
  <si>
    <t>13/11/2024 21:30</t>
  </si>
  <si>
    <t>13/11/2024 21:45</t>
  </si>
  <si>
    <t>13/11/2024 22:00</t>
  </si>
  <si>
    <t>13/11/2024 22:15</t>
  </si>
  <si>
    <t>13/11/2024 22:30</t>
  </si>
  <si>
    <t>13/11/2024 22:45</t>
  </si>
  <si>
    <t>13/11/2024 23:00</t>
  </si>
  <si>
    <t>13/11/2024 23:15</t>
  </si>
  <si>
    <t>13/11/2024 23:30</t>
  </si>
  <si>
    <t>13/11/2024 23:45</t>
  </si>
  <si>
    <t>13/11/2024 24:00</t>
  </si>
  <si>
    <t>14/11/2024 00:15</t>
  </si>
  <si>
    <t>14/11/2024 00:30</t>
  </si>
  <si>
    <t>14/11/2024 00:45</t>
  </si>
  <si>
    <t>14/11/2024 01:00</t>
  </si>
  <si>
    <t>14/11/2024 01:15</t>
  </si>
  <si>
    <t>14/11/2024 01:30</t>
  </si>
  <si>
    <t>14/11/2024 01:45</t>
  </si>
  <si>
    <t>14/11/2024 02:00</t>
  </si>
  <si>
    <t>14/11/2024 02:15</t>
  </si>
  <si>
    <t>14/11/2024 02:30</t>
  </si>
  <si>
    <t>14/11/2024 02:45</t>
  </si>
  <si>
    <t>14/11/2024 03:00</t>
  </si>
  <si>
    <t>14/11/2024 03:15</t>
  </si>
  <si>
    <t>14/11/2024 03:30</t>
  </si>
  <si>
    <t>14/11/2024 03:45</t>
  </si>
  <si>
    <t>14/11/2024 04:00</t>
  </si>
  <si>
    <t>14/11/2024 04:15</t>
  </si>
  <si>
    <t>14/11/2024 04:30</t>
  </si>
  <si>
    <t>14/11/2024 04:45</t>
  </si>
  <si>
    <t>14/11/2024 05:00</t>
  </si>
  <si>
    <t>14/11/2024 05:15</t>
  </si>
  <si>
    <t>14/11/2024 05:30</t>
  </si>
  <si>
    <t>14/11/2024 05:45</t>
  </si>
  <si>
    <t>14/11/2024 06:00</t>
  </si>
  <si>
    <t>14/11/2024 06:15</t>
  </si>
  <si>
    <t>14/11/2024 06:30</t>
  </si>
  <si>
    <t>14/11/2024 06:45</t>
  </si>
  <si>
    <t>14/11/2024 07:00</t>
  </si>
  <si>
    <t>14/11/2024 07:15</t>
  </si>
  <si>
    <t>14/11/2024 07:30</t>
  </si>
  <si>
    <t>14/11/2024 07:45</t>
  </si>
  <si>
    <t>14/11/2024 08:00</t>
  </si>
  <si>
    <t>14/11/2024 08:15</t>
  </si>
  <si>
    <t>14/11/2024 08:30</t>
  </si>
  <si>
    <t>14/11/2024 08:45</t>
  </si>
  <si>
    <t>14/11/2024 09:00</t>
  </si>
  <si>
    <t>14/11/2024 09:15</t>
  </si>
  <si>
    <t>14/11/2024 09:30</t>
  </si>
  <si>
    <t>14/11/2024 09:45</t>
  </si>
  <si>
    <t>14/11/2024 10:00</t>
  </si>
  <si>
    <t>14/11/2024 10:15</t>
  </si>
  <si>
    <t>14/11/2024 10:30</t>
  </si>
  <si>
    <t>14/11/2024 10:45</t>
  </si>
  <si>
    <t>14/11/2024 11:00</t>
  </si>
  <si>
    <t>14/11/2024 11:15</t>
  </si>
  <si>
    <t>14/11/2024 11:30</t>
  </si>
  <si>
    <t>14/11/2024 11:45</t>
  </si>
  <si>
    <t>14/11/2024 12:00</t>
  </si>
  <si>
    <t>14/11/2024 12:15</t>
  </si>
  <si>
    <t>14/11/2024 12:30</t>
  </si>
  <si>
    <t>14/11/2024 12:45</t>
  </si>
  <si>
    <t>14/11/2024 13:00</t>
  </si>
  <si>
    <t>14/11/2024 13:15</t>
  </si>
  <si>
    <t>14/11/2024 13:30</t>
  </si>
  <si>
    <t>14/11/2024 13:45</t>
  </si>
  <si>
    <t>14/11/2024 14:00</t>
  </si>
  <si>
    <t>14/11/2024 14:15</t>
  </si>
  <si>
    <t>14/11/2024 14:30</t>
  </si>
  <si>
    <t>14/11/2024 14:45</t>
  </si>
  <si>
    <t>14/11/2024 15:00</t>
  </si>
  <si>
    <t>14/11/2024 15:15</t>
  </si>
  <si>
    <t>14/11/2024 15:30</t>
  </si>
  <si>
    <t>14/11/2024 15:45</t>
  </si>
  <si>
    <t>14/11/2024 16:00</t>
  </si>
  <si>
    <t>14/11/2024 16:15</t>
  </si>
  <si>
    <t>14/11/2024 16:30</t>
  </si>
  <si>
    <t>14/11/2024 16:45</t>
  </si>
  <si>
    <t>14/11/2024 17:00</t>
  </si>
  <si>
    <t>14/11/2024 17:15</t>
  </si>
  <si>
    <t>14/11/2024 17:30</t>
  </si>
  <si>
    <t>14/11/2024 17:45</t>
  </si>
  <si>
    <t>14/11/2024 18:00</t>
  </si>
  <si>
    <t>14/11/2024 18:15</t>
  </si>
  <si>
    <t>14/11/2024 18:30</t>
  </si>
  <si>
    <t>14/11/2024 18:45</t>
  </si>
  <si>
    <t>14/11/2024 19:00</t>
  </si>
  <si>
    <t>14/11/2024 19:15</t>
  </si>
  <si>
    <t>14/11/2024 19:30</t>
  </si>
  <si>
    <t>14/11/2024 19:45</t>
  </si>
  <si>
    <t>14/11/2024 20:00</t>
  </si>
  <si>
    <t>14/11/2024 20:15</t>
  </si>
  <si>
    <t>14/11/2024 20:30</t>
  </si>
  <si>
    <t>14/11/2024 20:45</t>
  </si>
  <si>
    <t>14/11/2024 21:00</t>
  </si>
  <si>
    <t>14/11/2024 21:15</t>
  </si>
  <si>
    <t>14/11/2024 21:30</t>
  </si>
  <si>
    <t>14/11/2024 21:45</t>
  </si>
  <si>
    <t>14/11/2024 22:00</t>
  </si>
  <si>
    <t>14/11/2024 22:15</t>
  </si>
  <si>
    <t>14/11/2024 22:30</t>
  </si>
  <si>
    <t>14/11/2024 22:45</t>
  </si>
  <si>
    <t>14/11/2024 23:00</t>
  </si>
  <si>
    <t>14/11/2024 23:15</t>
  </si>
  <si>
    <t>14/11/2024 23:30</t>
  </si>
  <si>
    <t>14/11/2024 23:45</t>
  </si>
  <si>
    <t>14/11/2024 24:00</t>
  </si>
  <si>
    <t>15/11/2024 00:15</t>
  </si>
  <si>
    <t>15/11/2024 00:30</t>
  </si>
  <si>
    <t>15/11/2024 00:45</t>
  </si>
  <si>
    <t>15/11/2024 01:00</t>
  </si>
  <si>
    <t>15/11/2024 01:15</t>
  </si>
  <si>
    <t>15/11/2024 01:30</t>
  </si>
  <si>
    <t>15/11/2024 01:45</t>
  </si>
  <si>
    <t>15/11/2024 02:00</t>
  </si>
  <si>
    <t>15/11/2024 02:15</t>
  </si>
  <si>
    <t>15/11/2024 02:30</t>
  </si>
  <si>
    <t>15/11/2024 02:45</t>
  </si>
  <si>
    <t>15/11/2024 03:00</t>
  </si>
  <si>
    <t>15/11/2024 03:15</t>
  </si>
  <si>
    <t>15/11/2024 03:30</t>
  </si>
  <si>
    <t>15/11/2024 03:45</t>
  </si>
  <si>
    <t>15/11/2024 04:00</t>
  </si>
  <si>
    <t>15/11/2024 04:15</t>
  </si>
  <si>
    <t>15/11/2024 04:30</t>
  </si>
  <si>
    <t>15/11/2024 04:45</t>
  </si>
  <si>
    <t>15/11/2024 05:00</t>
  </si>
  <si>
    <t>15/11/2024 05:15</t>
  </si>
  <si>
    <t>15/11/2024 05:30</t>
  </si>
  <si>
    <t>15/11/2024 05:45</t>
  </si>
  <si>
    <t>15/11/2024 06:00</t>
  </si>
  <si>
    <t>15/11/2024 06:15</t>
  </si>
  <si>
    <t>15/11/2024 06:30</t>
  </si>
  <si>
    <t>15/11/2024 06:45</t>
  </si>
  <si>
    <t>15/11/2024 07:00</t>
  </si>
  <si>
    <t>15/11/2024 07:15</t>
  </si>
  <si>
    <t>15/11/2024 07:30</t>
  </si>
  <si>
    <t>15/11/2024 07:45</t>
  </si>
  <si>
    <t>15/11/2024 08:00</t>
  </si>
  <si>
    <t>15/11/2024 08:15</t>
  </si>
  <si>
    <t>15/11/2024 08:30</t>
  </si>
  <si>
    <t>15/11/2024 08:45</t>
  </si>
  <si>
    <t>15/11/2024 09:00</t>
  </si>
  <si>
    <t>15/11/2024 09:15</t>
  </si>
  <si>
    <t>15/11/2024 09:30</t>
  </si>
  <si>
    <t>15/11/2024 09:45</t>
  </si>
  <si>
    <t>15/11/2024 10:00</t>
  </si>
  <si>
    <t>15/11/2024 10:15</t>
  </si>
  <si>
    <t>15/11/2024 10:30</t>
  </si>
  <si>
    <t>15/11/2024 10:45</t>
  </si>
  <si>
    <t>15/11/2024 11:00</t>
  </si>
  <si>
    <t>15/11/2024 11:15</t>
  </si>
  <si>
    <t>15/11/2024 11:30</t>
  </si>
  <si>
    <t>15/11/2024 11:45</t>
  </si>
  <si>
    <t>15/11/2024 12:00</t>
  </si>
  <si>
    <t>15/11/2024 12:15</t>
  </si>
  <si>
    <t>15/11/2024 12:30</t>
  </si>
  <si>
    <t>15/11/2024 12:45</t>
  </si>
  <si>
    <t>15/11/2024 13:00</t>
  </si>
  <si>
    <t>15/11/2024 13:15</t>
  </si>
  <si>
    <t>15/11/2024 13:30</t>
  </si>
  <si>
    <t>15/11/2024 13:45</t>
  </si>
  <si>
    <t>15/11/2024 14:00</t>
  </si>
  <si>
    <t>15/11/2024 14:15</t>
  </si>
  <si>
    <t>15/11/2024 14:30</t>
  </si>
  <si>
    <t>15/11/2024 14:45</t>
  </si>
  <si>
    <t>15/11/2024 15:00</t>
  </si>
  <si>
    <t>15/11/2024 15:15</t>
  </si>
  <si>
    <t>15/11/2024 15:30</t>
  </si>
  <si>
    <t>15/11/2024 15:45</t>
  </si>
  <si>
    <t>15/11/2024 16:00</t>
  </si>
  <si>
    <t>15/11/2024 16:15</t>
  </si>
  <si>
    <t>15/11/2024 16:30</t>
  </si>
  <si>
    <t>15/11/2024 16:45</t>
  </si>
  <si>
    <t>15/11/2024 17:00</t>
  </si>
  <si>
    <t>15/11/2024 17:15</t>
  </si>
  <si>
    <t>15/11/2024 17:30</t>
  </si>
  <si>
    <t>15/11/2024 17:45</t>
  </si>
  <si>
    <t>15/11/2024 18:00</t>
  </si>
  <si>
    <t>15/11/2024 18:15</t>
  </si>
  <si>
    <t>15/11/2024 18:30</t>
  </si>
  <si>
    <t>15/11/2024 18:45</t>
  </si>
  <si>
    <t>15/11/2024 19:00</t>
  </si>
  <si>
    <t>15/11/2024 19:15</t>
  </si>
  <si>
    <t>15/11/2024 19:30</t>
  </si>
  <si>
    <t>15/11/2024 19:45</t>
  </si>
  <si>
    <t>15/11/2024 20:00</t>
  </si>
  <si>
    <t>15/11/2024 20:15</t>
  </si>
  <si>
    <t>15/11/2024 20:30</t>
  </si>
  <si>
    <t>15/11/2024 20:45</t>
  </si>
  <si>
    <t>15/11/2024 21:00</t>
  </si>
  <si>
    <t>15/11/2024 21:15</t>
  </si>
  <si>
    <t>15/11/2024 21:30</t>
  </si>
  <si>
    <t>15/11/2024 21:45</t>
  </si>
  <si>
    <t>15/11/2024 22:00</t>
  </si>
  <si>
    <t>15/11/2024 22:15</t>
  </si>
  <si>
    <t>15/11/2024 22:30</t>
  </si>
  <si>
    <t>15/11/2024 22:45</t>
  </si>
  <si>
    <t>15/11/2024 23:00</t>
  </si>
  <si>
    <t>15/11/2024 23:15</t>
  </si>
  <si>
    <t>15/11/2024 23:30</t>
  </si>
  <si>
    <t>15/11/2024 23:45</t>
  </si>
  <si>
    <t>15/11/2024 24:00</t>
  </si>
  <si>
    <t>16/11/2024 00:15</t>
  </si>
  <si>
    <t>16/11/2024 00:30</t>
  </si>
  <si>
    <t>16/11/2024 00:45</t>
  </si>
  <si>
    <t>16/11/2024 01:00</t>
  </si>
  <si>
    <t>16/11/2024 01:15</t>
  </si>
  <si>
    <t>16/11/2024 01:30</t>
  </si>
  <si>
    <t>16/11/2024 01:45</t>
  </si>
  <si>
    <t>16/11/2024 02:00</t>
  </si>
  <si>
    <t>16/11/2024 02:15</t>
  </si>
  <si>
    <t>16/11/2024 02:30</t>
  </si>
  <si>
    <t>16/11/2024 02:45</t>
  </si>
  <si>
    <t>16/11/2024 03:00</t>
  </si>
  <si>
    <t>16/11/2024 03:15</t>
  </si>
  <si>
    <t>16/11/2024 03:30</t>
  </si>
  <si>
    <t>16/11/2024 03:45</t>
  </si>
  <si>
    <t>16/11/2024 04:00</t>
  </si>
  <si>
    <t>16/11/2024 04:15</t>
  </si>
  <si>
    <t>16/11/2024 04:30</t>
  </si>
  <si>
    <t>16/11/2024 04:45</t>
  </si>
  <si>
    <t>16/11/2024 05:00</t>
  </si>
  <si>
    <t>16/11/2024 05:15</t>
  </si>
  <si>
    <t>16/11/2024 05:30</t>
  </si>
  <si>
    <t>16/11/2024 05:45</t>
  </si>
  <si>
    <t>16/11/2024 06:00</t>
  </si>
  <si>
    <t>16/11/2024 06:15</t>
  </si>
  <si>
    <t>16/11/2024 06:30</t>
  </si>
  <si>
    <t>16/11/2024 06:45</t>
  </si>
  <si>
    <t>16/11/2024 07:00</t>
  </si>
  <si>
    <t>16/11/2024 07:15</t>
  </si>
  <si>
    <t>16/11/2024 07:30</t>
  </si>
  <si>
    <t>16/11/2024 07:45</t>
  </si>
  <si>
    <t>16/11/2024 08:00</t>
  </si>
  <si>
    <t>16/11/2024 08:15</t>
  </si>
  <si>
    <t>16/11/2024 08:30</t>
  </si>
  <si>
    <t>16/11/2024 08:45</t>
  </si>
  <si>
    <t>16/11/2024 09:00</t>
  </si>
  <si>
    <t>16/11/2024 09:15</t>
  </si>
  <si>
    <t>16/11/2024 09:30</t>
  </si>
  <si>
    <t>16/11/2024 09:45</t>
  </si>
  <si>
    <t>16/11/2024 10:00</t>
  </si>
  <si>
    <t>16/11/2024 10:15</t>
  </si>
  <si>
    <t>16/11/2024 10:30</t>
  </si>
  <si>
    <t>16/11/2024 10:45</t>
  </si>
  <si>
    <t>16/11/2024 11:00</t>
  </si>
  <si>
    <t>16/11/2024 11:15</t>
  </si>
  <si>
    <t>16/11/2024 11:30</t>
  </si>
  <si>
    <t>16/11/2024 11:45</t>
  </si>
  <si>
    <t>16/11/2024 12:00</t>
  </si>
  <si>
    <t>16/11/2024 12:15</t>
  </si>
  <si>
    <t>16/11/2024 12:30</t>
  </si>
  <si>
    <t>16/11/2024 12:45</t>
  </si>
  <si>
    <t>16/11/2024 13:00</t>
  </si>
  <si>
    <t>16/11/2024 13:15</t>
  </si>
  <si>
    <t>16/11/2024 13:30</t>
  </si>
  <si>
    <t>16/11/2024 13:45</t>
  </si>
  <si>
    <t>16/11/2024 14:00</t>
  </si>
  <si>
    <t>16/11/2024 14:15</t>
  </si>
  <si>
    <t>16/11/2024 14:30</t>
  </si>
  <si>
    <t>16/11/2024 14:45</t>
  </si>
  <si>
    <t>16/11/2024 15:00</t>
  </si>
  <si>
    <t>16/11/2024 15:15</t>
  </si>
  <si>
    <t>16/11/2024 15:30</t>
  </si>
  <si>
    <t>16/11/2024 15:45</t>
  </si>
  <si>
    <t>16/11/2024 16:00</t>
  </si>
  <si>
    <t>16/11/2024 16:15</t>
  </si>
  <si>
    <t>16/11/2024 16:30</t>
  </si>
  <si>
    <t>16/11/2024 16:45</t>
  </si>
  <si>
    <t>16/11/2024 17:00</t>
  </si>
  <si>
    <t>16/11/2024 17:15</t>
  </si>
  <si>
    <t>16/11/2024 17:30</t>
  </si>
  <si>
    <t>16/11/2024 17:45</t>
  </si>
  <si>
    <t>16/11/2024 18:00</t>
  </si>
  <si>
    <t>16/11/2024 18:15</t>
  </si>
  <si>
    <t>16/11/2024 18:30</t>
  </si>
  <si>
    <t>16/11/2024 18:45</t>
  </si>
  <si>
    <t>16/11/2024 19:00</t>
  </si>
  <si>
    <t>16/11/2024 19:15</t>
  </si>
  <si>
    <t>16/11/2024 19:30</t>
  </si>
  <si>
    <t>16/11/2024 19:45</t>
  </si>
  <si>
    <t>16/11/2024 20:00</t>
  </si>
  <si>
    <t>16/11/2024 20:15</t>
  </si>
  <si>
    <t>16/11/2024 20:30</t>
  </si>
  <si>
    <t>16/11/2024 20:45</t>
  </si>
  <si>
    <t>16/11/2024 21:00</t>
  </si>
  <si>
    <t>16/11/2024 21:15</t>
  </si>
  <si>
    <t>16/11/2024 21:30</t>
  </si>
  <si>
    <t>16/11/2024 21:45</t>
  </si>
  <si>
    <t>16/11/2024 22:00</t>
  </si>
  <si>
    <t>16/11/2024 22:15</t>
  </si>
  <si>
    <t>16/11/2024 22:30</t>
  </si>
  <si>
    <t>16/11/2024 22:45</t>
  </si>
  <si>
    <t>16/11/2024 23:00</t>
  </si>
  <si>
    <t>16/11/2024 23:15</t>
  </si>
  <si>
    <t>16/11/2024 23:30</t>
  </si>
  <si>
    <t>16/11/2024 23:45</t>
  </si>
  <si>
    <t>16/11/2024 24:00</t>
  </si>
  <si>
    <t>17/11/2024 00:15</t>
  </si>
  <si>
    <t>17/11/2024 00:30</t>
  </si>
  <si>
    <t>17/11/2024 00:45</t>
  </si>
  <si>
    <t>17/11/2024 01:00</t>
  </si>
  <si>
    <t>17/11/2024 01:15</t>
  </si>
  <si>
    <t>17/11/2024 01:30</t>
  </si>
  <si>
    <t>17/11/2024 01:45</t>
  </si>
  <si>
    <t>17/11/2024 02:00</t>
  </si>
  <si>
    <t>17/11/2024 02:15</t>
  </si>
  <si>
    <t>17/11/2024 02:30</t>
  </si>
  <si>
    <t>17/11/2024 02:45</t>
  </si>
  <si>
    <t>17/11/2024 03:00</t>
  </si>
  <si>
    <t>17/11/2024 03:15</t>
  </si>
  <si>
    <t>17/11/2024 03:30</t>
  </si>
  <si>
    <t>17/11/2024 03:45</t>
  </si>
  <si>
    <t>17/11/2024 04:00</t>
  </si>
  <si>
    <t>17/11/2024 04:15</t>
  </si>
  <si>
    <t>17/11/2024 04:30</t>
  </si>
  <si>
    <t>17/11/2024 04:45</t>
  </si>
  <si>
    <t>17/11/2024 05:00</t>
  </si>
  <si>
    <t>17/11/2024 05:15</t>
  </si>
  <si>
    <t>17/11/2024 05:30</t>
  </si>
  <si>
    <t>17/11/2024 05:45</t>
  </si>
  <si>
    <t>17/11/2024 06:00</t>
  </si>
  <si>
    <t>17/11/2024 06:15</t>
  </si>
  <si>
    <t>17/11/2024 06:30</t>
  </si>
  <si>
    <t>17/11/2024 06:45</t>
  </si>
  <si>
    <t>17/11/2024 07:00</t>
  </si>
  <si>
    <t>17/11/2024 07:15</t>
  </si>
  <si>
    <t>17/11/2024 07:30</t>
  </si>
  <si>
    <t>17/11/2024 07:45</t>
  </si>
  <si>
    <t>17/11/2024 08:00</t>
  </si>
  <si>
    <t>17/11/2024 08:15</t>
  </si>
  <si>
    <t>17/11/2024 08:30</t>
  </si>
  <si>
    <t>17/11/2024 08:45</t>
  </si>
  <si>
    <t>17/11/2024 09:00</t>
  </si>
  <si>
    <t>17/11/2024 09:15</t>
  </si>
  <si>
    <t>17/11/2024 09:30</t>
  </si>
  <si>
    <t>17/11/2024 09:45</t>
  </si>
  <si>
    <t>17/11/2024 10:00</t>
  </si>
  <si>
    <t>17/11/2024 10:15</t>
  </si>
  <si>
    <t>17/11/2024 10:30</t>
  </si>
  <si>
    <t>17/11/2024 10:45</t>
  </si>
  <si>
    <t>17/11/2024 11:00</t>
  </si>
  <si>
    <t>17/11/2024 11:15</t>
  </si>
  <si>
    <t>17/11/2024 11:30</t>
  </si>
  <si>
    <t>17/11/2024 11:45</t>
  </si>
  <si>
    <t>17/11/2024 12:00</t>
  </si>
  <si>
    <t>17/11/2024 12:15</t>
  </si>
  <si>
    <t>17/11/2024 12:30</t>
  </si>
  <si>
    <t>17/11/2024 12:45</t>
  </si>
  <si>
    <t>17/11/2024 13:00</t>
  </si>
  <si>
    <t>17/11/2024 13:15</t>
  </si>
  <si>
    <t>17/11/2024 13:30</t>
  </si>
  <si>
    <t>17/11/2024 13:45</t>
  </si>
  <si>
    <t>17/11/2024 14:00</t>
  </si>
  <si>
    <t>17/11/2024 14:15</t>
  </si>
  <si>
    <t>17/11/2024 14:30</t>
  </si>
  <si>
    <t>17/11/2024 14:45</t>
  </si>
  <si>
    <t>17/11/2024 15:00</t>
  </si>
  <si>
    <t>17/11/2024 15:15</t>
  </si>
  <si>
    <t>17/11/2024 15:30</t>
  </si>
  <si>
    <t>17/11/2024 15:45</t>
  </si>
  <si>
    <t>17/11/2024 16:00</t>
  </si>
  <si>
    <t>17/11/2024 16:15</t>
  </si>
  <si>
    <t>17/11/2024 16:30</t>
  </si>
  <si>
    <t>17/11/2024 16:45</t>
  </si>
  <si>
    <t>17/11/2024 17:00</t>
  </si>
  <si>
    <t>17/11/2024 17:15</t>
  </si>
  <si>
    <t>17/11/2024 17:30</t>
  </si>
  <si>
    <t>17/11/2024 17:45</t>
  </si>
  <si>
    <t>17/11/2024 18:00</t>
  </si>
  <si>
    <t>17/11/2024 18:15</t>
  </si>
  <si>
    <t>17/11/2024 18:30</t>
  </si>
  <si>
    <t>17/11/2024 18:45</t>
  </si>
  <si>
    <t>17/11/2024 19:00</t>
  </si>
  <si>
    <t>17/11/2024 19:15</t>
  </si>
  <si>
    <t>17/11/2024 19:30</t>
  </si>
  <si>
    <t>17/11/2024 19:45</t>
  </si>
  <si>
    <t>17/11/2024 20:00</t>
  </si>
  <si>
    <t>17/11/2024 20:15</t>
  </si>
  <si>
    <t>17/11/2024 20:30</t>
  </si>
  <si>
    <t>17/11/2024 20:45</t>
  </si>
  <si>
    <t>17/11/2024 21:00</t>
  </si>
  <si>
    <t>17/11/2024 21:15</t>
  </si>
  <si>
    <t>17/11/2024 21:30</t>
  </si>
  <si>
    <t>17/11/2024 21:45</t>
  </si>
  <si>
    <t>17/11/2024 22:00</t>
  </si>
  <si>
    <t>17/11/2024 22:15</t>
  </si>
  <si>
    <t>17/11/2024 22:30</t>
  </si>
  <si>
    <t>17/11/2024 22:45</t>
  </si>
  <si>
    <t>17/11/2024 23:00</t>
  </si>
  <si>
    <t>17/11/2024 23:15</t>
  </si>
  <si>
    <t>17/11/2024 23:30</t>
  </si>
  <si>
    <t>17/11/2024 23:45</t>
  </si>
  <si>
    <t>17/11/2024 24:00</t>
  </si>
  <si>
    <t>01/11/2024 - 30/11/2024</t>
  </si>
  <si>
    <t>akash</t>
  </si>
  <si>
    <t>18/11/2024 00:15</t>
  </si>
  <si>
    <t>18/11/2024 00:30</t>
  </si>
  <si>
    <t>18/11/2024 00:45</t>
  </si>
  <si>
    <t>18/11/2024 01:00</t>
  </si>
  <si>
    <t>18/11/2024 01:15</t>
  </si>
  <si>
    <t>18/11/2024 01:30</t>
  </si>
  <si>
    <t>18/11/2024 01:45</t>
  </si>
  <si>
    <t>18/11/2024 02:00</t>
  </si>
  <si>
    <t>18/11/2024 02:15</t>
  </si>
  <si>
    <t>18/11/2024 02:30</t>
  </si>
  <si>
    <t>18/11/2024 02:45</t>
  </si>
  <si>
    <t>18/11/2024 03:00</t>
  </si>
  <si>
    <t>18/11/2024 03:15</t>
  </si>
  <si>
    <t>18/11/2024 03:30</t>
  </si>
  <si>
    <t>18/11/2024 03:45</t>
  </si>
  <si>
    <t>18/11/2024 04:00</t>
  </si>
  <si>
    <t>18/11/2024 04:15</t>
  </si>
  <si>
    <t>18/11/2024 04:30</t>
  </si>
  <si>
    <t>18/11/2024 04:45</t>
  </si>
  <si>
    <t>18/11/2024 05:00</t>
  </si>
  <si>
    <t>18/11/2024 05:15</t>
  </si>
  <si>
    <t>18/11/2024 05:30</t>
  </si>
  <si>
    <t>18/11/2024 05:45</t>
  </si>
  <si>
    <t>18/11/2024 06:00</t>
  </si>
  <si>
    <t>18/11/2024 06:15</t>
  </si>
  <si>
    <t>18/11/2024 06:30</t>
  </si>
  <si>
    <t>18/11/2024 06:45</t>
  </si>
  <si>
    <t>18/11/2024 07:00</t>
  </si>
  <si>
    <t>18/11/2024 07:15</t>
  </si>
  <si>
    <t>18/11/2024 07:30</t>
  </si>
  <si>
    <t>18/11/2024 07:45</t>
  </si>
  <si>
    <t>18/11/2024 08:00</t>
  </si>
  <si>
    <t>18/11/2024 08:15</t>
  </si>
  <si>
    <t>18/11/2024 08:30</t>
  </si>
  <si>
    <t>18/11/2024 08:45</t>
  </si>
  <si>
    <t>18/11/2024 09:00</t>
  </si>
  <si>
    <t>18/11/2024 09:15</t>
  </si>
  <si>
    <t>18/11/2024 09:30</t>
  </si>
  <si>
    <t>18/11/2024 09:45</t>
  </si>
  <si>
    <t>18/11/2024 10:00</t>
  </si>
  <si>
    <t>18/11/2024 10:15</t>
  </si>
  <si>
    <t>18/11/2024 10:30</t>
  </si>
  <si>
    <t>18/11/2024 10:45</t>
  </si>
  <si>
    <t>18/11/2024 11:00</t>
  </si>
  <si>
    <t>18/11/2024 11:15</t>
  </si>
  <si>
    <t>18/11/2024 11:30</t>
  </si>
  <si>
    <t>18/11/2024 11:45</t>
  </si>
  <si>
    <t>18/11/2024 12:00</t>
  </si>
  <si>
    <t>18/11/2024 12:15</t>
  </si>
  <si>
    <t>18/11/2024 12:30</t>
  </si>
  <si>
    <t>18/11/2024 12:45</t>
  </si>
  <si>
    <t>18/11/2024 13:00</t>
  </si>
  <si>
    <t>18/11/2024 13:15</t>
  </si>
  <si>
    <t>18/11/2024 13:30</t>
  </si>
  <si>
    <t>18/11/2024 13:45</t>
  </si>
  <si>
    <t>18/11/2024 14:00</t>
  </si>
  <si>
    <t>18/11/2024 14:15</t>
  </si>
  <si>
    <t>18/11/2024 14:30</t>
  </si>
  <si>
    <t>18/11/2024 14:45</t>
  </si>
  <si>
    <t>18/11/2024 15:00</t>
  </si>
  <si>
    <t>18/11/2024 15:15</t>
  </si>
  <si>
    <t>18/11/2024 15:30</t>
  </si>
  <si>
    <t>18/11/2024 15:45</t>
  </si>
  <si>
    <t>18/11/2024 16:00</t>
  </si>
  <si>
    <t>18/11/2024 16:15</t>
  </si>
  <si>
    <t>18/11/2024 16:30</t>
  </si>
  <si>
    <t>18/11/2024 16:45</t>
  </si>
  <si>
    <t>18/11/2024 17:00</t>
  </si>
  <si>
    <t>18/11/2024 17:15</t>
  </si>
  <si>
    <t>18/11/2024 17:30</t>
  </si>
  <si>
    <t>18/11/2024 17:45</t>
  </si>
  <si>
    <t>18/11/2024 18:00</t>
  </si>
  <si>
    <t>18/11/2024 18:15</t>
  </si>
  <si>
    <t>18/11/2024 18:30</t>
  </si>
  <si>
    <t>18/11/2024 18:45</t>
  </si>
  <si>
    <t>18/11/2024 19:00</t>
  </si>
  <si>
    <t>18/11/2024 19:15</t>
  </si>
  <si>
    <t>18/11/2024 19:30</t>
  </si>
  <si>
    <t>18/11/2024 19:45</t>
  </si>
  <si>
    <t>18/11/2024 20:00</t>
  </si>
  <si>
    <t>18/11/2024 20:15</t>
  </si>
  <si>
    <t>18/11/2024 20:30</t>
  </si>
  <si>
    <t>18/11/2024 20:45</t>
  </si>
  <si>
    <t>18/11/2024 21:00</t>
  </si>
  <si>
    <t>18/11/2024 21:15</t>
  </si>
  <si>
    <t>18/11/2024 21:30</t>
  </si>
  <si>
    <t>18/11/2024 21:45</t>
  </si>
  <si>
    <t>18/11/2024 22:00</t>
  </si>
  <si>
    <t>18/11/2024 22:15</t>
  </si>
  <si>
    <t>18/11/2024 22:30</t>
  </si>
  <si>
    <t>18/11/2024 22:45</t>
  </si>
  <si>
    <t>18/11/2024 23:00</t>
  </si>
  <si>
    <t>18/11/2024 23:15</t>
  </si>
  <si>
    <t>18/11/2024 23:30</t>
  </si>
  <si>
    <t>18/11/2024 23:45</t>
  </si>
  <si>
    <t>18/11/2024 24:00</t>
  </si>
  <si>
    <t>19/11/2024 00:15</t>
  </si>
  <si>
    <t>19/11/2024 00:30</t>
  </si>
  <si>
    <t>19/11/2024 00:45</t>
  </si>
  <si>
    <t>19/11/2024 01:00</t>
  </si>
  <si>
    <t>19/11/2024 01:15</t>
  </si>
  <si>
    <t>19/11/2024 01:30</t>
  </si>
  <si>
    <t>19/11/2024 01:45</t>
  </si>
  <si>
    <t>19/11/2024 02:00</t>
  </si>
  <si>
    <t>19/11/2024 02:15</t>
  </si>
  <si>
    <t>19/11/2024 02:30</t>
  </si>
  <si>
    <t>19/11/2024 02:45</t>
  </si>
  <si>
    <t>19/11/2024 03:00</t>
  </si>
  <si>
    <t>19/11/2024 03:15</t>
  </si>
  <si>
    <t>19/11/2024 03:30</t>
  </si>
  <si>
    <t>19/11/2024 03:45</t>
  </si>
  <si>
    <t>19/11/2024 04:00</t>
  </si>
  <si>
    <t>19/11/2024 04:15</t>
  </si>
  <si>
    <t>19/11/2024 04:30</t>
  </si>
  <si>
    <t>19/11/2024 04:45</t>
  </si>
  <si>
    <t>19/11/2024 05:00</t>
  </si>
  <si>
    <t>19/11/2024 05:15</t>
  </si>
  <si>
    <t>19/11/2024 05:30</t>
  </si>
  <si>
    <t>19/11/2024 05:45</t>
  </si>
  <si>
    <t>19/11/2024 06:00</t>
  </si>
  <si>
    <t>19/11/2024 06:15</t>
  </si>
  <si>
    <t>19/11/2024 06:30</t>
  </si>
  <si>
    <t>19/11/2024 06:45</t>
  </si>
  <si>
    <t>19/11/2024 07:00</t>
  </si>
  <si>
    <t>19/11/2024 07:15</t>
  </si>
  <si>
    <t>19/11/2024 07:30</t>
  </si>
  <si>
    <t>19/11/2024 07:45</t>
  </si>
  <si>
    <t>19/11/2024 08:00</t>
  </si>
  <si>
    <t>19/11/2024 08:15</t>
  </si>
  <si>
    <t>19/11/2024 08:30</t>
  </si>
  <si>
    <t>19/11/2024 08:45</t>
  </si>
  <si>
    <t>19/11/2024 09:00</t>
  </si>
  <si>
    <t>19/11/2024 09:15</t>
  </si>
  <si>
    <t>19/11/2024 09:30</t>
  </si>
  <si>
    <t>19/11/2024 09:45</t>
  </si>
  <si>
    <t>19/11/2024 10:00</t>
  </si>
  <si>
    <t>19/11/2024 10:15</t>
  </si>
  <si>
    <t>19/11/2024 10:30</t>
  </si>
  <si>
    <t>19/11/2024 10:45</t>
  </si>
  <si>
    <t>19/11/2024 11:00</t>
  </si>
  <si>
    <t>19/11/2024 11:15</t>
  </si>
  <si>
    <t>19/11/2024 11:30</t>
  </si>
  <si>
    <t>19/11/2024 11:45</t>
  </si>
  <si>
    <t>19/11/2024 12:00</t>
  </si>
  <si>
    <t>19/11/2024 12:15</t>
  </si>
  <si>
    <t>19/11/2024 12:30</t>
  </si>
  <si>
    <t>19/11/2024 12:45</t>
  </si>
  <si>
    <t>19/11/2024 13:00</t>
  </si>
  <si>
    <t>19/11/2024 13:15</t>
  </si>
  <si>
    <t>19/11/2024 13:30</t>
  </si>
  <si>
    <t>19/11/2024 13:45</t>
  </si>
  <si>
    <t>19/11/2024 14:00</t>
  </si>
  <si>
    <t>19/11/2024 14:15</t>
  </si>
  <si>
    <t>19/11/2024 14:30</t>
  </si>
  <si>
    <t>19/11/2024 14:45</t>
  </si>
  <si>
    <t>19/11/2024 15:00</t>
  </si>
  <si>
    <t>19/11/2024 15:15</t>
  </si>
  <si>
    <t>19/11/2024 15:30</t>
  </si>
  <si>
    <t>19/11/2024 15:45</t>
  </si>
  <si>
    <t>19/11/2024 16:00</t>
  </si>
  <si>
    <t>19/11/2024 16:15</t>
  </si>
  <si>
    <t>19/11/2024 16:30</t>
  </si>
  <si>
    <t>19/11/2024 16:45</t>
  </si>
  <si>
    <t>19/11/2024 17:00</t>
  </si>
  <si>
    <t>19/11/2024 17:15</t>
  </si>
  <si>
    <t>19/11/2024 17:30</t>
  </si>
  <si>
    <t>19/11/2024 17:45</t>
  </si>
  <si>
    <t>19/11/2024 18:00</t>
  </si>
  <si>
    <t>19/11/2024 18:15</t>
  </si>
  <si>
    <t>19/11/2024 18:30</t>
  </si>
  <si>
    <t>19/11/2024 18:45</t>
  </si>
  <si>
    <t>19/11/2024 19:00</t>
  </si>
  <si>
    <t>19/11/2024 19:15</t>
  </si>
  <si>
    <t>19/11/2024 19:30</t>
  </si>
  <si>
    <t>19/11/2024 19:45</t>
  </si>
  <si>
    <t>19/11/2024 20:00</t>
  </si>
  <si>
    <t>19/11/2024 20:15</t>
  </si>
  <si>
    <t>19/11/2024 20:30</t>
  </si>
  <si>
    <t>19/11/2024 20:45</t>
  </si>
  <si>
    <t>19/11/2024 21:00</t>
  </si>
  <si>
    <t>19/11/2024 21:15</t>
  </si>
  <si>
    <t>19/11/2024 21:30</t>
  </si>
  <si>
    <t>19/11/2024 21:45</t>
  </si>
  <si>
    <t>19/11/2024 22:00</t>
  </si>
  <si>
    <t>19/11/2024 22:15</t>
  </si>
  <si>
    <t>19/11/2024 22:30</t>
  </si>
  <si>
    <t>19/11/2024 22:45</t>
  </si>
  <si>
    <t>19/11/2024 23:00</t>
  </si>
  <si>
    <t>19/11/2024 23:15</t>
  </si>
  <si>
    <t>19/11/2024 23:30</t>
  </si>
  <si>
    <t>19/11/2024 23:45</t>
  </si>
  <si>
    <t>19/11/2024 24:00</t>
  </si>
  <si>
    <t>20/11/2024 00:15</t>
  </si>
  <si>
    <t>20/11/2024 00:30</t>
  </si>
  <si>
    <t>20/11/2024 00:45</t>
  </si>
  <si>
    <t>20/11/2024 01:00</t>
  </si>
  <si>
    <t>20/11/2024 01:15</t>
  </si>
  <si>
    <t>20/11/2024 01:30</t>
  </si>
  <si>
    <t>20/11/2024 01:45</t>
  </si>
  <si>
    <t>20/11/2024 02:00</t>
  </si>
  <si>
    <t>20/11/2024 02:15</t>
  </si>
  <si>
    <t>20/11/2024 02:30</t>
  </si>
  <si>
    <t>20/11/2024 02:45</t>
  </si>
  <si>
    <t>20/11/2024 03:00</t>
  </si>
  <si>
    <t>20/11/2024 03:15</t>
  </si>
  <si>
    <t>20/11/2024 03:30</t>
  </si>
  <si>
    <t>20/11/2024 03:45</t>
  </si>
  <si>
    <t>20/11/2024 04:00</t>
  </si>
  <si>
    <t>20/11/2024 04:15</t>
  </si>
  <si>
    <t>20/11/2024 04:30</t>
  </si>
  <si>
    <t>20/11/2024 04:45</t>
  </si>
  <si>
    <t>20/11/2024 05:00</t>
  </si>
  <si>
    <t>20/11/2024 05:15</t>
  </si>
  <si>
    <t>20/11/2024 05:30</t>
  </si>
  <si>
    <t>20/11/2024 05:45</t>
  </si>
  <si>
    <t>20/11/2024 06:00</t>
  </si>
  <si>
    <t>20/11/2024 06:15</t>
  </si>
  <si>
    <t>20/11/2024 06:30</t>
  </si>
  <si>
    <t>20/11/2024 06:45</t>
  </si>
  <si>
    <t>20/11/2024 07:00</t>
  </si>
  <si>
    <t>20/11/2024 07:15</t>
  </si>
  <si>
    <t>20/11/2024 07:30</t>
  </si>
  <si>
    <t>20/11/2024 07:45</t>
  </si>
  <si>
    <t>20/11/2024 08:00</t>
  </si>
  <si>
    <t>20/11/2024 08:15</t>
  </si>
  <si>
    <t>20/11/2024 08:30</t>
  </si>
  <si>
    <t>20/11/2024 08:45</t>
  </si>
  <si>
    <t>20/11/2024 09:00</t>
  </si>
  <si>
    <t>20/11/2024 09:15</t>
  </si>
  <si>
    <t>20/11/2024 09:30</t>
  </si>
  <si>
    <t>20/11/2024 09:45</t>
  </si>
  <si>
    <t>20/11/2024 10:00</t>
  </si>
  <si>
    <t>20/11/2024 10:15</t>
  </si>
  <si>
    <t>20/11/2024 10:30</t>
  </si>
  <si>
    <t>20/11/2024 10:45</t>
  </si>
  <si>
    <t>20/11/2024 11:00</t>
  </si>
  <si>
    <t>20/11/2024 11:15</t>
  </si>
  <si>
    <t>20/11/2024 11:30</t>
  </si>
  <si>
    <t>20/11/2024 11:45</t>
  </si>
  <si>
    <t>20/11/2024 12:00</t>
  </si>
  <si>
    <t>20/11/2024 12:15</t>
  </si>
  <si>
    <t>20/11/2024 12:30</t>
  </si>
  <si>
    <t>20/11/2024 12:45</t>
  </si>
  <si>
    <t>20/11/2024 13:00</t>
  </si>
  <si>
    <t>20/11/2024 13:15</t>
  </si>
  <si>
    <t>20/11/2024 13:30</t>
  </si>
  <si>
    <t>20/11/2024 13:45</t>
  </si>
  <si>
    <t>20/11/2024 14:00</t>
  </si>
  <si>
    <t>20/11/2024 14:15</t>
  </si>
  <si>
    <t>20/11/2024 14:30</t>
  </si>
  <si>
    <t>20/11/2024 14:45</t>
  </si>
  <si>
    <t>20/11/2024 15:00</t>
  </si>
  <si>
    <t>20/11/2024 15:15</t>
  </si>
  <si>
    <t>20/11/2024 15:30</t>
  </si>
  <si>
    <t>20/11/2024 15:45</t>
  </si>
  <si>
    <t>20/11/2024 16:00</t>
  </si>
  <si>
    <t>20/11/2024 16:15</t>
  </si>
  <si>
    <t>20/11/2024 16:30</t>
  </si>
  <si>
    <t>20/11/2024 16:45</t>
  </si>
  <si>
    <t>20/11/2024 17:00</t>
  </si>
  <si>
    <t>20/11/2024 17:15</t>
  </si>
  <si>
    <t>20/11/2024 17:30</t>
  </si>
  <si>
    <t>20/11/2024 17:45</t>
  </si>
  <si>
    <t>20/11/2024 18:00</t>
  </si>
  <si>
    <t>20/11/2024 18:15</t>
  </si>
  <si>
    <t>20/11/2024 18:30</t>
  </si>
  <si>
    <t>20/11/2024 18:45</t>
  </si>
  <si>
    <t>20/11/2024 19:00</t>
  </si>
  <si>
    <t>20/11/2024 19:15</t>
  </si>
  <si>
    <t>20/11/2024 19:30</t>
  </si>
  <si>
    <t>20/11/2024 19:45</t>
  </si>
  <si>
    <t>20/11/2024 20:00</t>
  </si>
  <si>
    <t>20/11/2024 20:15</t>
  </si>
  <si>
    <t>20/11/2024 20:30</t>
  </si>
  <si>
    <t>20/11/2024 20:45</t>
  </si>
  <si>
    <t>20/11/2024 21:00</t>
  </si>
  <si>
    <t>20/11/2024 21:15</t>
  </si>
  <si>
    <t>20/11/2024 21:30</t>
  </si>
  <si>
    <t>20/11/2024 21:45</t>
  </si>
  <si>
    <t>20/11/2024 22:00</t>
  </si>
  <si>
    <t>20/11/2024 22:15</t>
  </si>
  <si>
    <t>20/11/2024 22:30</t>
  </si>
  <si>
    <t>20/11/2024 22:45</t>
  </si>
  <si>
    <t>20/11/2024 23:00</t>
  </si>
  <si>
    <t>20/11/2024 23:15</t>
  </si>
  <si>
    <t>20/11/2024 23:30</t>
  </si>
  <si>
    <t>20/11/2024 23:45</t>
  </si>
  <si>
    <t>20/11/2024 24:00</t>
  </si>
  <si>
    <t>21/11/2024 00:15</t>
  </si>
  <si>
    <t>21/11/2024 00:30</t>
  </si>
  <si>
    <t>21/11/2024 00:45</t>
  </si>
  <si>
    <t>21/11/2024 01:00</t>
  </si>
  <si>
    <t>21/11/2024 01:15</t>
  </si>
  <si>
    <t>21/11/2024 01:30</t>
  </si>
  <si>
    <t>21/11/2024 01:45</t>
  </si>
  <si>
    <t>21/11/2024 02:00</t>
  </si>
  <si>
    <t>21/11/2024 02:15</t>
  </si>
  <si>
    <t>21/11/2024 02:30</t>
  </si>
  <si>
    <t>21/11/2024 02:45</t>
  </si>
  <si>
    <t>21/11/2024 03:00</t>
  </si>
  <si>
    <t>21/11/2024 03:15</t>
  </si>
  <si>
    <t>21/11/2024 03:30</t>
  </si>
  <si>
    <t>21/11/2024 03:45</t>
  </si>
  <si>
    <t>21/11/2024 04:00</t>
  </si>
  <si>
    <t>21/11/2024 04:15</t>
  </si>
  <si>
    <t>21/11/2024 04:30</t>
  </si>
  <si>
    <t>21/11/2024 04:45</t>
  </si>
  <si>
    <t>21/11/2024 05:00</t>
  </si>
  <si>
    <t>21/11/2024 05:15</t>
  </si>
  <si>
    <t>21/11/2024 05:30</t>
  </si>
  <si>
    <t>21/11/2024 05:45</t>
  </si>
  <si>
    <t>21/11/2024 06:00</t>
  </si>
  <si>
    <t>21/11/2024 06:15</t>
  </si>
  <si>
    <t>21/11/2024 06:30</t>
  </si>
  <si>
    <t>21/11/2024 06:45</t>
  </si>
  <si>
    <t>21/11/2024 07:00</t>
  </si>
  <si>
    <t>21/11/2024 07:15</t>
  </si>
  <si>
    <t>21/11/2024 07:30</t>
  </si>
  <si>
    <t>21/11/2024 07:45</t>
  </si>
  <si>
    <t>21/11/2024 08:00</t>
  </si>
  <si>
    <t>21/11/2024 08:15</t>
  </si>
  <si>
    <t>21/11/2024 08:30</t>
  </si>
  <si>
    <t>21/11/2024 08:45</t>
  </si>
  <si>
    <t>21/11/2024 09:00</t>
  </si>
  <si>
    <t>21/11/2024 09:15</t>
  </si>
  <si>
    <t>21/11/2024 09:30</t>
  </si>
  <si>
    <t>21/11/2024 09:45</t>
  </si>
  <si>
    <t>21/11/2024 10:00</t>
  </si>
  <si>
    <t>21/11/2024 10:15</t>
  </si>
  <si>
    <t>21/11/2024 10:30</t>
  </si>
  <si>
    <t>21/11/2024 10:45</t>
  </si>
  <si>
    <t>21/11/2024 11:00</t>
  </si>
  <si>
    <t>21/11/2024 11:15</t>
  </si>
  <si>
    <t>21/11/2024 11:30</t>
  </si>
  <si>
    <t>21/11/2024 11:45</t>
  </si>
  <si>
    <t>21/11/2024 12:00</t>
  </si>
  <si>
    <t>21/11/2024 12:15</t>
  </si>
  <si>
    <t>21/11/2024 12:30</t>
  </si>
  <si>
    <t>21/11/2024 12:45</t>
  </si>
  <si>
    <t>21/11/2024 13:00</t>
  </si>
  <si>
    <t>21/11/2024 13:15</t>
  </si>
  <si>
    <t>21/11/2024 13:30</t>
  </si>
  <si>
    <t>21/11/2024 13:45</t>
  </si>
  <si>
    <t>21/11/2024 14:00</t>
  </si>
  <si>
    <t>21/11/2024 14:15</t>
  </si>
  <si>
    <t>21/11/2024 14:30</t>
  </si>
  <si>
    <t>21/11/2024 14:45</t>
  </si>
  <si>
    <t>21/11/2024 15:00</t>
  </si>
  <si>
    <t>21/11/2024 15:15</t>
  </si>
  <si>
    <t>21/11/2024 15:30</t>
  </si>
  <si>
    <t>21/11/2024 15:45</t>
  </si>
  <si>
    <t>21/11/2024 16:00</t>
  </si>
  <si>
    <t>21/11/2024 16:15</t>
  </si>
  <si>
    <t>21/11/2024 16:30</t>
  </si>
  <si>
    <t>21/11/2024 16:45</t>
  </si>
  <si>
    <t>21/11/2024 17:00</t>
  </si>
  <si>
    <t>21/11/2024 17:15</t>
  </si>
  <si>
    <t>21/11/2024 17:30</t>
  </si>
  <si>
    <t>21/11/2024 17:45</t>
  </si>
  <si>
    <t>21/11/2024 18:00</t>
  </si>
  <si>
    <t>21/11/2024 18:15</t>
  </si>
  <si>
    <t>21/11/2024 18:30</t>
  </si>
  <si>
    <t>21/11/2024 18:45</t>
  </si>
  <si>
    <t>21/11/2024 19:00</t>
  </si>
  <si>
    <t>21/11/2024 19:15</t>
  </si>
  <si>
    <t>21/11/2024 19:30</t>
  </si>
  <si>
    <t>21/11/2024 19:45</t>
  </si>
  <si>
    <t>21/11/2024 20:00</t>
  </si>
  <si>
    <t>21/11/2024 20:15</t>
  </si>
  <si>
    <t>21/11/2024 20:30</t>
  </si>
  <si>
    <t>21/11/2024 20:45</t>
  </si>
  <si>
    <t>21/11/2024 21:00</t>
  </si>
  <si>
    <t>21/11/2024 21:15</t>
  </si>
  <si>
    <t>21/11/2024 21:30</t>
  </si>
  <si>
    <t>21/11/2024 21:45</t>
  </si>
  <si>
    <t>21/11/2024 22:00</t>
  </si>
  <si>
    <t>21/11/2024 22:15</t>
  </si>
  <si>
    <t>21/11/2024 22:30</t>
  </si>
  <si>
    <t>21/11/2024 22:45</t>
  </si>
  <si>
    <t>21/11/2024 23:00</t>
  </si>
  <si>
    <t>21/11/2024 23:15</t>
  </si>
  <si>
    <t>21/11/2024 23:30</t>
  </si>
  <si>
    <t>21/11/2024 23:45</t>
  </si>
  <si>
    <t>21/11/2024 24:00</t>
  </si>
  <si>
    <t>22/11/2024 00:15</t>
  </si>
  <si>
    <t>22/11/2024 00:30</t>
  </si>
  <si>
    <t>22/11/2024 00:45</t>
  </si>
  <si>
    <t>22/11/2024 01:00</t>
  </si>
  <si>
    <t>22/11/2024 01:15</t>
  </si>
  <si>
    <t>22/11/2024 01:30</t>
  </si>
  <si>
    <t>22/11/2024 01:45</t>
  </si>
  <si>
    <t>22/11/2024 02:00</t>
  </si>
  <si>
    <t>22/11/2024 02:15</t>
  </si>
  <si>
    <t>22/11/2024 02:30</t>
  </si>
  <si>
    <t>22/11/2024 02:45</t>
  </si>
  <si>
    <t>22/11/2024 03:00</t>
  </si>
  <si>
    <t>22/11/2024 03:15</t>
  </si>
  <si>
    <t>22/11/2024 03:30</t>
  </si>
  <si>
    <t>22/11/2024 03:45</t>
  </si>
  <si>
    <t>22/11/2024 04:00</t>
  </si>
  <si>
    <t>22/11/2024 04:15</t>
  </si>
  <si>
    <t>22/11/2024 04:30</t>
  </si>
  <si>
    <t>22/11/2024 04:45</t>
  </si>
  <si>
    <t>22/11/2024 05:00</t>
  </si>
  <si>
    <t>22/11/2024 05:15</t>
  </si>
  <si>
    <t>22/11/2024 05:30</t>
  </si>
  <si>
    <t>22/11/2024 05:45</t>
  </si>
  <si>
    <t>22/11/2024 06:00</t>
  </si>
  <si>
    <t>22/11/2024 06:15</t>
  </si>
  <si>
    <t>22/11/2024 06:30</t>
  </si>
  <si>
    <t>22/11/2024 06:45</t>
  </si>
  <si>
    <t>22/11/2024 07:00</t>
  </si>
  <si>
    <t>22/11/2024 07:15</t>
  </si>
  <si>
    <t>22/11/2024 07:30</t>
  </si>
  <si>
    <t>22/11/2024 07:45</t>
  </si>
  <si>
    <t>22/11/2024 08:00</t>
  </si>
  <si>
    <t>22/11/2024 08:15</t>
  </si>
  <si>
    <t>22/11/2024 08:30</t>
  </si>
  <si>
    <t>22/11/2024 08:45</t>
  </si>
  <si>
    <t>22/11/2024 09:00</t>
  </si>
  <si>
    <t>22/11/2024 09:15</t>
  </si>
  <si>
    <t>22/11/2024 09:30</t>
  </si>
  <si>
    <t>22/11/2024 09:45</t>
  </si>
  <si>
    <t>22/11/2024 10:00</t>
  </si>
  <si>
    <t>22/11/2024 10:15</t>
  </si>
  <si>
    <t>22/11/2024 10:30</t>
  </si>
  <si>
    <t>22/11/2024 10:45</t>
  </si>
  <si>
    <t>22/11/2024 11:00</t>
  </si>
  <si>
    <t>22/11/2024 11:15</t>
  </si>
  <si>
    <t>22/11/2024 11:30</t>
  </si>
  <si>
    <t>22/11/2024 11:45</t>
  </si>
  <si>
    <t>22/11/2024 12:00</t>
  </si>
  <si>
    <t>22/11/2024 12:15</t>
  </si>
  <si>
    <t>22/11/2024 12:30</t>
  </si>
  <si>
    <t>22/11/2024 12:45</t>
  </si>
  <si>
    <t>22/11/2024 13:00</t>
  </si>
  <si>
    <t>22/11/2024 13:15</t>
  </si>
  <si>
    <t>22/11/2024 13:30</t>
  </si>
  <si>
    <t>22/11/2024 13:45</t>
  </si>
  <si>
    <t>22/11/2024 14:00</t>
  </si>
  <si>
    <t>22/11/2024 14:15</t>
  </si>
  <si>
    <t>22/11/2024 14:30</t>
  </si>
  <si>
    <t>22/11/2024 14:45</t>
  </si>
  <si>
    <t>22/11/2024 15:00</t>
  </si>
  <si>
    <t>22/11/2024 15:15</t>
  </si>
  <si>
    <t>22/11/2024 15:30</t>
  </si>
  <si>
    <t>22/11/2024 15:45</t>
  </si>
  <si>
    <t>22/11/2024 16:00</t>
  </si>
  <si>
    <t>22/11/2024 16:15</t>
  </si>
  <si>
    <t>22/11/2024 16:30</t>
  </si>
  <si>
    <t>22/11/2024 16:45</t>
  </si>
  <si>
    <t>22/11/2024 17:00</t>
  </si>
  <si>
    <t>22/11/2024 17:15</t>
  </si>
  <si>
    <t>22/11/2024 17:30</t>
  </si>
  <si>
    <t>22/11/2024 17:45</t>
  </si>
  <si>
    <t>22/11/2024 18:00</t>
  </si>
  <si>
    <t>22/11/2024 18:15</t>
  </si>
  <si>
    <t>22/11/2024 18:30</t>
  </si>
  <si>
    <t>22/11/2024 18:45</t>
  </si>
  <si>
    <t>22/11/2024 19:00</t>
  </si>
  <si>
    <t>22/11/2024 19:15</t>
  </si>
  <si>
    <t>22/11/2024 19:30</t>
  </si>
  <si>
    <t>22/11/2024 19:45</t>
  </si>
  <si>
    <t>22/11/2024 20:00</t>
  </si>
  <si>
    <t>22/11/2024 20:15</t>
  </si>
  <si>
    <t>22/11/2024 20:30</t>
  </si>
  <si>
    <t>22/11/2024 20:45</t>
  </si>
  <si>
    <t>22/11/2024 21:00</t>
  </si>
  <si>
    <t>22/11/2024 21:15</t>
  </si>
  <si>
    <t>22/11/2024 21:30</t>
  </si>
  <si>
    <t>22/11/2024 21:45</t>
  </si>
  <si>
    <t>22/11/2024 22:00</t>
  </si>
  <si>
    <t>22/11/2024 22:15</t>
  </si>
  <si>
    <t>22/11/2024 22:30</t>
  </si>
  <si>
    <t>22/11/2024 22:45</t>
  </si>
  <si>
    <t>22/11/2024 23:00</t>
  </si>
  <si>
    <t>22/11/2024 23:15</t>
  </si>
  <si>
    <t>22/11/2024 23:30</t>
  </si>
  <si>
    <t>22/11/2024 23:45</t>
  </si>
  <si>
    <t>22/11/2024 24:00</t>
  </si>
  <si>
    <t>23/11/2024 00:15</t>
  </si>
  <si>
    <t>23/11/2024 00:30</t>
  </si>
  <si>
    <t>23/11/2024 00:45</t>
  </si>
  <si>
    <t>23/11/2024 01:00</t>
  </si>
  <si>
    <t>23/11/2024 01:15</t>
  </si>
  <si>
    <t>23/11/2024 01:30</t>
  </si>
  <si>
    <t>23/11/2024 01:45</t>
  </si>
  <si>
    <t>23/11/2024 02:00</t>
  </si>
  <si>
    <t>23/11/2024 02:15</t>
  </si>
  <si>
    <t>23/11/2024 02:30</t>
  </si>
  <si>
    <t>23/11/2024 02:45</t>
  </si>
  <si>
    <t>23/11/2024 03:00</t>
  </si>
  <si>
    <t>23/11/2024 03:15</t>
  </si>
  <si>
    <t>23/11/2024 03:30</t>
  </si>
  <si>
    <t>23/11/2024 03:45</t>
  </si>
  <si>
    <t>23/11/2024 04:00</t>
  </si>
  <si>
    <t>23/11/2024 04:15</t>
  </si>
  <si>
    <t>23/11/2024 04:30</t>
  </si>
  <si>
    <t>23/11/2024 04:45</t>
  </si>
  <si>
    <t>23/11/2024 05:00</t>
  </si>
  <si>
    <t>23/11/2024 05:15</t>
  </si>
  <si>
    <t>23/11/2024 05:30</t>
  </si>
  <si>
    <t>23/11/2024 05:45</t>
  </si>
  <si>
    <t>23/11/2024 06:00</t>
  </si>
  <si>
    <t>23/11/2024 06:15</t>
  </si>
  <si>
    <t>23/11/2024 06:30</t>
  </si>
  <si>
    <t>23/11/2024 06:45</t>
  </si>
  <si>
    <t>23/11/2024 07:00</t>
  </si>
  <si>
    <t>23/11/2024 07:15</t>
  </si>
  <si>
    <t>23/11/2024 07:30</t>
  </si>
  <si>
    <t>23/11/2024 07:45</t>
  </si>
  <si>
    <t>23/11/2024 08:00</t>
  </si>
  <si>
    <t>23/11/2024 08:15</t>
  </si>
  <si>
    <t>23/11/2024 08:30</t>
  </si>
  <si>
    <t>23/11/2024 08:45</t>
  </si>
  <si>
    <t>23/11/2024 09:00</t>
  </si>
  <si>
    <t>23/11/2024 09:15</t>
  </si>
  <si>
    <t>23/11/2024 09:30</t>
  </si>
  <si>
    <t>23/11/2024 09:45</t>
  </si>
  <si>
    <t>23/11/2024 10:00</t>
  </si>
  <si>
    <t>23/11/2024 10:15</t>
  </si>
  <si>
    <t>23/11/2024 10:30</t>
  </si>
  <si>
    <t>23/11/2024 10:45</t>
  </si>
  <si>
    <t>23/11/2024 11:00</t>
  </si>
  <si>
    <t>23/11/2024 11:15</t>
  </si>
  <si>
    <t>23/11/2024 11:30</t>
  </si>
  <si>
    <t>23/11/2024 11:45</t>
  </si>
  <si>
    <t>23/11/2024 12:00</t>
  </si>
  <si>
    <t>23/11/2024 12:15</t>
  </si>
  <si>
    <t>23/11/2024 12:30</t>
  </si>
  <si>
    <t>23/11/2024 12:45</t>
  </si>
  <si>
    <t>23/11/2024 13:00</t>
  </si>
  <si>
    <t>23/11/2024 13:15</t>
  </si>
  <si>
    <t>23/11/2024 13:30</t>
  </si>
  <si>
    <t>23/11/2024 13:45</t>
  </si>
  <si>
    <t>23/11/2024 14:00</t>
  </si>
  <si>
    <t>23/11/2024 14:15</t>
  </si>
  <si>
    <t>23/11/2024 14:30</t>
  </si>
  <si>
    <t>23/11/2024 14:45</t>
  </si>
  <si>
    <t>23/11/2024 15:00</t>
  </si>
  <si>
    <t>23/11/2024 15:15</t>
  </si>
  <si>
    <t>23/11/2024 15:30</t>
  </si>
  <si>
    <t>23/11/2024 15:45</t>
  </si>
  <si>
    <t>23/11/2024 16:00</t>
  </si>
  <si>
    <t>23/11/2024 16:15</t>
  </si>
  <si>
    <t>23/11/2024 16:30</t>
  </si>
  <si>
    <t>23/11/2024 16:45</t>
  </si>
  <si>
    <t>23/11/2024 17:00</t>
  </si>
  <si>
    <t>23/11/2024 17:15</t>
  </si>
  <si>
    <t>23/11/2024 17:30</t>
  </si>
  <si>
    <t>23/11/2024 17:45</t>
  </si>
  <si>
    <t>23/11/2024 18:00</t>
  </si>
  <si>
    <t>23/11/2024 18:15</t>
  </si>
  <si>
    <t>23/11/2024 18:30</t>
  </si>
  <si>
    <t>23/11/2024 18:45</t>
  </si>
  <si>
    <t>23/11/2024 19:00</t>
  </si>
  <si>
    <t>23/11/2024 19:15</t>
  </si>
  <si>
    <t>23/11/2024 19:30</t>
  </si>
  <si>
    <t>23/11/2024 19:45</t>
  </si>
  <si>
    <t>23/11/2024 20:00</t>
  </si>
  <si>
    <t>23/11/2024 20:15</t>
  </si>
  <si>
    <t>23/11/2024 20:30</t>
  </si>
  <si>
    <t>23/11/2024 20:45</t>
  </si>
  <si>
    <t>23/11/2024 21:00</t>
  </si>
  <si>
    <t>23/11/2024 21:15</t>
  </si>
  <si>
    <t>23/11/2024 21:30</t>
  </si>
  <si>
    <t>23/11/2024 21:45</t>
  </si>
  <si>
    <t>23/11/2024 22:00</t>
  </si>
  <si>
    <t>23/11/2024 22:15</t>
  </si>
  <si>
    <t>23/11/2024 22:30</t>
  </si>
  <si>
    <t>23/11/2024 22:45</t>
  </si>
  <si>
    <t>23/11/2024 23:00</t>
  </si>
  <si>
    <t>23/11/2024 23:15</t>
  </si>
  <si>
    <t>23/11/2024 23:30</t>
  </si>
  <si>
    <t>23/11/2024 23:45</t>
  </si>
  <si>
    <t>23/11/2024 24:00</t>
  </si>
  <si>
    <t>24/11/2024 00:15</t>
  </si>
  <si>
    <t>24/11/2024 00:30</t>
  </si>
  <si>
    <t>24/11/2024 00:45</t>
  </si>
  <si>
    <t>24/11/2024 01:00</t>
  </si>
  <si>
    <t>24/11/2024 01:15</t>
  </si>
  <si>
    <t>24/11/2024 01:30</t>
  </si>
  <si>
    <t>24/11/2024 01:45</t>
  </si>
  <si>
    <t>24/11/2024 02:00</t>
  </si>
  <si>
    <t>24/11/2024 02:15</t>
  </si>
  <si>
    <t>24/11/2024 02:30</t>
  </si>
  <si>
    <t>24/11/2024 02:45</t>
  </si>
  <si>
    <t>24/11/2024 03:00</t>
  </si>
  <si>
    <t>24/11/2024 03:15</t>
  </si>
  <si>
    <t>24/11/2024 03:30</t>
  </si>
  <si>
    <t>24/11/2024 03:45</t>
  </si>
  <si>
    <t>24/11/2024 04:00</t>
  </si>
  <si>
    <t>24/11/2024 04:15</t>
  </si>
  <si>
    <t>24/11/2024 04:30</t>
  </si>
  <si>
    <t>24/11/2024 04:45</t>
  </si>
  <si>
    <t>24/11/2024 05:00</t>
  </si>
  <si>
    <t>24/11/2024 05:15</t>
  </si>
  <si>
    <t>24/11/2024 05:30</t>
  </si>
  <si>
    <t>24/11/2024 05:45</t>
  </si>
  <si>
    <t>24/11/2024 06:00</t>
  </si>
  <si>
    <t>24/11/2024 06:15</t>
  </si>
  <si>
    <t>24/11/2024 06:30</t>
  </si>
  <si>
    <t>24/11/2024 06:45</t>
  </si>
  <si>
    <t>24/11/2024 07:00</t>
  </si>
  <si>
    <t>24/11/2024 07:15</t>
  </si>
  <si>
    <t>24/11/2024 07:30</t>
  </si>
  <si>
    <t>24/11/2024 07:45</t>
  </si>
  <si>
    <t>24/11/2024 08:00</t>
  </si>
  <si>
    <t>24/11/2024 08:15</t>
  </si>
  <si>
    <t>24/11/2024 08:30</t>
  </si>
  <si>
    <t>24/11/2024 08:45</t>
  </si>
  <si>
    <t>24/11/2024 09:00</t>
  </si>
  <si>
    <t>24/11/2024 09:15</t>
  </si>
  <si>
    <t>24/11/2024 09:30</t>
  </si>
  <si>
    <t>24/11/2024 09:45</t>
  </si>
  <si>
    <t>24/11/2024 10:00</t>
  </si>
  <si>
    <t>24/11/2024 10:15</t>
  </si>
  <si>
    <t>24/11/2024 10:30</t>
  </si>
  <si>
    <t>24/11/2024 10:45</t>
  </si>
  <si>
    <t>24/11/2024 11:00</t>
  </si>
  <si>
    <t>24/11/2024 11:15</t>
  </si>
  <si>
    <t>24/11/2024 11:30</t>
  </si>
  <si>
    <t>24/11/2024 11:45</t>
  </si>
  <si>
    <t>24/11/2024 12:00</t>
  </si>
  <si>
    <t>24/11/2024 12:15</t>
  </si>
  <si>
    <t>24/11/2024 12:30</t>
  </si>
  <si>
    <t>24/11/2024 12:45</t>
  </si>
  <si>
    <t>24/11/2024 13:00</t>
  </si>
  <si>
    <t>24/11/2024 13:15</t>
  </si>
  <si>
    <t>24/11/2024 13:30</t>
  </si>
  <si>
    <t>24/11/2024 13:45</t>
  </si>
  <si>
    <t>24/11/2024 14:00</t>
  </si>
  <si>
    <t>24/11/2024 14:15</t>
  </si>
  <si>
    <t>24/11/2024 14:30</t>
  </si>
  <si>
    <t>24/11/2024 14:45</t>
  </si>
  <si>
    <t>24/11/2024 15:00</t>
  </si>
  <si>
    <t>24/11/2024 15:15</t>
  </si>
  <si>
    <t>24/11/2024 15:30</t>
  </si>
  <si>
    <t>24/11/2024 15:45</t>
  </si>
  <si>
    <t>24/11/2024 16:00</t>
  </si>
  <si>
    <t>24/11/2024 16:15</t>
  </si>
  <si>
    <t>24/11/2024 16:30</t>
  </si>
  <si>
    <t>24/11/2024 16:45</t>
  </si>
  <si>
    <t>24/11/2024 17:00</t>
  </si>
  <si>
    <t>24/11/2024 17:15</t>
  </si>
  <si>
    <t>24/11/2024 17:30</t>
  </si>
  <si>
    <t>24/11/2024 17:45</t>
  </si>
  <si>
    <t>24/11/2024 18:00</t>
  </si>
  <si>
    <t>24/11/2024 18:15</t>
  </si>
  <si>
    <t>24/11/2024 18:30</t>
  </si>
  <si>
    <t>24/11/2024 18:45</t>
  </si>
  <si>
    <t>24/11/2024 19:00</t>
  </si>
  <si>
    <t>24/11/2024 19:15</t>
  </si>
  <si>
    <t>24/11/2024 19:30</t>
  </si>
  <si>
    <t>24/11/2024 19:45</t>
  </si>
  <si>
    <t>24/11/2024 20:00</t>
  </si>
  <si>
    <t>24/11/2024 20:15</t>
  </si>
  <si>
    <t>24/11/2024 20:30</t>
  </si>
  <si>
    <t>24/11/2024 20:45</t>
  </si>
  <si>
    <t>24/11/2024 21:00</t>
  </si>
  <si>
    <t>24/11/2024 21:15</t>
  </si>
  <si>
    <t>24/11/2024 21:30</t>
  </si>
  <si>
    <t>24/11/2024 21:45</t>
  </si>
  <si>
    <t>24/11/2024 22:00</t>
  </si>
  <si>
    <t>24/11/2024 22:15</t>
  </si>
  <si>
    <t>24/11/2024 22:30</t>
  </si>
  <si>
    <t>24/11/2024 22:45</t>
  </si>
  <si>
    <t>24/11/2024 23:00</t>
  </si>
  <si>
    <t>24/11/2024 23:15</t>
  </si>
  <si>
    <t>24/11/2024 23:30</t>
  </si>
  <si>
    <t>24/11/2024 23:45</t>
  </si>
  <si>
    <t>24/11/2024 24:00</t>
  </si>
  <si>
    <t>25/11/2024 00:15</t>
  </si>
  <si>
    <t>25/11/2024 00:30</t>
  </si>
  <si>
    <t>25/11/2024 00:45</t>
  </si>
  <si>
    <t>25/11/2024 01:00</t>
  </si>
  <si>
    <t>25/11/2024 01:15</t>
  </si>
  <si>
    <t>25/11/2024 01:30</t>
  </si>
  <si>
    <t>25/11/2024 01:45</t>
  </si>
  <si>
    <t>25/11/2024 02:00</t>
  </si>
  <si>
    <t>25/11/2024 02:15</t>
  </si>
  <si>
    <t>25/11/2024 02:30</t>
  </si>
  <si>
    <t>25/11/2024 02:45</t>
  </si>
  <si>
    <t>25/11/2024 03:00</t>
  </si>
  <si>
    <t>25/11/2024 03:15</t>
  </si>
  <si>
    <t>25/11/2024 03:30</t>
  </si>
  <si>
    <t>25/11/2024 03:45</t>
  </si>
  <si>
    <t>25/11/2024 04:00</t>
  </si>
  <si>
    <t>25/11/2024 04:15</t>
  </si>
  <si>
    <t>25/11/2024 04:30</t>
  </si>
  <si>
    <t>25/11/2024 04:45</t>
  </si>
  <si>
    <t>25/11/2024 05:00</t>
  </si>
  <si>
    <t>25/11/2024 05:15</t>
  </si>
  <si>
    <t>25/11/2024 05:30</t>
  </si>
  <si>
    <t>25/11/2024 05:45</t>
  </si>
  <si>
    <t>25/11/2024 06:00</t>
  </si>
  <si>
    <t>25/11/2024 06:15</t>
  </si>
  <si>
    <t>25/11/2024 06:30</t>
  </si>
  <si>
    <t>25/11/2024 06:45</t>
  </si>
  <si>
    <t>25/11/2024 07:00</t>
  </si>
  <si>
    <t>25/11/2024 07:15</t>
  </si>
  <si>
    <t>25/11/2024 07:30</t>
  </si>
  <si>
    <t>25/11/2024 07:45</t>
  </si>
  <si>
    <t>25/11/2024 08:00</t>
  </si>
  <si>
    <t>25/11/2024 08:15</t>
  </si>
  <si>
    <t>25/11/2024 08:30</t>
  </si>
  <si>
    <t>25/11/2024 08:45</t>
  </si>
  <si>
    <t>25/11/2024 09:00</t>
  </si>
  <si>
    <t>25/11/2024 09:15</t>
  </si>
  <si>
    <t>25/11/2024 09:30</t>
  </si>
  <si>
    <t>25/11/2024 09:45</t>
  </si>
  <si>
    <t>25/11/2024 10:00</t>
  </si>
  <si>
    <t>25/11/2024 10:15</t>
  </si>
  <si>
    <t>25/11/2024 10:30</t>
  </si>
  <si>
    <t>25/11/2024 10:45</t>
  </si>
  <si>
    <t>25/11/2024 11:00</t>
  </si>
  <si>
    <t>25/11/2024 11:15</t>
  </si>
  <si>
    <t>25/11/2024 11:30</t>
  </si>
  <si>
    <t>25/11/2024 11:45</t>
  </si>
  <si>
    <t>25/11/2024 12:00</t>
  </si>
  <si>
    <t>25/11/2024 12:15</t>
  </si>
  <si>
    <t>25/11/2024 12:30</t>
  </si>
  <si>
    <t>25/11/2024 12:45</t>
  </si>
  <si>
    <t>25/11/2024 13:00</t>
  </si>
  <si>
    <t>25/11/2024 13:15</t>
  </si>
  <si>
    <t>25/11/2024 13:30</t>
  </si>
  <si>
    <t>25/11/2024 13:45</t>
  </si>
  <si>
    <t>25/11/2024 14:00</t>
  </si>
  <si>
    <t>25/11/2024 14:15</t>
  </si>
  <si>
    <t>25/11/2024 14:30</t>
  </si>
  <si>
    <t>25/11/2024 14:45</t>
  </si>
  <si>
    <t>25/11/2024 15:00</t>
  </si>
  <si>
    <t>25/11/2024 15:15</t>
  </si>
  <si>
    <t>25/11/2024 15:30</t>
  </si>
  <si>
    <t>25/11/2024 15:45</t>
  </si>
  <si>
    <t>25/11/2024 16:00</t>
  </si>
  <si>
    <t>25/11/2024 16:15</t>
  </si>
  <si>
    <t>25/11/2024 16:30</t>
  </si>
  <si>
    <t>25/11/2024 16:45</t>
  </si>
  <si>
    <t>25/11/2024 17:00</t>
  </si>
  <si>
    <t>25/11/2024 17:15</t>
  </si>
  <si>
    <t>25/11/2024 17:30</t>
  </si>
  <si>
    <t>25/11/2024 17:45</t>
  </si>
  <si>
    <t>25/11/2024 18:00</t>
  </si>
  <si>
    <t>25/11/2024 18:15</t>
  </si>
  <si>
    <t>25/11/2024 18:30</t>
  </si>
  <si>
    <t>25/11/2024 18:45</t>
  </si>
  <si>
    <t>25/11/2024 19:00</t>
  </si>
  <si>
    <t>25/11/2024 19:15</t>
  </si>
  <si>
    <t>25/11/2024 19:30</t>
  </si>
  <si>
    <t>25/11/2024 19:45</t>
  </si>
  <si>
    <t>25/11/2024 20:00</t>
  </si>
  <si>
    <t>25/11/2024 20:15</t>
  </si>
  <si>
    <t>25/11/2024 20:30</t>
  </si>
  <si>
    <t>25/11/2024 20:45</t>
  </si>
  <si>
    <t>25/11/2024 21:00</t>
  </si>
  <si>
    <t>25/11/2024 21:15</t>
  </si>
  <si>
    <t>25/11/2024 21:30</t>
  </si>
  <si>
    <t>25/11/2024 21:45</t>
  </si>
  <si>
    <t>25/11/2024 22:00</t>
  </si>
  <si>
    <t>25/11/2024 22:15</t>
  </si>
  <si>
    <t>25/11/2024 22:30</t>
  </si>
  <si>
    <t>25/11/2024 22:45</t>
  </si>
  <si>
    <t>25/11/2024 23:00</t>
  </si>
  <si>
    <t>25/11/2024 23:15</t>
  </si>
  <si>
    <t>25/11/2024 23:30</t>
  </si>
  <si>
    <t>25/11/2024 23:45</t>
  </si>
  <si>
    <t>25/11/2024 24:00</t>
  </si>
  <si>
    <t>26/11/2024 00:15</t>
  </si>
  <si>
    <t>26/11/2024 00:30</t>
  </si>
  <si>
    <t>26/11/2024 00:45</t>
  </si>
  <si>
    <t>26/11/2024 01:00</t>
  </si>
  <si>
    <t>26/11/2024 01:15</t>
  </si>
  <si>
    <t>26/11/2024 01:30</t>
  </si>
  <si>
    <t>26/11/2024 01:45</t>
  </si>
  <si>
    <t>26/11/2024 02:00</t>
  </si>
  <si>
    <t>26/11/2024 02:15</t>
  </si>
  <si>
    <t>26/11/2024 02:30</t>
  </si>
  <si>
    <t>26/11/2024 02:45</t>
  </si>
  <si>
    <t>26/11/2024 03:00</t>
  </si>
  <si>
    <t>26/11/2024 03:15</t>
  </si>
  <si>
    <t>26/11/2024 03:30</t>
  </si>
  <si>
    <t>26/11/2024 03:45</t>
  </si>
  <si>
    <t>26/11/2024 04:00</t>
  </si>
  <si>
    <t>26/11/2024 04:15</t>
  </si>
  <si>
    <t>26/11/2024 04:30</t>
  </si>
  <si>
    <t>26/11/2024 04:45</t>
  </si>
  <si>
    <t>26/11/2024 05:00</t>
  </si>
  <si>
    <t>26/11/2024 05:15</t>
  </si>
  <si>
    <t>26/11/2024 05:30</t>
  </si>
  <si>
    <t>26/11/2024 05:45</t>
  </si>
  <si>
    <t>26/11/2024 06:00</t>
  </si>
  <si>
    <t>26/11/2024 06:15</t>
  </si>
  <si>
    <t>26/11/2024 06:30</t>
  </si>
  <si>
    <t>26/11/2024 06:45</t>
  </si>
  <si>
    <t>26/11/2024 07:00</t>
  </si>
  <si>
    <t>26/11/2024 07:15</t>
  </si>
  <si>
    <t>26/11/2024 07:30</t>
  </si>
  <si>
    <t>26/11/2024 07:45</t>
  </si>
  <si>
    <t>26/11/2024 08:00</t>
  </si>
  <si>
    <t>26/11/2024 08:15</t>
  </si>
  <si>
    <t>26/11/2024 08:30</t>
  </si>
  <si>
    <t>26/11/2024 08:45</t>
  </si>
  <si>
    <t>26/11/2024 09:00</t>
  </si>
  <si>
    <t>26/11/2024 09:15</t>
  </si>
  <si>
    <t>26/11/2024 09:30</t>
  </si>
  <si>
    <t>26/11/2024 09:45</t>
  </si>
  <si>
    <t>26/11/2024 10:00</t>
  </si>
  <si>
    <t>26/11/2024 10:15</t>
  </si>
  <si>
    <t>26/11/2024 10:30</t>
  </si>
  <si>
    <t>26/11/2024 10:45</t>
  </si>
  <si>
    <t>26/11/2024 11:00</t>
  </si>
  <si>
    <t>26/11/2024 11:15</t>
  </si>
  <si>
    <t>26/11/2024 11:30</t>
  </si>
  <si>
    <t>26/11/2024 11:45</t>
  </si>
  <si>
    <t>26/11/2024 12:00</t>
  </si>
  <si>
    <t>26/11/2024 12:15</t>
  </si>
  <si>
    <t>26/11/2024 12:30</t>
  </si>
  <si>
    <t>26/11/2024 12:45</t>
  </si>
  <si>
    <t>26/11/2024 13:00</t>
  </si>
  <si>
    <t>26/11/2024 13:15</t>
  </si>
  <si>
    <t>26/11/2024 13:30</t>
  </si>
  <si>
    <t>26/11/2024 13:45</t>
  </si>
  <si>
    <t>26/11/2024 14:00</t>
  </si>
  <si>
    <t>26/11/2024 14:15</t>
  </si>
  <si>
    <t>26/11/2024 14:30</t>
  </si>
  <si>
    <t>26/11/2024 14:45</t>
  </si>
  <si>
    <t>26/11/2024 15:00</t>
  </si>
  <si>
    <t>26/11/2024 15:15</t>
  </si>
  <si>
    <t>26/11/2024 15:30</t>
  </si>
  <si>
    <t>26/11/2024 15:45</t>
  </si>
  <si>
    <t>26/11/2024 16:00</t>
  </si>
  <si>
    <t>26/11/2024 16:15</t>
  </si>
  <si>
    <t>26/11/2024 16:30</t>
  </si>
  <si>
    <t>26/11/2024 16:45</t>
  </si>
  <si>
    <t>26/11/2024 17:00</t>
  </si>
  <si>
    <t>26/11/2024 17:15</t>
  </si>
  <si>
    <t>26/11/2024 17:30</t>
  </si>
  <si>
    <t>26/11/2024 17:45</t>
  </si>
  <si>
    <t>26/11/2024 18:00</t>
  </si>
  <si>
    <t>26/11/2024 18:15</t>
  </si>
  <si>
    <t>26/11/2024 18:30</t>
  </si>
  <si>
    <t>26/11/2024 18:45</t>
  </si>
  <si>
    <t>26/11/2024 19:00</t>
  </si>
  <si>
    <t>26/11/2024 19:15</t>
  </si>
  <si>
    <t>26/11/2024 19:30</t>
  </si>
  <si>
    <t>26/11/2024 19:45</t>
  </si>
  <si>
    <t>26/11/2024 20:00</t>
  </si>
  <si>
    <t>26/11/2024 20:15</t>
  </si>
  <si>
    <t>26/11/2024 20:30</t>
  </si>
  <si>
    <t>26/11/2024 20:45</t>
  </si>
  <si>
    <t>26/11/2024 21:00</t>
  </si>
  <si>
    <t>26/11/2024 21:15</t>
  </si>
  <si>
    <t>26/11/2024 21:30</t>
  </si>
  <si>
    <t>26/11/2024 21:45</t>
  </si>
  <si>
    <t>26/11/2024 22:00</t>
  </si>
  <si>
    <t>26/11/2024 22:15</t>
  </si>
  <si>
    <t>26/11/2024 22:30</t>
  </si>
  <si>
    <t>26/11/2024 22:45</t>
  </si>
  <si>
    <t>26/11/2024 23:00</t>
  </si>
  <si>
    <t>26/11/2024 23:15</t>
  </si>
  <si>
    <t>26/11/2024 23:30</t>
  </si>
  <si>
    <t>26/11/2024 23:45</t>
  </si>
  <si>
    <t>26/11/2024 24:00</t>
  </si>
  <si>
    <t>27/11/2024 00:15</t>
  </si>
  <si>
    <t>27/11/2024 00:30</t>
  </si>
  <si>
    <t>27/11/2024 00:45</t>
  </si>
  <si>
    <t>27/11/2024 01:00</t>
  </si>
  <si>
    <t>27/11/2024 01:15</t>
  </si>
  <si>
    <t>27/11/2024 01:30</t>
  </si>
  <si>
    <t>27/11/2024 01:45</t>
  </si>
  <si>
    <t>27/11/2024 02:00</t>
  </si>
  <si>
    <t>27/11/2024 02:15</t>
  </si>
  <si>
    <t>27/11/2024 02:30</t>
  </si>
  <si>
    <t>27/11/2024 02:45</t>
  </si>
  <si>
    <t>27/11/2024 03:00</t>
  </si>
  <si>
    <t>27/11/2024 03:15</t>
  </si>
  <si>
    <t>27/11/2024 03:30</t>
  </si>
  <si>
    <t>27/11/2024 03:45</t>
  </si>
  <si>
    <t>27/11/2024 04:00</t>
  </si>
  <si>
    <t>27/11/2024 04:15</t>
  </si>
  <si>
    <t>27/11/2024 04:30</t>
  </si>
  <si>
    <t>27/11/2024 04:45</t>
  </si>
  <si>
    <t>27/11/2024 05:00</t>
  </si>
  <si>
    <t>27/11/2024 05:15</t>
  </si>
  <si>
    <t>27/11/2024 05:30</t>
  </si>
  <si>
    <t>27/11/2024 05:45</t>
  </si>
  <si>
    <t>27/11/2024 06:00</t>
  </si>
  <si>
    <t>27/11/2024 06:15</t>
  </si>
  <si>
    <t>27/11/2024 06:30</t>
  </si>
  <si>
    <t>27/11/2024 06:45</t>
  </si>
  <si>
    <t>27/11/2024 07:00</t>
  </si>
  <si>
    <t>27/11/2024 07:15</t>
  </si>
  <si>
    <t>27/11/2024 07:30</t>
  </si>
  <si>
    <t>27/11/2024 07:45</t>
  </si>
  <si>
    <t>27/11/2024 08:00</t>
  </si>
  <si>
    <t>27/11/2024 08:15</t>
  </si>
  <si>
    <t>27/11/2024 08:30</t>
  </si>
  <si>
    <t>27/11/2024 08:45</t>
  </si>
  <si>
    <t>27/11/2024 09:00</t>
  </si>
  <si>
    <t>27/11/2024 09:15</t>
  </si>
  <si>
    <t>27/11/2024 09:30</t>
  </si>
  <si>
    <t>27/11/2024 09:45</t>
  </si>
  <si>
    <t>27/11/2024 10:00</t>
  </si>
  <si>
    <t>27/11/2024 10:15</t>
  </si>
  <si>
    <t>27/11/2024 10:30</t>
  </si>
  <si>
    <t>27/11/2024 10:45</t>
  </si>
  <si>
    <t>27/11/2024 11:00</t>
  </si>
  <si>
    <t>27/11/2024 11:15</t>
  </si>
  <si>
    <t>27/11/2024 11:30</t>
  </si>
  <si>
    <t>27/11/2024 11:45</t>
  </si>
  <si>
    <t>27/11/2024 12:00</t>
  </si>
  <si>
    <t>27/11/2024 12:15</t>
  </si>
  <si>
    <t>27/11/2024 12:30</t>
  </si>
  <si>
    <t>27/11/2024 12:45</t>
  </si>
  <si>
    <t>27/11/2024 13:00</t>
  </si>
  <si>
    <t>27/11/2024 13:15</t>
  </si>
  <si>
    <t>27/11/2024 13:30</t>
  </si>
  <si>
    <t>27/11/2024 13:45</t>
  </si>
  <si>
    <t>27/11/2024 14:00</t>
  </si>
  <si>
    <t>27/11/2024 14:15</t>
  </si>
  <si>
    <t>27/11/2024 14:30</t>
  </si>
  <si>
    <t>27/11/2024 14:45</t>
  </si>
  <si>
    <t>27/11/2024 15:00</t>
  </si>
  <si>
    <t>27/11/2024 15:15</t>
  </si>
  <si>
    <t>27/11/2024 15:30</t>
  </si>
  <si>
    <t>27/11/2024 15:45</t>
  </si>
  <si>
    <t>27/11/2024 16:00</t>
  </si>
  <si>
    <t>27/11/2024 16:15</t>
  </si>
  <si>
    <t>27/11/2024 16:30</t>
  </si>
  <si>
    <t>27/11/2024 16:45</t>
  </si>
  <si>
    <t>27/11/2024 17:00</t>
  </si>
  <si>
    <t>27/11/2024 17:15</t>
  </si>
  <si>
    <t>27/11/2024 17:30</t>
  </si>
  <si>
    <t>27/11/2024 17:45</t>
  </si>
  <si>
    <t>27/11/2024 18:00</t>
  </si>
  <si>
    <t>27/11/2024 18:15</t>
  </si>
  <si>
    <t>27/11/2024 18:30</t>
  </si>
  <si>
    <t>27/11/2024 18:45</t>
  </si>
  <si>
    <t>27/11/2024 19:00</t>
  </si>
  <si>
    <t>27/11/2024 19:15</t>
  </si>
  <si>
    <t>27/11/2024 19:30</t>
  </si>
  <si>
    <t>27/11/2024 19:45</t>
  </si>
  <si>
    <t>27/11/2024 20:00</t>
  </si>
  <si>
    <t>27/11/2024 20:15</t>
  </si>
  <si>
    <t>27/11/2024 20:30</t>
  </si>
  <si>
    <t>27/11/2024 20:45</t>
  </si>
  <si>
    <t>27/11/2024 21:00</t>
  </si>
  <si>
    <t>27/11/2024 21:15</t>
  </si>
  <si>
    <t>27/11/2024 21:30</t>
  </si>
  <si>
    <t>27/11/2024 21:45</t>
  </si>
  <si>
    <t>27/11/2024 22:00</t>
  </si>
  <si>
    <t>27/11/2024 22:15</t>
  </si>
  <si>
    <t>27/11/2024 22:30</t>
  </si>
  <si>
    <t>27/11/2024 22:45</t>
  </si>
  <si>
    <t>27/11/2024 23:00</t>
  </si>
  <si>
    <t>27/11/2024 23:15</t>
  </si>
  <si>
    <t>27/11/2024 23:30</t>
  </si>
  <si>
    <t>27/11/2024 23:45</t>
  </si>
  <si>
    <t>27/11/2024 24:00</t>
  </si>
  <si>
    <t>28/11/2024 00:15</t>
  </si>
  <si>
    <t>28/11/2024 00:30</t>
  </si>
  <si>
    <t>28/11/2024 00:45</t>
  </si>
  <si>
    <t>28/11/2024 01:00</t>
  </si>
  <si>
    <t>28/11/2024 01:15</t>
  </si>
  <si>
    <t>28/11/2024 01:30</t>
  </si>
  <si>
    <t>28/11/2024 01:45</t>
  </si>
  <si>
    <t>28/11/2024 02:00</t>
  </si>
  <si>
    <t>28/11/2024 02:15</t>
  </si>
  <si>
    <t>28/11/2024 02:30</t>
  </si>
  <si>
    <t>28/11/2024 02:45</t>
  </si>
  <si>
    <t>28/11/2024 03:00</t>
  </si>
  <si>
    <t>28/11/2024 03:15</t>
  </si>
  <si>
    <t>28/11/2024 03:30</t>
  </si>
  <si>
    <t>28/11/2024 03:45</t>
  </si>
  <si>
    <t>28/11/2024 04:00</t>
  </si>
  <si>
    <t>28/11/2024 04:15</t>
  </si>
  <si>
    <t>28/11/2024 04:30</t>
  </si>
  <si>
    <t>28/11/2024 04:45</t>
  </si>
  <si>
    <t>28/11/2024 05:00</t>
  </si>
  <si>
    <t>28/11/2024 05:15</t>
  </si>
  <si>
    <t>28/11/2024 05:30</t>
  </si>
  <si>
    <t>28/11/2024 05:45</t>
  </si>
  <si>
    <t>28/11/2024 06:00</t>
  </si>
  <si>
    <t>28/11/2024 06:15</t>
  </si>
  <si>
    <t>28/11/2024 06:30</t>
  </si>
  <si>
    <t>28/11/2024 06:45</t>
  </si>
  <si>
    <t>28/11/2024 07:00</t>
  </si>
  <si>
    <t>28/11/2024 07:15</t>
  </si>
  <si>
    <t>28/11/2024 07:30</t>
  </si>
  <si>
    <t>28/11/2024 07:45</t>
  </si>
  <si>
    <t>28/11/2024 08:00</t>
  </si>
  <si>
    <t>28/11/2024 08:15</t>
  </si>
  <si>
    <t>28/11/2024 08:30</t>
  </si>
  <si>
    <t>28/11/2024 08:45</t>
  </si>
  <si>
    <t>28/11/2024 09:00</t>
  </si>
  <si>
    <t>28/11/2024 09:15</t>
  </si>
  <si>
    <t>28/11/2024 09:30</t>
  </si>
  <si>
    <t>28/11/2024 09:45</t>
  </si>
  <si>
    <t>28/11/2024 10:00</t>
  </si>
  <si>
    <t>28/11/2024 10:15</t>
  </si>
  <si>
    <t>28/11/2024 10:30</t>
  </si>
  <si>
    <t>28/11/2024 10:45</t>
  </si>
  <si>
    <t>28/11/2024 11:00</t>
  </si>
  <si>
    <t>28/11/2024 11:15</t>
  </si>
  <si>
    <t>28/11/2024 11:30</t>
  </si>
  <si>
    <t>28/11/2024 11:45</t>
  </si>
  <si>
    <t>28/11/2024 12:00</t>
  </si>
  <si>
    <t>28/11/2024 12:15</t>
  </si>
  <si>
    <t>28/11/2024 12:30</t>
  </si>
  <si>
    <t>28/11/2024 12:45</t>
  </si>
  <si>
    <t>28/11/2024 13:00</t>
  </si>
  <si>
    <t>28/11/2024 13:15</t>
  </si>
  <si>
    <t>28/11/2024 13:30</t>
  </si>
  <si>
    <t>28/11/2024 13:45</t>
  </si>
  <si>
    <t>28/11/2024 14:00</t>
  </si>
  <si>
    <t>28/11/2024 14:15</t>
  </si>
  <si>
    <t>28/11/2024 14:30</t>
  </si>
  <si>
    <t>28/11/2024 14:45</t>
  </si>
  <si>
    <t>28/11/2024 15:00</t>
  </si>
  <si>
    <t>28/11/2024 15:15</t>
  </si>
  <si>
    <t>28/11/2024 15:30</t>
  </si>
  <si>
    <t>28/11/2024 15:45</t>
  </si>
  <si>
    <t>28/11/2024 16:00</t>
  </si>
  <si>
    <t>28/11/2024 16:15</t>
  </si>
  <si>
    <t>28/11/2024 16:30</t>
  </si>
  <si>
    <t>28/11/2024 16:45</t>
  </si>
  <si>
    <t>28/11/2024 17:00</t>
  </si>
  <si>
    <t>28/11/2024 17:15</t>
  </si>
  <si>
    <t>28/11/2024 17:30</t>
  </si>
  <si>
    <t>28/11/2024 17:45</t>
  </si>
  <si>
    <t>28/11/2024 18:00</t>
  </si>
  <si>
    <t>28/11/2024 18:15</t>
  </si>
  <si>
    <t>28/11/2024 18:30</t>
  </si>
  <si>
    <t>28/11/2024 18:45</t>
  </si>
  <si>
    <t>28/11/2024 19:00</t>
  </si>
  <si>
    <t>28/11/2024 19:15</t>
  </si>
  <si>
    <t>28/11/2024 19:30</t>
  </si>
  <si>
    <t>28/11/2024 19:45</t>
  </si>
  <si>
    <t>28/11/2024 20:00</t>
  </si>
  <si>
    <t>28/11/2024 20:15</t>
  </si>
  <si>
    <t>28/11/2024 20:30</t>
  </si>
  <si>
    <t>28/11/2024 20:45</t>
  </si>
  <si>
    <t>28/11/2024 21:00</t>
  </si>
  <si>
    <t>28/11/2024 21:15</t>
  </si>
  <si>
    <t>28/11/2024 21:30</t>
  </si>
  <si>
    <t>28/11/2024 21:45</t>
  </si>
  <si>
    <t>28/11/2024 22:00</t>
  </si>
  <si>
    <t>28/11/2024 22:15</t>
  </si>
  <si>
    <t>28/11/2024 22:30</t>
  </si>
  <si>
    <t>28/11/2024 22:45</t>
  </si>
  <si>
    <t>28/11/2024 23:00</t>
  </si>
  <si>
    <t>28/11/2024 23:15</t>
  </si>
  <si>
    <t>28/11/2024 23:30</t>
  </si>
  <si>
    <t>28/11/2024 23:45</t>
  </si>
  <si>
    <t>28/11/2024 24:00</t>
  </si>
  <si>
    <t>29/11/2024 00:15</t>
  </si>
  <si>
    <t>29/11/2024 00:30</t>
  </si>
  <si>
    <t>29/11/2024 00:45</t>
  </si>
  <si>
    <t>29/11/2024 01:00</t>
  </si>
  <si>
    <t>29/11/2024 01:15</t>
  </si>
  <si>
    <t>29/11/2024 01:30</t>
  </si>
  <si>
    <t>29/11/2024 01:45</t>
  </si>
  <si>
    <t>29/11/2024 02:00</t>
  </si>
  <si>
    <t>29/11/2024 02:15</t>
  </si>
  <si>
    <t>29/11/2024 02:30</t>
  </si>
  <si>
    <t>29/11/2024 02:45</t>
  </si>
  <si>
    <t>29/11/2024 03:00</t>
  </si>
  <si>
    <t>29/11/2024 03:15</t>
  </si>
  <si>
    <t>29/11/2024 03:30</t>
  </si>
  <si>
    <t>29/11/2024 03:45</t>
  </si>
  <si>
    <t>29/11/2024 04:00</t>
  </si>
  <si>
    <t>29/11/2024 04:15</t>
  </si>
  <si>
    <t>29/11/2024 04:30</t>
  </si>
  <si>
    <t>29/11/2024 04:45</t>
  </si>
  <si>
    <t>29/11/2024 05:00</t>
  </si>
  <si>
    <t>29/11/2024 05:15</t>
  </si>
  <si>
    <t>29/11/2024 05:30</t>
  </si>
  <si>
    <t>29/11/2024 05:45</t>
  </si>
  <si>
    <t>29/11/2024 06:00</t>
  </si>
  <si>
    <t>29/11/2024 06:15</t>
  </si>
  <si>
    <t>29/11/2024 06:30</t>
  </si>
  <si>
    <t>29/11/2024 06:45</t>
  </si>
  <si>
    <t>29/11/2024 07:00</t>
  </si>
  <si>
    <t>29/11/2024 07:15</t>
  </si>
  <si>
    <t>29/11/2024 07:30</t>
  </si>
  <si>
    <t>29/11/2024 07:45</t>
  </si>
  <si>
    <t>29/11/2024 08:00</t>
  </si>
  <si>
    <t>29/11/2024 08:15</t>
  </si>
  <si>
    <t>29/11/2024 08:30</t>
  </si>
  <si>
    <t>29/11/2024 08:45</t>
  </si>
  <si>
    <t>29/11/2024 09:00</t>
  </si>
  <si>
    <t>29/11/2024 09:15</t>
  </si>
  <si>
    <t>29/11/2024 09:30</t>
  </si>
  <si>
    <t>29/11/2024 09:45</t>
  </si>
  <si>
    <t>29/11/2024 10:00</t>
  </si>
  <si>
    <t>29/11/2024 10:15</t>
  </si>
  <si>
    <t>29/11/2024 10:30</t>
  </si>
  <si>
    <t>29/11/2024 10:45</t>
  </si>
  <si>
    <t>29/11/2024 11:00</t>
  </si>
  <si>
    <t>29/11/2024 11:15</t>
  </si>
  <si>
    <t>29/11/2024 11:30</t>
  </si>
  <si>
    <t>29/11/2024 11:45</t>
  </si>
  <si>
    <t>29/11/2024 12:00</t>
  </si>
  <si>
    <t>29/11/2024 12:15</t>
  </si>
  <si>
    <t>29/11/2024 12:30</t>
  </si>
  <si>
    <t>29/11/2024 12:45</t>
  </si>
  <si>
    <t>29/11/2024 13:00</t>
  </si>
  <si>
    <t>29/11/2024 13:15</t>
  </si>
  <si>
    <t>29/11/2024 13:30</t>
  </si>
  <si>
    <t>29/11/2024 13:45</t>
  </si>
  <si>
    <t>29/11/2024 14:00</t>
  </si>
  <si>
    <t>29/11/2024 14:15</t>
  </si>
  <si>
    <t>29/11/2024 14:30</t>
  </si>
  <si>
    <t>29/11/2024 14:45</t>
  </si>
  <si>
    <t>29/11/2024 15:00</t>
  </si>
  <si>
    <t>29/11/2024 15:15</t>
  </si>
  <si>
    <t>29/11/2024 15:30</t>
  </si>
  <si>
    <t>29/11/2024 15:45</t>
  </si>
  <si>
    <t>29/11/2024 16:00</t>
  </si>
  <si>
    <t>29/11/2024 16:15</t>
  </si>
  <si>
    <t>29/11/2024 16:30</t>
  </si>
  <si>
    <t>29/11/2024 16:45</t>
  </si>
  <si>
    <t>29/11/2024 17:00</t>
  </si>
  <si>
    <t>29/11/2024 17:15</t>
  </si>
  <si>
    <t>29/11/2024 17:30</t>
  </si>
  <si>
    <t>29/11/2024 17:45</t>
  </si>
  <si>
    <t>29/11/2024 18:00</t>
  </si>
  <si>
    <t>29/11/2024 18:15</t>
  </si>
  <si>
    <t>29/11/2024 18:30</t>
  </si>
  <si>
    <t>29/11/2024 18:45</t>
  </si>
  <si>
    <t>29/11/2024 19:00</t>
  </si>
  <si>
    <t>29/11/2024 19:15</t>
  </si>
  <si>
    <t>29/11/2024 19:30</t>
  </si>
  <si>
    <t>29/11/2024 19:45</t>
  </si>
  <si>
    <t>29/11/2024 20:00</t>
  </si>
  <si>
    <t>29/11/2024 20:15</t>
  </si>
  <si>
    <t>29/11/2024 20:30</t>
  </si>
  <si>
    <t>29/11/2024 20:45</t>
  </si>
  <si>
    <t>29/11/2024 21:00</t>
  </si>
  <si>
    <t>29/11/2024 21:15</t>
  </si>
  <si>
    <t>29/11/2024 21:30</t>
  </si>
  <si>
    <t>29/11/2024 21:45</t>
  </si>
  <si>
    <t>29/11/2024 22:00</t>
  </si>
  <si>
    <t>29/11/2024 22:15</t>
  </si>
  <si>
    <t>29/11/2024 22:30</t>
  </si>
  <si>
    <t>29/11/2024 22:45</t>
  </si>
  <si>
    <t>29/11/2024 23:00</t>
  </si>
  <si>
    <t>29/11/2024 23:15</t>
  </si>
  <si>
    <t>29/11/2024 23:30</t>
  </si>
  <si>
    <t>29/11/2024 23:45</t>
  </si>
  <si>
    <t>29/11/2024 24:00</t>
  </si>
  <si>
    <t>30/11/2024 00:15</t>
  </si>
  <si>
    <t>30/11/2024 00:30</t>
  </si>
  <si>
    <t>30/11/2024 00:45</t>
  </si>
  <si>
    <t>30/11/2024 01:00</t>
  </si>
  <si>
    <t>30/11/2024 01:15</t>
  </si>
  <si>
    <t>30/11/2024 01:30</t>
  </si>
  <si>
    <t>30/11/2024 01:45</t>
  </si>
  <si>
    <t>30/11/2024 02:00</t>
  </si>
  <si>
    <t>30/11/2024 02:15</t>
  </si>
  <si>
    <t>30/11/2024 02:30</t>
  </si>
  <si>
    <t>30/11/2024 02:45</t>
  </si>
  <si>
    <t>30/11/2024 03:00</t>
  </si>
  <si>
    <t>30/11/2024 03:15</t>
  </si>
  <si>
    <t>30/11/2024 03:30</t>
  </si>
  <si>
    <t>30/11/2024 03:45</t>
  </si>
  <si>
    <t>30/11/2024 04:00</t>
  </si>
  <si>
    <t>30/11/2024 04:15</t>
  </si>
  <si>
    <t>30/11/2024 04:30</t>
  </si>
  <si>
    <t>30/11/2024 04:45</t>
  </si>
  <si>
    <t>30/11/2024 05:00</t>
  </si>
  <si>
    <t>30/11/2024 05:15</t>
  </si>
  <si>
    <t>30/11/2024 05:30</t>
  </si>
  <si>
    <t>30/11/2024 05:45</t>
  </si>
  <si>
    <t>30/11/2024 06:00</t>
  </si>
  <si>
    <t>30/11/2024 06:15</t>
  </si>
  <si>
    <t>30/11/2024 06:30</t>
  </si>
  <si>
    <t>30/11/2024 06:45</t>
  </si>
  <si>
    <t>30/11/2024 07:00</t>
  </si>
  <si>
    <t>30/11/2024 07:15</t>
  </si>
  <si>
    <t>30/11/2024 07:30</t>
  </si>
  <si>
    <t>30/11/2024 07:45</t>
  </si>
  <si>
    <t>30/11/2024 08:00</t>
  </si>
  <si>
    <t>30/11/2024 08:15</t>
  </si>
  <si>
    <t>30/11/2024 08:30</t>
  </si>
  <si>
    <t>30/11/2024 08:45</t>
  </si>
  <si>
    <t>30/11/2024 09:00</t>
  </si>
  <si>
    <t>30/11/2024 09:15</t>
  </si>
  <si>
    <t>30/11/2024 09:30</t>
  </si>
  <si>
    <t>30/11/2024 09:45</t>
  </si>
  <si>
    <t>30/11/2024 10:00</t>
  </si>
  <si>
    <t>30/11/2024 10:15</t>
  </si>
  <si>
    <t>30/11/2024 10:30</t>
  </si>
  <si>
    <t>30/11/2024 10:45</t>
  </si>
  <si>
    <t>30/11/2024 11:00</t>
  </si>
  <si>
    <t>30/11/2024 11:15</t>
  </si>
  <si>
    <t>30/11/2024 11:30</t>
  </si>
  <si>
    <t>30/11/2024 11:45</t>
  </si>
  <si>
    <t>30/11/2024 12:00</t>
  </si>
  <si>
    <t>30/11/2024 12:15</t>
  </si>
  <si>
    <t>30/11/2024 12:30</t>
  </si>
  <si>
    <t>30/11/2024 12:45</t>
  </si>
  <si>
    <t>30/11/2024 13:00</t>
  </si>
  <si>
    <t>30/11/2024 13:15</t>
  </si>
  <si>
    <t>30/11/2024 13:30</t>
  </si>
  <si>
    <t>30/11/2024 13:45</t>
  </si>
  <si>
    <t>30/11/2024 14:00</t>
  </si>
  <si>
    <t>30/11/2024 14:15</t>
  </si>
  <si>
    <t>30/11/2024 14:30</t>
  </si>
  <si>
    <t>30/11/2024 14:45</t>
  </si>
  <si>
    <t>30/11/2024 15:00</t>
  </si>
  <si>
    <t>30/11/2024 15:15</t>
  </si>
  <si>
    <t>30/11/2024 15:30</t>
  </si>
  <si>
    <t>30/11/2024 15:45</t>
  </si>
  <si>
    <t>30/11/2024 16:00</t>
  </si>
  <si>
    <t>30/11/2024 16:15</t>
  </si>
  <si>
    <t>30/11/2024 16:30</t>
  </si>
  <si>
    <t>30/11/2024 16:45</t>
  </si>
  <si>
    <t>30/11/2024 17:00</t>
  </si>
  <si>
    <t>30/11/2024 17:15</t>
  </si>
  <si>
    <t>30/11/2024 17:30</t>
  </si>
  <si>
    <t>30/11/2024 17:45</t>
  </si>
  <si>
    <t>30/11/2024 18:00</t>
  </si>
  <si>
    <t>30/11/2024 18:15</t>
  </si>
  <si>
    <t>30/11/2024 18:30</t>
  </si>
  <si>
    <t>30/11/2024 18:45</t>
  </si>
  <si>
    <t>30/11/2024 19:00</t>
  </si>
  <si>
    <t>30/11/2024 19:15</t>
  </si>
  <si>
    <t>30/11/2024 19:30</t>
  </si>
  <si>
    <t>30/11/2024 19:45</t>
  </si>
  <si>
    <t>30/11/2024 20:00</t>
  </si>
  <si>
    <t>30/11/2024 20:15</t>
  </si>
  <si>
    <t>30/11/2024 20:30</t>
  </si>
  <si>
    <t>30/11/2024 20:45</t>
  </si>
  <si>
    <t>30/11/2024 21:00</t>
  </si>
  <si>
    <t>30/11/2024 21:15</t>
  </si>
  <si>
    <t>30/11/2024 21:30</t>
  </si>
  <si>
    <t>30/11/2024 21:45</t>
  </si>
  <si>
    <t>30/11/2024 22:00</t>
  </si>
  <si>
    <t>30/11/2024 22:15</t>
  </si>
  <si>
    <t>30/11/2024 22:30</t>
  </si>
  <si>
    <t>30/11/2024 22:45</t>
  </si>
  <si>
    <t>30/11/2024 23:00</t>
  </si>
  <si>
    <t>30/11/2024 23:15</t>
  </si>
  <si>
    <t>30/11/2024 23:30</t>
  </si>
  <si>
    <t>30/11/2024 23:45</t>
  </si>
  <si>
    <t>30/11/2024 24:00</t>
  </si>
  <si>
    <t>847 ug/cm2</t>
  </si>
  <si>
    <t>835 ug/cm2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</si>
</sst>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245</v>
      </c>
      <c r="B9" s="64">
        <v>34.03</v>
      </c>
      <c r="C9" s="64">
        <v>13.77</v>
      </c>
      <c r="D9" s="64">
        <v>33.11</v>
      </c>
      <c r="E9" s="64">
        <v>14.5</v>
      </c>
      <c r="F9" s="64">
        <v>7.31</v>
      </c>
      <c r="G9" s="209" t="s">
        <v>42</v>
      </c>
      <c r="H9" s="209" t="s">
        <v>42</v>
      </c>
      <c r="I9" s="64">
        <v>5.94</v>
      </c>
      <c r="J9" s="64">
        <v>0.61</v>
      </c>
      <c r="K9" s="64">
        <v>328.52</v>
      </c>
      <c r="L9" s="64">
        <v>23.62</v>
      </c>
      <c r="M9" s="64">
        <v>102.48</v>
      </c>
      <c r="N9" s="64">
        <v>26.1</v>
      </c>
      <c r="O9" s="64">
        <v>0</v>
      </c>
      <c r="P9" s="64">
        <v>1.43</v>
      </c>
      <c r="Q9" s="64">
        <v>9.61</v>
      </c>
      <c r="R9" s="196"/>
      <c r="S9" s="196"/>
      <c r="T9" s="196"/>
      <c r="U9" s="196"/>
    </row>
    <row r="10" spans="1:21" s="12" customFormat="1" x14ac:dyDescent="0.25">
      <c r="A10" s="211" t="s">
        <v>246</v>
      </c>
      <c r="B10" s="64">
        <v>35.119999999999997</v>
      </c>
      <c r="C10" s="64">
        <v>13.58</v>
      </c>
      <c r="D10" s="64">
        <v>33.880000000000003</v>
      </c>
      <c r="E10" s="64">
        <v>14.11</v>
      </c>
      <c r="F10" s="64">
        <v>7.82</v>
      </c>
      <c r="G10" s="209" t="s">
        <v>42</v>
      </c>
      <c r="H10" s="209" t="s">
        <v>42</v>
      </c>
      <c r="I10" s="64">
        <v>6.44</v>
      </c>
      <c r="J10" s="64">
        <v>0.56999999999999995</v>
      </c>
      <c r="K10" s="64">
        <v>308.33999999999997</v>
      </c>
      <c r="L10" s="64">
        <v>23.2</v>
      </c>
      <c r="M10" s="64">
        <v>102.74</v>
      </c>
      <c r="N10" s="64">
        <v>26.1</v>
      </c>
      <c r="O10" s="64">
        <v>0</v>
      </c>
      <c r="P10" s="64">
        <v>1.33</v>
      </c>
      <c r="Q10" s="64">
        <v>9.6199999999999992</v>
      </c>
      <c r="R10" s="196"/>
      <c r="S10" s="196"/>
      <c r="T10" s="196"/>
      <c r="U10" s="196"/>
    </row>
    <row r="11" spans="1:21" s="12" customFormat="1" x14ac:dyDescent="0.25">
      <c r="A11" s="211" t="s">
        <v>247</v>
      </c>
      <c r="B11" s="64">
        <v>34.81</v>
      </c>
      <c r="C11" s="64">
        <v>13.04</v>
      </c>
      <c r="D11" s="64">
        <v>33.35</v>
      </c>
      <c r="E11" s="64">
        <v>12.82</v>
      </c>
      <c r="F11" s="64">
        <v>7.58</v>
      </c>
      <c r="G11" s="209" t="s">
        <v>42</v>
      </c>
      <c r="H11" s="209" t="s">
        <v>42</v>
      </c>
      <c r="I11" s="64">
        <v>6.15</v>
      </c>
      <c r="J11" s="64">
        <v>0.54</v>
      </c>
      <c r="K11" s="64">
        <v>311.60000000000002</v>
      </c>
      <c r="L11" s="64">
        <v>22.88</v>
      </c>
      <c r="M11" s="64">
        <v>102.76</v>
      </c>
      <c r="N11" s="64">
        <v>26.1</v>
      </c>
      <c r="O11" s="64">
        <v>0</v>
      </c>
      <c r="P11" s="64">
        <v>1.17</v>
      </c>
      <c r="Q11" s="64">
        <v>9.6199999999999992</v>
      </c>
      <c r="R11" s="196"/>
      <c r="S11" s="196"/>
      <c r="T11" s="196"/>
      <c r="U11" s="196"/>
    </row>
    <row r="12" spans="1:21" s="12" customFormat="1" x14ac:dyDescent="0.25">
      <c r="A12" s="211" t="s">
        <v>248</v>
      </c>
      <c r="B12" s="64">
        <v>34.49</v>
      </c>
      <c r="C12" s="64">
        <v>13.22</v>
      </c>
      <c r="D12" s="64">
        <v>33.19</v>
      </c>
      <c r="E12" s="64">
        <v>12.38</v>
      </c>
      <c r="F12" s="64">
        <v>6.25</v>
      </c>
      <c r="G12" s="209" t="s">
        <v>42</v>
      </c>
      <c r="H12" s="209" t="s">
        <v>42</v>
      </c>
      <c r="I12" s="64">
        <v>5.25</v>
      </c>
      <c r="J12" s="64">
        <v>0.66</v>
      </c>
      <c r="K12" s="64">
        <v>339.42</v>
      </c>
      <c r="L12" s="64">
        <v>22.74</v>
      </c>
      <c r="M12" s="64">
        <v>102.78</v>
      </c>
      <c r="N12" s="64">
        <v>26</v>
      </c>
      <c r="O12" s="64">
        <v>0</v>
      </c>
      <c r="P12" s="64">
        <v>1.24</v>
      </c>
      <c r="Q12" s="64">
        <v>9.6199999999999992</v>
      </c>
      <c r="R12" s="196"/>
      <c r="S12" s="196"/>
      <c r="T12" s="196"/>
      <c r="U12" s="196"/>
    </row>
    <row r="13" spans="1:21" s="12" customFormat="1" x14ac:dyDescent="0.25">
      <c r="A13" s="211" t="s">
        <v>249</v>
      </c>
      <c r="B13" s="64">
        <v>35.01</v>
      </c>
      <c r="C13" s="64">
        <v>12.81</v>
      </c>
      <c r="D13" s="64">
        <v>33.39</v>
      </c>
      <c r="E13" s="64">
        <v>12.31</v>
      </c>
      <c r="F13" s="64">
        <v>6.78</v>
      </c>
      <c r="G13" s="209" t="s">
        <v>42</v>
      </c>
      <c r="H13" s="209" t="s">
        <v>42</v>
      </c>
      <c r="I13" s="64">
        <v>5.84</v>
      </c>
      <c r="J13" s="64">
        <v>0.45</v>
      </c>
      <c r="K13" s="64">
        <v>327.54000000000002</v>
      </c>
      <c r="L13" s="64">
        <v>22.54</v>
      </c>
      <c r="M13" s="64">
        <v>102.78</v>
      </c>
      <c r="N13" s="64">
        <v>26</v>
      </c>
      <c r="O13" s="64">
        <v>0</v>
      </c>
      <c r="P13" s="64">
        <v>1.17</v>
      </c>
      <c r="Q13" s="64">
        <v>9.6300000000000008</v>
      </c>
      <c r="R13" s="196"/>
      <c r="S13" s="196"/>
      <c r="T13" s="196"/>
      <c r="U13" s="196"/>
    </row>
    <row r="14" spans="1:21" s="12" customFormat="1" x14ac:dyDescent="0.25">
      <c r="A14" s="211" t="s">
        <v>250</v>
      </c>
      <c r="B14" s="64">
        <v>35.79</v>
      </c>
      <c r="C14" s="64">
        <v>12.14</v>
      </c>
      <c r="D14" s="64">
        <v>33.659999999999997</v>
      </c>
      <c r="E14" s="64">
        <v>12.27</v>
      </c>
      <c r="F14" s="64">
        <v>6.8</v>
      </c>
      <c r="G14" s="209" t="s">
        <v>42</v>
      </c>
      <c r="H14" s="209" t="s">
        <v>42</v>
      </c>
      <c r="I14" s="64">
        <v>5.63</v>
      </c>
      <c r="J14" s="64">
        <v>0.19</v>
      </c>
      <c r="K14" s="64">
        <v>285.68</v>
      </c>
      <c r="L14" s="64">
        <v>22.46</v>
      </c>
      <c r="M14" s="64">
        <v>102.78</v>
      </c>
      <c r="N14" s="64">
        <v>25.9</v>
      </c>
      <c r="O14" s="64">
        <v>0</v>
      </c>
      <c r="P14" s="64">
        <v>1.07</v>
      </c>
      <c r="Q14" s="64">
        <v>9.6300000000000008</v>
      </c>
      <c r="R14" s="196"/>
      <c r="S14" s="196"/>
      <c r="T14" s="196"/>
      <c r="U14" s="196"/>
    </row>
    <row r="15" spans="1:21" s="12" customFormat="1" x14ac:dyDescent="0.25">
      <c r="A15" s="211" t="s">
        <v>251</v>
      </c>
      <c r="B15" s="64">
        <v>35.54</v>
      </c>
      <c r="C15" s="64">
        <v>12.35</v>
      </c>
      <c r="D15" s="64">
        <v>33.58</v>
      </c>
      <c r="E15" s="64">
        <v>11.52</v>
      </c>
      <c r="F15" s="64">
        <v>6.6</v>
      </c>
      <c r="G15" s="209" t="s">
        <v>42</v>
      </c>
      <c r="H15" s="209" t="s">
        <v>42</v>
      </c>
      <c r="I15" s="64">
        <v>5.3</v>
      </c>
      <c r="J15" s="64">
        <v>0.56000000000000005</v>
      </c>
      <c r="K15" s="64">
        <v>324.41000000000003</v>
      </c>
      <c r="L15" s="64">
        <v>22.4</v>
      </c>
      <c r="M15" s="64">
        <v>102.78</v>
      </c>
      <c r="N15" s="64">
        <v>25.8</v>
      </c>
      <c r="O15" s="64">
        <v>0</v>
      </c>
      <c r="P15" s="64">
        <v>1.02</v>
      </c>
      <c r="Q15" s="64">
        <v>9.64</v>
      </c>
      <c r="R15" s="196"/>
      <c r="S15" s="196"/>
      <c r="T15" s="196"/>
      <c r="U15" s="196"/>
    </row>
    <row r="16" spans="1:21" s="12" customFormat="1" x14ac:dyDescent="0.25">
      <c r="A16" s="211" t="s">
        <v>252</v>
      </c>
      <c r="B16" s="64">
        <v>35.619999999999997</v>
      </c>
      <c r="C16" s="64">
        <v>11.15</v>
      </c>
      <c r="D16" s="64">
        <v>33.01</v>
      </c>
      <c r="E16" s="64">
        <v>10.67</v>
      </c>
      <c r="F16" s="64">
        <v>6.25</v>
      </c>
      <c r="G16" s="209" t="s">
        <v>42</v>
      </c>
      <c r="H16" s="209" t="s">
        <v>42</v>
      </c>
      <c r="I16" s="64">
        <v>5.94</v>
      </c>
      <c r="J16" s="64">
        <v>0.56999999999999995</v>
      </c>
      <c r="K16" s="64">
        <v>301.94</v>
      </c>
      <c r="L16" s="64">
        <v>22.36</v>
      </c>
      <c r="M16" s="64">
        <v>102.78</v>
      </c>
      <c r="N16" s="64">
        <v>25.7</v>
      </c>
      <c r="O16" s="64">
        <v>0</v>
      </c>
      <c r="P16" s="64">
        <v>0.87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253</v>
      </c>
      <c r="B17" s="64">
        <v>34.74</v>
      </c>
      <c r="C17" s="64">
        <v>10.28</v>
      </c>
      <c r="D17" s="64">
        <v>31.86</v>
      </c>
      <c r="E17" s="64">
        <v>9.93</v>
      </c>
      <c r="F17" s="64">
        <v>5.96</v>
      </c>
      <c r="G17" s="209" t="s">
        <v>42</v>
      </c>
      <c r="H17" s="209" t="s">
        <v>42</v>
      </c>
      <c r="I17" s="64">
        <v>5.24</v>
      </c>
      <c r="J17" s="64">
        <v>0.4</v>
      </c>
      <c r="K17" s="64">
        <v>336.83</v>
      </c>
      <c r="L17" s="64">
        <v>22.15</v>
      </c>
      <c r="M17" s="64">
        <v>102.78</v>
      </c>
      <c r="N17" s="64">
        <v>25.9</v>
      </c>
      <c r="O17" s="64">
        <v>0</v>
      </c>
      <c r="P17" s="64">
        <v>0.84</v>
      </c>
      <c r="Q17" s="64">
        <v>9.6300000000000008</v>
      </c>
      <c r="R17" s="196"/>
      <c r="S17" s="196"/>
      <c r="T17" s="196"/>
      <c r="U17" s="196"/>
    </row>
    <row r="18" spans="1:21" s="12" customFormat="1" x14ac:dyDescent="0.25">
      <c r="A18" s="211" t="s">
        <v>254</v>
      </c>
      <c r="B18" s="64">
        <v>33.659999999999997</v>
      </c>
      <c r="C18" s="64">
        <v>9.94</v>
      </c>
      <c r="D18" s="64">
        <v>30.81</v>
      </c>
      <c r="E18" s="64">
        <v>9.4499999999999993</v>
      </c>
      <c r="F18" s="64">
        <v>6.28</v>
      </c>
      <c r="G18" s="64">
        <v>324.58999999999997</v>
      </c>
      <c r="H18" s="64">
        <v>194.67</v>
      </c>
      <c r="I18" s="64">
        <v>4.18</v>
      </c>
      <c r="J18" s="64">
        <v>0.54</v>
      </c>
      <c r="K18" s="64">
        <v>344.37</v>
      </c>
      <c r="L18" s="64">
        <v>21.96</v>
      </c>
      <c r="M18" s="64">
        <v>102.78</v>
      </c>
      <c r="N18" s="64">
        <v>25.9</v>
      </c>
      <c r="O18" s="64">
        <v>0</v>
      </c>
      <c r="P18" s="64">
        <v>0.85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255</v>
      </c>
      <c r="B19" s="64">
        <v>32.64</v>
      </c>
      <c r="C19" s="64">
        <v>9.73</v>
      </c>
      <c r="D19" s="64">
        <v>29.88</v>
      </c>
      <c r="E19" s="64">
        <v>9.14</v>
      </c>
      <c r="F19" s="64">
        <v>6.21</v>
      </c>
      <c r="G19" s="64">
        <v>254.84</v>
      </c>
      <c r="H19" s="64">
        <v>160.06</v>
      </c>
      <c r="I19" s="64">
        <v>3.88</v>
      </c>
      <c r="J19" s="64">
        <v>0.85</v>
      </c>
      <c r="K19" s="64">
        <v>347.76</v>
      </c>
      <c r="L19" s="64">
        <v>21.92</v>
      </c>
      <c r="M19" s="64">
        <v>102.78</v>
      </c>
      <c r="N19" s="64">
        <v>25.7</v>
      </c>
      <c r="O19" s="64">
        <v>0</v>
      </c>
      <c r="P19" s="64">
        <v>0.87</v>
      </c>
      <c r="Q19" s="64">
        <v>9.6199999999999992</v>
      </c>
      <c r="R19" s="196"/>
      <c r="S19" s="196"/>
      <c r="T19" s="196"/>
      <c r="U19" s="196"/>
    </row>
    <row r="20" spans="1:21" s="12" customFormat="1" x14ac:dyDescent="0.25">
      <c r="A20" s="211" t="s">
        <v>256</v>
      </c>
      <c r="B20" s="64">
        <v>31.55</v>
      </c>
      <c r="C20" s="64">
        <v>9.73</v>
      </c>
      <c r="D20" s="64">
        <v>29</v>
      </c>
      <c r="E20" s="64">
        <v>8.52</v>
      </c>
      <c r="F20" s="64">
        <v>5.5</v>
      </c>
      <c r="G20" s="64">
        <v>254.84</v>
      </c>
      <c r="H20" s="64">
        <v>160.06</v>
      </c>
      <c r="I20" s="64">
        <v>4.3</v>
      </c>
      <c r="J20" s="64">
        <v>1.07</v>
      </c>
      <c r="K20" s="64">
        <v>340.05</v>
      </c>
      <c r="L20" s="64">
        <v>21.81</v>
      </c>
      <c r="M20" s="64">
        <v>102.77</v>
      </c>
      <c r="N20" s="64">
        <v>25.3</v>
      </c>
      <c r="O20" s="64">
        <v>0</v>
      </c>
      <c r="P20" s="64">
        <v>0.87</v>
      </c>
      <c r="Q20" s="64">
        <v>9.6199999999999992</v>
      </c>
      <c r="R20" s="196"/>
      <c r="S20" s="196"/>
      <c r="T20" s="196"/>
      <c r="U20" s="196"/>
    </row>
    <row r="21" spans="1:21" s="12" customFormat="1" x14ac:dyDescent="0.25">
      <c r="A21" s="211" t="s">
        <v>257</v>
      </c>
      <c r="B21" s="64">
        <v>30.35</v>
      </c>
      <c r="C21" s="64">
        <v>9.52</v>
      </c>
      <c r="D21" s="64">
        <v>27.94</v>
      </c>
      <c r="E21" s="64">
        <v>8</v>
      </c>
      <c r="F21" s="64">
        <v>5.24</v>
      </c>
      <c r="G21" s="64">
        <v>254.84</v>
      </c>
      <c r="H21" s="64">
        <v>160.06</v>
      </c>
      <c r="I21" s="64">
        <v>4.55</v>
      </c>
      <c r="J21" s="64">
        <v>0.6</v>
      </c>
      <c r="K21" s="64">
        <v>334.42</v>
      </c>
      <c r="L21" s="64">
        <v>21.86</v>
      </c>
      <c r="M21" s="64">
        <v>102.75</v>
      </c>
      <c r="N21" s="64">
        <v>25.6</v>
      </c>
      <c r="O21" s="64">
        <v>0</v>
      </c>
      <c r="P21" s="64">
        <v>0.73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258</v>
      </c>
      <c r="B22" s="64">
        <v>29.29</v>
      </c>
      <c r="C22" s="64">
        <v>9.16</v>
      </c>
      <c r="D22" s="64">
        <v>26.9</v>
      </c>
      <c r="E22" s="64">
        <v>8.0500000000000007</v>
      </c>
      <c r="F22" s="64">
        <v>5.12</v>
      </c>
      <c r="G22" s="64">
        <v>212.54</v>
      </c>
      <c r="H22" s="64">
        <v>128.22</v>
      </c>
      <c r="I22" s="64">
        <v>4.3499999999999996</v>
      </c>
      <c r="J22" s="64">
        <v>0.49</v>
      </c>
      <c r="K22" s="64">
        <v>339.66</v>
      </c>
      <c r="L22" s="64">
        <v>21.62</v>
      </c>
      <c r="M22" s="64">
        <v>102.22</v>
      </c>
      <c r="N22" s="64">
        <v>25.8</v>
      </c>
      <c r="O22" s="64">
        <v>0</v>
      </c>
      <c r="P22" s="64">
        <v>0.78</v>
      </c>
      <c r="Q22" s="64">
        <v>9.6199999999999992</v>
      </c>
      <c r="R22" s="196"/>
      <c r="S22" s="196"/>
      <c r="T22" s="196"/>
      <c r="U22" s="196"/>
    </row>
    <row r="23" spans="1:21" s="12" customFormat="1" x14ac:dyDescent="0.25">
      <c r="A23" s="211" t="s">
        <v>259</v>
      </c>
      <c r="B23" s="64">
        <v>28.25</v>
      </c>
      <c r="C23" s="64">
        <v>9.3699999999999992</v>
      </c>
      <c r="D23" s="64">
        <v>26.18</v>
      </c>
      <c r="E23" s="64">
        <v>7.49</v>
      </c>
      <c r="F23" s="64">
        <v>4.8099999999999996</v>
      </c>
      <c r="G23" s="64">
        <v>176.44</v>
      </c>
      <c r="H23" s="64">
        <v>121.15</v>
      </c>
      <c r="I23" s="64">
        <v>3.68</v>
      </c>
      <c r="J23" s="64">
        <v>0.28999999999999998</v>
      </c>
      <c r="K23" s="64">
        <v>318.54000000000002</v>
      </c>
      <c r="L23" s="64">
        <v>21.34</v>
      </c>
      <c r="M23" s="64">
        <v>98.3</v>
      </c>
      <c r="N23" s="64">
        <v>26</v>
      </c>
      <c r="O23" s="64">
        <v>0</v>
      </c>
      <c r="P23" s="64">
        <v>1.01</v>
      </c>
      <c r="Q23" s="64">
        <v>9.6300000000000008</v>
      </c>
      <c r="R23" s="196"/>
      <c r="S23" s="196"/>
      <c r="T23" s="196"/>
      <c r="U23" s="196"/>
    </row>
    <row r="24" spans="1:21" s="12" customFormat="1" x14ac:dyDescent="0.25">
      <c r="A24" s="211" t="s">
        <v>260</v>
      </c>
      <c r="B24" s="64">
        <v>26.85</v>
      </c>
      <c r="C24" s="64">
        <v>9.91</v>
      </c>
      <c r="D24" s="64">
        <v>25.33</v>
      </c>
      <c r="E24" s="64">
        <v>6.59</v>
      </c>
      <c r="F24" s="64">
        <v>5.18</v>
      </c>
      <c r="G24" s="64">
        <v>176.44</v>
      </c>
      <c r="H24" s="64">
        <v>121.15</v>
      </c>
      <c r="I24" s="64">
        <v>4.2</v>
      </c>
      <c r="J24" s="64">
        <v>0.38</v>
      </c>
      <c r="K24" s="64">
        <v>343.75</v>
      </c>
      <c r="L24" s="64">
        <v>21.25</v>
      </c>
      <c r="M24" s="64">
        <v>96.51</v>
      </c>
      <c r="N24" s="64">
        <v>26</v>
      </c>
      <c r="O24" s="64">
        <v>0</v>
      </c>
      <c r="P24" s="64">
        <v>1.03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261</v>
      </c>
      <c r="B25" s="64">
        <v>25.15</v>
      </c>
      <c r="C25" s="64">
        <v>9.66</v>
      </c>
      <c r="D25" s="64">
        <v>23.84</v>
      </c>
      <c r="E25" s="64">
        <v>6.93</v>
      </c>
      <c r="F25" s="64">
        <v>4.78</v>
      </c>
      <c r="G25" s="64">
        <v>176.44</v>
      </c>
      <c r="H25" s="64">
        <v>121.15</v>
      </c>
      <c r="I25" s="64">
        <v>5.86</v>
      </c>
      <c r="J25" s="64">
        <v>0.33</v>
      </c>
      <c r="K25" s="64">
        <v>9.1999999999999993</v>
      </c>
      <c r="L25" s="64">
        <v>21.22</v>
      </c>
      <c r="M25" s="64">
        <v>90.69</v>
      </c>
      <c r="N25" s="64">
        <v>26</v>
      </c>
      <c r="O25" s="64">
        <v>0</v>
      </c>
      <c r="P25" s="64">
        <v>1</v>
      </c>
      <c r="Q25" s="64">
        <v>9.6199999999999992</v>
      </c>
      <c r="R25" s="196"/>
      <c r="S25" s="196"/>
      <c r="T25" s="196"/>
      <c r="U25" s="196"/>
    </row>
    <row r="26" spans="1:21" s="12" customFormat="1" x14ac:dyDescent="0.25">
      <c r="A26" s="211" t="s">
        <v>262</v>
      </c>
      <c r="B26" s="64">
        <v>23.78</v>
      </c>
      <c r="C26" s="64">
        <v>9.5399999999999991</v>
      </c>
      <c r="D26" s="64">
        <v>22.68</v>
      </c>
      <c r="E26" s="64">
        <v>6.77</v>
      </c>
      <c r="F26" s="64">
        <v>4.59</v>
      </c>
      <c r="G26" s="64">
        <v>138.28</v>
      </c>
      <c r="H26" s="64">
        <v>59.86</v>
      </c>
      <c r="I26" s="64">
        <v>6.16</v>
      </c>
      <c r="J26" s="64">
        <v>0.43</v>
      </c>
      <c r="K26" s="64">
        <v>333.19</v>
      </c>
      <c r="L26" s="64">
        <v>21</v>
      </c>
      <c r="M26" s="64">
        <v>90.69</v>
      </c>
      <c r="N26" s="64">
        <v>26.1</v>
      </c>
      <c r="O26" s="64">
        <v>0</v>
      </c>
      <c r="P26" s="64">
        <v>0.96</v>
      </c>
      <c r="Q26" s="64">
        <v>9.6</v>
      </c>
      <c r="R26" s="196"/>
      <c r="S26" s="196"/>
      <c r="T26" s="196"/>
      <c r="U26" s="196"/>
    </row>
    <row r="27" spans="1:21" s="12" customFormat="1" x14ac:dyDescent="0.25">
      <c r="A27" s="211" t="s">
        <v>263</v>
      </c>
      <c r="B27" s="64">
        <v>22.69</v>
      </c>
      <c r="C27" s="64">
        <v>9.61</v>
      </c>
      <c r="D27" s="64">
        <v>21.84</v>
      </c>
      <c r="E27" s="64">
        <v>6.52</v>
      </c>
      <c r="F27" s="64">
        <v>4.4400000000000004</v>
      </c>
      <c r="G27" s="64">
        <v>115.11</v>
      </c>
      <c r="H27" s="64">
        <v>46.48</v>
      </c>
      <c r="I27" s="64">
        <v>5.88</v>
      </c>
      <c r="J27" s="64">
        <v>0.35</v>
      </c>
      <c r="K27" s="64">
        <v>346.75</v>
      </c>
      <c r="L27" s="64">
        <v>20.87</v>
      </c>
      <c r="M27" s="64">
        <v>92.94</v>
      </c>
      <c r="N27" s="64">
        <v>25.9</v>
      </c>
      <c r="O27" s="64">
        <v>0</v>
      </c>
      <c r="P27" s="64">
        <v>0.98</v>
      </c>
      <c r="Q27" s="64">
        <v>9.61</v>
      </c>
      <c r="R27" s="196"/>
      <c r="S27" s="196"/>
      <c r="T27" s="196"/>
      <c r="U27" s="196"/>
    </row>
    <row r="28" spans="1:21" s="12" customFormat="1" x14ac:dyDescent="0.25">
      <c r="A28" s="211" t="s">
        <v>264</v>
      </c>
      <c r="B28" s="64">
        <v>21.73</v>
      </c>
      <c r="C28" s="64">
        <v>9.73</v>
      </c>
      <c r="D28" s="64">
        <v>21.14</v>
      </c>
      <c r="E28" s="64">
        <v>6.06</v>
      </c>
      <c r="F28" s="64">
        <v>4.22</v>
      </c>
      <c r="G28" s="64">
        <v>115.11</v>
      </c>
      <c r="H28" s="64">
        <v>46.48</v>
      </c>
      <c r="I28" s="64">
        <v>5.79</v>
      </c>
      <c r="J28" s="64">
        <v>0.38</v>
      </c>
      <c r="K28" s="64">
        <v>309.27</v>
      </c>
      <c r="L28" s="64">
        <v>20.68</v>
      </c>
      <c r="M28" s="64">
        <v>90.43</v>
      </c>
      <c r="N28" s="64">
        <v>26.1</v>
      </c>
      <c r="O28" s="64">
        <v>0</v>
      </c>
      <c r="P28" s="64">
        <v>0.97</v>
      </c>
      <c r="Q28" s="64">
        <v>9.61</v>
      </c>
      <c r="R28" s="196"/>
      <c r="S28" s="196"/>
      <c r="T28" s="196"/>
      <c r="U28" s="196"/>
    </row>
    <row r="29" spans="1:21" s="12" customFormat="1" x14ac:dyDescent="0.25">
      <c r="A29" s="211" t="s">
        <v>265</v>
      </c>
      <c r="B29" s="64">
        <v>20.75</v>
      </c>
      <c r="C29" s="64">
        <v>9.9700000000000006</v>
      </c>
      <c r="D29" s="64">
        <v>20.47</v>
      </c>
      <c r="E29" s="64">
        <v>6.28</v>
      </c>
      <c r="F29" s="64">
        <v>4.38</v>
      </c>
      <c r="G29" s="64">
        <v>115.11</v>
      </c>
      <c r="H29" s="64">
        <v>46.48</v>
      </c>
      <c r="I29" s="64">
        <v>5.82</v>
      </c>
      <c r="J29" s="64">
        <v>0.94</v>
      </c>
      <c r="K29" s="64">
        <v>336.41</v>
      </c>
      <c r="L29" s="64">
        <v>20.64</v>
      </c>
      <c r="M29" s="64">
        <v>88</v>
      </c>
      <c r="N29" s="64">
        <v>25.2</v>
      </c>
      <c r="O29" s="64">
        <v>0</v>
      </c>
      <c r="P29" s="64">
        <v>0.96</v>
      </c>
      <c r="Q29" s="64">
        <v>9.6199999999999992</v>
      </c>
      <c r="R29" s="196"/>
      <c r="S29" s="196"/>
      <c r="T29" s="196"/>
      <c r="U29" s="196"/>
    </row>
    <row r="30" spans="1:21" s="12" customFormat="1" x14ac:dyDescent="0.25">
      <c r="A30" s="211" t="s">
        <v>266</v>
      </c>
      <c r="B30" s="64">
        <v>19.84</v>
      </c>
      <c r="C30" s="64">
        <v>10.11</v>
      </c>
      <c r="D30" s="64">
        <v>19.809999999999999</v>
      </c>
      <c r="E30" s="64">
        <v>6.01</v>
      </c>
      <c r="F30" s="64">
        <v>4</v>
      </c>
      <c r="G30" s="64">
        <v>101.46</v>
      </c>
      <c r="H30" s="64">
        <v>51.25</v>
      </c>
      <c r="I30" s="64">
        <v>5.81</v>
      </c>
      <c r="J30" s="64">
        <v>0.73</v>
      </c>
      <c r="K30" s="64">
        <v>339.81</v>
      </c>
      <c r="L30" s="64">
        <v>20.75</v>
      </c>
      <c r="M30" s="64">
        <v>83.86</v>
      </c>
      <c r="N30" s="64">
        <v>25.7</v>
      </c>
      <c r="O30" s="64">
        <v>0</v>
      </c>
      <c r="P30" s="64">
        <v>0.94</v>
      </c>
      <c r="Q30" s="64">
        <v>9.6199999999999992</v>
      </c>
      <c r="R30" s="196"/>
      <c r="S30" s="196"/>
      <c r="T30" s="196"/>
      <c r="U30" s="196"/>
    </row>
    <row r="31" spans="1:21" s="12" customFormat="1" x14ac:dyDescent="0.25">
      <c r="A31" s="211" t="s">
        <v>267</v>
      </c>
      <c r="B31" s="64">
        <v>18.84</v>
      </c>
      <c r="C31" s="64">
        <v>10.34</v>
      </c>
      <c r="D31" s="64">
        <v>19.13</v>
      </c>
      <c r="E31" s="64">
        <v>5.92</v>
      </c>
      <c r="F31" s="64">
        <v>4.43</v>
      </c>
      <c r="G31" s="64">
        <v>93.17</v>
      </c>
      <c r="H31" s="64">
        <v>52.29</v>
      </c>
      <c r="I31" s="64">
        <v>5.76</v>
      </c>
      <c r="J31" s="64">
        <v>0.83</v>
      </c>
      <c r="K31" s="64">
        <v>340.78</v>
      </c>
      <c r="L31" s="64">
        <v>20.89</v>
      </c>
      <c r="M31" s="64">
        <v>81.150000000000006</v>
      </c>
      <c r="N31" s="64">
        <v>25.7</v>
      </c>
      <c r="O31" s="64">
        <v>0</v>
      </c>
      <c r="P31" s="64">
        <v>0.92</v>
      </c>
      <c r="Q31" s="64">
        <v>9.6199999999999992</v>
      </c>
      <c r="R31" s="196"/>
      <c r="S31" s="196"/>
      <c r="T31" s="196"/>
      <c r="U31" s="196"/>
    </row>
    <row r="32" spans="1:21" s="12" customFormat="1" x14ac:dyDescent="0.25">
      <c r="A32" s="211" t="s">
        <v>268</v>
      </c>
      <c r="B32" s="64">
        <v>18.010000000000002</v>
      </c>
      <c r="C32" s="64">
        <v>10.47</v>
      </c>
      <c r="D32" s="64">
        <v>18.53</v>
      </c>
      <c r="E32" s="64">
        <v>5.62</v>
      </c>
      <c r="F32" s="64">
        <v>3.51</v>
      </c>
      <c r="G32" s="64">
        <v>93.17</v>
      </c>
      <c r="H32" s="64">
        <v>52.29</v>
      </c>
      <c r="I32" s="64">
        <v>5.77</v>
      </c>
      <c r="J32" s="64">
        <v>0.93</v>
      </c>
      <c r="K32" s="64">
        <v>343.97</v>
      </c>
      <c r="L32" s="64">
        <v>20.78</v>
      </c>
      <c r="M32" s="64">
        <v>80.010000000000005</v>
      </c>
      <c r="N32" s="64">
        <v>26.2</v>
      </c>
      <c r="O32" s="64">
        <v>0</v>
      </c>
      <c r="P32" s="64">
        <v>0.87</v>
      </c>
      <c r="Q32" s="64">
        <v>9.6300000000000008</v>
      </c>
      <c r="R32" s="196"/>
      <c r="S32" s="196"/>
      <c r="T32" s="196"/>
      <c r="U32" s="196"/>
    </row>
    <row r="33" spans="1:21" s="12" customFormat="1" x14ac:dyDescent="0.25">
      <c r="A33" s="211" t="s">
        <v>269</v>
      </c>
      <c r="B33" s="64">
        <v>17.579999999999998</v>
      </c>
      <c r="C33" s="64">
        <v>9.5500000000000007</v>
      </c>
      <c r="D33" s="64">
        <v>17.71</v>
      </c>
      <c r="E33" s="64">
        <v>5.27</v>
      </c>
      <c r="F33" s="64">
        <v>4.26</v>
      </c>
      <c r="G33" s="64">
        <v>93.17</v>
      </c>
      <c r="H33" s="64">
        <v>52.29</v>
      </c>
      <c r="I33" s="64">
        <v>5.79</v>
      </c>
      <c r="J33" s="64">
        <v>0.19</v>
      </c>
      <c r="K33" s="64">
        <v>19.39</v>
      </c>
      <c r="L33" s="64">
        <v>20.83</v>
      </c>
      <c r="M33" s="64">
        <v>78.84</v>
      </c>
      <c r="N33" s="64">
        <v>29.7</v>
      </c>
      <c r="O33" s="64">
        <v>0</v>
      </c>
      <c r="P33" s="64">
        <v>0.74</v>
      </c>
      <c r="Q33" s="64">
        <v>9.6199999999999992</v>
      </c>
      <c r="R33" s="196"/>
      <c r="S33" s="196"/>
      <c r="T33" s="196"/>
      <c r="U33" s="196"/>
    </row>
    <row r="34" spans="1:21" s="12" customFormat="1" x14ac:dyDescent="0.25">
      <c r="A34" s="211" t="s">
        <v>270</v>
      </c>
      <c r="B34" s="64">
        <v>17.02</v>
      </c>
      <c r="C34" s="64">
        <v>9.23</v>
      </c>
      <c r="D34" s="64">
        <v>17.100000000000001</v>
      </c>
      <c r="E34" s="64">
        <v>5.35</v>
      </c>
      <c r="F34" s="64">
        <v>4.22</v>
      </c>
      <c r="G34" s="64">
        <v>70.17</v>
      </c>
      <c r="H34" s="64">
        <v>11.08</v>
      </c>
      <c r="I34" s="64">
        <v>5.19</v>
      </c>
      <c r="J34" s="64">
        <v>0.04</v>
      </c>
      <c r="K34" s="64">
        <v>173.6</v>
      </c>
      <c r="L34" s="64">
        <v>20.56</v>
      </c>
      <c r="M34" s="64">
        <v>81.89</v>
      </c>
      <c r="N34" s="64">
        <v>40.1</v>
      </c>
      <c r="O34" s="64">
        <v>0</v>
      </c>
      <c r="P34" s="64">
        <v>0.71</v>
      </c>
      <c r="Q34" s="64">
        <v>9.61</v>
      </c>
      <c r="R34" s="196"/>
      <c r="S34" s="196"/>
      <c r="T34" s="196"/>
      <c r="U34" s="196"/>
    </row>
    <row r="35" spans="1:21" s="12" customFormat="1" x14ac:dyDescent="0.25">
      <c r="A35" s="211" t="s">
        <v>271</v>
      </c>
      <c r="B35" s="64">
        <v>16.7</v>
      </c>
      <c r="C35" s="64">
        <v>9.02</v>
      </c>
      <c r="D35" s="64">
        <v>16.72</v>
      </c>
      <c r="E35" s="64">
        <v>5.43</v>
      </c>
      <c r="F35" s="64">
        <v>4.25</v>
      </c>
      <c r="G35" s="64">
        <v>56.2</v>
      </c>
      <c r="H35" s="64">
        <v>2.09</v>
      </c>
      <c r="I35" s="64">
        <v>4.55</v>
      </c>
      <c r="J35" s="64">
        <v>0.41</v>
      </c>
      <c r="K35" s="64">
        <v>240.88</v>
      </c>
      <c r="L35" s="64">
        <v>20.73</v>
      </c>
      <c r="M35" s="64">
        <v>85.63</v>
      </c>
      <c r="N35" s="64">
        <v>56.2</v>
      </c>
      <c r="O35" s="64">
        <v>0</v>
      </c>
      <c r="P35" s="64">
        <v>0.75</v>
      </c>
      <c r="Q35" s="64">
        <v>9.61</v>
      </c>
      <c r="R35" s="196"/>
      <c r="S35" s="196"/>
      <c r="T35" s="196"/>
      <c r="U35" s="196"/>
    </row>
    <row r="36" spans="1:21" s="12" customFormat="1" x14ac:dyDescent="0.25">
      <c r="A36" s="211" t="s">
        <v>272</v>
      </c>
      <c r="B36" s="64">
        <v>16.62</v>
      </c>
      <c r="C36" s="64">
        <v>8.7799999999999994</v>
      </c>
      <c r="D36" s="64">
        <v>16.54</v>
      </c>
      <c r="E36" s="64">
        <v>5.13</v>
      </c>
      <c r="F36" s="64">
        <v>3.56</v>
      </c>
      <c r="G36" s="64">
        <v>56.2</v>
      </c>
      <c r="H36" s="64">
        <v>2.09</v>
      </c>
      <c r="I36" s="64">
        <v>4.74</v>
      </c>
      <c r="J36" s="64">
        <v>0.24</v>
      </c>
      <c r="K36" s="64">
        <v>218.44</v>
      </c>
      <c r="L36" s="64">
        <v>21.24</v>
      </c>
      <c r="M36" s="64">
        <v>82.69</v>
      </c>
      <c r="N36" s="64">
        <v>75.7</v>
      </c>
      <c r="O36" s="64">
        <v>0</v>
      </c>
      <c r="P36" s="64">
        <v>0.73</v>
      </c>
      <c r="Q36" s="64">
        <v>9.6199999999999992</v>
      </c>
      <c r="R36" s="196"/>
      <c r="S36" s="196"/>
      <c r="T36" s="196"/>
      <c r="U36" s="196"/>
    </row>
    <row r="37" spans="1:21" s="12" customFormat="1" x14ac:dyDescent="0.25">
      <c r="A37" s="211" t="s">
        <v>273</v>
      </c>
      <c r="B37" s="64">
        <v>16.36</v>
      </c>
      <c r="C37" s="64">
        <v>8.7200000000000006</v>
      </c>
      <c r="D37" s="64">
        <v>16.3</v>
      </c>
      <c r="E37" s="64">
        <v>5.18</v>
      </c>
      <c r="F37" s="64">
        <v>4.0199999999999996</v>
      </c>
      <c r="G37" s="64">
        <v>56.2</v>
      </c>
      <c r="H37" s="64">
        <v>2.09</v>
      </c>
      <c r="I37" s="64">
        <v>5.09</v>
      </c>
      <c r="J37" s="64">
        <v>0.67</v>
      </c>
      <c r="K37" s="64">
        <v>144.18</v>
      </c>
      <c r="L37" s="64">
        <v>22.32</v>
      </c>
      <c r="M37" s="64">
        <v>74.010000000000005</v>
      </c>
      <c r="N37" s="64">
        <v>136.4</v>
      </c>
      <c r="O37" s="64">
        <v>0</v>
      </c>
      <c r="P37" s="64">
        <v>0.76</v>
      </c>
      <c r="Q37" s="64">
        <v>9.6199999999999992</v>
      </c>
      <c r="R37" s="196"/>
      <c r="S37" s="196"/>
      <c r="T37" s="196"/>
      <c r="U37" s="196"/>
    </row>
    <row r="38" spans="1:21" s="12" customFormat="1" x14ac:dyDescent="0.25">
      <c r="A38" s="211" t="s">
        <v>274</v>
      </c>
      <c r="B38" s="64">
        <v>15.99</v>
      </c>
      <c r="C38" s="64">
        <v>8.64</v>
      </c>
      <c r="D38" s="64">
        <v>15.96</v>
      </c>
      <c r="E38" s="64">
        <v>4.87</v>
      </c>
      <c r="F38" s="64">
        <v>3.63</v>
      </c>
      <c r="G38" s="64">
        <v>57.89</v>
      </c>
      <c r="H38" s="64">
        <v>22.33</v>
      </c>
      <c r="I38" s="64">
        <v>5.0599999999999996</v>
      </c>
      <c r="J38" s="64">
        <v>0.65</v>
      </c>
      <c r="K38" s="64">
        <v>141.21</v>
      </c>
      <c r="L38" s="64">
        <v>24.3</v>
      </c>
      <c r="M38" s="64">
        <v>65.349999999999994</v>
      </c>
      <c r="N38" s="64">
        <v>202.8</v>
      </c>
      <c r="O38" s="64">
        <v>0</v>
      </c>
      <c r="P38" s="64">
        <v>0.76</v>
      </c>
      <c r="Q38" s="64">
        <v>9.6199999999999992</v>
      </c>
      <c r="R38" s="196"/>
      <c r="S38" s="196"/>
      <c r="T38" s="196"/>
      <c r="U38" s="196"/>
    </row>
    <row r="39" spans="1:21" s="12" customFormat="1" x14ac:dyDescent="0.25">
      <c r="A39" s="211" t="s">
        <v>275</v>
      </c>
      <c r="B39" s="64">
        <v>15.6</v>
      </c>
      <c r="C39" s="64">
        <v>8.59</v>
      </c>
      <c r="D39" s="64">
        <v>15.63</v>
      </c>
      <c r="E39" s="64">
        <v>5.25</v>
      </c>
      <c r="F39" s="64">
        <v>4</v>
      </c>
      <c r="G39" s="64">
        <v>58.91</v>
      </c>
      <c r="H39" s="64">
        <v>29.91</v>
      </c>
      <c r="I39" s="64">
        <v>5.0599999999999996</v>
      </c>
      <c r="J39" s="64">
        <v>0.42</v>
      </c>
      <c r="K39" s="64">
        <v>119.35</v>
      </c>
      <c r="L39" s="64">
        <v>26.28</v>
      </c>
      <c r="M39" s="64">
        <v>60.49</v>
      </c>
      <c r="N39" s="64">
        <v>250.4</v>
      </c>
      <c r="O39" s="64">
        <v>0</v>
      </c>
      <c r="P39" s="64">
        <v>0.84</v>
      </c>
      <c r="Q39" s="64">
        <v>9.6199999999999992</v>
      </c>
      <c r="R39" s="196"/>
      <c r="S39" s="196"/>
      <c r="T39" s="196"/>
      <c r="U39" s="196"/>
    </row>
    <row r="40" spans="1:21" s="12" customFormat="1" x14ac:dyDescent="0.25">
      <c r="A40" s="211" t="s">
        <v>276</v>
      </c>
      <c r="B40" s="64">
        <v>15.07</v>
      </c>
      <c r="C40" s="64">
        <v>9.17</v>
      </c>
      <c r="D40" s="64">
        <v>15.5</v>
      </c>
      <c r="E40" s="64">
        <v>4.6900000000000004</v>
      </c>
      <c r="F40" s="64">
        <v>3.42</v>
      </c>
      <c r="G40" s="64">
        <v>58.91</v>
      </c>
      <c r="H40" s="64">
        <v>29.91</v>
      </c>
      <c r="I40" s="64">
        <v>5.34</v>
      </c>
      <c r="J40" s="64">
        <v>0.68</v>
      </c>
      <c r="K40" s="64">
        <v>119.59</v>
      </c>
      <c r="L40" s="64">
        <v>27.18</v>
      </c>
      <c r="M40" s="64">
        <v>56.26</v>
      </c>
      <c r="N40" s="64">
        <v>292.5</v>
      </c>
      <c r="O40" s="64">
        <v>0</v>
      </c>
      <c r="P40" s="64">
        <v>0.87</v>
      </c>
      <c r="Q40" s="64">
        <v>9.6300000000000008</v>
      </c>
      <c r="R40" s="196"/>
      <c r="S40" s="196"/>
      <c r="T40" s="196"/>
      <c r="U40" s="196"/>
    </row>
    <row r="41" spans="1:21" s="12" customFormat="1" x14ac:dyDescent="0.25">
      <c r="A41" s="211" t="s">
        <v>277</v>
      </c>
      <c r="B41" s="64">
        <v>14.25</v>
      </c>
      <c r="C41" s="64">
        <v>9.94</v>
      </c>
      <c r="D41" s="64">
        <v>15.25</v>
      </c>
      <c r="E41" s="64">
        <v>4.6900000000000004</v>
      </c>
      <c r="F41" s="64">
        <v>4.5</v>
      </c>
      <c r="G41" s="64">
        <v>58.91</v>
      </c>
      <c r="H41" s="64">
        <v>29.91</v>
      </c>
      <c r="I41" s="64">
        <v>5.86</v>
      </c>
      <c r="J41" s="64">
        <v>0.79</v>
      </c>
      <c r="K41" s="64">
        <v>129.63</v>
      </c>
      <c r="L41" s="64">
        <v>27.8</v>
      </c>
      <c r="M41" s="64">
        <v>60.46</v>
      </c>
      <c r="N41" s="64">
        <v>336</v>
      </c>
      <c r="O41" s="64">
        <v>0</v>
      </c>
      <c r="P41" s="64">
        <v>0.87</v>
      </c>
      <c r="Q41" s="64">
        <v>9.6199999999999992</v>
      </c>
      <c r="R41" s="196"/>
      <c r="S41" s="196"/>
      <c r="T41" s="196"/>
      <c r="U41" s="196"/>
    </row>
    <row r="42" spans="1:21" s="12" customFormat="1" x14ac:dyDescent="0.25">
      <c r="A42" s="211" t="s">
        <v>278</v>
      </c>
      <c r="B42" s="64">
        <v>13.29</v>
      </c>
      <c r="C42" s="64">
        <v>10.59</v>
      </c>
      <c r="D42" s="64">
        <v>14.81</v>
      </c>
      <c r="E42" s="64">
        <v>5.25</v>
      </c>
      <c r="F42" s="64">
        <v>4.2300000000000004</v>
      </c>
      <c r="G42" s="64">
        <v>97.58</v>
      </c>
      <c r="H42" s="64">
        <v>94.6</v>
      </c>
      <c r="I42" s="64">
        <v>6.14</v>
      </c>
      <c r="J42" s="64">
        <v>0.81</v>
      </c>
      <c r="K42" s="64">
        <v>128.34</v>
      </c>
      <c r="L42" s="64">
        <v>27.34</v>
      </c>
      <c r="M42" s="64">
        <v>69.459999999999994</v>
      </c>
      <c r="N42" s="64">
        <v>372.9</v>
      </c>
      <c r="O42" s="64">
        <v>0</v>
      </c>
      <c r="P42" s="64">
        <v>0.89</v>
      </c>
      <c r="Q42" s="64">
        <v>9.6300000000000008</v>
      </c>
      <c r="R42" s="196"/>
      <c r="S42" s="196"/>
      <c r="T42" s="196"/>
      <c r="U42" s="196"/>
    </row>
    <row r="43" spans="1:21" s="12" customFormat="1" x14ac:dyDescent="0.25">
      <c r="A43" s="211" t="s">
        <v>279</v>
      </c>
      <c r="B43" s="64">
        <v>12.11</v>
      </c>
      <c r="C43" s="64">
        <v>11.47</v>
      </c>
      <c r="D43" s="64">
        <v>14.33</v>
      </c>
      <c r="E43" s="64">
        <v>5.34</v>
      </c>
      <c r="F43" s="64">
        <v>4.8600000000000003</v>
      </c>
      <c r="G43" s="64">
        <v>121.06</v>
      </c>
      <c r="H43" s="64">
        <v>108.72</v>
      </c>
      <c r="I43" s="64">
        <v>6.26</v>
      </c>
      <c r="J43" s="64">
        <v>0.65</v>
      </c>
      <c r="K43" s="64">
        <v>124.27</v>
      </c>
      <c r="L43" s="64">
        <v>28.66</v>
      </c>
      <c r="M43" s="64">
        <v>60.19</v>
      </c>
      <c r="N43" s="64">
        <v>417.7</v>
      </c>
      <c r="O43" s="64">
        <v>0</v>
      </c>
      <c r="P43" s="64">
        <v>0.89</v>
      </c>
      <c r="Q43" s="64">
        <v>9.6199999999999992</v>
      </c>
      <c r="R43" s="196"/>
      <c r="S43" s="196"/>
      <c r="T43" s="196"/>
      <c r="U43" s="196"/>
    </row>
    <row r="44" spans="1:21" s="12" customFormat="1" x14ac:dyDescent="0.25">
      <c r="A44" s="211" t="s">
        <v>280</v>
      </c>
      <c r="B44" s="64">
        <v>10.83</v>
      </c>
      <c r="C44" s="64">
        <v>12.39</v>
      </c>
      <c r="D44" s="64">
        <v>13.78</v>
      </c>
      <c r="E44" s="64">
        <v>5.75</v>
      </c>
      <c r="F44" s="64">
        <v>4.29</v>
      </c>
      <c r="G44" s="64">
        <v>121.06</v>
      </c>
      <c r="H44" s="64">
        <v>108.72</v>
      </c>
      <c r="I44" s="64">
        <v>6.45</v>
      </c>
      <c r="J44" s="64">
        <v>0.73</v>
      </c>
      <c r="K44" s="64">
        <v>129.27000000000001</v>
      </c>
      <c r="L44" s="64">
        <v>28.97</v>
      </c>
      <c r="M44" s="64">
        <v>61.15</v>
      </c>
      <c r="N44" s="64">
        <v>456.1</v>
      </c>
      <c r="O44" s="64">
        <v>0</v>
      </c>
      <c r="P44" s="64">
        <v>0.9</v>
      </c>
      <c r="Q44" s="64">
        <v>9.61</v>
      </c>
      <c r="R44" s="196"/>
      <c r="S44" s="196"/>
      <c r="T44" s="196"/>
      <c r="U44" s="196"/>
    </row>
    <row r="45" spans="1:21" s="12" customFormat="1" x14ac:dyDescent="0.25">
      <c r="A45" s="211" t="s">
        <v>281</v>
      </c>
      <c r="B45" s="64">
        <v>9.4499999999999993</v>
      </c>
      <c r="C45" s="64">
        <v>13.04</v>
      </c>
      <c r="D45" s="64">
        <v>13.01</v>
      </c>
      <c r="E45" s="64">
        <v>5.43</v>
      </c>
      <c r="F45" s="64">
        <v>4.32</v>
      </c>
      <c r="G45" s="64">
        <v>121.06</v>
      </c>
      <c r="H45" s="64">
        <v>108.72</v>
      </c>
      <c r="I45" s="64">
        <v>6.49</v>
      </c>
      <c r="J45" s="64">
        <v>0.95</v>
      </c>
      <c r="K45" s="64">
        <v>135.72999999999999</v>
      </c>
      <c r="L45" s="64">
        <v>29.42</v>
      </c>
      <c r="M45" s="64">
        <v>60.17</v>
      </c>
      <c r="N45" s="64">
        <v>499.8</v>
      </c>
      <c r="O45" s="64">
        <v>0</v>
      </c>
      <c r="P45" s="64">
        <v>0.94</v>
      </c>
      <c r="Q45" s="64">
        <v>9.61</v>
      </c>
      <c r="R45" s="196"/>
      <c r="S45" s="196"/>
      <c r="T45" s="196"/>
      <c r="U45" s="196"/>
    </row>
    <row r="46" spans="1:21" s="12" customFormat="1" x14ac:dyDescent="0.25">
      <c r="A46" s="211" t="s">
        <v>282</v>
      </c>
      <c r="B46" s="64">
        <v>8.02</v>
      </c>
      <c r="C46" s="64">
        <v>13.29</v>
      </c>
      <c r="D46" s="64">
        <v>11.99</v>
      </c>
      <c r="E46" s="64">
        <v>5.57</v>
      </c>
      <c r="F46" s="64">
        <v>4.09</v>
      </c>
      <c r="G46" s="64">
        <v>160.19999999999999</v>
      </c>
      <c r="H46" s="64">
        <v>85.85</v>
      </c>
      <c r="I46" s="64">
        <v>6.97</v>
      </c>
      <c r="J46" s="64">
        <v>0.38</v>
      </c>
      <c r="K46" s="64">
        <v>131.72</v>
      </c>
      <c r="L46" s="64">
        <v>30.07</v>
      </c>
      <c r="M46" s="64">
        <v>59.68</v>
      </c>
      <c r="N46" s="64">
        <v>540.79999999999995</v>
      </c>
      <c r="O46" s="64">
        <v>0</v>
      </c>
      <c r="P46" s="64">
        <v>0.95</v>
      </c>
      <c r="Q46" s="64">
        <v>9.6300000000000008</v>
      </c>
      <c r="R46" s="196"/>
      <c r="S46" s="196"/>
      <c r="T46" s="196"/>
      <c r="U46" s="196"/>
    </row>
    <row r="47" spans="1:21" s="12" customFormat="1" x14ac:dyDescent="0.25">
      <c r="A47" s="211" t="s">
        <v>283</v>
      </c>
      <c r="B47" s="64">
        <v>6.58</v>
      </c>
      <c r="C47" s="64">
        <v>14.19</v>
      </c>
      <c r="D47" s="64">
        <v>11.32</v>
      </c>
      <c r="E47" s="64">
        <v>5.65</v>
      </c>
      <c r="F47" s="64">
        <v>4.6399999999999997</v>
      </c>
      <c r="G47" s="64">
        <v>183.96</v>
      </c>
      <c r="H47" s="64">
        <v>80.86</v>
      </c>
      <c r="I47" s="64">
        <v>6.71</v>
      </c>
      <c r="J47" s="64">
        <v>1.1100000000000001</v>
      </c>
      <c r="K47" s="64">
        <v>138.97999999999999</v>
      </c>
      <c r="L47" s="64">
        <v>30.07</v>
      </c>
      <c r="M47" s="64">
        <v>63.53</v>
      </c>
      <c r="N47" s="64">
        <v>584.79999999999995</v>
      </c>
      <c r="O47" s="64">
        <v>0</v>
      </c>
      <c r="P47" s="64">
        <v>0.97</v>
      </c>
      <c r="Q47" s="64">
        <v>9.6300000000000008</v>
      </c>
      <c r="R47" s="196"/>
      <c r="S47" s="196"/>
      <c r="T47" s="196"/>
      <c r="U47" s="196"/>
    </row>
    <row r="48" spans="1:21" s="12" customFormat="1" x14ac:dyDescent="0.25">
      <c r="A48" s="211" t="s">
        <v>284</v>
      </c>
      <c r="B48" s="64">
        <v>5.2</v>
      </c>
      <c r="C48" s="64">
        <v>13.53</v>
      </c>
      <c r="D48" s="64">
        <v>9.8699999999999992</v>
      </c>
      <c r="E48" s="64">
        <v>5.14</v>
      </c>
      <c r="F48" s="64">
        <v>4.87</v>
      </c>
      <c r="G48" s="64">
        <v>183.96</v>
      </c>
      <c r="H48" s="64">
        <v>80.86</v>
      </c>
      <c r="I48" s="64">
        <v>7.07</v>
      </c>
      <c r="J48" s="64">
        <v>1.4</v>
      </c>
      <c r="K48" s="64">
        <v>135.66999999999999</v>
      </c>
      <c r="L48" s="64">
        <v>29.91</v>
      </c>
      <c r="M48" s="64">
        <v>65.25</v>
      </c>
      <c r="N48" s="64">
        <v>606.4</v>
      </c>
      <c r="O48" s="64">
        <v>0</v>
      </c>
      <c r="P48" s="64">
        <v>0.96</v>
      </c>
      <c r="Q48" s="64">
        <v>9.6300000000000008</v>
      </c>
      <c r="R48" s="196"/>
      <c r="S48" s="196"/>
      <c r="T48" s="196"/>
      <c r="U48" s="196"/>
    </row>
    <row r="49" spans="1:21" s="12" customFormat="1" x14ac:dyDescent="0.25">
      <c r="A49" s="211" t="s">
        <v>285</v>
      </c>
      <c r="B49" s="64">
        <v>4.0999999999999996</v>
      </c>
      <c r="C49" s="64">
        <v>13.51</v>
      </c>
      <c r="D49" s="64">
        <v>8.9700000000000006</v>
      </c>
      <c r="E49" s="64">
        <v>5.18</v>
      </c>
      <c r="F49" s="64">
        <v>4.22</v>
      </c>
      <c r="G49" s="64">
        <v>183.96</v>
      </c>
      <c r="H49" s="64">
        <v>80.86</v>
      </c>
      <c r="I49" s="64">
        <v>7.07</v>
      </c>
      <c r="J49" s="64">
        <v>0.42</v>
      </c>
      <c r="K49" s="64">
        <v>107.96</v>
      </c>
      <c r="L49" s="64">
        <v>31.1</v>
      </c>
      <c r="M49" s="64">
        <v>60.85</v>
      </c>
      <c r="N49" s="64">
        <v>619.79999999999995</v>
      </c>
      <c r="O49" s="64">
        <v>0</v>
      </c>
      <c r="P49" s="64">
        <v>0.92</v>
      </c>
      <c r="Q49" s="64">
        <v>9.61</v>
      </c>
      <c r="R49" s="196"/>
      <c r="S49" s="196"/>
      <c r="T49" s="196"/>
      <c r="U49" s="196"/>
    </row>
    <row r="50" spans="1:21" s="12" customFormat="1" x14ac:dyDescent="0.25">
      <c r="A50" s="211" t="s">
        <v>286</v>
      </c>
      <c r="B50" s="64">
        <v>3.32</v>
      </c>
      <c r="C50" s="64">
        <v>12.48</v>
      </c>
      <c r="D50" s="64">
        <v>7.8</v>
      </c>
      <c r="E50" s="64">
        <v>5.09</v>
      </c>
      <c r="F50" s="64">
        <v>4.76</v>
      </c>
      <c r="G50" s="64">
        <v>135.34</v>
      </c>
      <c r="H50" s="64">
        <v>45.96</v>
      </c>
      <c r="I50" s="64">
        <v>6.63</v>
      </c>
      <c r="J50" s="64">
        <v>0.31</v>
      </c>
      <c r="K50" s="64">
        <v>121.07</v>
      </c>
      <c r="L50" s="64">
        <v>31.94</v>
      </c>
      <c r="M50" s="64">
        <v>56.11</v>
      </c>
      <c r="N50" s="64">
        <v>653.20000000000005</v>
      </c>
      <c r="O50" s="64">
        <v>0</v>
      </c>
      <c r="P50" s="64">
        <v>0.88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287</v>
      </c>
      <c r="B51" s="64">
        <v>2.73</v>
      </c>
      <c r="C51" s="64">
        <v>11.98</v>
      </c>
      <c r="D51" s="64">
        <v>7.07</v>
      </c>
      <c r="E51" s="64">
        <v>5.01</v>
      </c>
      <c r="F51" s="64">
        <v>5.13</v>
      </c>
      <c r="G51" s="64">
        <v>105.81</v>
      </c>
      <c r="H51" s="64">
        <v>38.340000000000003</v>
      </c>
      <c r="I51" s="64">
        <v>6.16</v>
      </c>
      <c r="J51" s="64">
        <v>1.24</v>
      </c>
      <c r="K51" s="64">
        <v>137.99</v>
      </c>
      <c r="L51" s="64">
        <v>31.14</v>
      </c>
      <c r="M51" s="64">
        <v>55.69</v>
      </c>
      <c r="N51" s="64">
        <v>685.8</v>
      </c>
      <c r="O51" s="64">
        <v>0</v>
      </c>
      <c r="P51" s="64">
        <v>0.82</v>
      </c>
      <c r="Q51" s="64">
        <v>9.6199999999999992</v>
      </c>
      <c r="R51" s="196"/>
      <c r="S51" s="196"/>
      <c r="T51" s="196"/>
      <c r="U51" s="196"/>
    </row>
    <row r="52" spans="1:21" s="12" customFormat="1" x14ac:dyDescent="0.25">
      <c r="A52" s="211" t="s">
        <v>288</v>
      </c>
      <c r="B52" s="64">
        <v>2.2400000000000002</v>
      </c>
      <c r="C52" s="64">
        <v>11.51</v>
      </c>
      <c r="D52" s="64">
        <v>6.43</v>
      </c>
      <c r="E52" s="64">
        <v>4.7699999999999996</v>
      </c>
      <c r="F52" s="64">
        <v>4.97</v>
      </c>
      <c r="G52" s="64">
        <v>105.81</v>
      </c>
      <c r="H52" s="64">
        <v>38.340000000000003</v>
      </c>
      <c r="I52" s="64">
        <v>5.67</v>
      </c>
      <c r="J52" s="64">
        <v>1.08</v>
      </c>
      <c r="K52" s="64">
        <v>145.38999999999999</v>
      </c>
      <c r="L52" s="64">
        <v>31.46</v>
      </c>
      <c r="M52" s="64">
        <v>52.1</v>
      </c>
      <c r="N52" s="64">
        <v>702.4</v>
      </c>
      <c r="O52" s="64">
        <v>0</v>
      </c>
      <c r="P52" s="64">
        <v>0.81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289</v>
      </c>
      <c r="B53" s="64">
        <v>1.81</v>
      </c>
      <c r="C53" s="64">
        <v>11.04</v>
      </c>
      <c r="D53" s="64">
        <v>5.85</v>
      </c>
      <c r="E53" s="64">
        <v>4.79</v>
      </c>
      <c r="F53" s="64">
        <v>4.97</v>
      </c>
      <c r="G53" s="64">
        <v>105.81</v>
      </c>
      <c r="H53" s="64">
        <v>38.340000000000003</v>
      </c>
      <c r="I53" s="64">
        <v>5.45</v>
      </c>
      <c r="J53" s="64">
        <v>0.87</v>
      </c>
      <c r="K53" s="64">
        <v>134.33000000000001</v>
      </c>
      <c r="L53" s="64">
        <v>32.340000000000003</v>
      </c>
      <c r="M53" s="64">
        <v>46.23</v>
      </c>
      <c r="N53" s="64">
        <v>725.4</v>
      </c>
      <c r="O53" s="64">
        <v>0</v>
      </c>
      <c r="P53" s="64">
        <v>0.78</v>
      </c>
      <c r="Q53" s="64">
        <v>9.6199999999999992</v>
      </c>
      <c r="R53" s="196"/>
      <c r="S53" s="196"/>
      <c r="T53" s="196"/>
      <c r="U53" s="196"/>
    </row>
    <row r="54" spans="1:21" s="12" customFormat="1" x14ac:dyDescent="0.25">
      <c r="A54" s="211" t="s">
        <v>290</v>
      </c>
      <c r="B54" s="64">
        <v>1.46</v>
      </c>
      <c r="C54" s="64">
        <v>10.6</v>
      </c>
      <c r="D54" s="64">
        <v>5.33</v>
      </c>
      <c r="E54" s="64">
        <v>5.0999999999999996</v>
      </c>
      <c r="F54" s="64">
        <v>4.9000000000000004</v>
      </c>
      <c r="G54" s="64">
        <v>86.03</v>
      </c>
      <c r="H54" s="64">
        <v>49.33</v>
      </c>
      <c r="I54" s="64">
        <v>5.2</v>
      </c>
      <c r="J54" s="64">
        <v>1.56</v>
      </c>
      <c r="K54" s="64">
        <v>136.84</v>
      </c>
      <c r="L54" s="64">
        <v>31.61</v>
      </c>
      <c r="M54" s="64">
        <v>43.53</v>
      </c>
      <c r="N54" s="64">
        <v>692.6</v>
      </c>
      <c r="O54" s="64">
        <v>0</v>
      </c>
      <c r="P54" s="64">
        <v>0.68</v>
      </c>
      <c r="Q54" s="64">
        <v>9.61</v>
      </c>
      <c r="R54" s="196"/>
      <c r="S54" s="196"/>
      <c r="T54" s="196"/>
      <c r="U54" s="196"/>
    </row>
    <row r="55" spans="1:21" s="12" customFormat="1" x14ac:dyDescent="0.25">
      <c r="A55" s="211" t="s">
        <v>291</v>
      </c>
      <c r="B55" s="64">
        <v>1.18</v>
      </c>
      <c r="C55" s="64">
        <v>10.09</v>
      </c>
      <c r="D55" s="64">
        <v>4.84</v>
      </c>
      <c r="E55" s="64">
        <v>4.55</v>
      </c>
      <c r="F55" s="64">
        <v>4.8499999999999996</v>
      </c>
      <c r="G55" s="64">
        <v>74.02</v>
      </c>
      <c r="H55" s="64">
        <v>53.59</v>
      </c>
      <c r="I55" s="64">
        <v>5.44</v>
      </c>
      <c r="J55" s="64">
        <v>0.56999999999999995</v>
      </c>
      <c r="K55" s="64">
        <v>108.58</v>
      </c>
      <c r="L55" s="64">
        <v>32.15</v>
      </c>
      <c r="M55" s="64">
        <v>44.34</v>
      </c>
      <c r="N55" s="64">
        <v>696.3</v>
      </c>
      <c r="O55" s="64">
        <v>0</v>
      </c>
      <c r="P55" s="64">
        <v>0.74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292</v>
      </c>
      <c r="B56" s="64">
        <v>0.87</v>
      </c>
      <c r="C56" s="64">
        <v>9.83</v>
      </c>
      <c r="D56" s="64">
        <v>4.46</v>
      </c>
      <c r="E56" s="64">
        <v>5.89</v>
      </c>
      <c r="F56" s="64">
        <v>4.9000000000000004</v>
      </c>
      <c r="G56" s="64">
        <v>74.02</v>
      </c>
      <c r="H56" s="64">
        <v>53.59</v>
      </c>
      <c r="I56" s="64">
        <v>5.0599999999999996</v>
      </c>
      <c r="J56" s="64">
        <v>1.04</v>
      </c>
      <c r="K56" s="64">
        <v>140.69999999999999</v>
      </c>
      <c r="L56" s="64">
        <v>32.25</v>
      </c>
      <c r="M56" s="64">
        <v>39.93</v>
      </c>
      <c r="N56" s="64">
        <v>664.2</v>
      </c>
      <c r="O56" s="64">
        <v>0</v>
      </c>
      <c r="P56" s="64">
        <v>0.75</v>
      </c>
      <c r="Q56" s="64">
        <v>9.6199999999999992</v>
      </c>
      <c r="R56" s="196"/>
      <c r="S56" s="196"/>
      <c r="T56" s="196"/>
      <c r="U56" s="196"/>
    </row>
    <row r="57" spans="1:21" s="12" customFormat="1" x14ac:dyDescent="0.25">
      <c r="A57" s="211" t="s">
        <v>293</v>
      </c>
      <c r="B57" s="64">
        <v>0.59</v>
      </c>
      <c r="C57" s="64">
        <v>9.99</v>
      </c>
      <c r="D57" s="64">
        <v>4.3099999999999996</v>
      </c>
      <c r="E57" s="64">
        <v>5.28</v>
      </c>
      <c r="F57" s="64">
        <v>5.37</v>
      </c>
      <c r="G57" s="64">
        <v>74.02</v>
      </c>
      <c r="H57" s="64">
        <v>53.59</v>
      </c>
      <c r="I57" s="64">
        <v>5.3</v>
      </c>
      <c r="J57" s="64">
        <v>0.46</v>
      </c>
      <c r="K57" s="64">
        <v>352.29</v>
      </c>
      <c r="L57" s="64">
        <v>33.07</v>
      </c>
      <c r="M57" s="64">
        <v>40.4</v>
      </c>
      <c r="N57" s="64">
        <v>644.79999999999995</v>
      </c>
      <c r="O57" s="64">
        <v>0</v>
      </c>
      <c r="P57" s="64">
        <v>0.74</v>
      </c>
      <c r="Q57" s="64">
        <v>9.6199999999999992</v>
      </c>
      <c r="R57" s="196"/>
      <c r="S57" s="196"/>
      <c r="T57" s="196"/>
      <c r="U57" s="196"/>
    </row>
    <row r="58" spans="1:21" s="12" customFormat="1" x14ac:dyDescent="0.25">
      <c r="A58" s="211" t="s">
        <v>294</v>
      </c>
      <c r="B58" s="64">
        <v>0.31</v>
      </c>
      <c r="C58" s="64">
        <v>9.9</v>
      </c>
      <c r="D58" s="64">
        <v>4.04</v>
      </c>
      <c r="E58" s="64">
        <v>5.1100000000000003</v>
      </c>
      <c r="F58" s="64">
        <v>5.99</v>
      </c>
      <c r="G58" s="64">
        <v>37.17</v>
      </c>
      <c r="H58" s="64">
        <v>30.81</v>
      </c>
      <c r="I58" s="64">
        <v>6.03</v>
      </c>
      <c r="J58" s="64">
        <v>0.54</v>
      </c>
      <c r="K58" s="64">
        <v>163.81</v>
      </c>
      <c r="L58" s="64">
        <v>34.08</v>
      </c>
      <c r="M58" s="64">
        <v>36.32</v>
      </c>
      <c r="N58" s="64">
        <v>618.79999999999995</v>
      </c>
      <c r="O58" s="64">
        <v>0</v>
      </c>
      <c r="P58" s="64">
        <v>0.73</v>
      </c>
      <c r="Q58" s="64">
        <v>9.61</v>
      </c>
      <c r="R58" s="196"/>
      <c r="S58" s="196"/>
      <c r="T58" s="196"/>
      <c r="U58" s="196"/>
    </row>
    <row r="59" spans="1:21" s="12" customFormat="1" x14ac:dyDescent="0.25">
      <c r="A59" s="211" t="s">
        <v>295</v>
      </c>
      <c r="B59" s="64">
        <v>0.12</v>
      </c>
      <c r="C59" s="64">
        <v>9.48</v>
      </c>
      <c r="D59" s="64">
        <v>3.67</v>
      </c>
      <c r="E59" s="64">
        <v>5.08</v>
      </c>
      <c r="F59" s="64">
        <v>6.14</v>
      </c>
      <c r="G59" s="64">
        <v>14.8</v>
      </c>
      <c r="H59" s="64">
        <v>25.83</v>
      </c>
      <c r="I59" s="64">
        <v>5.99</v>
      </c>
      <c r="J59" s="64">
        <v>1.2</v>
      </c>
      <c r="K59" s="64">
        <v>133.76</v>
      </c>
      <c r="L59" s="64">
        <v>31.94</v>
      </c>
      <c r="M59" s="64">
        <v>38.47</v>
      </c>
      <c r="N59" s="64">
        <v>558.4</v>
      </c>
      <c r="O59" s="64">
        <v>0</v>
      </c>
      <c r="P59" s="64">
        <v>0.7</v>
      </c>
      <c r="Q59" s="64">
        <v>9.61</v>
      </c>
      <c r="R59" s="196"/>
      <c r="S59" s="196"/>
      <c r="T59" s="196"/>
      <c r="U59" s="196"/>
    </row>
    <row r="60" spans="1:21" s="12" customFormat="1" x14ac:dyDescent="0.25">
      <c r="A60" s="211" t="s">
        <v>296</v>
      </c>
      <c r="B60" s="64">
        <v>0.12</v>
      </c>
      <c r="C60" s="64">
        <v>9.6</v>
      </c>
      <c r="D60" s="64">
        <v>3.74</v>
      </c>
      <c r="E60" s="64">
        <v>5.2</v>
      </c>
      <c r="F60" s="64">
        <v>6.5</v>
      </c>
      <c r="G60" s="64">
        <v>14.8</v>
      </c>
      <c r="H60" s="64">
        <v>25.83</v>
      </c>
      <c r="I60" s="64">
        <v>5.91</v>
      </c>
      <c r="J60" s="64">
        <v>1.08</v>
      </c>
      <c r="K60" s="64">
        <v>114.06</v>
      </c>
      <c r="L60" s="64">
        <v>32.22</v>
      </c>
      <c r="M60" s="64">
        <v>34.590000000000003</v>
      </c>
      <c r="N60" s="64">
        <v>510.7</v>
      </c>
      <c r="O60" s="64">
        <v>0</v>
      </c>
      <c r="P60" s="64">
        <v>0.64</v>
      </c>
      <c r="Q60" s="64">
        <v>9.61</v>
      </c>
      <c r="R60" s="196"/>
      <c r="S60" s="196"/>
      <c r="T60" s="196"/>
      <c r="U60" s="196"/>
    </row>
    <row r="61" spans="1:21" s="12" customFormat="1" x14ac:dyDescent="0.25">
      <c r="A61" s="211" t="s">
        <v>297</v>
      </c>
      <c r="B61" s="64">
        <v>0.12</v>
      </c>
      <c r="C61" s="64">
        <v>9.41</v>
      </c>
      <c r="D61" s="64">
        <v>3.64</v>
      </c>
      <c r="E61" s="64">
        <v>5.26</v>
      </c>
      <c r="F61" s="64">
        <v>7.97</v>
      </c>
      <c r="G61" s="64">
        <v>14.8</v>
      </c>
      <c r="H61" s="64">
        <v>25.83</v>
      </c>
      <c r="I61" s="64">
        <v>5.28</v>
      </c>
      <c r="J61" s="64">
        <v>1.39</v>
      </c>
      <c r="K61" s="64">
        <v>334.95</v>
      </c>
      <c r="L61" s="64">
        <v>33.450000000000003</v>
      </c>
      <c r="M61" s="64">
        <v>30.63</v>
      </c>
      <c r="N61" s="64">
        <v>506.7</v>
      </c>
      <c r="O61" s="64">
        <v>0</v>
      </c>
      <c r="P61" s="64">
        <v>0.65</v>
      </c>
      <c r="Q61" s="64">
        <v>9.61</v>
      </c>
      <c r="R61" s="196"/>
      <c r="S61" s="196"/>
      <c r="T61" s="196"/>
      <c r="U61" s="196"/>
    </row>
    <row r="62" spans="1:21" s="12" customFormat="1" x14ac:dyDescent="0.25">
      <c r="A62" s="211" t="s">
        <v>298</v>
      </c>
      <c r="B62" s="64">
        <v>0.17</v>
      </c>
      <c r="C62" s="64">
        <v>10.220000000000001</v>
      </c>
      <c r="D62" s="64">
        <v>4.0999999999999996</v>
      </c>
      <c r="E62" s="64">
        <v>4.91</v>
      </c>
      <c r="F62" s="64">
        <v>6.56</v>
      </c>
      <c r="G62" s="64">
        <v>49.82</v>
      </c>
      <c r="H62" s="64">
        <v>23</v>
      </c>
      <c r="I62" s="64">
        <v>5.1100000000000003</v>
      </c>
      <c r="J62" s="64">
        <v>0.24</v>
      </c>
      <c r="K62" s="64">
        <v>105.93</v>
      </c>
      <c r="L62" s="64">
        <v>33.43</v>
      </c>
      <c r="M62" s="64">
        <v>29.33</v>
      </c>
      <c r="N62" s="64">
        <v>271.8</v>
      </c>
      <c r="O62" s="64">
        <v>0</v>
      </c>
      <c r="P62" s="64">
        <v>0.54</v>
      </c>
      <c r="Q62" s="64">
        <v>9.61</v>
      </c>
      <c r="R62" s="196"/>
      <c r="S62" s="196"/>
      <c r="T62" s="196"/>
      <c r="U62" s="196"/>
    </row>
    <row r="63" spans="1:21" s="12" customFormat="1" x14ac:dyDescent="0.25">
      <c r="A63" s="211" t="s">
        <v>299</v>
      </c>
      <c r="B63" s="64">
        <v>0.12</v>
      </c>
      <c r="C63" s="64">
        <v>10.17</v>
      </c>
      <c r="D63" s="64">
        <v>4.04</v>
      </c>
      <c r="E63" s="64">
        <v>5.17</v>
      </c>
      <c r="F63" s="64">
        <v>6.22</v>
      </c>
      <c r="G63" s="64">
        <v>71.09</v>
      </c>
      <c r="H63" s="64">
        <v>22.38</v>
      </c>
      <c r="I63" s="64">
        <v>4.47</v>
      </c>
      <c r="J63" s="64">
        <v>1.26</v>
      </c>
      <c r="K63" s="64">
        <v>331.27</v>
      </c>
      <c r="L63" s="64">
        <v>34.130000000000003</v>
      </c>
      <c r="M63" s="64">
        <v>28.67</v>
      </c>
      <c r="N63" s="64">
        <v>424</v>
      </c>
      <c r="O63" s="64">
        <v>0</v>
      </c>
      <c r="P63" s="64">
        <v>0.6</v>
      </c>
      <c r="Q63" s="64">
        <v>9.61</v>
      </c>
      <c r="R63" s="196"/>
      <c r="S63" s="196"/>
      <c r="T63" s="196"/>
      <c r="U63" s="196"/>
    </row>
    <row r="64" spans="1:21" s="12" customFormat="1" x14ac:dyDescent="0.25">
      <c r="A64" s="211" t="s">
        <v>300</v>
      </c>
      <c r="B64" s="64">
        <v>0.1</v>
      </c>
      <c r="C64" s="64">
        <v>10.25</v>
      </c>
      <c r="D64" s="64">
        <v>4.0599999999999996</v>
      </c>
      <c r="E64" s="64">
        <v>5.22</v>
      </c>
      <c r="F64" s="64">
        <v>6.36</v>
      </c>
      <c r="G64" s="64">
        <v>71.09</v>
      </c>
      <c r="H64" s="64">
        <v>22.38</v>
      </c>
      <c r="I64" s="64">
        <v>3.3</v>
      </c>
      <c r="J64" s="64">
        <v>0.42</v>
      </c>
      <c r="K64" s="64">
        <v>102.33</v>
      </c>
      <c r="L64" s="64">
        <v>32.700000000000003</v>
      </c>
      <c r="M64" s="64">
        <v>30.5</v>
      </c>
      <c r="N64" s="64">
        <v>363.3</v>
      </c>
      <c r="O64" s="64">
        <v>0</v>
      </c>
      <c r="P64" s="64">
        <v>0.53</v>
      </c>
      <c r="Q64" s="64">
        <v>9.6199999999999992</v>
      </c>
      <c r="R64" s="196"/>
      <c r="S64" s="196"/>
      <c r="T64" s="196"/>
      <c r="U64" s="196"/>
    </row>
    <row r="65" spans="1:21" s="12" customFormat="1" x14ac:dyDescent="0.25">
      <c r="A65" s="211" t="s">
        <v>301</v>
      </c>
      <c r="B65" s="64">
        <v>0.1</v>
      </c>
      <c r="C65" s="64">
        <v>10.39</v>
      </c>
      <c r="D65" s="64">
        <v>4.13</v>
      </c>
      <c r="E65" s="64">
        <v>5.04</v>
      </c>
      <c r="F65" s="64">
        <v>6.43</v>
      </c>
      <c r="G65" s="64">
        <v>71.09</v>
      </c>
      <c r="H65" s="64">
        <v>22.38</v>
      </c>
      <c r="I65" s="64">
        <v>3.58</v>
      </c>
      <c r="J65" s="64">
        <v>1.02</v>
      </c>
      <c r="K65" s="64">
        <v>335.77</v>
      </c>
      <c r="L65" s="64">
        <v>32.97</v>
      </c>
      <c r="M65" s="64">
        <v>30.33</v>
      </c>
      <c r="N65" s="64">
        <v>230</v>
      </c>
      <c r="O65" s="64">
        <v>0</v>
      </c>
      <c r="P65" s="64">
        <v>0.6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302</v>
      </c>
      <c r="B66" s="64">
        <v>0.16</v>
      </c>
      <c r="C66" s="64">
        <v>10.07</v>
      </c>
      <c r="D66" s="64">
        <v>4.0199999999999996</v>
      </c>
      <c r="E66" s="64">
        <v>4.9800000000000004</v>
      </c>
      <c r="F66" s="64">
        <v>8.19</v>
      </c>
      <c r="G66" s="64">
        <v>61.18</v>
      </c>
      <c r="H66" s="64">
        <v>27.8</v>
      </c>
      <c r="I66" s="64">
        <v>3.29</v>
      </c>
      <c r="J66" s="64">
        <v>0.72</v>
      </c>
      <c r="K66" s="64">
        <v>328.7</v>
      </c>
      <c r="L66" s="64">
        <v>32.65</v>
      </c>
      <c r="M66" s="64">
        <v>31.3</v>
      </c>
      <c r="N66" s="64">
        <v>129.9</v>
      </c>
      <c r="O66" s="64">
        <v>0</v>
      </c>
      <c r="P66" s="64">
        <v>0.5</v>
      </c>
      <c r="Q66" s="64">
        <v>9.61</v>
      </c>
      <c r="R66" s="196"/>
      <c r="S66" s="196"/>
      <c r="T66" s="196"/>
      <c r="U66" s="196"/>
    </row>
    <row r="67" spans="1:21" s="12" customFormat="1" x14ac:dyDescent="0.25">
      <c r="A67" s="211" t="s">
        <v>303</v>
      </c>
      <c r="B67" s="64">
        <v>0.24</v>
      </c>
      <c r="C67" s="64">
        <v>9.75</v>
      </c>
      <c r="D67" s="64">
        <v>3.9</v>
      </c>
      <c r="E67" s="64">
        <v>4.8600000000000003</v>
      </c>
      <c r="F67" s="64">
        <v>7.48</v>
      </c>
      <c r="G67" s="64">
        <v>54.87</v>
      </c>
      <c r="H67" s="64">
        <v>28.98</v>
      </c>
      <c r="I67" s="64">
        <v>2.37</v>
      </c>
      <c r="J67" s="64">
        <v>0.45</v>
      </c>
      <c r="K67" s="64">
        <v>4.68</v>
      </c>
      <c r="L67" s="64">
        <v>31.99</v>
      </c>
      <c r="M67" s="64">
        <v>32.75</v>
      </c>
      <c r="N67" s="64">
        <v>122.2</v>
      </c>
      <c r="O67" s="64">
        <v>0</v>
      </c>
      <c r="P67" s="64">
        <v>0.53</v>
      </c>
      <c r="Q67" s="64">
        <v>9.6199999999999992</v>
      </c>
      <c r="R67" s="196"/>
      <c r="S67" s="196"/>
      <c r="T67" s="196"/>
      <c r="U67" s="196"/>
    </row>
    <row r="68" spans="1:21" s="12" customFormat="1" x14ac:dyDescent="0.25">
      <c r="A68" s="211" t="s">
        <v>304</v>
      </c>
      <c r="B68" s="64">
        <v>0.25</v>
      </c>
      <c r="C68" s="64">
        <v>9.56</v>
      </c>
      <c r="D68" s="64">
        <v>3.82</v>
      </c>
      <c r="E68" s="64">
        <v>4.76</v>
      </c>
      <c r="F68" s="64">
        <v>8.83</v>
      </c>
      <c r="G68" s="64">
        <v>54.87</v>
      </c>
      <c r="H68" s="64">
        <v>28.98</v>
      </c>
      <c r="I68" s="64">
        <v>2.2799999999999998</v>
      </c>
      <c r="J68" s="64">
        <v>0.4</v>
      </c>
      <c r="K68" s="64">
        <v>55.5</v>
      </c>
      <c r="L68" s="64">
        <v>31.58</v>
      </c>
      <c r="M68" s="64">
        <v>33.869999999999997</v>
      </c>
      <c r="N68" s="64">
        <v>112.1</v>
      </c>
      <c r="O68" s="64">
        <v>0</v>
      </c>
      <c r="P68" s="64">
        <v>0.43</v>
      </c>
      <c r="Q68" s="64">
        <v>9.6199999999999992</v>
      </c>
      <c r="R68" s="196"/>
      <c r="S68" s="196"/>
      <c r="T68" s="196"/>
      <c r="U68" s="196"/>
    </row>
    <row r="69" spans="1:21" s="12" customFormat="1" x14ac:dyDescent="0.25">
      <c r="A69" s="211" t="s">
        <v>305</v>
      </c>
      <c r="B69" s="64">
        <v>0.28000000000000003</v>
      </c>
      <c r="C69" s="64">
        <v>9.7100000000000009</v>
      </c>
      <c r="D69" s="64">
        <v>3.92</v>
      </c>
      <c r="E69" s="64">
        <v>4.78</v>
      </c>
      <c r="F69" s="64">
        <v>7.3</v>
      </c>
      <c r="G69" s="64">
        <v>54.87</v>
      </c>
      <c r="H69" s="64">
        <v>28.98</v>
      </c>
      <c r="I69" s="64">
        <v>1.88</v>
      </c>
      <c r="J69" s="64">
        <v>1</v>
      </c>
      <c r="K69" s="64">
        <v>345.98</v>
      </c>
      <c r="L69" s="64">
        <v>31.56</v>
      </c>
      <c r="M69" s="64">
        <v>33.31</v>
      </c>
      <c r="N69" s="64">
        <v>101.2</v>
      </c>
      <c r="O69" s="64">
        <v>0</v>
      </c>
      <c r="P69" s="64">
        <v>0.51</v>
      </c>
      <c r="Q69" s="64">
        <v>9.61</v>
      </c>
      <c r="R69" s="196"/>
      <c r="S69" s="196"/>
      <c r="T69" s="196"/>
      <c r="U69" s="196"/>
    </row>
    <row r="70" spans="1:21" s="12" customFormat="1" x14ac:dyDescent="0.25">
      <c r="A70" s="211" t="s">
        <v>306</v>
      </c>
      <c r="B70" s="64">
        <v>0.32</v>
      </c>
      <c r="C70" s="64">
        <v>9.8699999999999992</v>
      </c>
      <c r="D70" s="64">
        <v>4.04</v>
      </c>
      <c r="E70" s="64">
        <v>4.87</v>
      </c>
      <c r="F70" s="64">
        <v>8.67</v>
      </c>
      <c r="G70" s="64">
        <v>53.35</v>
      </c>
      <c r="H70" s="64">
        <v>18.63</v>
      </c>
      <c r="I70" s="64">
        <v>2.37</v>
      </c>
      <c r="J70" s="64">
        <v>0.5</v>
      </c>
      <c r="K70" s="64">
        <v>1.8</v>
      </c>
      <c r="L70" s="64">
        <v>31.2</v>
      </c>
      <c r="M70" s="64">
        <v>34.58</v>
      </c>
      <c r="N70" s="64">
        <v>92.3</v>
      </c>
      <c r="O70" s="64">
        <v>0</v>
      </c>
      <c r="P70" s="64">
        <v>0.53</v>
      </c>
      <c r="Q70" s="64">
        <v>9.6199999999999992</v>
      </c>
      <c r="R70" s="196"/>
      <c r="S70" s="196"/>
      <c r="T70" s="196"/>
      <c r="U70" s="196"/>
    </row>
    <row r="71" spans="1:21" s="12" customFormat="1" x14ac:dyDescent="0.25">
      <c r="A71" s="211" t="s">
        <v>307</v>
      </c>
      <c r="B71" s="64">
        <v>0.36</v>
      </c>
      <c r="C71" s="64">
        <v>9.94</v>
      </c>
      <c r="D71" s="64">
        <v>4.1100000000000003</v>
      </c>
      <c r="E71" s="64">
        <v>4.88</v>
      </c>
      <c r="F71" s="64">
        <v>8.33</v>
      </c>
      <c r="G71" s="64">
        <v>52.43</v>
      </c>
      <c r="H71" s="64">
        <v>14.75</v>
      </c>
      <c r="I71" s="64">
        <v>1.93</v>
      </c>
      <c r="J71" s="64">
        <v>0.67</v>
      </c>
      <c r="K71" s="64">
        <v>119.34</v>
      </c>
      <c r="L71" s="64">
        <v>30.78</v>
      </c>
      <c r="M71" s="64">
        <v>35.799999999999997</v>
      </c>
      <c r="N71" s="64">
        <v>85.9</v>
      </c>
      <c r="O71" s="64">
        <v>0</v>
      </c>
      <c r="P71" s="64">
        <v>0.46</v>
      </c>
      <c r="Q71" s="64">
        <v>9.6</v>
      </c>
      <c r="R71" s="196"/>
      <c r="S71" s="196"/>
      <c r="T71" s="196"/>
      <c r="U71" s="196"/>
    </row>
    <row r="72" spans="1:21" s="12" customFormat="1" x14ac:dyDescent="0.25">
      <c r="A72" s="211" t="s">
        <v>308</v>
      </c>
      <c r="B72" s="64">
        <v>0.3</v>
      </c>
      <c r="C72" s="64">
        <v>9.77</v>
      </c>
      <c r="D72" s="64">
        <v>3.97</v>
      </c>
      <c r="E72" s="64">
        <v>4.59</v>
      </c>
      <c r="F72" s="64">
        <v>8.9</v>
      </c>
      <c r="G72" s="64">
        <v>52.43</v>
      </c>
      <c r="H72" s="64">
        <v>14.75</v>
      </c>
      <c r="I72" s="64">
        <v>1.61</v>
      </c>
      <c r="J72" s="64">
        <v>0.56000000000000005</v>
      </c>
      <c r="K72" s="64">
        <v>105.17</v>
      </c>
      <c r="L72" s="64">
        <v>30.28</v>
      </c>
      <c r="M72" s="64">
        <v>37.24</v>
      </c>
      <c r="N72" s="64">
        <v>78</v>
      </c>
      <c r="O72" s="64">
        <v>0</v>
      </c>
      <c r="P72" s="64">
        <v>0.4</v>
      </c>
      <c r="Q72" s="64">
        <v>9.6</v>
      </c>
      <c r="R72" s="196"/>
      <c r="S72" s="196"/>
      <c r="T72" s="196"/>
      <c r="U72" s="196"/>
    </row>
    <row r="73" spans="1:21" s="12" customFormat="1" x14ac:dyDescent="0.25">
      <c r="A73" s="211" t="s">
        <v>309</v>
      </c>
      <c r="B73" s="64">
        <v>0.24</v>
      </c>
      <c r="C73" s="64">
        <v>9.64</v>
      </c>
      <c r="D73" s="64">
        <v>3.85</v>
      </c>
      <c r="E73" s="64">
        <v>5.49</v>
      </c>
      <c r="F73" s="64">
        <v>7.56</v>
      </c>
      <c r="G73" s="64">
        <v>52.43</v>
      </c>
      <c r="H73" s="64">
        <v>14.75</v>
      </c>
      <c r="I73" s="64">
        <v>1.78</v>
      </c>
      <c r="J73" s="64">
        <v>0.32</v>
      </c>
      <c r="K73" s="64">
        <v>95.9</v>
      </c>
      <c r="L73" s="64">
        <v>30.09</v>
      </c>
      <c r="M73" s="64">
        <v>37.81</v>
      </c>
      <c r="N73" s="64">
        <v>69.599999999999994</v>
      </c>
      <c r="O73" s="64">
        <v>0</v>
      </c>
      <c r="P73" s="64">
        <v>0.48</v>
      </c>
      <c r="Q73" s="64">
        <v>9.61</v>
      </c>
      <c r="R73" s="196"/>
      <c r="S73" s="196"/>
      <c r="T73" s="196"/>
      <c r="U73" s="196"/>
    </row>
    <row r="74" spans="1:21" s="12" customFormat="1" x14ac:dyDescent="0.25">
      <c r="A74" s="211" t="s">
        <v>310</v>
      </c>
      <c r="B74" s="64">
        <v>0.21</v>
      </c>
      <c r="C74" s="64">
        <v>9.8699999999999992</v>
      </c>
      <c r="D74" s="64">
        <v>3.95</v>
      </c>
      <c r="E74" s="64">
        <v>6.06</v>
      </c>
      <c r="F74" s="64">
        <v>6.93</v>
      </c>
      <c r="G74" s="64">
        <v>48.13</v>
      </c>
      <c r="H74" s="64">
        <v>14.87</v>
      </c>
      <c r="I74" s="64">
        <v>1.64</v>
      </c>
      <c r="J74" s="64">
        <v>0.3</v>
      </c>
      <c r="K74" s="64">
        <v>16.04</v>
      </c>
      <c r="L74" s="64">
        <v>30</v>
      </c>
      <c r="M74" s="64">
        <v>38.82</v>
      </c>
      <c r="N74" s="64">
        <v>60.7</v>
      </c>
      <c r="O74" s="64">
        <v>0</v>
      </c>
      <c r="P74" s="64">
        <v>0.5</v>
      </c>
      <c r="Q74" s="64">
        <v>9.61</v>
      </c>
      <c r="R74" s="196"/>
      <c r="S74" s="196"/>
      <c r="T74" s="196"/>
      <c r="U74" s="196"/>
    </row>
    <row r="75" spans="1:21" s="12" customFormat="1" x14ac:dyDescent="0.25">
      <c r="A75" s="211" t="s">
        <v>311</v>
      </c>
      <c r="B75" s="64">
        <v>0.16</v>
      </c>
      <c r="C75" s="64">
        <v>10.01</v>
      </c>
      <c r="D75" s="64">
        <v>3.99</v>
      </c>
      <c r="E75" s="64">
        <v>5.63</v>
      </c>
      <c r="F75" s="64">
        <v>7.22</v>
      </c>
      <c r="G75" s="64">
        <v>45.52</v>
      </c>
      <c r="H75" s="64">
        <v>14.9</v>
      </c>
      <c r="I75" s="64">
        <v>1.9</v>
      </c>
      <c r="J75" s="64">
        <v>0.6</v>
      </c>
      <c r="K75" s="64">
        <v>107.56</v>
      </c>
      <c r="L75" s="64">
        <v>29.66</v>
      </c>
      <c r="M75" s="64">
        <v>39.119999999999997</v>
      </c>
      <c r="N75" s="64">
        <v>51.1</v>
      </c>
      <c r="O75" s="64">
        <v>0</v>
      </c>
      <c r="P75" s="64">
        <v>0.48</v>
      </c>
      <c r="Q75" s="64">
        <v>9.61</v>
      </c>
      <c r="R75" s="196"/>
      <c r="S75" s="196"/>
      <c r="T75" s="196"/>
      <c r="U75" s="196"/>
    </row>
    <row r="76" spans="1:21" s="12" customFormat="1" x14ac:dyDescent="0.25">
      <c r="A76" s="211" t="s">
        <v>312</v>
      </c>
      <c r="B76" s="64">
        <v>0.11</v>
      </c>
      <c r="C76" s="64">
        <v>10.17</v>
      </c>
      <c r="D76" s="64">
        <v>4.03</v>
      </c>
      <c r="E76" s="64">
        <v>5.29</v>
      </c>
      <c r="F76" s="64">
        <v>6.97</v>
      </c>
      <c r="G76" s="64">
        <v>45.52</v>
      </c>
      <c r="H76" s="64">
        <v>14.9</v>
      </c>
      <c r="I76" s="64">
        <v>1.81</v>
      </c>
      <c r="J76" s="64">
        <v>1.01</v>
      </c>
      <c r="K76" s="64">
        <v>113.64</v>
      </c>
      <c r="L76" s="64">
        <v>29.33</v>
      </c>
      <c r="M76" s="64">
        <v>40.409999999999997</v>
      </c>
      <c r="N76" s="64">
        <v>42.4</v>
      </c>
      <c r="O76" s="64">
        <v>0</v>
      </c>
      <c r="P76" s="64">
        <v>0.45</v>
      </c>
      <c r="Q76" s="64">
        <v>9.61</v>
      </c>
      <c r="R76" s="196"/>
      <c r="S76" s="196"/>
      <c r="T76" s="196"/>
      <c r="U76" s="196"/>
    </row>
    <row r="77" spans="1:21" s="12" customFormat="1" x14ac:dyDescent="0.25">
      <c r="A77" s="211" t="s">
        <v>313</v>
      </c>
      <c r="B77" s="64">
        <v>7.0000000000000007E-2</v>
      </c>
      <c r="C77" s="64">
        <v>9.89</v>
      </c>
      <c r="D77" s="64">
        <v>3.84</v>
      </c>
      <c r="E77" s="64">
        <v>5.35</v>
      </c>
      <c r="F77" s="64">
        <v>6.22</v>
      </c>
      <c r="G77" s="64">
        <v>45.52</v>
      </c>
      <c r="H77" s="64">
        <v>14.9</v>
      </c>
      <c r="I77" s="64">
        <v>1.68</v>
      </c>
      <c r="J77" s="64">
        <v>1.29</v>
      </c>
      <c r="K77" s="64">
        <v>117.91</v>
      </c>
      <c r="L77" s="64">
        <v>29.12</v>
      </c>
      <c r="M77" s="64">
        <v>40.61</v>
      </c>
      <c r="N77" s="64">
        <v>35.1</v>
      </c>
      <c r="O77" s="64">
        <v>0</v>
      </c>
      <c r="P77" s="64">
        <v>0.42</v>
      </c>
      <c r="Q77" s="64">
        <v>9.61</v>
      </c>
      <c r="R77" s="196"/>
      <c r="S77" s="196"/>
      <c r="T77" s="196"/>
      <c r="U77" s="196"/>
    </row>
    <row r="78" spans="1:21" s="12" customFormat="1" x14ac:dyDescent="0.25">
      <c r="A78" s="211" t="s">
        <v>314</v>
      </c>
      <c r="B78" s="64">
        <v>0.03</v>
      </c>
      <c r="C78" s="64">
        <v>9.69</v>
      </c>
      <c r="D78" s="64">
        <v>3.71</v>
      </c>
      <c r="E78" s="64">
        <v>5.03</v>
      </c>
      <c r="F78" s="64">
        <v>5.84</v>
      </c>
      <c r="G78" s="64">
        <v>47.92</v>
      </c>
      <c r="H78" s="64">
        <v>20.18</v>
      </c>
      <c r="I78" s="64">
        <v>2.4900000000000002</v>
      </c>
      <c r="J78" s="64">
        <v>1.22</v>
      </c>
      <c r="K78" s="64">
        <v>115.64</v>
      </c>
      <c r="L78" s="64">
        <v>28.82</v>
      </c>
      <c r="M78" s="64">
        <v>41.25</v>
      </c>
      <c r="N78" s="64">
        <v>29.3</v>
      </c>
      <c r="O78" s="64">
        <v>0</v>
      </c>
      <c r="P78" s="64">
        <v>0.42</v>
      </c>
      <c r="Q78" s="64">
        <v>9.61</v>
      </c>
      <c r="R78" s="196"/>
      <c r="S78" s="196"/>
      <c r="T78" s="196"/>
      <c r="U78" s="196"/>
    </row>
    <row r="79" spans="1:21" s="12" customFormat="1" x14ac:dyDescent="0.25">
      <c r="A79" s="211" t="s">
        <v>315</v>
      </c>
      <c r="B79" s="64">
        <v>0.05</v>
      </c>
      <c r="C79" s="64">
        <v>9.51</v>
      </c>
      <c r="D79" s="64">
        <v>3.63</v>
      </c>
      <c r="E79" s="64">
        <v>5.43</v>
      </c>
      <c r="F79" s="64">
        <v>6.39</v>
      </c>
      <c r="G79" s="64">
        <v>49.45</v>
      </c>
      <c r="H79" s="64">
        <v>21.34</v>
      </c>
      <c r="I79" s="64">
        <v>2.69</v>
      </c>
      <c r="J79" s="64">
        <v>0.42</v>
      </c>
      <c r="K79" s="64">
        <v>125.36</v>
      </c>
      <c r="L79" s="64">
        <v>28.38</v>
      </c>
      <c r="M79" s="64">
        <v>43.1</v>
      </c>
      <c r="N79" s="64">
        <v>26.9</v>
      </c>
      <c r="O79" s="64">
        <v>0</v>
      </c>
      <c r="P79" s="64">
        <v>0.43</v>
      </c>
      <c r="Q79" s="64">
        <v>9.61</v>
      </c>
      <c r="R79" s="196"/>
      <c r="S79" s="196"/>
      <c r="T79" s="196"/>
      <c r="U79" s="196"/>
    </row>
    <row r="80" spans="1:21" s="12" customFormat="1" x14ac:dyDescent="0.25">
      <c r="A80" s="211" t="s">
        <v>316</v>
      </c>
      <c r="B80" s="64">
        <v>0.16</v>
      </c>
      <c r="C80" s="64">
        <v>9.9499999999999993</v>
      </c>
      <c r="D80" s="64">
        <v>3.95</v>
      </c>
      <c r="E80" s="64">
        <v>5.09</v>
      </c>
      <c r="F80" s="64">
        <v>5.94</v>
      </c>
      <c r="G80" s="64">
        <v>49.45</v>
      </c>
      <c r="H80" s="64">
        <v>21.34</v>
      </c>
      <c r="I80" s="64">
        <v>1.95</v>
      </c>
      <c r="J80" s="64">
        <v>0.48</v>
      </c>
      <c r="K80" s="64">
        <v>329.41</v>
      </c>
      <c r="L80" s="64">
        <v>27.81</v>
      </c>
      <c r="M80" s="64">
        <v>47.83</v>
      </c>
      <c r="N80" s="64">
        <v>26.5</v>
      </c>
      <c r="O80" s="64">
        <v>0</v>
      </c>
      <c r="P80" s="64">
        <v>0.72</v>
      </c>
      <c r="Q80" s="64">
        <v>9.61</v>
      </c>
      <c r="R80" s="196"/>
      <c r="S80" s="196"/>
      <c r="T80" s="196"/>
      <c r="U80" s="196"/>
    </row>
    <row r="81" spans="1:26" s="12" customFormat="1" x14ac:dyDescent="0.25">
      <c r="A81" s="211" t="s">
        <v>317</v>
      </c>
      <c r="B81" s="64">
        <v>0.59</v>
      </c>
      <c r="C81" s="64">
        <v>11.79</v>
      </c>
      <c r="D81" s="64">
        <v>5.26</v>
      </c>
      <c r="E81" s="64">
        <v>5.77</v>
      </c>
      <c r="F81" s="64">
        <v>4.5</v>
      </c>
      <c r="G81" s="64">
        <v>49.45</v>
      </c>
      <c r="H81" s="64">
        <v>21.34</v>
      </c>
      <c r="I81" s="64">
        <v>2.4</v>
      </c>
      <c r="J81" s="64">
        <v>0.49</v>
      </c>
      <c r="K81" s="64">
        <v>335.11</v>
      </c>
      <c r="L81" s="64">
        <v>26.82</v>
      </c>
      <c r="M81" s="64">
        <v>55.19</v>
      </c>
      <c r="N81" s="64">
        <v>26.7</v>
      </c>
      <c r="O81" s="64">
        <v>0</v>
      </c>
      <c r="P81" s="64">
        <v>1.02</v>
      </c>
      <c r="Q81" s="64">
        <v>9.6199999999999992</v>
      </c>
      <c r="R81" s="196"/>
      <c r="S81" s="196"/>
      <c r="T81" s="196"/>
      <c r="U81" s="196"/>
    </row>
    <row r="82" spans="1:26" s="12" customFormat="1" x14ac:dyDescent="0.25">
      <c r="A82" s="211" t="s">
        <v>318</v>
      </c>
      <c r="B82" s="64">
        <v>1.1599999999999999</v>
      </c>
      <c r="C82" s="64">
        <v>12.95</v>
      </c>
      <c r="D82" s="64">
        <v>6.31</v>
      </c>
      <c r="E82" s="64">
        <v>6.07</v>
      </c>
      <c r="F82" s="64">
        <v>5.07</v>
      </c>
      <c r="G82" s="64">
        <v>58.09</v>
      </c>
      <c r="H82" s="64">
        <v>24.13</v>
      </c>
      <c r="I82" s="64">
        <v>3.49</v>
      </c>
      <c r="J82" s="64">
        <v>0.53</v>
      </c>
      <c r="K82" s="64">
        <v>281.99</v>
      </c>
      <c r="L82" s="64">
        <v>26.03</v>
      </c>
      <c r="M82" s="64">
        <v>56.17</v>
      </c>
      <c r="N82" s="64">
        <v>26.3</v>
      </c>
      <c r="O82" s="64">
        <v>0</v>
      </c>
      <c r="P82" s="64">
        <v>0.89</v>
      </c>
      <c r="Q82" s="64">
        <v>9.6199999999999992</v>
      </c>
      <c r="R82" s="196"/>
      <c r="S82" s="196"/>
      <c r="T82" s="196"/>
      <c r="U82" s="196"/>
    </row>
    <row r="83" spans="1:26" s="12" customFormat="1" x14ac:dyDescent="0.25">
      <c r="A83" s="211" t="s">
        <v>319</v>
      </c>
      <c r="B83" s="64">
        <v>1.42</v>
      </c>
      <c r="C83" s="64">
        <v>12.94</v>
      </c>
      <c r="D83" s="64">
        <v>6.53</v>
      </c>
      <c r="E83" s="64">
        <v>6.01</v>
      </c>
      <c r="F83" s="64">
        <v>5.41</v>
      </c>
      <c r="G83" s="64">
        <v>63.34</v>
      </c>
      <c r="H83" s="64">
        <v>24.74</v>
      </c>
      <c r="I83" s="64">
        <v>4.2</v>
      </c>
      <c r="J83" s="64">
        <v>0.53</v>
      </c>
      <c r="K83" s="64">
        <v>298.98</v>
      </c>
      <c r="L83" s="64">
        <v>25.65</v>
      </c>
      <c r="M83" s="64">
        <v>59.49</v>
      </c>
      <c r="N83" s="64">
        <v>26.4</v>
      </c>
      <c r="O83" s="64">
        <v>0</v>
      </c>
      <c r="P83" s="64">
        <v>1.1499999999999999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320</v>
      </c>
      <c r="B84" s="64">
        <v>1.86</v>
      </c>
      <c r="C84" s="64">
        <v>13.52</v>
      </c>
      <c r="D84" s="64">
        <v>7.18</v>
      </c>
      <c r="E84" s="64">
        <v>5.76</v>
      </c>
      <c r="F84" s="64">
        <v>5.04</v>
      </c>
      <c r="G84" s="64">
        <v>63.34</v>
      </c>
      <c r="H84" s="64">
        <v>24.74</v>
      </c>
      <c r="I84" s="64">
        <v>3.5</v>
      </c>
      <c r="J84" s="64">
        <v>0.3</v>
      </c>
      <c r="K84" s="64">
        <v>256.22000000000003</v>
      </c>
      <c r="L84" s="64">
        <v>25.17</v>
      </c>
      <c r="M84" s="64">
        <v>59.16</v>
      </c>
      <c r="N84" s="64">
        <v>26</v>
      </c>
      <c r="O84" s="64">
        <v>0</v>
      </c>
      <c r="P84" s="64">
        <v>0.98</v>
      </c>
      <c r="Q84" s="64">
        <v>9.6</v>
      </c>
      <c r="R84" s="196"/>
      <c r="S84" s="196"/>
      <c r="T84" s="196"/>
      <c r="U84" s="196"/>
    </row>
    <row r="85" spans="1:26" s="12" customFormat="1" x14ac:dyDescent="0.25">
      <c r="A85" s="211" t="s">
        <v>321</v>
      </c>
      <c r="B85" s="64">
        <v>2.2799999999999998</v>
      </c>
      <c r="C85" s="64">
        <v>14.19</v>
      </c>
      <c r="D85" s="64">
        <v>7.87</v>
      </c>
      <c r="E85" s="64">
        <v>6.2</v>
      </c>
      <c r="F85" s="64">
        <v>5.36</v>
      </c>
      <c r="G85" s="64">
        <v>63.34</v>
      </c>
      <c r="H85" s="64">
        <v>24.74</v>
      </c>
      <c r="I85" s="64">
        <v>3.81</v>
      </c>
      <c r="J85" s="64">
        <v>0.56000000000000005</v>
      </c>
      <c r="K85" s="64">
        <v>302.8</v>
      </c>
      <c r="L85" s="64">
        <v>24.86</v>
      </c>
      <c r="M85" s="64">
        <v>63.24</v>
      </c>
      <c r="N85" s="64">
        <v>26.2</v>
      </c>
      <c r="O85" s="64">
        <v>0</v>
      </c>
      <c r="P85" s="64">
        <v>1.21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322</v>
      </c>
      <c r="B86" s="64">
        <v>3.08</v>
      </c>
      <c r="C86" s="64">
        <v>14.74</v>
      </c>
      <c r="D86" s="64">
        <v>8.7899999999999991</v>
      </c>
      <c r="E86" s="64">
        <v>6.04</v>
      </c>
      <c r="F86" s="64">
        <v>4.24</v>
      </c>
      <c r="G86" s="64">
        <v>94.65</v>
      </c>
      <c r="H86" s="64">
        <v>45.77</v>
      </c>
      <c r="I86" s="64">
        <v>5.47</v>
      </c>
      <c r="J86" s="64">
        <v>0.33</v>
      </c>
      <c r="K86" s="64">
        <v>300.27</v>
      </c>
      <c r="L86" s="64">
        <v>24.47</v>
      </c>
      <c r="M86" s="64">
        <v>66.02</v>
      </c>
      <c r="N86" s="64">
        <v>26.1</v>
      </c>
      <c r="O86" s="64">
        <v>0</v>
      </c>
      <c r="P86" s="64">
        <v>1.61</v>
      </c>
      <c r="Q86" s="64">
        <v>9.6300000000000008</v>
      </c>
      <c r="R86" s="196"/>
      <c r="S86" s="196"/>
      <c r="T86" s="196"/>
      <c r="U86" s="196"/>
    </row>
    <row r="87" spans="1:26" s="12" customFormat="1" x14ac:dyDescent="0.25">
      <c r="A87" s="211" t="s">
        <v>323</v>
      </c>
      <c r="B87" s="64">
        <v>4.25</v>
      </c>
      <c r="C87" s="64">
        <v>15.02</v>
      </c>
      <c r="D87" s="64">
        <v>9.8800000000000008</v>
      </c>
      <c r="E87" s="64">
        <v>6.37</v>
      </c>
      <c r="F87" s="64">
        <v>3.94</v>
      </c>
      <c r="G87" s="64">
        <v>113.65</v>
      </c>
      <c r="H87" s="64">
        <v>53.91</v>
      </c>
      <c r="I87" s="64">
        <v>6</v>
      </c>
      <c r="J87" s="64">
        <v>0.27</v>
      </c>
      <c r="K87" s="64">
        <v>161.41999999999999</v>
      </c>
      <c r="L87" s="64">
        <v>24.26</v>
      </c>
      <c r="M87" s="64">
        <v>68.5</v>
      </c>
      <c r="N87" s="64">
        <v>26.1</v>
      </c>
      <c r="O87" s="64">
        <v>0</v>
      </c>
      <c r="P87" s="64">
        <v>1.39</v>
      </c>
      <c r="Q87" s="64">
        <v>9.6300000000000008</v>
      </c>
      <c r="R87" s="196"/>
      <c r="S87" s="196"/>
      <c r="T87" s="196"/>
      <c r="U87" s="196"/>
    </row>
    <row r="88" spans="1:26" s="12" customFormat="1" x14ac:dyDescent="0.25">
      <c r="A88" s="211" t="s">
        <v>324</v>
      </c>
      <c r="B88" s="64">
        <v>5.95</v>
      </c>
      <c r="C88" s="64">
        <v>15.28</v>
      </c>
      <c r="D88" s="64">
        <v>11.38</v>
      </c>
      <c r="E88" s="64">
        <v>6.17</v>
      </c>
      <c r="F88" s="64">
        <v>4.4000000000000004</v>
      </c>
      <c r="G88" s="64">
        <v>113.65</v>
      </c>
      <c r="H88" s="64">
        <v>53.91</v>
      </c>
      <c r="I88" s="64">
        <v>6.49</v>
      </c>
      <c r="J88" s="64">
        <v>0.57999999999999996</v>
      </c>
      <c r="K88" s="64">
        <v>298.11</v>
      </c>
      <c r="L88" s="64">
        <v>23.97</v>
      </c>
      <c r="M88" s="64">
        <v>72.63</v>
      </c>
      <c r="N88" s="64">
        <v>26.1</v>
      </c>
      <c r="O88" s="64">
        <v>0</v>
      </c>
      <c r="P88" s="64">
        <v>1.51</v>
      </c>
      <c r="Q88" s="64">
        <v>9.61</v>
      </c>
      <c r="R88" s="196"/>
      <c r="S88" s="196"/>
      <c r="T88" s="196"/>
      <c r="U88" s="196"/>
    </row>
    <row r="89" spans="1:26" s="12" customFormat="1" x14ac:dyDescent="0.25">
      <c r="A89" s="211" t="s">
        <v>325</v>
      </c>
      <c r="B89" s="64">
        <v>8.1199999999999992</v>
      </c>
      <c r="C89" s="64">
        <v>15.38</v>
      </c>
      <c r="D89" s="64">
        <v>13.17</v>
      </c>
      <c r="E89" s="64">
        <v>5.7</v>
      </c>
      <c r="F89" s="64">
        <v>4.4000000000000004</v>
      </c>
      <c r="G89" s="64">
        <v>113.65</v>
      </c>
      <c r="H89" s="64">
        <v>53.91</v>
      </c>
      <c r="I89" s="64">
        <v>6.55</v>
      </c>
      <c r="J89" s="64">
        <v>0.32</v>
      </c>
      <c r="K89" s="64">
        <v>282.45</v>
      </c>
      <c r="L89" s="64">
        <v>23.73</v>
      </c>
      <c r="M89" s="64">
        <v>74.849999999999994</v>
      </c>
      <c r="N89" s="64">
        <v>26.1</v>
      </c>
      <c r="O89" s="64">
        <v>0</v>
      </c>
      <c r="P89" s="64">
        <v>1.34</v>
      </c>
      <c r="Q89" s="64">
        <v>9.6199999999999992</v>
      </c>
      <c r="R89" s="196"/>
      <c r="S89" s="196"/>
      <c r="T89" s="196"/>
      <c r="U89" s="196"/>
    </row>
    <row r="90" spans="1:26" s="12" customFormat="1" x14ac:dyDescent="0.25">
      <c r="A90" s="211" t="s">
        <v>326</v>
      </c>
      <c r="B90" s="64">
        <v>10.78</v>
      </c>
      <c r="C90" s="64">
        <v>15.72</v>
      </c>
      <c r="D90" s="64">
        <v>15.49</v>
      </c>
      <c r="E90" s="64">
        <v>6.48</v>
      </c>
      <c r="F90" s="64">
        <v>4.26</v>
      </c>
      <c r="G90" s="64">
        <v>201.11</v>
      </c>
      <c r="H90" s="64">
        <v>329.5</v>
      </c>
      <c r="I90" s="64">
        <v>6.39</v>
      </c>
      <c r="J90" s="64">
        <v>0.19</v>
      </c>
      <c r="K90" s="64">
        <v>235.73</v>
      </c>
      <c r="L90" s="64">
        <v>23.56</v>
      </c>
      <c r="M90" s="64">
        <v>76.52</v>
      </c>
      <c r="N90" s="64">
        <v>26.1</v>
      </c>
      <c r="O90" s="64">
        <v>0</v>
      </c>
      <c r="P90" s="64">
        <v>1.1000000000000001</v>
      </c>
      <c r="Q90" s="64">
        <v>9.6300000000000008</v>
      </c>
      <c r="R90" s="196"/>
      <c r="S90" s="196"/>
      <c r="T90" s="196"/>
      <c r="U90" s="196"/>
    </row>
    <row r="91" spans="1:26" s="12" customFormat="1" x14ac:dyDescent="0.25">
      <c r="A91" s="211" t="s">
        <v>327</v>
      </c>
      <c r="B91" s="64">
        <v>13.93</v>
      </c>
      <c r="C91" s="64">
        <v>16.12</v>
      </c>
      <c r="D91" s="64">
        <v>18.21</v>
      </c>
      <c r="E91" s="64">
        <v>7.15</v>
      </c>
      <c r="F91" s="64">
        <v>5.49</v>
      </c>
      <c r="G91" s="64">
        <v>254.22</v>
      </c>
      <c r="H91" s="64">
        <v>389.63</v>
      </c>
      <c r="I91" s="64">
        <v>6.46</v>
      </c>
      <c r="J91" s="64">
        <v>0.31</v>
      </c>
      <c r="K91" s="64">
        <v>226.1</v>
      </c>
      <c r="L91" s="64">
        <v>23.99</v>
      </c>
      <c r="M91" s="64">
        <v>76.25</v>
      </c>
      <c r="N91" s="64">
        <v>25.5</v>
      </c>
      <c r="O91" s="64">
        <v>0</v>
      </c>
      <c r="P91" s="64">
        <v>1.36</v>
      </c>
      <c r="Q91" s="64">
        <v>9.6300000000000008</v>
      </c>
      <c r="R91" s="196"/>
      <c r="S91" s="196"/>
      <c r="T91" s="196"/>
      <c r="U91" s="196"/>
    </row>
    <row r="92" spans="1:26" s="12" customFormat="1" x14ac:dyDescent="0.25">
      <c r="A92" s="211" t="s">
        <v>328</v>
      </c>
      <c r="B92" s="64">
        <v>19.53</v>
      </c>
      <c r="C92" s="64">
        <v>16.73</v>
      </c>
      <c r="D92" s="64">
        <v>23.02</v>
      </c>
      <c r="E92" s="64">
        <v>8.51</v>
      </c>
      <c r="F92" s="64">
        <v>5.66</v>
      </c>
      <c r="G92" s="64">
        <v>254.22</v>
      </c>
      <c r="H92" s="64">
        <v>389.63</v>
      </c>
      <c r="I92" s="64">
        <v>6.31</v>
      </c>
      <c r="J92" s="64">
        <v>0.38</v>
      </c>
      <c r="K92" s="64">
        <v>312.32</v>
      </c>
      <c r="L92" s="64">
        <v>23.87</v>
      </c>
      <c r="M92" s="64">
        <v>76.67</v>
      </c>
      <c r="N92" s="64">
        <v>26.1</v>
      </c>
      <c r="O92" s="64">
        <v>0</v>
      </c>
      <c r="P92" s="64">
        <v>1.33</v>
      </c>
      <c r="Q92" s="64">
        <v>9.6199999999999992</v>
      </c>
      <c r="R92" s="196"/>
      <c r="S92" s="196"/>
      <c r="T92" s="196"/>
      <c r="U92" s="196"/>
    </row>
    <row r="93" spans="1:26" s="12" customFormat="1" x14ac:dyDescent="0.25">
      <c r="A93" s="211" t="s">
        <v>329</v>
      </c>
      <c r="B93" s="64">
        <v>26.33</v>
      </c>
      <c r="C93" s="64">
        <v>16.98</v>
      </c>
      <c r="D93" s="64">
        <v>28.61</v>
      </c>
      <c r="E93" s="64">
        <v>9.64</v>
      </c>
      <c r="F93" s="64">
        <v>6</v>
      </c>
      <c r="G93" s="64">
        <v>254.22</v>
      </c>
      <c r="H93" s="64">
        <v>389.63</v>
      </c>
      <c r="I93" s="64">
        <v>6.99</v>
      </c>
      <c r="J93" s="64">
        <v>0.49</v>
      </c>
      <c r="K93" s="64">
        <v>274.58</v>
      </c>
      <c r="L93" s="64">
        <v>23.52</v>
      </c>
      <c r="M93" s="64">
        <v>78.44</v>
      </c>
      <c r="N93" s="64">
        <v>26.1</v>
      </c>
      <c r="O93" s="64">
        <v>0</v>
      </c>
      <c r="P93" s="64">
        <v>1.6</v>
      </c>
      <c r="Q93" s="64">
        <v>9.61</v>
      </c>
      <c r="R93" s="196"/>
      <c r="S93" s="196"/>
      <c r="T93" s="196"/>
      <c r="U93" s="196"/>
    </row>
    <row r="94" spans="1:26" s="12" customFormat="1" x14ac:dyDescent="0.25">
      <c r="A94" s="211" t="s">
        <v>330</v>
      </c>
      <c r="B94" s="64">
        <v>30.84</v>
      </c>
      <c r="C94" s="64">
        <v>17.149999999999999</v>
      </c>
      <c r="D94" s="64">
        <v>32.31</v>
      </c>
      <c r="E94" s="64">
        <v>10.210000000000001</v>
      </c>
      <c r="F94" s="64">
        <v>6.28</v>
      </c>
      <c r="G94" s="64">
        <v>371.42</v>
      </c>
      <c r="H94" s="64">
        <v>167.49</v>
      </c>
      <c r="I94" s="64">
        <v>7.38</v>
      </c>
      <c r="J94" s="64">
        <v>0.51</v>
      </c>
      <c r="K94" s="64">
        <v>310.26</v>
      </c>
      <c r="L94" s="64">
        <v>23.15</v>
      </c>
      <c r="M94" s="64">
        <v>81.78</v>
      </c>
      <c r="N94" s="64">
        <v>26.1</v>
      </c>
      <c r="O94" s="64">
        <v>0</v>
      </c>
      <c r="P94" s="64">
        <v>1.5</v>
      </c>
      <c r="Q94" s="64">
        <v>9.6199999999999992</v>
      </c>
      <c r="R94" s="196"/>
      <c r="S94" s="196"/>
      <c r="T94" s="196"/>
      <c r="U94" s="196"/>
    </row>
    <row r="95" spans="1:26" s="12" customFormat="1" x14ac:dyDescent="0.25">
      <c r="A95" s="211" t="s">
        <v>331</v>
      </c>
      <c r="B95" s="64">
        <v>35.51</v>
      </c>
      <c r="C95" s="64">
        <v>16.79</v>
      </c>
      <c r="D95" s="64">
        <v>35.869999999999997</v>
      </c>
      <c r="E95" s="64">
        <v>10.75</v>
      </c>
      <c r="F95" s="64">
        <v>6.6</v>
      </c>
      <c r="G95" s="64">
        <v>442.58</v>
      </c>
      <c r="H95" s="64">
        <v>115.92</v>
      </c>
      <c r="I95" s="64">
        <v>7.48</v>
      </c>
      <c r="J95" s="64">
        <v>0.48</v>
      </c>
      <c r="K95" s="64">
        <v>292.99</v>
      </c>
      <c r="L95" s="64">
        <v>22.9</v>
      </c>
      <c r="M95" s="64">
        <v>83.82</v>
      </c>
      <c r="N95" s="64">
        <v>26.1</v>
      </c>
      <c r="O95" s="64">
        <v>0</v>
      </c>
      <c r="P95" s="64">
        <v>1.69</v>
      </c>
      <c r="Q95" s="64">
        <v>9.6199999999999992</v>
      </c>
      <c r="R95" s="196"/>
      <c r="S95" s="196"/>
      <c r="T95" s="196"/>
      <c r="U95" s="196"/>
    </row>
    <row r="96" spans="1:26" s="12" customFormat="1" x14ac:dyDescent="0.25">
      <c r="A96" s="211" t="s">
        <v>332</v>
      </c>
      <c r="B96" s="64">
        <v>40.630000000000003</v>
      </c>
      <c r="C96" s="64">
        <v>16.649999999999999</v>
      </c>
      <c r="D96" s="64">
        <v>39.9</v>
      </c>
      <c r="E96" s="64">
        <v>11.13</v>
      </c>
      <c r="F96" s="64">
        <v>6.52</v>
      </c>
      <c r="G96" s="64">
        <v>442.58</v>
      </c>
      <c r="H96" s="64">
        <v>115.92</v>
      </c>
      <c r="I96" s="64">
        <v>7.86</v>
      </c>
      <c r="J96" s="64">
        <v>0.4</v>
      </c>
      <c r="K96" s="64">
        <v>316.39999999999998</v>
      </c>
      <c r="L96" s="64">
        <v>22.86</v>
      </c>
      <c r="M96" s="64">
        <v>84.64</v>
      </c>
      <c r="N96" s="64">
        <v>26</v>
      </c>
      <c r="O96" s="64">
        <v>0</v>
      </c>
      <c r="P96" s="64">
        <v>1.69</v>
      </c>
      <c r="Q96" s="64">
        <v>9.61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333</v>
      </c>
      <c r="B97" s="64">
        <v>46.5</v>
      </c>
      <c r="C97" s="64">
        <v>16.38</v>
      </c>
      <c r="D97" s="64">
        <v>44.47</v>
      </c>
      <c r="E97" s="64">
        <v>11.47</v>
      </c>
      <c r="F97" s="64">
        <v>6.1</v>
      </c>
      <c r="G97" s="64">
        <v>442.58</v>
      </c>
      <c r="H97" s="64">
        <v>115.92</v>
      </c>
      <c r="I97" s="64">
        <v>8.2799999999999994</v>
      </c>
      <c r="J97" s="64">
        <v>0.51</v>
      </c>
      <c r="K97" s="64">
        <v>346.89</v>
      </c>
      <c r="L97" s="64">
        <v>22.63</v>
      </c>
      <c r="M97" s="64">
        <v>86.3</v>
      </c>
      <c r="N97" s="64">
        <v>26.1</v>
      </c>
      <c r="O97" s="64">
        <v>0</v>
      </c>
      <c r="P97" s="64">
        <v>1.8</v>
      </c>
      <c r="Q97" s="64">
        <v>9.6300000000000008</v>
      </c>
      <c r="R97" s="196"/>
      <c r="S97" s="196"/>
      <c r="T97" s="196"/>
      <c r="U97" s="196"/>
    </row>
    <row r="98" spans="1:33" s="12" customFormat="1" x14ac:dyDescent="0.25">
      <c r="A98" s="211" t="s">
        <v>334</v>
      </c>
      <c r="B98" s="64">
        <v>51.6</v>
      </c>
      <c r="C98" s="64">
        <v>16.18</v>
      </c>
      <c r="D98" s="64">
        <v>48.45</v>
      </c>
      <c r="E98" s="64">
        <v>11.24</v>
      </c>
      <c r="F98" s="64">
        <v>6.16</v>
      </c>
      <c r="G98" s="64">
        <v>468.08</v>
      </c>
      <c r="H98" s="64">
        <v>329.47</v>
      </c>
      <c r="I98" s="64">
        <v>8.5</v>
      </c>
      <c r="J98" s="64">
        <v>0.47</v>
      </c>
      <c r="K98" s="64">
        <v>330.46</v>
      </c>
      <c r="L98" s="64">
        <v>22.44</v>
      </c>
      <c r="M98" s="64">
        <v>84.56</v>
      </c>
      <c r="N98" s="64">
        <v>26</v>
      </c>
      <c r="O98" s="64">
        <v>0</v>
      </c>
      <c r="P98" s="64">
        <v>1.57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335</v>
      </c>
      <c r="B99" s="64">
        <v>55.11</v>
      </c>
      <c r="C99" s="64">
        <v>15.81</v>
      </c>
      <c r="D99" s="64">
        <v>51.08</v>
      </c>
      <c r="E99" s="64">
        <v>10.82</v>
      </c>
      <c r="F99" s="64">
        <v>6.43</v>
      </c>
      <c r="G99" s="64">
        <v>483.55</v>
      </c>
      <c r="H99" s="64">
        <v>451.5</v>
      </c>
      <c r="I99" s="64">
        <v>8.3800000000000008</v>
      </c>
      <c r="J99" s="64">
        <v>0.32</v>
      </c>
      <c r="K99" s="64">
        <v>293.64</v>
      </c>
      <c r="L99" s="64">
        <v>22.44</v>
      </c>
      <c r="M99" s="64">
        <v>83.94</v>
      </c>
      <c r="N99" s="64">
        <v>25.9</v>
      </c>
      <c r="O99" s="64">
        <v>0</v>
      </c>
      <c r="P99" s="64">
        <v>1.67</v>
      </c>
      <c r="Q99" s="64">
        <v>9.6300000000000008</v>
      </c>
      <c r="R99" s="196"/>
      <c r="S99" s="196"/>
      <c r="T99" s="196"/>
      <c r="U99" s="196"/>
    </row>
    <row r="100" spans="1:33" s="12" customFormat="1" x14ac:dyDescent="0.25">
      <c r="A100" s="211" t="s">
        <v>336</v>
      </c>
      <c r="B100" s="64">
        <v>56.64</v>
      </c>
      <c r="C100" s="64">
        <v>14.32</v>
      </c>
      <c r="D100" s="64">
        <v>51.52</v>
      </c>
      <c r="E100" s="64">
        <v>10.18</v>
      </c>
      <c r="F100" s="64">
        <v>6.5</v>
      </c>
      <c r="G100" s="64">
        <v>483.55</v>
      </c>
      <c r="H100" s="64">
        <v>451.5</v>
      </c>
      <c r="I100" s="64">
        <v>8.19</v>
      </c>
      <c r="J100" s="64">
        <v>0.2</v>
      </c>
      <c r="K100" s="64">
        <v>148.83000000000001</v>
      </c>
      <c r="L100" s="64">
        <v>22.81</v>
      </c>
      <c r="M100" s="64">
        <v>79.69</v>
      </c>
      <c r="N100" s="64">
        <v>25.8</v>
      </c>
      <c r="O100" s="64">
        <v>0</v>
      </c>
      <c r="P100" s="64">
        <v>1.18</v>
      </c>
      <c r="Q100" s="64">
        <v>9.6199999999999992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337</v>
      </c>
      <c r="B101" s="64">
        <v>55.98</v>
      </c>
      <c r="C101" s="64">
        <v>13.71</v>
      </c>
      <c r="D101" s="64">
        <v>50.68</v>
      </c>
      <c r="E101" s="64">
        <v>9.75</v>
      </c>
      <c r="F101" s="64">
        <v>5.87</v>
      </c>
      <c r="G101" s="64">
        <v>483.55</v>
      </c>
      <c r="H101" s="64">
        <v>451.5</v>
      </c>
      <c r="I101" s="64">
        <v>7.33</v>
      </c>
      <c r="J101" s="64">
        <v>0.46</v>
      </c>
      <c r="K101" s="64">
        <v>279.63</v>
      </c>
      <c r="L101" s="64">
        <v>22.68</v>
      </c>
      <c r="M101" s="64">
        <v>83.27</v>
      </c>
      <c r="N101" s="64">
        <v>26</v>
      </c>
      <c r="O101" s="64">
        <v>0</v>
      </c>
      <c r="P101" s="64">
        <v>1.39</v>
      </c>
      <c r="Q101" s="64">
        <v>9.6300000000000008</v>
      </c>
      <c r="R101" s="196"/>
      <c r="S101" s="196"/>
      <c r="T101" s="196"/>
      <c r="U101" s="196"/>
    </row>
    <row r="102" spans="1:33" s="12" customFormat="1" x14ac:dyDescent="0.25">
      <c r="A102" s="211" t="s">
        <v>338</v>
      </c>
      <c r="B102" s="64">
        <v>55.92</v>
      </c>
      <c r="C102" s="64">
        <v>12.97</v>
      </c>
      <c r="D102" s="64">
        <v>50.24</v>
      </c>
      <c r="E102" s="64">
        <v>8.99</v>
      </c>
      <c r="F102" s="64">
        <v>5.53</v>
      </c>
      <c r="G102" s="64">
        <v>279.72000000000003</v>
      </c>
      <c r="H102" s="64">
        <v>278.02999999999997</v>
      </c>
      <c r="I102" s="64">
        <v>5.69</v>
      </c>
      <c r="J102" s="64">
        <v>0.48</v>
      </c>
      <c r="K102" s="64">
        <v>314.94</v>
      </c>
      <c r="L102" s="64">
        <v>22.31</v>
      </c>
      <c r="M102" s="64">
        <v>87.05</v>
      </c>
      <c r="N102" s="64">
        <v>26.1</v>
      </c>
      <c r="O102" s="64">
        <v>0</v>
      </c>
      <c r="P102" s="64">
        <v>1.38</v>
      </c>
      <c r="Q102" s="64">
        <v>9.6300000000000008</v>
      </c>
      <c r="R102" s="196"/>
      <c r="S102" s="196"/>
      <c r="T102" s="196"/>
      <c r="U102" s="196"/>
    </row>
    <row r="103" spans="1:33" s="12" customFormat="1" x14ac:dyDescent="0.25">
      <c r="A103" s="211" t="s">
        <v>339</v>
      </c>
      <c r="B103" s="64">
        <v>55.63</v>
      </c>
      <c r="C103" s="64">
        <v>12.35</v>
      </c>
      <c r="D103" s="64">
        <v>49.69</v>
      </c>
      <c r="E103" s="64">
        <v>8.5</v>
      </c>
      <c r="F103" s="64">
        <v>5.6</v>
      </c>
      <c r="G103" s="64">
        <v>279.72000000000003</v>
      </c>
      <c r="H103" s="64">
        <v>237.21</v>
      </c>
      <c r="I103" s="64">
        <v>5.96</v>
      </c>
      <c r="J103" s="64">
        <v>0.46</v>
      </c>
      <c r="K103" s="64">
        <v>277.7</v>
      </c>
      <c r="L103" s="64">
        <v>22.12</v>
      </c>
      <c r="M103" s="64">
        <v>87.39</v>
      </c>
      <c r="N103" s="64">
        <v>25.9</v>
      </c>
      <c r="O103" s="64">
        <v>0</v>
      </c>
      <c r="P103" s="64">
        <v>1.1200000000000001</v>
      </c>
      <c r="Q103" s="64">
        <v>9.6300000000000008</v>
      </c>
      <c r="R103" s="196"/>
      <c r="S103" s="196"/>
      <c r="T103" s="196"/>
      <c r="U103" s="196"/>
    </row>
    <row r="104" spans="1:33" s="12" customFormat="1" x14ac:dyDescent="0.25">
      <c r="A104" s="211" t="s">
        <v>340</v>
      </c>
      <c r="B104" s="64">
        <v>55.11</v>
      </c>
      <c r="C104" s="64">
        <v>11.9</v>
      </c>
      <c r="D104" s="64">
        <v>49.04</v>
      </c>
      <c r="E104" s="64">
        <v>6.86</v>
      </c>
      <c r="F104" s="64">
        <v>5.53</v>
      </c>
      <c r="G104" s="64">
        <v>279.72000000000003</v>
      </c>
      <c r="H104" s="64">
        <v>237.21</v>
      </c>
      <c r="I104" s="64">
        <v>5.84</v>
      </c>
      <c r="J104" s="64">
        <v>0.59</v>
      </c>
      <c r="K104" s="64">
        <v>317.75</v>
      </c>
      <c r="L104" s="64">
        <v>22.02</v>
      </c>
      <c r="M104" s="64">
        <v>91.24</v>
      </c>
      <c r="N104" s="64">
        <v>26.1</v>
      </c>
      <c r="O104" s="64">
        <v>0</v>
      </c>
      <c r="P104" s="64">
        <v>1.42</v>
      </c>
      <c r="Q104" s="64">
        <v>9.6199999999999992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0.03</v>
      </c>
      <c r="C106" s="67">
        <f>MIN(C9:C104)</f>
        <v>8.59</v>
      </c>
      <c r="D106" s="67">
        <f t="shared" ref="D106:Q106" si="0">MIN(D9:D104)</f>
        <v>3.63</v>
      </c>
      <c r="E106" s="67">
        <f t="shared" si="0"/>
        <v>4.55</v>
      </c>
      <c r="F106" s="67">
        <f t="shared" si="0"/>
        <v>3.42</v>
      </c>
      <c r="G106" s="67">
        <f t="shared" si="0"/>
        <v>14.8</v>
      </c>
      <c r="H106" s="67">
        <f t="shared" si="0"/>
        <v>2.09</v>
      </c>
      <c r="I106" s="67">
        <f t="shared" si="0"/>
        <v>1.61</v>
      </c>
      <c r="J106" s="67">
        <f t="shared" si="0"/>
        <v>0.04</v>
      </c>
      <c r="K106" s="67">
        <f t="shared" si="0"/>
        <v>1.8</v>
      </c>
      <c r="L106" s="67">
        <f t="shared" si="0"/>
        <v>20.56</v>
      </c>
      <c r="M106" s="67">
        <f t="shared" si="0"/>
        <v>28.67</v>
      </c>
      <c r="N106" s="67">
        <f t="shared" si="0"/>
        <v>25.2</v>
      </c>
      <c r="O106" s="67">
        <f t="shared" si="0"/>
        <v>0</v>
      </c>
      <c r="P106" s="67">
        <f t="shared" si="0"/>
        <v>0.4</v>
      </c>
      <c r="Q106" s="67">
        <f t="shared" si="0"/>
        <v>9.6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56.64</v>
      </c>
      <c r="C107" s="66">
        <f t="shared" ref="C107:Q107" si="1">MAX(C9:C104)</f>
        <v>17.149999999999999</v>
      </c>
      <c r="D107" s="66">
        <f t="shared" si="1"/>
        <v>51.52</v>
      </c>
      <c r="E107" s="66">
        <f t="shared" si="1"/>
        <v>14.5</v>
      </c>
      <c r="F107" s="66">
        <f t="shared" si="1"/>
        <v>8.9</v>
      </c>
      <c r="G107" s="66">
        <f t="shared" si="1"/>
        <v>483.55</v>
      </c>
      <c r="H107" s="66">
        <f t="shared" si="1"/>
        <v>451.5</v>
      </c>
      <c r="I107" s="66">
        <f t="shared" si="1"/>
        <v>8.5</v>
      </c>
      <c r="J107" s="66">
        <f t="shared" si="1"/>
        <v>1.56</v>
      </c>
      <c r="K107" s="66">
        <f t="shared" si="1"/>
        <v>352.29</v>
      </c>
      <c r="L107" s="66">
        <f t="shared" si="1"/>
        <v>34.130000000000003</v>
      </c>
      <c r="M107" s="66">
        <f t="shared" si="1"/>
        <v>102.78</v>
      </c>
      <c r="N107" s="66">
        <f t="shared" si="1"/>
        <v>725.4</v>
      </c>
      <c r="O107" s="66">
        <f t="shared" si="1"/>
        <v>0</v>
      </c>
      <c r="P107" s="66">
        <f t="shared" si="1"/>
        <v>1.8</v>
      </c>
      <c r="Q107" s="66">
        <f t="shared" si="1"/>
        <v>9.64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16.357812500000005</v>
      </c>
      <c r="C108" s="67">
        <f t="shared" ref="C108:Q108" si="2">AVERAGE(C9:C104)</f>
        <v>11.590520833333334</v>
      </c>
      <c r="D108" s="67">
        <f t="shared" si="2"/>
        <v>17.796770833333333</v>
      </c>
      <c r="E108" s="67">
        <f t="shared" si="2"/>
        <v>6.889166666666668</v>
      </c>
      <c r="F108" s="67">
        <f t="shared" si="2"/>
        <v>5.6156250000000014</v>
      </c>
      <c r="G108" s="67">
        <f t="shared" si="2"/>
        <v>142.17494252873561</v>
      </c>
      <c r="H108" s="67">
        <f t="shared" si="2"/>
        <v>93.096091954022995</v>
      </c>
      <c r="I108" s="67">
        <f t="shared" si="2"/>
        <v>5.1329166666666657</v>
      </c>
      <c r="J108" s="67">
        <f t="shared" si="2"/>
        <v>0.61052083333333329</v>
      </c>
      <c r="K108" s="67">
        <f t="shared" si="2"/>
        <v>225.08010416666664</v>
      </c>
      <c r="L108" s="67">
        <f t="shared" si="2"/>
        <v>26.167812499999997</v>
      </c>
      <c r="M108" s="67">
        <f t="shared" si="2"/>
        <v>67.689791666666693</v>
      </c>
      <c r="N108" s="67">
        <f t="shared" si="2"/>
        <v>174.75416666666658</v>
      </c>
      <c r="O108" s="67">
        <f t="shared" si="2"/>
        <v>0</v>
      </c>
      <c r="P108" s="67">
        <f t="shared" si="2"/>
        <v>0.9341666666666667</v>
      </c>
      <c r="Q108" s="67">
        <f t="shared" si="2"/>
        <v>9.6189583333333371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16.997520327087027</v>
      </c>
      <c r="C109" s="67">
        <f t="shared" ref="C109:Q109" si="3">STDEV(C9:C104)</f>
        <v>2.3954361737936809</v>
      </c>
      <c r="D109" s="67">
        <f t="shared" si="3"/>
        <v>14.117623439091384</v>
      </c>
      <c r="E109" s="67">
        <f t="shared" si="3"/>
        <v>2.4964934004009725</v>
      </c>
      <c r="F109" s="67">
        <f t="shared" si="3"/>
        <v>1.2997382833721349</v>
      </c>
      <c r="G109" s="67">
        <f t="shared" si="3"/>
        <v>122.94766213835609</v>
      </c>
      <c r="H109" s="67">
        <f t="shared" si="3"/>
        <v>113.19195080221056</v>
      </c>
      <c r="I109" s="67">
        <f t="shared" si="3"/>
        <v>1.7258962075681878</v>
      </c>
      <c r="J109" s="67">
        <f t="shared" si="3"/>
        <v>0.31732888398952158</v>
      </c>
      <c r="K109" s="67">
        <f t="shared" si="3"/>
        <v>106.64221664785494</v>
      </c>
      <c r="L109" s="67">
        <f t="shared" si="3"/>
        <v>4.3932434255402573</v>
      </c>
      <c r="M109" s="67">
        <f t="shared" si="3"/>
        <v>24.096353818048016</v>
      </c>
      <c r="N109" s="67">
        <f t="shared" si="3"/>
        <v>231.07250532960052</v>
      </c>
      <c r="O109" s="67">
        <f t="shared" si="3"/>
        <v>0</v>
      </c>
      <c r="P109" s="67">
        <f t="shared" si="3"/>
        <v>0.34277710009695433</v>
      </c>
      <c r="Q109" s="67">
        <f t="shared" si="3"/>
        <v>8.6425101941593214E-3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</f>
        <v>96</v>
      </c>
      <c r="H110" s="66">
        <f>COUNT(H9:H104)+9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341</v>
      </c>
      <c r="B9" s="64">
        <v>54.81</v>
      </c>
      <c r="C9" s="64">
        <v>11.49</v>
      </c>
      <c r="D9" s="64">
        <v>48.58</v>
      </c>
      <c r="E9" s="64">
        <v>7.79</v>
      </c>
      <c r="F9" s="64">
        <v>5.45</v>
      </c>
      <c r="G9" s="64">
        <v>279.72000000000003</v>
      </c>
      <c r="H9" s="64">
        <v>237.21</v>
      </c>
      <c r="I9" s="64">
        <v>5.92</v>
      </c>
      <c r="J9" s="64">
        <v>0.5</v>
      </c>
      <c r="K9" s="64">
        <v>333.27</v>
      </c>
      <c r="L9" s="64">
        <v>21.81</v>
      </c>
      <c r="M9" s="64">
        <v>89.29</v>
      </c>
      <c r="N9" s="64">
        <v>26.1</v>
      </c>
      <c r="O9" s="64">
        <v>0</v>
      </c>
      <c r="P9" s="64">
        <v>1.27</v>
      </c>
      <c r="Q9" s="64">
        <v>9.64</v>
      </c>
      <c r="R9" s="196"/>
      <c r="S9" s="196"/>
      <c r="T9" s="196"/>
      <c r="U9" s="196"/>
    </row>
    <row r="10" spans="1:21" s="12" customFormat="1" x14ac:dyDescent="0.25">
      <c r="A10" s="211" t="s">
        <v>342</v>
      </c>
      <c r="B10" s="64">
        <v>53.55</v>
      </c>
      <c r="C10" s="64">
        <v>10.96</v>
      </c>
      <c r="D10" s="64">
        <v>47.29</v>
      </c>
      <c r="E10" s="64">
        <v>7.43</v>
      </c>
      <c r="F10" s="64">
        <v>5.35</v>
      </c>
      <c r="G10" s="64">
        <v>243.79</v>
      </c>
      <c r="H10" s="64">
        <v>107.15</v>
      </c>
      <c r="I10" s="64">
        <v>5.87</v>
      </c>
      <c r="J10" s="64">
        <v>0.24</v>
      </c>
      <c r="K10" s="64">
        <v>345.6</v>
      </c>
      <c r="L10" s="64">
        <v>22</v>
      </c>
      <c r="M10" s="64">
        <v>80.83</v>
      </c>
      <c r="N10" s="64">
        <v>25.8</v>
      </c>
      <c r="O10" s="64">
        <v>0</v>
      </c>
      <c r="P10" s="64">
        <v>1.1100000000000001</v>
      </c>
      <c r="Q10" s="64">
        <v>9.6300000000000008</v>
      </c>
      <c r="R10" s="196"/>
      <c r="S10" s="196"/>
      <c r="T10" s="196"/>
      <c r="U10" s="196"/>
    </row>
    <row r="11" spans="1:21" s="12" customFormat="1" x14ac:dyDescent="0.25">
      <c r="A11" s="211" t="s">
        <v>343</v>
      </c>
      <c r="B11" s="64">
        <v>51.25</v>
      </c>
      <c r="C11" s="64">
        <v>11.36</v>
      </c>
      <c r="D11" s="64">
        <v>45.65</v>
      </c>
      <c r="E11" s="64">
        <v>7.04</v>
      </c>
      <c r="F11" s="64">
        <v>4.5999999999999996</v>
      </c>
      <c r="G11" s="64">
        <v>221.98</v>
      </c>
      <c r="H11" s="64">
        <v>78.77</v>
      </c>
      <c r="I11" s="64">
        <v>5.31</v>
      </c>
      <c r="J11" s="64">
        <v>0.32</v>
      </c>
      <c r="K11" s="64">
        <v>12.08</v>
      </c>
      <c r="L11" s="64">
        <v>21.97</v>
      </c>
      <c r="M11" s="64">
        <v>83.24</v>
      </c>
      <c r="N11" s="64">
        <v>26</v>
      </c>
      <c r="O11" s="64">
        <v>0</v>
      </c>
      <c r="P11" s="64">
        <v>1.3</v>
      </c>
      <c r="Q11" s="64">
        <v>9.6300000000000008</v>
      </c>
      <c r="R11" s="196"/>
      <c r="S11" s="196"/>
      <c r="T11" s="196"/>
      <c r="U11" s="196"/>
    </row>
    <row r="12" spans="1:21" s="12" customFormat="1" x14ac:dyDescent="0.25">
      <c r="A12" s="211" t="s">
        <v>344</v>
      </c>
      <c r="B12" s="64">
        <v>48.42</v>
      </c>
      <c r="C12" s="64">
        <v>11.21</v>
      </c>
      <c r="D12" s="64">
        <v>43.31</v>
      </c>
      <c r="E12" s="64">
        <v>6.59</v>
      </c>
      <c r="F12" s="64">
        <v>4.95</v>
      </c>
      <c r="G12" s="64">
        <v>221.98</v>
      </c>
      <c r="H12" s="64">
        <v>78.77</v>
      </c>
      <c r="I12" s="64">
        <v>6.35</v>
      </c>
      <c r="J12" s="64">
        <v>0.25</v>
      </c>
      <c r="K12" s="64">
        <v>192.6</v>
      </c>
      <c r="L12" s="64">
        <v>21.75</v>
      </c>
      <c r="M12" s="64">
        <v>83.66</v>
      </c>
      <c r="N12" s="64">
        <v>25.7</v>
      </c>
      <c r="O12" s="64">
        <v>0</v>
      </c>
      <c r="P12" s="64">
        <v>1.24</v>
      </c>
      <c r="Q12" s="64">
        <v>9.61</v>
      </c>
      <c r="R12" s="196"/>
      <c r="S12" s="196"/>
      <c r="T12" s="196"/>
      <c r="U12" s="196"/>
    </row>
    <row r="13" spans="1:21" s="12" customFormat="1" x14ac:dyDescent="0.25">
      <c r="A13" s="211" t="s">
        <v>345</v>
      </c>
      <c r="B13" s="64">
        <v>45.34</v>
      </c>
      <c r="C13" s="64">
        <v>11.3</v>
      </c>
      <c r="D13" s="64">
        <v>40.89</v>
      </c>
      <c r="E13" s="64">
        <v>6.21</v>
      </c>
      <c r="F13" s="64">
        <v>4.53</v>
      </c>
      <c r="G13" s="64">
        <v>221.98</v>
      </c>
      <c r="H13" s="64">
        <v>78.77</v>
      </c>
      <c r="I13" s="64">
        <v>6.72</v>
      </c>
      <c r="J13" s="64">
        <v>0.26</v>
      </c>
      <c r="K13" s="64">
        <v>359.6</v>
      </c>
      <c r="L13" s="64">
        <v>21.68</v>
      </c>
      <c r="M13" s="64">
        <v>85.11</v>
      </c>
      <c r="N13" s="64">
        <v>26</v>
      </c>
      <c r="O13" s="64">
        <v>0</v>
      </c>
      <c r="P13" s="64">
        <v>1.1299999999999999</v>
      </c>
      <c r="Q13" s="64">
        <v>9.6199999999999992</v>
      </c>
      <c r="R13" s="196"/>
      <c r="S13" s="196"/>
      <c r="T13" s="196"/>
      <c r="U13" s="196"/>
    </row>
    <row r="14" spans="1:21" s="12" customFormat="1" x14ac:dyDescent="0.25">
      <c r="A14" s="211" t="s">
        <v>346</v>
      </c>
      <c r="B14" s="64">
        <v>42.49</v>
      </c>
      <c r="C14" s="64">
        <v>11.36</v>
      </c>
      <c r="D14" s="64">
        <v>38.64</v>
      </c>
      <c r="E14" s="64">
        <v>5.71</v>
      </c>
      <c r="F14" s="64">
        <v>4.6100000000000003</v>
      </c>
      <c r="G14" s="64">
        <v>136.88999999999999</v>
      </c>
      <c r="H14" s="64">
        <v>91.18</v>
      </c>
      <c r="I14" s="64">
        <v>6.38</v>
      </c>
      <c r="J14" s="64">
        <v>0.28999999999999998</v>
      </c>
      <c r="K14" s="64">
        <v>255.53</v>
      </c>
      <c r="L14" s="64">
        <v>21.58</v>
      </c>
      <c r="M14" s="64">
        <v>83.84</v>
      </c>
      <c r="N14" s="64">
        <v>25.7</v>
      </c>
      <c r="O14" s="64">
        <v>0</v>
      </c>
      <c r="P14" s="64">
        <v>1.1000000000000001</v>
      </c>
      <c r="Q14" s="64">
        <v>9.6300000000000008</v>
      </c>
      <c r="R14" s="196"/>
      <c r="S14" s="196"/>
      <c r="T14" s="196"/>
      <c r="U14" s="196"/>
    </row>
    <row r="15" spans="1:21" s="12" customFormat="1" x14ac:dyDescent="0.25">
      <c r="A15" s="211" t="s">
        <v>347</v>
      </c>
      <c r="B15" s="64">
        <v>39.92</v>
      </c>
      <c r="C15" s="64">
        <v>11.51</v>
      </c>
      <c r="D15" s="64">
        <v>36.65</v>
      </c>
      <c r="E15" s="64">
        <v>5.96</v>
      </c>
      <c r="F15" s="64">
        <v>4.92</v>
      </c>
      <c r="G15" s="64">
        <v>85.23</v>
      </c>
      <c r="H15" s="64">
        <v>93.89</v>
      </c>
      <c r="I15" s="64">
        <v>6.88</v>
      </c>
      <c r="J15" s="64">
        <v>0.42</v>
      </c>
      <c r="K15" s="64">
        <v>273.43</v>
      </c>
      <c r="L15" s="64">
        <v>21.36</v>
      </c>
      <c r="M15" s="64">
        <v>84.97</v>
      </c>
      <c r="N15" s="64">
        <v>26</v>
      </c>
      <c r="O15" s="64">
        <v>0</v>
      </c>
      <c r="P15" s="64">
        <v>1.1000000000000001</v>
      </c>
      <c r="Q15" s="64">
        <v>9.6300000000000008</v>
      </c>
      <c r="R15" s="196"/>
      <c r="S15" s="196"/>
      <c r="T15" s="196"/>
      <c r="U15" s="196"/>
    </row>
    <row r="16" spans="1:21" s="12" customFormat="1" x14ac:dyDescent="0.25">
      <c r="A16" s="211" t="s">
        <v>348</v>
      </c>
      <c r="B16" s="64">
        <v>37.44</v>
      </c>
      <c r="C16" s="64">
        <v>11.87</v>
      </c>
      <c r="D16" s="64">
        <v>34.85</v>
      </c>
      <c r="E16" s="64">
        <v>5.49</v>
      </c>
      <c r="F16" s="64">
        <v>4.4400000000000004</v>
      </c>
      <c r="G16" s="64">
        <v>85.23</v>
      </c>
      <c r="H16" s="64">
        <v>93.89</v>
      </c>
      <c r="I16" s="64">
        <v>6.79</v>
      </c>
      <c r="J16" s="64">
        <v>0.36</v>
      </c>
      <c r="K16" s="64">
        <v>279.33999999999997</v>
      </c>
      <c r="L16" s="64">
        <v>21.28</v>
      </c>
      <c r="M16" s="64">
        <v>86.46</v>
      </c>
      <c r="N16" s="64">
        <v>26.1</v>
      </c>
      <c r="O16" s="64">
        <v>0</v>
      </c>
      <c r="P16" s="64">
        <v>1.08</v>
      </c>
      <c r="Q16" s="64">
        <v>9.6300000000000008</v>
      </c>
      <c r="R16" s="196"/>
      <c r="S16" s="196"/>
      <c r="T16" s="196"/>
      <c r="U16" s="196"/>
    </row>
    <row r="17" spans="1:21" s="12" customFormat="1" x14ac:dyDescent="0.25">
      <c r="A17" s="211" t="s">
        <v>349</v>
      </c>
      <c r="B17" s="64">
        <v>35.159999999999997</v>
      </c>
      <c r="C17" s="64">
        <v>12.12</v>
      </c>
      <c r="D17" s="64">
        <v>33.15</v>
      </c>
      <c r="E17" s="64">
        <v>5.42</v>
      </c>
      <c r="F17" s="64">
        <v>4.29</v>
      </c>
      <c r="G17" s="64">
        <v>85.23</v>
      </c>
      <c r="H17" s="64">
        <v>93.89</v>
      </c>
      <c r="I17" s="64">
        <v>6.71</v>
      </c>
      <c r="J17" s="64">
        <v>0.15</v>
      </c>
      <c r="K17" s="64">
        <v>211.37</v>
      </c>
      <c r="L17" s="64">
        <v>21.25</v>
      </c>
      <c r="M17" s="64">
        <v>86.14</v>
      </c>
      <c r="N17" s="64">
        <v>25.7</v>
      </c>
      <c r="O17" s="64">
        <v>0</v>
      </c>
      <c r="P17" s="64">
        <v>1.05</v>
      </c>
      <c r="Q17" s="64">
        <v>9.61</v>
      </c>
      <c r="R17" s="196"/>
      <c r="S17" s="196"/>
      <c r="T17" s="196"/>
      <c r="U17" s="196"/>
    </row>
    <row r="18" spans="1:21" s="12" customFormat="1" x14ac:dyDescent="0.25">
      <c r="A18" s="211" t="s">
        <v>350</v>
      </c>
      <c r="B18" s="64">
        <v>32.97</v>
      </c>
      <c r="C18" s="64">
        <v>12.1</v>
      </c>
      <c r="D18" s="64">
        <v>31.39</v>
      </c>
      <c r="E18" s="64">
        <v>5.04</v>
      </c>
      <c r="F18" s="64">
        <v>4.47</v>
      </c>
      <c r="G18" s="64">
        <v>85.14</v>
      </c>
      <c r="H18" s="64">
        <v>47.71</v>
      </c>
      <c r="I18" s="64">
        <v>6.7</v>
      </c>
      <c r="J18" s="64">
        <v>0.13</v>
      </c>
      <c r="K18" s="64">
        <v>194.6</v>
      </c>
      <c r="L18" s="64">
        <v>21.29</v>
      </c>
      <c r="M18" s="64">
        <v>87</v>
      </c>
      <c r="N18" s="64">
        <v>25.6</v>
      </c>
      <c r="O18" s="64">
        <v>0</v>
      </c>
      <c r="P18" s="64">
        <v>1.01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351</v>
      </c>
      <c r="B19" s="64">
        <v>30.9</v>
      </c>
      <c r="C19" s="64">
        <v>12.16</v>
      </c>
      <c r="D19" s="64">
        <v>29.76</v>
      </c>
      <c r="E19" s="64">
        <v>5.32</v>
      </c>
      <c r="F19" s="64">
        <v>4.2699999999999996</v>
      </c>
      <c r="G19" s="64">
        <v>85.08</v>
      </c>
      <c r="H19" s="64">
        <v>37.630000000000003</v>
      </c>
      <c r="I19" s="64">
        <v>6.58</v>
      </c>
      <c r="J19" s="64">
        <v>0.27</v>
      </c>
      <c r="K19" s="64">
        <v>293.33999999999997</v>
      </c>
      <c r="L19" s="64">
        <v>21.42</v>
      </c>
      <c r="M19" s="64">
        <v>86.12</v>
      </c>
      <c r="N19" s="64">
        <v>26</v>
      </c>
      <c r="O19" s="64">
        <v>0</v>
      </c>
      <c r="P19" s="64">
        <v>0.89</v>
      </c>
      <c r="Q19" s="64">
        <v>9.6300000000000008</v>
      </c>
      <c r="R19" s="196"/>
      <c r="S19" s="196"/>
      <c r="T19" s="196"/>
      <c r="U19" s="196"/>
    </row>
    <row r="20" spans="1:21" s="12" customFormat="1" x14ac:dyDescent="0.25">
      <c r="A20" s="211" t="s">
        <v>352</v>
      </c>
      <c r="B20" s="64">
        <v>29.59</v>
      </c>
      <c r="C20" s="64">
        <v>11.31</v>
      </c>
      <c r="D20" s="64">
        <v>28.26</v>
      </c>
      <c r="E20" s="64">
        <v>4.8</v>
      </c>
      <c r="F20" s="64">
        <v>3.7</v>
      </c>
      <c r="G20" s="64">
        <v>85.08</v>
      </c>
      <c r="H20" s="64">
        <v>37.630000000000003</v>
      </c>
      <c r="I20" s="64">
        <v>6.41</v>
      </c>
      <c r="J20" s="64">
        <v>0.26</v>
      </c>
      <c r="K20" s="64">
        <v>218.13</v>
      </c>
      <c r="L20" s="64">
        <v>21.14</v>
      </c>
      <c r="M20" s="64">
        <v>86.82</v>
      </c>
      <c r="N20" s="64">
        <v>26</v>
      </c>
      <c r="O20" s="64">
        <v>0</v>
      </c>
      <c r="P20" s="64">
        <v>0.73</v>
      </c>
      <c r="Q20" s="64">
        <v>9.64</v>
      </c>
      <c r="R20" s="196"/>
      <c r="S20" s="196"/>
      <c r="T20" s="196"/>
      <c r="U20" s="196"/>
    </row>
    <row r="21" spans="1:21" s="12" customFormat="1" x14ac:dyDescent="0.25">
      <c r="A21" s="211" t="s">
        <v>353</v>
      </c>
      <c r="B21" s="64">
        <v>28.33</v>
      </c>
      <c r="C21" s="64">
        <v>10.74</v>
      </c>
      <c r="D21" s="64">
        <v>26.95</v>
      </c>
      <c r="E21" s="64">
        <v>4.84</v>
      </c>
      <c r="F21" s="64">
        <v>4.34</v>
      </c>
      <c r="G21" s="64">
        <v>85.08</v>
      </c>
      <c r="H21" s="64">
        <v>37.630000000000003</v>
      </c>
      <c r="I21" s="64">
        <v>5.21</v>
      </c>
      <c r="J21" s="64">
        <v>0.24</v>
      </c>
      <c r="K21" s="64">
        <v>317.37</v>
      </c>
      <c r="L21" s="64">
        <v>21.07</v>
      </c>
      <c r="M21" s="64">
        <v>89.19</v>
      </c>
      <c r="N21" s="64">
        <v>26</v>
      </c>
      <c r="O21" s="64">
        <v>0</v>
      </c>
      <c r="P21" s="64">
        <v>0.76</v>
      </c>
      <c r="Q21" s="64">
        <v>9.64</v>
      </c>
      <c r="R21" s="196"/>
      <c r="S21" s="196"/>
      <c r="T21" s="196"/>
      <c r="U21" s="196"/>
    </row>
    <row r="22" spans="1:21" s="12" customFormat="1" x14ac:dyDescent="0.25">
      <c r="A22" s="211" t="s">
        <v>354</v>
      </c>
      <c r="B22" s="64">
        <v>27.42</v>
      </c>
      <c r="C22" s="64">
        <v>10.51</v>
      </c>
      <c r="D22" s="64">
        <v>26.1</v>
      </c>
      <c r="E22" s="64">
        <v>4.3899999999999997</v>
      </c>
      <c r="F22" s="64">
        <v>4.05</v>
      </c>
      <c r="G22" s="64">
        <v>79.67</v>
      </c>
      <c r="H22" s="64">
        <v>50.13</v>
      </c>
      <c r="I22" s="64">
        <v>4.42</v>
      </c>
      <c r="J22" s="64">
        <v>0.5</v>
      </c>
      <c r="K22" s="64">
        <v>322.37</v>
      </c>
      <c r="L22" s="64">
        <v>21.03</v>
      </c>
      <c r="M22" s="64">
        <v>91.09</v>
      </c>
      <c r="N22" s="64">
        <v>25.9</v>
      </c>
      <c r="O22" s="64">
        <v>0</v>
      </c>
      <c r="P22" s="64">
        <v>0.72</v>
      </c>
      <c r="Q22" s="64">
        <v>9.6300000000000008</v>
      </c>
      <c r="R22" s="196"/>
      <c r="S22" s="196"/>
      <c r="T22" s="196"/>
      <c r="U22" s="196"/>
    </row>
    <row r="23" spans="1:21" s="12" customFormat="1" x14ac:dyDescent="0.25">
      <c r="A23" s="211" t="s">
        <v>355</v>
      </c>
      <c r="B23" s="64">
        <v>26.61</v>
      </c>
      <c r="C23" s="64">
        <v>10.38</v>
      </c>
      <c r="D23" s="64">
        <v>25.38</v>
      </c>
      <c r="E23" s="64">
        <v>4.59</v>
      </c>
      <c r="F23" s="64">
        <v>3.92</v>
      </c>
      <c r="G23" s="64">
        <v>76.23</v>
      </c>
      <c r="H23" s="64">
        <v>54.97</v>
      </c>
      <c r="I23" s="64">
        <v>4.3</v>
      </c>
      <c r="J23" s="64">
        <v>0.13</v>
      </c>
      <c r="K23" s="64">
        <v>208.24</v>
      </c>
      <c r="L23" s="64">
        <v>20.95</v>
      </c>
      <c r="M23" s="64">
        <v>90.69</v>
      </c>
      <c r="N23" s="64">
        <v>25.9</v>
      </c>
      <c r="O23" s="64">
        <v>0</v>
      </c>
      <c r="P23" s="64">
        <v>0.76</v>
      </c>
      <c r="Q23" s="64">
        <v>9.6199999999999992</v>
      </c>
      <c r="R23" s="196"/>
      <c r="S23" s="196"/>
      <c r="T23" s="196"/>
      <c r="U23" s="196"/>
    </row>
    <row r="24" spans="1:21" s="12" customFormat="1" x14ac:dyDescent="0.25">
      <c r="A24" s="211" t="s">
        <v>356</v>
      </c>
      <c r="B24" s="64">
        <v>25.84</v>
      </c>
      <c r="C24" s="64">
        <v>10.050000000000001</v>
      </c>
      <c r="D24" s="64">
        <v>24.6</v>
      </c>
      <c r="E24" s="64">
        <v>5.94</v>
      </c>
      <c r="F24" s="64">
        <v>3.74</v>
      </c>
      <c r="G24" s="64">
        <v>76.23</v>
      </c>
      <c r="H24" s="64">
        <v>54.97</v>
      </c>
      <c r="I24" s="64">
        <v>4.6399999999999997</v>
      </c>
      <c r="J24" s="64">
        <v>0.06</v>
      </c>
      <c r="K24" s="64">
        <v>142.41</v>
      </c>
      <c r="L24" s="64">
        <v>21.15</v>
      </c>
      <c r="M24" s="64">
        <v>89.47</v>
      </c>
      <c r="N24" s="64">
        <v>25.8</v>
      </c>
      <c r="O24" s="64">
        <v>0</v>
      </c>
      <c r="P24" s="64">
        <v>0.78</v>
      </c>
      <c r="Q24" s="64">
        <v>9.6300000000000008</v>
      </c>
      <c r="R24" s="196"/>
      <c r="S24" s="196"/>
      <c r="T24" s="196"/>
      <c r="U24" s="196"/>
    </row>
    <row r="25" spans="1:21" s="12" customFormat="1" x14ac:dyDescent="0.25">
      <c r="A25" s="211" t="s">
        <v>357</v>
      </c>
      <c r="B25" s="64">
        <v>25.18</v>
      </c>
      <c r="C25" s="64">
        <v>9.92</v>
      </c>
      <c r="D25" s="64">
        <v>24</v>
      </c>
      <c r="E25" s="64">
        <v>6.93</v>
      </c>
      <c r="F25" s="64">
        <v>3.4</v>
      </c>
      <c r="G25" s="64">
        <v>76.23</v>
      </c>
      <c r="H25" s="64">
        <v>54.97</v>
      </c>
      <c r="I25" s="64">
        <v>4.8899999999999997</v>
      </c>
      <c r="J25" s="64">
        <v>0.04</v>
      </c>
      <c r="K25" s="64">
        <v>194.37</v>
      </c>
      <c r="L25" s="64">
        <v>21.08</v>
      </c>
      <c r="M25" s="64">
        <v>90.11</v>
      </c>
      <c r="N25" s="64">
        <v>25.9</v>
      </c>
      <c r="O25" s="64">
        <v>0</v>
      </c>
      <c r="P25" s="64">
        <v>0.72</v>
      </c>
      <c r="Q25" s="64">
        <v>9.6300000000000008</v>
      </c>
      <c r="R25" s="196"/>
      <c r="S25" s="196"/>
      <c r="T25" s="196"/>
      <c r="U25" s="196"/>
    </row>
    <row r="26" spans="1:21" s="12" customFormat="1" x14ac:dyDescent="0.25">
      <c r="A26" s="211" t="s">
        <v>358</v>
      </c>
      <c r="B26" s="64">
        <v>24.92</v>
      </c>
      <c r="C26" s="64">
        <v>9.84</v>
      </c>
      <c r="D26" s="64">
        <v>23.75</v>
      </c>
      <c r="E26" s="64">
        <v>6.81</v>
      </c>
      <c r="F26" s="64">
        <v>3.72</v>
      </c>
      <c r="G26" s="64">
        <v>93.21</v>
      </c>
      <c r="H26" s="64">
        <v>38.35</v>
      </c>
      <c r="I26" s="64">
        <v>4.76</v>
      </c>
      <c r="J26" s="64">
        <v>0.44</v>
      </c>
      <c r="K26" s="64">
        <v>306.17</v>
      </c>
      <c r="L26" s="64">
        <v>20.85</v>
      </c>
      <c r="M26" s="64">
        <v>93.62</v>
      </c>
      <c r="N26" s="64">
        <v>26.1</v>
      </c>
      <c r="O26" s="64">
        <v>0</v>
      </c>
      <c r="P26" s="64">
        <v>0.76</v>
      </c>
      <c r="Q26" s="64">
        <v>9.6199999999999992</v>
      </c>
      <c r="R26" s="196"/>
      <c r="S26" s="196"/>
      <c r="T26" s="196"/>
      <c r="U26" s="196"/>
    </row>
    <row r="27" spans="1:21" s="12" customFormat="1" x14ac:dyDescent="0.25">
      <c r="A27" s="211" t="s">
        <v>359</v>
      </c>
      <c r="B27" s="64">
        <v>24.65</v>
      </c>
      <c r="C27" s="64">
        <v>9.92</v>
      </c>
      <c r="D27" s="64">
        <v>23.57</v>
      </c>
      <c r="E27" s="64">
        <v>6.92</v>
      </c>
      <c r="F27" s="64">
        <v>4</v>
      </c>
      <c r="G27" s="64">
        <v>103.52</v>
      </c>
      <c r="H27" s="64">
        <v>34.72</v>
      </c>
      <c r="I27" s="64">
        <v>4.58</v>
      </c>
      <c r="J27" s="64">
        <v>0.3</v>
      </c>
      <c r="K27" s="64">
        <v>283.77999999999997</v>
      </c>
      <c r="L27" s="64">
        <v>20.77</v>
      </c>
      <c r="M27" s="64">
        <v>92.77</v>
      </c>
      <c r="N27" s="64">
        <v>26</v>
      </c>
      <c r="O27" s="64">
        <v>0</v>
      </c>
      <c r="P27" s="64">
        <v>0.85</v>
      </c>
      <c r="Q27" s="64">
        <v>9.6199999999999992</v>
      </c>
      <c r="R27" s="196"/>
      <c r="S27" s="196"/>
      <c r="T27" s="196"/>
      <c r="U27" s="196"/>
    </row>
    <row r="28" spans="1:21" s="12" customFormat="1" x14ac:dyDescent="0.25">
      <c r="A28" s="211" t="s">
        <v>360</v>
      </c>
      <c r="B28" s="64">
        <v>24.55</v>
      </c>
      <c r="C28" s="64">
        <v>10.56</v>
      </c>
      <c r="D28" s="64">
        <v>23.83</v>
      </c>
      <c r="E28" s="64">
        <v>6.85</v>
      </c>
      <c r="F28" s="64">
        <v>4.09</v>
      </c>
      <c r="G28" s="64">
        <v>103.52</v>
      </c>
      <c r="H28" s="64">
        <v>34.72</v>
      </c>
      <c r="I28" s="64">
        <v>5.04</v>
      </c>
      <c r="J28" s="64">
        <v>0.31</v>
      </c>
      <c r="K28" s="64">
        <v>247.73</v>
      </c>
      <c r="L28" s="64">
        <v>20.69</v>
      </c>
      <c r="M28" s="64">
        <v>93.84</v>
      </c>
      <c r="N28" s="64">
        <v>26</v>
      </c>
      <c r="O28" s="64">
        <v>0</v>
      </c>
      <c r="P28" s="64">
        <v>0.85</v>
      </c>
      <c r="Q28" s="64">
        <v>9.6199999999999992</v>
      </c>
      <c r="R28" s="196"/>
      <c r="S28" s="196"/>
      <c r="T28" s="196"/>
      <c r="U28" s="196"/>
    </row>
    <row r="29" spans="1:21" s="12" customFormat="1" x14ac:dyDescent="0.25">
      <c r="A29" s="211" t="s">
        <v>361</v>
      </c>
      <c r="B29" s="64">
        <v>25.01</v>
      </c>
      <c r="C29" s="64">
        <v>10.64</v>
      </c>
      <c r="D29" s="64">
        <v>24.23</v>
      </c>
      <c r="E29" s="64">
        <v>6.66</v>
      </c>
      <c r="F29" s="64">
        <v>4.09</v>
      </c>
      <c r="G29" s="64">
        <v>103.52</v>
      </c>
      <c r="H29" s="64">
        <v>34.72</v>
      </c>
      <c r="I29" s="64">
        <v>5.83</v>
      </c>
      <c r="J29" s="64">
        <v>7.0000000000000007E-2</v>
      </c>
      <c r="K29" s="64">
        <v>121.48</v>
      </c>
      <c r="L29" s="64">
        <v>20.96</v>
      </c>
      <c r="M29" s="64">
        <v>95.01</v>
      </c>
      <c r="N29" s="64">
        <v>25.5</v>
      </c>
      <c r="O29" s="64">
        <v>0</v>
      </c>
      <c r="P29" s="64">
        <v>0.85</v>
      </c>
      <c r="Q29" s="64">
        <v>9.6199999999999992</v>
      </c>
      <c r="R29" s="196"/>
      <c r="S29" s="196"/>
      <c r="T29" s="196"/>
      <c r="U29" s="196"/>
    </row>
    <row r="30" spans="1:21" s="12" customFormat="1" x14ac:dyDescent="0.25">
      <c r="A30" s="211" t="s">
        <v>362</v>
      </c>
      <c r="B30" s="64">
        <v>25.7</v>
      </c>
      <c r="C30" s="64">
        <v>10.9</v>
      </c>
      <c r="D30" s="64">
        <v>24.93</v>
      </c>
      <c r="E30" s="64">
        <v>7.11</v>
      </c>
      <c r="F30" s="64">
        <v>4.54</v>
      </c>
      <c r="G30" s="64">
        <v>112.02</v>
      </c>
      <c r="H30" s="64">
        <v>53.13</v>
      </c>
      <c r="I30" s="64">
        <v>6.06</v>
      </c>
      <c r="J30" s="64">
        <v>0.16</v>
      </c>
      <c r="K30" s="64">
        <v>263.79000000000002</v>
      </c>
      <c r="L30" s="64">
        <v>21.08</v>
      </c>
      <c r="M30" s="64">
        <v>95.26</v>
      </c>
      <c r="N30" s="64">
        <v>25.8</v>
      </c>
      <c r="O30" s="64">
        <v>0</v>
      </c>
      <c r="P30" s="64">
        <v>0.84</v>
      </c>
      <c r="Q30" s="64">
        <v>9.6199999999999992</v>
      </c>
      <c r="R30" s="196"/>
      <c r="S30" s="196"/>
      <c r="T30" s="196"/>
      <c r="U30" s="196"/>
    </row>
    <row r="31" spans="1:21" s="12" customFormat="1" x14ac:dyDescent="0.25">
      <c r="A31" s="211" t="s">
        <v>363</v>
      </c>
      <c r="B31" s="64">
        <v>25.99</v>
      </c>
      <c r="C31" s="64">
        <v>11.01</v>
      </c>
      <c r="D31" s="64">
        <v>25.22</v>
      </c>
      <c r="E31" s="64">
        <v>7.11</v>
      </c>
      <c r="F31" s="64">
        <v>4.37</v>
      </c>
      <c r="G31" s="64">
        <v>117.18</v>
      </c>
      <c r="H31" s="64">
        <v>57.15</v>
      </c>
      <c r="I31" s="64">
        <v>6.05</v>
      </c>
      <c r="J31" s="64">
        <v>0.37</v>
      </c>
      <c r="K31" s="64">
        <v>217.82</v>
      </c>
      <c r="L31" s="64">
        <v>20.64</v>
      </c>
      <c r="M31" s="64">
        <v>99.6</v>
      </c>
      <c r="N31" s="64">
        <v>26</v>
      </c>
      <c r="O31" s="64">
        <v>0</v>
      </c>
      <c r="P31" s="64">
        <v>0.83</v>
      </c>
      <c r="Q31" s="64">
        <v>9.6199999999999992</v>
      </c>
      <c r="R31" s="196"/>
      <c r="S31" s="196"/>
      <c r="T31" s="196"/>
      <c r="U31" s="196"/>
    </row>
    <row r="32" spans="1:21" s="12" customFormat="1" x14ac:dyDescent="0.25">
      <c r="A32" s="211" t="s">
        <v>364</v>
      </c>
      <c r="B32" s="64">
        <v>26.16</v>
      </c>
      <c r="C32" s="64">
        <v>10.8</v>
      </c>
      <c r="D32" s="64">
        <v>25.24</v>
      </c>
      <c r="E32" s="64">
        <v>7.04</v>
      </c>
      <c r="F32" s="64">
        <v>4.66</v>
      </c>
      <c r="G32" s="64">
        <v>117.18</v>
      </c>
      <c r="H32" s="64">
        <v>57.15</v>
      </c>
      <c r="I32" s="64">
        <v>5.99</v>
      </c>
      <c r="J32" s="64">
        <v>0.22</v>
      </c>
      <c r="K32" s="64">
        <v>318.60000000000002</v>
      </c>
      <c r="L32" s="64">
        <v>20.66</v>
      </c>
      <c r="M32" s="64">
        <v>99.75</v>
      </c>
      <c r="N32" s="64">
        <v>26.5</v>
      </c>
      <c r="O32" s="64">
        <v>0</v>
      </c>
      <c r="P32" s="64">
        <v>0.82</v>
      </c>
      <c r="Q32" s="64">
        <v>9.6300000000000008</v>
      </c>
      <c r="R32" s="196"/>
      <c r="S32" s="196"/>
      <c r="T32" s="196"/>
      <c r="U32" s="196"/>
    </row>
    <row r="33" spans="1:21" s="12" customFormat="1" x14ac:dyDescent="0.25">
      <c r="A33" s="211" t="s">
        <v>365</v>
      </c>
      <c r="B33" s="64">
        <v>26.75</v>
      </c>
      <c r="C33" s="64">
        <v>10.69</v>
      </c>
      <c r="D33" s="64">
        <v>25.66</v>
      </c>
      <c r="E33" s="64">
        <v>7.45</v>
      </c>
      <c r="F33" s="64">
        <v>4.25</v>
      </c>
      <c r="G33" s="64">
        <v>117.18</v>
      </c>
      <c r="H33" s="64">
        <v>57.15</v>
      </c>
      <c r="I33" s="64">
        <v>5.94</v>
      </c>
      <c r="J33" s="64">
        <v>0.15</v>
      </c>
      <c r="K33" s="64">
        <v>244.81</v>
      </c>
      <c r="L33" s="64">
        <v>20.56</v>
      </c>
      <c r="M33" s="64">
        <v>100.56</v>
      </c>
      <c r="N33" s="64">
        <v>29.3</v>
      </c>
      <c r="O33" s="64">
        <v>0</v>
      </c>
      <c r="P33" s="64">
        <v>0.82</v>
      </c>
      <c r="Q33" s="64">
        <v>9.6300000000000008</v>
      </c>
      <c r="R33" s="196"/>
      <c r="S33" s="196"/>
      <c r="T33" s="196"/>
      <c r="U33" s="196"/>
    </row>
    <row r="34" spans="1:21" s="12" customFormat="1" x14ac:dyDescent="0.25">
      <c r="A34" s="211" t="s">
        <v>366</v>
      </c>
      <c r="B34" s="64">
        <v>27.23</v>
      </c>
      <c r="C34" s="64">
        <v>10.75</v>
      </c>
      <c r="D34" s="64">
        <v>26.08</v>
      </c>
      <c r="E34" s="64">
        <v>7.55</v>
      </c>
      <c r="F34" s="64">
        <v>4.13</v>
      </c>
      <c r="G34" s="64">
        <v>109.18</v>
      </c>
      <c r="H34" s="64">
        <v>48.73</v>
      </c>
      <c r="I34" s="64">
        <v>5.9</v>
      </c>
      <c r="J34" s="64">
        <v>0.12</v>
      </c>
      <c r="K34" s="64">
        <v>231.18</v>
      </c>
      <c r="L34" s="64">
        <v>20.82</v>
      </c>
      <c r="M34" s="64">
        <v>98.31</v>
      </c>
      <c r="N34" s="64">
        <v>41</v>
      </c>
      <c r="O34" s="64">
        <v>0</v>
      </c>
      <c r="P34" s="64">
        <v>0.81</v>
      </c>
      <c r="Q34" s="64">
        <v>9.6199999999999992</v>
      </c>
      <c r="R34" s="196"/>
      <c r="S34" s="196"/>
      <c r="T34" s="196"/>
      <c r="U34" s="196"/>
    </row>
    <row r="35" spans="1:21" s="12" customFormat="1" x14ac:dyDescent="0.25">
      <c r="A35" s="211" t="s">
        <v>367</v>
      </c>
      <c r="B35" s="64">
        <v>27.85</v>
      </c>
      <c r="C35" s="64">
        <v>10.81</v>
      </c>
      <c r="D35" s="64">
        <v>26.6</v>
      </c>
      <c r="E35" s="64">
        <v>7.31</v>
      </c>
      <c r="F35" s="64">
        <v>3.99</v>
      </c>
      <c r="G35" s="64">
        <v>104.32</v>
      </c>
      <c r="H35" s="64">
        <v>46.9</v>
      </c>
      <c r="I35" s="64">
        <v>5.83</v>
      </c>
      <c r="J35" s="64">
        <v>0.01</v>
      </c>
      <c r="K35" s="64">
        <v>317.42</v>
      </c>
      <c r="L35" s="64">
        <v>21.09</v>
      </c>
      <c r="M35" s="64">
        <v>99.16</v>
      </c>
      <c r="N35" s="64">
        <v>57.3</v>
      </c>
      <c r="O35" s="64">
        <v>0</v>
      </c>
      <c r="P35" s="64">
        <v>0.82</v>
      </c>
      <c r="Q35" s="64">
        <v>9.61</v>
      </c>
      <c r="R35" s="196"/>
      <c r="S35" s="196"/>
      <c r="T35" s="196"/>
      <c r="U35" s="196"/>
    </row>
    <row r="36" spans="1:21" s="12" customFormat="1" x14ac:dyDescent="0.25">
      <c r="A36" s="211" t="s">
        <v>368</v>
      </c>
      <c r="B36" s="64">
        <v>29.22</v>
      </c>
      <c r="C36" s="64">
        <v>10.67</v>
      </c>
      <c r="D36" s="64">
        <v>27.63</v>
      </c>
      <c r="E36" s="64">
        <v>7.36</v>
      </c>
      <c r="F36" s="64">
        <v>3.63</v>
      </c>
      <c r="G36" s="64">
        <v>104.32</v>
      </c>
      <c r="H36" s="64">
        <v>46.9</v>
      </c>
      <c r="I36" s="64">
        <v>5.78</v>
      </c>
      <c r="J36" s="64">
        <v>0.42</v>
      </c>
      <c r="K36" s="64">
        <v>186.98</v>
      </c>
      <c r="L36" s="64">
        <v>21.64</v>
      </c>
      <c r="M36" s="64">
        <v>96.51</v>
      </c>
      <c r="N36" s="64">
        <v>80</v>
      </c>
      <c r="O36" s="64">
        <v>0</v>
      </c>
      <c r="P36" s="64">
        <v>0.79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369</v>
      </c>
      <c r="B37" s="64">
        <v>30.65</v>
      </c>
      <c r="C37" s="64">
        <v>9.66</v>
      </c>
      <c r="D37" s="64">
        <v>28.25</v>
      </c>
      <c r="E37" s="64">
        <v>7.25</v>
      </c>
      <c r="F37" s="64">
        <v>4.2300000000000004</v>
      </c>
      <c r="G37" s="64">
        <v>104.32</v>
      </c>
      <c r="H37" s="64">
        <v>46.9</v>
      </c>
      <c r="I37" s="64">
        <v>5.77</v>
      </c>
      <c r="J37" s="64">
        <v>0.28000000000000003</v>
      </c>
      <c r="K37" s="64">
        <v>5.28</v>
      </c>
      <c r="L37" s="64">
        <v>22.64</v>
      </c>
      <c r="M37" s="64">
        <v>89.92</v>
      </c>
      <c r="N37" s="64">
        <v>126.6</v>
      </c>
      <c r="O37" s="64">
        <v>0</v>
      </c>
      <c r="P37" s="64">
        <v>0.81</v>
      </c>
      <c r="Q37" s="64">
        <v>9.6199999999999992</v>
      </c>
      <c r="R37" s="196"/>
      <c r="S37" s="196"/>
      <c r="T37" s="196"/>
      <c r="U37" s="196"/>
    </row>
    <row r="38" spans="1:21" s="12" customFormat="1" x14ac:dyDescent="0.25">
      <c r="A38" s="211" t="s">
        <v>370</v>
      </c>
      <c r="B38" s="64">
        <v>31.06</v>
      </c>
      <c r="C38" s="64">
        <v>9.4499999999999993</v>
      </c>
      <c r="D38" s="64">
        <v>28.47</v>
      </c>
      <c r="E38" s="64">
        <v>6.88</v>
      </c>
      <c r="F38" s="64">
        <v>4.42</v>
      </c>
      <c r="G38" s="64">
        <v>114.21</v>
      </c>
      <c r="H38" s="64">
        <v>51.3</v>
      </c>
      <c r="I38" s="64">
        <v>5.25</v>
      </c>
      <c r="J38" s="64">
        <v>0.38</v>
      </c>
      <c r="K38" s="64">
        <v>349.06</v>
      </c>
      <c r="L38" s="64">
        <v>24.5</v>
      </c>
      <c r="M38" s="64">
        <v>82.64</v>
      </c>
      <c r="N38" s="64">
        <v>181.3</v>
      </c>
      <c r="O38" s="64">
        <v>0</v>
      </c>
      <c r="P38" s="64">
        <v>0.79</v>
      </c>
      <c r="Q38" s="64">
        <v>9.6300000000000008</v>
      </c>
      <c r="R38" s="196"/>
      <c r="S38" s="196"/>
      <c r="T38" s="196"/>
      <c r="U38" s="196"/>
    </row>
    <row r="39" spans="1:21" s="12" customFormat="1" x14ac:dyDescent="0.25">
      <c r="A39" s="211" t="s">
        <v>371</v>
      </c>
      <c r="B39" s="64">
        <v>30.9</v>
      </c>
      <c r="C39" s="64">
        <v>9.65</v>
      </c>
      <c r="D39" s="64">
        <v>28.44</v>
      </c>
      <c r="E39" s="64">
        <v>6.66</v>
      </c>
      <c r="F39" s="64">
        <v>3.59</v>
      </c>
      <c r="G39" s="64">
        <v>120.22</v>
      </c>
      <c r="H39" s="64">
        <v>53</v>
      </c>
      <c r="I39" s="64">
        <v>5.12</v>
      </c>
      <c r="J39" s="64">
        <v>0.23</v>
      </c>
      <c r="K39" s="64">
        <v>49.9</v>
      </c>
      <c r="L39" s="64">
        <v>25.47</v>
      </c>
      <c r="M39" s="64">
        <v>76.27</v>
      </c>
      <c r="N39" s="64">
        <v>220</v>
      </c>
      <c r="O39" s="64">
        <v>0</v>
      </c>
      <c r="P39" s="64">
        <v>0.79</v>
      </c>
      <c r="Q39" s="64">
        <v>9.6300000000000008</v>
      </c>
      <c r="R39" s="196"/>
      <c r="S39" s="196"/>
      <c r="T39" s="196"/>
      <c r="U39" s="196"/>
    </row>
    <row r="40" spans="1:21" s="12" customFormat="1" x14ac:dyDescent="0.25">
      <c r="A40" s="211" t="s">
        <v>372</v>
      </c>
      <c r="B40" s="64">
        <v>30.37</v>
      </c>
      <c r="C40" s="64">
        <v>9.6300000000000008</v>
      </c>
      <c r="D40" s="64">
        <v>28.01</v>
      </c>
      <c r="E40" s="64">
        <v>4.2699999999999996</v>
      </c>
      <c r="F40" s="64">
        <v>3.87</v>
      </c>
      <c r="G40" s="64">
        <v>120.22</v>
      </c>
      <c r="H40" s="64">
        <v>53</v>
      </c>
      <c r="I40" s="64">
        <v>5.36</v>
      </c>
      <c r="J40" s="64">
        <v>0.86</v>
      </c>
      <c r="K40" s="64">
        <v>344.44</v>
      </c>
      <c r="L40" s="64">
        <v>27.15</v>
      </c>
      <c r="M40" s="64">
        <v>70.02</v>
      </c>
      <c r="N40" s="64">
        <v>256.3</v>
      </c>
      <c r="O40" s="64">
        <v>0</v>
      </c>
      <c r="P40" s="64">
        <v>0.79</v>
      </c>
      <c r="Q40" s="64">
        <v>9.6199999999999992</v>
      </c>
      <c r="R40" s="196"/>
      <c r="S40" s="196"/>
      <c r="T40" s="196"/>
      <c r="U40" s="196"/>
    </row>
    <row r="41" spans="1:21" s="12" customFormat="1" x14ac:dyDescent="0.25">
      <c r="A41" s="211" t="s">
        <v>373</v>
      </c>
      <c r="B41" s="64">
        <v>29.68</v>
      </c>
      <c r="C41" s="64">
        <v>10.029999999999999</v>
      </c>
      <c r="D41" s="64">
        <v>27.66</v>
      </c>
      <c r="E41" s="64">
        <v>4.59</v>
      </c>
      <c r="F41" s="64">
        <v>3.89</v>
      </c>
      <c r="G41" s="64">
        <v>120.22</v>
      </c>
      <c r="H41" s="64">
        <v>53</v>
      </c>
      <c r="I41" s="64">
        <v>5.42</v>
      </c>
      <c r="J41" s="64">
        <v>0.87</v>
      </c>
      <c r="K41" s="64">
        <v>331.64</v>
      </c>
      <c r="L41" s="64">
        <v>28.65</v>
      </c>
      <c r="M41" s="64">
        <v>64.45</v>
      </c>
      <c r="N41" s="64">
        <v>295.10000000000002</v>
      </c>
      <c r="O41" s="64">
        <v>0</v>
      </c>
      <c r="P41" s="64">
        <v>0.79</v>
      </c>
      <c r="Q41" s="64">
        <v>9.6300000000000008</v>
      </c>
      <c r="R41" s="196"/>
      <c r="S41" s="196"/>
      <c r="T41" s="196"/>
      <c r="U41" s="196"/>
    </row>
    <row r="42" spans="1:21" s="12" customFormat="1" x14ac:dyDescent="0.25">
      <c r="A42" s="211" t="s">
        <v>374</v>
      </c>
      <c r="B42" s="64">
        <v>28.69</v>
      </c>
      <c r="C42" s="64">
        <v>10.32</v>
      </c>
      <c r="D42" s="64">
        <v>27.02</v>
      </c>
      <c r="E42" s="64">
        <v>4.54</v>
      </c>
      <c r="F42" s="64">
        <v>3.78</v>
      </c>
      <c r="G42" s="64">
        <v>117.56</v>
      </c>
      <c r="H42" s="64">
        <v>52.67</v>
      </c>
      <c r="I42" s="64">
        <v>5.5</v>
      </c>
      <c r="J42" s="64">
        <v>0.52</v>
      </c>
      <c r="K42" s="64">
        <v>340.07</v>
      </c>
      <c r="L42" s="64">
        <v>29.19</v>
      </c>
      <c r="M42" s="64">
        <v>61.93</v>
      </c>
      <c r="N42" s="64">
        <v>334.9</v>
      </c>
      <c r="O42" s="64">
        <v>0</v>
      </c>
      <c r="P42" s="64">
        <v>0.74</v>
      </c>
      <c r="Q42" s="64">
        <v>9.64</v>
      </c>
      <c r="R42" s="196"/>
      <c r="S42" s="196"/>
      <c r="T42" s="196"/>
      <c r="U42" s="196"/>
    </row>
    <row r="43" spans="1:21" s="12" customFormat="1" x14ac:dyDescent="0.25">
      <c r="A43" s="211" t="s">
        <v>375</v>
      </c>
      <c r="B43" s="64">
        <v>27.55</v>
      </c>
      <c r="C43" s="64">
        <v>10.39</v>
      </c>
      <c r="D43" s="64">
        <v>26.14</v>
      </c>
      <c r="E43" s="64">
        <v>4.22</v>
      </c>
      <c r="F43" s="64">
        <v>4.09</v>
      </c>
      <c r="G43" s="64">
        <v>115.94</v>
      </c>
      <c r="H43" s="64">
        <v>52.6</v>
      </c>
      <c r="I43" s="64">
        <v>5.44</v>
      </c>
      <c r="J43" s="64">
        <v>0.41</v>
      </c>
      <c r="K43" s="64">
        <v>340.25</v>
      </c>
      <c r="L43" s="64">
        <v>28.7</v>
      </c>
      <c r="M43" s="64">
        <v>63.22</v>
      </c>
      <c r="N43" s="64">
        <v>372</v>
      </c>
      <c r="O43" s="64">
        <v>0</v>
      </c>
      <c r="P43" s="64">
        <v>0.78</v>
      </c>
      <c r="Q43" s="64">
        <v>9.6199999999999992</v>
      </c>
      <c r="R43" s="196"/>
      <c r="S43" s="196"/>
      <c r="T43" s="196"/>
      <c r="U43" s="196"/>
    </row>
    <row r="44" spans="1:21" s="12" customFormat="1" x14ac:dyDescent="0.25">
      <c r="A44" s="211" t="s">
        <v>376</v>
      </c>
      <c r="B44" s="64">
        <v>26.15</v>
      </c>
      <c r="C44" s="64">
        <v>11.26</v>
      </c>
      <c r="D44" s="64">
        <v>25.48</v>
      </c>
      <c r="E44" s="64">
        <v>4.45</v>
      </c>
      <c r="F44" s="64">
        <v>3.87</v>
      </c>
      <c r="G44" s="64">
        <v>115.94</v>
      </c>
      <c r="H44" s="64">
        <v>52.6</v>
      </c>
      <c r="I44" s="64">
        <v>5.37</v>
      </c>
      <c r="J44" s="64">
        <v>0.45</v>
      </c>
      <c r="K44" s="64">
        <v>357.91</v>
      </c>
      <c r="L44" s="64">
        <v>29.4</v>
      </c>
      <c r="M44" s="64">
        <v>61.5</v>
      </c>
      <c r="N44" s="64">
        <v>416.1</v>
      </c>
      <c r="O44" s="64">
        <v>0</v>
      </c>
      <c r="P44" s="64">
        <v>0.79</v>
      </c>
      <c r="Q44" s="64">
        <v>9.6199999999999992</v>
      </c>
      <c r="R44" s="196"/>
      <c r="S44" s="196"/>
      <c r="T44" s="196"/>
      <c r="U44" s="196"/>
    </row>
    <row r="45" spans="1:21" s="12" customFormat="1" x14ac:dyDescent="0.25">
      <c r="A45" s="211" t="s">
        <v>377</v>
      </c>
      <c r="B45" s="64">
        <v>24.05</v>
      </c>
      <c r="C45" s="64">
        <v>12.44</v>
      </c>
      <c r="D45" s="64">
        <v>24.41</v>
      </c>
      <c r="E45" s="64">
        <v>4.88</v>
      </c>
      <c r="F45" s="64">
        <v>4.26</v>
      </c>
      <c r="G45" s="64">
        <v>115.94</v>
      </c>
      <c r="H45" s="64">
        <v>52.6</v>
      </c>
      <c r="I45" s="64">
        <v>5.56</v>
      </c>
      <c r="J45" s="64">
        <v>0.52</v>
      </c>
      <c r="K45" s="64">
        <v>9.7200000000000006</v>
      </c>
      <c r="L45" s="64">
        <v>31.18</v>
      </c>
      <c r="M45" s="64">
        <v>54.72</v>
      </c>
      <c r="N45" s="64">
        <v>461.2</v>
      </c>
      <c r="O45" s="64">
        <v>0</v>
      </c>
      <c r="P45" s="64">
        <v>0.79</v>
      </c>
      <c r="Q45" s="64">
        <v>9.61</v>
      </c>
      <c r="R45" s="196"/>
      <c r="S45" s="196"/>
      <c r="T45" s="196"/>
      <c r="U45" s="196"/>
    </row>
    <row r="46" spans="1:21" s="12" customFormat="1" x14ac:dyDescent="0.25">
      <c r="A46" s="211" t="s">
        <v>378</v>
      </c>
      <c r="B46" s="64">
        <v>21.53</v>
      </c>
      <c r="C46" s="64">
        <v>13.9</v>
      </c>
      <c r="D46" s="64">
        <v>23.15</v>
      </c>
      <c r="E46" s="64">
        <v>4.5</v>
      </c>
      <c r="F46" s="64">
        <v>4.71</v>
      </c>
      <c r="G46" s="64">
        <v>117.33</v>
      </c>
      <c r="H46" s="64">
        <v>51.94</v>
      </c>
      <c r="I46" s="64">
        <v>5.87</v>
      </c>
      <c r="J46" s="64">
        <v>0.69</v>
      </c>
      <c r="K46" s="64">
        <v>342.52</v>
      </c>
      <c r="L46" s="64">
        <v>32.03</v>
      </c>
      <c r="M46" s="64">
        <v>49.96</v>
      </c>
      <c r="N46" s="64">
        <v>479.5</v>
      </c>
      <c r="O46" s="64">
        <v>0</v>
      </c>
      <c r="P46" s="64">
        <v>0.78</v>
      </c>
      <c r="Q46" s="64">
        <v>9.6</v>
      </c>
      <c r="R46" s="196"/>
      <c r="S46" s="196"/>
      <c r="T46" s="196"/>
      <c r="U46" s="196"/>
    </row>
    <row r="47" spans="1:21" s="12" customFormat="1" x14ac:dyDescent="0.25">
      <c r="A47" s="211" t="s">
        <v>379</v>
      </c>
      <c r="B47" s="64">
        <v>18.920000000000002</v>
      </c>
      <c r="C47" s="64">
        <v>15.92</v>
      </c>
      <c r="D47" s="64">
        <v>22.12</v>
      </c>
      <c r="E47" s="64">
        <v>4.66</v>
      </c>
      <c r="F47" s="64">
        <v>4.5999999999999996</v>
      </c>
      <c r="G47" s="64">
        <v>118.17</v>
      </c>
      <c r="H47" s="64">
        <v>51.8</v>
      </c>
      <c r="I47" s="64">
        <v>5.95</v>
      </c>
      <c r="J47" s="64">
        <v>0.59</v>
      </c>
      <c r="K47" s="64">
        <v>342.47</v>
      </c>
      <c r="L47" s="64">
        <v>32.619999999999997</v>
      </c>
      <c r="M47" s="64">
        <v>47.49</v>
      </c>
      <c r="N47" s="64">
        <v>507.9</v>
      </c>
      <c r="O47" s="64">
        <v>0</v>
      </c>
      <c r="P47" s="64">
        <v>0.8</v>
      </c>
      <c r="Q47" s="64">
        <v>9.61</v>
      </c>
      <c r="R47" s="196"/>
      <c r="S47" s="196"/>
      <c r="T47" s="196"/>
      <c r="U47" s="196"/>
    </row>
    <row r="48" spans="1:21" s="12" customFormat="1" x14ac:dyDescent="0.25">
      <c r="A48" s="211" t="s">
        <v>380</v>
      </c>
      <c r="B48" s="64">
        <v>15.99</v>
      </c>
      <c r="C48" s="64">
        <v>17.63</v>
      </c>
      <c r="D48" s="64">
        <v>20.66</v>
      </c>
      <c r="E48" s="64">
        <v>4.34</v>
      </c>
      <c r="F48" s="64">
        <v>4.2699999999999996</v>
      </c>
      <c r="G48" s="64">
        <v>118.17</v>
      </c>
      <c r="H48" s="64">
        <v>51.8</v>
      </c>
      <c r="I48" s="64">
        <v>5.88</v>
      </c>
      <c r="J48" s="64">
        <v>0.28999999999999998</v>
      </c>
      <c r="K48" s="64">
        <v>55.74</v>
      </c>
      <c r="L48" s="64">
        <v>33</v>
      </c>
      <c r="M48" s="64">
        <v>44.13</v>
      </c>
      <c r="N48" s="64">
        <v>540.6</v>
      </c>
      <c r="O48" s="64">
        <v>0</v>
      </c>
      <c r="P48" s="64">
        <v>0.79</v>
      </c>
      <c r="Q48" s="64">
        <v>9.6199999999999992</v>
      </c>
      <c r="R48" s="196"/>
      <c r="S48" s="196"/>
      <c r="T48" s="196"/>
      <c r="U48" s="196"/>
    </row>
    <row r="49" spans="1:21" s="12" customFormat="1" x14ac:dyDescent="0.25">
      <c r="A49" s="211" t="s">
        <v>381</v>
      </c>
      <c r="B49" s="64">
        <v>12.93</v>
      </c>
      <c r="C49" s="64">
        <v>18.55</v>
      </c>
      <c r="D49" s="64">
        <v>18.690000000000001</v>
      </c>
      <c r="E49" s="64">
        <v>4.2</v>
      </c>
      <c r="F49" s="64">
        <v>4.7699999999999996</v>
      </c>
      <c r="G49" s="64">
        <v>118.17</v>
      </c>
      <c r="H49" s="64">
        <v>51.8</v>
      </c>
      <c r="I49" s="64">
        <v>5.91</v>
      </c>
      <c r="J49" s="64">
        <v>0.7</v>
      </c>
      <c r="K49" s="64">
        <v>338.5</v>
      </c>
      <c r="L49" s="64">
        <v>32.03</v>
      </c>
      <c r="M49" s="64">
        <v>47.6</v>
      </c>
      <c r="N49" s="64">
        <v>544</v>
      </c>
      <c r="O49" s="64">
        <v>0</v>
      </c>
      <c r="P49" s="64">
        <v>0.78</v>
      </c>
      <c r="Q49" s="64">
        <v>9.6199999999999992</v>
      </c>
      <c r="R49" s="196"/>
      <c r="S49" s="196"/>
      <c r="T49" s="196"/>
      <c r="U49" s="196"/>
    </row>
    <row r="50" spans="1:21" s="12" customFormat="1" x14ac:dyDescent="0.25">
      <c r="A50" s="211" t="s">
        <v>382</v>
      </c>
      <c r="B50" s="64">
        <v>10.1</v>
      </c>
      <c r="C50" s="64">
        <v>19.36</v>
      </c>
      <c r="D50" s="64">
        <v>16.84</v>
      </c>
      <c r="E50" s="64">
        <v>4.46</v>
      </c>
      <c r="F50" s="64">
        <v>5.07</v>
      </c>
      <c r="G50" s="64">
        <v>109.42</v>
      </c>
      <c r="H50" s="64">
        <v>52.98</v>
      </c>
      <c r="I50" s="64">
        <v>5.95</v>
      </c>
      <c r="J50" s="64">
        <v>0.4</v>
      </c>
      <c r="K50" s="64">
        <v>358.31</v>
      </c>
      <c r="L50" s="64">
        <v>33.11</v>
      </c>
      <c r="M50" s="64">
        <v>44.02</v>
      </c>
      <c r="N50" s="64">
        <v>548</v>
      </c>
      <c r="O50" s="64">
        <v>0</v>
      </c>
      <c r="P50" s="64">
        <v>0.76</v>
      </c>
      <c r="Q50" s="64">
        <v>9.61</v>
      </c>
      <c r="R50" s="196"/>
      <c r="S50" s="196"/>
      <c r="T50" s="196"/>
      <c r="U50" s="196"/>
    </row>
    <row r="51" spans="1:21" s="12" customFormat="1" x14ac:dyDescent="0.25">
      <c r="A51" s="211" t="s">
        <v>383</v>
      </c>
      <c r="B51" s="64">
        <v>7.42</v>
      </c>
      <c r="C51" s="64">
        <v>20.329999999999998</v>
      </c>
      <c r="D51" s="64">
        <v>15.19</v>
      </c>
      <c r="E51" s="64">
        <v>4.37</v>
      </c>
      <c r="F51" s="64">
        <v>3.98</v>
      </c>
      <c r="G51" s="64">
        <v>104.11</v>
      </c>
      <c r="H51" s="64">
        <v>53.24</v>
      </c>
      <c r="I51" s="64">
        <v>5.84</v>
      </c>
      <c r="J51" s="64">
        <v>0.33</v>
      </c>
      <c r="K51" s="64">
        <v>0.33</v>
      </c>
      <c r="L51" s="64">
        <v>32.72</v>
      </c>
      <c r="M51" s="64">
        <v>43.82</v>
      </c>
      <c r="N51" s="64">
        <v>561.1</v>
      </c>
      <c r="O51" s="64">
        <v>0</v>
      </c>
      <c r="P51" s="64">
        <v>0.77</v>
      </c>
      <c r="Q51" s="64">
        <v>9.6199999999999992</v>
      </c>
      <c r="R51" s="196"/>
      <c r="S51" s="196"/>
      <c r="T51" s="196"/>
      <c r="U51" s="196"/>
    </row>
    <row r="52" spans="1:21" s="12" customFormat="1" x14ac:dyDescent="0.25">
      <c r="A52" s="211" t="s">
        <v>384</v>
      </c>
      <c r="B52" s="64">
        <v>4.84</v>
      </c>
      <c r="C52" s="64">
        <v>20.3</v>
      </c>
      <c r="D52" s="64">
        <v>13.11</v>
      </c>
      <c r="E52" s="64">
        <v>4.1500000000000004</v>
      </c>
      <c r="F52" s="64">
        <v>5.28</v>
      </c>
      <c r="G52" s="64">
        <v>104.11</v>
      </c>
      <c r="H52" s="64">
        <v>53.24</v>
      </c>
      <c r="I52" s="64">
        <v>5.92</v>
      </c>
      <c r="J52" s="64">
        <v>0.32</v>
      </c>
      <c r="K52" s="64">
        <v>343.28</v>
      </c>
      <c r="L52" s="64">
        <v>33.47</v>
      </c>
      <c r="M52" s="64">
        <v>40.92</v>
      </c>
      <c r="N52" s="64">
        <v>573.29999999999995</v>
      </c>
      <c r="O52" s="64">
        <v>0</v>
      </c>
      <c r="P52" s="64">
        <v>0.76</v>
      </c>
      <c r="Q52" s="64">
        <v>9.61</v>
      </c>
      <c r="R52" s="196"/>
      <c r="S52" s="196"/>
      <c r="T52" s="196"/>
      <c r="U52" s="196"/>
    </row>
    <row r="53" spans="1:21" s="12" customFormat="1" x14ac:dyDescent="0.25">
      <c r="A53" s="211" t="s">
        <v>385</v>
      </c>
      <c r="B53" s="64">
        <v>2.88</v>
      </c>
      <c r="C53" s="64">
        <v>19.98</v>
      </c>
      <c r="D53" s="64">
        <v>11.37</v>
      </c>
      <c r="E53" s="64">
        <v>4.04</v>
      </c>
      <c r="F53" s="64">
        <v>5.22</v>
      </c>
      <c r="G53" s="64">
        <v>104.11</v>
      </c>
      <c r="H53" s="64">
        <v>53.24</v>
      </c>
      <c r="I53" s="64">
        <v>5.85</v>
      </c>
      <c r="J53" s="64">
        <v>0.46</v>
      </c>
      <c r="K53" s="64">
        <v>356.14</v>
      </c>
      <c r="L53" s="64">
        <v>32.840000000000003</v>
      </c>
      <c r="M53" s="64">
        <v>42.2</v>
      </c>
      <c r="N53" s="64">
        <v>590.1</v>
      </c>
      <c r="O53" s="64">
        <v>0</v>
      </c>
      <c r="P53" s="64">
        <v>0.74</v>
      </c>
      <c r="Q53" s="64">
        <v>9.61</v>
      </c>
      <c r="R53" s="196"/>
      <c r="S53" s="196"/>
      <c r="T53" s="196"/>
      <c r="U53" s="196"/>
    </row>
    <row r="54" spans="1:21" s="12" customFormat="1" x14ac:dyDescent="0.25">
      <c r="A54" s="211" t="s">
        <v>386</v>
      </c>
      <c r="B54" s="64">
        <v>1.8</v>
      </c>
      <c r="C54" s="64">
        <v>18.29</v>
      </c>
      <c r="D54" s="64">
        <v>9.6300000000000008</v>
      </c>
      <c r="E54" s="64">
        <v>4.05</v>
      </c>
      <c r="F54" s="64">
        <v>5.57</v>
      </c>
      <c r="G54" s="64">
        <v>103.75</v>
      </c>
      <c r="H54" s="64">
        <v>52.79</v>
      </c>
      <c r="I54" s="64">
        <v>5.73</v>
      </c>
      <c r="J54" s="64">
        <v>0.24</v>
      </c>
      <c r="K54" s="64">
        <v>348.21</v>
      </c>
      <c r="L54" s="64">
        <v>33.979999999999997</v>
      </c>
      <c r="M54" s="64">
        <v>39.29</v>
      </c>
      <c r="N54" s="64">
        <v>587.6</v>
      </c>
      <c r="O54" s="64">
        <v>0</v>
      </c>
      <c r="P54" s="64">
        <v>0.69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387</v>
      </c>
      <c r="B55" s="64">
        <v>1.24</v>
      </c>
      <c r="C55" s="64">
        <v>17</v>
      </c>
      <c r="D55" s="64">
        <v>8.5</v>
      </c>
      <c r="E55" s="64">
        <v>4.1500000000000004</v>
      </c>
      <c r="F55" s="64">
        <v>5.54</v>
      </c>
      <c r="G55" s="64">
        <v>103.53</v>
      </c>
      <c r="H55" s="64">
        <v>52.62</v>
      </c>
      <c r="I55" s="64">
        <v>5.37</v>
      </c>
      <c r="J55" s="64">
        <v>0.23</v>
      </c>
      <c r="K55" s="64">
        <v>113.26</v>
      </c>
      <c r="L55" s="64">
        <v>32.54</v>
      </c>
      <c r="M55" s="64">
        <v>41.37</v>
      </c>
      <c r="N55" s="64">
        <v>590.29999999999995</v>
      </c>
      <c r="O55" s="64">
        <v>0</v>
      </c>
      <c r="P55" s="64">
        <v>0.69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388</v>
      </c>
      <c r="B56" s="64">
        <v>0.84</v>
      </c>
      <c r="C56" s="64">
        <v>15.7</v>
      </c>
      <c r="D56" s="64">
        <v>7.5</v>
      </c>
      <c r="E56" s="64">
        <v>4.67</v>
      </c>
      <c r="F56" s="64">
        <v>6.21</v>
      </c>
      <c r="G56" s="64">
        <v>103.53</v>
      </c>
      <c r="H56" s="64">
        <v>52.62</v>
      </c>
      <c r="I56" s="64">
        <v>4.6100000000000003</v>
      </c>
      <c r="J56" s="64">
        <v>0.2</v>
      </c>
      <c r="K56" s="64">
        <v>80.53</v>
      </c>
      <c r="L56" s="64">
        <v>32.119999999999997</v>
      </c>
      <c r="M56" s="64">
        <v>42.66</v>
      </c>
      <c r="N56" s="64">
        <v>588.6</v>
      </c>
      <c r="O56" s="64">
        <v>0</v>
      </c>
      <c r="P56" s="64">
        <v>0.66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389</v>
      </c>
      <c r="B57" s="64">
        <v>0.46</v>
      </c>
      <c r="C57" s="64">
        <v>14.51</v>
      </c>
      <c r="D57" s="64">
        <v>6.58</v>
      </c>
      <c r="E57" s="64">
        <v>5.21</v>
      </c>
      <c r="F57" s="64">
        <v>6.49</v>
      </c>
      <c r="G57" s="64">
        <v>103.53</v>
      </c>
      <c r="H57" s="64">
        <v>52.62</v>
      </c>
      <c r="I57" s="64">
        <v>4.5599999999999996</v>
      </c>
      <c r="J57" s="64">
        <v>0.55000000000000004</v>
      </c>
      <c r="K57" s="64">
        <v>139.66</v>
      </c>
      <c r="L57" s="64">
        <v>31.72</v>
      </c>
      <c r="M57" s="64">
        <v>42.36</v>
      </c>
      <c r="N57" s="64">
        <v>596.1</v>
      </c>
      <c r="O57" s="64">
        <v>0</v>
      </c>
      <c r="P57" s="64">
        <v>0.64</v>
      </c>
      <c r="Q57" s="64">
        <v>9.61</v>
      </c>
      <c r="R57" s="196"/>
      <c r="S57" s="196"/>
      <c r="T57" s="196"/>
      <c r="U57" s="196"/>
    </row>
    <row r="58" spans="1:21" s="12" customFormat="1" x14ac:dyDescent="0.25">
      <c r="A58" s="211" t="s">
        <v>390</v>
      </c>
      <c r="B58" s="64">
        <v>0.22</v>
      </c>
      <c r="C58" s="64">
        <v>13.32</v>
      </c>
      <c r="D58" s="64">
        <v>5.76</v>
      </c>
      <c r="E58" s="64">
        <v>5.3</v>
      </c>
      <c r="F58" s="64">
        <v>7.13</v>
      </c>
      <c r="G58" s="64">
        <v>101.43</v>
      </c>
      <c r="H58" s="64">
        <v>40.450000000000003</v>
      </c>
      <c r="I58" s="64">
        <v>4.43</v>
      </c>
      <c r="J58" s="64">
        <v>0.1</v>
      </c>
      <c r="K58" s="64">
        <v>80.11</v>
      </c>
      <c r="L58" s="64">
        <v>32.200000000000003</v>
      </c>
      <c r="M58" s="64">
        <v>40.450000000000003</v>
      </c>
      <c r="N58" s="64">
        <v>555.9</v>
      </c>
      <c r="O58" s="64">
        <v>0</v>
      </c>
      <c r="P58" s="64">
        <v>0.6</v>
      </c>
      <c r="Q58" s="64">
        <v>9.61</v>
      </c>
      <c r="R58" s="196"/>
      <c r="S58" s="196"/>
      <c r="T58" s="196"/>
      <c r="U58" s="196"/>
    </row>
    <row r="59" spans="1:21" s="12" customFormat="1" x14ac:dyDescent="0.25">
      <c r="A59" s="211" t="s">
        <v>391</v>
      </c>
      <c r="B59" s="64">
        <v>0.08</v>
      </c>
      <c r="C59" s="64">
        <v>12.32</v>
      </c>
      <c r="D59" s="64">
        <v>5.13</v>
      </c>
      <c r="E59" s="64">
        <v>5.08</v>
      </c>
      <c r="F59" s="64">
        <v>7.18</v>
      </c>
      <c r="G59" s="64">
        <v>100.17</v>
      </c>
      <c r="H59" s="64">
        <v>37.799999999999997</v>
      </c>
      <c r="I59" s="64">
        <v>4.58</v>
      </c>
      <c r="J59" s="64">
        <v>0.74</v>
      </c>
      <c r="K59" s="64">
        <v>128.11000000000001</v>
      </c>
      <c r="L59" s="64">
        <v>31.28</v>
      </c>
      <c r="M59" s="64">
        <v>42.93</v>
      </c>
      <c r="N59" s="64">
        <v>403.8</v>
      </c>
      <c r="O59" s="64">
        <v>0</v>
      </c>
      <c r="P59" s="64">
        <v>0.57999999999999996</v>
      </c>
      <c r="Q59" s="64">
        <v>9.61</v>
      </c>
      <c r="R59" s="196"/>
      <c r="S59" s="196"/>
      <c r="T59" s="196"/>
      <c r="U59" s="196"/>
    </row>
    <row r="60" spans="1:21" s="12" customFormat="1" x14ac:dyDescent="0.25">
      <c r="A60" s="211" t="s">
        <v>392</v>
      </c>
      <c r="B60" s="64">
        <v>0.04</v>
      </c>
      <c r="C60" s="64">
        <v>11.41</v>
      </c>
      <c r="D60" s="64">
        <v>4.62</v>
      </c>
      <c r="E60" s="64">
        <v>5.43</v>
      </c>
      <c r="F60" s="64">
        <v>6.12</v>
      </c>
      <c r="G60" s="64">
        <v>100.17</v>
      </c>
      <c r="H60" s="64">
        <v>37.799999999999997</v>
      </c>
      <c r="I60" s="64">
        <v>4.22</v>
      </c>
      <c r="J60" s="64">
        <v>0.84</v>
      </c>
      <c r="K60" s="64">
        <v>127.98</v>
      </c>
      <c r="L60" s="64">
        <v>30.93</v>
      </c>
      <c r="M60" s="64">
        <v>43.53</v>
      </c>
      <c r="N60" s="64">
        <v>448</v>
      </c>
      <c r="O60" s="64">
        <v>0</v>
      </c>
      <c r="P60" s="64">
        <v>0.6</v>
      </c>
      <c r="Q60" s="64">
        <v>9.61</v>
      </c>
      <c r="R60" s="196"/>
      <c r="S60" s="196"/>
      <c r="T60" s="196"/>
      <c r="U60" s="196"/>
    </row>
    <row r="61" spans="1:21" s="12" customFormat="1" x14ac:dyDescent="0.25">
      <c r="A61" s="211" t="s">
        <v>393</v>
      </c>
      <c r="B61" s="64">
        <v>-0.02</v>
      </c>
      <c r="C61" s="64">
        <v>11.19</v>
      </c>
      <c r="D61" s="64">
        <v>4.46</v>
      </c>
      <c r="E61" s="64">
        <v>5.32</v>
      </c>
      <c r="F61" s="64">
        <v>6.23</v>
      </c>
      <c r="G61" s="64">
        <v>100.17</v>
      </c>
      <c r="H61" s="64">
        <v>37.799999999999997</v>
      </c>
      <c r="I61" s="64">
        <v>3.71</v>
      </c>
      <c r="J61" s="64">
        <v>0.39</v>
      </c>
      <c r="K61" s="64">
        <v>356.16</v>
      </c>
      <c r="L61" s="64">
        <v>31.35</v>
      </c>
      <c r="M61" s="64">
        <v>42.13</v>
      </c>
      <c r="N61" s="64">
        <v>353.4</v>
      </c>
      <c r="O61" s="64">
        <v>0</v>
      </c>
      <c r="P61" s="64">
        <v>0.63</v>
      </c>
      <c r="Q61" s="64">
        <v>9.61</v>
      </c>
      <c r="R61" s="196"/>
      <c r="S61" s="196"/>
      <c r="T61" s="196"/>
      <c r="U61" s="196"/>
    </row>
    <row r="62" spans="1:21" s="12" customFormat="1" x14ac:dyDescent="0.25">
      <c r="A62" s="211" t="s">
        <v>394</v>
      </c>
      <c r="B62" s="64">
        <v>-0.09</v>
      </c>
      <c r="C62" s="64">
        <v>10.88</v>
      </c>
      <c r="D62" s="64">
        <v>4.24</v>
      </c>
      <c r="E62" s="64">
        <v>5.46</v>
      </c>
      <c r="F62" s="64">
        <v>6.91</v>
      </c>
      <c r="G62" s="64">
        <v>89.36</v>
      </c>
      <c r="H62" s="64">
        <v>37.450000000000003</v>
      </c>
      <c r="I62" s="64">
        <v>5.12</v>
      </c>
      <c r="J62" s="64">
        <v>0.23</v>
      </c>
      <c r="K62" s="64">
        <v>98.77</v>
      </c>
      <c r="L62" s="64">
        <v>31.1</v>
      </c>
      <c r="M62" s="64">
        <v>41.18</v>
      </c>
      <c r="N62" s="64">
        <v>280.2</v>
      </c>
      <c r="O62" s="64">
        <v>0</v>
      </c>
      <c r="P62" s="64">
        <v>0.62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395</v>
      </c>
      <c r="B63" s="64">
        <v>-0.12</v>
      </c>
      <c r="C63" s="64">
        <v>10.59</v>
      </c>
      <c r="D63" s="64">
        <v>4.0599999999999996</v>
      </c>
      <c r="E63" s="64">
        <v>4.92</v>
      </c>
      <c r="F63" s="64">
        <v>6.54</v>
      </c>
      <c r="G63" s="64">
        <v>82.81</v>
      </c>
      <c r="H63" s="64">
        <v>37.369999999999997</v>
      </c>
      <c r="I63" s="64">
        <v>5.12</v>
      </c>
      <c r="J63" s="64">
        <v>0.55000000000000004</v>
      </c>
      <c r="K63" s="64">
        <v>337.67</v>
      </c>
      <c r="L63" s="64">
        <v>31.45</v>
      </c>
      <c r="M63" s="64">
        <v>39.770000000000003</v>
      </c>
      <c r="N63" s="64">
        <v>190.8</v>
      </c>
      <c r="O63" s="64">
        <v>0</v>
      </c>
      <c r="P63" s="64">
        <v>0.65</v>
      </c>
      <c r="Q63" s="64">
        <v>9.6300000000000008</v>
      </c>
      <c r="R63" s="196"/>
      <c r="S63" s="196"/>
      <c r="T63" s="196"/>
      <c r="U63" s="196"/>
    </row>
    <row r="64" spans="1:21" s="12" customFormat="1" x14ac:dyDescent="0.25">
      <c r="A64" s="211" t="s">
        <v>396</v>
      </c>
      <c r="B64" s="64">
        <v>-0.09</v>
      </c>
      <c r="C64" s="64">
        <v>10.63</v>
      </c>
      <c r="D64" s="64">
        <v>4.0999999999999996</v>
      </c>
      <c r="E64" s="64">
        <v>4.8</v>
      </c>
      <c r="F64" s="64">
        <v>6.92</v>
      </c>
      <c r="G64" s="64">
        <v>82.81</v>
      </c>
      <c r="H64" s="64">
        <v>37.369999999999997</v>
      </c>
      <c r="I64" s="64">
        <v>4.93</v>
      </c>
      <c r="J64" s="64">
        <v>0.77</v>
      </c>
      <c r="K64" s="64">
        <v>354.11</v>
      </c>
      <c r="L64" s="64">
        <v>31.13</v>
      </c>
      <c r="M64" s="64">
        <v>39.32</v>
      </c>
      <c r="N64" s="64">
        <v>305</v>
      </c>
      <c r="O64" s="64">
        <v>0</v>
      </c>
      <c r="P64" s="64">
        <v>0.6</v>
      </c>
      <c r="Q64" s="64">
        <v>9.6199999999999992</v>
      </c>
      <c r="R64" s="196"/>
      <c r="S64" s="196"/>
      <c r="T64" s="196"/>
      <c r="U64" s="196"/>
    </row>
    <row r="65" spans="1:21" s="12" customFormat="1" x14ac:dyDescent="0.25">
      <c r="A65" s="211" t="s">
        <v>397</v>
      </c>
      <c r="B65" s="64">
        <v>0</v>
      </c>
      <c r="C65" s="64">
        <v>11.15</v>
      </c>
      <c r="D65" s="64">
        <v>4.45</v>
      </c>
      <c r="E65" s="64">
        <v>5.53</v>
      </c>
      <c r="F65" s="64">
        <v>6.32</v>
      </c>
      <c r="G65" s="64">
        <v>82.81</v>
      </c>
      <c r="H65" s="64">
        <v>37.369999999999997</v>
      </c>
      <c r="I65" s="64">
        <v>4.88</v>
      </c>
      <c r="J65" s="64">
        <v>0.05</v>
      </c>
      <c r="K65" s="64">
        <v>351.32</v>
      </c>
      <c r="L65" s="64">
        <v>31.84</v>
      </c>
      <c r="M65" s="64">
        <v>38.21</v>
      </c>
      <c r="N65" s="64">
        <v>195.8</v>
      </c>
      <c r="O65" s="64">
        <v>0</v>
      </c>
      <c r="P65" s="64">
        <v>0.55000000000000004</v>
      </c>
      <c r="Q65" s="64">
        <v>9.61</v>
      </c>
      <c r="R65" s="196"/>
      <c r="S65" s="196"/>
      <c r="T65" s="196"/>
      <c r="U65" s="196"/>
    </row>
    <row r="66" spans="1:21" s="12" customFormat="1" x14ac:dyDescent="0.25">
      <c r="A66" s="211" t="s">
        <v>398</v>
      </c>
      <c r="B66" s="64">
        <v>0</v>
      </c>
      <c r="C66" s="64">
        <v>10.86</v>
      </c>
      <c r="D66" s="64">
        <v>4.3</v>
      </c>
      <c r="E66" s="64">
        <v>5.21</v>
      </c>
      <c r="F66" s="64">
        <v>6.6</v>
      </c>
      <c r="G66" s="64">
        <v>70.87</v>
      </c>
      <c r="H66" s="64">
        <v>32.340000000000003</v>
      </c>
      <c r="I66" s="64">
        <v>4.6100000000000003</v>
      </c>
      <c r="J66" s="64">
        <v>0.06</v>
      </c>
      <c r="K66" s="64">
        <v>59.36</v>
      </c>
      <c r="L66" s="64">
        <v>31.17</v>
      </c>
      <c r="M66" s="64">
        <v>39.799999999999997</v>
      </c>
      <c r="N66" s="64">
        <v>177.8</v>
      </c>
      <c r="O66" s="64">
        <v>0</v>
      </c>
      <c r="P66" s="64">
        <v>0.56000000000000005</v>
      </c>
      <c r="Q66" s="64">
        <v>9.6</v>
      </c>
      <c r="R66" s="196"/>
      <c r="S66" s="196"/>
      <c r="T66" s="196"/>
      <c r="U66" s="196"/>
    </row>
    <row r="67" spans="1:21" s="12" customFormat="1" x14ac:dyDescent="0.25">
      <c r="A67" s="211" t="s">
        <v>399</v>
      </c>
      <c r="B67" s="64">
        <v>0.01</v>
      </c>
      <c r="C67" s="64">
        <v>11.1</v>
      </c>
      <c r="D67" s="64">
        <v>4.43</v>
      </c>
      <c r="E67" s="64">
        <v>4.92</v>
      </c>
      <c r="F67" s="64">
        <v>6.26</v>
      </c>
      <c r="G67" s="64">
        <v>63.62</v>
      </c>
      <c r="H67" s="64">
        <v>31.25</v>
      </c>
      <c r="I67" s="64">
        <v>3.09</v>
      </c>
      <c r="J67" s="64">
        <v>0.62</v>
      </c>
      <c r="K67" s="64">
        <v>327.37</v>
      </c>
      <c r="L67" s="64">
        <v>31.57</v>
      </c>
      <c r="M67" s="64">
        <v>39.39</v>
      </c>
      <c r="N67" s="64">
        <v>157.69999999999999</v>
      </c>
      <c r="O67" s="64">
        <v>0</v>
      </c>
      <c r="P67" s="64">
        <v>0.61</v>
      </c>
      <c r="Q67" s="64">
        <v>9.61</v>
      </c>
      <c r="R67" s="196"/>
      <c r="S67" s="196"/>
      <c r="T67" s="196"/>
      <c r="U67" s="196"/>
    </row>
    <row r="68" spans="1:21" s="12" customFormat="1" x14ac:dyDescent="0.25">
      <c r="A68" s="211" t="s">
        <v>400</v>
      </c>
      <c r="B68" s="64">
        <v>0.03</v>
      </c>
      <c r="C68" s="64">
        <v>11.34</v>
      </c>
      <c r="D68" s="64">
        <v>4.57</v>
      </c>
      <c r="E68" s="64">
        <v>5.16</v>
      </c>
      <c r="F68" s="64">
        <v>6.48</v>
      </c>
      <c r="G68" s="64">
        <v>63.62</v>
      </c>
      <c r="H68" s="64">
        <v>31.25</v>
      </c>
      <c r="I68" s="64">
        <v>3.42</v>
      </c>
      <c r="J68" s="64">
        <v>0.72</v>
      </c>
      <c r="K68" s="64">
        <v>337.4</v>
      </c>
      <c r="L68" s="64">
        <v>31.54</v>
      </c>
      <c r="M68" s="64">
        <v>39.549999999999997</v>
      </c>
      <c r="N68" s="64">
        <v>134.6</v>
      </c>
      <c r="O68" s="64">
        <v>0</v>
      </c>
      <c r="P68" s="64">
        <v>0.59</v>
      </c>
      <c r="Q68" s="64">
        <v>9.6199999999999992</v>
      </c>
      <c r="R68" s="196"/>
      <c r="S68" s="196"/>
      <c r="T68" s="196"/>
      <c r="U68" s="196"/>
    </row>
    <row r="69" spans="1:21" s="12" customFormat="1" x14ac:dyDescent="0.25">
      <c r="A69" s="211" t="s">
        <v>401</v>
      </c>
      <c r="B69" s="64">
        <v>0.12</v>
      </c>
      <c r="C69" s="64">
        <v>11.64</v>
      </c>
      <c r="D69" s="64">
        <v>4.8</v>
      </c>
      <c r="E69" s="64">
        <v>5.18</v>
      </c>
      <c r="F69" s="64">
        <v>6.53</v>
      </c>
      <c r="G69" s="64">
        <v>63.62</v>
      </c>
      <c r="H69" s="64">
        <v>31.25</v>
      </c>
      <c r="I69" s="64">
        <v>3.69</v>
      </c>
      <c r="J69" s="64">
        <v>0.43</v>
      </c>
      <c r="K69" s="64">
        <v>351.76</v>
      </c>
      <c r="L69" s="64">
        <v>31.34</v>
      </c>
      <c r="M69" s="64">
        <v>39.75</v>
      </c>
      <c r="N69" s="64">
        <v>120.1</v>
      </c>
      <c r="O69" s="64">
        <v>0</v>
      </c>
      <c r="P69" s="64">
        <v>0.61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402</v>
      </c>
      <c r="B70" s="64">
        <v>0.23</v>
      </c>
      <c r="C70" s="64">
        <v>12.01</v>
      </c>
      <c r="D70" s="64">
        <v>5.08</v>
      </c>
      <c r="E70" s="64">
        <v>4.87</v>
      </c>
      <c r="F70" s="64">
        <v>8.8000000000000007</v>
      </c>
      <c r="G70" s="64">
        <v>55.69</v>
      </c>
      <c r="H70" s="64">
        <v>28.09</v>
      </c>
      <c r="I70" s="64">
        <v>3.92</v>
      </c>
      <c r="J70" s="64">
        <v>0.42</v>
      </c>
      <c r="K70" s="64">
        <v>336.06</v>
      </c>
      <c r="L70" s="64">
        <v>31.27</v>
      </c>
      <c r="M70" s="64">
        <v>38.6</v>
      </c>
      <c r="N70" s="64">
        <v>115.1</v>
      </c>
      <c r="O70" s="64">
        <v>0</v>
      </c>
      <c r="P70" s="64">
        <v>0.59</v>
      </c>
      <c r="Q70" s="64">
        <v>9.6199999999999992</v>
      </c>
      <c r="R70" s="196"/>
      <c r="S70" s="196"/>
      <c r="T70" s="196"/>
      <c r="U70" s="196"/>
    </row>
    <row r="71" spans="1:21" s="12" customFormat="1" x14ac:dyDescent="0.25">
      <c r="A71" s="211" t="s">
        <v>403</v>
      </c>
      <c r="B71" s="64">
        <v>0.28000000000000003</v>
      </c>
      <c r="C71" s="64">
        <v>11.78</v>
      </c>
      <c r="D71" s="64">
        <v>5</v>
      </c>
      <c r="E71" s="64">
        <v>4.8899999999999997</v>
      </c>
      <c r="F71" s="64">
        <v>9.0299999999999994</v>
      </c>
      <c r="G71" s="64">
        <v>50.88</v>
      </c>
      <c r="H71" s="64">
        <v>26.91</v>
      </c>
      <c r="I71" s="64">
        <v>3.05</v>
      </c>
      <c r="J71" s="64">
        <v>0.39</v>
      </c>
      <c r="K71" s="64">
        <v>7.34</v>
      </c>
      <c r="L71" s="64">
        <v>30.53</v>
      </c>
      <c r="M71" s="64">
        <v>40.82</v>
      </c>
      <c r="N71" s="64">
        <v>111.8</v>
      </c>
      <c r="O71" s="64">
        <v>0</v>
      </c>
      <c r="P71" s="64">
        <v>0.47</v>
      </c>
      <c r="Q71" s="64">
        <v>9.6199999999999992</v>
      </c>
      <c r="R71" s="196"/>
      <c r="S71" s="196"/>
      <c r="T71" s="196"/>
      <c r="U71" s="196"/>
    </row>
    <row r="72" spans="1:21" s="12" customFormat="1" x14ac:dyDescent="0.25">
      <c r="A72" s="211" t="s">
        <v>404</v>
      </c>
      <c r="B72" s="64">
        <v>0.23</v>
      </c>
      <c r="C72" s="64">
        <v>11.38</v>
      </c>
      <c r="D72" s="64">
        <v>4.75</v>
      </c>
      <c r="E72" s="64">
        <v>4.47</v>
      </c>
      <c r="F72" s="64">
        <v>7.26</v>
      </c>
      <c r="G72" s="64">
        <v>50.88</v>
      </c>
      <c r="H72" s="64">
        <v>26.91</v>
      </c>
      <c r="I72" s="64">
        <v>1.75</v>
      </c>
      <c r="J72" s="64">
        <v>0.31</v>
      </c>
      <c r="K72" s="64">
        <v>52.44</v>
      </c>
      <c r="L72" s="64">
        <v>30.05</v>
      </c>
      <c r="M72" s="64">
        <v>39.78</v>
      </c>
      <c r="N72" s="64">
        <v>97.6</v>
      </c>
      <c r="O72" s="64">
        <v>0</v>
      </c>
      <c r="P72" s="64">
        <v>0.41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405</v>
      </c>
      <c r="B73" s="64">
        <v>0.19</v>
      </c>
      <c r="C73" s="64">
        <v>10.79</v>
      </c>
      <c r="D73" s="64">
        <v>4.41</v>
      </c>
      <c r="E73" s="64">
        <v>5.16</v>
      </c>
      <c r="F73" s="64">
        <v>8.1300000000000008</v>
      </c>
      <c r="G73" s="64">
        <v>50.88</v>
      </c>
      <c r="H73" s="64">
        <v>26.91</v>
      </c>
      <c r="I73" s="64">
        <v>1.42</v>
      </c>
      <c r="J73" s="64">
        <v>0.22</v>
      </c>
      <c r="K73" s="64">
        <v>70.81</v>
      </c>
      <c r="L73" s="64">
        <v>29.77</v>
      </c>
      <c r="M73" s="64">
        <v>40.65</v>
      </c>
      <c r="N73" s="64">
        <v>69.900000000000006</v>
      </c>
      <c r="O73" s="64">
        <v>0</v>
      </c>
      <c r="P73" s="64">
        <v>0.41</v>
      </c>
      <c r="Q73" s="64">
        <v>9.61</v>
      </c>
      <c r="R73" s="196"/>
      <c r="S73" s="196"/>
      <c r="T73" s="196"/>
      <c r="U73" s="196"/>
    </row>
    <row r="74" spans="1:21" s="12" customFormat="1" x14ac:dyDescent="0.25">
      <c r="A74" s="211" t="s">
        <v>406</v>
      </c>
      <c r="B74" s="64">
        <v>0.15</v>
      </c>
      <c r="C74" s="64">
        <v>10.220000000000001</v>
      </c>
      <c r="D74" s="64">
        <v>4.09</v>
      </c>
      <c r="E74" s="64">
        <v>5.37</v>
      </c>
      <c r="F74" s="64">
        <v>8.4</v>
      </c>
      <c r="G74" s="64">
        <v>46.8</v>
      </c>
      <c r="H74" s="64">
        <v>23.89</v>
      </c>
      <c r="I74" s="64">
        <v>1.38</v>
      </c>
      <c r="J74" s="64">
        <v>0.22</v>
      </c>
      <c r="K74" s="64">
        <v>131.91999999999999</v>
      </c>
      <c r="L74" s="64">
        <v>29.51</v>
      </c>
      <c r="M74" s="64">
        <v>39.479999999999997</v>
      </c>
      <c r="N74" s="64">
        <v>58.3</v>
      </c>
      <c r="O74" s="64">
        <v>0</v>
      </c>
      <c r="P74" s="64">
        <v>0.35</v>
      </c>
      <c r="Q74" s="64">
        <v>9.6199999999999992</v>
      </c>
      <c r="R74" s="196"/>
      <c r="S74" s="196"/>
      <c r="T74" s="196"/>
      <c r="U74" s="196"/>
    </row>
    <row r="75" spans="1:21" s="12" customFormat="1" x14ac:dyDescent="0.25">
      <c r="A75" s="211" t="s">
        <v>407</v>
      </c>
      <c r="B75" s="64">
        <v>0.18</v>
      </c>
      <c r="C75" s="64">
        <v>9.83</v>
      </c>
      <c r="D75" s="64">
        <v>3.9</v>
      </c>
      <c r="E75" s="64">
        <v>5.04</v>
      </c>
      <c r="F75" s="64">
        <v>8.14</v>
      </c>
      <c r="G75" s="64">
        <v>44.31</v>
      </c>
      <c r="H75" s="64">
        <v>23.24</v>
      </c>
      <c r="I75" s="64">
        <v>1.28</v>
      </c>
      <c r="J75" s="64">
        <v>0.9</v>
      </c>
      <c r="K75" s="64">
        <v>165.52</v>
      </c>
      <c r="L75" s="64">
        <v>29.3</v>
      </c>
      <c r="M75" s="64">
        <v>40.42</v>
      </c>
      <c r="N75" s="64">
        <v>48.5</v>
      </c>
      <c r="O75" s="64">
        <v>0</v>
      </c>
      <c r="P75" s="64">
        <v>0.43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408</v>
      </c>
      <c r="B76" s="64">
        <v>0.23</v>
      </c>
      <c r="C76" s="64">
        <v>9.67</v>
      </c>
      <c r="D76" s="64">
        <v>3.86</v>
      </c>
      <c r="E76" s="64">
        <v>5.12</v>
      </c>
      <c r="F76" s="64">
        <v>7.76</v>
      </c>
      <c r="G76" s="64">
        <v>44.31</v>
      </c>
      <c r="H76" s="64">
        <v>23.24</v>
      </c>
      <c r="I76" s="64">
        <v>1.0900000000000001</v>
      </c>
      <c r="J76" s="64">
        <v>0.5</v>
      </c>
      <c r="K76" s="64">
        <v>132.43</v>
      </c>
      <c r="L76" s="64">
        <v>28.99</v>
      </c>
      <c r="M76" s="64">
        <v>40.729999999999997</v>
      </c>
      <c r="N76" s="64">
        <v>42.7</v>
      </c>
      <c r="O76" s="64">
        <v>0</v>
      </c>
      <c r="P76" s="64">
        <v>0.39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409</v>
      </c>
      <c r="B77" s="64">
        <v>0.27</v>
      </c>
      <c r="C77" s="64">
        <v>10.039999999999999</v>
      </c>
      <c r="D77" s="64">
        <v>4.08</v>
      </c>
      <c r="E77" s="64">
        <v>4.95</v>
      </c>
      <c r="F77" s="64">
        <v>6.73</v>
      </c>
      <c r="G77" s="64">
        <v>44.31</v>
      </c>
      <c r="H77" s="64">
        <v>23.24</v>
      </c>
      <c r="I77" s="64">
        <v>1.69</v>
      </c>
      <c r="J77" s="64">
        <v>0.69</v>
      </c>
      <c r="K77" s="64">
        <v>159.51</v>
      </c>
      <c r="L77" s="64">
        <v>28.7</v>
      </c>
      <c r="M77" s="64">
        <v>41.55</v>
      </c>
      <c r="N77" s="64">
        <v>34.799999999999997</v>
      </c>
      <c r="O77" s="64">
        <v>0</v>
      </c>
      <c r="P77" s="64">
        <v>0.47</v>
      </c>
      <c r="Q77" s="64">
        <v>9.61</v>
      </c>
      <c r="R77" s="196"/>
      <c r="S77" s="196"/>
      <c r="T77" s="196"/>
      <c r="U77" s="196"/>
    </row>
    <row r="78" spans="1:21" s="12" customFormat="1" x14ac:dyDescent="0.25">
      <c r="A78" s="211" t="s">
        <v>410</v>
      </c>
      <c r="B78" s="64">
        <v>0.27</v>
      </c>
      <c r="C78" s="64">
        <v>10.97</v>
      </c>
      <c r="D78" s="64">
        <v>4.57</v>
      </c>
      <c r="E78" s="64">
        <v>5.17</v>
      </c>
      <c r="F78" s="64">
        <v>6.53</v>
      </c>
      <c r="G78" s="64">
        <v>48.69</v>
      </c>
      <c r="H78" s="64">
        <v>21.46</v>
      </c>
      <c r="I78" s="64">
        <v>1.55</v>
      </c>
      <c r="J78" s="64">
        <v>0.8</v>
      </c>
      <c r="K78" s="64">
        <v>167.74</v>
      </c>
      <c r="L78" s="64">
        <v>28.34</v>
      </c>
      <c r="M78" s="64">
        <v>43.5</v>
      </c>
      <c r="N78" s="64">
        <v>28.8</v>
      </c>
      <c r="O78" s="64">
        <v>0</v>
      </c>
      <c r="P78" s="64">
        <v>0.46</v>
      </c>
      <c r="Q78" s="64">
        <v>9.6199999999999992</v>
      </c>
      <c r="R78" s="196"/>
      <c r="S78" s="196"/>
      <c r="T78" s="196"/>
      <c r="U78" s="196"/>
    </row>
    <row r="79" spans="1:21" s="12" customFormat="1" x14ac:dyDescent="0.25">
      <c r="A79" s="211" t="s">
        <v>411</v>
      </c>
      <c r="B79" s="64">
        <v>0.18</v>
      </c>
      <c r="C79" s="64">
        <v>11.33</v>
      </c>
      <c r="D79" s="64">
        <v>4.6900000000000004</v>
      </c>
      <c r="E79" s="64">
        <v>5.53</v>
      </c>
      <c r="F79" s="64">
        <v>6.98</v>
      </c>
      <c r="G79" s="64">
        <v>51.34</v>
      </c>
      <c r="H79" s="64">
        <v>21.08</v>
      </c>
      <c r="I79" s="64">
        <v>2.77</v>
      </c>
      <c r="J79" s="64">
        <v>0.56999999999999995</v>
      </c>
      <c r="K79" s="64">
        <v>181.54</v>
      </c>
      <c r="L79" s="64">
        <v>28.11</v>
      </c>
      <c r="M79" s="64">
        <v>43.13</v>
      </c>
      <c r="N79" s="64">
        <v>26.6</v>
      </c>
      <c r="O79" s="64">
        <v>0</v>
      </c>
      <c r="P79" s="64">
        <v>0.43</v>
      </c>
      <c r="Q79" s="64">
        <v>9.6199999999999992</v>
      </c>
      <c r="R79" s="196"/>
      <c r="S79" s="196"/>
      <c r="T79" s="196"/>
      <c r="U79" s="196"/>
    </row>
    <row r="80" spans="1:21" s="12" customFormat="1" x14ac:dyDescent="0.25">
      <c r="A80" s="211" t="s">
        <v>412</v>
      </c>
      <c r="B80" s="64">
        <v>0.14000000000000001</v>
      </c>
      <c r="C80" s="64">
        <v>11.86</v>
      </c>
      <c r="D80" s="64">
        <v>4.93</v>
      </c>
      <c r="E80" s="64">
        <v>5.37</v>
      </c>
      <c r="F80" s="64">
        <v>5.9</v>
      </c>
      <c r="G80" s="64">
        <v>51.34</v>
      </c>
      <c r="H80" s="64">
        <v>21.08</v>
      </c>
      <c r="I80" s="64">
        <v>2.87</v>
      </c>
      <c r="J80" s="64">
        <v>0.32</v>
      </c>
      <c r="K80" s="64">
        <v>242.66</v>
      </c>
      <c r="L80" s="64">
        <v>27.63</v>
      </c>
      <c r="M80" s="64">
        <v>47.38</v>
      </c>
      <c r="N80" s="64">
        <v>26.7</v>
      </c>
      <c r="O80" s="64">
        <v>0</v>
      </c>
      <c r="P80" s="64">
        <v>0.49</v>
      </c>
      <c r="Q80" s="64">
        <v>9.6199999999999992</v>
      </c>
      <c r="R80" s="196"/>
      <c r="S80" s="196"/>
      <c r="T80" s="196"/>
      <c r="U80" s="196"/>
    </row>
    <row r="81" spans="1:26" s="12" customFormat="1" x14ac:dyDescent="0.25">
      <c r="A81" s="211" t="s">
        <v>413</v>
      </c>
      <c r="B81" s="64">
        <v>0.85</v>
      </c>
      <c r="C81" s="64">
        <v>13.34</v>
      </c>
      <c r="D81" s="64">
        <v>6.28</v>
      </c>
      <c r="E81" s="64">
        <v>5.55</v>
      </c>
      <c r="F81" s="64">
        <v>3.92</v>
      </c>
      <c r="G81" s="64">
        <v>51.34</v>
      </c>
      <c r="H81" s="64">
        <v>21.08</v>
      </c>
      <c r="I81" s="64">
        <v>2.38</v>
      </c>
      <c r="J81" s="64">
        <v>0.59</v>
      </c>
      <c r="K81" s="64">
        <v>335.2</v>
      </c>
      <c r="L81" s="64">
        <v>26.68</v>
      </c>
      <c r="M81" s="64">
        <v>55.37</v>
      </c>
      <c r="N81" s="64">
        <v>26.7</v>
      </c>
      <c r="O81" s="64">
        <v>0</v>
      </c>
      <c r="P81" s="64">
        <v>1.34</v>
      </c>
      <c r="Q81" s="64">
        <v>9.6300000000000008</v>
      </c>
      <c r="R81" s="196"/>
      <c r="S81" s="196"/>
      <c r="T81" s="196"/>
      <c r="U81" s="196"/>
    </row>
    <row r="82" spans="1:26" s="12" customFormat="1" x14ac:dyDescent="0.25">
      <c r="A82" s="211" t="s">
        <v>414</v>
      </c>
      <c r="B82" s="64">
        <v>3.87</v>
      </c>
      <c r="C82" s="64">
        <v>16.21</v>
      </c>
      <c r="D82" s="64">
        <v>10.199999999999999</v>
      </c>
      <c r="E82" s="64">
        <v>5.5</v>
      </c>
      <c r="F82" s="64">
        <v>4.16</v>
      </c>
      <c r="G82" s="64">
        <v>62.4</v>
      </c>
      <c r="H82" s="64">
        <v>22.5</v>
      </c>
      <c r="I82" s="64">
        <v>2.92</v>
      </c>
      <c r="J82" s="64">
        <v>0.49</v>
      </c>
      <c r="K82" s="64">
        <v>286.05</v>
      </c>
      <c r="L82" s="64">
        <v>25.82</v>
      </c>
      <c r="M82" s="64">
        <v>57.74</v>
      </c>
      <c r="N82" s="64">
        <v>26.5</v>
      </c>
      <c r="O82" s="64">
        <v>0</v>
      </c>
      <c r="P82" s="64">
        <v>0.94</v>
      </c>
      <c r="Q82" s="64">
        <v>9.61</v>
      </c>
      <c r="R82" s="196"/>
      <c r="S82" s="196"/>
      <c r="T82" s="196"/>
      <c r="U82" s="196"/>
    </row>
    <row r="83" spans="1:26" s="12" customFormat="1" x14ac:dyDescent="0.25">
      <c r="A83" s="211" t="s">
        <v>415</v>
      </c>
      <c r="B83" s="64">
        <v>6.4</v>
      </c>
      <c r="C83" s="64">
        <v>18.690000000000001</v>
      </c>
      <c r="D83" s="64">
        <v>13.52</v>
      </c>
      <c r="E83" s="64">
        <v>5.6</v>
      </c>
      <c r="F83" s="64">
        <v>4.2</v>
      </c>
      <c r="G83" s="64">
        <v>69.12</v>
      </c>
      <c r="H83" s="64">
        <v>22.81</v>
      </c>
      <c r="I83" s="64">
        <v>4.68</v>
      </c>
      <c r="J83" s="64">
        <v>0.51</v>
      </c>
      <c r="K83" s="64">
        <v>330.76</v>
      </c>
      <c r="L83" s="64">
        <v>25.3</v>
      </c>
      <c r="M83" s="64">
        <v>62.4</v>
      </c>
      <c r="N83" s="64">
        <v>26.4</v>
      </c>
      <c r="O83" s="64">
        <v>0</v>
      </c>
      <c r="P83" s="64">
        <v>1.08</v>
      </c>
      <c r="Q83" s="64">
        <v>9.61</v>
      </c>
      <c r="R83" s="196"/>
      <c r="S83" s="196"/>
      <c r="T83" s="196"/>
      <c r="U83" s="196"/>
    </row>
    <row r="84" spans="1:26" s="12" customFormat="1" x14ac:dyDescent="0.25">
      <c r="A84" s="211" t="s">
        <v>416</v>
      </c>
      <c r="B84" s="64">
        <v>9.1199999999999992</v>
      </c>
      <c r="C84" s="64">
        <v>19.989999999999998</v>
      </c>
      <c r="D84" s="64">
        <v>16.38</v>
      </c>
      <c r="E84" s="64">
        <v>5.72</v>
      </c>
      <c r="F84" s="64">
        <v>3.99</v>
      </c>
      <c r="G84" s="64">
        <v>69.12</v>
      </c>
      <c r="H84" s="64">
        <v>22.81</v>
      </c>
      <c r="I84" s="64">
        <v>4.5999999999999996</v>
      </c>
      <c r="J84" s="64">
        <v>0.53</v>
      </c>
      <c r="K84" s="64">
        <v>287.06</v>
      </c>
      <c r="L84" s="64">
        <v>24.96</v>
      </c>
      <c r="M84" s="64">
        <v>63.66</v>
      </c>
      <c r="N84" s="64">
        <v>26.2</v>
      </c>
      <c r="O84" s="64">
        <v>0</v>
      </c>
      <c r="P84" s="64">
        <v>1.1499999999999999</v>
      </c>
      <c r="Q84" s="64">
        <v>9.6199999999999992</v>
      </c>
      <c r="R84" s="196"/>
      <c r="S84" s="196"/>
      <c r="T84" s="196"/>
      <c r="U84" s="196"/>
    </row>
    <row r="85" spans="1:26" s="12" customFormat="1" x14ac:dyDescent="0.25">
      <c r="A85" s="211" t="s">
        <v>417</v>
      </c>
      <c r="B85" s="64">
        <v>11.97</v>
      </c>
      <c r="C85" s="64">
        <v>21.02</v>
      </c>
      <c r="D85" s="64">
        <v>19.2</v>
      </c>
      <c r="E85" s="64">
        <v>6.02</v>
      </c>
      <c r="F85" s="64">
        <v>4.3</v>
      </c>
      <c r="G85" s="64">
        <v>69.12</v>
      </c>
      <c r="H85" s="64">
        <v>22.81</v>
      </c>
      <c r="I85" s="64">
        <v>4.7300000000000004</v>
      </c>
      <c r="J85" s="64">
        <v>0.25</v>
      </c>
      <c r="K85" s="64">
        <v>289.58999999999997</v>
      </c>
      <c r="L85" s="64">
        <v>24.69</v>
      </c>
      <c r="M85" s="64">
        <v>66.66</v>
      </c>
      <c r="N85" s="64">
        <v>26.1</v>
      </c>
      <c r="O85" s="64">
        <v>0</v>
      </c>
      <c r="P85" s="64">
        <v>1.01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418</v>
      </c>
      <c r="B86" s="64">
        <v>15.96</v>
      </c>
      <c r="C86" s="64">
        <v>21.59</v>
      </c>
      <c r="D86" s="64">
        <v>22.7</v>
      </c>
      <c r="E86" s="64">
        <v>6.08</v>
      </c>
      <c r="F86" s="64">
        <v>4.76</v>
      </c>
      <c r="G86" s="64">
        <v>94.93</v>
      </c>
      <c r="H86" s="64">
        <v>39.32</v>
      </c>
      <c r="I86" s="64">
        <v>5</v>
      </c>
      <c r="J86" s="64">
        <v>0.53</v>
      </c>
      <c r="K86" s="64">
        <v>301.54000000000002</v>
      </c>
      <c r="L86" s="64">
        <v>24.43</v>
      </c>
      <c r="M86" s="64">
        <v>68.489999999999995</v>
      </c>
      <c r="N86" s="64">
        <v>26.1</v>
      </c>
      <c r="O86" s="64">
        <v>0</v>
      </c>
      <c r="P86" s="64">
        <v>1.1299999999999999</v>
      </c>
      <c r="Q86" s="64">
        <v>9.6300000000000008</v>
      </c>
      <c r="R86" s="196"/>
      <c r="S86" s="196"/>
      <c r="T86" s="196"/>
      <c r="U86" s="196"/>
    </row>
    <row r="87" spans="1:26" s="12" customFormat="1" x14ac:dyDescent="0.25">
      <c r="A87" s="211" t="s">
        <v>419</v>
      </c>
      <c r="B87" s="64">
        <v>19.72</v>
      </c>
      <c r="C87" s="64">
        <v>20.309999999999999</v>
      </c>
      <c r="D87" s="64">
        <v>25.05</v>
      </c>
      <c r="E87" s="64">
        <v>6.33</v>
      </c>
      <c r="F87" s="64">
        <v>4.2300000000000004</v>
      </c>
      <c r="G87" s="64">
        <v>110.59</v>
      </c>
      <c r="H87" s="64">
        <v>45.5</v>
      </c>
      <c r="I87" s="64">
        <v>5.0999999999999996</v>
      </c>
      <c r="J87" s="64">
        <v>0.56000000000000005</v>
      </c>
      <c r="K87" s="64">
        <v>314.39999999999998</v>
      </c>
      <c r="L87" s="64">
        <v>24.21</v>
      </c>
      <c r="M87" s="64">
        <v>71.040000000000006</v>
      </c>
      <c r="N87" s="64">
        <v>26.1</v>
      </c>
      <c r="O87" s="64">
        <v>0</v>
      </c>
      <c r="P87" s="64">
        <v>1.63</v>
      </c>
      <c r="Q87" s="64">
        <v>9.6199999999999992</v>
      </c>
      <c r="R87" s="196"/>
      <c r="S87" s="196"/>
      <c r="T87" s="196"/>
      <c r="U87" s="196"/>
    </row>
    <row r="88" spans="1:26" s="12" customFormat="1" x14ac:dyDescent="0.25">
      <c r="A88" s="211" t="s">
        <v>420</v>
      </c>
      <c r="B88" s="64">
        <v>23.97</v>
      </c>
      <c r="C88" s="64">
        <v>20.05</v>
      </c>
      <c r="D88" s="64">
        <v>28.32</v>
      </c>
      <c r="E88" s="64">
        <v>5.52</v>
      </c>
      <c r="F88" s="64">
        <v>4.5999999999999996</v>
      </c>
      <c r="G88" s="64">
        <v>110.59</v>
      </c>
      <c r="H88" s="64">
        <v>45.5</v>
      </c>
      <c r="I88" s="64">
        <v>4.79</v>
      </c>
      <c r="J88" s="64">
        <v>0.5</v>
      </c>
      <c r="K88" s="64">
        <v>283.89</v>
      </c>
      <c r="L88" s="64">
        <v>24.03</v>
      </c>
      <c r="M88" s="64">
        <v>71.17</v>
      </c>
      <c r="N88" s="64">
        <v>25.9</v>
      </c>
      <c r="O88" s="64">
        <v>0</v>
      </c>
      <c r="P88" s="64">
        <v>1.4</v>
      </c>
      <c r="Q88" s="64">
        <v>9.6199999999999992</v>
      </c>
      <c r="R88" s="196"/>
      <c r="S88" s="196"/>
      <c r="T88" s="196"/>
      <c r="U88" s="196"/>
    </row>
    <row r="89" spans="1:26" s="12" customFormat="1" x14ac:dyDescent="0.25">
      <c r="A89" s="211" t="s">
        <v>421</v>
      </c>
      <c r="B89" s="64">
        <v>26.39</v>
      </c>
      <c r="C89" s="64">
        <v>19.850000000000001</v>
      </c>
      <c r="D89" s="64">
        <v>30.16</v>
      </c>
      <c r="E89" s="64">
        <v>6.63</v>
      </c>
      <c r="F89" s="64">
        <v>4.95</v>
      </c>
      <c r="G89" s="64">
        <v>110.59</v>
      </c>
      <c r="H89" s="64">
        <v>45.5</v>
      </c>
      <c r="I89" s="64">
        <v>6.57</v>
      </c>
      <c r="J89" s="64">
        <v>0.44</v>
      </c>
      <c r="K89" s="64">
        <v>264.5</v>
      </c>
      <c r="L89" s="64">
        <v>24.78</v>
      </c>
      <c r="M89" s="64">
        <v>65.790000000000006</v>
      </c>
      <c r="N89" s="64">
        <v>25.4</v>
      </c>
      <c r="O89" s="64">
        <v>0</v>
      </c>
      <c r="P89" s="64">
        <v>1.25</v>
      </c>
      <c r="Q89" s="64">
        <v>9.6199999999999992</v>
      </c>
      <c r="R89" s="196"/>
      <c r="S89" s="196"/>
      <c r="T89" s="196"/>
      <c r="U89" s="196"/>
    </row>
    <row r="90" spans="1:26" s="12" customFormat="1" x14ac:dyDescent="0.25">
      <c r="A90" s="211" t="s">
        <v>422</v>
      </c>
      <c r="B90" s="64">
        <v>28.2</v>
      </c>
      <c r="C90" s="64">
        <v>19.36</v>
      </c>
      <c r="D90" s="64">
        <v>31.35</v>
      </c>
      <c r="E90" s="64">
        <v>6.47</v>
      </c>
      <c r="F90" s="64">
        <v>5.28</v>
      </c>
      <c r="G90" s="64">
        <v>144.53</v>
      </c>
      <c r="H90" s="64">
        <v>78.180000000000007</v>
      </c>
      <c r="I90" s="64">
        <v>5.8</v>
      </c>
      <c r="J90" s="64">
        <v>0.54</v>
      </c>
      <c r="K90" s="64">
        <v>300.55</v>
      </c>
      <c r="L90" s="64">
        <v>24.08</v>
      </c>
      <c r="M90" s="64">
        <v>84.9</v>
      </c>
      <c r="N90" s="64">
        <v>26.2</v>
      </c>
      <c r="O90" s="64">
        <v>0</v>
      </c>
      <c r="P90" s="64">
        <v>1.74</v>
      </c>
      <c r="Q90" s="64">
        <v>9.6199999999999992</v>
      </c>
      <c r="R90" s="196"/>
      <c r="S90" s="196"/>
      <c r="T90" s="196"/>
      <c r="U90" s="196"/>
    </row>
    <row r="91" spans="1:26" s="12" customFormat="1" x14ac:dyDescent="0.25">
      <c r="A91" s="211" t="s">
        <v>423</v>
      </c>
      <c r="B91" s="64">
        <v>30.89</v>
      </c>
      <c r="C91" s="64">
        <v>18.89</v>
      </c>
      <c r="D91" s="64">
        <v>33.26</v>
      </c>
      <c r="E91" s="64">
        <v>7.33</v>
      </c>
      <c r="F91" s="64">
        <v>4.88</v>
      </c>
      <c r="G91" s="64">
        <v>165.13</v>
      </c>
      <c r="H91" s="64">
        <v>85.31</v>
      </c>
      <c r="I91" s="64">
        <v>5.64</v>
      </c>
      <c r="J91" s="64">
        <v>0.55000000000000004</v>
      </c>
      <c r="K91" s="64">
        <v>297.25</v>
      </c>
      <c r="L91" s="64">
        <v>23.64</v>
      </c>
      <c r="M91" s="64">
        <v>84.49</v>
      </c>
      <c r="N91" s="64">
        <v>26</v>
      </c>
      <c r="O91" s="64">
        <v>0</v>
      </c>
      <c r="P91" s="64">
        <v>1.18</v>
      </c>
      <c r="Q91" s="64">
        <v>9.6199999999999992</v>
      </c>
      <c r="R91" s="196"/>
      <c r="S91" s="196"/>
      <c r="T91" s="196"/>
      <c r="U91" s="196"/>
    </row>
    <row r="92" spans="1:26" s="12" customFormat="1" x14ac:dyDescent="0.25">
      <c r="A92" s="211" t="s">
        <v>424</v>
      </c>
      <c r="B92" s="64">
        <v>33.159999999999997</v>
      </c>
      <c r="C92" s="64">
        <v>18.55</v>
      </c>
      <c r="D92" s="64">
        <v>34.909999999999997</v>
      </c>
      <c r="E92" s="64">
        <v>6.87</v>
      </c>
      <c r="F92" s="64">
        <v>4.41</v>
      </c>
      <c r="G92" s="64">
        <v>165.13</v>
      </c>
      <c r="H92" s="64">
        <v>85.31</v>
      </c>
      <c r="I92" s="64">
        <v>5.98</v>
      </c>
      <c r="J92" s="64">
        <v>0.45</v>
      </c>
      <c r="K92" s="64">
        <v>263.27999999999997</v>
      </c>
      <c r="L92" s="64">
        <v>23.6</v>
      </c>
      <c r="M92" s="64">
        <v>79.03</v>
      </c>
      <c r="N92" s="64">
        <v>25.9</v>
      </c>
      <c r="O92" s="64">
        <v>0</v>
      </c>
      <c r="P92" s="64">
        <v>1.04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425</v>
      </c>
      <c r="B93" s="64">
        <v>34.85</v>
      </c>
      <c r="C93" s="64">
        <v>18.29</v>
      </c>
      <c r="D93" s="64">
        <v>36.119999999999997</v>
      </c>
      <c r="E93" s="64">
        <v>7.11</v>
      </c>
      <c r="F93" s="64">
        <v>4.6100000000000003</v>
      </c>
      <c r="G93" s="64">
        <v>165.13</v>
      </c>
      <c r="H93" s="64">
        <v>85.31</v>
      </c>
      <c r="I93" s="64">
        <v>5.35</v>
      </c>
      <c r="J93" s="64">
        <v>0.69</v>
      </c>
      <c r="K93" s="64">
        <v>331.92</v>
      </c>
      <c r="L93" s="64">
        <v>23.69</v>
      </c>
      <c r="M93" s="64">
        <v>76.650000000000006</v>
      </c>
      <c r="N93" s="64">
        <v>26.1</v>
      </c>
      <c r="O93" s="64">
        <v>0</v>
      </c>
      <c r="P93" s="64">
        <v>1.66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426</v>
      </c>
      <c r="B94" s="64">
        <v>37.950000000000003</v>
      </c>
      <c r="C94" s="64">
        <v>18.45</v>
      </c>
      <c r="D94" s="64">
        <v>38.700000000000003</v>
      </c>
      <c r="E94" s="64">
        <v>7.25</v>
      </c>
      <c r="F94" s="64">
        <v>3.86</v>
      </c>
      <c r="G94" s="64">
        <v>171.46</v>
      </c>
      <c r="H94" s="64">
        <v>85.93</v>
      </c>
      <c r="I94" s="64">
        <v>4.87</v>
      </c>
      <c r="J94" s="64">
        <v>0.4</v>
      </c>
      <c r="K94" s="64">
        <v>267.17</v>
      </c>
      <c r="L94" s="64">
        <v>23.79</v>
      </c>
      <c r="M94" s="64">
        <v>73.14</v>
      </c>
      <c r="N94" s="64">
        <v>25.7</v>
      </c>
      <c r="O94" s="64">
        <v>0</v>
      </c>
      <c r="P94" s="64">
        <v>1.1599999999999999</v>
      </c>
      <c r="Q94" s="64">
        <v>9.6300000000000008</v>
      </c>
      <c r="R94" s="196"/>
      <c r="S94" s="196"/>
      <c r="T94" s="196"/>
      <c r="U94" s="196"/>
    </row>
    <row r="95" spans="1:26" s="12" customFormat="1" x14ac:dyDescent="0.25">
      <c r="A95" s="211" t="s">
        <v>427</v>
      </c>
      <c r="B95" s="64">
        <v>39.590000000000003</v>
      </c>
      <c r="C95" s="64">
        <v>18.98</v>
      </c>
      <c r="D95" s="64">
        <v>40.29</v>
      </c>
      <c r="E95" s="64">
        <v>7.18</v>
      </c>
      <c r="F95" s="64">
        <v>4.21</v>
      </c>
      <c r="G95" s="64">
        <v>175.49</v>
      </c>
      <c r="H95" s="64">
        <v>86.07</v>
      </c>
      <c r="I95" s="64">
        <v>5.52</v>
      </c>
      <c r="J95" s="64">
        <v>0.51</v>
      </c>
      <c r="K95" s="64">
        <v>220.45</v>
      </c>
      <c r="L95" s="64">
        <v>24.34</v>
      </c>
      <c r="M95" s="64">
        <v>66.12</v>
      </c>
      <c r="N95" s="64">
        <v>25.6</v>
      </c>
      <c r="O95" s="64">
        <v>0</v>
      </c>
      <c r="P95" s="64">
        <v>0.93</v>
      </c>
      <c r="Q95" s="64">
        <v>9.61</v>
      </c>
      <c r="R95" s="196"/>
      <c r="S95" s="196"/>
      <c r="T95" s="196"/>
      <c r="U95" s="196"/>
    </row>
    <row r="96" spans="1:26" s="12" customFormat="1" x14ac:dyDescent="0.25">
      <c r="A96" s="211" t="s">
        <v>428</v>
      </c>
      <c r="B96" s="64">
        <v>37.99</v>
      </c>
      <c r="C96" s="64">
        <v>19.239999999999998</v>
      </c>
      <c r="D96" s="64">
        <v>39.14</v>
      </c>
      <c r="E96" s="64">
        <v>6.92</v>
      </c>
      <c r="F96" s="64">
        <v>4.47</v>
      </c>
      <c r="G96" s="64">
        <v>175.49</v>
      </c>
      <c r="H96" s="64">
        <v>86.07</v>
      </c>
      <c r="I96" s="64">
        <v>6.07</v>
      </c>
      <c r="J96" s="64">
        <v>0.23</v>
      </c>
      <c r="K96" s="64">
        <v>250.59</v>
      </c>
      <c r="L96" s="64">
        <v>24.5</v>
      </c>
      <c r="M96" s="64">
        <v>63.54</v>
      </c>
      <c r="N96" s="64">
        <v>25.8</v>
      </c>
      <c r="O96" s="64">
        <v>0</v>
      </c>
      <c r="P96" s="64">
        <v>0.81</v>
      </c>
      <c r="Q96" s="64">
        <v>9.61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429</v>
      </c>
      <c r="B97" s="64">
        <v>35.74</v>
      </c>
      <c r="C97" s="64">
        <v>19.47</v>
      </c>
      <c r="D97" s="64">
        <v>37.46</v>
      </c>
      <c r="E97" s="64">
        <v>6.93</v>
      </c>
      <c r="F97" s="64">
        <v>4.92</v>
      </c>
      <c r="G97" s="64">
        <v>175.49</v>
      </c>
      <c r="H97" s="64">
        <v>86.07</v>
      </c>
      <c r="I97" s="64">
        <v>4.8600000000000003</v>
      </c>
      <c r="J97" s="64">
        <v>0.56999999999999995</v>
      </c>
      <c r="K97" s="64">
        <v>195.87</v>
      </c>
      <c r="L97" s="64">
        <v>24.41</v>
      </c>
      <c r="M97" s="64">
        <v>64</v>
      </c>
      <c r="N97" s="64">
        <v>25.5</v>
      </c>
      <c r="O97" s="64">
        <v>0</v>
      </c>
      <c r="P97" s="64">
        <v>0.86</v>
      </c>
      <c r="Q97" s="64">
        <v>9.6199999999999992</v>
      </c>
      <c r="R97" s="196"/>
      <c r="S97" s="196"/>
      <c r="T97" s="196"/>
      <c r="U97" s="196"/>
    </row>
    <row r="98" spans="1:33" s="12" customFormat="1" x14ac:dyDescent="0.25">
      <c r="A98" s="211" t="s">
        <v>430</v>
      </c>
      <c r="B98" s="64">
        <v>33.14</v>
      </c>
      <c r="C98" s="64">
        <v>19.43</v>
      </c>
      <c r="D98" s="64">
        <v>35.35</v>
      </c>
      <c r="E98" s="64">
        <v>6.51</v>
      </c>
      <c r="F98" s="64">
        <v>5.0199999999999996</v>
      </c>
      <c r="G98" s="64">
        <v>146</v>
      </c>
      <c r="H98" s="64">
        <v>72.5</v>
      </c>
      <c r="I98" s="64">
        <v>4.01</v>
      </c>
      <c r="J98" s="64">
        <v>0.6</v>
      </c>
      <c r="K98" s="64">
        <v>167.47</v>
      </c>
      <c r="L98" s="64">
        <v>24.66</v>
      </c>
      <c r="M98" s="64">
        <v>62.01</v>
      </c>
      <c r="N98" s="64">
        <v>25.5</v>
      </c>
      <c r="O98" s="64">
        <v>0</v>
      </c>
      <c r="P98" s="64">
        <v>0.85</v>
      </c>
      <c r="Q98" s="64">
        <v>9.61</v>
      </c>
      <c r="R98" s="196"/>
      <c r="S98" s="196"/>
      <c r="T98" s="196"/>
      <c r="U98" s="196"/>
    </row>
    <row r="99" spans="1:33" s="12" customFormat="1" x14ac:dyDescent="0.25">
      <c r="A99" s="211" t="s">
        <v>431</v>
      </c>
      <c r="B99" s="64">
        <v>30.31</v>
      </c>
      <c r="C99" s="64">
        <v>19.22</v>
      </c>
      <c r="D99" s="64">
        <v>32.97</v>
      </c>
      <c r="E99" s="64">
        <v>6.03</v>
      </c>
      <c r="F99" s="64">
        <v>4.6100000000000003</v>
      </c>
      <c r="G99" s="64">
        <v>127.24</v>
      </c>
      <c r="H99" s="64">
        <v>69.55</v>
      </c>
      <c r="I99" s="64">
        <v>4.17</v>
      </c>
      <c r="J99" s="64">
        <v>0.6</v>
      </c>
      <c r="K99" s="64">
        <v>155.12</v>
      </c>
      <c r="L99" s="64">
        <v>24.65</v>
      </c>
      <c r="M99" s="64">
        <v>61.75</v>
      </c>
      <c r="N99" s="64">
        <v>25.7</v>
      </c>
      <c r="O99" s="64">
        <v>0</v>
      </c>
      <c r="P99" s="64">
        <v>0.9</v>
      </c>
      <c r="Q99" s="64">
        <v>9.6199999999999992</v>
      </c>
      <c r="R99" s="196"/>
      <c r="S99" s="196"/>
      <c r="T99" s="196"/>
      <c r="U99" s="196"/>
    </row>
    <row r="100" spans="1:33" s="12" customFormat="1" x14ac:dyDescent="0.25">
      <c r="A100" s="211" t="s">
        <v>432</v>
      </c>
      <c r="B100" s="64">
        <v>27.56</v>
      </c>
      <c r="C100" s="64">
        <v>19.12</v>
      </c>
      <c r="D100" s="64">
        <v>30.71</v>
      </c>
      <c r="E100" s="64">
        <v>5.88</v>
      </c>
      <c r="F100" s="64">
        <v>4.49</v>
      </c>
      <c r="G100" s="64">
        <v>127.24</v>
      </c>
      <c r="H100" s="64">
        <v>69.55</v>
      </c>
      <c r="I100" s="64">
        <v>4.93</v>
      </c>
      <c r="J100" s="64">
        <v>0.38</v>
      </c>
      <c r="K100" s="64">
        <v>161.69</v>
      </c>
      <c r="L100" s="64">
        <v>24.45</v>
      </c>
      <c r="M100" s="64">
        <v>62.42</v>
      </c>
      <c r="N100" s="64">
        <v>25.8</v>
      </c>
      <c r="O100" s="64">
        <v>0</v>
      </c>
      <c r="P100" s="64">
        <v>0.82</v>
      </c>
      <c r="Q100" s="64">
        <v>9.6199999999999992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433</v>
      </c>
      <c r="B101" s="64">
        <v>24.99</v>
      </c>
      <c r="C101" s="64">
        <v>18.940000000000001</v>
      </c>
      <c r="D101" s="64">
        <v>28.56</v>
      </c>
      <c r="E101" s="64">
        <v>5.84</v>
      </c>
      <c r="F101" s="64">
        <v>3.92</v>
      </c>
      <c r="G101" s="64">
        <v>127.24</v>
      </c>
      <c r="H101" s="64">
        <v>69.55</v>
      </c>
      <c r="I101" s="64">
        <v>5.38</v>
      </c>
      <c r="J101" s="64">
        <v>0.21</v>
      </c>
      <c r="K101" s="64">
        <v>200.46</v>
      </c>
      <c r="L101" s="64">
        <v>24.31</v>
      </c>
      <c r="M101" s="64">
        <v>62.03</v>
      </c>
      <c r="N101" s="64">
        <v>26</v>
      </c>
      <c r="O101" s="64">
        <v>0</v>
      </c>
      <c r="P101" s="64">
        <v>0.79</v>
      </c>
      <c r="Q101" s="64">
        <v>9.6300000000000008</v>
      </c>
      <c r="R101" s="196"/>
      <c r="S101" s="196"/>
      <c r="T101" s="196"/>
      <c r="U101" s="196"/>
    </row>
    <row r="102" spans="1:33" s="12" customFormat="1" x14ac:dyDescent="0.25">
      <c r="A102" s="211" t="s">
        <v>434</v>
      </c>
      <c r="B102" s="64">
        <v>22.6</v>
      </c>
      <c r="C102" s="64">
        <v>18.45</v>
      </c>
      <c r="D102" s="64">
        <v>26.38</v>
      </c>
      <c r="E102" s="64">
        <v>5.83</v>
      </c>
      <c r="F102" s="64">
        <v>3.96</v>
      </c>
      <c r="G102" s="64">
        <v>105.16</v>
      </c>
      <c r="H102" s="64">
        <v>56.15</v>
      </c>
      <c r="I102" s="64">
        <v>4.97</v>
      </c>
      <c r="J102" s="64">
        <v>0.52</v>
      </c>
      <c r="K102" s="64">
        <v>161.80000000000001</v>
      </c>
      <c r="L102" s="64">
        <v>24.29</v>
      </c>
      <c r="M102" s="64">
        <v>61.86</v>
      </c>
      <c r="N102" s="64">
        <v>25.8</v>
      </c>
      <c r="O102" s="64">
        <v>0</v>
      </c>
      <c r="P102" s="64">
        <v>0.82</v>
      </c>
      <c r="Q102" s="64">
        <v>9.6300000000000008</v>
      </c>
      <c r="R102" s="196"/>
      <c r="S102" s="196"/>
      <c r="T102" s="196"/>
      <c r="U102" s="196"/>
    </row>
    <row r="103" spans="1:33" s="12" customFormat="1" x14ac:dyDescent="0.25">
      <c r="A103" s="211" t="s">
        <v>435</v>
      </c>
      <c r="B103" s="64">
        <v>20.53</v>
      </c>
      <c r="C103" s="64">
        <v>18.04</v>
      </c>
      <c r="D103" s="64">
        <v>24.51</v>
      </c>
      <c r="E103" s="64">
        <v>5.57</v>
      </c>
      <c r="F103" s="64">
        <v>4.95</v>
      </c>
      <c r="G103" s="64">
        <v>91.75</v>
      </c>
      <c r="H103" s="64">
        <v>49.45</v>
      </c>
      <c r="I103" s="64">
        <v>5.04</v>
      </c>
      <c r="J103" s="64">
        <v>0.48</v>
      </c>
      <c r="K103" s="64">
        <v>167.7</v>
      </c>
      <c r="L103" s="64">
        <v>24</v>
      </c>
      <c r="M103" s="64">
        <v>62.2</v>
      </c>
      <c r="N103" s="64">
        <v>25.7</v>
      </c>
      <c r="O103" s="64">
        <v>0</v>
      </c>
      <c r="P103" s="64">
        <v>0.57999999999999996</v>
      </c>
      <c r="Q103" s="64">
        <v>9.6199999999999992</v>
      </c>
      <c r="R103" s="196"/>
      <c r="S103" s="196"/>
      <c r="T103" s="196"/>
      <c r="U103" s="196"/>
    </row>
    <row r="104" spans="1:33" s="12" customFormat="1" x14ac:dyDescent="0.25">
      <c r="A104" s="211" t="s">
        <v>436</v>
      </c>
      <c r="B104" s="64">
        <v>19.02</v>
      </c>
      <c r="C104" s="64">
        <v>16.329999999999998</v>
      </c>
      <c r="D104" s="64">
        <v>22.41</v>
      </c>
      <c r="E104" s="64">
        <v>5.05</v>
      </c>
      <c r="F104" s="64">
        <v>4.82</v>
      </c>
      <c r="G104" s="64">
        <v>91.75</v>
      </c>
      <c r="H104" s="64">
        <v>49.45</v>
      </c>
      <c r="I104" s="64">
        <v>4.7699999999999996</v>
      </c>
      <c r="J104" s="64">
        <v>0.64</v>
      </c>
      <c r="K104" s="64">
        <v>163.26</v>
      </c>
      <c r="L104" s="64">
        <v>24.17</v>
      </c>
      <c r="M104" s="64">
        <v>60.44</v>
      </c>
      <c r="N104" s="64">
        <v>25.7</v>
      </c>
      <c r="O104" s="64">
        <v>0</v>
      </c>
      <c r="P104" s="64">
        <v>0.55000000000000004</v>
      </c>
      <c r="Q104" s="64">
        <v>9.61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-0.12</v>
      </c>
      <c r="C106" s="67">
        <f>MIN(C9:C104)</f>
        <v>9.4499999999999993</v>
      </c>
      <c r="D106" s="67">
        <f t="shared" ref="D106:Q106" si="0">MIN(D9:D104)</f>
        <v>3.86</v>
      </c>
      <c r="E106" s="67">
        <f t="shared" si="0"/>
        <v>4.04</v>
      </c>
      <c r="F106" s="67">
        <f t="shared" si="0"/>
        <v>3.4</v>
      </c>
      <c r="G106" s="67">
        <f t="shared" si="0"/>
        <v>44.31</v>
      </c>
      <c r="H106" s="67">
        <f t="shared" si="0"/>
        <v>21.08</v>
      </c>
      <c r="I106" s="67">
        <f t="shared" si="0"/>
        <v>1.0900000000000001</v>
      </c>
      <c r="J106" s="67">
        <f t="shared" si="0"/>
        <v>0.01</v>
      </c>
      <c r="K106" s="67">
        <f t="shared" si="0"/>
        <v>0.33</v>
      </c>
      <c r="L106" s="67">
        <f t="shared" si="0"/>
        <v>20.56</v>
      </c>
      <c r="M106" s="67">
        <f t="shared" si="0"/>
        <v>38.21</v>
      </c>
      <c r="N106" s="67">
        <f t="shared" si="0"/>
        <v>25.4</v>
      </c>
      <c r="O106" s="67">
        <f t="shared" si="0"/>
        <v>0</v>
      </c>
      <c r="P106" s="67">
        <f t="shared" si="0"/>
        <v>0.35</v>
      </c>
      <c r="Q106" s="67">
        <f t="shared" si="0"/>
        <v>9.6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54.81</v>
      </c>
      <c r="C107" s="66">
        <f t="shared" ref="C107:Q107" si="1">MAX(C9:C104)</f>
        <v>21.59</v>
      </c>
      <c r="D107" s="66">
        <f t="shared" si="1"/>
        <v>48.58</v>
      </c>
      <c r="E107" s="66">
        <f t="shared" si="1"/>
        <v>7.79</v>
      </c>
      <c r="F107" s="66">
        <f t="shared" si="1"/>
        <v>9.0299999999999994</v>
      </c>
      <c r="G107" s="66">
        <f t="shared" si="1"/>
        <v>279.72000000000003</v>
      </c>
      <c r="H107" s="66">
        <f t="shared" si="1"/>
        <v>237.21</v>
      </c>
      <c r="I107" s="66">
        <f t="shared" si="1"/>
        <v>6.88</v>
      </c>
      <c r="J107" s="66">
        <f t="shared" si="1"/>
        <v>0.9</v>
      </c>
      <c r="K107" s="66">
        <f t="shared" si="1"/>
        <v>359.6</v>
      </c>
      <c r="L107" s="66">
        <f t="shared" si="1"/>
        <v>33.979999999999997</v>
      </c>
      <c r="M107" s="66">
        <f t="shared" si="1"/>
        <v>100.56</v>
      </c>
      <c r="N107" s="66">
        <f t="shared" si="1"/>
        <v>596.1</v>
      </c>
      <c r="O107" s="66">
        <f t="shared" si="1"/>
        <v>0</v>
      </c>
      <c r="P107" s="66">
        <f t="shared" si="1"/>
        <v>1.74</v>
      </c>
      <c r="Q107" s="66">
        <f t="shared" si="1"/>
        <v>9.64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19.360416666666669</v>
      </c>
      <c r="C108" s="67">
        <f t="shared" ref="C108:Q108" si="2">AVERAGE(C9:C104)</f>
        <v>13.743333333333334</v>
      </c>
      <c r="D108" s="67">
        <f t="shared" si="2"/>
        <v>21.329375000000002</v>
      </c>
      <c r="E108" s="67">
        <f t="shared" si="2"/>
        <v>5.6892708333333353</v>
      </c>
      <c r="F108" s="67">
        <f t="shared" si="2"/>
        <v>5.0896875000000001</v>
      </c>
      <c r="G108" s="67">
        <f t="shared" si="2"/>
        <v>106.36812499999995</v>
      </c>
      <c r="H108" s="67">
        <f t="shared" si="2"/>
        <v>52.44760416666665</v>
      </c>
      <c r="I108" s="67">
        <f t="shared" si="2"/>
        <v>4.9038541666666688</v>
      </c>
      <c r="J108" s="67">
        <f t="shared" si="2"/>
        <v>0.40749999999999997</v>
      </c>
      <c r="K108" s="67">
        <f t="shared" si="2"/>
        <v>233.29468749999992</v>
      </c>
      <c r="L108" s="67">
        <f t="shared" si="2"/>
        <v>26.241770833333323</v>
      </c>
      <c r="M108" s="67">
        <f t="shared" si="2"/>
        <v>64.977708333333283</v>
      </c>
      <c r="N108" s="67">
        <f t="shared" si="2"/>
        <v>154.23541666666668</v>
      </c>
      <c r="O108" s="67">
        <f t="shared" si="2"/>
        <v>0</v>
      </c>
      <c r="P108" s="67">
        <f t="shared" si="2"/>
        <v>0.82750000000000001</v>
      </c>
      <c r="Q108" s="67">
        <f t="shared" si="2"/>
        <v>9.6209375000000037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15.433372719816358</v>
      </c>
      <c r="C109" s="67">
        <f t="shared" ref="C109:Q109" si="3">STDEV(C9:C104)</f>
        <v>3.8822350227581315</v>
      </c>
      <c r="D109" s="67">
        <f t="shared" si="3"/>
        <v>12.544332653055967</v>
      </c>
      <c r="E109" s="67">
        <f t="shared" si="3"/>
        <v>1.0293505819758382</v>
      </c>
      <c r="F109" s="67">
        <f t="shared" si="3"/>
        <v>1.3073834480607249</v>
      </c>
      <c r="G109" s="67">
        <f t="shared" si="3"/>
        <v>44.356396377583131</v>
      </c>
      <c r="H109" s="67">
        <f t="shared" si="3"/>
        <v>28.04983455227655</v>
      </c>
      <c r="I109" s="67">
        <f t="shared" si="3"/>
        <v>1.35831658180392</v>
      </c>
      <c r="J109" s="67">
        <f t="shared" si="3"/>
        <v>0.20841759699421294</v>
      </c>
      <c r="K109" s="67">
        <f t="shared" si="3"/>
        <v>104.26857273864445</v>
      </c>
      <c r="L109" s="67">
        <f t="shared" si="3"/>
        <v>4.3683204034194159</v>
      </c>
      <c r="M109" s="67">
        <f t="shared" si="3"/>
        <v>20.75285849577406</v>
      </c>
      <c r="N109" s="67">
        <f t="shared" si="3"/>
        <v>194.53122816775743</v>
      </c>
      <c r="O109" s="67">
        <f t="shared" si="3"/>
        <v>0</v>
      </c>
      <c r="P109" s="67">
        <f t="shared" si="3"/>
        <v>0.27556640235207014</v>
      </c>
      <c r="Q109" s="67">
        <f t="shared" si="3"/>
        <v>8.8351123663666462E-3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437</v>
      </c>
      <c r="B9" s="64">
        <v>17.52</v>
      </c>
      <c r="C9" s="64">
        <v>15.67</v>
      </c>
      <c r="D9" s="64">
        <v>20.85</v>
      </c>
      <c r="E9" s="64">
        <v>5.09</v>
      </c>
      <c r="F9" s="64">
        <v>4.91</v>
      </c>
      <c r="G9" s="64">
        <v>91.75</v>
      </c>
      <c r="H9" s="64">
        <v>49.45</v>
      </c>
      <c r="I9" s="64">
        <v>3.34</v>
      </c>
      <c r="J9" s="64">
        <v>0.65</v>
      </c>
      <c r="K9" s="64">
        <v>151.41999999999999</v>
      </c>
      <c r="L9" s="64">
        <v>23.99</v>
      </c>
      <c r="M9" s="64">
        <v>62.52</v>
      </c>
      <c r="N9" s="64">
        <v>25.9</v>
      </c>
      <c r="O9" s="64">
        <v>0</v>
      </c>
      <c r="P9" s="64">
        <v>0.59</v>
      </c>
      <c r="Q9" s="64">
        <v>9.6300000000000008</v>
      </c>
      <c r="R9" s="196"/>
      <c r="S9" s="196"/>
      <c r="T9" s="196"/>
      <c r="U9" s="196"/>
    </row>
    <row r="10" spans="1:21" s="12" customFormat="1" x14ac:dyDescent="0.25">
      <c r="A10" s="211" t="s">
        <v>438</v>
      </c>
      <c r="B10" s="64">
        <v>16.14</v>
      </c>
      <c r="C10" s="64">
        <v>15.27</v>
      </c>
      <c r="D10" s="64">
        <v>19.54</v>
      </c>
      <c r="E10" s="64">
        <v>5.07</v>
      </c>
      <c r="F10" s="64">
        <v>5.14</v>
      </c>
      <c r="G10" s="64">
        <v>73.8</v>
      </c>
      <c r="H10" s="64">
        <v>39.68</v>
      </c>
      <c r="I10" s="64">
        <v>2.4300000000000002</v>
      </c>
      <c r="J10" s="64">
        <v>0.41</v>
      </c>
      <c r="K10" s="64">
        <v>122.17</v>
      </c>
      <c r="L10" s="64">
        <v>23.87</v>
      </c>
      <c r="M10" s="64">
        <v>63.49</v>
      </c>
      <c r="N10" s="64">
        <v>26</v>
      </c>
      <c r="O10" s="64">
        <v>0</v>
      </c>
      <c r="P10" s="64">
        <v>0.49</v>
      </c>
      <c r="Q10" s="64">
        <v>9.6199999999999992</v>
      </c>
      <c r="R10" s="196"/>
      <c r="S10" s="196"/>
      <c r="T10" s="196"/>
      <c r="U10" s="196"/>
    </row>
    <row r="11" spans="1:21" s="12" customFormat="1" x14ac:dyDescent="0.25">
      <c r="A11" s="211" t="s">
        <v>439</v>
      </c>
      <c r="B11" s="64">
        <v>14.88</v>
      </c>
      <c r="C11" s="64">
        <v>14.63</v>
      </c>
      <c r="D11" s="64">
        <v>18.2</v>
      </c>
      <c r="E11" s="64">
        <v>4.51</v>
      </c>
      <c r="F11" s="64">
        <v>4.83</v>
      </c>
      <c r="G11" s="64">
        <v>62.91</v>
      </c>
      <c r="H11" s="64">
        <v>37.549999999999997</v>
      </c>
      <c r="I11" s="64">
        <v>2.9</v>
      </c>
      <c r="J11" s="64">
        <v>0.47</v>
      </c>
      <c r="K11" s="64">
        <v>350.85</v>
      </c>
      <c r="L11" s="64">
        <v>23.64</v>
      </c>
      <c r="M11" s="64">
        <v>66.290000000000006</v>
      </c>
      <c r="N11" s="64">
        <v>26.2</v>
      </c>
      <c r="O11" s="64">
        <v>0</v>
      </c>
      <c r="P11" s="64">
        <v>0.56000000000000005</v>
      </c>
      <c r="Q11" s="64">
        <v>9.6300000000000008</v>
      </c>
      <c r="R11" s="196"/>
      <c r="S11" s="196"/>
      <c r="T11" s="196"/>
      <c r="U11" s="196"/>
    </row>
    <row r="12" spans="1:21" s="12" customFormat="1" x14ac:dyDescent="0.25">
      <c r="A12" s="211" t="s">
        <v>440</v>
      </c>
      <c r="B12" s="64">
        <v>13.78</v>
      </c>
      <c r="C12" s="64">
        <v>14.11</v>
      </c>
      <c r="D12" s="64">
        <v>17.05</v>
      </c>
      <c r="E12" s="64">
        <v>4.5</v>
      </c>
      <c r="F12" s="64">
        <v>4.1500000000000004</v>
      </c>
      <c r="G12" s="64">
        <v>62.91</v>
      </c>
      <c r="H12" s="64">
        <v>37.549999999999997</v>
      </c>
      <c r="I12" s="64">
        <v>2.52</v>
      </c>
      <c r="J12" s="64">
        <v>0.26</v>
      </c>
      <c r="K12" s="64">
        <v>340.83</v>
      </c>
      <c r="L12" s="64">
        <v>23.17</v>
      </c>
      <c r="M12" s="64">
        <v>71.650000000000006</v>
      </c>
      <c r="N12" s="64">
        <v>26.4</v>
      </c>
      <c r="O12" s="64">
        <v>0</v>
      </c>
      <c r="P12" s="64">
        <v>0.6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441</v>
      </c>
      <c r="B13" s="64">
        <v>12.76</v>
      </c>
      <c r="C13" s="64">
        <v>13.52</v>
      </c>
      <c r="D13" s="64">
        <v>15.91</v>
      </c>
      <c r="E13" s="64">
        <v>4.63</v>
      </c>
      <c r="F13" s="64">
        <v>6.36</v>
      </c>
      <c r="G13" s="64">
        <v>62.91</v>
      </c>
      <c r="H13" s="64">
        <v>37.549999999999997</v>
      </c>
      <c r="I13" s="64">
        <v>3.31</v>
      </c>
      <c r="J13" s="64">
        <v>0.36</v>
      </c>
      <c r="K13" s="64">
        <v>347.52</v>
      </c>
      <c r="L13" s="64">
        <v>22.9</v>
      </c>
      <c r="M13" s="64">
        <v>72.3</v>
      </c>
      <c r="N13" s="64">
        <v>26.2</v>
      </c>
      <c r="O13" s="64">
        <v>0</v>
      </c>
      <c r="P13" s="64">
        <v>0.6</v>
      </c>
      <c r="Q13" s="64">
        <v>9.6300000000000008</v>
      </c>
      <c r="R13" s="196"/>
      <c r="S13" s="196"/>
      <c r="T13" s="196"/>
      <c r="U13" s="196"/>
    </row>
    <row r="14" spans="1:21" s="12" customFormat="1" x14ac:dyDescent="0.25">
      <c r="A14" s="211" t="s">
        <v>442</v>
      </c>
      <c r="B14" s="64">
        <v>11.82</v>
      </c>
      <c r="C14" s="64">
        <v>13.13</v>
      </c>
      <c r="D14" s="64">
        <v>14.96</v>
      </c>
      <c r="E14" s="64">
        <v>5.1100000000000003</v>
      </c>
      <c r="F14" s="64">
        <v>5.08</v>
      </c>
      <c r="G14" s="64">
        <v>62.65</v>
      </c>
      <c r="H14" s="64">
        <v>34.04</v>
      </c>
      <c r="I14" s="64">
        <v>3.64</v>
      </c>
      <c r="J14" s="64">
        <v>0.38</v>
      </c>
      <c r="K14" s="64">
        <v>325.35000000000002</v>
      </c>
      <c r="L14" s="64">
        <v>22.54</v>
      </c>
      <c r="M14" s="64">
        <v>72.98</v>
      </c>
      <c r="N14" s="64">
        <v>26.1</v>
      </c>
      <c r="O14" s="64">
        <v>0</v>
      </c>
      <c r="P14" s="64">
        <v>0.52</v>
      </c>
      <c r="Q14" s="64">
        <v>9.6199999999999992</v>
      </c>
      <c r="R14" s="196"/>
      <c r="S14" s="196"/>
      <c r="T14" s="196"/>
      <c r="U14" s="196"/>
    </row>
    <row r="15" spans="1:21" s="12" customFormat="1" x14ac:dyDescent="0.25">
      <c r="A15" s="211" t="s">
        <v>443</v>
      </c>
      <c r="B15" s="64">
        <v>10.87</v>
      </c>
      <c r="C15" s="64">
        <v>13.47</v>
      </c>
      <c r="D15" s="64">
        <v>14.37</v>
      </c>
      <c r="E15" s="64">
        <v>4.83</v>
      </c>
      <c r="F15" s="64">
        <v>4.22</v>
      </c>
      <c r="G15" s="64">
        <v>62.5</v>
      </c>
      <c r="H15" s="64">
        <v>33.270000000000003</v>
      </c>
      <c r="I15" s="64">
        <v>3.05</v>
      </c>
      <c r="J15" s="64">
        <v>0.33</v>
      </c>
      <c r="K15" s="64">
        <v>312.01</v>
      </c>
      <c r="L15" s="64">
        <v>22.34</v>
      </c>
      <c r="M15" s="64">
        <v>74.44</v>
      </c>
      <c r="N15" s="64">
        <v>26.1</v>
      </c>
      <c r="O15" s="64">
        <v>0</v>
      </c>
      <c r="P15" s="64">
        <v>0.67</v>
      </c>
      <c r="Q15" s="64">
        <v>9.6199999999999992</v>
      </c>
      <c r="R15" s="196"/>
      <c r="S15" s="196"/>
      <c r="T15" s="196"/>
      <c r="U15" s="196"/>
    </row>
    <row r="16" spans="1:21" s="12" customFormat="1" x14ac:dyDescent="0.25">
      <c r="A16" s="211" t="s">
        <v>444</v>
      </c>
      <c r="B16" s="64">
        <v>9.67</v>
      </c>
      <c r="C16" s="64">
        <v>13.54</v>
      </c>
      <c r="D16" s="64">
        <v>13.45</v>
      </c>
      <c r="E16" s="64">
        <v>4.96</v>
      </c>
      <c r="F16" s="64">
        <v>4.3099999999999996</v>
      </c>
      <c r="G16" s="64">
        <v>62.5</v>
      </c>
      <c r="H16" s="64">
        <v>33.270000000000003</v>
      </c>
      <c r="I16" s="64">
        <v>4.0199999999999996</v>
      </c>
      <c r="J16" s="64">
        <v>0.37</v>
      </c>
      <c r="K16" s="64">
        <v>325.47000000000003</v>
      </c>
      <c r="L16" s="64">
        <v>22.3</v>
      </c>
      <c r="M16" s="64">
        <v>75.819999999999993</v>
      </c>
      <c r="N16" s="64">
        <v>26.1</v>
      </c>
      <c r="O16" s="64">
        <v>0</v>
      </c>
      <c r="P16" s="64">
        <v>0.65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445</v>
      </c>
      <c r="B17" s="64">
        <v>8.58</v>
      </c>
      <c r="C17" s="64">
        <v>13.47</v>
      </c>
      <c r="D17" s="64">
        <v>12.54</v>
      </c>
      <c r="E17" s="64">
        <v>4.95</v>
      </c>
      <c r="F17" s="64">
        <v>4.04</v>
      </c>
      <c r="G17" s="64">
        <v>62.5</v>
      </c>
      <c r="H17" s="64">
        <v>33.270000000000003</v>
      </c>
      <c r="I17" s="64">
        <v>4.97</v>
      </c>
      <c r="J17" s="64">
        <v>0.6</v>
      </c>
      <c r="K17" s="64">
        <v>338.27</v>
      </c>
      <c r="L17" s="64">
        <v>22.18</v>
      </c>
      <c r="M17" s="64">
        <v>77.12</v>
      </c>
      <c r="N17" s="64">
        <v>25.7</v>
      </c>
      <c r="O17" s="64">
        <v>0</v>
      </c>
      <c r="P17" s="64">
        <v>0.64</v>
      </c>
      <c r="Q17" s="64">
        <v>9.6199999999999992</v>
      </c>
      <c r="R17" s="196"/>
      <c r="S17" s="196"/>
      <c r="T17" s="196"/>
      <c r="U17" s="196"/>
    </row>
    <row r="18" spans="1:21" s="12" customFormat="1" x14ac:dyDescent="0.25">
      <c r="A18" s="211" t="s">
        <v>446</v>
      </c>
      <c r="B18" s="64">
        <v>7.52</v>
      </c>
      <c r="C18" s="64">
        <v>13.75</v>
      </c>
      <c r="D18" s="64">
        <v>11.83</v>
      </c>
      <c r="E18" s="64">
        <v>4.7699999999999996</v>
      </c>
      <c r="F18" s="64">
        <v>4.34</v>
      </c>
      <c r="G18" s="64">
        <v>58.6</v>
      </c>
      <c r="H18" s="64">
        <v>26.85</v>
      </c>
      <c r="I18" s="64">
        <v>4.8899999999999997</v>
      </c>
      <c r="J18" s="64">
        <v>0.26</v>
      </c>
      <c r="K18" s="64">
        <v>204.43</v>
      </c>
      <c r="L18" s="64">
        <v>22.36</v>
      </c>
      <c r="M18" s="64">
        <v>76.61</v>
      </c>
      <c r="N18" s="64">
        <v>26.1</v>
      </c>
      <c r="O18" s="64">
        <v>0</v>
      </c>
      <c r="P18" s="64">
        <v>0.56000000000000005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447</v>
      </c>
      <c r="B19" s="64">
        <v>6.72</v>
      </c>
      <c r="C19" s="64">
        <v>13.77</v>
      </c>
      <c r="D19" s="64">
        <v>11.21</v>
      </c>
      <c r="E19" s="64">
        <v>4.8600000000000003</v>
      </c>
      <c r="F19" s="64">
        <v>4.3600000000000003</v>
      </c>
      <c r="G19" s="64">
        <v>56.12</v>
      </c>
      <c r="H19" s="64">
        <v>25.45</v>
      </c>
      <c r="I19" s="64">
        <v>4.79</v>
      </c>
      <c r="J19" s="64">
        <v>0.24</v>
      </c>
      <c r="K19" s="64">
        <v>94.2</v>
      </c>
      <c r="L19" s="64">
        <v>22.56</v>
      </c>
      <c r="M19" s="64">
        <v>76.52</v>
      </c>
      <c r="N19" s="64">
        <v>26.1</v>
      </c>
      <c r="O19" s="64">
        <v>0</v>
      </c>
      <c r="P19" s="64">
        <v>0.6</v>
      </c>
      <c r="Q19" s="64">
        <v>9.6199999999999992</v>
      </c>
      <c r="R19" s="196"/>
      <c r="S19" s="196"/>
      <c r="T19" s="196"/>
      <c r="U19" s="196"/>
    </row>
    <row r="20" spans="1:21" s="12" customFormat="1" x14ac:dyDescent="0.25">
      <c r="A20" s="211" t="s">
        <v>448</v>
      </c>
      <c r="B20" s="64">
        <v>6.02</v>
      </c>
      <c r="C20" s="64">
        <v>13.25</v>
      </c>
      <c r="D20" s="64">
        <v>10.38</v>
      </c>
      <c r="E20" s="64">
        <v>4.95</v>
      </c>
      <c r="F20" s="64">
        <v>4.3499999999999996</v>
      </c>
      <c r="G20" s="64">
        <v>56.12</v>
      </c>
      <c r="H20" s="64">
        <v>25.45</v>
      </c>
      <c r="I20" s="64">
        <v>4.32</v>
      </c>
      <c r="J20" s="64">
        <v>0.27</v>
      </c>
      <c r="K20" s="64">
        <v>281.86</v>
      </c>
      <c r="L20" s="64">
        <v>22.57</v>
      </c>
      <c r="M20" s="64">
        <v>77.41</v>
      </c>
      <c r="N20" s="64">
        <v>26.1</v>
      </c>
      <c r="O20" s="64">
        <v>0</v>
      </c>
      <c r="P20" s="64">
        <v>0.56999999999999995</v>
      </c>
      <c r="Q20" s="64">
        <v>9.61</v>
      </c>
      <c r="R20" s="196"/>
      <c r="S20" s="196"/>
      <c r="T20" s="196"/>
      <c r="U20" s="196"/>
    </row>
    <row r="21" spans="1:21" s="12" customFormat="1" x14ac:dyDescent="0.25">
      <c r="A21" s="211" t="s">
        <v>449</v>
      </c>
      <c r="B21" s="64">
        <v>5.42</v>
      </c>
      <c r="C21" s="64">
        <v>13.16</v>
      </c>
      <c r="D21" s="64">
        <v>9.84</v>
      </c>
      <c r="E21" s="64">
        <v>5.0199999999999996</v>
      </c>
      <c r="F21" s="64">
        <v>4.13</v>
      </c>
      <c r="G21" s="64">
        <v>56.12</v>
      </c>
      <c r="H21" s="64">
        <v>25.45</v>
      </c>
      <c r="I21" s="64">
        <v>4.4400000000000004</v>
      </c>
      <c r="J21" s="64">
        <v>0.28999999999999998</v>
      </c>
      <c r="K21" s="64">
        <v>271.27</v>
      </c>
      <c r="L21" s="64">
        <v>22.57</v>
      </c>
      <c r="M21" s="64">
        <v>76.98</v>
      </c>
      <c r="N21" s="64">
        <v>26.5</v>
      </c>
      <c r="O21" s="64">
        <v>0</v>
      </c>
      <c r="P21" s="64">
        <v>0.62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450</v>
      </c>
      <c r="B22" s="64">
        <v>4.9000000000000004</v>
      </c>
      <c r="C22" s="64">
        <v>13.05</v>
      </c>
      <c r="D22" s="64">
        <v>9.3800000000000008</v>
      </c>
      <c r="E22" s="64">
        <v>5.71</v>
      </c>
      <c r="F22" s="64">
        <v>4.34</v>
      </c>
      <c r="G22" s="64">
        <v>65.47</v>
      </c>
      <c r="H22" s="64">
        <v>31.86</v>
      </c>
      <c r="I22" s="64">
        <v>5.2</v>
      </c>
      <c r="J22" s="64">
        <v>0.34</v>
      </c>
      <c r="K22" s="64">
        <v>275.17</v>
      </c>
      <c r="L22" s="64">
        <v>22.62</v>
      </c>
      <c r="M22" s="64">
        <v>77.08</v>
      </c>
      <c r="N22" s="64">
        <v>26.6</v>
      </c>
      <c r="O22" s="64">
        <v>0</v>
      </c>
      <c r="P22" s="64">
        <v>0.56000000000000005</v>
      </c>
      <c r="Q22" s="64">
        <v>9.64</v>
      </c>
      <c r="R22" s="196"/>
      <c r="S22" s="196"/>
      <c r="T22" s="196"/>
      <c r="U22" s="196"/>
    </row>
    <row r="23" spans="1:21" s="12" customFormat="1" x14ac:dyDescent="0.25">
      <c r="A23" s="211" t="s">
        <v>451</v>
      </c>
      <c r="B23" s="64">
        <v>4.49</v>
      </c>
      <c r="C23" s="64">
        <v>12.65</v>
      </c>
      <c r="D23" s="64">
        <v>8.83</v>
      </c>
      <c r="E23" s="64">
        <v>5.56</v>
      </c>
      <c r="F23" s="64">
        <v>4.09</v>
      </c>
      <c r="G23" s="64">
        <v>71.42</v>
      </c>
      <c r="H23" s="64">
        <v>34.26</v>
      </c>
      <c r="I23" s="64">
        <v>4.9800000000000004</v>
      </c>
      <c r="J23" s="64">
        <v>0.14000000000000001</v>
      </c>
      <c r="K23" s="64">
        <v>215.28</v>
      </c>
      <c r="L23" s="64">
        <v>22.58</v>
      </c>
      <c r="M23" s="64">
        <v>78.25</v>
      </c>
      <c r="N23" s="64">
        <v>26.1</v>
      </c>
      <c r="O23" s="64">
        <v>0</v>
      </c>
      <c r="P23" s="64">
        <v>0.59</v>
      </c>
      <c r="Q23" s="64">
        <v>9.64</v>
      </c>
      <c r="R23" s="196"/>
      <c r="S23" s="196"/>
      <c r="T23" s="196"/>
      <c r="U23" s="196"/>
    </row>
    <row r="24" spans="1:21" s="12" customFormat="1" x14ac:dyDescent="0.25">
      <c r="A24" s="211" t="s">
        <v>452</v>
      </c>
      <c r="B24" s="64">
        <v>4.22</v>
      </c>
      <c r="C24" s="64">
        <v>11.47</v>
      </c>
      <c r="D24" s="64">
        <v>7.99</v>
      </c>
      <c r="E24" s="64">
        <v>5.48</v>
      </c>
      <c r="F24" s="64">
        <v>4.5</v>
      </c>
      <c r="G24" s="64">
        <v>71.42</v>
      </c>
      <c r="H24" s="64">
        <v>34.26</v>
      </c>
      <c r="I24" s="64">
        <v>4.67</v>
      </c>
      <c r="J24" s="64">
        <v>0.16</v>
      </c>
      <c r="K24" s="64">
        <v>342.45</v>
      </c>
      <c r="L24" s="64">
        <v>22.71</v>
      </c>
      <c r="M24" s="64">
        <v>76.25</v>
      </c>
      <c r="N24" s="64">
        <v>26.2</v>
      </c>
      <c r="O24" s="64">
        <v>0</v>
      </c>
      <c r="P24" s="64">
        <v>0.57999999999999996</v>
      </c>
      <c r="Q24" s="64">
        <v>9.6300000000000008</v>
      </c>
      <c r="R24" s="196"/>
      <c r="S24" s="196"/>
      <c r="T24" s="196"/>
      <c r="U24" s="196"/>
    </row>
    <row r="25" spans="1:21" s="12" customFormat="1" x14ac:dyDescent="0.25">
      <c r="A25" s="211" t="s">
        <v>453</v>
      </c>
      <c r="B25" s="64">
        <v>4.24</v>
      </c>
      <c r="C25" s="64">
        <v>11.18</v>
      </c>
      <c r="D25" s="64">
        <v>7.86</v>
      </c>
      <c r="E25" s="64">
        <v>5.41</v>
      </c>
      <c r="F25" s="64">
        <v>4.55</v>
      </c>
      <c r="G25" s="64">
        <v>71.42</v>
      </c>
      <c r="H25" s="64">
        <v>34.26</v>
      </c>
      <c r="I25" s="64">
        <v>4.05</v>
      </c>
      <c r="J25" s="64">
        <v>0.09</v>
      </c>
      <c r="K25" s="64">
        <v>278.58</v>
      </c>
      <c r="L25" s="64">
        <v>22.75</v>
      </c>
      <c r="M25" s="64">
        <v>75.55</v>
      </c>
      <c r="N25" s="64">
        <v>26.1</v>
      </c>
      <c r="O25" s="64">
        <v>0</v>
      </c>
      <c r="P25" s="64">
        <v>0.7</v>
      </c>
      <c r="Q25" s="64">
        <v>9.6300000000000008</v>
      </c>
      <c r="R25" s="196"/>
      <c r="S25" s="196"/>
      <c r="T25" s="196"/>
      <c r="U25" s="196"/>
    </row>
    <row r="26" spans="1:21" s="12" customFormat="1" x14ac:dyDescent="0.25">
      <c r="A26" s="211" t="s">
        <v>454</v>
      </c>
      <c r="B26" s="64">
        <v>4.5</v>
      </c>
      <c r="C26" s="64">
        <v>11.5</v>
      </c>
      <c r="D26" s="64">
        <v>8.24</v>
      </c>
      <c r="E26" s="64">
        <v>5.74</v>
      </c>
      <c r="F26" s="64">
        <v>4.5</v>
      </c>
      <c r="G26" s="64">
        <v>89.85</v>
      </c>
      <c r="H26" s="64">
        <v>44.26</v>
      </c>
      <c r="I26" s="64">
        <v>3.44</v>
      </c>
      <c r="J26" s="64">
        <v>0.19</v>
      </c>
      <c r="K26" s="64">
        <v>253.56</v>
      </c>
      <c r="L26" s="64">
        <v>22.95</v>
      </c>
      <c r="M26" s="64">
        <v>73.17</v>
      </c>
      <c r="N26" s="64">
        <v>26.1</v>
      </c>
      <c r="O26" s="64">
        <v>0</v>
      </c>
      <c r="P26" s="64">
        <v>0.74</v>
      </c>
      <c r="Q26" s="64">
        <v>9.64</v>
      </c>
      <c r="R26" s="196"/>
      <c r="S26" s="196"/>
      <c r="T26" s="196"/>
      <c r="U26" s="196"/>
    </row>
    <row r="27" spans="1:21" s="12" customFormat="1" x14ac:dyDescent="0.25">
      <c r="A27" s="211" t="s">
        <v>455</v>
      </c>
      <c r="B27" s="64">
        <v>4.63</v>
      </c>
      <c r="C27" s="64">
        <v>11.8</v>
      </c>
      <c r="D27" s="64">
        <v>8.5</v>
      </c>
      <c r="E27" s="64">
        <v>5.87</v>
      </c>
      <c r="F27" s="64">
        <v>4.28</v>
      </c>
      <c r="G27" s="64">
        <v>101.58</v>
      </c>
      <c r="H27" s="64">
        <v>46.44</v>
      </c>
      <c r="I27" s="64">
        <v>3.38</v>
      </c>
      <c r="J27" s="64">
        <v>0.18</v>
      </c>
      <c r="K27" s="64">
        <v>94.27</v>
      </c>
      <c r="L27" s="64">
        <v>23.03</v>
      </c>
      <c r="M27" s="64">
        <v>75.56</v>
      </c>
      <c r="N27" s="64">
        <v>26.1</v>
      </c>
      <c r="O27" s="64">
        <v>0</v>
      </c>
      <c r="P27" s="64">
        <v>0.74</v>
      </c>
      <c r="Q27" s="64">
        <v>9.64</v>
      </c>
      <c r="R27" s="196"/>
      <c r="S27" s="196"/>
      <c r="T27" s="196"/>
      <c r="U27" s="196"/>
    </row>
    <row r="28" spans="1:21" s="12" customFormat="1" x14ac:dyDescent="0.25">
      <c r="A28" s="211" t="s">
        <v>456</v>
      </c>
      <c r="B28" s="64">
        <v>5.28</v>
      </c>
      <c r="C28" s="64">
        <v>12.01</v>
      </c>
      <c r="D28" s="64">
        <v>9.1300000000000008</v>
      </c>
      <c r="E28" s="64">
        <v>6.22</v>
      </c>
      <c r="F28" s="64">
        <v>4.3</v>
      </c>
      <c r="G28" s="64">
        <v>101.58</v>
      </c>
      <c r="H28" s="64">
        <v>46.44</v>
      </c>
      <c r="I28" s="64">
        <v>3.23</v>
      </c>
      <c r="J28" s="64">
        <v>0.2</v>
      </c>
      <c r="K28" s="64">
        <v>197.43</v>
      </c>
      <c r="L28" s="64">
        <v>23.08</v>
      </c>
      <c r="M28" s="64">
        <v>76.099999999999994</v>
      </c>
      <c r="N28" s="64">
        <v>26.1</v>
      </c>
      <c r="O28" s="64">
        <v>0</v>
      </c>
      <c r="P28" s="64">
        <v>0.7</v>
      </c>
      <c r="Q28" s="64">
        <v>9.6300000000000008</v>
      </c>
      <c r="R28" s="196"/>
      <c r="S28" s="196"/>
      <c r="T28" s="196"/>
      <c r="U28" s="196"/>
    </row>
    <row r="29" spans="1:21" s="12" customFormat="1" x14ac:dyDescent="0.25">
      <c r="A29" s="211" t="s">
        <v>457</v>
      </c>
      <c r="B29" s="64">
        <v>5.87</v>
      </c>
      <c r="C29" s="64">
        <v>11.94</v>
      </c>
      <c r="D29" s="64">
        <v>9.57</v>
      </c>
      <c r="E29" s="64">
        <v>5.9</v>
      </c>
      <c r="F29" s="64">
        <v>4.4400000000000004</v>
      </c>
      <c r="G29" s="64">
        <v>101.58</v>
      </c>
      <c r="H29" s="64">
        <v>46.44</v>
      </c>
      <c r="I29" s="64">
        <v>3.48</v>
      </c>
      <c r="J29" s="64">
        <v>0.84</v>
      </c>
      <c r="K29" s="64">
        <v>125.46</v>
      </c>
      <c r="L29" s="64">
        <v>23.13</v>
      </c>
      <c r="M29" s="64">
        <v>73.959999999999994</v>
      </c>
      <c r="N29" s="64">
        <v>26</v>
      </c>
      <c r="O29" s="64">
        <v>0</v>
      </c>
      <c r="P29" s="64">
        <v>0.64</v>
      </c>
      <c r="Q29" s="64">
        <v>9.61</v>
      </c>
      <c r="R29" s="196"/>
      <c r="S29" s="196"/>
      <c r="T29" s="196"/>
      <c r="U29" s="196"/>
    </row>
    <row r="30" spans="1:21" s="12" customFormat="1" x14ac:dyDescent="0.25">
      <c r="A30" s="211" t="s">
        <v>458</v>
      </c>
      <c r="B30" s="64">
        <v>5.91</v>
      </c>
      <c r="C30" s="64">
        <v>11.7</v>
      </c>
      <c r="D30" s="64">
        <v>9.4700000000000006</v>
      </c>
      <c r="E30" s="64">
        <v>5.76</v>
      </c>
      <c r="F30" s="64">
        <v>4.53</v>
      </c>
      <c r="G30" s="64">
        <v>115.29</v>
      </c>
      <c r="H30" s="64">
        <v>54.98</v>
      </c>
      <c r="I30" s="64">
        <v>3.19</v>
      </c>
      <c r="J30" s="64">
        <v>0.22</v>
      </c>
      <c r="K30" s="64">
        <v>42.16</v>
      </c>
      <c r="L30" s="64">
        <v>23.24</v>
      </c>
      <c r="M30" s="64">
        <v>74.709999999999994</v>
      </c>
      <c r="N30" s="64">
        <v>26.3</v>
      </c>
      <c r="O30" s="64">
        <v>0</v>
      </c>
      <c r="P30" s="64">
        <v>0.8</v>
      </c>
      <c r="Q30" s="64">
        <v>9.61</v>
      </c>
      <c r="R30" s="196"/>
      <c r="S30" s="196"/>
      <c r="T30" s="196"/>
      <c r="U30" s="196"/>
    </row>
    <row r="31" spans="1:21" s="12" customFormat="1" x14ac:dyDescent="0.25">
      <c r="A31" s="211" t="s">
        <v>459</v>
      </c>
      <c r="B31" s="64">
        <v>6.12</v>
      </c>
      <c r="C31" s="64">
        <v>11.82</v>
      </c>
      <c r="D31" s="64">
        <v>9.6999999999999993</v>
      </c>
      <c r="E31" s="64">
        <v>6.13</v>
      </c>
      <c r="F31" s="64">
        <v>3.78</v>
      </c>
      <c r="G31" s="64">
        <v>124.02</v>
      </c>
      <c r="H31" s="64">
        <v>56.85</v>
      </c>
      <c r="I31" s="64">
        <v>2.97</v>
      </c>
      <c r="J31" s="64">
        <v>0.53</v>
      </c>
      <c r="K31" s="64">
        <v>314.88</v>
      </c>
      <c r="L31" s="64">
        <v>22.99</v>
      </c>
      <c r="M31" s="64">
        <v>79.92</v>
      </c>
      <c r="N31" s="64">
        <v>26.6</v>
      </c>
      <c r="O31" s="64">
        <v>0</v>
      </c>
      <c r="P31" s="64">
        <v>0.71</v>
      </c>
      <c r="Q31" s="64">
        <v>9.6199999999999992</v>
      </c>
      <c r="R31" s="196"/>
      <c r="S31" s="196"/>
      <c r="T31" s="196"/>
      <c r="U31" s="196"/>
    </row>
    <row r="32" spans="1:21" s="12" customFormat="1" x14ac:dyDescent="0.25">
      <c r="A32" s="211" t="s">
        <v>460</v>
      </c>
      <c r="B32" s="64">
        <v>6.33</v>
      </c>
      <c r="C32" s="64">
        <v>12.46</v>
      </c>
      <c r="D32" s="64">
        <v>10.210000000000001</v>
      </c>
      <c r="E32" s="64">
        <v>6</v>
      </c>
      <c r="F32" s="64">
        <v>4.03</v>
      </c>
      <c r="G32" s="64">
        <v>124.02</v>
      </c>
      <c r="H32" s="64">
        <v>56.85</v>
      </c>
      <c r="I32" s="64">
        <v>3.18</v>
      </c>
      <c r="J32" s="64">
        <v>7.0000000000000007E-2</v>
      </c>
      <c r="K32" s="64">
        <v>61.32</v>
      </c>
      <c r="L32" s="64">
        <v>22.72</v>
      </c>
      <c r="M32" s="64">
        <v>78.78</v>
      </c>
      <c r="N32" s="64">
        <v>26.4</v>
      </c>
      <c r="O32" s="64">
        <v>0</v>
      </c>
      <c r="P32" s="64">
        <v>0.66</v>
      </c>
      <c r="Q32" s="64">
        <v>9.61</v>
      </c>
      <c r="R32" s="196"/>
      <c r="S32" s="196"/>
      <c r="T32" s="196"/>
      <c r="U32" s="196"/>
    </row>
    <row r="33" spans="1:21" s="12" customFormat="1" x14ac:dyDescent="0.25">
      <c r="A33" s="211" t="s">
        <v>461</v>
      </c>
      <c r="B33" s="64">
        <v>6.2</v>
      </c>
      <c r="C33" s="64">
        <v>12.62</v>
      </c>
      <c r="D33" s="64">
        <v>10.19</v>
      </c>
      <c r="E33" s="64">
        <v>5.84</v>
      </c>
      <c r="F33" s="64">
        <v>4.22</v>
      </c>
      <c r="G33" s="64">
        <v>124.02</v>
      </c>
      <c r="H33" s="64">
        <v>56.85</v>
      </c>
      <c r="I33" s="64">
        <v>4.95</v>
      </c>
      <c r="J33" s="64">
        <v>0.23</v>
      </c>
      <c r="K33" s="64">
        <v>273.44</v>
      </c>
      <c r="L33" s="64">
        <v>22.5</v>
      </c>
      <c r="M33" s="64">
        <v>81.61</v>
      </c>
      <c r="N33" s="64">
        <v>28.1</v>
      </c>
      <c r="O33" s="64">
        <v>0</v>
      </c>
      <c r="P33" s="64">
        <v>0.67</v>
      </c>
      <c r="Q33" s="64">
        <v>9.6199999999999992</v>
      </c>
      <c r="R33" s="196"/>
      <c r="S33" s="196"/>
      <c r="T33" s="196"/>
      <c r="U33" s="196"/>
    </row>
    <row r="34" spans="1:21" s="12" customFormat="1" x14ac:dyDescent="0.25">
      <c r="A34" s="211" t="s">
        <v>462</v>
      </c>
      <c r="B34" s="64">
        <v>6.99</v>
      </c>
      <c r="C34" s="64">
        <v>12.99</v>
      </c>
      <c r="D34" s="64">
        <v>11.01</v>
      </c>
      <c r="E34" s="64">
        <v>6.15</v>
      </c>
      <c r="F34" s="64">
        <v>4.45</v>
      </c>
      <c r="G34" s="64">
        <v>115.94</v>
      </c>
      <c r="H34" s="64">
        <v>54.73</v>
      </c>
      <c r="I34" s="64">
        <v>5.24</v>
      </c>
      <c r="J34" s="64">
        <v>0.44</v>
      </c>
      <c r="K34" s="64">
        <v>348.48</v>
      </c>
      <c r="L34" s="64">
        <v>22.49</v>
      </c>
      <c r="M34" s="64">
        <v>82.19</v>
      </c>
      <c r="N34" s="64">
        <v>33.299999999999997</v>
      </c>
      <c r="O34" s="64">
        <v>0</v>
      </c>
      <c r="P34" s="64">
        <v>0.71</v>
      </c>
      <c r="Q34" s="64">
        <v>9.6199999999999992</v>
      </c>
      <c r="R34" s="196"/>
      <c r="S34" s="196"/>
      <c r="T34" s="196"/>
      <c r="U34" s="196"/>
    </row>
    <row r="35" spans="1:21" s="12" customFormat="1" x14ac:dyDescent="0.25">
      <c r="A35" s="211" t="s">
        <v>463</v>
      </c>
      <c r="B35" s="64">
        <v>8.09</v>
      </c>
      <c r="C35" s="64">
        <v>13.51</v>
      </c>
      <c r="D35" s="64">
        <v>12.16</v>
      </c>
      <c r="E35" s="64">
        <v>6.01</v>
      </c>
      <c r="F35" s="64">
        <v>4.34</v>
      </c>
      <c r="G35" s="64">
        <v>111.04</v>
      </c>
      <c r="H35" s="64">
        <v>54.27</v>
      </c>
      <c r="I35" s="64">
        <v>5.0599999999999996</v>
      </c>
      <c r="J35" s="64">
        <v>0.16</v>
      </c>
      <c r="K35" s="64">
        <v>312.36</v>
      </c>
      <c r="L35" s="64">
        <v>22.68</v>
      </c>
      <c r="M35" s="64">
        <v>80.48</v>
      </c>
      <c r="N35" s="64">
        <v>42.2</v>
      </c>
      <c r="O35" s="64">
        <v>0</v>
      </c>
      <c r="P35" s="64">
        <v>0.71</v>
      </c>
      <c r="Q35" s="64">
        <v>9.6199999999999992</v>
      </c>
      <c r="R35" s="196"/>
      <c r="S35" s="196"/>
      <c r="T35" s="196"/>
      <c r="U35" s="196"/>
    </row>
    <row r="36" spans="1:21" s="12" customFormat="1" x14ac:dyDescent="0.25">
      <c r="A36" s="211" t="s">
        <v>464</v>
      </c>
      <c r="B36" s="64">
        <v>10.130000000000001</v>
      </c>
      <c r="C36" s="64">
        <v>13.95</v>
      </c>
      <c r="D36" s="64">
        <v>14.04</v>
      </c>
      <c r="E36" s="64">
        <v>6.03</v>
      </c>
      <c r="F36" s="64">
        <v>4.05</v>
      </c>
      <c r="G36" s="64">
        <v>111.04</v>
      </c>
      <c r="H36" s="64">
        <v>54.27</v>
      </c>
      <c r="I36" s="64">
        <v>5.3</v>
      </c>
      <c r="J36" s="64">
        <v>0.04</v>
      </c>
      <c r="K36" s="64">
        <v>39.11</v>
      </c>
      <c r="L36" s="64">
        <v>22.77</v>
      </c>
      <c r="M36" s="64">
        <v>82.89</v>
      </c>
      <c r="N36" s="64">
        <v>55.5</v>
      </c>
      <c r="O36" s="64">
        <v>0</v>
      </c>
      <c r="P36" s="64">
        <v>0.72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465</v>
      </c>
      <c r="B37" s="64">
        <v>11.14</v>
      </c>
      <c r="C37" s="64">
        <v>14.1</v>
      </c>
      <c r="D37" s="64">
        <v>14.92</v>
      </c>
      <c r="E37" s="64">
        <v>6.17</v>
      </c>
      <c r="F37" s="64">
        <v>4.3600000000000003</v>
      </c>
      <c r="G37" s="64">
        <v>111.04</v>
      </c>
      <c r="H37" s="64">
        <v>54.27</v>
      </c>
      <c r="I37" s="64">
        <v>5.35</v>
      </c>
      <c r="J37" s="64">
        <v>0.62</v>
      </c>
      <c r="K37" s="64">
        <v>97.62</v>
      </c>
      <c r="L37" s="64">
        <v>23.11</v>
      </c>
      <c r="M37" s="64">
        <v>75.650000000000006</v>
      </c>
      <c r="N37" s="64">
        <v>72.2</v>
      </c>
      <c r="O37" s="64">
        <v>0</v>
      </c>
      <c r="P37" s="64">
        <v>0.67</v>
      </c>
      <c r="Q37" s="64">
        <v>9.6300000000000008</v>
      </c>
      <c r="R37" s="196"/>
      <c r="S37" s="196"/>
      <c r="T37" s="196"/>
      <c r="U37" s="196"/>
    </row>
    <row r="38" spans="1:21" s="12" customFormat="1" x14ac:dyDescent="0.25">
      <c r="A38" s="211" t="s">
        <v>466</v>
      </c>
      <c r="B38" s="64">
        <v>11.05</v>
      </c>
      <c r="C38" s="64">
        <v>14.35</v>
      </c>
      <c r="D38" s="64">
        <v>14.98</v>
      </c>
      <c r="E38" s="64">
        <v>5.88</v>
      </c>
      <c r="F38" s="64">
        <v>4.01</v>
      </c>
      <c r="G38" s="64">
        <v>103.62</v>
      </c>
      <c r="H38" s="64">
        <v>48.49</v>
      </c>
      <c r="I38" s="64">
        <v>5.37</v>
      </c>
      <c r="J38" s="64">
        <v>0.83</v>
      </c>
      <c r="K38" s="64">
        <v>102.75</v>
      </c>
      <c r="L38" s="64">
        <v>23.18</v>
      </c>
      <c r="M38" s="64">
        <v>76.14</v>
      </c>
      <c r="N38" s="64">
        <v>91</v>
      </c>
      <c r="O38" s="64">
        <v>0</v>
      </c>
      <c r="P38" s="64">
        <v>0.66</v>
      </c>
      <c r="Q38" s="64">
        <v>9.6199999999999992</v>
      </c>
      <c r="R38" s="196"/>
      <c r="S38" s="196"/>
      <c r="T38" s="196"/>
      <c r="U38" s="196"/>
    </row>
    <row r="39" spans="1:21" s="12" customFormat="1" x14ac:dyDescent="0.25">
      <c r="A39" s="211" t="s">
        <v>467</v>
      </c>
      <c r="B39" s="64">
        <v>10.46</v>
      </c>
      <c r="C39" s="64">
        <v>14.18</v>
      </c>
      <c r="D39" s="64">
        <v>14.42</v>
      </c>
      <c r="E39" s="64">
        <v>5.85</v>
      </c>
      <c r="F39" s="64">
        <v>4.45</v>
      </c>
      <c r="G39" s="64">
        <v>99.12</v>
      </c>
      <c r="H39" s="64">
        <v>46.26</v>
      </c>
      <c r="I39" s="64">
        <v>5.34</v>
      </c>
      <c r="J39" s="64">
        <v>0.7</v>
      </c>
      <c r="K39" s="64">
        <v>119.97</v>
      </c>
      <c r="L39" s="64">
        <v>23.49</v>
      </c>
      <c r="M39" s="64">
        <v>73.290000000000006</v>
      </c>
      <c r="N39" s="64">
        <v>130.69999999999999</v>
      </c>
      <c r="O39" s="64">
        <v>0</v>
      </c>
      <c r="P39" s="64">
        <v>0.7</v>
      </c>
      <c r="Q39" s="64">
        <v>9.6199999999999992</v>
      </c>
      <c r="R39" s="196"/>
      <c r="S39" s="196"/>
      <c r="T39" s="196"/>
      <c r="U39" s="196"/>
    </row>
    <row r="40" spans="1:21" s="12" customFormat="1" x14ac:dyDescent="0.25">
      <c r="A40" s="211" t="s">
        <v>468</v>
      </c>
      <c r="B40" s="64">
        <v>9.61</v>
      </c>
      <c r="C40" s="64">
        <v>14.25</v>
      </c>
      <c r="D40" s="64">
        <v>13.77</v>
      </c>
      <c r="E40" s="64">
        <v>6.32</v>
      </c>
      <c r="F40" s="64">
        <v>4.7699999999999996</v>
      </c>
      <c r="G40" s="64">
        <v>99.12</v>
      </c>
      <c r="H40" s="64">
        <v>46.26</v>
      </c>
      <c r="I40" s="64">
        <v>4.95</v>
      </c>
      <c r="J40" s="64">
        <v>0.94</v>
      </c>
      <c r="K40" s="64">
        <v>118.62</v>
      </c>
      <c r="L40" s="64">
        <v>24.53</v>
      </c>
      <c r="M40" s="64">
        <v>69.62</v>
      </c>
      <c r="N40" s="64">
        <v>242.6</v>
      </c>
      <c r="O40" s="64">
        <v>0</v>
      </c>
      <c r="P40" s="64">
        <v>0.64</v>
      </c>
      <c r="Q40" s="64">
        <v>9.6300000000000008</v>
      </c>
      <c r="R40" s="196"/>
      <c r="S40" s="196"/>
      <c r="T40" s="196"/>
      <c r="U40" s="196"/>
    </row>
    <row r="41" spans="1:21" s="12" customFormat="1" x14ac:dyDescent="0.25">
      <c r="A41" s="211" t="s">
        <v>469</v>
      </c>
      <c r="B41" s="64">
        <v>9.11</v>
      </c>
      <c r="C41" s="64">
        <v>13.14</v>
      </c>
      <c r="D41" s="64">
        <v>12.79</v>
      </c>
      <c r="E41" s="64">
        <v>6.43</v>
      </c>
      <c r="F41" s="64">
        <v>5.45</v>
      </c>
      <c r="G41" s="64">
        <v>99.12</v>
      </c>
      <c r="H41" s="64">
        <v>46.26</v>
      </c>
      <c r="I41" s="64">
        <v>5.62</v>
      </c>
      <c r="J41" s="64">
        <v>1.22</v>
      </c>
      <c r="K41" s="64">
        <v>105.8</v>
      </c>
      <c r="L41" s="64">
        <v>25.53</v>
      </c>
      <c r="M41" s="64">
        <v>65.33</v>
      </c>
      <c r="N41" s="64">
        <v>326.39999999999998</v>
      </c>
      <c r="O41" s="64">
        <v>0</v>
      </c>
      <c r="P41" s="64">
        <v>0.6</v>
      </c>
      <c r="Q41" s="64">
        <v>9.6199999999999992</v>
      </c>
      <c r="R41" s="196"/>
      <c r="S41" s="196"/>
      <c r="T41" s="196"/>
      <c r="U41" s="196"/>
    </row>
    <row r="42" spans="1:21" s="12" customFormat="1" x14ac:dyDescent="0.25">
      <c r="A42" s="211" t="s">
        <v>470</v>
      </c>
      <c r="B42" s="64">
        <v>8.49</v>
      </c>
      <c r="C42" s="64">
        <v>12.56</v>
      </c>
      <c r="D42" s="64">
        <v>11.99</v>
      </c>
      <c r="E42" s="64">
        <v>6.13</v>
      </c>
      <c r="F42" s="64">
        <v>4.6399999999999997</v>
      </c>
      <c r="G42" s="64">
        <v>89.99</v>
      </c>
      <c r="H42" s="64">
        <v>41.8</v>
      </c>
      <c r="I42" s="64">
        <v>4.83</v>
      </c>
      <c r="J42" s="64">
        <v>1.27</v>
      </c>
      <c r="K42" s="64">
        <v>111.49</v>
      </c>
      <c r="L42" s="64">
        <v>26.08</v>
      </c>
      <c r="M42" s="64">
        <v>63.29</v>
      </c>
      <c r="N42" s="64">
        <v>356.7</v>
      </c>
      <c r="O42" s="64">
        <v>0</v>
      </c>
      <c r="P42" s="64">
        <v>0.59</v>
      </c>
      <c r="Q42" s="64">
        <v>9.61</v>
      </c>
      <c r="R42" s="196"/>
      <c r="S42" s="196"/>
      <c r="T42" s="196"/>
      <c r="U42" s="196"/>
    </row>
    <row r="43" spans="1:21" s="12" customFormat="1" x14ac:dyDescent="0.25">
      <c r="A43" s="211" t="s">
        <v>471</v>
      </c>
      <c r="B43" s="64">
        <v>7.68</v>
      </c>
      <c r="C43" s="64">
        <v>12.71</v>
      </c>
      <c r="D43" s="64">
        <v>11.43</v>
      </c>
      <c r="E43" s="64">
        <v>6.35</v>
      </c>
      <c r="F43" s="64">
        <v>4.8</v>
      </c>
      <c r="G43" s="64">
        <v>84.19</v>
      </c>
      <c r="H43" s="64">
        <v>40.83</v>
      </c>
      <c r="I43" s="64">
        <v>4.3499999999999996</v>
      </c>
      <c r="J43" s="64">
        <v>1.1399999999999999</v>
      </c>
      <c r="K43" s="64">
        <v>113.35</v>
      </c>
      <c r="L43" s="64">
        <v>26.68</v>
      </c>
      <c r="M43" s="64">
        <v>60.97</v>
      </c>
      <c r="N43" s="64">
        <v>389.5</v>
      </c>
      <c r="O43" s="64">
        <v>0</v>
      </c>
      <c r="P43" s="64">
        <v>0.62</v>
      </c>
      <c r="Q43" s="64">
        <v>9.61</v>
      </c>
      <c r="R43" s="196"/>
      <c r="S43" s="196"/>
      <c r="T43" s="196"/>
      <c r="U43" s="196"/>
    </row>
    <row r="44" spans="1:21" s="12" customFormat="1" x14ac:dyDescent="0.25">
      <c r="A44" s="211" t="s">
        <v>472</v>
      </c>
      <c r="B44" s="64">
        <v>6.94</v>
      </c>
      <c r="C44" s="64">
        <v>12.78</v>
      </c>
      <c r="D44" s="64">
        <v>10.86</v>
      </c>
      <c r="E44" s="64">
        <v>6.2</v>
      </c>
      <c r="F44" s="64">
        <v>4.72</v>
      </c>
      <c r="G44" s="64">
        <v>84.19</v>
      </c>
      <c r="H44" s="64">
        <v>40.83</v>
      </c>
      <c r="I44" s="64">
        <v>4.63</v>
      </c>
      <c r="J44" s="64">
        <v>1.26</v>
      </c>
      <c r="K44" s="64">
        <v>117.04</v>
      </c>
      <c r="L44" s="64">
        <v>27.17</v>
      </c>
      <c r="M44" s="64">
        <v>58.25</v>
      </c>
      <c r="N44" s="64">
        <v>424.2</v>
      </c>
      <c r="O44" s="64">
        <v>0</v>
      </c>
      <c r="P44" s="64">
        <v>0.61</v>
      </c>
      <c r="Q44" s="64">
        <v>9.6199999999999992</v>
      </c>
      <c r="R44" s="196"/>
      <c r="S44" s="196"/>
      <c r="T44" s="196"/>
      <c r="U44" s="196"/>
    </row>
    <row r="45" spans="1:21" s="12" customFormat="1" x14ac:dyDescent="0.25">
      <c r="A45" s="211" t="s">
        <v>473</v>
      </c>
      <c r="B45" s="64">
        <v>6.22</v>
      </c>
      <c r="C45" s="64">
        <v>12.76</v>
      </c>
      <c r="D45" s="64">
        <v>10.28</v>
      </c>
      <c r="E45" s="64">
        <v>6.72</v>
      </c>
      <c r="F45" s="64">
        <v>4.63</v>
      </c>
      <c r="G45" s="64">
        <v>84.19</v>
      </c>
      <c r="H45" s="64">
        <v>40.83</v>
      </c>
      <c r="I45" s="64">
        <v>4.9800000000000004</v>
      </c>
      <c r="J45" s="64">
        <v>1.1599999999999999</v>
      </c>
      <c r="K45" s="64">
        <v>125.46</v>
      </c>
      <c r="L45" s="64">
        <v>27.86</v>
      </c>
      <c r="M45" s="64">
        <v>55.66</v>
      </c>
      <c r="N45" s="64">
        <v>443.9</v>
      </c>
      <c r="O45" s="64">
        <v>0</v>
      </c>
      <c r="P45" s="64">
        <v>0.57999999999999996</v>
      </c>
      <c r="Q45" s="64">
        <v>9.6300000000000008</v>
      </c>
      <c r="R45" s="196"/>
      <c r="S45" s="196"/>
      <c r="T45" s="196"/>
      <c r="U45" s="196"/>
    </row>
    <row r="46" spans="1:21" s="12" customFormat="1" x14ac:dyDescent="0.25">
      <c r="A46" s="211" t="s">
        <v>474</v>
      </c>
      <c r="B46" s="64">
        <v>5.56</v>
      </c>
      <c r="C46" s="64">
        <v>12.62</v>
      </c>
      <c r="D46" s="64">
        <v>9.68</v>
      </c>
      <c r="E46" s="64">
        <v>6.49</v>
      </c>
      <c r="F46" s="64">
        <v>4.63</v>
      </c>
      <c r="G46" s="64">
        <v>86.05</v>
      </c>
      <c r="H46" s="64">
        <v>36.69</v>
      </c>
      <c r="I46" s="64">
        <v>5.01</v>
      </c>
      <c r="J46" s="64">
        <v>1.07</v>
      </c>
      <c r="K46" s="64">
        <v>121.46</v>
      </c>
      <c r="L46" s="64">
        <v>28.79</v>
      </c>
      <c r="M46" s="64">
        <v>50.89</v>
      </c>
      <c r="N46" s="64">
        <v>487.6</v>
      </c>
      <c r="O46" s="64">
        <v>0</v>
      </c>
      <c r="P46" s="64">
        <v>0.54</v>
      </c>
      <c r="Q46" s="64">
        <v>9.6199999999999992</v>
      </c>
      <c r="R46" s="196"/>
      <c r="S46" s="196"/>
      <c r="T46" s="196"/>
      <c r="U46" s="196"/>
    </row>
    <row r="47" spans="1:21" s="12" customFormat="1" x14ac:dyDescent="0.25">
      <c r="A47" s="211" t="s">
        <v>475</v>
      </c>
      <c r="B47" s="64">
        <v>4.8600000000000003</v>
      </c>
      <c r="C47" s="64">
        <v>12.46</v>
      </c>
      <c r="D47" s="64">
        <v>9.0299999999999994</v>
      </c>
      <c r="E47" s="64">
        <v>6.2</v>
      </c>
      <c r="F47" s="64">
        <v>5</v>
      </c>
      <c r="G47" s="64">
        <v>87.17</v>
      </c>
      <c r="H47" s="64">
        <v>35.79</v>
      </c>
      <c r="I47" s="64">
        <v>4.3</v>
      </c>
      <c r="J47" s="64">
        <v>0.84</v>
      </c>
      <c r="K47" s="64">
        <v>115.34</v>
      </c>
      <c r="L47" s="64">
        <v>29.09</v>
      </c>
      <c r="M47" s="64">
        <v>48.43</v>
      </c>
      <c r="N47" s="64">
        <v>508.3</v>
      </c>
      <c r="O47" s="64">
        <v>0</v>
      </c>
      <c r="P47" s="64">
        <v>0.54</v>
      </c>
      <c r="Q47" s="64">
        <v>9.6199999999999992</v>
      </c>
      <c r="R47" s="196"/>
      <c r="S47" s="196"/>
      <c r="T47" s="196"/>
      <c r="U47" s="196"/>
    </row>
    <row r="48" spans="1:21" s="12" customFormat="1" x14ac:dyDescent="0.25">
      <c r="A48" s="211" t="s">
        <v>476</v>
      </c>
      <c r="B48" s="64">
        <v>4.1100000000000003</v>
      </c>
      <c r="C48" s="64">
        <v>12.68</v>
      </c>
      <c r="D48" s="64">
        <v>8.5500000000000007</v>
      </c>
      <c r="E48" s="64">
        <v>6.4</v>
      </c>
      <c r="F48" s="64">
        <v>4.3899999999999997</v>
      </c>
      <c r="G48" s="64">
        <v>87.17</v>
      </c>
      <c r="H48" s="64">
        <v>35.79</v>
      </c>
      <c r="I48" s="64">
        <v>4.41</v>
      </c>
      <c r="J48" s="64">
        <v>0.73</v>
      </c>
      <c r="K48" s="64">
        <v>110.84</v>
      </c>
      <c r="L48" s="64">
        <v>29.83</v>
      </c>
      <c r="M48" s="64">
        <v>46.84</v>
      </c>
      <c r="N48" s="64">
        <v>534.5</v>
      </c>
      <c r="O48" s="64">
        <v>0</v>
      </c>
      <c r="P48" s="64">
        <v>0.61</v>
      </c>
      <c r="Q48" s="64">
        <v>9.6300000000000008</v>
      </c>
      <c r="R48" s="196"/>
      <c r="S48" s="196"/>
      <c r="T48" s="196"/>
      <c r="U48" s="196"/>
    </row>
    <row r="49" spans="1:21" s="12" customFormat="1" x14ac:dyDescent="0.25">
      <c r="A49" s="211" t="s">
        <v>477</v>
      </c>
      <c r="B49" s="64">
        <v>3.26</v>
      </c>
      <c r="C49" s="64">
        <v>13.17</v>
      </c>
      <c r="D49" s="64">
        <v>8.1199999999999992</v>
      </c>
      <c r="E49" s="64">
        <v>6.56</v>
      </c>
      <c r="F49" s="64">
        <v>4.88</v>
      </c>
      <c r="G49" s="64">
        <v>87.17</v>
      </c>
      <c r="H49" s="64">
        <v>35.79</v>
      </c>
      <c r="I49" s="64">
        <v>5.41</v>
      </c>
      <c r="J49" s="64">
        <v>0.69</v>
      </c>
      <c r="K49" s="64">
        <v>110.87</v>
      </c>
      <c r="L49" s="64">
        <v>29.61</v>
      </c>
      <c r="M49" s="64">
        <v>47.3</v>
      </c>
      <c r="N49" s="64">
        <v>571.70000000000005</v>
      </c>
      <c r="O49" s="64">
        <v>0</v>
      </c>
      <c r="P49" s="64">
        <v>0.59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478</v>
      </c>
      <c r="B50" s="64">
        <v>2.42</v>
      </c>
      <c r="C50" s="64">
        <v>13.72</v>
      </c>
      <c r="D50" s="64">
        <v>7.73</v>
      </c>
      <c r="E50" s="64">
        <v>6.21</v>
      </c>
      <c r="F50" s="64">
        <v>5.01</v>
      </c>
      <c r="G50" s="64">
        <v>81.260000000000005</v>
      </c>
      <c r="H50" s="64">
        <v>34.85</v>
      </c>
      <c r="I50" s="64">
        <v>6.44</v>
      </c>
      <c r="J50" s="64">
        <v>0.32</v>
      </c>
      <c r="K50" s="64">
        <v>31.52</v>
      </c>
      <c r="L50" s="64">
        <v>31.49</v>
      </c>
      <c r="M50" s="64">
        <v>42.32</v>
      </c>
      <c r="N50" s="64">
        <v>597.70000000000005</v>
      </c>
      <c r="O50" s="64">
        <v>0</v>
      </c>
      <c r="P50" s="64">
        <v>0.6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479</v>
      </c>
      <c r="B51" s="64">
        <v>1.79</v>
      </c>
      <c r="C51" s="64">
        <v>13.99</v>
      </c>
      <c r="D51" s="64">
        <v>7.37</v>
      </c>
      <c r="E51" s="64">
        <v>6.54</v>
      </c>
      <c r="F51" s="64">
        <v>4.91</v>
      </c>
      <c r="G51" s="64">
        <v>77.67</v>
      </c>
      <c r="H51" s="64">
        <v>34.64</v>
      </c>
      <c r="I51" s="64">
        <v>6.89</v>
      </c>
      <c r="J51" s="64">
        <v>0.1</v>
      </c>
      <c r="K51" s="64">
        <v>46.46</v>
      </c>
      <c r="L51" s="64">
        <v>32.32</v>
      </c>
      <c r="M51" s="64">
        <v>39.909999999999997</v>
      </c>
      <c r="N51" s="64">
        <v>605.4</v>
      </c>
      <c r="O51" s="64">
        <v>0</v>
      </c>
      <c r="P51" s="64">
        <v>0.59</v>
      </c>
      <c r="Q51" s="64">
        <v>9.6199999999999992</v>
      </c>
      <c r="R51" s="196"/>
      <c r="S51" s="196"/>
      <c r="T51" s="196"/>
      <c r="U51" s="196"/>
    </row>
    <row r="52" spans="1:21" s="12" customFormat="1" x14ac:dyDescent="0.25">
      <c r="A52" s="211" t="s">
        <v>480</v>
      </c>
      <c r="B52" s="64">
        <v>1.38</v>
      </c>
      <c r="C52" s="64">
        <v>14.58</v>
      </c>
      <c r="D52" s="64">
        <v>7.35</v>
      </c>
      <c r="E52" s="64">
        <v>6.47</v>
      </c>
      <c r="F52" s="64">
        <v>4.97</v>
      </c>
      <c r="G52" s="64">
        <v>77.67</v>
      </c>
      <c r="H52" s="64">
        <v>34.64</v>
      </c>
      <c r="I52" s="64">
        <v>6.89</v>
      </c>
      <c r="J52" s="64">
        <v>0.59</v>
      </c>
      <c r="K52" s="64">
        <v>338.67</v>
      </c>
      <c r="L52" s="64">
        <v>32.729999999999997</v>
      </c>
      <c r="M52" s="64">
        <v>38.07</v>
      </c>
      <c r="N52" s="64">
        <v>611.70000000000005</v>
      </c>
      <c r="O52" s="64">
        <v>0</v>
      </c>
      <c r="P52" s="64">
        <v>0.59</v>
      </c>
      <c r="Q52" s="64">
        <v>9.6199999999999992</v>
      </c>
      <c r="R52" s="196"/>
      <c r="S52" s="196"/>
      <c r="T52" s="196"/>
      <c r="U52" s="196"/>
    </row>
    <row r="53" spans="1:21" s="12" customFormat="1" x14ac:dyDescent="0.25">
      <c r="A53" s="211" t="s">
        <v>481</v>
      </c>
      <c r="B53" s="64">
        <v>1.29</v>
      </c>
      <c r="C53" s="64">
        <v>15.27</v>
      </c>
      <c r="D53" s="64">
        <v>7.64</v>
      </c>
      <c r="E53" s="64">
        <v>6.39</v>
      </c>
      <c r="F53" s="64">
        <v>5.65</v>
      </c>
      <c r="G53" s="64">
        <v>77.67</v>
      </c>
      <c r="H53" s="64">
        <v>34.64</v>
      </c>
      <c r="I53" s="64">
        <v>6.82</v>
      </c>
      <c r="J53" s="64">
        <v>1.0900000000000001</v>
      </c>
      <c r="K53" s="64">
        <v>335.59</v>
      </c>
      <c r="L53" s="64">
        <v>34.65</v>
      </c>
      <c r="M53" s="64">
        <v>32.81</v>
      </c>
      <c r="N53" s="64">
        <v>631.1</v>
      </c>
      <c r="O53" s="64">
        <v>0</v>
      </c>
      <c r="P53" s="64">
        <v>0.59</v>
      </c>
      <c r="Q53" s="64">
        <v>9.6199999999999992</v>
      </c>
      <c r="R53" s="196"/>
      <c r="S53" s="196"/>
      <c r="T53" s="196"/>
      <c r="U53" s="196"/>
    </row>
    <row r="54" spans="1:21" s="12" customFormat="1" x14ac:dyDescent="0.25">
      <c r="A54" s="211" t="s">
        <v>482</v>
      </c>
      <c r="B54" s="64">
        <v>1.1399999999999999</v>
      </c>
      <c r="C54" s="64">
        <v>16.22</v>
      </c>
      <c r="D54" s="64">
        <v>8.02</v>
      </c>
      <c r="E54" s="64">
        <v>6.79</v>
      </c>
      <c r="F54" s="64">
        <v>5.22</v>
      </c>
      <c r="G54" s="64">
        <v>76.400000000000006</v>
      </c>
      <c r="H54" s="64">
        <v>37.799999999999997</v>
      </c>
      <c r="I54" s="64">
        <v>6.51</v>
      </c>
      <c r="J54" s="64">
        <v>0.49</v>
      </c>
      <c r="K54" s="64">
        <v>327.48</v>
      </c>
      <c r="L54" s="64">
        <v>34.35</v>
      </c>
      <c r="M54" s="64">
        <v>34.54</v>
      </c>
      <c r="N54" s="64">
        <v>609.6</v>
      </c>
      <c r="O54" s="64">
        <v>0</v>
      </c>
      <c r="P54" s="64">
        <v>0.59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483</v>
      </c>
      <c r="B55" s="64">
        <v>0.93</v>
      </c>
      <c r="C55" s="64">
        <v>16.57</v>
      </c>
      <c r="D55" s="64">
        <v>8.0299999999999994</v>
      </c>
      <c r="E55" s="64">
        <v>6.65</v>
      </c>
      <c r="F55" s="64">
        <v>5.51</v>
      </c>
      <c r="G55" s="64">
        <v>75.63</v>
      </c>
      <c r="H55" s="64">
        <v>38.979999999999997</v>
      </c>
      <c r="I55" s="64">
        <v>6.23</v>
      </c>
      <c r="J55" s="64">
        <v>0.65</v>
      </c>
      <c r="K55" s="64">
        <v>336.47</v>
      </c>
      <c r="L55" s="64">
        <v>33.64</v>
      </c>
      <c r="M55" s="64">
        <v>35.380000000000003</v>
      </c>
      <c r="N55" s="64">
        <v>627.9</v>
      </c>
      <c r="O55" s="64">
        <v>0</v>
      </c>
      <c r="P55" s="64">
        <v>0.59</v>
      </c>
      <c r="Q55" s="64">
        <v>9.61</v>
      </c>
      <c r="R55" s="196"/>
      <c r="S55" s="196"/>
      <c r="T55" s="196"/>
      <c r="U55" s="196"/>
    </row>
    <row r="56" spans="1:21" s="12" customFormat="1" x14ac:dyDescent="0.25">
      <c r="A56" s="211" t="s">
        <v>484</v>
      </c>
      <c r="B56" s="64">
        <v>0.55000000000000004</v>
      </c>
      <c r="C56" s="64">
        <v>16.05</v>
      </c>
      <c r="D56" s="64">
        <v>7.45</v>
      </c>
      <c r="E56" s="64">
        <v>4.4400000000000004</v>
      </c>
      <c r="F56" s="64">
        <v>5.84</v>
      </c>
      <c r="G56" s="64">
        <v>75.63</v>
      </c>
      <c r="H56" s="64">
        <v>38.979999999999997</v>
      </c>
      <c r="I56" s="64">
        <v>5.93</v>
      </c>
      <c r="J56" s="64">
        <v>0.15</v>
      </c>
      <c r="K56" s="64">
        <v>133.11000000000001</v>
      </c>
      <c r="L56" s="64">
        <v>33.18</v>
      </c>
      <c r="M56" s="64">
        <v>35.520000000000003</v>
      </c>
      <c r="N56" s="64">
        <v>613.20000000000005</v>
      </c>
      <c r="O56" s="64">
        <v>0</v>
      </c>
      <c r="P56" s="64">
        <v>0.59</v>
      </c>
      <c r="Q56" s="64">
        <v>9.61</v>
      </c>
      <c r="R56" s="196"/>
      <c r="S56" s="196"/>
      <c r="T56" s="196"/>
      <c r="U56" s="196"/>
    </row>
    <row r="57" spans="1:21" s="12" customFormat="1" x14ac:dyDescent="0.25">
      <c r="A57" s="211" t="s">
        <v>485</v>
      </c>
      <c r="B57" s="64">
        <v>0.3</v>
      </c>
      <c r="C57" s="64">
        <v>14.93</v>
      </c>
      <c r="D57" s="64">
        <v>6.67</v>
      </c>
      <c r="E57" s="64">
        <v>4.8499999999999996</v>
      </c>
      <c r="F57" s="64">
        <v>6.82</v>
      </c>
      <c r="G57" s="64">
        <v>75.63</v>
      </c>
      <c r="H57" s="64">
        <v>38.979999999999997</v>
      </c>
      <c r="I57" s="64">
        <v>5.77</v>
      </c>
      <c r="J57" s="64">
        <v>0.6</v>
      </c>
      <c r="K57" s="64">
        <v>333.6</v>
      </c>
      <c r="L57" s="64">
        <v>33.21</v>
      </c>
      <c r="M57" s="64">
        <v>35.89</v>
      </c>
      <c r="N57" s="64">
        <v>602.20000000000005</v>
      </c>
      <c r="O57" s="64">
        <v>0</v>
      </c>
      <c r="P57" s="64">
        <v>0.54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486</v>
      </c>
      <c r="B58" s="64">
        <v>0.28999999999999998</v>
      </c>
      <c r="C58" s="64">
        <v>13.8</v>
      </c>
      <c r="D58" s="64">
        <v>6.07</v>
      </c>
      <c r="E58" s="64">
        <v>4.5599999999999996</v>
      </c>
      <c r="F58" s="64">
        <v>6.65</v>
      </c>
      <c r="G58" s="64">
        <v>70.790000000000006</v>
      </c>
      <c r="H58" s="64">
        <v>32.44</v>
      </c>
      <c r="I58" s="64">
        <v>5.57</v>
      </c>
      <c r="J58" s="64">
        <v>0.26</v>
      </c>
      <c r="K58" s="64">
        <v>116.6</v>
      </c>
      <c r="L58" s="64">
        <v>32.96</v>
      </c>
      <c r="M58" s="64">
        <v>36.03</v>
      </c>
      <c r="N58" s="64">
        <v>571.70000000000005</v>
      </c>
      <c r="O58" s="64">
        <v>0</v>
      </c>
      <c r="P58" s="64">
        <v>0.53</v>
      </c>
      <c r="Q58" s="64">
        <v>9.61</v>
      </c>
      <c r="R58" s="196"/>
      <c r="S58" s="196"/>
      <c r="T58" s="196"/>
      <c r="U58" s="196"/>
    </row>
    <row r="59" spans="1:21" s="12" customFormat="1" x14ac:dyDescent="0.25">
      <c r="A59" s="211" t="s">
        <v>487</v>
      </c>
      <c r="B59" s="64">
        <v>0.36</v>
      </c>
      <c r="C59" s="64">
        <v>13.27</v>
      </c>
      <c r="D59" s="64">
        <v>5.85</v>
      </c>
      <c r="E59" s="64">
        <v>4.6100000000000003</v>
      </c>
      <c r="F59" s="64">
        <v>6.88</v>
      </c>
      <c r="G59" s="64">
        <v>67.849999999999994</v>
      </c>
      <c r="H59" s="64">
        <v>31.01</v>
      </c>
      <c r="I59" s="64">
        <v>4.1100000000000003</v>
      </c>
      <c r="J59" s="64">
        <v>0.41</v>
      </c>
      <c r="K59" s="64">
        <v>347.81</v>
      </c>
      <c r="L59" s="64">
        <v>32.96</v>
      </c>
      <c r="M59" s="64">
        <v>37.270000000000003</v>
      </c>
      <c r="N59" s="64">
        <v>511.2</v>
      </c>
      <c r="O59" s="64">
        <v>0</v>
      </c>
      <c r="P59" s="64">
        <v>0.55000000000000004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488</v>
      </c>
      <c r="B60" s="64">
        <v>0.36</v>
      </c>
      <c r="C60" s="64">
        <v>12.86</v>
      </c>
      <c r="D60" s="64">
        <v>5.63</v>
      </c>
      <c r="E60" s="64">
        <v>4.55</v>
      </c>
      <c r="F60" s="64">
        <v>5.91</v>
      </c>
      <c r="G60" s="64">
        <v>67.849999999999994</v>
      </c>
      <c r="H60" s="64">
        <v>31.01</v>
      </c>
      <c r="I60" s="64">
        <v>3.25</v>
      </c>
      <c r="J60" s="64">
        <v>1.5</v>
      </c>
      <c r="K60" s="64">
        <v>134.76</v>
      </c>
      <c r="L60" s="64">
        <v>31.26</v>
      </c>
      <c r="M60" s="64">
        <v>40.96</v>
      </c>
      <c r="N60" s="64">
        <v>564.20000000000005</v>
      </c>
      <c r="O60" s="64">
        <v>0</v>
      </c>
      <c r="P60" s="64">
        <v>0.52</v>
      </c>
      <c r="Q60" s="64">
        <v>9.6300000000000008</v>
      </c>
      <c r="R60" s="196"/>
      <c r="S60" s="196"/>
      <c r="T60" s="196"/>
      <c r="U60" s="196"/>
    </row>
    <row r="61" spans="1:21" s="12" customFormat="1" x14ac:dyDescent="0.25">
      <c r="A61" s="211" t="s">
        <v>489</v>
      </c>
      <c r="B61" s="64">
        <v>0.32</v>
      </c>
      <c r="C61" s="64">
        <v>12.19</v>
      </c>
      <c r="D61" s="64">
        <v>5.25</v>
      </c>
      <c r="E61" s="64">
        <v>4.5599999999999996</v>
      </c>
      <c r="F61" s="64">
        <v>9.07</v>
      </c>
      <c r="G61" s="64">
        <v>67.849999999999994</v>
      </c>
      <c r="H61" s="64">
        <v>31.01</v>
      </c>
      <c r="I61" s="64">
        <v>3.49</v>
      </c>
      <c r="J61" s="64">
        <v>0.76</v>
      </c>
      <c r="K61" s="64">
        <v>141.85</v>
      </c>
      <c r="L61" s="64">
        <v>30.65</v>
      </c>
      <c r="M61" s="64">
        <v>41.09</v>
      </c>
      <c r="N61" s="64">
        <v>383.5</v>
      </c>
      <c r="O61" s="64">
        <v>0</v>
      </c>
      <c r="P61" s="64">
        <v>0.44</v>
      </c>
      <c r="Q61" s="64">
        <v>9.6199999999999992</v>
      </c>
      <c r="R61" s="196"/>
      <c r="S61" s="196"/>
      <c r="T61" s="196"/>
      <c r="U61" s="196"/>
    </row>
    <row r="62" spans="1:21" s="12" customFormat="1" x14ac:dyDescent="0.25">
      <c r="A62" s="211" t="s">
        <v>490</v>
      </c>
      <c r="B62" s="64">
        <v>0.28000000000000003</v>
      </c>
      <c r="C62" s="64">
        <v>11.7</v>
      </c>
      <c r="D62" s="64">
        <v>4.96</v>
      </c>
      <c r="E62" s="64">
        <v>4.5199999999999996</v>
      </c>
      <c r="F62" s="64">
        <v>6.56</v>
      </c>
      <c r="G62" s="64">
        <v>68.45</v>
      </c>
      <c r="H62" s="64">
        <v>32.21</v>
      </c>
      <c r="I62" s="64">
        <v>3.69</v>
      </c>
      <c r="J62" s="64">
        <v>1.23</v>
      </c>
      <c r="K62" s="64">
        <v>141.11000000000001</v>
      </c>
      <c r="L62" s="64">
        <v>30.09</v>
      </c>
      <c r="M62" s="64">
        <v>41.59</v>
      </c>
      <c r="N62" s="64">
        <v>192.7</v>
      </c>
      <c r="O62" s="64">
        <v>0</v>
      </c>
      <c r="P62" s="64">
        <v>0.5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491</v>
      </c>
      <c r="B63" s="64">
        <v>0.25</v>
      </c>
      <c r="C63" s="64">
        <v>11.36</v>
      </c>
      <c r="D63" s="64">
        <v>4.76</v>
      </c>
      <c r="E63" s="64">
        <v>4.87</v>
      </c>
      <c r="F63" s="64">
        <v>5.74</v>
      </c>
      <c r="G63" s="64">
        <v>68.819999999999993</v>
      </c>
      <c r="H63" s="64">
        <v>32.479999999999997</v>
      </c>
      <c r="I63" s="64">
        <v>3.15</v>
      </c>
      <c r="J63" s="64">
        <v>1.31</v>
      </c>
      <c r="K63" s="64">
        <v>121.1</v>
      </c>
      <c r="L63" s="64">
        <v>29.08</v>
      </c>
      <c r="M63" s="64">
        <v>43.82</v>
      </c>
      <c r="N63" s="64">
        <v>162.69999999999999</v>
      </c>
      <c r="O63" s="64">
        <v>0</v>
      </c>
      <c r="P63" s="64">
        <v>0.49</v>
      </c>
      <c r="Q63" s="64">
        <v>9.6199999999999992</v>
      </c>
      <c r="R63" s="196"/>
      <c r="S63" s="196"/>
      <c r="T63" s="196"/>
      <c r="U63" s="196"/>
    </row>
    <row r="64" spans="1:21" s="12" customFormat="1" x14ac:dyDescent="0.25">
      <c r="A64" s="211" t="s">
        <v>492</v>
      </c>
      <c r="B64" s="64">
        <v>0.22</v>
      </c>
      <c r="C64" s="64">
        <v>10.92</v>
      </c>
      <c r="D64" s="64">
        <v>4.51</v>
      </c>
      <c r="E64" s="64">
        <v>4.71</v>
      </c>
      <c r="F64" s="64">
        <v>8.68</v>
      </c>
      <c r="G64" s="64">
        <v>68.819999999999993</v>
      </c>
      <c r="H64" s="64">
        <v>32.479999999999997</v>
      </c>
      <c r="I64" s="64">
        <v>3.46</v>
      </c>
      <c r="J64" s="64">
        <v>0.88</v>
      </c>
      <c r="K64" s="64">
        <v>115.98</v>
      </c>
      <c r="L64" s="64">
        <v>29.14</v>
      </c>
      <c r="M64" s="64">
        <v>43.57</v>
      </c>
      <c r="N64" s="64">
        <v>189.8</v>
      </c>
      <c r="O64" s="64">
        <v>0</v>
      </c>
      <c r="P64" s="64">
        <v>0.46</v>
      </c>
      <c r="Q64" s="64">
        <v>9.61</v>
      </c>
      <c r="R64" s="196"/>
      <c r="S64" s="196"/>
      <c r="T64" s="196"/>
      <c r="U64" s="196"/>
    </row>
    <row r="65" spans="1:21" s="12" customFormat="1" x14ac:dyDescent="0.25">
      <c r="A65" s="211" t="s">
        <v>493</v>
      </c>
      <c r="B65" s="64">
        <v>0.12</v>
      </c>
      <c r="C65" s="64">
        <v>11.21</v>
      </c>
      <c r="D65" s="64">
        <v>4.57</v>
      </c>
      <c r="E65" s="64">
        <v>4.8600000000000003</v>
      </c>
      <c r="F65" s="64">
        <v>6.36</v>
      </c>
      <c r="G65" s="64">
        <v>68.819999999999993</v>
      </c>
      <c r="H65" s="64">
        <v>32.479999999999997</v>
      </c>
      <c r="I65" s="64">
        <v>3.35</v>
      </c>
      <c r="J65" s="64">
        <v>0.48</v>
      </c>
      <c r="K65" s="64">
        <v>145.15</v>
      </c>
      <c r="L65" s="64">
        <v>29.38</v>
      </c>
      <c r="M65" s="64">
        <v>43.23</v>
      </c>
      <c r="N65" s="64">
        <v>153.4</v>
      </c>
      <c r="O65" s="64">
        <v>0</v>
      </c>
      <c r="P65" s="64">
        <v>0.49</v>
      </c>
      <c r="Q65" s="64">
        <v>9.61</v>
      </c>
      <c r="R65" s="196"/>
      <c r="S65" s="196"/>
      <c r="T65" s="196"/>
      <c r="U65" s="196"/>
    </row>
    <row r="66" spans="1:21" s="12" customFormat="1" x14ac:dyDescent="0.25">
      <c r="A66" s="211" t="s">
        <v>494</v>
      </c>
      <c r="B66" s="64">
        <v>7.0000000000000007E-2</v>
      </c>
      <c r="C66" s="64">
        <v>11.37</v>
      </c>
      <c r="D66" s="64">
        <v>4.62</v>
      </c>
      <c r="E66" s="64">
        <v>5.22</v>
      </c>
      <c r="F66" s="64">
        <v>7.22</v>
      </c>
      <c r="G66" s="64">
        <v>67.540000000000006</v>
      </c>
      <c r="H66" s="64">
        <v>32.81</v>
      </c>
      <c r="I66" s="64">
        <v>4.0999999999999996</v>
      </c>
      <c r="J66" s="64">
        <v>0.51</v>
      </c>
      <c r="K66" s="64">
        <v>107.3</v>
      </c>
      <c r="L66" s="64">
        <v>29.44</v>
      </c>
      <c r="M66" s="64">
        <v>43.19</v>
      </c>
      <c r="N66" s="64">
        <v>140.4</v>
      </c>
      <c r="O66" s="64">
        <v>0</v>
      </c>
      <c r="P66" s="64">
        <v>0.46</v>
      </c>
      <c r="Q66" s="64">
        <v>9.6300000000000008</v>
      </c>
      <c r="R66" s="196"/>
      <c r="S66" s="196"/>
      <c r="T66" s="196"/>
      <c r="U66" s="196"/>
    </row>
    <row r="67" spans="1:21" s="12" customFormat="1" x14ac:dyDescent="0.25">
      <c r="A67" s="211" t="s">
        <v>495</v>
      </c>
      <c r="B67" s="64">
        <v>0.03</v>
      </c>
      <c r="C67" s="64">
        <v>11.61</v>
      </c>
      <c r="D67" s="64">
        <v>4.72</v>
      </c>
      <c r="E67" s="64">
        <v>4.8499999999999996</v>
      </c>
      <c r="F67" s="64">
        <v>6.7</v>
      </c>
      <c r="G67" s="64">
        <v>66.760000000000005</v>
      </c>
      <c r="H67" s="64">
        <v>32.89</v>
      </c>
      <c r="I67" s="64">
        <v>3.72</v>
      </c>
      <c r="J67" s="64">
        <v>0.74</v>
      </c>
      <c r="K67" s="64">
        <v>136.24</v>
      </c>
      <c r="L67" s="64">
        <v>29.38</v>
      </c>
      <c r="M67" s="64">
        <v>43.26</v>
      </c>
      <c r="N67" s="64">
        <v>125.5</v>
      </c>
      <c r="O67" s="64">
        <v>0</v>
      </c>
      <c r="P67" s="64">
        <v>0.46</v>
      </c>
      <c r="Q67" s="64">
        <v>9.6300000000000008</v>
      </c>
      <c r="R67" s="196"/>
      <c r="S67" s="196"/>
      <c r="T67" s="196"/>
      <c r="U67" s="196"/>
    </row>
    <row r="68" spans="1:21" s="12" customFormat="1" x14ac:dyDescent="0.25">
      <c r="A68" s="211" t="s">
        <v>496</v>
      </c>
      <c r="B68" s="64">
        <v>-0.05</v>
      </c>
      <c r="C68" s="64">
        <v>11.39</v>
      </c>
      <c r="D68" s="64">
        <v>4.54</v>
      </c>
      <c r="E68" s="64">
        <v>4.66</v>
      </c>
      <c r="F68" s="64">
        <v>6.58</v>
      </c>
      <c r="G68" s="64">
        <v>66.760000000000005</v>
      </c>
      <c r="H68" s="64">
        <v>32.89</v>
      </c>
      <c r="I68" s="64">
        <v>3.31</v>
      </c>
      <c r="J68" s="64">
        <v>0.68</v>
      </c>
      <c r="K68" s="64">
        <v>128.16999999999999</v>
      </c>
      <c r="L68" s="64">
        <v>28.93</v>
      </c>
      <c r="M68" s="64">
        <v>43.57</v>
      </c>
      <c r="N68" s="64">
        <v>106.6</v>
      </c>
      <c r="O68" s="64">
        <v>0</v>
      </c>
      <c r="P68" s="64">
        <v>0.44</v>
      </c>
      <c r="Q68" s="64">
        <v>9.6199999999999992</v>
      </c>
      <c r="R68" s="196"/>
      <c r="S68" s="196"/>
      <c r="T68" s="196"/>
      <c r="U68" s="196"/>
    </row>
    <row r="69" spans="1:21" s="12" customFormat="1" x14ac:dyDescent="0.25">
      <c r="A69" s="211" t="s">
        <v>497</v>
      </c>
      <c r="B69" s="64">
        <v>-0.03</v>
      </c>
      <c r="C69" s="64">
        <v>11.17</v>
      </c>
      <c r="D69" s="64">
        <v>4.43</v>
      </c>
      <c r="E69" s="64">
        <v>5</v>
      </c>
      <c r="F69" s="64">
        <v>7.26</v>
      </c>
      <c r="G69" s="64">
        <v>66.760000000000005</v>
      </c>
      <c r="H69" s="64">
        <v>32.89</v>
      </c>
      <c r="I69" s="64">
        <v>3.57</v>
      </c>
      <c r="J69" s="64">
        <v>0.33</v>
      </c>
      <c r="K69" s="64">
        <v>58.37</v>
      </c>
      <c r="L69" s="64">
        <v>28.86</v>
      </c>
      <c r="M69" s="64">
        <v>44.38</v>
      </c>
      <c r="N69" s="64">
        <v>101.1</v>
      </c>
      <c r="O69" s="64">
        <v>0</v>
      </c>
      <c r="P69" s="64">
        <v>0.5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498</v>
      </c>
      <c r="B70" s="64">
        <v>0.54</v>
      </c>
      <c r="C70" s="64">
        <v>12.44</v>
      </c>
      <c r="D70" s="64">
        <v>5.55</v>
      </c>
      <c r="E70" s="64">
        <v>4.55</v>
      </c>
      <c r="F70" s="64">
        <v>6.46</v>
      </c>
      <c r="G70" s="64">
        <v>66.58</v>
      </c>
      <c r="H70" s="64">
        <v>32.5</v>
      </c>
      <c r="I70" s="64">
        <v>2.5099999999999998</v>
      </c>
      <c r="J70" s="64">
        <v>0.88</v>
      </c>
      <c r="K70" s="64">
        <v>344.56</v>
      </c>
      <c r="L70" s="64">
        <v>29.44</v>
      </c>
      <c r="M70" s="64">
        <v>47.19</v>
      </c>
      <c r="N70" s="64">
        <v>92.4</v>
      </c>
      <c r="O70" s="64">
        <v>0</v>
      </c>
      <c r="P70" s="64">
        <v>0.68</v>
      </c>
      <c r="Q70" s="64">
        <v>9.6199999999999992</v>
      </c>
      <c r="R70" s="196"/>
      <c r="S70" s="196"/>
      <c r="T70" s="196"/>
      <c r="U70" s="196"/>
    </row>
    <row r="71" spans="1:21" s="12" customFormat="1" x14ac:dyDescent="0.25">
      <c r="A71" s="211" t="s">
        <v>499</v>
      </c>
      <c r="B71" s="64">
        <v>0.84</v>
      </c>
      <c r="C71" s="64">
        <v>14.77</v>
      </c>
      <c r="D71" s="64">
        <v>7.01</v>
      </c>
      <c r="E71" s="64">
        <v>5.0999999999999996</v>
      </c>
      <c r="F71" s="64">
        <v>5.69</v>
      </c>
      <c r="G71" s="64">
        <v>66.47</v>
      </c>
      <c r="H71" s="64">
        <v>32.340000000000003</v>
      </c>
      <c r="I71" s="64">
        <v>1.85</v>
      </c>
      <c r="J71" s="64">
        <v>0.19</v>
      </c>
      <c r="K71" s="64">
        <v>331.09</v>
      </c>
      <c r="L71" s="64">
        <v>29.07</v>
      </c>
      <c r="M71" s="64">
        <v>44.93</v>
      </c>
      <c r="N71" s="64">
        <v>75</v>
      </c>
      <c r="O71" s="64">
        <v>0</v>
      </c>
      <c r="P71" s="64">
        <v>0.66</v>
      </c>
      <c r="Q71" s="64">
        <v>9.6199999999999992</v>
      </c>
      <c r="R71" s="196"/>
      <c r="S71" s="196"/>
      <c r="T71" s="196"/>
      <c r="U71" s="196"/>
    </row>
    <row r="72" spans="1:21" s="12" customFormat="1" x14ac:dyDescent="0.25">
      <c r="A72" s="211" t="s">
        <v>500</v>
      </c>
      <c r="B72" s="64">
        <v>0.63</v>
      </c>
      <c r="C72" s="64">
        <v>15</v>
      </c>
      <c r="D72" s="64">
        <v>6.97</v>
      </c>
      <c r="E72" s="64">
        <v>5.56</v>
      </c>
      <c r="F72" s="64">
        <v>5.92</v>
      </c>
      <c r="G72" s="64">
        <v>66.47</v>
      </c>
      <c r="H72" s="64">
        <v>32.340000000000003</v>
      </c>
      <c r="I72" s="64">
        <v>2.94</v>
      </c>
      <c r="J72" s="64">
        <v>0.24</v>
      </c>
      <c r="K72" s="64">
        <v>38.33</v>
      </c>
      <c r="L72" s="64">
        <v>28.66</v>
      </c>
      <c r="M72" s="64">
        <v>43.95</v>
      </c>
      <c r="N72" s="64">
        <v>69.8</v>
      </c>
      <c r="O72" s="64">
        <v>0</v>
      </c>
      <c r="P72" s="64">
        <v>0.46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501</v>
      </c>
      <c r="B73" s="64">
        <v>0.32</v>
      </c>
      <c r="C73" s="64">
        <v>14.57</v>
      </c>
      <c r="D73" s="64">
        <v>6.5</v>
      </c>
      <c r="E73" s="64">
        <v>5.54</v>
      </c>
      <c r="F73" s="64">
        <v>6.6</v>
      </c>
      <c r="G73" s="64">
        <v>66.47</v>
      </c>
      <c r="H73" s="64">
        <v>32.340000000000003</v>
      </c>
      <c r="I73" s="64">
        <v>3.07</v>
      </c>
      <c r="J73" s="64">
        <v>0.09</v>
      </c>
      <c r="K73" s="64">
        <v>84.97</v>
      </c>
      <c r="L73" s="64">
        <v>28.47</v>
      </c>
      <c r="M73" s="64">
        <v>44.46</v>
      </c>
      <c r="N73" s="64">
        <v>64.400000000000006</v>
      </c>
      <c r="O73" s="64">
        <v>0</v>
      </c>
      <c r="P73" s="64">
        <v>0.46</v>
      </c>
      <c r="Q73" s="64">
        <v>9.61</v>
      </c>
      <c r="R73" s="196"/>
      <c r="S73" s="196"/>
      <c r="T73" s="196"/>
      <c r="U73" s="196"/>
    </row>
    <row r="74" spans="1:21" s="12" customFormat="1" x14ac:dyDescent="0.25">
      <c r="A74" s="211" t="s">
        <v>502</v>
      </c>
      <c r="B74" s="64">
        <v>0.17</v>
      </c>
      <c r="C74" s="64">
        <v>13.32</v>
      </c>
      <c r="D74" s="64">
        <v>5.72</v>
      </c>
      <c r="E74" s="64">
        <v>5.54</v>
      </c>
      <c r="F74" s="64">
        <v>8.11</v>
      </c>
      <c r="G74" s="64">
        <v>67.73</v>
      </c>
      <c r="H74" s="64">
        <v>29.9</v>
      </c>
      <c r="I74" s="64">
        <v>2.81</v>
      </c>
      <c r="J74" s="64">
        <v>0.09</v>
      </c>
      <c r="K74" s="64">
        <v>246.07</v>
      </c>
      <c r="L74" s="64">
        <v>28.39</v>
      </c>
      <c r="M74" s="64">
        <v>45.11</v>
      </c>
      <c r="N74" s="64">
        <v>59.2</v>
      </c>
      <c r="O74" s="64">
        <v>0</v>
      </c>
      <c r="P74" s="64">
        <v>0.4</v>
      </c>
      <c r="Q74" s="64">
        <v>9.61</v>
      </c>
      <c r="R74" s="196"/>
      <c r="S74" s="196"/>
      <c r="T74" s="196"/>
      <c r="U74" s="196"/>
    </row>
    <row r="75" spans="1:21" s="12" customFormat="1" x14ac:dyDescent="0.25">
      <c r="A75" s="211" t="s">
        <v>503</v>
      </c>
      <c r="B75" s="64">
        <v>0.18</v>
      </c>
      <c r="C75" s="64">
        <v>12.24</v>
      </c>
      <c r="D75" s="64">
        <v>5.16</v>
      </c>
      <c r="E75" s="64">
        <v>5.52</v>
      </c>
      <c r="F75" s="64">
        <v>6.99</v>
      </c>
      <c r="G75" s="64">
        <v>68.489999999999995</v>
      </c>
      <c r="H75" s="64">
        <v>29.37</v>
      </c>
      <c r="I75" s="64">
        <v>2</v>
      </c>
      <c r="J75" s="64">
        <v>0.46</v>
      </c>
      <c r="K75" s="64">
        <v>34.36</v>
      </c>
      <c r="L75" s="64">
        <v>28.23</v>
      </c>
      <c r="M75" s="64">
        <v>44.69</v>
      </c>
      <c r="N75" s="64">
        <v>52.3</v>
      </c>
      <c r="O75" s="64">
        <v>0</v>
      </c>
      <c r="P75" s="64">
        <v>0.42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504</v>
      </c>
      <c r="B76" s="64">
        <v>0.21</v>
      </c>
      <c r="C76" s="64">
        <v>11.66</v>
      </c>
      <c r="D76" s="64">
        <v>4.8899999999999997</v>
      </c>
      <c r="E76" s="64">
        <v>5.41</v>
      </c>
      <c r="F76" s="64">
        <v>7.69</v>
      </c>
      <c r="G76" s="64">
        <v>68.489999999999995</v>
      </c>
      <c r="H76" s="64">
        <v>29.37</v>
      </c>
      <c r="I76" s="64">
        <v>1.43</v>
      </c>
      <c r="J76" s="64">
        <v>0.42</v>
      </c>
      <c r="K76" s="64">
        <v>16</v>
      </c>
      <c r="L76" s="64">
        <v>27.57</v>
      </c>
      <c r="M76" s="64">
        <v>52.92</v>
      </c>
      <c r="N76" s="64">
        <v>45</v>
      </c>
      <c r="O76" s="64">
        <v>0</v>
      </c>
      <c r="P76" s="64">
        <v>0.4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505</v>
      </c>
      <c r="B77" s="64">
        <v>0.25</v>
      </c>
      <c r="C77" s="64">
        <v>11.16</v>
      </c>
      <c r="D77" s="64">
        <v>4.66</v>
      </c>
      <c r="E77" s="64">
        <v>5.65</v>
      </c>
      <c r="F77" s="64">
        <v>8.24</v>
      </c>
      <c r="G77" s="64">
        <v>68.489999999999995</v>
      </c>
      <c r="H77" s="64">
        <v>29.37</v>
      </c>
      <c r="I77" s="64">
        <v>1.33</v>
      </c>
      <c r="J77" s="64">
        <v>0.45</v>
      </c>
      <c r="K77" s="64">
        <v>32.49</v>
      </c>
      <c r="L77" s="64">
        <v>27.63</v>
      </c>
      <c r="M77" s="64">
        <v>45.25</v>
      </c>
      <c r="N77" s="64">
        <v>36.799999999999997</v>
      </c>
      <c r="O77" s="64">
        <v>0</v>
      </c>
      <c r="P77" s="64">
        <v>0.44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506</v>
      </c>
      <c r="B78" s="64">
        <v>0.3</v>
      </c>
      <c r="C78" s="64">
        <v>11.17</v>
      </c>
      <c r="D78" s="64">
        <v>4.71</v>
      </c>
      <c r="E78" s="64">
        <v>5.36</v>
      </c>
      <c r="F78" s="64">
        <v>7.95</v>
      </c>
      <c r="G78" s="64">
        <v>63.42</v>
      </c>
      <c r="H78" s="64">
        <v>26.33</v>
      </c>
      <c r="I78" s="64">
        <v>1.1599999999999999</v>
      </c>
      <c r="J78" s="64">
        <v>0.28999999999999998</v>
      </c>
      <c r="K78" s="64">
        <v>3.14</v>
      </c>
      <c r="L78" s="64">
        <v>27.37</v>
      </c>
      <c r="M78" s="64">
        <v>47.27</v>
      </c>
      <c r="N78" s="64">
        <v>29.4</v>
      </c>
      <c r="O78" s="64">
        <v>0</v>
      </c>
      <c r="P78" s="64">
        <v>0.79</v>
      </c>
      <c r="Q78" s="64">
        <v>9.6199999999999992</v>
      </c>
      <c r="R78" s="196"/>
      <c r="S78" s="196"/>
      <c r="T78" s="196"/>
      <c r="U78" s="196"/>
    </row>
    <row r="79" spans="1:21" s="12" customFormat="1" x14ac:dyDescent="0.25">
      <c r="A79" s="211" t="s">
        <v>507</v>
      </c>
      <c r="B79" s="64">
        <v>0.52</v>
      </c>
      <c r="C79" s="64">
        <v>12.35</v>
      </c>
      <c r="D79" s="64">
        <v>5.49</v>
      </c>
      <c r="E79" s="64">
        <v>5.35</v>
      </c>
      <c r="F79" s="64">
        <v>5.93</v>
      </c>
      <c r="G79" s="64">
        <v>60.34</v>
      </c>
      <c r="H79" s="64">
        <v>25.67</v>
      </c>
      <c r="I79" s="64">
        <v>1.49</v>
      </c>
      <c r="J79" s="64">
        <v>0.24</v>
      </c>
      <c r="K79" s="64">
        <v>272.5</v>
      </c>
      <c r="L79" s="64">
        <v>26.68</v>
      </c>
      <c r="M79" s="64">
        <v>49.75</v>
      </c>
      <c r="N79" s="64">
        <v>26.9</v>
      </c>
      <c r="O79" s="64">
        <v>0</v>
      </c>
      <c r="P79" s="64">
        <v>1.1399999999999999</v>
      </c>
      <c r="Q79" s="64">
        <v>9.6199999999999992</v>
      </c>
      <c r="R79" s="196"/>
      <c r="S79" s="196"/>
      <c r="T79" s="196"/>
      <c r="U79" s="196"/>
    </row>
    <row r="80" spans="1:21" s="12" customFormat="1" x14ac:dyDescent="0.25">
      <c r="A80" s="211" t="s">
        <v>508</v>
      </c>
      <c r="B80" s="64">
        <v>1.65</v>
      </c>
      <c r="C80" s="64">
        <v>14.4</v>
      </c>
      <c r="D80" s="64">
        <v>7.47</v>
      </c>
      <c r="E80" s="64">
        <v>5.37</v>
      </c>
      <c r="F80" s="64">
        <v>4.83</v>
      </c>
      <c r="G80" s="64">
        <v>60.34</v>
      </c>
      <c r="H80" s="64">
        <v>25.67</v>
      </c>
      <c r="I80" s="64">
        <v>2.2400000000000002</v>
      </c>
      <c r="J80" s="64">
        <v>0.2</v>
      </c>
      <c r="K80" s="64">
        <v>164.59</v>
      </c>
      <c r="L80" s="64">
        <v>25.97</v>
      </c>
      <c r="M80" s="64">
        <v>53.62</v>
      </c>
      <c r="N80" s="64">
        <v>26.5</v>
      </c>
      <c r="O80" s="64">
        <v>0</v>
      </c>
      <c r="P80" s="64">
        <v>0.96</v>
      </c>
      <c r="Q80" s="64">
        <v>9.61</v>
      </c>
      <c r="R80" s="196"/>
      <c r="S80" s="196"/>
      <c r="T80" s="196"/>
      <c r="U80" s="196"/>
    </row>
    <row r="81" spans="1:26" s="12" customFormat="1" x14ac:dyDescent="0.25">
      <c r="A81" s="211" t="s">
        <v>509</v>
      </c>
      <c r="B81" s="64">
        <v>3.8</v>
      </c>
      <c r="C81" s="64">
        <v>16.7</v>
      </c>
      <c r="D81" s="64">
        <v>10.4</v>
      </c>
      <c r="E81" s="64">
        <v>5.74</v>
      </c>
      <c r="F81" s="64">
        <v>4.12</v>
      </c>
      <c r="G81" s="64">
        <v>60.34</v>
      </c>
      <c r="H81" s="64">
        <v>25.67</v>
      </c>
      <c r="I81" s="64">
        <v>3.36</v>
      </c>
      <c r="J81" s="64">
        <v>0.53</v>
      </c>
      <c r="K81" s="64">
        <v>337.15</v>
      </c>
      <c r="L81" s="64">
        <v>25.4</v>
      </c>
      <c r="M81" s="64">
        <v>62.45</v>
      </c>
      <c r="N81" s="64">
        <v>26.4</v>
      </c>
      <c r="O81" s="64">
        <v>0</v>
      </c>
      <c r="P81" s="64">
        <v>0.9</v>
      </c>
      <c r="Q81" s="64">
        <v>9.61</v>
      </c>
      <c r="R81" s="196"/>
      <c r="S81" s="196"/>
      <c r="T81" s="196"/>
      <c r="U81" s="196"/>
    </row>
    <row r="82" spans="1:26" s="12" customFormat="1" x14ac:dyDescent="0.25">
      <c r="A82" s="211" t="s">
        <v>510</v>
      </c>
      <c r="B82" s="64">
        <v>7.65</v>
      </c>
      <c r="C82" s="64">
        <v>19.23</v>
      </c>
      <c r="D82" s="64">
        <v>14.8</v>
      </c>
      <c r="E82" s="64">
        <v>6.15</v>
      </c>
      <c r="F82" s="64">
        <v>4.0199999999999996</v>
      </c>
      <c r="G82" s="64">
        <v>70.7</v>
      </c>
      <c r="H82" s="64">
        <v>30.52</v>
      </c>
      <c r="I82" s="64">
        <v>3.72</v>
      </c>
      <c r="J82" s="64">
        <v>0.51</v>
      </c>
      <c r="K82" s="64">
        <v>286.45999999999998</v>
      </c>
      <c r="L82" s="64">
        <v>24.8</v>
      </c>
      <c r="M82" s="64">
        <v>67.13</v>
      </c>
      <c r="N82" s="64">
        <v>26.3</v>
      </c>
      <c r="O82" s="64">
        <v>0</v>
      </c>
      <c r="P82" s="64">
        <v>1.01</v>
      </c>
      <c r="Q82" s="64">
        <v>9.61</v>
      </c>
      <c r="R82" s="196"/>
      <c r="S82" s="196"/>
      <c r="T82" s="196"/>
      <c r="U82" s="196"/>
    </row>
    <row r="83" spans="1:26" s="12" customFormat="1" x14ac:dyDescent="0.25">
      <c r="A83" s="211" t="s">
        <v>511</v>
      </c>
      <c r="B83" s="64">
        <v>11.75</v>
      </c>
      <c r="C83" s="64">
        <v>21.02</v>
      </c>
      <c r="D83" s="64">
        <v>19.03</v>
      </c>
      <c r="E83" s="64">
        <v>6.56</v>
      </c>
      <c r="F83" s="64">
        <v>4.2</v>
      </c>
      <c r="G83" s="64">
        <v>76.98</v>
      </c>
      <c r="H83" s="64">
        <v>31.58</v>
      </c>
      <c r="I83" s="64">
        <v>4.8499999999999996</v>
      </c>
      <c r="J83" s="64">
        <v>0.53</v>
      </c>
      <c r="K83" s="64">
        <v>280.33</v>
      </c>
      <c r="L83" s="64">
        <v>24.48</v>
      </c>
      <c r="M83" s="64">
        <v>66.239999999999995</v>
      </c>
      <c r="N83" s="64">
        <v>26.2</v>
      </c>
      <c r="O83" s="64">
        <v>0</v>
      </c>
      <c r="P83" s="64">
        <v>1.46</v>
      </c>
      <c r="Q83" s="64">
        <v>9.61</v>
      </c>
      <c r="R83" s="196"/>
      <c r="S83" s="196"/>
      <c r="T83" s="196"/>
      <c r="U83" s="196"/>
    </row>
    <row r="84" spans="1:26" s="12" customFormat="1" x14ac:dyDescent="0.25">
      <c r="A84" s="211" t="s">
        <v>512</v>
      </c>
      <c r="B84" s="64">
        <v>18.45</v>
      </c>
      <c r="C84" s="64">
        <v>23</v>
      </c>
      <c r="D84" s="64">
        <v>25.44</v>
      </c>
      <c r="E84" s="64">
        <v>6.34</v>
      </c>
      <c r="F84" s="64">
        <v>4.16</v>
      </c>
      <c r="G84" s="64">
        <v>76.98</v>
      </c>
      <c r="H84" s="64">
        <v>31.58</v>
      </c>
      <c r="I84" s="64">
        <v>5.39</v>
      </c>
      <c r="J84" s="64">
        <v>0.45</v>
      </c>
      <c r="K84" s="64">
        <v>108.33</v>
      </c>
      <c r="L84" s="64">
        <v>24.33</v>
      </c>
      <c r="M84" s="64">
        <v>67.53</v>
      </c>
      <c r="N84" s="64">
        <v>26.1</v>
      </c>
      <c r="O84" s="64">
        <v>0</v>
      </c>
      <c r="P84" s="64">
        <v>1.1399999999999999</v>
      </c>
      <c r="Q84" s="64">
        <v>9.61</v>
      </c>
      <c r="R84" s="196"/>
      <c r="S84" s="196"/>
      <c r="T84" s="196"/>
      <c r="U84" s="196"/>
    </row>
    <row r="85" spans="1:26" s="12" customFormat="1" x14ac:dyDescent="0.25">
      <c r="A85" s="211" t="s">
        <v>513</v>
      </c>
      <c r="B85" s="64">
        <v>26.3</v>
      </c>
      <c r="C85" s="64">
        <v>24.33</v>
      </c>
      <c r="D85" s="64">
        <v>32.43</v>
      </c>
      <c r="E85" s="64">
        <v>6.69</v>
      </c>
      <c r="F85" s="64">
        <v>3.92</v>
      </c>
      <c r="G85" s="64">
        <v>76.98</v>
      </c>
      <c r="H85" s="64">
        <v>31.58</v>
      </c>
      <c r="I85" s="64">
        <v>5.83</v>
      </c>
      <c r="J85" s="64">
        <v>0.13</v>
      </c>
      <c r="K85" s="64">
        <v>338.13</v>
      </c>
      <c r="L85" s="64">
        <v>24.17</v>
      </c>
      <c r="M85" s="64">
        <v>69.790000000000006</v>
      </c>
      <c r="N85" s="64">
        <v>26.1</v>
      </c>
      <c r="O85" s="64">
        <v>0</v>
      </c>
      <c r="P85" s="64">
        <v>1.5</v>
      </c>
      <c r="Q85" s="64">
        <v>9.6300000000000008</v>
      </c>
      <c r="R85" s="196"/>
      <c r="S85" s="196"/>
      <c r="T85" s="196"/>
      <c r="U85" s="196"/>
    </row>
    <row r="86" spans="1:26" s="12" customFormat="1" x14ac:dyDescent="0.25">
      <c r="A86" s="211" t="s">
        <v>514</v>
      </c>
      <c r="B86" s="64">
        <v>32.159999999999997</v>
      </c>
      <c r="C86" s="64">
        <v>25.04</v>
      </c>
      <c r="D86" s="64">
        <v>37.5</v>
      </c>
      <c r="E86" s="64">
        <v>7.06</v>
      </c>
      <c r="F86" s="64">
        <v>4</v>
      </c>
      <c r="G86" s="64">
        <v>86.14</v>
      </c>
      <c r="H86" s="64">
        <v>32.840000000000003</v>
      </c>
      <c r="I86" s="64">
        <v>5.64</v>
      </c>
      <c r="J86" s="64">
        <v>0.52</v>
      </c>
      <c r="K86" s="64">
        <v>274.86</v>
      </c>
      <c r="L86" s="64">
        <v>23.98</v>
      </c>
      <c r="M86" s="64">
        <v>70.599999999999994</v>
      </c>
      <c r="N86" s="64">
        <v>26.1</v>
      </c>
      <c r="O86" s="64">
        <v>0</v>
      </c>
      <c r="P86" s="64">
        <v>1.31</v>
      </c>
      <c r="Q86" s="64">
        <v>9.6199999999999992</v>
      </c>
      <c r="R86" s="196"/>
      <c r="S86" s="196"/>
      <c r="T86" s="196"/>
      <c r="U86" s="196"/>
    </row>
    <row r="87" spans="1:26" s="12" customFormat="1" x14ac:dyDescent="0.25">
      <c r="A87" s="211" t="s">
        <v>515</v>
      </c>
      <c r="B87" s="64">
        <v>36.46</v>
      </c>
      <c r="C87" s="64">
        <v>25.22</v>
      </c>
      <c r="D87" s="64">
        <v>41.04</v>
      </c>
      <c r="E87" s="64">
        <v>6.76</v>
      </c>
      <c r="F87" s="64">
        <v>4.1399999999999997</v>
      </c>
      <c r="G87" s="64">
        <v>91.69</v>
      </c>
      <c r="H87" s="64">
        <v>33.33</v>
      </c>
      <c r="I87" s="64">
        <v>6.07</v>
      </c>
      <c r="J87" s="64">
        <v>0.39</v>
      </c>
      <c r="K87" s="64">
        <v>288.64</v>
      </c>
      <c r="L87" s="64">
        <v>23.94</v>
      </c>
      <c r="M87" s="64">
        <v>72.94</v>
      </c>
      <c r="N87" s="64">
        <v>26</v>
      </c>
      <c r="O87" s="64">
        <v>0</v>
      </c>
      <c r="P87" s="64">
        <v>1.3</v>
      </c>
      <c r="Q87" s="64">
        <v>9.6199999999999992</v>
      </c>
      <c r="R87" s="196"/>
      <c r="S87" s="196"/>
      <c r="T87" s="196"/>
      <c r="U87" s="196"/>
    </row>
    <row r="88" spans="1:26" s="12" customFormat="1" x14ac:dyDescent="0.25">
      <c r="A88" s="211" t="s">
        <v>516</v>
      </c>
      <c r="B88" s="64">
        <v>40.22</v>
      </c>
      <c r="C88" s="64">
        <v>24.99</v>
      </c>
      <c r="D88" s="64">
        <v>43.93</v>
      </c>
      <c r="E88" s="64">
        <v>5.36</v>
      </c>
      <c r="F88" s="64">
        <v>4.41</v>
      </c>
      <c r="G88" s="64">
        <v>91.69</v>
      </c>
      <c r="H88" s="64">
        <v>33.33</v>
      </c>
      <c r="I88" s="64">
        <v>6.62</v>
      </c>
      <c r="J88" s="64">
        <v>0.01</v>
      </c>
      <c r="K88" s="64">
        <v>239.62</v>
      </c>
      <c r="L88" s="64">
        <v>23.85</v>
      </c>
      <c r="M88" s="64">
        <v>71.08</v>
      </c>
      <c r="N88" s="64">
        <v>25.9</v>
      </c>
      <c r="O88" s="64">
        <v>0</v>
      </c>
      <c r="P88" s="64">
        <v>1.19</v>
      </c>
      <c r="Q88" s="64">
        <v>9.6</v>
      </c>
      <c r="R88" s="196"/>
      <c r="S88" s="196"/>
      <c r="T88" s="196"/>
      <c r="U88" s="196"/>
    </row>
    <row r="89" spans="1:26" s="12" customFormat="1" x14ac:dyDescent="0.25">
      <c r="A89" s="211" t="s">
        <v>517</v>
      </c>
      <c r="B89" s="64">
        <v>41.51</v>
      </c>
      <c r="C89" s="64">
        <v>24.69</v>
      </c>
      <c r="D89" s="64">
        <v>44.81</v>
      </c>
      <c r="E89" s="64">
        <v>6.71</v>
      </c>
      <c r="F89" s="64">
        <v>4.84</v>
      </c>
      <c r="G89" s="64">
        <v>91.69</v>
      </c>
      <c r="H89" s="64">
        <v>33.33</v>
      </c>
      <c r="I89" s="64">
        <v>6.35</v>
      </c>
      <c r="J89" s="64">
        <v>0.46</v>
      </c>
      <c r="K89" s="64">
        <v>266.83</v>
      </c>
      <c r="L89" s="64">
        <v>24.13</v>
      </c>
      <c r="M89" s="64">
        <v>68.180000000000007</v>
      </c>
      <c r="N89" s="64">
        <v>25.6</v>
      </c>
      <c r="O89" s="64">
        <v>0</v>
      </c>
      <c r="P89" s="64">
        <v>1.18</v>
      </c>
      <c r="Q89" s="64">
        <v>9.6</v>
      </c>
      <c r="R89" s="196"/>
      <c r="S89" s="196"/>
      <c r="T89" s="196"/>
      <c r="U89" s="196"/>
    </row>
    <row r="90" spans="1:26" s="12" customFormat="1" x14ac:dyDescent="0.25">
      <c r="A90" s="211" t="s">
        <v>518</v>
      </c>
      <c r="B90" s="64">
        <v>42.91</v>
      </c>
      <c r="C90" s="64">
        <v>24.3</v>
      </c>
      <c r="D90" s="64">
        <v>45.73</v>
      </c>
      <c r="E90" s="64">
        <v>6.52</v>
      </c>
      <c r="F90" s="64">
        <v>4.33</v>
      </c>
      <c r="G90" s="64">
        <v>101.72</v>
      </c>
      <c r="H90" s="64">
        <v>23.76</v>
      </c>
      <c r="I90" s="64">
        <v>5.92</v>
      </c>
      <c r="J90" s="64">
        <v>0.51</v>
      </c>
      <c r="K90" s="64">
        <v>322.75</v>
      </c>
      <c r="L90" s="64">
        <v>23.94</v>
      </c>
      <c r="M90" s="64">
        <v>73.98</v>
      </c>
      <c r="N90" s="64">
        <v>26.2</v>
      </c>
      <c r="O90" s="64">
        <v>0</v>
      </c>
      <c r="P90" s="64">
        <v>1.3</v>
      </c>
      <c r="Q90" s="64">
        <v>9.61</v>
      </c>
      <c r="R90" s="196"/>
      <c r="S90" s="196"/>
      <c r="T90" s="196"/>
      <c r="U90" s="196"/>
    </row>
    <row r="91" spans="1:26" s="12" customFormat="1" x14ac:dyDescent="0.25">
      <c r="A91" s="211" t="s">
        <v>519</v>
      </c>
      <c r="B91" s="64">
        <v>44.77</v>
      </c>
      <c r="C91" s="64">
        <v>22.23</v>
      </c>
      <c r="D91" s="64">
        <v>46.14</v>
      </c>
      <c r="E91" s="64">
        <v>6.21</v>
      </c>
      <c r="F91" s="64">
        <v>5.15</v>
      </c>
      <c r="G91" s="64">
        <v>107.8</v>
      </c>
      <c r="H91" s="64">
        <v>21.67</v>
      </c>
      <c r="I91" s="64">
        <v>7.48</v>
      </c>
      <c r="J91" s="64">
        <v>0.41</v>
      </c>
      <c r="K91" s="64">
        <v>318.3</v>
      </c>
      <c r="L91" s="64">
        <v>23.6</v>
      </c>
      <c r="M91" s="64">
        <v>72.05</v>
      </c>
      <c r="N91" s="64">
        <v>26</v>
      </c>
      <c r="O91" s="64">
        <v>0</v>
      </c>
      <c r="P91" s="64">
        <v>1.57</v>
      </c>
      <c r="Q91" s="64">
        <v>9.6199999999999992</v>
      </c>
      <c r="R91" s="196"/>
      <c r="S91" s="196"/>
      <c r="T91" s="196"/>
      <c r="U91" s="196"/>
    </row>
    <row r="92" spans="1:26" s="12" customFormat="1" x14ac:dyDescent="0.25">
      <c r="A92" s="211" t="s">
        <v>520</v>
      </c>
      <c r="B92" s="64">
        <v>46.8</v>
      </c>
      <c r="C92" s="64">
        <v>21.35</v>
      </c>
      <c r="D92" s="64">
        <v>47.31</v>
      </c>
      <c r="E92" s="64">
        <v>6.59</v>
      </c>
      <c r="F92" s="64">
        <v>4.47</v>
      </c>
      <c r="G92" s="64">
        <v>107.8</v>
      </c>
      <c r="H92" s="64">
        <v>21.67</v>
      </c>
      <c r="I92" s="64">
        <v>7.5</v>
      </c>
      <c r="J92" s="64">
        <v>0.56999999999999995</v>
      </c>
      <c r="K92" s="64">
        <v>313.95</v>
      </c>
      <c r="L92" s="64">
        <v>23.41</v>
      </c>
      <c r="M92" s="64">
        <v>77.69</v>
      </c>
      <c r="N92" s="64">
        <v>26.1</v>
      </c>
      <c r="O92" s="64">
        <v>0</v>
      </c>
      <c r="P92" s="64">
        <v>1.85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521</v>
      </c>
      <c r="B93" s="64">
        <v>48.61</v>
      </c>
      <c r="C93" s="64">
        <v>20.92</v>
      </c>
      <c r="D93" s="64">
        <v>48.53</v>
      </c>
      <c r="E93" s="64">
        <v>6.19</v>
      </c>
      <c r="F93" s="64">
        <v>4.4000000000000004</v>
      </c>
      <c r="G93" s="64">
        <v>107.8</v>
      </c>
      <c r="H93" s="64">
        <v>21.67</v>
      </c>
      <c r="I93" s="64">
        <v>8.19</v>
      </c>
      <c r="J93" s="64">
        <v>0.46</v>
      </c>
      <c r="K93" s="64">
        <v>321.81</v>
      </c>
      <c r="L93" s="64">
        <v>23.08</v>
      </c>
      <c r="M93" s="64">
        <v>80.540000000000006</v>
      </c>
      <c r="N93" s="64">
        <v>26.1</v>
      </c>
      <c r="O93" s="64">
        <v>0</v>
      </c>
      <c r="P93" s="64">
        <v>1.78</v>
      </c>
      <c r="Q93" s="64">
        <v>9.64</v>
      </c>
      <c r="R93" s="196"/>
      <c r="S93" s="196"/>
      <c r="T93" s="196"/>
      <c r="U93" s="196"/>
    </row>
    <row r="94" spans="1:26" s="12" customFormat="1" x14ac:dyDescent="0.25">
      <c r="A94" s="211" t="s">
        <v>522</v>
      </c>
      <c r="B94" s="64">
        <v>48.94</v>
      </c>
      <c r="C94" s="64">
        <v>20.34</v>
      </c>
      <c r="D94" s="64">
        <v>48.5</v>
      </c>
      <c r="E94" s="64">
        <v>6.47</v>
      </c>
      <c r="F94" s="64">
        <v>4.5599999999999996</v>
      </c>
      <c r="G94" s="64">
        <v>117.83</v>
      </c>
      <c r="H94" s="64">
        <v>100.83</v>
      </c>
      <c r="I94" s="64">
        <v>8.99</v>
      </c>
      <c r="J94" s="64">
        <v>0.44</v>
      </c>
      <c r="K94" s="64">
        <v>280.97000000000003</v>
      </c>
      <c r="L94" s="64">
        <v>23.11</v>
      </c>
      <c r="M94" s="64">
        <v>80.58</v>
      </c>
      <c r="N94" s="64">
        <v>26.1</v>
      </c>
      <c r="O94" s="64">
        <v>0</v>
      </c>
      <c r="P94" s="64">
        <v>1.98</v>
      </c>
      <c r="Q94" s="64">
        <v>9.6300000000000008</v>
      </c>
      <c r="R94" s="196"/>
      <c r="S94" s="196"/>
      <c r="T94" s="196"/>
      <c r="U94" s="196"/>
    </row>
    <row r="95" spans="1:26" s="12" customFormat="1" x14ac:dyDescent="0.25">
      <c r="A95" s="211" t="s">
        <v>523</v>
      </c>
      <c r="B95" s="64">
        <v>49.94</v>
      </c>
      <c r="C95" s="64">
        <v>19.75</v>
      </c>
      <c r="D95" s="64">
        <v>48.99</v>
      </c>
      <c r="E95" s="64">
        <v>6.38</v>
      </c>
      <c r="F95" s="64">
        <v>4.2</v>
      </c>
      <c r="G95" s="64">
        <v>123.92</v>
      </c>
      <c r="H95" s="64">
        <v>118.11</v>
      </c>
      <c r="I95" s="64">
        <v>8.98</v>
      </c>
      <c r="J95" s="64">
        <v>0.31</v>
      </c>
      <c r="K95" s="64">
        <v>224.78</v>
      </c>
      <c r="L95" s="64">
        <v>23.33</v>
      </c>
      <c r="M95" s="64">
        <v>78.84</v>
      </c>
      <c r="N95" s="64">
        <v>25.5</v>
      </c>
      <c r="O95" s="64">
        <v>0</v>
      </c>
      <c r="P95" s="64">
        <v>2.12</v>
      </c>
      <c r="Q95" s="64">
        <v>9.6199999999999992</v>
      </c>
      <c r="R95" s="196"/>
      <c r="S95" s="196"/>
      <c r="T95" s="196"/>
      <c r="U95" s="196"/>
    </row>
    <row r="96" spans="1:26" s="12" customFormat="1" x14ac:dyDescent="0.25">
      <c r="A96" s="211" t="s">
        <v>524</v>
      </c>
      <c r="B96" s="64">
        <v>52.95</v>
      </c>
      <c r="C96" s="64">
        <v>19.420000000000002</v>
      </c>
      <c r="D96" s="64">
        <v>51.23</v>
      </c>
      <c r="E96" s="64">
        <v>6.61</v>
      </c>
      <c r="F96" s="64">
        <v>4.43</v>
      </c>
      <c r="G96" s="64">
        <v>123.92</v>
      </c>
      <c r="H96" s="64">
        <v>118.11</v>
      </c>
      <c r="I96" s="64">
        <v>8.92</v>
      </c>
      <c r="J96" s="64">
        <v>0.57999999999999996</v>
      </c>
      <c r="K96" s="64">
        <v>324.74</v>
      </c>
      <c r="L96" s="64">
        <v>23.29</v>
      </c>
      <c r="M96" s="64">
        <v>81.59</v>
      </c>
      <c r="N96" s="64">
        <v>26.2</v>
      </c>
      <c r="O96" s="64">
        <v>0</v>
      </c>
      <c r="P96" s="64">
        <v>2.16</v>
      </c>
      <c r="Q96" s="64">
        <v>9.6199999999999992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525</v>
      </c>
      <c r="B97" s="64">
        <v>56.49</v>
      </c>
      <c r="C97" s="64">
        <v>19.13</v>
      </c>
      <c r="D97" s="64">
        <v>53.92</v>
      </c>
      <c r="E97" s="64">
        <v>6.49</v>
      </c>
      <c r="F97" s="64">
        <v>4.78</v>
      </c>
      <c r="G97" s="64">
        <v>123.92</v>
      </c>
      <c r="H97" s="64">
        <v>118.11</v>
      </c>
      <c r="I97" s="64">
        <v>8.52</v>
      </c>
      <c r="J97" s="64">
        <v>0.14000000000000001</v>
      </c>
      <c r="K97" s="64">
        <v>145.43</v>
      </c>
      <c r="L97" s="64">
        <v>22.75</v>
      </c>
      <c r="M97" s="64">
        <v>83.32</v>
      </c>
      <c r="N97" s="64">
        <v>26.1</v>
      </c>
      <c r="O97" s="64">
        <v>0</v>
      </c>
      <c r="P97" s="64">
        <v>2.04</v>
      </c>
      <c r="Q97" s="64">
        <v>9.6</v>
      </c>
      <c r="R97" s="196"/>
      <c r="S97" s="196"/>
      <c r="T97" s="196"/>
      <c r="U97" s="196"/>
    </row>
    <row r="98" spans="1:33" s="12" customFormat="1" x14ac:dyDescent="0.25">
      <c r="A98" s="211" t="s">
        <v>526</v>
      </c>
      <c r="B98" s="64">
        <v>58.39</v>
      </c>
      <c r="C98" s="64">
        <v>18.96</v>
      </c>
      <c r="D98" s="64">
        <v>55.36</v>
      </c>
      <c r="E98" s="64">
        <v>6.9</v>
      </c>
      <c r="F98" s="64">
        <v>4.32</v>
      </c>
      <c r="G98" s="64">
        <v>136.46</v>
      </c>
      <c r="H98" s="64">
        <v>90.5</v>
      </c>
      <c r="I98" s="64">
        <v>8.77</v>
      </c>
      <c r="J98" s="64">
        <v>0.38</v>
      </c>
      <c r="K98" s="64">
        <v>352.58</v>
      </c>
      <c r="L98" s="64">
        <v>22.82</v>
      </c>
      <c r="M98" s="64">
        <v>83.37</v>
      </c>
      <c r="N98" s="64">
        <v>25.9</v>
      </c>
      <c r="O98" s="64">
        <v>0</v>
      </c>
      <c r="P98" s="64">
        <v>1.5</v>
      </c>
      <c r="Q98" s="64">
        <v>9.6199999999999992</v>
      </c>
      <c r="R98" s="196"/>
      <c r="S98" s="196"/>
      <c r="T98" s="196"/>
      <c r="U98" s="196"/>
    </row>
    <row r="99" spans="1:33" s="12" customFormat="1" x14ac:dyDescent="0.25">
      <c r="A99" s="211" t="s">
        <v>527</v>
      </c>
      <c r="B99" s="64">
        <v>58.63</v>
      </c>
      <c r="C99" s="64">
        <v>19.25</v>
      </c>
      <c r="D99" s="64">
        <v>55.7</v>
      </c>
      <c r="E99" s="64">
        <v>7.12</v>
      </c>
      <c r="F99" s="64">
        <v>4.66</v>
      </c>
      <c r="G99" s="64">
        <v>144.08000000000001</v>
      </c>
      <c r="H99" s="64">
        <v>84.47</v>
      </c>
      <c r="I99" s="64">
        <v>8.33</v>
      </c>
      <c r="J99" s="64">
        <v>0.49</v>
      </c>
      <c r="K99" s="64">
        <v>335.11</v>
      </c>
      <c r="L99" s="64">
        <v>23.07</v>
      </c>
      <c r="M99" s="64">
        <v>79.540000000000006</v>
      </c>
      <c r="N99" s="64">
        <v>26.1</v>
      </c>
      <c r="O99" s="64">
        <v>0</v>
      </c>
      <c r="P99" s="64">
        <v>1.55</v>
      </c>
      <c r="Q99" s="64">
        <v>9.6300000000000008</v>
      </c>
      <c r="R99" s="196"/>
      <c r="S99" s="196"/>
      <c r="T99" s="196"/>
      <c r="U99" s="196"/>
    </row>
    <row r="100" spans="1:33" s="12" customFormat="1" x14ac:dyDescent="0.25">
      <c r="A100" s="211" t="s">
        <v>528</v>
      </c>
      <c r="B100" s="64">
        <v>58.64</v>
      </c>
      <c r="C100" s="64">
        <v>19.149999999999999</v>
      </c>
      <c r="D100" s="64">
        <v>55.65</v>
      </c>
      <c r="E100" s="64">
        <v>7.26</v>
      </c>
      <c r="F100" s="64">
        <v>3.94</v>
      </c>
      <c r="G100" s="64">
        <v>144.08000000000001</v>
      </c>
      <c r="H100" s="64">
        <v>84.47</v>
      </c>
      <c r="I100" s="64">
        <v>7.97</v>
      </c>
      <c r="J100" s="64">
        <v>0.12</v>
      </c>
      <c r="K100" s="64">
        <v>225.59</v>
      </c>
      <c r="L100" s="64">
        <v>22.7</v>
      </c>
      <c r="M100" s="64">
        <v>81.319999999999993</v>
      </c>
      <c r="N100" s="64">
        <v>26.1</v>
      </c>
      <c r="O100" s="64">
        <v>0</v>
      </c>
      <c r="P100" s="64">
        <v>1.48</v>
      </c>
      <c r="Q100" s="64">
        <v>9.6199999999999992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529</v>
      </c>
      <c r="B101" s="64">
        <v>57.52</v>
      </c>
      <c r="C101" s="64">
        <v>19.02</v>
      </c>
      <c r="D101" s="64">
        <v>54.69</v>
      </c>
      <c r="E101" s="64">
        <v>7.52</v>
      </c>
      <c r="F101" s="64">
        <v>4.93</v>
      </c>
      <c r="G101" s="64">
        <v>144.08000000000001</v>
      </c>
      <c r="H101" s="64">
        <v>84.47</v>
      </c>
      <c r="I101" s="64">
        <v>7.48</v>
      </c>
      <c r="J101" s="64">
        <v>0.2</v>
      </c>
      <c r="K101" s="64">
        <v>175.09</v>
      </c>
      <c r="L101" s="64">
        <v>22.69</v>
      </c>
      <c r="M101" s="64">
        <v>81.05</v>
      </c>
      <c r="N101" s="64">
        <v>25.8</v>
      </c>
      <c r="O101" s="64">
        <v>0</v>
      </c>
      <c r="P101" s="64">
        <v>1.39</v>
      </c>
      <c r="Q101" s="64">
        <v>9.61</v>
      </c>
      <c r="R101" s="196"/>
      <c r="S101" s="196"/>
      <c r="T101" s="196"/>
      <c r="U101" s="196"/>
    </row>
    <row r="102" spans="1:33" s="12" customFormat="1" x14ac:dyDescent="0.25">
      <c r="A102" s="211" t="s">
        <v>530</v>
      </c>
      <c r="B102" s="64">
        <v>56.86</v>
      </c>
      <c r="C102" s="64">
        <v>18.45</v>
      </c>
      <c r="D102" s="64">
        <v>53.86</v>
      </c>
      <c r="E102" s="64">
        <v>6.6</v>
      </c>
      <c r="F102" s="64">
        <v>5.0199999999999996</v>
      </c>
      <c r="G102" s="64">
        <v>146.74</v>
      </c>
      <c r="H102" s="64">
        <v>79.33</v>
      </c>
      <c r="I102" s="64">
        <v>6.64</v>
      </c>
      <c r="J102" s="64">
        <v>0.28999999999999998</v>
      </c>
      <c r="K102" s="64">
        <v>322.68</v>
      </c>
      <c r="L102" s="64">
        <v>22.33</v>
      </c>
      <c r="M102" s="64">
        <v>85.54</v>
      </c>
      <c r="N102" s="64">
        <v>26.1</v>
      </c>
      <c r="O102" s="64">
        <v>0</v>
      </c>
      <c r="P102" s="64">
        <v>1.48</v>
      </c>
      <c r="Q102" s="64">
        <v>9.6300000000000008</v>
      </c>
      <c r="R102" s="196"/>
      <c r="S102" s="196"/>
      <c r="T102" s="196"/>
      <c r="U102" s="196"/>
    </row>
    <row r="103" spans="1:33" s="12" customFormat="1" x14ac:dyDescent="0.25">
      <c r="A103" s="211" t="s">
        <v>531</v>
      </c>
      <c r="B103" s="64">
        <v>58.92</v>
      </c>
      <c r="C103" s="64">
        <v>18.75</v>
      </c>
      <c r="D103" s="64">
        <v>55.67</v>
      </c>
      <c r="E103" s="64">
        <v>6.72</v>
      </c>
      <c r="F103" s="64">
        <v>4.55</v>
      </c>
      <c r="G103" s="64">
        <v>148.36000000000001</v>
      </c>
      <c r="H103" s="64">
        <v>77.13</v>
      </c>
      <c r="I103" s="64">
        <v>6.71</v>
      </c>
      <c r="J103" s="64">
        <v>0.27</v>
      </c>
      <c r="K103" s="64">
        <v>230.75</v>
      </c>
      <c r="L103" s="64">
        <v>22.21</v>
      </c>
      <c r="M103" s="64">
        <v>86.48</v>
      </c>
      <c r="N103" s="64">
        <v>25.9</v>
      </c>
      <c r="O103" s="64">
        <v>0</v>
      </c>
      <c r="P103" s="64">
        <v>1.48</v>
      </c>
      <c r="Q103" s="64">
        <v>9.6199999999999992</v>
      </c>
      <c r="R103" s="196"/>
      <c r="S103" s="196"/>
      <c r="T103" s="196"/>
      <c r="U103" s="196"/>
    </row>
    <row r="104" spans="1:33" s="12" customFormat="1" x14ac:dyDescent="0.25">
      <c r="A104" s="211" t="s">
        <v>532</v>
      </c>
      <c r="B104" s="64">
        <v>60.83</v>
      </c>
      <c r="C104" s="64">
        <v>18.45</v>
      </c>
      <c r="D104" s="64">
        <v>57.04</v>
      </c>
      <c r="E104" s="64">
        <v>6.15</v>
      </c>
      <c r="F104" s="64">
        <v>4.42</v>
      </c>
      <c r="G104" s="64">
        <v>148.36000000000001</v>
      </c>
      <c r="H104" s="64">
        <v>77.13</v>
      </c>
      <c r="I104" s="64">
        <v>7.27</v>
      </c>
      <c r="J104" s="64">
        <v>0.45</v>
      </c>
      <c r="K104" s="64">
        <v>168.94</v>
      </c>
      <c r="L104" s="64">
        <v>21.92</v>
      </c>
      <c r="M104" s="64">
        <v>86.67</v>
      </c>
      <c r="N104" s="64">
        <v>26.1</v>
      </c>
      <c r="O104" s="64">
        <v>0</v>
      </c>
      <c r="P104" s="64">
        <v>1.43</v>
      </c>
      <c r="Q104" s="64">
        <v>9.66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-0.05</v>
      </c>
      <c r="C106" s="67">
        <f>MIN(C9:C104)</f>
        <v>10.92</v>
      </c>
      <c r="D106" s="67">
        <f t="shared" ref="D106:Q106" si="0">MIN(D9:D104)</f>
        <v>4.43</v>
      </c>
      <c r="E106" s="67">
        <f t="shared" si="0"/>
        <v>4.4400000000000004</v>
      </c>
      <c r="F106" s="67">
        <f t="shared" si="0"/>
        <v>3.78</v>
      </c>
      <c r="G106" s="67">
        <f t="shared" si="0"/>
        <v>56.12</v>
      </c>
      <c r="H106" s="67">
        <f t="shared" si="0"/>
        <v>21.67</v>
      </c>
      <c r="I106" s="67">
        <f t="shared" si="0"/>
        <v>1.1599999999999999</v>
      </c>
      <c r="J106" s="67">
        <f t="shared" si="0"/>
        <v>0.01</v>
      </c>
      <c r="K106" s="67">
        <f t="shared" si="0"/>
        <v>3.14</v>
      </c>
      <c r="L106" s="67">
        <f t="shared" si="0"/>
        <v>21.92</v>
      </c>
      <c r="M106" s="67">
        <f t="shared" si="0"/>
        <v>32.81</v>
      </c>
      <c r="N106" s="67">
        <f t="shared" si="0"/>
        <v>25.5</v>
      </c>
      <c r="O106" s="67">
        <f t="shared" si="0"/>
        <v>0</v>
      </c>
      <c r="P106" s="67">
        <f t="shared" si="0"/>
        <v>0.4</v>
      </c>
      <c r="Q106" s="67">
        <f t="shared" si="0"/>
        <v>9.6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60.83</v>
      </c>
      <c r="C107" s="66">
        <f t="shared" ref="C107:Q107" si="1">MAX(C9:C104)</f>
        <v>25.22</v>
      </c>
      <c r="D107" s="66">
        <f t="shared" si="1"/>
        <v>57.04</v>
      </c>
      <c r="E107" s="66">
        <f t="shared" si="1"/>
        <v>7.52</v>
      </c>
      <c r="F107" s="66">
        <f t="shared" si="1"/>
        <v>9.07</v>
      </c>
      <c r="G107" s="66">
        <f t="shared" si="1"/>
        <v>148.36000000000001</v>
      </c>
      <c r="H107" s="66">
        <f t="shared" si="1"/>
        <v>118.11</v>
      </c>
      <c r="I107" s="66">
        <f t="shared" si="1"/>
        <v>8.99</v>
      </c>
      <c r="J107" s="66">
        <f t="shared" si="1"/>
        <v>1.5</v>
      </c>
      <c r="K107" s="66">
        <f t="shared" si="1"/>
        <v>352.58</v>
      </c>
      <c r="L107" s="66">
        <f t="shared" si="1"/>
        <v>34.65</v>
      </c>
      <c r="M107" s="66">
        <f t="shared" si="1"/>
        <v>86.67</v>
      </c>
      <c r="N107" s="66">
        <f t="shared" si="1"/>
        <v>631.1</v>
      </c>
      <c r="O107" s="66">
        <f t="shared" si="1"/>
        <v>0</v>
      </c>
      <c r="P107" s="66">
        <f t="shared" si="1"/>
        <v>2.16</v>
      </c>
      <c r="Q107" s="66">
        <f t="shared" si="1"/>
        <v>9.66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14.221041666666666</v>
      </c>
      <c r="C108" s="67">
        <f t="shared" ref="C108:Q108" si="2">AVERAGE(C9:C104)</f>
        <v>15.084375000000003</v>
      </c>
      <c r="D108" s="67">
        <f t="shared" si="2"/>
        <v>17.908645833333335</v>
      </c>
      <c r="E108" s="67">
        <f t="shared" si="2"/>
        <v>5.7720833333333346</v>
      </c>
      <c r="F108" s="67">
        <f t="shared" si="2"/>
        <v>5.1382291666666662</v>
      </c>
      <c r="G108" s="67">
        <f t="shared" si="2"/>
        <v>86.887499999999989</v>
      </c>
      <c r="H108" s="67">
        <f t="shared" si="2"/>
        <v>42.773333333333333</v>
      </c>
      <c r="I108" s="67">
        <f t="shared" si="2"/>
        <v>4.7923958333333347</v>
      </c>
      <c r="J108" s="67">
        <f t="shared" si="2"/>
        <v>0.4892708333333336</v>
      </c>
      <c r="K108" s="67">
        <f t="shared" si="2"/>
        <v>205.61947916666668</v>
      </c>
      <c r="L108" s="67">
        <f t="shared" si="2"/>
        <v>25.861354166666672</v>
      </c>
      <c r="M108" s="67">
        <f t="shared" si="2"/>
        <v>62.982604166666654</v>
      </c>
      <c r="N108" s="67">
        <f t="shared" si="2"/>
        <v>152.82083333333338</v>
      </c>
      <c r="O108" s="67">
        <f t="shared" si="2"/>
        <v>0</v>
      </c>
      <c r="P108" s="67">
        <f t="shared" si="2"/>
        <v>0.82583333333333353</v>
      </c>
      <c r="Q108" s="67">
        <f t="shared" si="2"/>
        <v>9.6214583333333366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18.904614333914221</v>
      </c>
      <c r="C109" s="67">
        <f t="shared" ref="C109:Q109" si="3">STDEV(C9:C104)</f>
        <v>3.8385303691304427</v>
      </c>
      <c r="D109" s="67">
        <f t="shared" si="3"/>
        <v>16.730400229257523</v>
      </c>
      <c r="E109" s="67">
        <f t="shared" si="3"/>
        <v>0.77934374101976012</v>
      </c>
      <c r="F109" s="67">
        <f t="shared" si="3"/>
        <v>1.1963972186630005</v>
      </c>
      <c r="G109" s="67">
        <f t="shared" si="3"/>
        <v>25.01488558943727</v>
      </c>
      <c r="H109" s="67">
        <f t="shared" si="3"/>
        <v>20.950905704159016</v>
      </c>
      <c r="I109" s="67">
        <f t="shared" si="3"/>
        <v>1.8824338919218717</v>
      </c>
      <c r="J109" s="67">
        <f t="shared" si="3"/>
        <v>0.33090066816641822</v>
      </c>
      <c r="K109" s="67">
        <f t="shared" si="3"/>
        <v>107.9512859762977</v>
      </c>
      <c r="L109" s="67">
        <f t="shared" si="3"/>
        <v>3.6110912827278034</v>
      </c>
      <c r="M109" s="67">
        <f t="shared" si="3"/>
        <v>16.420119638309711</v>
      </c>
      <c r="N109" s="67">
        <f t="shared" si="3"/>
        <v>205.90336870875623</v>
      </c>
      <c r="O109" s="67">
        <f t="shared" si="3"/>
        <v>0</v>
      </c>
      <c r="P109" s="67">
        <f t="shared" si="3"/>
        <v>0.43982931298562056</v>
      </c>
      <c r="Q109" s="67">
        <f t="shared" si="3"/>
        <v>9.8386099431801901E-3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533</v>
      </c>
      <c r="B9" s="64">
        <v>61.05</v>
      </c>
      <c r="C9" s="64">
        <v>18.41</v>
      </c>
      <c r="D9" s="64">
        <v>57.2</v>
      </c>
      <c r="E9" s="64">
        <v>6.87</v>
      </c>
      <c r="F9" s="64">
        <v>4.5199999999999996</v>
      </c>
      <c r="G9" s="64">
        <v>148.36000000000001</v>
      </c>
      <c r="H9" s="64">
        <v>77.13</v>
      </c>
      <c r="I9" s="64">
        <v>7.51</v>
      </c>
      <c r="J9" s="64">
        <v>0.55000000000000004</v>
      </c>
      <c r="K9" s="64">
        <v>347.07</v>
      </c>
      <c r="L9" s="64">
        <v>21.62</v>
      </c>
      <c r="M9" s="64">
        <v>90.09</v>
      </c>
      <c r="N9" s="64">
        <v>26.2</v>
      </c>
      <c r="O9" s="64">
        <v>0</v>
      </c>
      <c r="P9" s="64">
        <v>1.44</v>
      </c>
      <c r="Q9" s="64">
        <v>9.6300000000000008</v>
      </c>
      <c r="R9" s="196"/>
      <c r="S9" s="196"/>
      <c r="T9" s="196"/>
      <c r="U9" s="196"/>
    </row>
    <row r="10" spans="1:21" s="12" customFormat="1" x14ac:dyDescent="0.25">
      <c r="A10" s="211" t="s">
        <v>534</v>
      </c>
      <c r="B10" s="64">
        <v>61.58</v>
      </c>
      <c r="C10" s="64">
        <v>18.29</v>
      </c>
      <c r="D10" s="64">
        <v>57.56</v>
      </c>
      <c r="E10" s="64">
        <v>6.74</v>
      </c>
      <c r="F10" s="64">
        <v>3.77</v>
      </c>
      <c r="G10" s="64">
        <v>152.86000000000001</v>
      </c>
      <c r="H10" s="64">
        <v>69.64</v>
      </c>
      <c r="I10" s="64">
        <v>7.39</v>
      </c>
      <c r="J10" s="64">
        <v>0.62</v>
      </c>
      <c r="K10" s="64">
        <v>220.63</v>
      </c>
      <c r="L10" s="64">
        <v>21.73</v>
      </c>
      <c r="M10" s="64">
        <v>87.74</v>
      </c>
      <c r="N10" s="64">
        <v>25.6</v>
      </c>
      <c r="O10" s="64">
        <v>0</v>
      </c>
      <c r="P10" s="64">
        <v>1.32</v>
      </c>
      <c r="Q10" s="64">
        <v>9.6199999999999992</v>
      </c>
      <c r="R10" s="196"/>
      <c r="S10" s="196"/>
      <c r="T10" s="196"/>
      <c r="U10" s="196"/>
    </row>
    <row r="11" spans="1:21" s="12" customFormat="1" x14ac:dyDescent="0.25">
      <c r="A11" s="211" t="s">
        <v>535</v>
      </c>
      <c r="B11" s="64">
        <v>60.25</v>
      </c>
      <c r="C11" s="64">
        <v>18.190000000000001</v>
      </c>
      <c r="D11" s="64">
        <v>56.44</v>
      </c>
      <c r="E11" s="64">
        <v>6.38</v>
      </c>
      <c r="F11" s="64">
        <v>3.91</v>
      </c>
      <c r="G11" s="64">
        <v>155.59</v>
      </c>
      <c r="H11" s="64">
        <v>68</v>
      </c>
      <c r="I11" s="64">
        <v>7.03</v>
      </c>
      <c r="J11" s="64">
        <v>0.46</v>
      </c>
      <c r="K11" s="64">
        <v>301.04000000000002</v>
      </c>
      <c r="L11" s="64">
        <v>21.65</v>
      </c>
      <c r="M11" s="64">
        <v>88.6</v>
      </c>
      <c r="N11" s="64">
        <v>26.2</v>
      </c>
      <c r="O11" s="64">
        <v>0</v>
      </c>
      <c r="P11" s="64">
        <v>1.22</v>
      </c>
      <c r="Q11" s="64">
        <v>9.61</v>
      </c>
      <c r="R11" s="196"/>
      <c r="S11" s="196"/>
      <c r="T11" s="196"/>
      <c r="U11" s="196"/>
    </row>
    <row r="12" spans="1:21" s="12" customFormat="1" x14ac:dyDescent="0.25">
      <c r="A12" s="211" t="s">
        <v>536</v>
      </c>
      <c r="B12" s="64">
        <v>59.03</v>
      </c>
      <c r="C12" s="64">
        <v>16.23</v>
      </c>
      <c r="D12" s="64">
        <v>54.45</v>
      </c>
      <c r="E12" s="64">
        <v>6.09</v>
      </c>
      <c r="F12" s="64">
        <v>4.66</v>
      </c>
      <c r="G12" s="64">
        <v>155.59</v>
      </c>
      <c r="H12" s="64">
        <v>68</v>
      </c>
      <c r="I12" s="64">
        <v>7.03</v>
      </c>
      <c r="J12" s="64">
        <v>0.17</v>
      </c>
      <c r="K12" s="64">
        <v>268.45999999999998</v>
      </c>
      <c r="L12" s="64">
        <v>21.3</v>
      </c>
      <c r="M12" s="64">
        <v>90.79</v>
      </c>
      <c r="N12" s="64">
        <v>26</v>
      </c>
      <c r="O12" s="64">
        <v>0</v>
      </c>
      <c r="P12" s="64">
        <v>1.19</v>
      </c>
      <c r="Q12" s="64">
        <v>9.6199999999999992</v>
      </c>
      <c r="R12" s="196"/>
      <c r="S12" s="196"/>
      <c r="T12" s="196"/>
      <c r="U12" s="196"/>
    </row>
    <row r="13" spans="1:21" s="12" customFormat="1" x14ac:dyDescent="0.25">
      <c r="A13" s="211" t="s">
        <v>537</v>
      </c>
      <c r="B13" s="64">
        <v>57.21</v>
      </c>
      <c r="C13" s="64">
        <v>15.39</v>
      </c>
      <c r="D13" s="64">
        <v>52.54</v>
      </c>
      <c r="E13" s="64">
        <v>5.99</v>
      </c>
      <c r="F13" s="64">
        <v>4.1900000000000004</v>
      </c>
      <c r="G13" s="64">
        <v>155.59</v>
      </c>
      <c r="H13" s="64">
        <v>68</v>
      </c>
      <c r="I13" s="64">
        <v>5.55</v>
      </c>
      <c r="J13" s="64">
        <v>0.27</v>
      </c>
      <c r="K13" s="64">
        <v>299.08999999999997</v>
      </c>
      <c r="L13" s="64">
        <v>21.43</v>
      </c>
      <c r="M13" s="64">
        <v>85.71</v>
      </c>
      <c r="N13" s="64">
        <v>25.8</v>
      </c>
      <c r="O13" s="64">
        <v>0</v>
      </c>
      <c r="P13" s="64">
        <v>0.93</v>
      </c>
      <c r="Q13" s="64">
        <v>9.6199999999999992</v>
      </c>
      <c r="R13" s="196"/>
      <c r="S13" s="196"/>
      <c r="T13" s="196"/>
      <c r="U13" s="196"/>
    </row>
    <row r="14" spans="1:21" s="12" customFormat="1" x14ac:dyDescent="0.25">
      <c r="A14" s="211" t="s">
        <v>538</v>
      </c>
      <c r="B14" s="64">
        <v>55.13</v>
      </c>
      <c r="C14" s="64">
        <v>14.7</v>
      </c>
      <c r="D14" s="64">
        <v>50.51</v>
      </c>
      <c r="E14" s="64">
        <v>6.07</v>
      </c>
      <c r="F14" s="64">
        <v>4.0599999999999996</v>
      </c>
      <c r="G14" s="64">
        <v>133.37</v>
      </c>
      <c r="H14" s="64">
        <v>50.47</v>
      </c>
      <c r="I14" s="64">
        <v>4.8600000000000003</v>
      </c>
      <c r="J14" s="64">
        <v>0.32</v>
      </c>
      <c r="K14" s="64">
        <v>333.71</v>
      </c>
      <c r="L14" s="64">
        <v>21.04</v>
      </c>
      <c r="M14" s="64">
        <v>89.25</v>
      </c>
      <c r="N14" s="64">
        <v>26</v>
      </c>
      <c r="O14" s="64">
        <v>0</v>
      </c>
      <c r="P14" s="64">
        <v>0.91</v>
      </c>
      <c r="Q14" s="64">
        <v>9.64</v>
      </c>
      <c r="R14" s="196"/>
      <c r="S14" s="196"/>
      <c r="T14" s="196"/>
      <c r="U14" s="196"/>
    </row>
    <row r="15" spans="1:21" s="12" customFormat="1" x14ac:dyDescent="0.25">
      <c r="A15" s="211" t="s">
        <v>539</v>
      </c>
      <c r="B15" s="64">
        <v>52.68</v>
      </c>
      <c r="C15" s="64">
        <v>14.35</v>
      </c>
      <c r="D15" s="64">
        <v>48.37</v>
      </c>
      <c r="E15" s="64">
        <v>5.74</v>
      </c>
      <c r="F15" s="64">
        <v>4.0599999999999996</v>
      </c>
      <c r="G15" s="64">
        <v>119.88</v>
      </c>
      <c r="H15" s="64">
        <v>46.65</v>
      </c>
      <c r="I15" s="64">
        <v>4.17</v>
      </c>
      <c r="J15" s="64">
        <v>0.25</v>
      </c>
      <c r="K15" s="64">
        <v>209.98</v>
      </c>
      <c r="L15" s="64">
        <v>21.08</v>
      </c>
      <c r="M15" s="64">
        <v>89.52</v>
      </c>
      <c r="N15" s="64">
        <v>25.5</v>
      </c>
      <c r="O15" s="64">
        <v>0</v>
      </c>
      <c r="P15" s="64">
        <v>0.95</v>
      </c>
      <c r="Q15" s="64">
        <v>9.64</v>
      </c>
      <c r="R15" s="196"/>
      <c r="S15" s="196"/>
      <c r="T15" s="196"/>
      <c r="U15" s="196"/>
    </row>
    <row r="16" spans="1:21" s="12" customFormat="1" x14ac:dyDescent="0.25">
      <c r="A16" s="211" t="s">
        <v>540</v>
      </c>
      <c r="B16" s="64">
        <v>50.36</v>
      </c>
      <c r="C16" s="64">
        <v>13.61</v>
      </c>
      <c r="D16" s="64">
        <v>46.12</v>
      </c>
      <c r="E16" s="64">
        <v>5.78</v>
      </c>
      <c r="F16" s="64">
        <v>4.17</v>
      </c>
      <c r="G16" s="64">
        <v>119.88</v>
      </c>
      <c r="H16" s="64">
        <v>46.65</v>
      </c>
      <c r="I16" s="64">
        <v>4.5199999999999996</v>
      </c>
      <c r="J16" s="64">
        <v>0.46</v>
      </c>
      <c r="K16" s="64">
        <v>248.21</v>
      </c>
      <c r="L16" s="64">
        <v>20.97</v>
      </c>
      <c r="M16" s="64">
        <v>90.92</v>
      </c>
      <c r="N16" s="64">
        <v>25.8</v>
      </c>
      <c r="O16" s="64">
        <v>0</v>
      </c>
      <c r="P16" s="64">
        <v>0.99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541</v>
      </c>
      <c r="B17" s="64">
        <v>48.11</v>
      </c>
      <c r="C17" s="64">
        <v>13.07</v>
      </c>
      <c r="D17" s="64">
        <v>44.03</v>
      </c>
      <c r="E17" s="64">
        <v>5.48</v>
      </c>
      <c r="F17" s="64">
        <v>3.76</v>
      </c>
      <c r="G17" s="64">
        <v>119.88</v>
      </c>
      <c r="H17" s="64">
        <v>46.65</v>
      </c>
      <c r="I17" s="64">
        <v>5.31</v>
      </c>
      <c r="J17" s="64">
        <v>0.36</v>
      </c>
      <c r="K17" s="64">
        <v>290.36</v>
      </c>
      <c r="L17" s="64">
        <v>20.86</v>
      </c>
      <c r="M17" s="64">
        <v>92.48</v>
      </c>
      <c r="N17" s="64">
        <v>26.1</v>
      </c>
      <c r="O17" s="64">
        <v>0</v>
      </c>
      <c r="P17" s="64">
        <v>0.96</v>
      </c>
      <c r="Q17" s="64">
        <v>9.6300000000000008</v>
      </c>
      <c r="R17" s="196"/>
      <c r="S17" s="196"/>
      <c r="T17" s="196"/>
      <c r="U17" s="196"/>
    </row>
    <row r="18" spans="1:21" s="12" customFormat="1" x14ac:dyDescent="0.25">
      <c r="A18" s="211" t="s">
        <v>542</v>
      </c>
      <c r="B18" s="64">
        <v>45.98</v>
      </c>
      <c r="C18" s="64">
        <v>12.48</v>
      </c>
      <c r="D18" s="64">
        <v>42.02</v>
      </c>
      <c r="E18" s="64">
        <v>5.23</v>
      </c>
      <c r="F18" s="64">
        <v>3.89</v>
      </c>
      <c r="G18" s="64">
        <v>102.19</v>
      </c>
      <c r="H18" s="64">
        <v>39.85</v>
      </c>
      <c r="I18" s="64">
        <v>5.2</v>
      </c>
      <c r="J18" s="64">
        <v>0.14000000000000001</v>
      </c>
      <c r="K18" s="64">
        <v>270.69</v>
      </c>
      <c r="L18" s="64">
        <v>20.62</v>
      </c>
      <c r="M18" s="64">
        <v>93.46</v>
      </c>
      <c r="N18" s="64">
        <v>25.9</v>
      </c>
      <c r="O18" s="64">
        <v>0</v>
      </c>
      <c r="P18" s="64">
        <v>0.91</v>
      </c>
      <c r="Q18" s="64">
        <v>9.64</v>
      </c>
      <c r="R18" s="196"/>
      <c r="S18" s="196"/>
      <c r="T18" s="196"/>
      <c r="U18" s="196"/>
    </row>
    <row r="19" spans="1:21" s="12" customFormat="1" x14ac:dyDescent="0.25">
      <c r="A19" s="211" t="s">
        <v>543</v>
      </c>
      <c r="B19" s="64">
        <v>43.74</v>
      </c>
      <c r="C19" s="64">
        <v>12.92</v>
      </c>
      <c r="D19" s="64">
        <v>40.450000000000003</v>
      </c>
      <c r="E19" s="64">
        <v>5.34</v>
      </c>
      <c r="F19" s="64">
        <v>4.0199999999999996</v>
      </c>
      <c r="G19" s="64">
        <v>90.92</v>
      </c>
      <c r="H19" s="64">
        <v>38.369999999999997</v>
      </c>
      <c r="I19" s="64">
        <v>4.62</v>
      </c>
      <c r="J19" s="64">
        <v>0.18</v>
      </c>
      <c r="K19" s="64">
        <v>300.19</v>
      </c>
      <c r="L19" s="64">
        <v>20.59</v>
      </c>
      <c r="M19" s="64">
        <v>94.36</v>
      </c>
      <c r="N19" s="64">
        <v>25.9</v>
      </c>
      <c r="O19" s="64">
        <v>0</v>
      </c>
      <c r="P19" s="64">
        <v>1.1000000000000001</v>
      </c>
      <c r="Q19" s="64">
        <v>9.6300000000000008</v>
      </c>
      <c r="R19" s="196"/>
      <c r="S19" s="196"/>
      <c r="T19" s="196"/>
      <c r="U19" s="196"/>
    </row>
    <row r="20" spans="1:21" s="12" customFormat="1" x14ac:dyDescent="0.25">
      <c r="A20" s="211" t="s">
        <v>544</v>
      </c>
      <c r="B20" s="64">
        <v>41.36</v>
      </c>
      <c r="C20" s="64">
        <v>12.99</v>
      </c>
      <c r="D20" s="64">
        <v>38.58</v>
      </c>
      <c r="E20" s="64">
        <v>5.44</v>
      </c>
      <c r="F20" s="64">
        <v>3.64</v>
      </c>
      <c r="G20" s="64">
        <v>90.92</v>
      </c>
      <c r="H20" s="64">
        <v>38.369999999999997</v>
      </c>
      <c r="I20" s="64">
        <v>5.91</v>
      </c>
      <c r="J20" s="64">
        <v>0.37</v>
      </c>
      <c r="K20" s="64">
        <v>309.89999999999998</v>
      </c>
      <c r="L20" s="64">
        <v>20.56</v>
      </c>
      <c r="M20" s="64">
        <v>95.29</v>
      </c>
      <c r="N20" s="64">
        <v>26</v>
      </c>
      <c r="O20" s="64">
        <v>0</v>
      </c>
      <c r="P20" s="64">
        <v>1.06</v>
      </c>
      <c r="Q20" s="64">
        <v>9.6199999999999992</v>
      </c>
      <c r="R20" s="196"/>
      <c r="S20" s="196"/>
      <c r="T20" s="196"/>
      <c r="U20" s="196"/>
    </row>
    <row r="21" spans="1:21" s="12" customFormat="1" x14ac:dyDescent="0.25">
      <c r="A21" s="211" t="s">
        <v>545</v>
      </c>
      <c r="B21" s="64">
        <v>38.78</v>
      </c>
      <c r="C21" s="64">
        <v>12.88</v>
      </c>
      <c r="D21" s="64">
        <v>36.46</v>
      </c>
      <c r="E21" s="64">
        <v>5</v>
      </c>
      <c r="F21" s="64">
        <v>3.83</v>
      </c>
      <c r="G21" s="64">
        <v>90.92</v>
      </c>
      <c r="H21" s="64">
        <v>38.369999999999997</v>
      </c>
      <c r="I21" s="64">
        <v>6.87</v>
      </c>
      <c r="J21" s="64">
        <v>0.23</v>
      </c>
      <c r="K21" s="64">
        <v>279.17</v>
      </c>
      <c r="L21" s="64">
        <v>20.27</v>
      </c>
      <c r="M21" s="64">
        <v>97.49</v>
      </c>
      <c r="N21" s="64">
        <v>25.8</v>
      </c>
      <c r="O21" s="64">
        <v>0</v>
      </c>
      <c r="P21" s="64">
        <v>1.04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546</v>
      </c>
      <c r="B22" s="64">
        <v>36.57</v>
      </c>
      <c r="C22" s="64">
        <v>13.11</v>
      </c>
      <c r="D22" s="64">
        <v>34.799999999999997</v>
      </c>
      <c r="E22" s="64">
        <v>5.38</v>
      </c>
      <c r="F22" s="64">
        <v>3.6</v>
      </c>
      <c r="G22" s="64">
        <v>87.55</v>
      </c>
      <c r="H22" s="64">
        <v>38.9</v>
      </c>
      <c r="I22" s="64">
        <v>6.97</v>
      </c>
      <c r="J22" s="64">
        <v>0.39</v>
      </c>
      <c r="K22" s="64">
        <v>202.2</v>
      </c>
      <c r="L22" s="64">
        <v>20.309999999999999</v>
      </c>
      <c r="M22" s="64">
        <v>97.92</v>
      </c>
      <c r="N22" s="64">
        <v>25.6</v>
      </c>
      <c r="O22" s="64">
        <v>0</v>
      </c>
      <c r="P22" s="64">
        <v>0.99</v>
      </c>
      <c r="Q22" s="64">
        <v>9.6300000000000008</v>
      </c>
      <c r="R22" s="196"/>
      <c r="S22" s="196"/>
      <c r="T22" s="196"/>
      <c r="U22" s="196"/>
    </row>
    <row r="23" spans="1:21" s="12" customFormat="1" x14ac:dyDescent="0.25">
      <c r="A23" s="211" t="s">
        <v>547</v>
      </c>
      <c r="B23" s="64">
        <v>34.840000000000003</v>
      </c>
      <c r="C23" s="64">
        <v>13.24</v>
      </c>
      <c r="D23" s="64">
        <v>33.479999999999997</v>
      </c>
      <c r="E23" s="64">
        <v>5.37</v>
      </c>
      <c r="F23" s="64">
        <v>3.9</v>
      </c>
      <c r="G23" s="64">
        <v>85.5</v>
      </c>
      <c r="H23" s="64">
        <v>39.090000000000003</v>
      </c>
      <c r="I23" s="64">
        <v>6.91</v>
      </c>
      <c r="J23" s="64">
        <v>0.22</v>
      </c>
      <c r="K23" s="64">
        <v>355.66</v>
      </c>
      <c r="L23" s="64">
        <v>20.48</v>
      </c>
      <c r="M23" s="64">
        <v>96.3</v>
      </c>
      <c r="N23" s="64">
        <v>25.8</v>
      </c>
      <c r="O23" s="64">
        <v>0</v>
      </c>
      <c r="P23" s="64">
        <v>0.98</v>
      </c>
      <c r="Q23" s="64">
        <v>9.65</v>
      </c>
      <c r="R23" s="196"/>
      <c r="S23" s="196"/>
      <c r="T23" s="196"/>
      <c r="U23" s="196"/>
    </row>
    <row r="24" spans="1:21" s="12" customFormat="1" x14ac:dyDescent="0.25">
      <c r="A24" s="211" t="s">
        <v>548</v>
      </c>
      <c r="B24" s="64">
        <v>33.229999999999997</v>
      </c>
      <c r="C24" s="64">
        <v>13.59</v>
      </c>
      <c r="D24" s="64">
        <v>32.369999999999997</v>
      </c>
      <c r="E24" s="64">
        <v>6.24</v>
      </c>
      <c r="F24" s="64">
        <v>3.97</v>
      </c>
      <c r="G24" s="64">
        <v>85.5</v>
      </c>
      <c r="H24" s="64">
        <v>39.090000000000003</v>
      </c>
      <c r="I24" s="64">
        <v>6.65</v>
      </c>
      <c r="J24" s="64">
        <v>0.42</v>
      </c>
      <c r="K24" s="64">
        <v>198.4</v>
      </c>
      <c r="L24" s="64">
        <v>20.309999999999999</v>
      </c>
      <c r="M24" s="64">
        <v>98.03</v>
      </c>
      <c r="N24" s="64">
        <v>25.3</v>
      </c>
      <c r="O24" s="64">
        <v>0</v>
      </c>
      <c r="P24" s="64">
        <v>0.95</v>
      </c>
      <c r="Q24" s="64">
        <v>9.64</v>
      </c>
      <c r="R24" s="196"/>
      <c r="S24" s="196"/>
      <c r="T24" s="196"/>
      <c r="U24" s="196"/>
    </row>
    <row r="25" spans="1:21" s="12" customFormat="1" x14ac:dyDescent="0.25">
      <c r="A25" s="211" t="s">
        <v>549</v>
      </c>
      <c r="B25" s="64">
        <v>31.81</v>
      </c>
      <c r="C25" s="64">
        <v>13.79</v>
      </c>
      <c r="D25" s="64">
        <v>31.34</v>
      </c>
      <c r="E25" s="64">
        <v>6.65</v>
      </c>
      <c r="F25" s="64">
        <v>3.71</v>
      </c>
      <c r="G25" s="64">
        <v>85.5</v>
      </c>
      <c r="H25" s="64">
        <v>39.090000000000003</v>
      </c>
      <c r="I25" s="64">
        <v>6.61</v>
      </c>
      <c r="J25" s="64">
        <v>0.37</v>
      </c>
      <c r="K25" s="64">
        <v>269.14999999999998</v>
      </c>
      <c r="L25" s="64">
        <v>20.39</v>
      </c>
      <c r="M25" s="64">
        <v>97.69</v>
      </c>
      <c r="N25" s="64">
        <v>26</v>
      </c>
      <c r="O25" s="64">
        <v>0</v>
      </c>
      <c r="P25" s="64">
        <v>0.93</v>
      </c>
      <c r="Q25" s="64">
        <v>9.61</v>
      </c>
      <c r="R25" s="196"/>
      <c r="S25" s="196"/>
      <c r="T25" s="196"/>
      <c r="U25" s="196"/>
    </row>
    <row r="26" spans="1:21" s="12" customFormat="1" x14ac:dyDescent="0.25">
      <c r="A26" s="211" t="s">
        <v>550</v>
      </c>
      <c r="B26" s="64">
        <v>31.05</v>
      </c>
      <c r="C26" s="64">
        <v>13.93</v>
      </c>
      <c r="D26" s="64">
        <v>30.8</v>
      </c>
      <c r="E26" s="64">
        <v>6.65</v>
      </c>
      <c r="F26" s="64">
        <v>4.03</v>
      </c>
      <c r="G26" s="64">
        <v>83.14</v>
      </c>
      <c r="H26" s="64">
        <v>31.21</v>
      </c>
      <c r="I26" s="64">
        <v>6.54</v>
      </c>
      <c r="J26" s="64">
        <v>0.7</v>
      </c>
      <c r="K26" s="64">
        <v>182.3</v>
      </c>
      <c r="L26" s="64">
        <v>20.69</v>
      </c>
      <c r="M26" s="64">
        <v>94.57</v>
      </c>
      <c r="N26" s="64">
        <v>25.1</v>
      </c>
      <c r="O26" s="64">
        <v>0</v>
      </c>
      <c r="P26" s="64">
        <v>0.92</v>
      </c>
      <c r="Q26" s="64">
        <v>9.6199999999999992</v>
      </c>
      <c r="R26" s="196"/>
      <c r="S26" s="196"/>
      <c r="T26" s="196"/>
      <c r="U26" s="196"/>
    </row>
    <row r="27" spans="1:21" s="12" customFormat="1" x14ac:dyDescent="0.25">
      <c r="A27" s="211" t="s">
        <v>551</v>
      </c>
      <c r="B27" s="64">
        <v>30.35</v>
      </c>
      <c r="C27" s="64">
        <v>13.87</v>
      </c>
      <c r="D27" s="64">
        <v>30.21</v>
      </c>
      <c r="E27" s="64">
        <v>6.7</v>
      </c>
      <c r="F27" s="64">
        <v>3.93</v>
      </c>
      <c r="G27" s="64">
        <v>81.7</v>
      </c>
      <c r="H27" s="64">
        <v>29.49</v>
      </c>
      <c r="I27" s="64">
        <v>6.08</v>
      </c>
      <c r="J27" s="64">
        <v>0.27</v>
      </c>
      <c r="K27" s="64">
        <v>312.37</v>
      </c>
      <c r="L27" s="64">
        <v>20.65</v>
      </c>
      <c r="M27" s="64">
        <v>95.15</v>
      </c>
      <c r="N27" s="64">
        <v>26.3</v>
      </c>
      <c r="O27" s="64">
        <v>0</v>
      </c>
      <c r="P27" s="64">
        <v>0.91</v>
      </c>
      <c r="Q27" s="64">
        <v>9.6199999999999992</v>
      </c>
      <c r="R27" s="196"/>
      <c r="S27" s="196"/>
      <c r="T27" s="196"/>
      <c r="U27" s="196"/>
    </row>
    <row r="28" spans="1:21" s="12" customFormat="1" x14ac:dyDescent="0.25">
      <c r="A28" s="211" t="s">
        <v>552</v>
      </c>
      <c r="B28" s="64">
        <v>29.84</v>
      </c>
      <c r="C28" s="64">
        <v>12.69</v>
      </c>
      <c r="D28" s="64">
        <v>29.19</v>
      </c>
      <c r="E28" s="64">
        <v>6.35</v>
      </c>
      <c r="F28" s="64">
        <v>4.04</v>
      </c>
      <c r="G28" s="64">
        <v>81.7</v>
      </c>
      <c r="H28" s="64">
        <v>29.49</v>
      </c>
      <c r="I28" s="64">
        <v>5.83</v>
      </c>
      <c r="J28" s="64">
        <v>0.21</v>
      </c>
      <c r="K28" s="64">
        <v>332</v>
      </c>
      <c r="L28" s="64">
        <v>19.829999999999998</v>
      </c>
      <c r="M28" s="64">
        <v>101.26</v>
      </c>
      <c r="N28" s="64">
        <v>26.1</v>
      </c>
      <c r="O28" s="64">
        <v>0</v>
      </c>
      <c r="P28" s="64">
        <v>0.87</v>
      </c>
      <c r="Q28" s="64">
        <v>9.6199999999999992</v>
      </c>
      <c r="R28" s="196"/>
      <c r="S28" s="196"/>
      <c r="T28" s="196"/>
      <c r="U28" s="196"/>
    </row>
    <row r="29" spans="1:21" s="12" customFormat="1" x14ac:dyDescent="0.25">
      <c r="A29" s="211" t="s">
        <v>553</v>
      </c>
      <c r="B29" s="64">
        <v>29.71</v>
      </c>
      <c r="C29" s="64">
        <v>11.73</v>
      </c>
      <c r="D29" s="64">
        <v>28.58</v>
      </c>
      <c r="E29" s="64">
        <v>6.09</v>
      </c>
      <c r="F29" s="64">
        <v>3.95</v>
      </c>
      <c r="G29" s="64">
        <v>81.7</v>
      </c>
      <c r="H29" s="64">
        <v>29.49</v>
      </c>
      <c r="I29" s="64">
        <v>5.47</v>
      </c>
      <c r="J29" s="64">
        <v>0.25</v>
      </c>
      <c r="K29" s="64">
        <v>312.7</v>
      </c>
      <c r="L29" s="64">
        <v>19.46</v>
      </c>
      <c r="M29" s="64">
        <v>102.71</v>
      </c>
      <c r="N29" s="64">
        <v>26</v>
      </c>
      <c r="O29" s="64">
        <v>0</v>
      </c>
      <c r="P29" s="64">
        <v>0.85</v>
      </c>
      <c r="Q29" s="64">
        <v>9.6199999999999992</v>
      </c>
      <c r="R29" s="196"/>
      <c r="S29" s="196"/>
      <c r="T29" s="196"/>
      <c r="U29" s="196"/>
    </row>
    <row r="30" spans="1:21" s="12" customFormat="1" x14ac:dyDescent="0.25">
      <c r="A30" s="211" t="s">
        <v>554</v>
      </c>
      <c r="B30" s="64">
        <v>29.51</v>
      </c>
      <c r="C30" s="64">
        <v>11.51</v>
      </c>
      <c r="D30" s="64">
        <v>28.3</v>
      </c>
      <c r="E30" s="64">
        <v>6.25</v>
      </c>
      <c r="F30" s="64">
        <v>3.88</v>
      </c>
      <c r="G30" s="64">
        <v>88.91</v>
      </c>
      <c r="H30" s="64">
        <v>54.08</v>
      </c>
      <c r="I30" s="64">
        <v>4.99</v>
      </c>
      <c r="J30" s="64">
        <v>0.18</v>
      </c>
      <c r="K30" s="64">
        <v>190.93</v>
      </c>
      <c r="L30" s="64">
        <v>19.47</v>
      </c>
      <c r="M30" s="64">
        <v>101.11</v>
      </c>
      <c r="N30" s="64">
        <v>26</v>
      </c>
      <c r="O30" s="64">
        <v>0</v>
      </c>
      <c r="P30" s="64">
        <v>0.79</v>
      </c>
      <c r="Q30" s="64">
        <v>9.6300000000000008</v>
      </c>
      <c r="R30" s="196"/>
      <c r="S30" s="196"/>
      <c r="T30" s="196"/>
      <c r="U30" s="196"/>
    </row>
    <row r="31" spans="1:21" s="12" customFormat="1" x14ac:dyDescent="0.25">
      <c r="A31" s="211" t="s">
        <v>555</v>
      </c>
      <c r="B31" s="64">
        <v>28.95</v>
      </c>
      <c r="C31" s="64">
        <v>11.31</v>
      </c>
      <c r="D31" s="64">
        <v>27.75</v>
      </c>
      <c r="E31" s="64">
        <v>6.28</v>
      </c>
      <c r="F31" s="64">
        <v>3.76</v>
      </c>
      <c r="G31" s="64">
        <v>93.29</v>
      </c>
      <c r="H31" s="64">
        <v>59.45</v>
      </c>
      <c r="I31" s="64">
        <v>4.84</v>
      </c>
      <c r="J31" s="64">
        <v>0.26</v>
      </c>
      <c r="K31" s="64">
        <v>156.57</v>
      </c>
      <c r="L31" s="64">
        <v>19.579999999999998</v>
      </c>
      <c r="M31" s="64">
        <v>98.75</v>
      </c>
      <c r="N31" s="64">
        <v>25.8</v>
      </c>
      <c r="O31" s="64">
        <v>0</v>
      </c>
      <c r="P31" s="64">
        <v>0.81</v>
      </c>
      <c r="Q31" s="64">
        <v>9.6199999999999992</v>
      </c>
      <c r="R31" s="196"/>
      <c r="S31" s="196"/>
      <c r="T31" s="196"/>
      <c r="U31" s="196"/>
    </row>
    <row r="32" spans="1:21" s="12" customFormat="1" x14ac:dyDescent="0.25">
      <c r="A32" s="211" t="s">
        <v>556</v>
      </c>
      <c r="B32" s="64">
        <v>28.4</v>
      </c>
      <c r="C32" s="64">
        <v>11.27</v>
      </c>
      <c r="D32" s="64">
        <v>27.28</v>
      </c>
      <c r="E32" s="64">
        <v>6.48</v>
      </c>
      <c r="F32" s="64">
        <v>3.36</v>
      </c>
      <c r="G32" s="64">
        <v>93.29</v>
      </c>
      <c r="H32" s="64">
        <v>59.45</v>
      </c>
      <c r="I32" s="64">
        <v>4.7699999999999996</v>
      </c>
      <c r="J32" s="64">
        <v>0.23</v>
      </c>
      <c r="K32" s="64">
        <v>268.14</v>
      </c>
      <c r="L32" s="64">
        <v>19.28</v>
      </c>
      <c r="M32" s="64">
        <v>101.23</v>
      </c>
      <c r="N32" s="64">
        <v>26.2</v>
      </c>
      <c r="O32" s="64">
        <v>0</v>
      </c>
      <c r="P32" s="64">
        <v>0.74</v>
      </c>
      <c r="Q32" s="64">
        <v>9.61</v>
      </c>
      <c r="R32" s="196"/>
      <c r="S32" s="196"/>
      <c r="T32" s="196"/>
      <c r="U32" s="196"/>
    </row>
    <row r="33" spans="1:21" s="12" customFormat="1" x14ac:dyDescent="0.25">
      <c r="A33" s="211" t="s">
        <v>557</v>
      </c>
      <c r="B33" s="64">
        <v>28.28</v>
      </c>
      <c r="C33" s="64">
        <v>11.05</v>
      </c>
      <c r="D33" s="64">
        <v>27.08</v>
      </c>
      <c r="E33" s="64">
        <v>6.37</v>
      </c>
      <c r="F33" s="64">
        <v>4.3099999999999996</v>
      </c>
      <c r="G33" s="64">
        <v>93.29</v>
      </c>
      <c r="H33" s="64">
        <v>59.45</v>
      </c>
      <c r="I33" s="64">
        <v>4.3</v>
      </c>
      <c r="J33" s="64">
        <v>0.24</v>
      </c>
      <c r="K33" s="64">
        <v>188.58</v>
      </c>
      <c r="L33" s="64">
        <v>19.04</v>
      </c>
      <c r="M33" s="64">
        <v>102.62</v>
      </c>
      <c r="N33" s="64">
        <v>28.4</v>
      </c>
      <c r="O33" s="64">
        <v>0</v>
      </c>
      <c r="P33" s="64">
        <v>0.8</v>
      </c>
      <c r="Q33" s="64">
        <v>9.6199999999999992</v>
      </c>
      <c r="R33" s="196"/>
      <c r="S33" s="196"/>
      <c r="T33" s="196"/>
      <c r="U33" s="196"/>
    </row>
    <row r="34" spans="1:21" s="12" customFormat="1" x14ac:dyDescent="0.25">
      <c r="A34" s="211" t="s">
        <v>558</v>
      </c>
      <c r="B34" s="64">
        <v>28.1</v>
      </c>
      <c r="C34" s="64">
        <v>11.01</v>
      </c>
      <c r="D34" s="64">
        <v>26.91</v>
      </c>
      <c r="E34" s="64">
        <v>6.59</v>
      </c>
      <c r="F34" s="64">
        <v>3.22</v>
      </c>
      <c r="G34" s="64">
        <v>88.04</v>
      </c>
      <c r="H34" s="64">
        <v>38.39</v>
      </c>
      <c r="I34" s="64">
        <v>4.47</v>
      </c>
      <c r="J34" s="64">
        <v>0.12</v>
      </c>
      <c r="K34" s="64">
        <v>336.47</v>
      </c>
      <c r="L34" s="64">
        <v>19.07</v>
      </c>
      <c r="M34" s="64">
        <v>102.14</v>
      </c>
      <c r="N34" s="64">
        <v>37.299999999999997</v>
      </c>
      <c r="O34" s="64">
        <v>0</v>
      </c>
      <c r="P34" s="64">
        <v>0.78</v>
      </c>
      <c r="Q34" s="64">
        <v>9.6300000000000008</v>
      </c>
      <c r="R34" s="196"/>
      <c r="S34" s="196"/>
      <c r="T34" s="196"/>
      <c r="U34" s="196"/>
    </row>
    <row r="35" spans="1:21" s="12" customFormat="1" x14ac:dyDescent="0.25">
      <c r="A35" s="211" t="s">
        <v>559</v>
      </c>
      <c r="B35" s="64">
        <v>28.14</v>
      </c>
      <c r="C35" s="64">
        <v>11.1</v>
      </c>
      <c r="D35" s="64">
        <v>26.99</v>
      </c>
      <c r="E35" s="64">
        <v>6.5</v>
      </c>
      <c r="F35" s="64">
        <v>3.75</v>
      </c>
      <c r="G35" s="64">
        <v>84.85</v>
      </c>
      <c r="H35" s="64">
        <v>33.79</v>
      </c>
      <c r="I35" s="64">
        <v>4.58</v>
      </c>
      <c r="J35" s="64">
        <v>0.14000000000000001</v>
      </c>
      <c r="K35" s="64">
        <v>16.66</v>
      </c>
      <c r="L35" s="64">
        <v>19.25</v>
      </c>
      <c r="M35" s="64">
        <v>101.55</v>
      </c>
      <c r="N35" s="64">
        <v>52.2</v>
      </c>
      <c r="O35" s="64">
        <v>0</v>
      </c>
      <c r="P35" s="64">
        <v>0.85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560</v>
      </c>
      <c r="B36" s="64">
        <v>28.44</v>
      </c>
      <c r="C36" s="64">
        <v>12.14</v>
      </c>
      <c r="D36" s="64">
        <v>27.77</v>
      </c>
      <c r="E36" s="64">
        <v>6.86</v>
      </c>
      <c r="F36" s="64">
        <v>4.09</v>
      </c>
      <c r="G36" s="64">
        <v>84.85</v>
      </c>
      <c r="H36" s="64">
        <v>33.79</v>
      </c>
      <c r="I36" s="64">
        <v>4.68</v>
      </c>
      <c r="J36" s="64">
        <v>0.26</v>
      </c>
      <c r="K36" s="64">
        <v>117.7</v>
      </c>
      <c r="L36" s="64">
        <v>19.77</v>
      </c>
      <c r="M36" s="64">
        <v>98.77</v>
      </c>
      <c r="N36" s="64">
        <v>70.599999999999994</v>
      </c>
      <c r="O36" s="64">
        <v>0</v>
      </c>
      <c r="P36" s="64">
        <v>0.84</v>
      </c>
      <c r="Q36" s="64">
        <v>9.61</v>
      </c>
      <c r="R36" s="196"/>
      <c r="S36" s="196"/>
      <c r="T36" s="196"/>
      <c r="U36" s="196"/>
    </row>
    <row r="37" spans="1:21" s="12" customFormat="1" x14ac:dyDescent="0.25">
      <c r="A37" s="211" t="s">
        <v>561</v>
      </c>
      <c r="B37" s="64">
        <v>28.53</v>
      </c>
      <c r="C37" s="64">
        <v>12.22</v>
      </c>
      <c r="D37" s="64">
        <v>27.89</v>
      </c>
      <c r="E37" s="64">
        <v>6.94</v>
      </c>
      <c r="F37" s="64">
        <v>4.08</v>
      </c>
      <c r="G37" s="64">
        <v>84.85</v>
      </c>
      <c r="H37" s="64">
        <v>33.79</v>
      </c>
      <c r="I37" s="64">
        <v>5.0599999999999996</v>
      </c>
      <c r="J37" s="64">
        <v>0.71</v>
      </c>
      <c r="K37" s="64">
        <v>145.68</v>
      </c>
      <c r="L37" s="64">
        <v>20.56</v>
      </c>
      <c r="M37" s="64">
        <v>94.91</v>
      </c>
      <c r="N37" s="64">
        <v>108.1</v>
      </c>
      <c r="O37" s="64">
        <v>0</v>
      </c>
      <c r="P37" s="64">
        <v>0.82</v>
      </c>
      <c r="Q37" s="64">
        <v>9.61</v>
      </c>
      <c r="R37" s="196"/>
      <c r="S37" s="196"/>
      <c r="T37" s="196"/>
      <c r="U37" s="196"/>
    </row>
    <row r="38" spans="1:21" s="12" customFormat="1" x14ac:dyDescent="0.25">
      <c r="A38" s="211" t="s">
        <v>562</v>
      </c>
      <c r="B38" s="64">
        <v>27.91</v>
      </c>
      <c r="C38" s="64">
        <v>12.2</v>
      </c>
      <c r="D38" s="64">
        <v>27.38</v>
      </c>
      <c r="E38" s="64">
        <v>6.81</v>
      </c>
      <c r="F38" s="64">
        <v>4.68</v>
      </c>
      <c r="G38" s="64">
        <v>92.39</v>
      </c>
      <c r="H38" s="64">
        <v>44.85</v>
      </c>
      <c r="I38" s="64">
        <v>5.21</v>
      </c>
      <c r="J38" s="64">
        <v>0.49</v>
      </c>
      <c r="K38" s="64">
        <v>182.7</v>
      </c>
      <c r="L38" s="64">
        <v>21.5</v>
      </c>
      <c r="M38" s="64">
        <v>89.96</v>
      </c>
      <c r="N38" s="64">
        <v>167</v>
      </c>
      <c r="O38" s="64">
        <v>0</v>
      </c>
      <c r="P38" s="64">
        <v>0.83</v>
      </c>
      <c r="Q38" s="64">
        <v>9.6199999999999992</v>
      </c>
      <c r="R38" s="196"/>
      <c r="S38" s="196"/>
      <c r="T38" s="196"/>
      <c r="U38" s="196"/>
    </row>
    <row r="39" spans="1:21" s="12" customFormat="1" x14ac:dyDescent="0.25">
      <c r="A39" s="211" t="s">
        <v>563</v>
      </c>
      <c r="B39" s="64">
        <v>26.87</v>
      </c>
      <c r="C39" s="64">
        <v>12.34</v>
      </c>
      <c r="D39" s="64">
        <v>26.62</v>
      </c>
      <c r="E39" s="64">
        <v>6.52</v>
      </c>
      <c r="F39" s="64">
        <v>4.03</v>
      </c>
      <c r="G39" s="64">
        <v>97.19</v>
      </c>
      <c r="H39" s="64">
        <v>49.13</v>
      </c>
      <c r="I39" s="64">
        <v>5.24</v>
      </c>
      <c r="J39" s="64">
        <v>0.7</v>
      </c>
      <c r="K39" s="64">
        <v>131.58000000000001</v>
      </c>
      <c r="L39" s="64">
        <v>22.34</v>
      </c>
      <c r="M39" s="64">
        <v>85.66</v>
      </c>
      <c r="N39" s="64">
        <v>214</v>
      </c>
      <c r="O39" s="64">
        <v>0</v>
      </c>
      <c r="P39" s="64">
        <v>0.81</v>
      </c>
      <c r="Q39" s="64">
        <v>9.61</v>
      </c>
      <c r="R39" s="196"/>
      <c r="S39" s="196"/>
      <c r="T39" s="196"/>
      <c r="U39" s="196"/>
    </row>
    <row r="40" spans="1:21" s="12" customFormat="1" x14ac:dyDescent="0.25">
      <c r="A40" s="211" t="s">
        <v>564</v>
      </c>
      <c r="B40" s="64">
        <v>25.49</v>
      </c>
      <c r="C40" s="64">
        <v>12.47</v>
      </c>
      <c r="D40" s="64">
        <v>25.57</v>
      </c>
      <c r="E40" s="64">
        <v>5.6</v>
      </c>
      <c r="F40" s="64">
        <v>4.0599999999999996</v>
      </c>
      <c r="G40" s="64">
        <v>97.19</v>
      </c>
      <c r="H40" s="64">
        <v>49.13</v>
      </c>
      <c r="I40" s="64">
        <v>5.25</v>
      </c>
      <c r="J40" s="64">
        <v>0.35</v>
      </c>
      <c r="K40" s="64">
        <v>92.42</v>
      </c>
      <c r="L40" s="64">
        <v>22.68</v>
      </c>
      <c r="M40" s="64">
        <v>84.01</v>
      </c>
      <c r="N40" s="64">
        <v>260.8</v>
      </c>
      <c r="O40" s="64">
        <v>0</v>
      </c>
      <c r="P40" s="64">
        <v>0.79</v>
      </c>
      <c r="Q40" s="64">
        <v>9.61</v>
      </c>
      <c r="R40" s="196"/>
      <c r="S40" s="196"/>
      <c r="T40" s="196"/>
      <c r="U40" s="196"/>
    </row>
    <row r="41" spans="1:21" s="12" customFormat="1" x14ac:dyDescent="0.25">
      <c r="A41" s="211" t="s">
        <v>565</v>
      </c>
      <c r="B41" s="64">
        <v>23.73</v>
      </c>
      <c r="C41" s="64">
        <v>12.61</v>
      </c>
      <c r="D41" s="64">
        <v>24.24</v>
      </c>
      <c r="E41" s="64">
        <v>6.26</v>
      </c>
      <c r="F41" s="64">
        <v>3.54</v>
      </c>
      <c r="G41" s="64">
        <v>97.19</v>
      </c>
      <c r="H41" s="64">
        <v>49.13</v>
      </c>
      <c r="I41" s="64">
        <v>5.15</v>
      </c>
      <c r="J41" s="64">
        <v>0.96</v>
      </c>
      <c r="K41" s="64">
        <v>128.37</v>
      </c>
      <c r="L41" s="64">
        <v>23.18</v>
      </c>
      <c r="M41" s="64">
        <v>80.67</v>
      </c>
      <c r="N41" s="64">
        <v>309.89999999999998</v>
      </c>
      <c r="O41" s="64">
        <v>0</v>
      </c>
      <c r="P41" s="64">
        <v>0.78</v>
      </c>
      <c r="Q41" s="64">
        <v>9.6300000000000008</v>
      </c>
      <c r="R41" s="196"/>
      <c r="S41" s="196"/>
      <c r="T41" s="196"/>
      <c r="U41" s="196"/>
    </row>
    <row r="42" spans="1:21" s="12" customFormat="1" x14ac:dyDescent="0.25">
      <c r="A42" s="211" t="s">
        <v>566</v>
      </c>
      <c r="B42" s="64">
        <v>21.92</v>
      </c>
      <c r="C42" s="64">
        <v>12.9</v>
      </c>
      <c r="D42" s="64">
        <v>22.95</v>
      </c>
      <c r="E42" s="64">
        <v>6.06</v>
      </c>
      <c r="F42" s="64">
        <v>3.82</v>
      </c>
      <c r="G42" s="64">
        <v>96.65</v>
      </c>
      <c r="H42" s="64">
        <v>37.450000000000003</v>
      </c>
      <c r="I42" s="64">
        <v>5.0999999999999996</v>
      </c>
      <c r="J42" s="64">
        <v>1.08</v>
      </c>
      <c r="K42" s="64">
        <v>136.15</v>
      </c>
      <c r="L42" s="64">
        <v>24.04</v>
      </c>
      <c r="M42" s="64">
        <v>77.8</v>
      </c>
      <c r="N42" s="64">
        <v>352.7</v>
      </c>
      <c r="O42" s="64">
        <v>0</v>
      </c>
      <c r="P42" s="64">
        <v>0.76</v>
      </c>
      <c r="Q42" s="64">
        <v>9.6199999999999992</v>
      </c>
      <c r="R42" s="196"/>
      <c r="S42" s="196"/>
      <c r="T42" s="196"/>
      <c r="U42" s="196"/>
    </row>
    <row r="43" spans="1:21" s="12" customFormat="1" x14ac:dyDescent="0.25">
      <c r="A43" s="211" t="s">
        <v>567</v>
      </c>
      <c r="B43" s="64">
        <v>20.21</v>
      </c>
      <c r="C43" s="64">
        <v>13.37</v>
      </c>
      <c r="D43" s="64">
        <v>21.82</v>
      </c>
      <c r="E43" s="64">
        <v>5.94</v>
      </c>
      <c r="F43" s="64">
        <v>3.57</v>
      </c>
      <c r="G43" s="64">
        <v>96.33</v>
      </c>
      <c r="H43" s="64">
        <v>34.9</v>
      </c>
      <c r="I43" s="64">
        <v>5.07</v>
      </c>
      <c r="J43" s="64">
        <v>1.25</v>
      </c>
      <c r="K43" s="64">
        <v>137.29</v>
      </c>
      <c r="L43" s="64">
        <v>24.8</v>
      </c>
      <c r="M43" s="64">
        <v>76.010000000000005</v>
      </c>
      <c r="N43" s="64">
        <v>392.6</v>
      </c>
      <c r="O43" s="64">
        <v>0</v>
      </c>
      <c r="P43" s="64">
        <v>0.74</v>
      </c>
      <c r="Q43" s="64">
        <v>9.6199999999999992</v>
      </c>
      <c r="R43" s="196"/>
      <c r="S43" s="196"/>
      <c r="T43" s="196"/>
      <c r="U43" s="196"/>
    </row>
    <row r="44" spans="1:21" s="12" customFormat="1" x14ac:dyDescent="0.25">
      <c r="A44" s="211" t="s">
        <v>568</v>
      </c>
      <c r="B44" s="64">
        <v>18.489999999999998</v>
      </c>
      <c r="C44" s="64">
        <v>13.84</v>
      </c>
      <c r="D44" s="64">
        <v>20.68</v>
      </c>
      <c r="E44" s="64">
        <v>6.07</v>
      </c>
      <c r="F44" s="64">
        <v>4.03</v>
      </c>
      <c r="G44" s="64">
        <v>96.33</v>
      </c>
      <c r="H44" s="64">
        <v>34.9</v>
      </c>
      <c r="I44" s="64">
        <v>5.1100000000000003</v>
      </c>
      <c r="J44" s="64">
        <v>0.12</v>
      </c>
      <c r="K44" s="64">
        <v>83.29</v>
      </c>
      <c r="L44" s="64">
        <v>26.5</v>
      </c>
      <c r="M44" s="64">
        <v>69.22</v>
      </c>
      <c r="N44" s="64">
        <v>430.7</v>
      </c>
      <c r="O44" s="64">
        <v>0</v>
      </c>
      <c r="P44" s="64">
        <v>0.72</v>
      </c>
      <c r="Q44" s="64">
        <v>9.61</v>
      </c>
      <c r="R44" s="196"/>
      <c r="S44" s="196"/>
      <c r="T44" s="196"/>
      <c r="U44" s="196"/>
    </row>
    <row r="45" spans="1:21" s="12" customFormat="1" x14ac:dyDescent="0.25">
      <c r="A45" s="211" t="s">
        <v>569</v>
      </c>
      <c r="B45" s="64">
        <v>17.11</v>
      </c>
      <c r="C45" s="64">
        <v>13.05</v>
      </c>
      <c r="D45" s="64">
        <v>19.16</v>
      </c>
      <c r="E45" s="64">
        <v>6.04</v>
      </c>
      <c r="F45" s="64">
        <v>4.24</v>
      </c>
      <c r="G45" s="64">
        <v>96.33</v>
      </c>
      <c r="H45" s="64">
        <v>34.9</v>
      </c>
      <c r="I45" s="64">
        <v>5.15</v>
      </c>
      <c r="J45" s="64">
        <v>1.21</v>
      </c>
      <c r="K45" s="64">
        <v>139.62</v>
      </c>
      <c r="L45" s="64">
        <v>27.04</v>
      </c>
      <c r="M45" s="64">
        <v>66.430000000000007</v>
      </c>
      <c r="N45" s="64">
        <v>475.4</v>
      </c>
      <c r="O45" s="64">
        <v>0</v>
      </c>
      <c r="P45" s="64">
        <v>0.69</v>
      </c>
      <c r="Q45" s="64">
        <v>9.61</v>
      </c>
      <c r="R45" s="196"/>
      <c r="S45" s="196"/>
      <c r="T45" s="196"/>
      <c r="U45" s="196"/>
    </row>
    <row r="46" spans="1:21" s="12" customFormat="1" x14ac:dyDescent="0.25">
      <c r="A46" s="211" t="s">
        <v>570</v>
      </c>
      <c r="B46" s="64">
        <v>15.82</v>
      </c>
      <c r="C46" s="64">
        <v>12.72</v>
      </c>
      <c r="D46" s="64">
        <v>17.96</v>
      </c>
      <c r="E46" s="64">
        <v>5.93</v>
      </c>
      <c r="F46" s="64">
        <v>4.46</v>
      </c>
      <c r="G46" s="64">
        <v>92.2</v>
      </c>
      <c r="H46" s="64">
        <v>36.1</v>
      </c>
      <c r="I46" s="64">
        <v>4.99</v>
      </c>
      <c r="J46" s="64">
        <v>0.9</v>
      </c>
      <c r="K46" s="64">
        <v>130.07</v>
      </c>
      <c r="L46" s="64">
        <v>27.28</v>
      </c>
      <c r="M46" s="64">
        <v>63.73</v>
      </c>
      <c r="N46" s="64">
        <v>510.9</v>
      </c>
      <c r="O46" s="64">
        <v>0</v>
      </c>
      <c r="P46" s="64">
        <v>0.67</v>
      </c>
      <c r="Q46" s="64">
        <v>9.6199999999999992</v>
      </c>
      <c r="R46" s="196"/>
      <c r="S46" s="196"/>
      <c r="T46" s="196"/>
      <c r="U46" s="196"/>
    </row>
    <row r="47" spans="1:21" s="12" customFormat="1" x14ac:dyDescent="0.25">
      <c r="A47" s="211" t="s">
        <v>571</v>
      </c>
      <c r="B47" s="64">
        <v>14.49</v>
      </c>
      <c r="C47" s="64">
        <v>12.88</v>
      </c>
      <c r="D47" s="64">
        <v>16.97</v>
      </c>
      <c r="E47" s="64">
        <v>5.91</v>
      </c>
      <c r="F47" s="64">
        <v>4.13</v>
      </c>
      <c r="G47" s="64">
        <v>89.7</v>
      </c>
      <c r="H47" s="64">
        <v>36.369999999999997</v>
      </c>
      <c r="I47" s="64">
        <v>4.87</v>
      </c>
      <c r="J47" s="64">
        <v>0.24</v>
      </c>
      <c r="K47" s="64">
        <v>48</v>
      </c>
      <c r="L47" s="64">
        <v>28.82</v>
      </c>
      <c r="M47" s="64">
        <v>60.24</v>
      </c>
      <c r="N47" s="64">
        <v>537.9</v>
      </c>
      <c r="O47" s="64">
        <v>0</v>
      </c>
      <c r="P47" s="64">
        <v>0.66</v>
      </c>
      <c r="Q47" s="64">
        <v>9.61</v>
      </c>
      <c r="R47" s="196"/>
      <c r="S47" s="196"/>
      <c r="T47" s="196"/>
      <c r="U47" s="196"/>
    </row>
    <row r="48" spans="1:21" s="12" customFormat="1" x14ac:dyDescent="0.25">
      <c r="A48" s="211" t="s">
        <v>572</v>
      </c>
      <c r="B48" s="64">
        <v>13.3</v>
      </c>
      <c r="C48" s="64">
        <v>13.15</v>
      </c>
      <c r="D48" s="64">
        <v>16.16</v>
      </c>
      <c r="E48" s="64">
        <v>5.97</v>
      </c>
      <c r="F48" s="64">
        <v>4.1900000000000004</v>
      </c>
      <c r="G48" s="64">
        <v>89.7</v>
      </c>
      <c r="H48" s="64">
        <v>36.369999999999997</v>
      </c>
      <c r="I48" s="64">
        <v>4.82</v>
      </c>
      <c r="J48" s="64">
        <v>0.17</v>
      </c>
      <c r="K48" s="64">
        <v>73.64</v>
      </c>
      <c r="L48" s="64">
        <v>29.94</v>
      </c>
      <c r="M48" s="64">
        <v>55.91</v>
      </c>
      <c r="N48" s="64">
        <v>572.5</v>
      </c>
      <c r="O48" s="64">
        <v>0</v>
      </c>
      <c r="P48" s="64">
        <v>0.62</v>
      </c>
      <c r="Q48" s="64">
        <v>9.6199999999999992</v>
      </c>
      <c r="R48" s="196"/>
      <c r="S48" s="196"/>
      <c r="T48" s="196"/>
      <c r="U48" s="196"/>
    </row>
    <row r="49" spans="1:21" s="12" customFormat="1" x14ac:dyDescent="0.25">
      <c r="A49" s="211" t="s">
        <v>573</v>
      </c>
      <c r="B49" s="64">
        <v>11.81</v>
      </c>
      <c r="C49" s="64">
        <v>13.41</v>
      </c>
      <c r="D49" s="64">
        <v>15.1</v>
      </c>
      <c r="E49" s="64">
        <v>5.86</v>
      </c>
      <c r="F49" s="64">
        <v>4.38</v>
      </c>
      <c r="G49" s="64">
        <v>89.7</v>
      </c>
      <c r="H49" s="64">
        <v>36.369999999999997</v>
      </c>
      <c r="I49" s="64">
        <v>4.66</v>
      </c>
      <c r="J49" s="64">
        <v>0.16</v>
      </c>
      <c r="K49" s="64">
        <v>41.46</v>
      </c>
      <c r="L49" s="64">
        <v>29.91</v>
      </c>
      <c r="M49" s="64">
        <v>54.7</v>
      </c>
      <c r="N49" s="64">
        <v>603.5</v>
      </c>
      <c r="O49" s="64">
        <v>0</v>
      </c>
      <c r="P49" s="64">
        <v>0.64</v>
      </c>
      <c r="Q49" s="64">
        <v>9.6199999999999992</v>
      </c>
      <c r="R49" s="196"/>
      <c r="S49" s="196"/>
      <c r="T49" s="196"/>
      <c r="U49" s="196"/>
    </row>
    <row r="50" spans="1:21" s="12" customFormat="1" x14ac:dyDescent="0.25">
      <c r="A50" s="211" t="s">
        <v>574</v>
      </c>
      <c r="B50" s="64">
        <v>10.17</v>
      </c>
      <c r="C50" s="64">
        <v>13.89</v>
      </c>
      <c r="D50" s="64">
        <v>14.04</v>
      </c>
      <c r="E50" s="64">
        <v>6.05</v>
      </c>
      <c r="F50" s="64">
        <v>4.58</v>
      </c>
      <c r="G50" s="64">
        <v>85.69</v>
      </c>
      <c r="H50" s="64">
        <v>34.06</v>
      </c>
      <c r="I50" s="64">
        <v>4.68</v>
      </c>
      <c r="J50" s="64">
        <v>0.53</v>
      </c>
      <c r="K50" s="64">
        <v>123.01</v>
      </c>
      <c r="L50" s="64">
        <v>30.76</v>
      </c>
      <c r="M50" s="64">
        <v>51.58</v>
      </c>
      <c r="N50" s="64">
        <v>635.70000000000005</v>
      </c>
      <c r="O50" s="64">
        <v>0</v>
      </c>
      <c r="P50" s="64">
        <v>0.6</v>
      </c>
      <c r="Q50" s="64">
        <v>9.6199999999999992</v>
      </c>
      <c r="R50" s="196"/>
      <c r="S50" s="196"/>
      <c r="T50" s="196"/>
      <c r="U50" s="196"/>
    </row>
    <row r="51" spans="1:21" s="12" customFormat="1" x14ac:dyDescent="0.25">
      <c r="A51" s="211" t="s">
        <v>575</v>
      </c>
      <c r="B51" s="64">
        <v>8.6</v>
      </c>
      <c r="C51" s="64">
        <v>14.04</v>
      </c>
      <c r="D51" s="64">
        <v>12.85</v>
      </c>
      <c r="E51" s="64">
        <v>5.92</v>
      </c>
      <c r="F51" s="64">
        <v>4</v>
      </c>
      <c r="G51" s="64">
        <v>83.25</v>
      </c>
      <c r="H51" s="64">
        <v>33.549999999999997</v>
      </c>
      <c r="I51" s="64">
        <v>4.7300000000000004</v>
      </c>
      <c r="J51" s="64">
        <v>0.59</v>
      </c>
      <c r="K51" s="64">
        <v>123.47</v>
      </c>
      <c r="L51" s="64">
        <v>30.67</v>
      </c>
      <c r="M51" s="64">
        <v>47.41</v>
      </c>
      <c r="N51" s="64">
        <v>658</v>
      </c>
      <c r="O51" s="64">
        <v>0</v>
      </c>
      <c r="P51" s="64">
        <v>0.63</v>
      </c>
      <c r="Q51" s="64">
        <v>9.6300000000000008</v>
      </c>
      <c r="R51" s="196"/>
      <c r="S51" s="196"/>
      <c r="T51" s="196"/>
      <c r="U51" s="196"/>
    </row>
    <row r="52" spans="1:21" s="12" customFormat="1" x14ac:dyDescent="0.25">
      <c r="A52" s="211" t="s">
        <v>576</v>
      </c>
      <c r="B52" s="64">
        <v>3.94</v>
      </c>
      <c r="C52" s="64">
        <v>15.54</v>
      </c>
      <c r="D52" s="64">
        <v>9.9</v>
      </c>
      <c r="E52" s="64">
        <v>8.8699999999999992</v>
      </c>
      <c r="F52" s="64">
        <v>33.56</v>
      </c>
      <c r="G52" s="64">
        <v>83.25</v>
      </c>
      <c r="H52" s="64">
        <v>33.549999999999997</v>
      </c>
      <c r="I52" s="64">
        <v>4.67</v>
      </c>
      <c r="J52" s="64">
        <v>0.33</v>
      </c>
      <c r="K52" s="64">
        <v>115.49</v>
      </c>
      <c r="L52" s="64">
        <v>29.14</v>
      </c>
      <c r="M52" s="64">
        <v>38.53</v>
      </c>
      <c r="N52" s="64">
        <v>671.3</v>
      </c>
      <c r="O52" s="64">
        <v>0</v>
      </c>
      <c r="P52" s="64">
        <v>0.56000000000000005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577</v>
      </c>
      <c r="B53" s="64">
        <v>0.39</v>
      </c>
      <c r="C53" s="64">
        <v>15.31</v>
      </c>
      <c r="D53" s="64">
        <v>6.93</v>
      </c>
      <c r="E53" s="64">
        <v>8.61</v>
      </c>
      <c r="F53" s="64">
        <v>20.59</v>
      </c>
      <c r="G53" s="64">
        <v>83.25</v>
      </c>
      <c r="H53" s="64">
        <v>33.549999999999997</v>
      </c>
      <c r="I53" s="64">
        <v>5.08</v>
      </c>
      <c r="J53" s="64">
        <v>0.13</v>
      </c>
      <c r="K53" s="64">
        <v>9.9</v>
      </c>
      <c r="L53" s="64">
        <v>29.38</v>
      </c>
      <c r="M53" s="64">
        <v>35.090000000000003</v>
      </c>
      <c r="N53" s="64">
        <v>661.2</v>
      </c>
      <c r="O53" s="64">
        <v>0</v>
      </c>
      <c r="P53" s="64">
        <v>0.49</v>
      </c>
      <c r="Q53" s="64">
        <v>9.6300000000000008</v>
      </c>
      <c r="R53" s="196"/>
      <c r="S53" s="196"/>
      <c r="T53" s="196"/>
      <c r="U53" s="196"/>
    </row>
    <row r="54" spans="1:21" s="12" customFormat="1" x14ac:dyDescent="0.25">
      <c r="A54" s="211" t="s">
        <v>578</v>
      </c>
      <c r="B54" s="64">
        <v>-0.04</v>
      </c>
      <c r="C54" s="64">
        <v>15.78</v>
      </c>
      <c r="D54" s="64">
        <v>6.83</v>
      </c>
      <c r="E54" s="64">
        <v>8.16</v>
      </c>
      <c r="F54" s="64">
        <v>12.85</v>
      </c>
      <c r="G54" s="64">
        <v>83.25</v>
      </c>
      <c r="H54" s="64">
        <v>33.549999999999997</v>
      </c>
      <c r="I54" s="64">
        <v>3.84</v>
      </c>
      <c r="J54" s="64">
        <v>0.41</v>
      </c>
      <c r="K54" s="64">
        <v>333.66</v>
      </c>
      <c r="L54" s="64">
        <v>29.96</v>
      </c>
      <c r="M54" s="64">
        <v>31.28</v>
      </c>
      <c r="N54" s="64">
        <v>680.3</v>
      </c>
      <c r="O54" s="64">
        <v>0</v>
      </c>
      <c r="P54" s="64">
        <v>0.48</v>
      </c>
      <c r="Q54" s="64">
        <v>9.6199999999999992</v>
      </c>
      <c r="R54" s="196"/>
      <c r="S54" s="196"/>
      <c r="T54" s="196"/>
      <c r="U54" s="196"/>
    </row>
    <row r="55" spans="1:21" s="12" customFormat="1" x14ac:dyDescent="0.25">
      <c r="A55" s="211" t="s">
        <v>579</v>
      </c>
      <c r="B55" s="64">
        <v>-0.03</v>
      </c>
      <c r="C55" s="64">
        <v>18.16</v>
      </c>
      <c r="D55" s="64">
        <v>8.09</v>
      </c>
      <c r="E55" s="64">
        <v>7.88</v>
      </c>
      <c r="F55" s="64">
        <v>12</v>
      </c>
      <c r="G55" s="64">
        <v>83.25</v>
      </c>
      <c r="H55" s="64">
        <v>33.549999999999997</v>
      </c>
      <c r="I55" s="64">
        <v>3.34</v>
      </c>
      <c r="J55" s="64">
        <v>0.21</v>
      </c>
      <c r="K55" s="64">
        <v>46.58</v>
      </c>
      <c r="L55" s="64">
        <v>29.81</v>
      </c>
      <c r="M55" s="64">
        <v>31.03</v>
      </c>
      <c r="N55" s="64">
        <v>690.4</v>
      </c>
      <c r="O55" s="64">
        <v>0</v>
      </c>
      <c r="P55" s="64">
        <v>0.47</v>
      </c>
      <c r="Q55" s="64">
        <v>9.61</v>
      </c>
      <c r="R55" s="196"/>
      <c r="S55" s="196"/>
      <c r="T55" s="196"/>
      <c r="U55" s="196"/>
    </row>
    <row r="56" spans="1:21" s="12" customFormat="1" x14ac:dyDescent="0.25">
      <c r="A56" s="211" t="s">
        <v>580</v>
      </c>
      <c r="B56" s="64">
        <v>-0.13</v>
      </c>
      <c r="C56" s="64">
        <v>18.829999999999998</v>
      </c>
      <c r="D56" s="64">
        <v>8.35</v>
      </c>
      <c r="E56" s="64">
        <v>6.31</v>
      </c>
      <c r="F56" s="64">
        <v>12.76</v>
      </c>
      <c r="G56" s="208" t="s">
        <v>40</v>
      </c>
      <c r="H56" s="208" t="s">
        <v>40</v>
      </c>
      <c r="I56" s="64">
        <v>2.99</v>
      </c>
      <c r="J56" s="64">
        <v>0.22</v>
      </c>
      <c r="K56" s="64">
        <v>45.91</v>
      </c>
      <c r="L56" s="64">
        <v>29.82</v>
      </c>
      <c r="M56" s="64">
        <v>30.07</v>
      </c>
      <c r="N56" s="64">
        <v>672.2</v>
      </c>
      <c r="O56" s="64">
        <v>0</v>
      </c>
      <c r="P56" s="64">
        <v>0.42</v>
      </c>
      <c r="Q56" s="64">
        <v>9.6199999999999992</v>
      </c>
      <c r="R56" s="196"/>
      <c r="S56" s="196"/>
      <c r="T56" s="196"/>
      <c r="U56" s="196"/>
    </row>
    <row r="57" spans="1:21" s="12" customFormat="1" x14ac:dyDescent="0.25">
      <c r="A57" s="211" t="s">
        <v>581</v>
      </c>
      <c r="B57" s="64">
        <v>-0.17</v>
      </c>
      <c r="C57" s="64">
        <v>17.5</v>
      </c>
      <c r="D57" s="64">
        <v>7.63</v>
      </c>
      <c r="E57" s="64">
        <v>6.29</v>
      </c>
      <c r="F57" s="64">
        <v>12.59</v>
      </c>
      <c r="G57" s="208" t="s">
        <v>40</v>
      </c>
      <c r="H57" s="208" t="s">
        <v>40</v>
      </c>
      <c r="I57" s="64">
        <v>2.67</v>
      </c>
      <c r="J57" s="64">
        <v>0.61</v>
      </c>
      <c r="K57" s="64">
        <v>126.38</v>
      </c>
      <c r="L57" s="64">
        <v>28.57</v>
      </c>
      <c r="M57" s="64">
        <v>31.77</v>
      </c>
      <c r="N57" s="64">
        <v>653.9</v>
      </c>
      <c r="O57" s="64">
        <v>0</v>
      </c>
      <c r="P57" s="64">
        <v>0.4</v>
      </c>
      <c r="Q57" s="64">
        <v>9.6199999999999992</v>
      </c>
      <c r="R57" s="196"/>
      <c r="S57" s="196"/>
      <c r="T57" s="196"/>
      <c r="U57" s="196"/>
    </row>
    <row r="58" spans="1:21" s="12" customFormat="1" x14ac:dyDescent="0.25">
      <c r="A58" s="211" t="s">
        <v>582</v>
      </c>
      <c r="B58" s="64">
        <v>1.61</v>
      </c>
      <c r="C58" s="64">
        <v>19.45</v>
      </c>
      <c r="D58" s="64">
        <v>10.08</v>
      </c>
      <c r="E58" s="64">
        <v>6.55</v>
      </c>
      <c r="F58" s="64">
        <v>10.62</v>
      </c>
      <c r="G58" s="208" t="s">
        <v>40</v>
      </c>
      <c r="H58" s="208" t="s">
        <v>40</v>
      </c>
      <c r="I58" s="64">
        <v>2.63</v>
      </c>
      <c r="J58" s="64">
        <v>1.32</v>
      </c>
      <c r="K58" s="64">
        <v>332.49</v>
      </c>
      <c r="L58" s="64">
        <v>30.92</v>
      </c>
      <c r="M58" s="64">
        <v>30.19</v>
      </c>
      <c r="N58" s="64">
        <v>628.6</v>
      </c>
      <c r="O58" s="64">
        <v>0</v>
      </c>
      <c r="P58" s="64">
        <v>0.41</v>
      </c>
      <c r="Q58" s="64">
        <v>9.61</v>
      </c>
      <c r="R58" s="196"/>
      <c r="S58" s="196"/>
      <c r="T58" s="196"/>
      <c r="U58" s="196"/>
    </row>
    <row r="59" spans="1:21" s="12" customFormat="1" x14ac:dyDescent="0.25">
      <c r="A59" s="211" t="s">
        <v>583</v>
      </c>
      <c r="B59" s="64">
        <v>1.89</v>
      </c>
      <c r="C59" s="64">
        <v>20.440000000000001</v>
      </c>
      <c r="D59" s="64">
        <v>10.82</v>
      </c>
      <c r="E59" s="64">
        <v>6.98</v>
      </c>
      <c r="F59" s="64">
        <v>12.46</v>
      </c>
      <c r="G59" s="208" t="s">
        <v>40</v>
      </c>
      <c r="H59" s="208" t="s">
        <v>40</v>
      </c>
      <c r="I59" s="64">
        <v>2.83</v>
      </c>
      <c r="J59" s="64">
        <v>0.36</v>
      </c>
      <c r="K59" s="64">
        <v>341.05</v>
      </c>
      <c r="L59" s="64">
        <v>30.31</v>
      </c>
      <c r="M59" s="64">
        <v>31.09</v>
      </c>
      <c r="N59" s="64">
        <v>596.1</v>
      </c>
      <c r="O59" s="64">
        <v>0</v>
      </c>
      <c r="P59" s="64">
        <v>0.41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584</v>
      </c>
      <c r="B60" s="64">
        <v>1.54</v>
      </c>
      <c r="C60" s="64">
        <v>20.74</v>
      </c>
      <c r="D60" s="64">
        <v>10.69</v>
      </c>
      <c r="E60" s="64">
        <v>6.27</v>
      </c>
      <c r="F60" s="64">
        <v>12.18</v>
      </c>
      <c r="G60" s="64">
        <v>31.31</v>
      </c>
      <c r="H60" s="64">
        <v>10.56</v>
      </c>
      <c r="I60" s="64">
        <v>2.7</v>
      </c>
      <c r="J60" s="64">
        <v>0.82</v>
      </c>
      <c r="K60" s="64">
        <v>328.36</v>
      </c>
      <c r="L60" s="64">
        <v>30.92</v>
      </c>
      <c r="M60" s="64">
        <v>29.88</v>
      </c>
      <c r="N60" s="64">
        <v>559.70000000000005</v>
      </c>
      <c r="O60" s="64">
        <v>0</v>
      </c>
      <c r="P60" s="64">
        <v>0.43</v>
      </c>
      <c r="Q60" s="64">
        <v>9.6199999999999992</v>
      </c>
      <c r="R60" s="196"/>
      <c r="S60" s="196"/>
      <c r="T60" s="196"/>
      <c r="U60" s="196"/>
    </row>
    <row r="61" spans="1:21" s="12" customFormat="1" x14ac:dyDescent="0.25">
      <c r="A61" s="211" t="s">
        <v>585</v>
      </c>
      <c r="B61" s="64">
        <v>1.73</v>
      </c>
      <c r="C61" s="64">
        <v>21.57</v>
      </c>
      <c r="D61" s="64">
        <v>11.29</v>
      </c>
      <c r="E61" s="64">
        <v>6.53</v>
      </c>
      <c r="F61" s="64">
        <v>8.58</v>
      </c>
      <c r="G61" s="64">
        <v>122.53</v>
      </c>
      <c r="H61" s="64">
        <v>30.75</v>
      </c>
      <c r="I61" s="64">
        <v>2.52</v>
      </c>
      <c r="J61" s="64">
        <v>1.46</v>
      </c>
      <c r="K61" s="64">
        <v>329.35</v>
      </c>
      <c r="L61" s="64">
        <v>31.24</v>
      </c>
      <c r="M61" s="64">
        <v>27.73</v>
      </c>
      <c r="N61" s="64">
        <v>418.2</v>
      </c>
      <c r="O61" s="64">
        <v>0</v>
      </c>
      <c r="P61" s="64">
        <v>0.53</v>
      </c>
      <c r="Q61" s="64">
        <v>9.6199999999999992</v>
      </c>
      <c r="R61" s="196"/>
      <c r="S61" s="196"/>
      <c r="T61" s="196"/>
      <c r="U61" s="196"/>
    </row>
    <row r="62" spans="1:21" s="12" customFormat="1" x14ac:dyDescent="0.25">
      <c r="A62" s="211" t="s">
        <v>586</v>
      </c>
      <c r="B62" s="64">
        <v>1.95</v>
      </c>
      <c r="C62" s="64">
        <v>20.53</v>
      </c>
      <c r="D62" s="64">
        <v>10.91</v>
      </c>
      <c r="E62" s="64">
        <v>6.17</v>
      </c>
      <c r="F62" s="64">
        <v>7.27</v>
      </c>
      <c r="G62" s="64">
        <v>122.53</v>
      </c>
      <c r="H62" s="64">
        <v>30.75</v>
      </c>
      <c r="I62" s="64">
        <v>2.4900000000000002</v>
      </c>
      <c r="J62" s="64">
        <v>1.84</v>
      </c>
      <c r="K62" s="64">
        <v>331.01</v>
      </c>
      <c r="L62" s="64">
        <v>30.97</v>
      </c>
      <c r="M62" s="64">
        <v>28.68</v>
      </c>
      <c r="N62" s="64">
        <v>315.3</v>
      </c>
      <c r="O62" s="64">
        <v>0</v>
      </c>
      <c r="P62" s="64">
        <v>0.53</v>
      </c>
      <c r="Q62" s="64">
        <v>9.61</v>
      </c>
      <c r="R62" s="196"/>
      <c r="S62" s="196"/>
      <c r="T62" s="196"/>
      <c r="U62" s="196"/>
    </row>
    <row r="63" spans="1:21" s="12" customFormat="1" x14ac:dyDescent="0.25">
      <c r="A63" s="211" t="s">
        <v>587</v>
      </c>
      <c r="B63" s="64">
        <v>2.09</v>
      </c>
      <c r="C63" s="64">
        <v>20.7</v>
      </c>
      <c r="D63" s="64">
        <v>11.11</v>
      </c>
      <c r="E63" s="64">
        <v>6.46</v>
      </c>
      <c r="F63" s="64">
        <v>8.2799999999999994</v>
      </c>
      <c r="G63" s="64">
        <v>122.53</v>
      </c>
      <c r="H63" s="64">
        <v>30.75</v>
      </c>
      <c r="I63" s="64">
        <v>2.5299999999999998</v>
      </c>
      <c r="J63" s="64">
        <v>1.29</v>
      </c>
      <c r="K63" s="64">
        <v>338.54</v>
      </c>
      <c r="L63" s="64">
        <v>30.44</v>
      </c>
      <c r="M63" s="64">
        <v>28.9</v>
      </c>
      <c r="N63" s="64">
        <v>431.8</v>
      </c>
      <c r="O63" s="64">
        <v>0</v>
      </c>
      <c r="P63" s="64">
        <v>0.56999999999999995</v>
      </c>
      <c r="Q63" s="64">
        <v>9.6199999999999992</v>
      </c>
      <c r="R63" s="196"/>
      <c r="S63" s="196"/>
      <c r="T63" s="196"/>
      <c r="U63" s="196"/>
    </row>
    <row r="64" spans="1:21" s="12" customFormat="1" x14ac:dyDescent="0.25">
      <c r="A64" s="211" t="s">
        <v>588</v>
      </c>
      <c r="B64" s="64">
        <v>2.23</v>
      </c>
      <c r="C64" s="64">
        <v>21.62</v>
      </c>
      <c r="D64" s="64">
        <v>11.7</v>
      </c>
      <c r="E64" s="64">
        <v>5.64</v>
      </c>
      <c r="F64" s="64">
        <v>7.85</v>
      </c>
      <c r="G64" s="64">
        <v>116.77</v>
      </c>
      <c r="H64" s="64">
        <v>31.02</v>
      </c>
      <c r="I64" s="64">
        <v>2.44</v>
      </c>
      <c r="J64" s="64">
        <v>1.72</v>
      </c>
      <c r="K64" s="64">
        <v>337.88</v>
      </c>
      <c r="L64" s="64">
        <v>29.29</v>
      </c>
      <c r="M64" s="64">
        <v>30.5</v>
      </c>
      <c r="N64" s="64">
        <v>213.4</v>
      </c>
      <c r="O64" s="64">
        <v>0</v>
      </c>
      <c r="P64" s="64">
        <v>0.56999999999999995</v>
      </c>
      <c r="Q64" s="64">
        <v>9.6199999999999992</v>
      </c>
      <c r="R64" s="196"/>
      <c r="S64" s="196"/>
      <c r="T64" s="196"/>
      <c r="U64" s="196"/>
    </row>
    <row r="65" spans="1:21" s="12" customFormat="1" x14ac:dyDescent="0.25">
      <c r="A65" s="211" t="s">
        <v>589</v>
      </c>
      <c r="B65" s="64">
        <v>2.59</v>
      </c>
      <c r="C65" s="64">
        <v>23.73</v>
      </c>
      <c r="D65" s="64">
        <v>13.1</v>
      </c>
      <c r="E65" s="64">
        <v>6.11</v>
      </c>
      <c r="F65" s="64">
        <v>9.15</v>
      </c>
      <c r="G65" s="64">
        <v>99.99</v>
      </c>
      <c r="H65" s="64">
        <v>31.53</v>
      </c>
      <c r="I65" s="64">
        <v>2.2799999999999998</v>
      </c>
      <c r="J65" s="64">
        <v>1.1599999999999999</v>
      </c>
      <c r="K65" s="64">
        <v>338.72</v>
      </c>
      <c r="L65" s="64">
        <v>27.96</v>
      </c>
      <c r="M65" s="64">
        <v>32.729999999999997</v>
      </c>
      <c r="N65" s="64">
        <v>118</v>
      </c>
      <c r="O65" s="64">
        <v>0</v>
      </c>
      <c r="P65" s="64">
        <v>0.74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590</v>
      </c>
      <c r="B66" s="64">
        <v>2.63</v>
      </c>
      <c r="C66" s="64">
        <v>25.18</v>
      </c>
      <c r="D66" s="64">
        <v>13.88</v>
      </c>
      <c r="E66" s="64">
        <v>5.77</v>
      </c>
      <c r="F66" s="64">
        <v>6.91</v>
      </c>
      <c r="G66" s="64">
        <v>99.99</v>
      </c>
      <c r="H66" s="64">
        <v>31.53</v>
      </c>
      <c r="I66" s="64">
        <v>2.2400000000000002</v>
      </c>
      <c r="J66" s="64">
        <v>1.54</v>
      </c>
      <c r="K66" s="64">
        <v>333.2</v>
      </c>
      <c r="L66" s="64">
        <v>28.15</v>
      </c>
      <c r="M66" s="64">
        <v>34.39</v>
      </c>
      <c r="N66" s="64">
        <v>148.19999999999999</v>
      </c>
      <c r="O66" s="64">
        <v>0</v>
      </c>
      <c r="P66" s="64">
        <v>0.67</v>
      </c>
      <c r="Q66" s="64">
        <v>9.64</v>
      </c>
      <c r="R66" s="196"/>
      <c r="S66" s="196"/>
      <c r="T66" s="196"/>
      <c r="U66" s="196"/>
    </row>
    <row r="67" spans="1:21" s="12" customFormat="1" x14ac:dyDescent="0.25">
      <c r="A67" s="211" t="s">
        <v>591</v>
      </c>
      <c r="B67" s="64">
        <v>2.87</v>
      </c>
      <c r="C67" s="64">
        <v>25.02</v>
      </c>
      <c r="D67" s="64">
        <v>13.99</v>
      </c>
      <c r="E67" s="64">
        <v>5.77</v>
      </c>
      <c r="F67" s="64">
        <v>10.14</v>
      </c>
      <c r="G67" s="64">
        <v>99.99</v>
      </c>
      <c r="H67" s="64">
        <v>31.53</v>
      </c>
      <c r="I67" s="64">
        <v>2.4900000000000002</v>
      </c>
      <c r="J67" s="64">
        <v>1.34</v>
      </c>
      <c r="K67" s="64">
        <v>334.7</v>
      </c>
      <c r="L67" s="64">
        <v>28.42</v>
      </c>
      <c r="M67" s="64">
        <v>33.369999999999997</v>
      </c>
      <c r="N67" s="64">
        <v>147.1</v>
      </c>
      <c r="O67" s="64">
        <v>0</v>
      </c>
      <c r="P67" s="64">
        <v>0.68</v>
      </c>
      <c r="Q67" s="64">
        <v>9.6300000000000008</v>
      </c>
      <c r="R67" s="196"/>
      <c r="S67" s="196"/>
      <c r="T67" s="196"/>
      <c r="U67" s="196"/>
    </row>
    <row r="68" spans="1:21" s="12" customFormat="1" x14ac:dyDescent="0.25">
      <c r="A68" s="211" t="s">
        <v>592</v>
      </c>
      <c r="B68" s="64">
        <v>2.64</v>
      </c>
      <c r="C68" s="64">
        <v>28</v>
      </c>
      <c r="D68" s="64">
        <v>15.37</v>
      </c>
      <c r="E68" s="64">
        <v>6.21</v>
      </c>
      <c r="F68" s="64">
        <v>9.6199999999999992</v>
      </c>
      <c r="G68" s="64">
        <v>98.15</v>
      </c>
      <c r="H68" s="64">
        <v>31.7</v>
      </c>
      <c r="I68" s="64">
        <v>2.5</v>
      </c>
      <c r="J68" s="64">
        <v>1.61</v>
      </c>
      <c r="K68" s="64">
        <v>335.89</v>
      </c>
      <c r="L68" s="64">
        <v>28.15</v>
      </c>
      <c r="M68" s="64">
        <v>31.98</v>
      </c>
      <c r="N68" s="64">
        <v>126.5</v>
      </c>
      <c r="O68" s="64">
        <v>0</v>
      </c>
      <c r="P68" s="64">
        <v>0.64</v>
      </c>
      <c r="Q68" s="64">
        <v>9.61</v>
      </c>
      <c r="R68" s="196"/>
      <c r="S68" s="196"/>
      <c r="T68" s="196"/>
      <c r="U68" s="196"/>
    </row>
    <row r="69" spans="1:21" s="12" customFormat="1" x14ac:dyDescent="0.25">
      <c r="A69" s="211" t="s">
        <v>593</v>
      </c>
      <c r="B69" s="64">
        <v>2.7</v>
      </c>
      <c r="C69" s="64">
        <v>28.58</v>
      </c>
      <c r="D69" s="64">
        <v>15.72</v>
      </c>
      <c r="E69" s="64">
        <v>5.94</v>
      </c>
      <c r="F69" s="64">
        <v>6.72</v>
      </c>
      <c r="G69" s="64">
        <v>92.78</v>
      </c>
      <c r="H69" s="64">
        <v>32.020000000000003</v>
      </c>
      <c r="I69" s="64">
        <v>2.5099999999999998</v>
      </c>
      <c r="J69" s="64">
        <v>1.81</v>
      </c>
      <c r="K69" s="64">
        <v>336.95</v>
      </c>
      <c r="L69" s="64">
        <v>27.69</v>
      </c>
      <c r="M69" s="64">
        <v>33.67</v>
      </c>
      <c r="N69" s="64">
        <v>109</v>
      </c>
      <c r="O69" s="64">
        <v>0</v>
      </c>
      <c r="P69" s="64">
        <v>0.68</v>
      </c>
      <c r="Q69" s="64">
        <v>9.6</v>
      </c>
      <c r="R69" s="196"/>
      <c r="S69" s="196"/>
      <c r="T69" s="196"/>
      <c r="U69" s="196"/>
    </row>
    <row r="70" spans="1:21" s="12" customFormat="1" x14ac:dyDescent="0.25">
      <c r="A70" s="211" t="s">
        <v>594</v>
      </c>
      <c r="B70" s="64">
        <v>3.19</v>
      </c>
      <c r="C70" s="64">
        <v>27.84</v>
      </c>
      <c r="D70" s="64">
        <v>15.73</v>
      </c>
      <c r="E70" s="64">
        <v>5.68</v>
      </c>
      <c r="F70" s="64">
        <v>6.06</v>
      </c>
      <c r="G70" s="64">
        <v>92.78</v>
      </c>
      <c r="H70" s="64">
        <v>32.020000000000003</v>
      </c>
      <c r="I70" s="64">
        <v>2.8</v>
      </c>
      <c r="J70" s="64">
        <v>2.09</v>
      </c>
      <c r="K70" s="64">
        <v>335.08</v>
      </c>
      <c r="L70" s="64">
        <v>27.14</v>
      </c>
      <c r="M70" s="64">
        <v>33.159999999999997</v>
      </c>
      <c r="N70" s="64">
        <v>91.8</v>
      </c>
      <c r="O70" s="64">
        <v>0</v>
      </c>
      <c r="P70" s="64">
        <v>0.66</v>
      </c>
      <c r="Q70" s="64">
        <v>9.61</v>
      </c>
      <c r="R70" s="196"/>
      <c r="S70" s="196"/>
      <c r="T70" s="196"/>
      <c r="U70" s="196"/>
    </row>
    <row r="71" spans="1:21" s="12" customFormat="1" x14ac:dyDescent="0.25">
      <c r="A71" s="211" t="s">
        <v>595</v>
      </c>
      <c r="B71" s="64">
        <v>5.34</v>
      </c>
      <c r="C71" s="64">
        <v>29.17</v>
      </c>
      <c r="D71" s="64">
        <v>18.149999999999999</v>
      </c>
      <c r="E71" s="64">
        <v>5.6</v>
      </c>
      <c r="F71" s="64">
        <v>5.68</v>
      </c>
      <c r="G71" s="64">
        <v>92.78</v>
      </c>
      <c r="H71" s="64">
        <v>32.020000000000003</v>
      </c>
      <c r="I71" s="64">
        <v>2.97</v>
      </c>
      <c r="J71" s="64">
        <v>1.84</v>
      </c>
      <c r="K71" s="64">
        <v>332.21</v>
      </c>
      <c r="L71" s="64">
        <v>26.74</v>
      </c>
      <c r="M71" s="64">
        <v>33.590000000000003</v>
      </c>
      <c r="N71" s="64">
        <v>84.4</v>
      </c>
      <c r="O71" s="64">
        <v>0</v>
      </c>
      <c r="P71" s="64">
        <v>0.65</v>
      </c>
      <c r="Q71" s="64">
        <v>9.6199999999999992</v>
      </c>
      <c r="R71" s="196"/>
      <c r="S71" s="196"/>
      <c r="T71" s="196"/>
      <c r="U71" s="196"/>
    </row>
    <row r="72" spans="1:21" s="12" customFormat="1" x14ac:dyDescent="0.25">
      <c r="A72" s="211" t="s">
        <v>596</v>
      </c>
      <c r="B72" s="64">
        <v>6.48</v>
      </c>
      <c r="C72" s="64">
        <v>33.65</v>
      </c>
      <c r="D72" s="64">
        <v>21.4</v>
      </c>
      <c r="E72" s="64">
        <v>7.21</v>
      </c>
      <c r="F72" s="64">
        <v>6.77</v>
      </c>
      <c r="G72" s="64">
        <v>85.68</v>
      </c>
      <c r="H72" s="64">
        <v>30.38</v>
      </c>
      <c r="I72" s="64">
        <v>3.02</v>
      </c>
      <c r="J72" s="64">
        <v>2.1</v>
      </c>
      <c r="K72" s="64">
        <v>336.19</v>
      </c>
      <c r="L72" s="64">
        <v>26.53</v>
      </c>
      <c r="M72" s="64">
        <v>33.25</v>
      </c>
      <c r="N72" s="64">
        <v>76.5</v>
      </c>
      <c r="O72" s="64">
        <v>0</v>
      </c>
      <c r="P72" s="64">
        <v>0.64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597</v>
      </c>
      <c r="B73" s="64">
        <v>4.5199999999999996</v>
      </c>
      <c r="C73" s="64">
        <v>34.6</v>
      </c>
      <c r="D73" s="64">
        <v>20.329999999999998</v>
      </c>
      <c r="E73" s="64">
        <v>7.18</v>
      </c>
      <c r="F73" s="64">
        <v>6.42</v>
      </c>
      <c r="G73" s="64">
        <v>65.02</v>
      </c>
      <c r="H73" s="64">
        <v>23.82</v>
      </c>
      <c r="I73" s="64">
        <v>2.83</v>
      </c>
      <c r="J73" s="64">
        <v>1.22</v>
      </c>
      <c r="K73" s="64">
        <v>330.19</v>
      </c>
      <c r="L73" s="64">
        <v>26.31</v>
      </c>
      <c r="M73" s="64">
        <v>34.979999999999997</v>
      </c>
      <c r="N73" s="64">
        <v>68.2</v>
      </c>
      <c r="O73" s="64">
        <v>0</v>
      </c>
      <c r="P73" s="64">
        <v>0.63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598</v>
      </c>
      <c r="B74" s="64">
        <v>4.1399999999999997</v>
      </c>
      <c r="C74" s="64">
        <v>33</v>
      </c>
      <c r="D74" s="64">
        <v>19.190000000000001</v>
      </c>
      <c r="E74" s="64">
        <v>6.75</v>
      </c>
      <c r="F74" s="64">
        <v>5.34</v>
      </c>
      <c r="G74" s="64">
        <v>65.02</v>
      </c>
      <c r="H74" s="64">
        <v>23.82</v>
      </c>
      <c r="I74" s="64">
        <v>2.57</v>
      </c>
      <c r="J74" s="64">
        <v>1.08</v>
      </c>
      <c r="K74" s="64">
        <v>331</v>
      </c>
      <c r="L74" s="64">
        <v>26.06</v>
      </c>
      <c r="M74" s="64">
        <v>35.950000000000003</v>
      </c>
      <c r="N74" s="64">
        <v>60.1</v>
      </c>
      <c r="O74" s="64">
        <v>0</v>
      </c>
      <c r="P74" s="64">
        <v>0.64</v>
      </c>
      <c r="Q74" s="64">
        <v>9.6300000000000008</v>
      </c>
      <c r="R74" s="196"/>
      <c r="S74" s="196"/>
      <c r="T74" s="196"/>
      <c r="U74" s="196"/>
    </row>
    <row r="75" spans="1:21" s="12" customFormat="1" x14ac:dyDescent="0.25">
      <c r="A75" s="211" t="s">
        <v>599</v>
      </c>
      <c r="B75" s="64">
        <v>4.37</v>
      </c>
      <c r="C75" s="64">
        <v>31.6</v>
      </c>
      <c r="D75" s="64">
        <v>18.64</v>
      </c>
      <c r="E75" s="64">
        <v>6.39</v>
      </c>
      <c r="F75" s="64">
        <v>4.8</v>
      </c>
      <c r="G75" s="64">
        <v>65.02</v>
      </c>
      <c r="H75" s="64">
        <v>23.82</v>
      </c>
      <c r="I75" s="64">
        <v>2.56</v>
      </c>
      <c r="J75" s="64">
        <v>1.38</v>
      </c>
      <c r="K75" s="64">
        <v>344.19</v>
      </c>
      <c r="L75" s="64">
        <v>25.73</v>
      </c>
      <c r="M75" s="64">
        <v>36.479999999999997</v>
      </c>
      <c r="N75" s="64">
        <v>51.8</v>
      </c>
      <c r="O75" s="64">
        <v>0</v>
      </c>
      <c r="P75" s="64">
        <v>0.65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600</v>
      </c>
      <c r="B76" s="64">
        <v>5.05</v>
      </c>
      <c r="C76" s="64">
        <v>31.02</v>
      </c>
      <c r="D76" s="64">
        <v>18.87</v>
      </c>
      <c r="E76" s="64">
        <v>6.52</v>
      </c>
      <c r="F76" s="64">
        <v>6.16</v>
      </c>
      <c r="G76" s="64">
        <v>69.2</v>
      </c>
      <c r="H76" s="64">
        <v>24.3</v>
      </c>
      <c r="I76" s="64">
        <v>2.5</v>
      </c>
      <c r="J76" s="64">
        <v>0.62</v>
      </c>
      <c r="K76" s="64">
        <v>8.51</v>
      </c>
      <c r="L76" s="64">
        <v>25.21</v>
      </c>
      <c r="M76" s="64">
        <v>36.049999999999997</v>
      </c>
      <c r="N76" s="64">
        <v>43.3</v>
      </c>
      <c r="O76" s="64">
        <v>0</v>
      </c>
      <c r="P76" s="64">
        <v>0.73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601</v>
      </c>
      <c r="B77" s="64">
        <v>5.03</v>
      </c>
      <c r="C77" s="64">
        <v>31.43</v>
      </c>
      <c r="D77" s="64">
        <v>19.07</v>
      </c>
      <c r="E77" s="64">
        <v>6.4</v>
      </c>
      <c r="F77" s="64">
        <v>5.79</v>
      </c>
      <c r="G77" s="64">
        <v>81.38</v>
      </c>
      <c r="H77" s="64">
        <v>25.27</v>
      </c>
      <c r="I77" s="64">
        <v>2.52</v>
      </c>
      <c r="J77" s="64">
        <v>0.59</v>
      </c>
      <c r="K77" s="64">
        <v>102.42</v>
      </c>
      <c r="L77" s="64">
        <v>24.52</v>
      </c>
      <c r="M77" s="64">
        <v>37.44</v>
      </c>
      <c r="N77" s="64">
        <v>35</v>
      </c>
      <c r="O77" s="64">
        <v>0</v>
      </c>
      <c r="P77" s="64">
        <v>0.8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602</v>
      </c>
      <c r="B78" s="64">
        <v>5.07</v>
      </c>
      <c r="C78" s="64">
        <v>30.27</v>
      </c>
      <c r="D78" s="64">
        <v>18.510000000000002</v>
      </c>
      <c r="E78" s="64">
        <v>6.38</v>
      </c>
      <c r="F78" s="64">
        <v>5.91</v>
      </c>
      <c r="G78" s="64">
        <v>81.38</v>
      </c>
      <c r="H78" s="64">
        <v>25.27</v>
      </c>
      <c r="I78" s="64">
        <v>2.25</v>
      </c>
      <c r="J78" s="64">
        <v>0.28000000000000003</v>
      </c>
      <c r="K78" s="64">
        <v>101.85</v>
      </c>
      <c r="L78" s="64">
        <v>23.78</v>
      </c>
      <c r="M78" s="64">
        <v>41.96</v>
      </c>
      <c r="N78" s="64">
        <v>29.1</v>
      </c>
      <c r="O78" s="64">
        <v>0</v>
      </c>
      <c r="P78" s="64">
        <v>0.72</v>
      </c>
      <c r="Q78" s="64">
        <v>9.6300000000000008</v>
      </c>
      <c r="R78" s="196"/>
      <c r="S78" s="196"/>
      <c r="T78" s="196"/>
      <c r="U78" s="196"/>
    </row>
    <row r="79" spans="1:21" s="12" customFormat="1" x14ac:dyDescent="0.25">
      <c r="A79" s="211" t="s">
        <v>603</v>
      </c>
      <c r="B79" s="64">
        <v>4.96</v>
      </c>
      <c r="C79" s="64">
        <v>27.8</v>
      </c>
      <c r="D79" s="64">
        <v>17.13</v>
      </c>
      <c r="E79" s="64">
        <v>5.97</v>
      </c>
      <c r="F79" s="64">
        <v>5.18</v>
      </c>
      <c r="G79" s="64">
        <v>81.38</v>
      </c>
      <c r="H79" s="64">
        <v>25.27</v>
      </c>
      <c r="I79" s="64">
        <v>2.2999999999999998</v>
      </c>
      <c r="J79" s="64">
        <v>0.47</v>
      </c>
      <c r="K79" s="64">
        <v>327.49</v>
      </c>
      <c r="L79" s="64">
        <v>23.01</v>
      </c>
      <c r="M79" s="64">
        <v>50.83</v>
      </c>
      <c r="N79" s="64">
        <v>27</v>
      </c>
      <c r="O79" s="64">
        <v>0</v>
      </c>
      <c r="P79" s="64">
        <v>1.23</v>
      </c>
      <c r="Q79" s="64">
        <v>9.6300000000000008</v>
      </c>
      <c r="R79" s="196"/>
      <c r="S79" s="196"/>
      <c r="T79" s="196"/>
      <c r="U79" s="196"/>
    </row>
    <row r="80" spans="1:21" s="12" customFormat="1" x14ac:dyDescent="0.25">
      <c r="A80" s="211" t="s">
        <v>604</v>
      </c>
      <c r="B80" s="64">
        <v>7.07</v>
      </c>
      <c r="C80" s="64">
        <v>27.16</v>
      </c>
      <c r="D80" s="64">
        <v>18.48</v>
      </c>
      <c r="E80" s="64">
        <v>5.7</v>
      </c>
      <c r="F80" s="64">
        <v>3.73</v>
      </c>
      <c r="G80" s="64">
        <v>80.290000000000006</v>
      </c>
      <c r="H80" s="64">
        <v>26.24</v>
      </c>
      <c r="I80" s="64">
        <v>2.41</v>
      </c>
      <c r="J80" s="64">
        <v>0.54</v>
      </c>
      <c r="K80" s="64">
        <v>308.86</v>
      </c>
      <c r="L80" s="64">
        <v>22.17</v>
      </c>
      <c r="M80" s="64">
        <v>54.79</v>
      </c>
      <c r="N80" s="64">
        <v>26.4</v>
      </c>
      <c r="O80" s="64">
        <v>0</v>
      </c>
      <c r="P80" s="64">
        <v>1.77</v>
      </c>
      <c r="Q80" s="64">
        <v>9.6300000000000008</v>
      </c>
      <c r="R80" s="196"/>
      <c r="S80" s="196"/>
      <c r="T80" s="196"/>
      <c r="U80" s="196"/>
    </row>
    <row r="81" spans="1:26" s="12" customFormat="1" x14ac:dyDescent="0.25">
      <c r="A81" s="211" t="s">
        <v>605</v>
      </c>
      <c r="B81" s="64">
        <v>10.5</v>
      </c>
      <c r="C81" s="64">
        <v>26.89</v>
      </c>
      <c r="D81" s="64">
        <v>21.09</v>
      </c>
      <c r="E81" s="64">
        <v>6.02</v>
      </c>
      <c r="F81" s="64">
        <v>4</v>
      </c>
      <c r="G81" s="64">
        <v>77.09</v>
      </c>
      <c r="H81" s="64">
        <v>28.11</v>
      </c>
      <c r="I81" s="64">
        <v>4.21</v>
      </c>
      <c r="J81" s="64">
        <v>0.51</v>
      </c>
      <c r="K81" s="64">
        <v>281.70999999999998</v>
      </c>
      <c r="L81" s="64">
        <v>21.82</v>
      </c>
      <c r="M81" s="64">
        <v>54.73</v>
      </c>
      <c r="N81" s="64">
        <v>26.2</v>
      </c>
      <c r="O81" s="64">
        <v>0</v>
      </c>
      <c r="P81" s="64">
        <v>1.44</v>
      </c>
      <c r="Q81" s="64">
        <v>9.64</v>
      </c>
      <c r="R81" s="196"/>
      <c r="S81" s="196"/>
      <c r="T81" s="196"/>
      <c r="U81" s="196"/>
    </row>
    <row r="82" spans="1:26" s="12" customFormat="1" x14ac:dyDescent="0.25">
      <c r="A82" s="211" t="s">
        <v>606</v>
      </c>
      <c r="B82" s="64">
        <v>14.51</v>
      </c>
      <c r="C82" s="64">
        <v>26.54</v>
      </c>
      <c r="D82" s="64">
        <v>24.13</v>
      </c>
      <c r="E82" s="64">
        <v>6.32</v>
      </c>
      <c r="F82" s="64">
        <v>4.09</v>
      </c>
      <c r="G82" s="64">
        <v>77.09</v>
      </c>
      <c r="H82" s="64">
        <v>28.11</v>
      </c>
      <c r="I82" s="64">
        <v>6.26</v>
      </c>
      <c r="J82" s="64">
        <v>0.11</v>
      </c>
      <c r="K82" s="64">
        <v>322.20999999999998</v>
      </c>
      <c r="L82" s="64">
        <v>21.59</v>
      </c>
      <c r="M82" s="64">
        <v>53.85</v>
      </c>
      <c r="N82" s="64">
        <v>25.9</v>
      </c>
      <c r="O82" s="64">
        <v>0</v>
      </c>
      <c r="P82" s="64">
        <v>1.29</v>
      </c>
      <c r="Q82" s="64">
        <v>9.6300000000000008</v>
      </c>
      <c r="R82" s="196"/>
      <c r="S82" s="196"/>
      <c r="T82" s="196"/>
      <c r="U82" s="196"/>
    </row>
    <row r="83" spans="1:26" s="12" customFormat="1" x14ac:dyDescent="0.25">
      <c r="A83" s="211" t="s">
        <v>607</v>
      </c>
      <c r="B83" s="64">
        <v>17.38</v>
      </c>
      <c r="C83" s="64">
        <v>25.93</v>
      </c>
      <c r="D83" s="64">
        <v>26.11</v>
      </c>
      <c r="E83" s="64">
        <v>6.27</v>
      </c>
      <c r="F83" s="64">
        <v>4.24</v>
      </c>
      <c r="G83" s="64">
        <v>77.09</v>
      </c>
      <c r="H83" s="64">
        <v>28.11</v>
      </c>
      <c r="I83" s="64">
        <v>6.09</v>
      </c>
      <c r="J83" s="64">
        <v>0.4</v>
      </c>
      <c r="K83" s="64">
        <v>273.58</v>
      </c>
      <c r="L83" s="64">
        <v>21.46</v>
      </c>
      <c r="M83" s="64">
        <v>56.53</v>
      </c>
      <c r="N83" s="64">
        <v>26.2</v>
      </c>
      <c r="O83" s="64">
        <v>0</v>
      </c>
      <c r="P83" s="64">
        <v>1.51</v>
      </c>
      <c r="Q83" s="64">
        <v>9.6199999999999992</v>
      </c>
      <c r="R83" s="196"/>
      <c r="S83" s="196"/>
      <c r="T83" s="196"/>
      <c r="U83" s="196"/>
    </row>
    <row r="84" spans="1:26" s="12" customFormat="1" x14ac:dyDescent="0.25">
      <c r="A84" s="211" t="s">
        <v>608</v>
      </c>
      <c r="B84" s="64">
        <v>20.91</v>
      </c>
      <c r="C84" s="64">
        <v>25.41</v>
      </c>
      <c r="D84" s="64">
        <v>28.67</v>
      </c>
      <c r="E84" s="64">
        <v>6.26</v>
      </c>
      <c r="F84" s="64">
        <v>4.1100000000000003</v>
      </c>
      <c r="G84" s="64">
        <v>81</v>
      </c>
      <c r="H84" s="64">
        <v>29.97</v>
      </c>
      <c r="I84" s="64">
        <v>5.52</v>
      </c>
      <c r="J84" s="64">
        <v>0.55000000000000004</v>
      </c>
      <c r="K84" s="64">
        <v>290.75</v>
      </c>
      <c r="L84" s="64">
        <v>20.86</v>
      </c>
      <c r="M84" s="64">
        <v>60.4</v>
      </c>
      <c r="N84" s="64">
        <v>26.2</v>
      </c>
      <c r="O84" s="64">
        <v>0</v>
      </c>
      <c r="P84" s="64">
        <v>2.0299999999999998</v>
      </c>
      <c r="Q84" s="64">
        <v>9.6300000000000008</v>
      </c>
      <c r="R84" s="196"/>
      <c r="S84" s="196"/>
      <c r="T84" s="196"/>
      <c r="U84" s="196"/>
    </row>
    <row r="85" spans="1:26" s="12" customFormat="1" x14ac:dyDescent="0.25">
      <c r="A85" s="211" t="s">
        <v>609</v>
      </c>
      <c r="B85" s="64">
        <v>26.22</v>
      </c>
      <c r="C85" s="64">
        <v>25.23</v>
      </c>
      <c r="D85" s="64">
        <v>32.83</v>
      </c>
      <c r="E85" s="64">
        <v>6.6</v>
      </c>
      <c r="F85" s="64">
        <v>4.42</v>
      </c>
      <c r="G85" s="64">
        <v>92.4</v>
      </c>
      <c r="H85" s="64">
        <v>33.53</v>
      </c>
      <c r="I85" s="64">
        <v>5.94</v>
      </c>
      <c r="J85" s="64">
        <v>0.54</v>
      </c>
      <c r="K85" s="64">
        <v>320.37</v>
      </c>
      <c r="L85" s="64">
        <v>20.48</v>
      </c>
      <c r="M85" s="64">
        <v>63.65</v>
      </c>
      <c r="N85" s="64">
        <v>26.1</v>
      </c>
      <c r="O85" s="64">
        <v>0</v>
      </c>
      <c r="P85" s="64">
        <v>1.22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610</v>
      </c>
      <c r="B86" s="64">
        <v>33.340000000000003</v>
      </c>
      <c r="C86" s="64">
        <v>25.59</v>
      </c>
      <c r="D86" s="64">
        <v>38.729999999999997</v>
      </c>
      <c r="E86" s="64">
        <v>7.04</v>
      </c>
      <c r="F86" s="64">
        <v>3.65</v>
      </c>
      <c r="G86" s="64">
        <v>92.4</v>
      </c>
      <c r="H86" s="64">
        <v>33.53</v>
      </c>
      <c r="I86" s="64">
        <v>7.79</v>
      </c>
      <c r="J86" s="64">
        <v>0.49</v>
      </c>
      <c r="K86" s="64">
        <v>315.11</v>
      </c>
      <c r="L86" s="64">
        <v>20.18</v>
      </c>
      <c r="M86" s="64">
        <v>67.5</v>
      </c>
      <c r="N86" s="64">
        <v>26.1</v>
      </c>
      <c r="O86" s="64">
        <v>0</v>
      </c>
      <c r="P86" s="64">
        <v>1.41</v>
      </c>
      <c r="Q86" s="64">
        <v>9.6199999999999992</v>
      </c>
      <c r="R86" s="196"/>
      <c r="S86" s="196"/>
      <c r="T86" s="196"/>
      <c r="U86" s="196"/>
    </row>
    <row r="87" spans="1:26" s="12" customFormat="1" x14ac:dyDescent="0.25">
      <c r="A87" s="211" t="s">
        <v>611</v>
      </c>
      <c r="B87" s="64">
        <v>45.8</v>
      </c>
      <c r="C87" s="64">
        <v>25.68</v>
      </c>
      <c r="D87" s="64">
        <v>48.77</v>
      </c>
      <c r="E87" s="64">
        <v>7.45</v>
      </c>
      <c r="F87" s="64">
        <v>4.21</v>
      </c>
      <c r="G87" s="64">
        <v>92.4</v>
      </c>
      <c r="H87" s="64">
        <v>33.53</v>
      </c>
      <c r="I87" s="64">
        <v>6.43</v>
      </c>
      <c r="J87" s="64">
        <v>0.49</v>
      </c>
      <c r="K87" s="64">
        <v>339.17</v>
      </c>
      <c r="L87" s="64">
        <v>20.13</v>
      </c>
      <c r="M87" s="64">
        <v>69.97</v>
      </c>
      <c r="N87" s="64">
        <v>26</v>
      </c>
      <c r="O87" s="64">
        <v>0</v>
      </c>
      <c r="P87" s="64">
        <v>2.19</v>
      </c>
      <c r="Q87" s="64">
        <v>9.6199999999999992</v>
      </c>
      <c r="R87" s="196"/>
      <c r="S87" s="196"/>
      <c r="T87" s="196"/>
      <c r="U87" s="196"/>
    </row>
    <row r="88" spans="1:26" s="12" customFormat="1" x14ac:dyDescent="0.25">
      <c r="A88" s="211" t="s">
        <v>612</v>
      </c>
      <c r="B88" s="64">
        <v>60.86</v>
      </c>
      <c r="C88" s="64">
        <v>26.15</v>
      </c>
      <c r="D88" s="64">
        <v>61.09</v>
      </c>
      <c r="E88" s="64">
        <v>8.66</v>
      </c>
      <c r="F88" s="64">
        <v>4.7300000000000004</v>
      </c>
      <c r="G88" s="64">
        <v>98.18</v>
      </c>
      <c r="H88" s="64">
        <v>35.159999999999997</v>
      </c>
      <c r="I88" s="64">
        <v>6.71</v>
      </c>
      <c r="J88" s="64">
        <v>0.55000000000000004</v>
      </c>
      <c r="K88" s="64">
        <v>302.63</v>
      </c>
      <c r="L88" s="64">
        <v>20</v>
      </c>
      <c r="M88" s="64">
        <v>71.400000000000006</v>
      </c>
      <c r="N88" s="64">
        <v>26.1</v>
      </c>
      <c r="O88" s="64">
        <v>0</v>
      </c>
      <c r="P88" s="64">
        <v>2.27</v>
      </c>
      <c r="Q88" s="64">
        <v>9.61</v>
      </c>
      <c r="R88" s="196"/>
      <c r="S88" s="196"/>
      <c r="T88" s="196"/>
      <c r="U88" s="196"/>
    </row>
    <row r="89" spans="1:26" s="12" customFormat="1" x14ac:dyDescent="0.25">
      <c r="A89" s="211" t="s">
        <v>613</v>
      </c>
      <c r="B89" s="64">
        <v>70.989999999999995</v>
      </c>
      <c r="C89" s="64">
        <v>26.03</v>
      </c>
      <c r="D89" s="64">
        <v>69.16</v>
      </c>
      <c r="E89" s="64">
        <v>9.7200000000000006</v>
      </c>
      <c r="F89" s="64">
        <v>4.34</v>
      </c>
      <c r="G89" s="64">
        <v>115.02</v>
      </c>
      <c r="H89" s="64">
        <v>41.68</v>
      </c>
      <c r="I89" s="64">
        <v>8.73</v>
      </c>
      <c r="J89" s="64">
        <v>0.53</v>
      </c>
      <c r="K89" s="64">
        <v>327.51</v>
      </c>
      <c r="L89" s="64">
        <v>19.87</v>
      </c>
      <c r="M89" s="64">
        <v>74.06</v>
      </c>
      <c r="N89" s="64">
        <v>26.1</v>
      </c>
      <c r="O89" s="64">
        <v>0</v>
      </c>
      <c r="P89" s="64">
        <v>1.98</v>
      </c>
      <c r="Q89" s="64">
        <v>9.6300000000000008</v>
      </c>
      <c r="R89" s="196"/>
      <c r="S89" s="196"/>
      <c r="T89" s="196"/>
      <c r="U89" s="196"/>
    </row>
    <row r="90" spans="1:26" s="12" customFormat="1" x14ac:dyDescent="0.25">
      <c r="A90" s="211" t="s">
        <v>614</v>
      </c>
      <c r="B90" s="64">
        <v>78.790000000000006</v>
      </c>
      <c r="C90" s="64">
        <v>25.66</v>
      </c>
      <c r="D90" s="64">
        <v>75.209999999999994</v>
      </c>
      <c r="E90" s="64">
        <v>9.98</v>
      </c>
      <c r="F90" s="64">
        <v>4.47</v>
      </c>
      <c r="G90" s="64">
        <v>115.02</v>
      </c>
      <c r="H90" s="64">
        <v>41.68</v>
      </c>
      <c r="I90" s="64">
        <v>9.1999999999999993</v>
      </c>
      <c r="J90" s="64">
        <v>0.42</v>
      </c>
      <c r="K90" s="64">
        <v>297.73</v>
      </c>
      <c r="L90" s="64">
        <v>19.71</v>
      </c>
      <c r="M90" s="64">
        <v>75.42</v>
      </c>
      <c r="N90" s="64">
        <v>25.8</v>
      </c>
      <c r="O90" s="64">
        <v>0</v>
      </c>
      <c r="P90" s="64">
        <v>2.2200000000000002</v>
      </c>
      <c r="Q90" s="64">
        <v>9.6300000000000008</v>
      </c>
      <c r="R90" s="196"/>
      <c r="S90" s="196"/>
      <c r="T90" s="196"/>
      <c r="U90" s="196"/>
    </row>
    <row r="91" spans="1:26" s="12" customFormat="1" x14ac:dyDescent="0.25">
      <c r="A91" s="211" t="s">
        <v>615</v>
      </c>
      <c r="B91" s="64">
        <v>84.05</v>
      </c>
      <c r="C91" s="64">
        <v>25.43</v>
      </c>
      <c r="D91" s="64">
        <v>79.31</v>
      </c>
      <c r="E91" s="64">
        <v>10.19</v>
      </c>
      <c r="F91" s="64">
        <v>4.45</v>
      </c>
      <c r="G91" s="64">
        <v>115.02</v>
      </c>
      <c r="H91" s="64">
        <v>41.68</v>
      </c>
      <c r="I91" s="64">
        <v>9.25</v>
      </c>
      <c r="J91" s="64">
        <v>0.5</v>
      </c>
      <c r="K91" s="64">
        <v>332.6</v>
      </c>
      <c r="L91" s="64">
        <v>20.29</v>
      </c>
      <c r="M91" s="64">
        <v>67.87</v>
      </c>
      <c r="N91" s="64">
        <v>25.6</v>
      </c>
      <c r="O91" s="64">
        <v>0</v>
      </c>
      <c r="P91" s="64">
        <v>1.71</v>
      </c>
      <c r="Q91" s="64">
        <v>9.65</v>
      </c>
      <c r="R91" s="196"/>
      <c r="S91" s="196"/>
      <c r="T91" s="196"/>
      <c r="U91" s="196"/>
    </row>
    <row r="92" spans="1:26" s="12" customFormat="1" x14ac:dyDescent="0.25">
      <c r="A92" s="211" t="s">
        <v>616</v>
      </c>
      <c r="B92" s="64">
        <v>84.95</v>
      </c>
      <c r="C92" s="64">
        <v>25.03</v>
      </c>
      <c r="D92" s="64">
        <v>79.819999999999993</v>
      </c>
      <c r="E92" s="64">
        <v>9.85</v>
      </c>
      <c r="F92" s="64">
        <v>3.99</v>
      </c>
      <c r="G92" s="64">
        <v>114.81</v>
      </c>
      <c r="H92" s="64">
        <v>52.48</v>
      </c>
      <c r="I92" s="64">
        <v>9.1199999999999992</v>
      </c>
      <c r="J92" s="64">
        <v>0.34</v>
      </c>
      <c r="K92" s="64">
        <v>258.58</v>
      </c>
      <c r="L92" s="64">
        <v>20.2</v>
      </c>
      <c r="M92" s="64">
        <v>63.92</v>
      </c>
      <c r="N92" s="64">
        <v>25.9</v>
      </c>
      <c r="O92" s="64">
        <v>0</v>
      </c>
      <c r="P92" s="64">
        <v>1.64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617</v>
      </c>
      <c r="B93" s="64">
        <v>82.61</v>
      </c>
      <c r="C93" s="64">
        <v>24.41</v>
      </c>
      <c r="D93" s="64">
        <v>77.62</v>
      </c>
      <c r="E93" s="64">
        <v>9.52</v>
      </c>
      <c r="F93" s="64">
        <v>3.99</v>
      </c>
      <c r="G93" s="64">
        <v>114.19</v>
      </c>
      <c r="H93" s="64">
        <v>73.14</v>
      </c>
      <c r="I93" s="64">
        <v>7.83</v>
      </c>
      <c r="J93" s="64">
        <v>0.48</v>
      </c>
      <c r="K93" s="64">
        <v>93.08</v>
      </c>
      <c r="L93" s="64">
        <v>19.98</v>
      </c>
      <c r="M93" s="64">
        <v>63.21</v>
      </c>
      <c r="N93" s="64">
        <v>25.9</v>
      </c>
      <c r="O93" s="64">
        <v>0</v>
      </c>
      <c r="P93" s="64">
        <v>1.47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618</v>
      </c>
      <c r="B94" s="64">
        <v>79.430000000000007</v>
      </c>
      <c r="C94" s="64">
        <v>24.28</v>
      </c>
      <c r="D94" s="64">
        <v>75.010000000000005</v>
      </c>
      <c r="E94" s="64">
        <v>9.09</v>
      </c>
      <c r="F94" s="64">
        <v>3.72</v>
      </c>
      <c r="G94" s="64">
        <v>114.19</v>
      </c>
      <c r="H94" s="64">
        <v>73.14</v>
      </c>
      <c r="I94" s="64">
        <v>6.73</v>
      </c>
      <c r="J94" s="64">
        <v>0.39</v>
      </c>
      <c r="K94" s="64">
        <v>94.19</v>
      </c>
      <c r="L94" s="64">
        <v>19.95</v>
      </c>
      <c r="M94" s="64">
        <v>64.78</v>
      </c>
      <c r="N94" s="64">
        <v>25.8</v>
      </c>
      <c r="O94" s="64">
        <v>0</v>
      </c>
      <c r="P94" s="64">
        <v>1.61</v>
      </c>
      <c r="Q94" s="64">
        <v>9.6199999999999992</v>
      </c>
      <c r="R94" s="196"/>
      <c r="S94" s="196"/>
      <c r="T94" s="196"/>
      <c r="U94" s="196"/>
    </row>
    <row r="95" spans="1:26" s="12" customFormat="1" x14ac:dyDescent="0.25">
      <c r="A95" s="211" t="s">
        <v>619</v>
      </c>
      <c r="B95" s="64">
        <v>77.53</v>
      </c>
      <c r="C95" s="64">
        <v>22.3</v>
      </c>
      <c r="D95" s="64">
        <v>72.45</v>
      </c>
      <c r="E95" s="64">
        <v>8.82</v>
      </c>
      <c r="F95" s="64">
        <v>4.16</v>
      </c>
      <c r="G95" s="64">
        <v>114.19</v>
      </c>
      <c r="H95" s="64">
        <v>73.14</v>
      </c>
      <c r="I95" s="64">
        <v>6.2</v>
      </c>
      <c r="J95" s="64">
        <v>0.47</v>
      </c>
      <c r="K95" s="64">
        <v>98.9</v>
      </c>
      <c r="L95" s="64">
        <v>20.239999999999998</v>
      </c>
      <c r="M95" s="64">
        <v>63.08</v>
      </c>
      <c r="N95" s="64">
        <v>25.5</v>
      </c>
      <c r="O95" s="64">
        <v>0</v>
      </c>
      <c r="P95" s="64">
        <v>1.73</v>
      </c>
      <c r="Q95" s="64">
        <v>9.6199999999999992</v>
      </c>
      <c r="R95" s="196"/>
      <c r="S95" s="196"/>
      <c r="T95" s="196"/>
      <c r="U95" s="196"/>
    </row>
    <row r="96" spans="1:26" s="12" customFormat="1" x14ac:dyDescent="0.25">
      <c r="A96" s="211" t="s">
        <v>620</v>
      </c>
      <c r="B96" s="64">
        <v>75.540000000000006</v>
      </c>
      <c r="C96" s="64">
        <v>21.25</v>
      </c>
      <c r="D96" s="64">
        <v>70.31</v>
      </c>
      <c r="E96" s="64">
        <v>8.33</v>
      </c>
      <c r="F96" s="64">
        <v>4.29</v>
      </c>
      <c r="G96" s="64">
        <v>113.95</v>
      </c>
      <c r="H96" s="64">
        <v>69.25</v>
      </c>
      <c r="I96" s="64">
        <v>6.26</v>
      </c>
      <c r="J96" s="64">
        <v>0.25</v>
      </c>
      <c r="K96" s="64">
        <v>38.520000000000003</v>
      </c>
      <c r="L96" s="64">
        <v>20.43</v>
      </c>
      <c r="M96" s="64">
        <v>62.69</v>
      </c>
      <c r="N96" s="64">
        <v>25.7</v>
      </c>
      <c r="O96" s="64">
        <v>0</v>
      </c>
      <c r="P96" s="64">
        <v>2.0699999999999998</v>
      </c>
      <c r="Q96" s="64">
        <v>9.6199999999999992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621</v>
      </c>
      <c r="B97" s="64">
        <v>74.19</v>
      </c>
      <c r="C97" s="64">
        <v>21.04</v>
      </c>
      <c r="D97" s="64">
        <v>69.11</v>
      </c>
      <c r="E97" s="64">
        <v>8.68</v>
      </c>
      <c r="F97" s="64">
        <v>4.49</v>
      </c>
      <c r="G97" s="64">
        <v>113.23</v>
      </c>
      <c r="H97" s="64">
        <v>61.8</v>
      </c>
      <c r="I97" s="64">
        <v>6.95</v>
      </c>
      <c r="J97" s="64">
        <v>0.08</v>
      </c>
      <c r="K97" s="64">
        <v>254.47</v>
      </c>
      <c r="L97" s="64">
        <v>20.14</v>
      </c>
      <c r="M97" s="64">
        <v>66.39</v>
      </c>
      <c r="N97" s="64">
        <v>26</v>
      </c>
      <c r="O97" s="64">
        <v>0</v>
      </c>
      <c r="P97" s="64">
        <v>1.92</v>
      </c>
      <c r="Q97" s="64">
        <v>9.64</v>
      </c>
      <c r="R97" s="196"/>
      <c r="S97" s="196"/>
      <c r="T97" s="196"/>
      <c r="U97" s="196"/>
    </row>
    <row r="98" spans="1:33" s="12" customFormat="1" x14ac:dyDescent="0.25">
      <c r="A98" s="211" t="s">
        <v>622</v>
      </c>
      <c r="B98" s="64">
        <v>74.17</v>
      </c>
      <c r="C98" s="64">
        <v>20.67</v>
      </c>
      <c r="D98" s="64">
        <v>68.900000000000006</v>
      </c>
      <c r="E98" s="64">
        <v>8.66</v>
      </c>
      <c r="F98" s="64">
        <v>4.3099999999999996</v>
      </c>
      <c r="G98" s="64">
        <v>113.23</v>
      </c>
      <c r="H98" s="64">
        <v>61.8</v>
      </c>
      <c r="I98" s="64">
        <v>8.61</v>
      </c>
      <c r="J98" s="64">
        <v>0.46</v>
      </c>
      <c r="K98" s="64">
        <v>291.58999999999997</v>
      </c>
      <c r="L98" s="64">
        <v>19.57</v>
      </c>
      <c r="M98" s="64">
        <v>72.16</v>
      </c>
      <c r="N98" s="64">
        <v>26.3</v>
      </c>
      <c r="O98" s="64">
        <v>0</v>
      </c>
      <c r="P98" s="64">
        <v>2.16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623</v>
      </c>
      <c r="B99" s="64">
        <v>75.97</v>
      </c>
      <c r="C99" s="64">
        <v>20.260000000000002</v>
      </c>
      <c r="D99" s="64">
        <v>70.13</v>
      </c>
      <c r="E99" s="64">
        <v>8.9600000000000009</v>
      </c>
      <c r="F99" s="64">
        <v>3.92</v>
      </c>
      <c r="G99" s="64">
        <v>113.23</v>
      </c>
      <c r="H99" s="64">
        <v>61.8</v>
      </c>
      <c r="I99" s="64">
        <v>8.76</v>
      </c>
      <c r="J99" s="64">
        <v>0.59</v>
      </c>
      <c r="K99" s="64">
        <v>320.45</v>
      </c>
      <c r="L99" s="64">
        <v>19.11</v>
      </c>
      <c r="M99" s="64">
        <v>77.52</v>
      </c>
      <c r="N99" s="64">
        <v>26.3</v>
      </c>
      <c r="O99" s="64">
        <v>0</v>
      </c>
      <c r="P99" s="64">
        <v>2.29</v>
      </c>
      <c r="Q99" s="64">
        <v>9.64</v>
      </c>
      <c r="R99" s="196"/>
      <c r="S99" s="196"/>
      <c r="T99" s="196"/>
      <c r="U99" s="196"/>
    </row>
    <row r="100" spans="1:33" s="12" customFormat="1" x14ac:dyDescent="0.25">
      <c r="A100" s="211" t="s">
        <v>624</v>
      </c>
      <c r="B100" s="64">
        <v>79.06</v>
      </c>
      <c r="C100" s="64">
        <v>19.84</v>
      </c>
      <c r="D100" s="64">
        <v>72.39</v>
      </c>
      <c r="E100" s="64">
        <v>8.7899999999999991</v>
      </c>
      <c r="F100" s="64">
        <v>3.86</v>
      </c>
      <c r="G100" s="64">
        <v>113.32</v>
      </c>
      <c r="H100" s="64">
        <v>60.66</v>
      </c>
      <c r="I100" s="64">
        <v>8.9700000000000006</v>
      </c>
      <c r="J100" s="64">
        <v>0.53</v>
      </c>
      <c r="K100" s="64">
        <v>286.63</v>
      </c>
      <c r="L100" s="64">
        <v>18.77</v>
      </c>
      <c r="M100" s="64">
        <v>76.69</v>
      </c>
      <c r="N100" s="64">
        <v>26.1</v>
      </c>
      <c r="O100" s="64">
        <v>0</v>
      </c>
      <c r="P100" s="64">
        <v>2.34</v>
      </c>
      <c r="Q100" s="64">
        <v>9.64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625</v>
      </c>
      <c r="B101" s="64">
        <v>82.52</v>
      </c>
      <c r="C101" s="64">
        <v>19.45</v>
      </c>
      <c r="D101" s="64">
        <v>74.959999999999994</v>
      </c>
      <c r="E101" s="64">
        <v>8.76</v>
      </c>
      <c r="F101" s="64">
        <v>4.5599999999999996</v>
      </c>
      <c r="G101" s="64">
        <v>113.58</v>
      </c>
      <c r="H101" s="64">
        <v>58.48</v>
      </c>
      <c r="I101" s="64">
        <v>9.3699999999999992</v>
      </c>
      <c r="J101" s="64">
        <v>0.48</v>
      </c>
      <c r="K101" s="64">
        <v>271</v>
      </c>
      <c r="L101" s="64">
        <v>18.72</v>
      </c>
      <c r="M101" s="64">
        <v>77.98</v>
      </c>
      <c r="N101" s="64">
        <v>26</v>
      </c>
      <c r="O101" s="64">
        <v>0</v>
      </c>
      <c r="P101" s="64">
        <v>2.06</v>
      </c>
      <c r="Q101" s="64">
        <v>9.65</v>
      </c>
      <c r="R101" s="196"/>
      <c r="S101" s="196"/>
      <c r="T101" s="196"/>
      <c r="U101" s="196"/>
    </row>
    <row r="102" spans="1:33" s="12" customFormat="1" x14ac:dyDescent="0.25">
      <c r="A102" s="211" t="s">
        <v>626</v>
      </c>
      <c r="B102" s="64">
        <v>85.84</v>
      </c>
      <c r="C102" s="64">
        <v>20.079999999999998</v>
      </c>
      <c r="D102" s="64">
        <v>77.95</v>
      </c>
      <c r="E102" s="64">
        <v>8.74</v>
      </c>
      <c r="F102" s="64">
        <v>4.97</v>
      </c>
      <c r="G102" s="64">
        <v>113.58</v>
      </c>
      <c r="H102" s="64">
        <v>58.48</v>
      </c>
      <c r="I102" s="64">
        <v>9.32</v>
      </c>
      <c r="J102" s="64">
        <v>0.42</v>
      </c>
      <c r="K102" s="64">
        <v>292.06</v>
      </c>
      <c r="L102" s="64">
        <v>19.04</v>
      </c>
      <c r="M102" s="64">
        <v>73.5</v>
      </c>
      <c r="N102" s="64">
        <v>25.8</v>
      </c>
      <c r="O102" s="64">
        <v>0</v>
      </c>
      <c r="P102" s="64">
        <v>1.85</v>
      </c>
      <c r="Q102" s="64">
        <v>9.64</v>
      </c>
      <c r="R102" s="196"/>
      <c r="S102" s="196"/>
      <c r="T102" s="196"/>
      <c r="U102" s="196"/>
    </row>
    <row r="103" spans="1:33" s="12" customFormat="1" x14ac:dyDescent="0.25">
      <c r="A103" s="211" t="s">
        <v>627</v>
      </c>
      <c r="B103" s="64">
        <v>88.47</v>
      </c>
      <c r="C103" s="64">
        <v>20.98</v>
      </c>
      <c r="D103" s="64">
        <v>80.53</v>
      </c>
      <c r="E103" s="64">
        <v>8.7100000000000009</v>
      </c>
      <c r="F103" s="64">
        <v>4.21</v>
      </c>
      <c r="G103" s="64">
        <v>113.58</v>
      </c>
      <c r="H103" s="64">
        <v>58.48</v>
      </c>
      <c r="I103" s="64">
        <v>9.06</v>
      </c>
      <c r="J103" s="64">
        <v>0.56999999999999995</v>
      </c>
      <c r="K103" s="64">
        <v>322.79000000000002</v>
      </c>
      <c r="L103" s="64">
        <v>18.940000000000001</v>
      </c>
      <c r="M103" s="64">
        <v>79.12</v>
      </c>
      <c r="N103" s="64">
        <v>26.1</v>
      </c>
      <c r="O103" s="64">
        <v>0</v>
      </c>
      <c r="P103" s="64">
        <v>1.91</v>
      </c>
      <c r="Q103" s="64">
        <v>9.64</v>
      </c>
      <c r="R103" s="196"/>
      <c r="S103" s="196"/>
      <c r="T103" s="196"/>
      <c r="U103" s="196"/>
    </row>
    <row r="104" spans="1:33" s="12" customFormat="1" x14ac:dyDescent="0.25">
      <c r="A104" s="211" t="s">
        <v>628</v>
      </c>
      <c r="B104" s="64">
        <v>92.33</v>
      </c>
      <c r="C104" s="64">
        <v>20.81</v>
      </c>
      <c r="D104" s="64">
        <v>83.54</v>
      </c>
      <c r="E104" s="64">
        <v>6.01</v>
      </c>
      <c r="F104" s="64">
        <v>3.97</v>
      </c>
      <c r="G104" s="64">
        <v>114.57</v>
      </c>
      <c r="H104" s="64">
        <v>57.56</v>
      </c>
      <c r="I104" s="64">
        <v>8.9</v>
      </c>
      <c r="J104" s="64">
        <v>0.41</v>
      </c>
      <c r="K104" s="64">
        <v>327.97</v>
      </c>
      <c r="L104" s="64">
        <v>18.47</v>
      </c>
      <c r="M104" s="64">
        <v>82.47</v>
      </c>
      <c r="N104" s="64">
        <v>26.1</v>
      </c>
      <c r="O104" s="64">
        <v>0</v>
      </c>
      <c r="P104" s="64">
        <v>1.94</v>
      </c>
      <c r="Q104" s="64">
        <v>9.66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-0.17</v>
      </c>
      <c r="C106" s="67">
        <f>MIN(C9:C104)</f>
        <v>11.01</v>
      </c>
      <c r="D106" s="67">
        <f t="shared" ref="D106:Q106" si="0">MIN(D9:D104)</f>
        <v>6.83</v>
      </c>
      <c r="E106" s="67">
        <f t="shared" si="0"/>
        <v>5</v>
      </c>
      <c r="F106" s="67">
        <f t="shared" si="0"/>
        <v>3.22</v>
      </c>
      <c r="G106" s="67">
        <f t="shared" si="0"/>
        <v>31.31</v>
      </c>
      <c r="H106" s="67">
        <f t="shared" si="0"/>
        <v>10.56</v>
      </c>
      <c r="I106" s="67">
        <f t="shared" si="0"/>
        <v>2.2400000000000002</v>
      </c>
      <c r="J106" s="67">
        <f t="shared" si="0"/>
        <v>0.08</v>
      </c>
      <c r="K106" s="67">
        <f t="shared" si="0"/>
        <v>8.51</v>
      </c>
      <c r="L106" s="67">
        <f t="shared" si="0"/>
        <v>18.47</v>
      </c>
      <c r="M106" s="67">
        <f t="shared" si="0"/>
        <v>27.73</v>
      </c>
      <c r="N106" s="67">
        <f t="shared" si="0"/>
        <v>25.1</v>
      </c>
      <c r="O106" s="67">
        <f t="shared" si="0"/>
        <v>0</v>
      </c>
      <c r="P106" s="67">
        <f t="shared" si="0"/>
        <v>0.4</v>
      </c>
      <c r="Q106" s="67">
        <f t="shared" si="0"/>
        <v>9.6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92.33</v>
      </c>
      <c r="C107" s="66">
        <f t="shared" ref="C107:Q107" si="1">MAX(C9:C104)</f>
        <v>34.6</v>
      </c>
      <c r="D107" s="66">
        <f t="shared" si="1"/>
        <v>83.54</v>
      </c>
      <c r="E107" s="66">
        <f t="shared" si="1"/>
        <v>10.19</v>
      </c>
      <c r="F107" s="66">
        <f t="shared" si="1"/>
        <v>33.56</v>
      </c>
      <c r="G107" s="66">
        <f t="shared" si="1"/>
        <v>155.59</v>
      </c>
      <c r="H107" s="66">
        <f t="shared" si="1"/>
        <v>77.13</v>
      </c>
      <c r="I107" s="66">
        <f t="shared" si="1"/>
        <v>9.3699999999999992</v>
      </c>
      <c r="J107" s="66">
        <f t="shared" si="1"/>
        <v>2.1</v>
      </c>
      <c r="K107" s="66">
        <f t="shared" si="1"/>
        <v>355.66</v>
      </c>
      <c r="L107" s="66">
        <f t="shared" si="1"/>
        <v>31.24</v>
      </c>
      <c r="M107" s="66">
        <f t="shared" si="1"/>
        <v>102.71</v>
      </c>
      <c r="N107" s="66">
        <f t="shared" si="1"/>
        <v>690.4</v>
      </c>
      <c r="O107" s="66">
        <f t="shared" si="1"/>
        <v>0</v>
      </c>
      <c r="P107" s="66">
        <f t="shared" si="1"/>
        <v>2.34</v>
      </c>
      <c r="Q107" s="66">
        <f t="shared" si="1"/>
        <v>9.66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31.443124999999995</v>
      </c>
      <c r="C108" s="67">
        <f t="shared" ref="C108:Q108" si="2">AVERAGE(C9:C104)</f>
        <v>19.303125000000001</v>
      </c>
      <c r="D108" s="67">
        <f t="shared" si="2"/>
        <v>33.923750000000005</v>
      </c>
      <c r="E108" s="67">
        <f t="shared" si="2"/>
        <v>6.776250000000001</v>
      </c>
      <c r="F108" s="67">
        <f t="shared" si="2"/>
        <v>5.7176041666666677</v>
      </c>
      <c r="G108" s="67">
        <f t="shared" si="2"/>
        <v>98.166413043478215</v>
      </c>
      <c r="H108" s="67">
        <f t="shared" si="2"/>
        <v>41.361630434782619</v>
      </c>
      <c r="I108" s="67">
        <f t="shared" si="2"/>
        <v>5.1920833333333327</v>
      </c>
      <c r="J108" s="67">
        <f t="shared" si="2"/>
        <v>0.61510416666666656</v>
      </c>
      <c r="K108" s="67">
        <f t="shared" si="2"/>
        <v>236.90343750000002</v>
      </c>
      <c r="L108" s="67">
        <f t="shared" si="2"/>
        <v>23.433437499999993</v>
      </c>
      <c r="M108" s="67">
        <f t="shared" si="2"/>
        <v>66.374895833333298</v>
      </c>
      <c r="N108" s="67">
        <f t="shared" si="2"/>
        <v>167.68541666666667</v>
      </c>
      <c r="O108" s="67">
        <f t="shared" si="2"/>
        <v>0</v>
      </c>
      <c r="P108" s="67">
        <f t="shared" si="2"/>
        <v>1.0505208333333329</v>
      </c>
      <c r="Q108" s="67">
        <f t="shared" si="2"/>
        <v>9.624270833333334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27.890747770259061</v>
      </c>
      <c r="C109" s="67">
        <f t="shared" ref="C109:Q109" si="3">STDEV(C9:C104)</f>
        <v>6.5218310816744385</v>
      </c>
      <c r="D109" s="67">
        <f t="shared" si="3"/>
        <v>22.297030732222712</v>
      </c>
      <c r="E109" s="67">
        <f t="shared" si="3"/>
        <v>1.2319545873380053</v>
      </c>
      <c r="F109" s="67">
        <f t="shared" si="3"/>
        <v>4.053715578211559</v>
      </c>
      <c r="G109" s="67">
        <f t="shared" si="3"/>
        <v>21.002417839959129</v>
      </c>
      <c r="H109" s="67">
        <f t="shared" si="3"/>
        <v>14.459646103703093</v>
      </c>
      <c r="I109" s="67">
        <f t="shared" si="3"/>
        <v>2.0704766380647537</v>
      </c>
      <c r="J109" s="67">
        <f t="shared" si="3"/>
        <v>0.49068157708204174</v>
      </c>
      <c r="K109" s="67">
        <f t="shared" si="3"/>
        <v>105.072528132044</v>
      </c>
      <c r="L109" s="67">
        <f t="shared" si="3"/>
        <v>4.0993275002063072</v>
      </c>
      <c r="M109" s="67">
        <f t="shared" si="3"/>
        <v>25.123948734007534</v>
      </c>
      <c r="N109" s="67">
        <f t="shared" si="3"/>
        <v>223.87930440972531</v>
      </c>
      <c r="O109" s="67">
        <f t="shared" si="3"/>
        <v>0</v>
      </c>
      <c r="P109" s="67">
        <f t="shared" si="3"/>
        <v>0.53442417568950251</v>
      </c>
      <c r="Q109" s="67">
        <f t="shared" si="3"/>
        <v>1.0929900241916953E-2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629</v>
      </c>
      <c r="B9" s="64">
        <v>93.79</v>
      </c>
      <c r="C9" s="64">
        <v>20.85</v>
      </c>
      <c r="D9" s="64">
        <v>84.73</v>
      </c>
      <c r="E9" s="64">
        <v>7.23</v>
      </c>
      <c r="F9" s="64">
        <v>4.04</v>
      </c>
      <c r="G9" s="64">
        <v>117.47</v>
      </c>
      <c r="H9" s="64">
        <v>53.84</v>
      </c>
      <c r="I9" s="64">
        <v>8.9</v>
      </c>
      <c r="J9" s="64">
        <v>0.26</v>
      </c>
      <c r="K9" s="64">
        <v>294.14</v>
      </c>
      <c r="L9" s="64">
        <v>18.8</v>
      </c>
      <c r="M9" s="64">
        <v>72.400000000000006</v>
      </c>
      <c r="N9" s="64">
        <v>25.5</v>
      </c>
      <c r="O9" s="64">
        <v>0</v>
      </c>
      <c r="P9" s="64">
        <v>1.66</v>
      </c>
      <c r="Q9" s="64">
        <v>9.64</v>
      </c>
      <c r="R9" s="196"/>
      <c r="S9" s="196"/>
      <c r="T9" s="196"/>
      <c r="U9" s="196"/>
    </row>
    <row r="10" spans="1:21" s="12" customFormat="1" x14ac:dyDescent="0.25">
      <c r="A10" s="211" t="s">
        <v>630</v>
      </c>
      <c r="B10" s="64">
        <v>91.11</v>
      </c>
      <c r="C10" s="64">
        <v>21</v>
      </c>
      <c r="D10" s="64">
        <v>82.66</v>
      </c>
      <c r="E10" s="64">
        <v>6.59</v>
      </c>
      <c r="F10" s="64">
        <v>4.0599999999999996</v>
      </c>
      <c r="G10" s="64">
        <v>117.47</v>
      </c>
      <c r="H10" s="64">
        <v>53.84</v>
      </c>
      <c r="I10" s="64">
        <v>9.07</v>
      </c>
      <c r="J10" s="64">
        <v>0.37</v>
      </c>
      <c r="K10" s="64">
        <v>346.37</v>
      </c>
      <c r="L10" s="64">
        <v>19.329999999999998</v>
      </c>
      <c r="M10" s="64">
        <v>68.069999999999993</v>
      </c>
      <c r="N10" s="64">
        <v>25.6</v>
      </c>
      <c r="O10" s="64">
        <v>0</v>
      </c>
      <c r="P10" s="64">
        <v>1.7</v>
      </c>
      <c r="Q10" s="64">
        <v>9.65</v>
      </c>
      <c r="R10" s="196"/>
      <c r="S10" s="196"/>
      <c r="T10" s="196"/>
      <c r="U10" s="196"/>
    </row>
    <row r="11" spans="1:21" s="12" customFormat="1" x14ac:dyDescent="0.25">
      <c r="A11" s="211" t="s">
        <v>631</v>
      </c>
      <c r="B11" s="64">
        <v>86.37</v>
      </c>
      <c r="C11" s="64">
        <v>20.78</v>
      </c>
      <c r="D11" s="64">
        <v>78.75</v>
      </c>
      <c r="E11" s="64">
        <v>6.49</v>
      </c>
      <c r="F11" s="64">
        <v>4.3099999999999996</v>
      </c>
      <c r="G11" s="64">
        <v>117.47</v>
      </c>
      <c r="H11" s="64">
        <v>53.84</v>
      </c>
      <c r="I11" s="64">
        <v>7.51</v>
      </c>
      <c r="J11" s="64">
        <v>0.25</v>
      </c>
      <c r="K11" s="64">
        <v>15.22</v>
      </c>
      <c r="L11" s="64">
        <v>19.34</v>
      </c>
      <c r="M11" s="64">
        <v>67.59</v>
      </c>
      <c r="N11" s="64">
        <v>25.8</v>
      </c>
      <c r="O11" s="64">
        <v>0</v>
      </c>
      <c r="P11" s="64">
        <v>1.6</v>
      </c>
      <c r="Q11" s="64">
        <v>9.65</v>
      </c>
      <c r="R11" s="196"/>
      <c r="S11" s="196"/>
      <c r="T11" s="196"/>
      <c r="U11" s="196"/>
    </row>
    <row r="12" spans="1:21" s="12" customFormat="1" x14ac:dyDescent="0.25">
      <c r="A12" s="211" t="s">
        <v>632</v>
      </c>
      <c r="B12" s="64">
        <v>81.38</v>
      </c>
      <c r="C12" s="64">
        <v>20.77</v>
      </c>
      <c r="D12" s="64">
        <v>74.739999999999995</v>
      </c>
      <c r="E12" s="64">
        <v>6.22</v>
      </c>
      <c r="F12" s="64">
        <v>4.01</v>
      </c>
      <c r="G12" s="64">
        <v>112.09</v>
      </c>
      <c r="H12" s="64">
        <v>50.44</v>
      </c>
      <c r="I12" s="64">
        <v>6.89</v>
      </c>
      <c r="J12" s="64">
        <v>0.18</v>
      </c>
      <c r="K12" s="64">
        <v>350.3</v>
      </c>
      <c r="L12" s="64">
        <v>19.13</v>
      </c>
      <c r="M12" s="64">
        <v>69.95</v>
      </c>
      <c r="N12" s="64">
        <v>26.1</v>
      </c>
      <c r="O12" s="64">
        <v>0</v>
      </c>
      <c r="P12" s="64">
        <v>1.66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633</v>
      </c>
      <c r="B13" s="64">
        <v>76.64</v>
      </c>
      <c r="C13" s="64">
        <v>20.170000000000002</v>
      </c>
      <c r="D13" s="64">
        <v>70.62</v>
      </c>
      <c r="E13" s="64">
        <v>6.36</v>
      </c>
      <c r="F13" s="64">
        <v>3.97</v>
      </c>
      <c r="G13" s="64">
        <v>96.44</v>
      </c>
      <c r="H13" s="64">
        <v>43.94</v>
      </c>
      <c r="I13" s="64">
        <v>7.68</v>
      </c>
      <c r="J13" s="64">
        <v>0.43</v>
      </c>
      <c r="K13" s="64">
        <v>331.18</v>
      </c>
      <c r="L13" s="64">
        <v>19.05</v>
      </c>
      <c r="M13" s="64">
        <v>71.260000000000005</v>
      </c>
      <c r="N13" s="64">
        <v>26</v>
      </c>
      <c r="O13" s="64">
        <v>0</v>
      </c>
      <c r="P13" s="64">
        <v>1.46</v>
      </c>
      <c r="Q13" s="64">
        <v>9.6199999999999992</v>
      </c>
      <c r="R13" s="196"/>
      <c r="S13" s="196"/>
      <c r="T13" s="196"/>
      <c r="U13" s="196"/>
    </row>
    <row r="14" spans="1:21" s="12" customFormat="1" x14ac:dyDescent="0.25">
      <c r="A14" s="211" t="s">
        <v>634</v>
      </c>
      <c r="B14" s="64">
        <v>71.97</v>
      </c>
      <c r="C14" s="64">
        <v>19.829999999999998</v>
      </c>
      <c r="D14" s="64">
        <v>66.7</v>
      </c>
      <c r="E14" s="64">
        <v>6.13</v>
      </c>
      <c r="F14" s="64">
        <v>4</v>
      </c>
      <c r="G14" s="64">
        <v>96.44</v>
      </c>
      <c r="H14" s="64">
        <v>43.94</v>
      </c>
      <c r="I14" s="64">
        <v>7.82</v>
      </c>
      <c r="J14" s="64">
        <v>0.41</v>
      </c>
      <c r="K14" s="64">
        <v>318.79000000000002</v>
      </c>
      <c r="L14" s="64">
        <v>18.399999999999999</v>
      </c>
      <c r="M14" s="64">
        <v>78.03</v>
      </c>
      <c r="N14" s="64">
        <v>26.2</v>
      </c>
      <c r="O14" s="64">
        <v>0</v>
      </c>
      <c r="P14" s="64">
        <v>1.48</v>
      </c>
      <c r="Q14" s="64">
        <v>9.69</v>
      </c>
      <c r="R14" s="196"/>
      <c r="S14" s="196"/>
      <c r="T14" s="196"/>
      <c r="U14" s="196"/>
    </row>
    <row r="15" spans="1:21" s="12" customFormat="1" x14ac:dyDescent="0.25">
      <c r="A15" s="211" t="s">
        <v>635</v>
      </c>
      <c r="B15" s="64">
        <v>67.84</v>
      </c>
      <c r="C15" s="64">
        <v>19.73</v>
      </c>
      <c r="D15" s="64">
        <v>63.33</v>
      </c>
      <c r="E15" s="64">
        <v>6.05</v>
      </c>
      <c r="F15" s="64">
        <v>4.28</v>
      </c>
      <c r="G15" s="64">
        <v>96.44</v>
      </c>
      <c r="H15" s="64">
        <v>43.94</v>
      </c>
      <c r="I15" s="64">
        <v>7.87</v>
      </c>
      <c r="J15" s="64">
        <v>0.52</v>
      </c>
      <c r="K15" s="64">
        <v>304.5</v>
      </c>
      <c r="L15" s="64">
        <v>18.04</v>
      </c>
      <c r="M15" s="64">
        <v>77.39</v>
      </c>
      <c r="N15" s="64">
        <v>26.1</v>
      </c>
      <c r="O15" s="64">
        <v>0</v>
      </c>
      <c r="P15" s="64">
        <v>1.1100000000000001</v>
      </c>
      <c r="Q15" s="64">
        <v>9.7100000000000009</v>
      </c>
      <c r="R15" s="196"/>
      <c r="S15" s="196"/>
      <c r="T15" s="196"/>
      <c r="U15" s="196"/>
    </row>
    <row r="16" spans="1:21" s="12" customFormat="1" x14ac:dyDescent="0.25">
      <c r="A16" s="211" t="s">
        <v>636</v>
      </c>
      <c r="B16" s="64">
        <v>64.819999999999993</v>
      </c>
      <c r="C16" s="64">
        <v>17.27</v>
      </c>
      <c r="D16" s="64">
        <v>59.63</v>
      </c>
      <c r="E16" s="64">
        <v>5.86</v>
      </c>
      <c r="F16" s="64">
        <v>4.97</v>
      </c>
      <c r="G16" s="64">
        <v>94.76</v>
      </c>
      <c r="H16" s="64">
        <v>42.81</v>
      </c>
      <c r="I16" s="64">
        <v>7.87</v>
      </c>
      <c r="J16" s="64">
        <v>0.23</v>
      </c>
      <c r="K16" s="64">
        <v>25.48</v>
      </c>
      <c r="L16" s="64">
        <v>17.95</v>
      </c>
      <c r="M16" s="64">
        <v>79.14</v>
      </c>
      <c r="N16" s="64">
        <v>26.1</v>
      </c>
      <c r="O16" s="64">
        <v>0</v>
      </c>
      <c r="P16" s="64">
        <v>1.04</v>
      </c>
      <c r="Q16" s="64">
        <v>9.6300000000000008</v>
      </c>
      <c r="R16" s="196"/>
      <c r="S16" s="196"/>
      <c r="T16" s="196"/>
      <c r="U16" s="196"/>
    </row>
    <row r="17" spans="1:21" s="12" customFormat="1" x14ac:dyDescent="0.25">
      <c r="A17" s="211" t="s">
        <v>637</v>
      </c>
      <c r="B17" s="64">
        <v>61.93</v>
      </c>
      <c r="C17" s="64">
        <v>16.52</v>
      </c>
      <c r="D17" s="64">
        <v>56.92</v>
      </c>
      <c r="E17" s="64">
        <v>5.83</v>
      </c>
      <c r="F17" s="64">
        <v>4.51</v>
      </c>
      <c r="G17" s="64">
        <v>89.87</v>
      </c>
      <c r="H17" s="64">
        <v>40.53</v>
      </c>
      <c r="I17" s="64">
        <v>5.62</v>
      </c>
      <c r="J17" s="64">
        <v>0.3</v>
      </c>
      <c r="K17" s="64">
        <v>62.98</v>
      </c>
      <c r="L17" s="64">
        <v>18.25</v>
      </c>
      <c r="M17" s="64">
        <v>75.83</v>
      </c>
      <c r="N17" s="64">
        <v>25.9</v>
      </c>
      <c r="O17" s="64">
        <v>0</v>
      </c>
      <c r="P17" s="64">
        <v>0.99</v>
      </c>
      <c r="Q17" s="64">
        <v>9.65</v>
      </c>
      <c r="R17" s="196"/>
      <c r="S17" s="196"/>
      <c r="T17" s="196"/>
      <c r="U17" s="196"/>
    </row>
    <row r="18" spans="1:21" s="12" customFormat="1" x14ac:dyDescent="0.25">
      <c r="A18" s="211" t="s">
        <v>638</v>
      </c>
      <c r="B18" s="64">
        <v>59.16</v>
      </c>
      <c r="C18" s="64">
        <v>16.05</v>
      </c>
      <c r="D18" s="64">
        <v>54.45</v>
      </c>
      <c r="E18" s="64">
        <v>5.6</v>
      </c>
      <c r="F18" s="64">
        <v>3.81</v>
      </c>
      <c r="G18" s="64">
        <v>89.87</v>
      </c>
      <c r="H18" s="64">
        <v>40.53</v>
      </c>
      <c r="I18" s="64">
        <v>5.12</v>
      </c>
      <c r="J18" s="64">
        <v>0.5</v>
      </c>
      <c r="K18" s="64">
        <v>136.84</v>
      </c>
      <c r="L18" s="64">
        <v>18.29</v>
      </c>
      <c r="M18" s="64">
        <v>76.209999999999994</v>
      </c>
      <c r="N18" s="64">
        <v>25.7</v>
      </c>
      <c r="O18" s="64">
        <v>0</v>
      </c>
      <c r="P18" s="64">
        <v>0.96</v>
      </c>
      <c r="Q18" s="64">
        <v>9.66</v>
      </c>
      <c r="R18" s="196"/>
      <c r="S18" s="196"/>
      <c r="T18" s="196"/>
      <c r="U18" s="196"/>
    </row>
    <row r="19" spans="1:21" s="12" customFormat="1" x14ac:dyDescent="0.25">
      <c r="A19" s="211" t="s">
        <v>639</v>
      </c>
      <c r="B19" s="64">
        <v>56.52</v>
      </c>
      <c r="C19" s="64">
        <v>15.5</v>
      </c>
      <c r="D19" s="64">
        <v>52.05</v>
      </c>
      <c r="E19" s="64">
        <v>5.65</v>
      </c>
      <c r="F19" s="64">
        <v>3.87</v>
      </c>
      <c r="G19" s="64">
        <v>89.87</v>
      </c>
      <c r="H19" s="64">
        <v>40.53</v>
      </c>
      <c r="I19" s="64">
        <v>5.97</v>
      </c>
      <c r="J19" s="64">
        <v>0.46</v>
      </c>
      <c r="K19" s="64">
        <v>268.44</v>
      </c>
      <c r="L19" s="64">
        <v>18.010000000000002</v>
      </c>
      <c r="M19" s="64">
        <v>81.52</v>
      </c>
      <c r="N19" s="64">
        <v>26.2</v>
      </c>
      <c r="O19" s="64">
        <v>0</v>
      </c>
      <c r="P19" s="64">
        <v>1.06</v>
      </c>
      <c r="Q19" s="64">
        <v>9.65</v>
      </c>
      <c r="R19" s="196"/>
      <c r="S19" s="196"/>
      <c r="T19" s="196"/>
      <c r="U19" s="196"/>
    </row>
    <row r="20" spans="1:21" s="12" customFormat="1" x14ac:dyDescent="0.25">
      <c r="A20" s="211" t="s">
        <v>640</v>
      </c>
      <c r="B20" s="64">
        <v>54.19</v>
      </c>
      <c r="C20" s="64">
        <v>15.18</v>
      </c>
      <c r="D20" s="64">
        <v>50.01</v>
      </c>
      <c r="E20" s="64">
        <v>5.88</v>
      </c>
      <c r="F20" s="64">
        <v>3.5</v>
      </c>
      <c r="G20" s="64">
        <v>88.73</v>
      </c>
      <c r="H20" s="64">
        <v>38.19</v>
      </c>
      <c r="I20" s="64">
        <v>6.77</v>
      </c>
      <c r="J20" s="64">
        <v>0.31</v>
      </c>
      <c r="K20" s="64">
        <v>32.409999999999997</v>
      </c>
      <c r="L20" s="64">
        <v>17.54</v>
      </c>
      <c r="M20" s="64">
        <v>87.09</v>
      </c>
      <c r="N20" s="64">
        <v>26.1</v>
      </c>
      <c r="O20" s="64">
        <v>0</v>
      </c>
      <c r="P20" s="64">
        <v>1.07</v>
      </c>
      <c r="Q20" s="64">
        <v>9.64</v>
      </c>
      <c r="R20" s="196"/>
      <c r="S20" s="196"/>
      <c r="T20" s="196"/>
      <c r="U20" s="196"/>
    </row>
    <row r="21" spans="1:21" s="12" customFormat="1" x14ac:dyDescent="0.25">
      <c r="A21" s="211" t="s">
        <v>641</v>
      </c>
      <c r="B21" s="64">
        <v>52.29</v>
      </c>
      <c r="C21" s="64">
        <v>14.87</v>
      </c>
      <c r="D21" s="64">
        <v>48.33</v>
      </c>
      <c r="E21" s="64">
        <v>5.77</v>
      </c>
      <c r="F21" s="64">
        <v>3.1</v>
      </c>
      <c r="G21" s="64">
        <v>85.42</v>
      </c>
      <c r="H21" s="64">
        <v>33.69</v>
      </c>
      <c r="I21" s="64">
        <v>6.55</v>
      </c>
      <c r="J21" s="64">
        <v>0.27</v>
      </c>
      <c r="K21" s="64">
        <v>9.31</v>
      </c>
      <c r="L21" s="64">
        <v>17.27</v>
      </c>
      <c r="M21" s="64">
        <v>89.44</v>
      </c>
      <c r="N21" s="64">
        <v>26.1</v>
      </c>
      <c r="O21" s="64">
        <v>0</v>
      </c>
      <c r="P21" s="64">
        <v>0.97</v>
      </c>
      <c r="Q21" s="64">
        <v>9.6300000000000008</v>
      </c>
      <c r="R21" s="196"/>
      <c r="S21" s="196"/>
      <c r="T21" s="196"/>
      <c r="U21" s="196"/>
    </row>
    <row r="22" spans="1:21" s="12" customFormat="1" x14ac:dyDescent="0.25">
      <c r="A22" s="211" t="s">
        <v>642</v>
      </c>
      <c r="B22" s="64">
        <v>50.5</v>
      </c>
      <c r="C22" s="64">
        <v>14.29</v>
      </c>
      <c r="D22" s="64">
        <v>46.59</v>
      </c>
      <c r="E22" s="64">
        <v>5.63</v>
      </c>
      <c r="F22" s="64">
        <v>3.25</v>
      </c>
      <c r="G22" s="64">
        <v>85.42</v>
      </c>
      <c r="H22" s="64">
        <v>33.69</v>
      </c>
      <c r="I22" s="64">
        <v>6.04</v>
      </c>
      <c r="J22" s="64">
        <v>0.87</v>
      </c>
      <c r="K22" s="64">
        <v>330.43</v>
      </c>
      <c r="L22" s="64">
        <v>16.97</v>
      </c>
      <c r="M22" s="64">
        <v>93.35</v>
      </c>
      <c r="N22" s="64">
        <v>26</v>
      </c>
      <c r="O22" s="64">
        <v>0</v>
      </c>
      <c r="P22" s="64">
        <v>1.1499999999999999</v>
      </c>
      <c r="Q22" s="64">
        <v>9.6300000000000008</v>
      </c>
      <c r="R22" s="196"/>
      <c r="S22" s="196"/>
      <c r="T22" s="196"/>
      <c r="U22" s="196"/>
    </row>
    <row r="23" spans="1:21" s="12" customFormat="1" x14ac:dyDescent="0.25">
      <c r="A23" s="211" t="s">
        <v>643</v>
      </c>
      <c r="B23" s="64">
        <v>48.47</v>
      </c>
      <c r="C23" s="64">
        <v>14.58</v>
      </c>
      <c r="D23" s="64">
        <v>45.11</v>
      </c>
      <c r="E23" s="64">
        <v>5.67</v>
      </c>
      <c r="F23" s="64">
        <v>3.62</v>
      </c>
      <c r="G23" s="64">
        <v>85.42</v>
      </c>
      <c r="H23" s="64">
        <v>33.69</v>
      </c>
      <c r="I23" s="64">
        <v>6.33</v>
      </c>
      <c r="J23" s="64">
        <v>0.4</v>
      </c>
      <c r="K23" s="64">
        <v>336.93</v>
      </c>
      <c r="L23" s="64">
        <v>16.850000000000001</v>
      </c>
      <c r="M23" s="64">
        <v>92.67</v>
      </c>
      <c r="N23" s="64">
        <v>25.7</v>
      </c>
      <c r="O23" s="64">
        <v>0</v>
      </c>
      <c r="P23" s="64">
        <v>1.1599999999999999</v>
      </c>
      <c r="Q23" s="64">
        <v>9.6300000000000008</v>
      </c>
      <c r="R23" s="196"/>
      <c r="S23" s="196"/>
      <c r="T23" s="196"/>
      <c r="U23" s="196"/>
    </row>
    <row r="24" spans="1:21" s="12" customFormat="1" x14ac:dyDescent="0.25">
      <c r="A24" s="211" t="s">
        <v>644</v>
      </c>
      <c r="B24" s="64">
        <v>46.4</v>
      </c>
      <c r="C24" s="64">
        <v>14.61</v>
      </c>
      <c r="D24" s="64">
        <v>43.46</v>
      </c>
      <c r="E24" s="64">
        <v>5.61</v>
      </c>
      <c r="F24" s="64">
        <v>3.85</v>
      </c>
      <c r="G24" s="64">
        <v>84.51</v>
      </c>
      <c r="H24" s="64">
        <v>34.340000000000003</v>
      </c>
      <c r="I24" s="64">
        <v>7.03</v>
      </c>
      <c r="J24" s="64">
        <v>0.15</v>
      </c>
      <c r="K24" s="64">
        <v>333.47</v>
      </c>
      <c r="L24" s="64">
        <v>16.89</v>
      </c>
      <c r="M24" s="64">
        <v>92.04</v>
      </c>
      <c r="N24" s="64">
        <v>26</v>
      </c>
      <c r="O24" s="64">
        <v>0</v>
      </c>
      <c r="P24" s="64">
        <v>1.1299999999999999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645</v>
      </c>
      <c r="B25" s="64">
        <v>44.2</v>
      </c>
      <c r="C25" s="64">
        <v>14.93</v>
      </c>
      <c r="D25" s="64">
        <v>41.87</v>
      </c>
      <c r="E25" s="64">
        <v>5.94</v>
      </c>
      <c r="F25" s="64">
        <v>4.54</v>
      </c>
      <c r="G25" s="64">
        <v>81.88</v>
      </c>
      <c r="H25" s="64">
        <v>37.21</v>
      </c>
      <c r="I25" s="64">
        <v>7.34</v>
      </c>
      <c r="J25" s="64">
        <v>0.15</v>
      </c>
      <c r="K25" s="64">
        <v>247.58</v>
      </c>
      <c r="L25" s="64">
        <v>16.84</v>
      </c>
      <c r="M25" s="64">
        <v>90.86</v>
      </c>
      <c r="N25" s="64">
        <v>26</v>
      </c>
      <c r="O25" s="64">
        <v>0</v>
      </c>
      <c r="P25" s="64">
        <v>1.1000000000000001</v>
      </c>
      <c r="Q25" s="64">
        <v>9.61</v>
      </c>
      <c r="R25" s="196"/>
      <c r="S25" s="196"/>
      <c r="T25" s="196"/>
      <c r="U25" s="196"/>
    </row>
    <row r="26" spans="1:21" s="12" customFormat="1" x14ac:dyDescent="0.25">
      <c r="A26" s="211" t="s">
        <v>646</v>
      </c>
      <c r="B26" s="64">
        <v>42.21</v>
      </c>
      <c r="C26" s="64">
        <v>14.71</v>
      </c>
      <c r="D26" s="64">
        <v>40.15</v>
      </c>
      <c r="E26" s="64">
        <v>5.72</v>
      </c>
      <c r="F26" s="64">
        <v>3.89</v>
      </c>
      <c r="G26" s="64">
        <v>81.88</v>
      </c>
      <c r="H26" s="64">
        <v>37.21</v>
      </c>
      <c r="I26" s="64">
        <v>7.33</v>
      </c>
      <c r="J26" s="64">
        <v>0.39</v>
      </c>
      <c r="K26" s="64">
        <v>13.24</v>
      </c>
      <c r="L26" s="64">
        <v>16.68</v>
      </c>
      <c r="M26" s="64">
        <v>91.53</v>
      </c>
      <c r="N26" s="64">
        <v>25.9</v>
      </c>
      <c r="O26" s="64">
        <v>0</v>
      </c>
      <c r="P26" s="64">
        <v>1.07</v>
      </c>
      <c r="Q26" s="64">
        <v>9.6199999999999992</v>
      </c>
      <c r="R26" s="196"/>
      <c r="S26" s="196"/>
      <c r="T26" s="196"/>
      <c r="U26" s="196"/>
    </row>
    <row r="27" spans="1:21" s="12" customFormat="1" x14ac:dyDescent="0.25">
      <c r="A27" s="211" t="s">
        <v>647</v>
      </c>
      <c r="B27" s="64">
        <v>40.69</v>
      </c>
      <c r="C27" s="64">
        <v>15.28</v>
      </c>
      <c r="D27" s="64">
        <v>39.24</v>
      </c>
      <c r="E27" s="64">
        <v>5.97</v>
      </c>
      <c r="F27" s="64">
        <v>3.91</v>
      </c>
      <c r="G27" s="64">
        <v>81.88</v>
      </c>
      <c r="H27" s="64">
        <v>37.21</v>
      </c>
      <c r="I27" s="64">
        <v>7.23</v>
      </c>
      <c r="J27" s="64">
        <v>0.44</v>
      </c>
      <c r="K27" s="64">
        <v>87.68</v>
      </c>
      <c r="L27" s="64">
        <v>16.73</v>
      </c>
      <c r="M27" s="64">
        <v>88.76</v>
      </c>
      <c r="N27" s="64">
        <v>25.8</v>
      </c>
      <c r="O27" s="64">
        <v>0</v>
      </c>
      <c r="P27" s="64">
        <v>1.04</v>
      </c>
      <c r="Q27" s="64">
        <v>9.6300000000000008</v>
      </c>
      <c r="R27" s="196"/>
      <c r="S27" s="196"/>
      <c r="T27" s="196"/>
      <c r="U27" s="196"/>
    </row>
    <row r="28" spans="1:21" s="12" customFormat="1" x14ac:dyDescent="0.25">
      <c r="A28" s="211" t="s">
        <v>648</v>
      </c>
      <c r="B28" s="64">
        <v>38.69</v>
      </c>
      <c r="C28" s="64">
        <v>15.35</v>
      </c>
      <c r="D28" s="64">
        <v>37.67</v>
      </c>
      <c r="E28" s="64">
        <v>5.65</v>
      </c>
      <c r="F28" s="64">
        <v>3.78</v>
      </c>
      <c r="G28" s="64">
        <v>81.040000000000006</v>
      </c>
      <c r="H28" s="64">
        <v>35.979999999999997</v>
      </c>
      <c r="I28" s="64">
        <v>7.13</v>
      </c>
      <c r="J28" s="64">
        <v>0.2</v>
      </c>
      <c r="K28" s="64">
        <v>80.38</v>
      </c>
      <c r="L28" s="64">
        <v>16.77</v>
      </c>
      <c r="M28" s="64">
        <v>89.05</v>
      </c>
      <c r="N28" s="64">
        <v>25.8</v>
      </c>
      <c r="O28" s="64">
        <v>0</v>
      </c>
      <c r="P28" s="64">
        <v>1.01</v>
      </c>
      <c r="Q28" s="64">
        <v>9.6300000000000008</v>
      </c>
      <c r="R28" s="196"/>
      <c r="S28" s="196"/>
      <c r="T28" s="196"/>
      <c r="U28" s="196"/>
    </row>
    <row r="29" spans="1:21" s="12" customFormat="1" x14ac:dyDescent="0.25">
      <c r="A29" s="211" t="s">
        <v>649</v>
      </c>
      <c r="B29" s="64">
        <v>36.6</v>
      </c>
      <c r="C29" s="64">
        <v>15.92</v>
      </c>
      <c r="D29" s="64">
        <v>36.29</v>
      </c>
      <c r="E29" s="64">
        <v>5.49</v>
      </c>
      <c r="F29" s="64">
        <v>3.82</v>
      </c>
      <c r="G29" s="64">
        <v>78.59</v>
      </c>
      <c r="H29" s="64">
        <v>33.61</v>
      </c>
      <c r="I29" s="64">
        <v>6.97</v>
      </c>
      <c r="J29" s="64">
        <v>0.2</v>
      </c>
      <c r="K29" s="64">
        <v>46.89</v>
      </c>
      <c r="L29" s="64">
        <v>16.71</v>
      </c>
      <c r="M29" s="64">
        <v>89.73</v>
      </c>
      <c r="N29" s="64">
        <v>25.8</v>
      </c>
      <c r="O29" s="64">
        <v>0</v>
      </c>
      <c r="P29" s="64">
        <v>0.97</v>
      </c>
      <c r="Q29" s="64">
        <v>9.6199999999999992</v>
      </c>
      <c r="R29" s="196"/>
      <c r="S29" s="196"/>
      <c r="T29" s="196"/>
      <c r="U29" s="196"/>
    </row>
    <row r="30" spans="1:21" s="12" customFormat="1" x14ac:dyDescent="0.25">
      <c r="A30" s="211" t="s">
        <v>650</v>
      </c>
      <c r="B30" s="64">
        <v>34.5</v>
      </c>
      <c r="C30" s="64">
        <v>15.73</v>
      </c>
      <c r="D30" s="64">
        <v>34.51</v>
      </c>
      <c r="E30" s="64">
        <v>5.57</v>
      </c>
      <c r="F30" s="64">
        <v>4.08</v>
      </c>
      <c r="G30" s="64">
        <v>78.59</v>
      </c>
      <c r="H30" s="64">
        <v>33.61</v>
      </c>
      <c r="I30" s="64">
        <v>6.81</v>
      </c>
      <c r="J30" s="64">
        <v>0.36</v>
      </c>
      <c r="K30" s="64">
        <v>55.77</v>
      </c>
      <c r="L30" s="64">
        <v>16.670000000000002</v>
      </c>
      <c r="M30" s="64">
        <v>89.93</v>
      </c>
      <c r="N30" s="64">
        <v>26</v>
      </c>
      <c r="O30" s="64">
        <v>0</v>
      </c>
      <c r="P30" s="64">
        <v>0.94</v>
      </c>
      <c r="Q30" s="64">
        <v>9.65</v>
      </c>
      <c r="R30" s="196"/>
      <c r="S30" s="196"/>
      <c r="T30" s="196"/>
      <c r="U30" s="196"/>
    </row>
    <row r="31" spans="1:21" s="12" customFormat="1" x14ac:dyDescent="0.25">
      <c r="A31" s="211" t="s">
        <v>651</v>
      </c>
      <c r="B31" s="64">
        <v>32.72</v>
      </c>
      <c r="C31" s="64">
        <v>16.54</v>
      </c>
      <c r="D31" s="64">
        <v>33.5</v>
      </c>
      <c r="E31" s="64">
        <v>5.47</v>
      </c>
      <c r="F31" s="64">
        <v>3.91</v>
      </c>
      <c r="G31" s="64">
        <v>78.59</v>
      </c>
      <c r="H31" s="64">
        <v>33.61</v>
      </c>
      <c r="I31" s="64">
        <v>6.62</v>
      </c>
      <c r="J31" s="64">
        <v>0.45</v>
      </c>
      <c r="K31" s="64">
        <v>75.760000000000005</v>
      </c>
      <c r="L31" s="64">
        <v>16.579999999999998</v>
      </c>
      <c r="M31" s="64">
        <v>90.73</v>
      </c>
      <c r="N31" s="64">
        <v>25.9</v>
      </c>
      <c r="O31" s="64">
        <v>0</v>
      </c>
      <c r="P31" s="64">
        <v>0.91</v>
      </c>
      <c r="Q31" s="64">
        <v>9.65</v>
      </c>
      <c r="R31" s="196"/>
      <c r="S31" s="196"/>
      <c r="T31" s="196"/>
      <c r="U31" s="196"/>
    </row>
    <row r="32" spans="1:21" s="12" customFormat="1" x14ac:dyDescent="0.25">
      <c r="A32" s="211" t="s">
        <v>652</v>
      </c>
      <c r="B32" s="64">
        <v>31.43</v>
      </c>
      <c r="C32" s="64">
        <v>16.489999999999998</v>
      </c>
      <c r="D32" s="64">
        <v>32.44</v>
      </c>
      <c r="E32" s="64">
        <v>5.4</v>
      </c>
      <c r="F32" s="64">
        <v>3.26</v>
      </c>
      <c r="G32" s="64">
        <v>77.58</v>
      </c>
      <c r="H32" s="64">
        <v>33.4</v>
      </c>
      <c r="I32" s="64">
        <v>6.41</v>
      </c>
      <c r="J32" s="64">
        <v>0.53</v>
      </c>
      <c r="K32" s="64">
        <v>75.53</v>
      </c>
      <c r="L32" s="64">
        <v>16.47</v>
      </c>
      <c r="M32" s="64">
        <v>91.53</v>
      </c>
      <c r="N32" s="64">
        <v>26.2</v>
      </c>
      <c r="O32" s="64">
        <v>0</v>
      </c>
      <c r="P32" s="64">
        <v>0.69</v>
      </c>
      <c r="Q32" s="64">
        <v>9.6300000000000008</v>
      </c>
      <c r="R32" s="196"/>
      <c r="S32" s="196"/>
      <c r="T32" s="196"/>
      <c r="U32" s="196"/>
    </row>
    <row r="33" spans="1:21" s="12" customFormat="1" x14ac:dyDescent="0.25">
      <c r="A33" s="211" t="s">
        <v>653</v>
      </c>
      <c r="B33" s="64">
        <v>30.53</v>
      </c>
      <c r="C33" s="64">
        <v>14.92</v>
      </c>
      <c r="D33" s="64">
        <v>30.9</v>
      </c>
      <c r="E33" s="64">
        <v>5.0599999999999996</v>
      </c>
      <c r="F33" s="64">
        <v>3.4</v>
      </c>
      <c r="G33" s="64">
        <v>74.62</v>
      </c>
      <c r="H33" s="64">
        <v>32.979999999999997</v>
      </c>
      <c r="I33" s="64">
        <v>5.66</v>
      </c>
      <c r="J33" s="64">
        <v>0.31</v>
      </c>
      <c r="K33" s="64">
        <v>110.37</v>
      </c>
      <c r="L33" s="64">
        <v>16.34</v>
      </c>
      <c r="M33" s="64">
        <v>93.43</v>
      </c>
      <c r="N33" s="64">
        <v>28.5</v>
      </c>
      <c r="O33" s="64">
        <v>0</v>
      </c>
      <c r="P33" s="64">
        <v>0.74</v>
      </c>
      <c r="Q33" s="64">
        <v>9.6300000000000008</v>
      </c>
      <c r="R33" s="196"/>
      <c r="S33" s="196"/>
      <c r="T33" s="196"/>
      <c r="U33" s="196"/>
    </row>
    <row r="34" spans="1:21" s="12" customFormat="1" x14ac:dyDescent="0.25">
      <c r="A34" s="211" t="s">
        <v>654</v>
      </c>
      <c r="B34" s="64">
        <v>29.82</v>
      </c>
      <c r="C34" s="64">
        <v>14.94</v>
      </c>
      <c r="D34" s="64">
        <v>30.34</v>
      </c>
      <c r="E34" s="64">
        <v>5.05</v>
      </c>
      <c r="F34" s="64">
        <v>4.0999999999999996</v>
      </c>
      <c r="G34" s="64">
        <v>74.62</v>
      </c>
      <c r="H34" s="64">
        <v>32.979999999999997</v>
      </c>
      <c r="I34" s="64">
        <v>4.74</v>
      </c>
      <c r="J34" s="64">
        <v>0.55000000000000004</v>
      </c>
      <c r="K34" s="64">
        <v>81.36</v>
      </c>
      <c r="L34" s="64">
        <v>16.34</v>
      </c>
      <c r="M34" s="64">
        <v>94.05</v>
      </c>
      <c r="N34" s="64">
        <v>36.6</v>
      </c>
      <c r="O34" s="64">
        <v>0</v>
      </c>
      <c r="P34" s="64">
        <v>0.71</v>
      </c>
      <c r="Q34" s="64">
        <v>9.6199999999999992</v>
      </c>
      <c r="R34" s="196"/>
      <c r="S34" s="196"/>
      <c r="T34" s="196"/>
      <c r="U34" s="196"/>
    </row>
    <row r="35" spans="1:21" s="12" customFormat="1" x14ac:dyDescent="0.25">
      <c r="A35" s="211" t="s">
        <v>655</v>
      </c>
      <c r="B35" s="64">
        <v>29.02</v>
      </c>
      <c r="C35" s="64">
        <v>14.94</v>
      </c>
      <c r="D35" s="64">
        <v>29.7</v>
      </c>
      <c r="E35" s="64">
        <v>4.99</v>
      </c>
      <c r="F35" s="64">
        <v>3.6</v>
      </c>
      <c r="G35" s="64">
        <v>74.62</v>
      </c>
      <c r="H35" s="64">
        <v>32.979999999999997</v>
      </c>
      <c r="I35" s="64">
        <v>4.72</v>
      </c>
      <c r="J35" s="64">
        <v>0.16</v>
      </c>
      <c r="K35" s="64">
        <v>70.56</v>
      </c>
      <c r="L35" s="64">
        <v>16.52</v>
      </c>
      <c r="M35" s="64">
        <v>94.29</v>
      </c>
      <c r="N35" s="64">
        <v>51.2</v>
      </c>
      <c r="O35" s="64">
        <v>0</v>
      </c>
      <c r="P35" s="64">
        <v>0.74</v>
      </c>
      <c r="Q35" s="64">
        <v>9.6199999999999992</v>
      </c>
      <c r="R35" s="196"/>
      <c r="S35" s="196"/>
      <c r="T35" s="196"/>
      <c r="U35" s="196"/>
    </row>
    <row r="36" spans="1:21" s="12" customFormat="1" x14ac:dyDescent="0.25">
      <c r="A36" s="211" t="s">
        <v>656</v>
      </c>
      <c r="B36" s="64">
        <v>28.83</v>
      </c>
      <c r="C36" s="64">
        <v>14.98</v>
      </c>
      <c r="D36" s="64">
        <v>29.57</v>
      </c>
      <c r="E36" s="64">
        <v>5.35</v>
      </c>
      <c r="F36" s="64">
        <v>3.51</v>
      </c>
      <c r="G36" s="64">
        <v>74.599999999999994</v>
      </c>
      <c r="H36" s="64">
        <v>29.02</v>
      </c>
      <c r="I36" s="64">
        <v>4.6500000000000004</v>
      </c>
      <c r="J36" s="64">
        <v>0.31</v>
      </c>
      <c r="K36" s="64">
        <v>328.41</v>
      </c>
      <c r="L36" s="64">
        <v>16.940000000000001</v>
      </c>
      <c r="M36" s="64">
        <v>93.47</v>
      </c>
      <c r="N36" s="64">
        <v>68.7</v>
      </c>
      <c r="O36" s="64">
        <v>0</v>
      </c>
      <c r="P36" s="64">
        <v>0.78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657</v>
      </c>
      <c r="B37" s="64">
        <v>28.8</v>
      </c>
      <c r="C37" s="64">
        <v>14.99</v>
      </c>
      <c r="D37" s="64">
        <v>29.55</v>
      </c>
      <c r="E37" s="64">
        <v>5.45</v>
      </c>
      <c r="F37" s="64">
        <v>3.89</v>
      </c>
      <c r="G37" s="64">
        <v>74.53</v>
      </c>
      <c r="H37" s="64">
        <v>21.44</v>
      </c>
      <c r="I37" s="64">
        <v>4.57</v>
      </c>
      <c r="J37" s="64">
        <v>0.39</v>
      </c>
      <c r="K37" s="64">
        <v>358.13</v>
      </c>
      <c r="L37" s="64">
        <v>17.45</v>
      </c>
      <c r="M37" s="64">
        <v>90.69</v>
      </c>
      <c r="N37" s="64">
        <v>105.3</v>
      </c>
      <c r="O37" s="64">
        <v>0</v>
      </c>
      <c r="P37" s="64">
        <v>0.85</v>
      </c>
      <c r="Q37" s="64">
        <v>9.64</v>
      </c>
      <c r="R37" s="196"/>
      <c r="S37" s="196"/>
      <c r="T37" s="196"/>
      <c r="U37" s="196"/>
    </row>
    <row r="38" spans="1:21" s="12" customFormat="1" x14ac:dyDescent="0.25">
      <c r="A38" s="211" t="s">
        <v>658</v>
      </c>
      <c r="B38" s="64">
        <v>28.63</v>
      </c>
      <c r="C38" s="64">
        <v>15.33</v>
      </c>
      <c r="D38" s="64">
        <v>29.59</v>
      </c>
      <c r="E38" s="64">
        <v>5.33</v>
      </c>
      <c r="F38" s="64">
        <v>3.58</v>
      </c>
      <c r="G38" s="64">
        <v>74.53</v>
      </c>
      <c r="H38" s="64">
        <v>21.44</v>
      </c>
      <c r="I38" s="64">
        <v>4.84</v>
      </c>
      <c r="J38" s="64">
        <v>1.07</v>
      </c>
      <c r="K38" s="64">
        <v>343.16</v>
      </c>
      <c r="L38" s="64">
        <v>18.98</v>
      </c>
      <c r="M38" s="64">
        <v>82.89</v>
      </c>
      <c r="N38" s="64">
        <v>162</v>
      </c>
      <c r="O38" s="64">
        <v>0</v>
      </c>
      <c r="P38" s="64">
        <v>0.9</v>
      </c>
      <c r="Q38" s="64">
        <v>9.64</v>
      </c>
      <c r="R38" s="196"/>
      <c r="S38" s="196"/>
      <c r="T38" s="196"/>
      <c r="U38" s="196"/>
    </row>
    <row r="39" spans="1:21" s="12" customFormat="1" x14ac:dyDescent="0.25">
      <c r="A39" s="211" t="s">
        <v>659</v>
      </c>
      <c r="B39" s="64">
        <v>28.23</v>
      </c>
      <c r="C39" s="64">
        <v>15.65</v>
      </c>
      <c r="D39" s="64">
        <v>29.44</v>
      </c>
      <c r="E39" s="64">
        <v>5.81</v>
      </c>
      <c r="F39" s="64">
        <v>3.58</v>
      </c>
      <c r="G39" s="64">
        <v>74.53</v>
      </c>
      <c r="H39" s="64">
        <v>21.44</v>
      </c>
      <c r="I39" s="64">
        <v>5.23</v>
      </c>
      <c r="J39" s="64">
        <v>0.61</v>
      </c>
      <c r="K39" s="64">
        <v>327.25</v>
      </c>
      <c r="L39" s="64">
        <v>20.12</v>
      </c>
      <c r="M39" s="64">
        <v>78.13</v>
      </c>
      <c r="N39" s="64">
        <v>208.7</v>
      </c>
      <c r="O39" s="64">
        <v>0</v>
      </c>
      <c r="P39" s="64">
        <v>0.89</v>
      </c>
      <c r="Q39" s="64">
        <v>9.6199999999999992</v>
      </c>
      <c r="R39" s="196"/>
      <c r="S39" s="196"/>
      <c r="T39" s="196"/>
      <c r="U39" s="196"/>
    </row>
    <row r="40" spans="1:21" s="12" customFormat="1" x14ac:dyDescent="0.25">
      <c r="A40" s="211" t="s">
        <v>660</v>
      </c>
      <c r="B40" s="64">
        <v>27.65</v>
      </c>
      <c r="C40" s="64">
        <v>16.66</v>
      </c>
      <c r="D40" s="64">
        <v>29.5</v>
      </c>
      <c r="E40" s="64">
        <v>5.4</v>
      </c>
      <c r="F40" s="64">
        <v>3.98</v>
      </c>
      <c r="G40" s="64">
        <v>74.099999999999994</v>
      </c>
      <c r="H40" s="64">
        <v>23.95</v>
      </c>
      <c r="I40" s="64">
        <v>5.23</v>
      </c>
      <c r="J40" s="64">
        <v>1.01</v>
      </c>
      <c r="K40" s="64">
        <v>339.56</v>
      </c>
      <c r="L40" s="64">
        <v>21.55</v>
      </c>
      <c r="M40" s="64">
        <v>72.930000000000007</v>
      </c>
      <c r="N40" s="64">
        <v>255.2</v>
      </c>
      <c r="O40" s="64">
        <v>0</v>
      </c>
      <c r="P40" s="64">
        <v>0.91</v>
      </c>
      <c r="Q40" s="64">
        <v>9.6199999999999992</v>
      </c>
      <c r="R40" s="196"/>
      <c r="S40" s="196"/>
      <c r="T40" s="196"/>
      <c r="U40" s="196"/>
    </row>
    <row r="41" spans="1:21" s="12" customFormat="1" x14ac:dyDescent="0.25">
      <c r="A41" s="211" t="s">
        <v>661</v>
      </c>
      <c r="B41" s="64">
        <v>27.17</v>
      </c>
      <c r="C41" s="64">
        <v>17.260000000000002</v>
      </c>
      <c r="D41" s="64">
        <v>29.43</v>
      </c>
      <c r="E41" s="64">
        <v>5.64</v>
      </c>
      <c r="F41" s="64">
        <v>4.07</v>
      </c>
      <c r="G41" s="64">
        <v>72.86</v>
      </c>
      <c r="H41" s="64">
        <v>34.01</v>
      </c>
      <c r="I41" s="64">
        <v>5.99</v>
      </c>
      <c r="J41" s="64">
        <v>0.44</v>
      </c>
      <c r="K41" s="64">
        <v>32.549999999999997</v>
      </c>
      <c r="L41" s="64">
        <v>21.67</v>
      </c>
      <c r="M41" s="64">
        <v>73</v>
      </c>
      <c r="N41" s="64">
        <v>304.2</v>
      </c>
      <c r="O41" s="64">
        <v>0</v>
      </c>
      <c r="P41" s="64">
        <v>0.9</v>
      </c>
      <c r="Q41" s="64">
        <v>9.6300000000000008</v>
      </c>
      <c r="R41" s="196"/>
      <c r="S41" s="196"/>
      <c r="T41" s="196"/>
      <c r="U41" s="196"/>
    </row>
    <row r="42" spans="1:21" s="12" customFormat="1" x14ac:dyDescent="0.25">
      <c r="A42" s="211" t="s">
        <v>662</v>
      </c>
      <c r="B42" s="64">
        <v>26.4</v>
      </c>
      <c r="C42" s="64">
        <v>17.84</v>
      </c>
      <c r="D42" s="64">
        <v>29.12</v>
      </c>
      <c r="E42" s="64">
        <v>5.42</v>
      </c>
      <c r="F42" s="64">
        <v>4.22</v>
      </c>
      <c r="G42" s="64">
        <v>72.86</v>
      </c>
      <c r="H42" s="64">
        <v>34.01</v>
      </c>
      <c r="I42" s="64">
        <v>6.31</v>
      </c>
      <c r="J42" s="64">
        <v>0.74</v>
      </c>
      <c r="K42" s="64">
        <v>102.93</v>
      </c>
      <c r="L42" s="64">
        <v>21.92</v>
      </c>
      <c r="M42" s="64">
        <v>72.53</v>
      </c>
      <c r="N42" s="64">
        <v>351.5</v>
      </c>
      <c r="O42" s="64">
        <v>0</v>
      </c>
      <c r="P42" s="64">
        <v>0.9</v>
      </c>
      <c r="Q42" s="64">
        <v>9.6300000000000008</v>
      </c>
      <c r="R42" s="196"/>
      <c r="S42" s="196"/>
      <c r="T42" s="196"/>
      <c r="U42" s="196"/>
    </row>
    <row r="43" spans="1:21" s="12" customFormat="1" x14ac:dyDescent="0.25">
      <c r="A43" s="211" t="s">
        <v>663</v>
      </c>
      <c r="B43" s="64">
        <v>24.94</v>
      </c>
      <c r="C43" s="64">
        <v>18.27</v>
      </c>
      <c r="D43" s="64">
        <v>28.17</v>
      </c>
      <c r="E43" s="64">
        <v>5.09</v>
      </c>
      <c r="F43" s="64">
        <v>4.13</v>
      </c>
      <c r="G43" s="64">
        <v>72.86</v>
      </c>
      <c r="H43" s="64">
        <v>34.01</v>
      </c>
      <c r="I43" s="64">
        <v>6.43</v>
      </c>
      <c r="J43" s="64">
        <v>1.44</v>
      </c>
      <c r="K43" s="64">
        <v>117.38</v>
      </c>
      <c r="L43" s="64">
        <v>21.21</v>
      </c>
      <c r="M43" s="64">
        <v>74.13</v>
      </c>
      <c r="N43" s="64">
        <v>402.8</v>
      </c>
      <c r="O43" s="64">
        <v>0</v>
      </c>
      <c r="P43" s="64">
        <v>0.88</v>
      </c>
      <c r="Q43" s="64">
        <v>9.6199999999999992</v>
      </c>
      <c r="R43" s="196"/>
      <c r="S43" s="196"/>
      <c r="T43" s="196"/>
      <c r="U43" s="196"/>
    </row>
    <row r="44" spans="1:21" s="12" customFormat="1" x14ac:dyDescent="0.25">
      <c r="A44" s="211" t="s">
        <v>664</v>
      </c>
      <c r="B44" s="64">
        <v>22.74</v>
      </c>
      <c r="C44" s="64">
        <v>18.32</v>
      </c>
      <c r="D44" s="64">
        <v>26.43</v>
      </c>
      <c r="E44" s="64">
        <v>5.15</v>
      </c>
      <c r="F44" s="64">
        <v>4.62</v>
      </c>
      <c r="G44" s="64">
        <v>71.89</v>
      </c>
      <c r="H44" s="64">
        <v>28.75</v>
      </c>
      <c r="I44" s="64">
        <v>6.55</v>
      </c>
      <c r="J44" s="64">
        <v>0.96</v>
      </c>
      <c r="K44" s="64">
        <v>114.42</v>
      </c>
      <c r="L44" s="64">
        <v>22.01</v>
      </c>
      <c r="M44" s="64">
        <v>71.959999999999994</v>
      </c>
      <c r="N44" s="64">
        <v>440.8</v>
      </c>
      <c r="O44" s="64">
        <v>0</v>
      </c>
      <c r="P44" s="64">
        <v>0.86</v>
      </c>
      <c r="Q44" s="64">
        <v>9.6199999999999992</v>
      </c>
      <c r="R44" s="196"/>
      <c r="S44" s="196"/>
      <c r="T44" s="196"/>
      <c r="U44" s="196"/>
    </row>
    <row r="45" spans="1:21" s="12" customFormat="1" x14ac:dyDescent="0.25">
      <c r="A45" s="211" t="s">
        <v>665</v>
      </c>
      <c r="B45" s="64">
        <v>20.9</v>
      </c>
      <c r="C45" s="64">
        <v>19.14</v>
      </c>
      <c r="D45" s="64">
        <v>25.38</v>
      </c>
      <c r="E45" s="64">
        <v>5.07</v>
      </c>
      <c r="F45" s="64">
        <v>4.26</v>
      </c>
      <c r="G45" s="64">
        <v>69.05</v>
      </c>
      <c r="H45" s="64">
        <v>18.7</v>
      </c>
      <c r="I45" s="64">
        <v>6.75</v>
      </c>
      <c r="J45" s="64">
        <v>0.36</v>
      </c>
      <c r="K45" s="64">
        <v>88.72</v>
      </c>
      <c r="L45" s="64">
        <v>23.55</v>
      </c>
      <c r="M45" s="64">
        <v>65.73</v>
      </c>
      <c r="N45" s="64">
        <v>479.4</v>
      </c>
      <c r="O45" s="64">
        <v>0</v>
      </c>
      <c r="P45" s="64">
        <v>0.84</v>
      </c>
      <c r="Q45" s="64">
        <v>9.61</v>
      </c>
      <c r="R45" s="196"/>
      <c r="S45" s="196"/>
      <c r="T45" s="196"/>
      <c r="U45" s="196"/>
    </row>
    <row r="46" spans="1:21" s="12" customFormat="1" x14ac:dyDescent="0.25">
      <c r="A46" s="211" t="s">
        <v>666</v>
      </c>
      <c r="B46" s="64">
        <v>19.02</v>
      </c>
      <c r="C46" s="64">
        <v>19.59</v>
      </c>
      <c r="D46" s="64">
        <v>24.11</v>
      </c>
      <c r="E46" s="64">
        <v>5.35</v>
      </c>
      <c r="F46" s="64">
        <v>3.78</v>
      </c>
      <c r="G46" s="64">
        <v>69.05</v>
      </c>
      <c r="H46" s="64">
        <v>18.7</v>
      </c>
      <c r="I46" s="64">
        <v>6.98</v>
      </c>
      <c r="J46" s="64">
        <v>1.33</v>
      </c>
      <c r="K46" s="64">
        <v>120.56</v>
      </c>
      <c r="L46" s="64">
        <v>23.34</v>
      </c>
      <c r="M46" s="64">
        <v>66.319999999999993</v>
      </c>
      <c r="N46" s="64">
        <v>513.29999999999995</v>
      </c>
      <c r="O46" s="64">
        <v>0</v>
      </c>
      <c r="P46" s="64">
        <v>0.83</v>
      </c>
      <c r="Q46" s="64">
        <v>9.6300000000000008</v>
      </c>
      <c r="R46" s="196"/>
      <c r="S46" s="196"/>
      <c r="T46" s="196"/>
      <c r="U46" s="196"/>
    </row>
    <row r="47" spans="1:21" s="12" customFormat="1" x14ac:dyDescent="0.25">
      <c r="A47" s="211" t="s">
        <v>667</v>
      </c>
      <c r="B47" s="64">
        <v>16.48</v>
      </c>
      <c r="C47" s="64">
        <v>19.62</v>
      </c>
      <c r="D47" s="64">
        <v>22.09</v>
      </c>
      <c r="E47" s="64">
        <v>5.25</v>
      </c>
      <c r="F47" s="64">
        <v>4.21</v>
      </c>
      <c r="G47" s="64">
        <v>69.05</v>
      </c>
      <c r="H47" s="64">
        <v>18.7</v>
      </c>
      <c r="I47" s="64">
        <v>7.07</v>
      </c>
      <c r="J47" s="64">
        <v>1.67</v>
      </c>
      <c r="K47" s="64">
        <v>114.01</v>
      </c>
      <c r="L47" s="64">
        <v>22.9</v>
      </c>
      <c r="M47" s="64">
        <v>64.930000000000007</v>
      </c>
      <c r="N47" s="64">
        <v>553.79999999999995</v>
      </c>
      <c r="O47" s="64">
        <v>0</v>
      </c>
      <c r="P47" s="64">
        <v>0.81</v>
      </c>
      <c r="Q47" s="64">
        <v>9.6300000000000008</v>
      </c>
      <c r="R47" s="196"/>
      <c r="S47" s="196"/>
      <c r="T47" s="196"/>
      <c r="U47" s="196"/>
    </row>
    <row r="48" spans="1:21" s="12" customFormat="1" x14ac:dyDescent="0.25">
      <c r="A48" s="211" t="s">
        <v>668</v>
      </c>
      <c r="B48" s="64">
        <v>13.93</v>
      </c>
      <c r="C48" s="64">
        <v>19.600000000000001</v>
      </c>
      <c r="D48" s="64">
        <v>20.03</v>
      </c>
      <c r="E48" s="64">
        <v>4.95</v>
      </c>
      <c r="F48" s="64">
        <v>3.98</v>
      </c>
      <c r="G48" s="64">
        <v>68.760000000000005</v>
      </c>
      <c r="H48" s="64">
        <v>25.37</v>
      </c>
      <c r="I48" s="64">
        <v>7.22</v>
      </c>
      <c r="J48" s="64">
        <v>1.48</v>
      </c>
      <c r="K48" s="64">
        <v>118.52</v>
      </c>
      <c r="L48" s="64">
        <v>23.43</v>
      </c>
      <c r="M48" s="64">
        <v>61.41</v>
      </c>
      <c r="N48" s="64">
        <v>584.70000000000005</v>
      </c>
      <c r="O48" s="64">
        <v>0</v>
      </c>
      <c r="P48" s="64">
        <v>0.76</v>
      </c>
      <c r="Q48" s="64">
        <v>9.6199999999999992</v>
      </c>
      <c r="R48" s="196"/>
      <c r="S48" s="196"/>
      <c r="T48" s="196"/>
      <c r="U48" s="196"/>
    </row>
    <row r="49" spans="1:21" s="12" customFormat="1" x14ac:dyDescent="0.25">
      <c r="A49" s="211" t="s">
        <v>669</v>
      </c>
      <c r="B49" s="64">
        <v>11.96</v>
      </c>
      <c r="C49" s="64">
        <v>18.440000000000001</v>
      </c>
      <c r="D49" s="64">
        <v>17.850000000000001</v>
      </c>
      <c r="E49" s="64">
        <v>5</v>
      </c>
      <c r="F49" s="64">
        <v>4.41</v>
      </c>
      <c r="G49" s="64">
        <v>67.930000000000007</v>
      </c>
      <c r="H49" s="64">
        <v>38.11</v>
      </c>
      <c r="I49" s="64">
        <v>7.51</v>
      </c>
      <c r="J49" s="64">
        <v>1.47</v>
      </c>
      <c r="K49" s="64">
        <v>123.37</v>
      </c>
      <c r="L49" s="64">
        <v>24.06</v>
      </c>
      <c r="M49" s="64">
        <v>57.42</v>
      </c>
      <c r="N49" s="64">
        <v>629.70000000000005</v>
      </c>
      <c r="O49" s="64">
        <v>0</v>
      </c>
      <c r="P49" s="64">
        <v>0.73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670</v>
      </c>
      <c r="B50" s="64">
        <v>10.44</v>
      </c>
      <c r="C50" s="64">
        <v>17.71</v>
      </c>
      <c r="D50" s="64">
        <v>16.25</v>
      </c>
      <c r="E50" s="64">
        <v>4.6900000000000004</v>
      </c>
      <c r="F50" s="64">
        <v>4.32</v>
      </c>
      <c r="G50" s="64">
        <v>67.930000000000007</v>
      </c>
      <c r="H50" s="64">
        <v>38.11</v>
      </c>
      <c r="I50" s="64">
        <v>7.13</v>
      </c>
      <c r="J50" s="64">
        <v>1.33</v>
      </c>
      <c r="K50" s="64">
        <v>117.6</v>
      </c>
      <c r="L50" s="64">
        <v>24.52</v>
      </c>
      <c r="M50" s="64">
        <v>55.12</v>
      </c>
      <c r="N50" s="64">
        <v>661.7</v>
      </c>
      <c r="O50" s="64">
        <v>0</v>
      </c>
      <c r="P50" s="64">
        <v>0.72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671</v>
      </c>
      <c r="B51" s="64">
        <v>9.06</v>
      </c>
      <c r="C51" s="64">
        <v>17.47</v>
      </c>
      <c r="D51" s="64">
        <v>15.02</v>
      </c>
      <c r="E51" s="64">
        <v>4.7699999999999996</v>
      </c>
      <c r="F51" s="64">
        <v>4.62</v>
      </c>
      <c r="G51" s="64">
        <v>67.930000000000007</v>
      </c>
      <c r="H51" s="64">
        <v>38.11</v>
      </c>
      <c r="I51" s="64">
        <v>7.11</v>
      </c>
      <c r="J51" s="64">
        <v>0.33</v>
      </c>
      <c r="K51" s="64">
        <v>87.96</v>
      </c>
      <c r="L51" s="64">
        <v>25.92</v>
      </c>
      <c r="M51" s="64">
        <v>50.24</v>
      </c>
      <c r="N51" s="64">
        <v>687.3</v>
      </c>
      <c r="O51" s="64">
        <v>0</v>
      </c>
      <c r="P51" s="64">
        <v>0.69</v>
      </c>
      <c r="Q51" s="64">
        <v>9.6300000000000008</v>
      </c>
      <c r="R51" s="196"/>
      <c r="S51" s="196"/>
      <c r="T51" s="196"/>
      <c r="U51" s="196"/>
    </row>
    <row r="52" spans="1:21" s="12" customFormat="1" x14ac:dyDescent="0.25">
      <c r="A52" s="211" t="s">
        <v>672</v>
      </c>
      <c r="B52" s="64">
        <v>8.08</v>
      </c>
      <c r="C52" s="64">
        <v>17.579999999999998</v>
      </c>
      <c r="D52" s="64">
        <v>14.28</v>
      </c>
      <c r="E52" s="64">
        <v>4.8099999999999996</v>
      </c>
      <c r="F52" s="64">
        <v>4.2300000000000004</v>
      </c>
      <c r="G52" s="64">
        <v>67.64</v>
      </c>
      <c r="H52" s="64">
        <v>35.08</v>
      </c>
      <c r="I52" s="64">
        <v>7.05</v>
      </c>
      <c r="J52" s="64">
        <v>0.95</v>
      </c>
      <c r="K52" s="64">
        <v>335.68</v>
      </c>
      <c r="L52" s="64">
        <v>29.07</v>
      </c>
      <c r="M52" s="64">
        <v>41.91</v>
      </c>
      <c r="N52" s="64">
        <v>699.5</v>
      </c>
      <c r="O52" s="64">
        <v>0</v>
      </c>
      <c r="P52" s="64">
        <v>0.7</v>
      </c>
      <c r="Q52" s="64">
        <v>9.6199999999999992</v>
      </c>
      <c r="R52" s="196"/>
      <c r="S52" s="196"/>
      <c r="T52" s="196"/>
      <c r="U52" s="196"/>
    </row>
    <row r="53" spans="1:21" s="12" customFormat="1" x14ac:dyDescent="0.25">
      <c r="A53" s="211" t="s">
        <v>673</v>
      </c>
      <c r="B53" s="64">
        <v>7.54</v>
      </c>
      <c r="C53" s="64">
        <v>18.27</v>
      </c>
      <c r="D53" s="64">
        <v>14.21</v>
      </c>
      <c r="E53" s="64">
        <v>5</v>
      </c>
      <c r="F53" s="64">
        <v>3.84</v>
      </c>
      <c r="G53" s="64">
        <v>66.790000000000006</v>
      </c>
      <c r="H53" s="64">
        <v>29.28</v>
      </c>
      <c r="I53" s="64">
        <v>6.98</v>
      </c>
      <c r="J53" s="64">
        <v>1.38</v>
      </c>
      <c r="K53" s="64">
        <v>330.05</v>
      </c>
      <c r="L53" s="64">
        <v>30.53</v>
      </c>
      <c r="M53" s="64">
        <v>38.770000000000003</v>
      </c>
      <c r="N53" s="64">
        <v>712.4</v>
      </c>
      <c r="O53" s="64">
        <v>0</v>
      </c>
      <c r="P53" s="64">
        <v>0.71</v>
      </c>
      <c r="Q53" s="64">
        <v>9.6300000000000008</v>
      </c>
      <c r="R53" s="196"/>
      <c r="S53" s="196"/>
      <c r="T53" s="196"/>
      <c r="U53" s="196"/>
    </row>
    <row r="54" spans="1:21" s="12" customFormat="1" x14ac:dyDescent="0.25">
      <c r="A54" s="211" t="s">
        <v>674</v>
      </c>
      <c r="B54" s="64">
        <v>6.95</v>
      </c>
      <c r="C54" s="64">
        <v>19.05</v>
      </c>
      <c r="D54" s="64">
        <v>14.15</v>
      </c>
      <c r="E54" s="64">
        <v>5.01</v>
      </c>
      <c r="F54" s="64">
        <v>3.72</v>
      </c>
      <c r="G54" s="64">
        <v>66.790000000000006</v>
      </c>
      <c r="H54" s="64">
        <v>29.28</v>
      </c>
      <c r="I54" s="64">
        <v>7.19</v>
      </c>
      <c r="J54" s="64">
        <v>0.94</v>
      </c>
      <c r="K54" s="64">
        <v>332.56</v>
      </c>
      <c r="L54" s="64">
        <v>31.13</v>
      </c>
      <c r="M54" s="64">
        <v>36.32</v>
      </c>
      <c r="N54" s="64">
        <v>713.4</v>
      </c>
      <c r="O54" s="64">
        <v>0</v>
      </c>
      <c r="P54" s="64">
        <v>0.7</v>
      </c>
      <c r="Q54" s="64">
        <v>9.6199999999999992</v>
      </c>
      <c r="R54" s="196"/>
      <c r="S54" s="196"/>
      <c r="T54" s="196"/>
      <c r="U54" s="196"/>
    </row>
    <row r="55" spans="1:21" s="12" customFormat="1" x14ac:dyDescent="0.25">
      <c r="A55" s="211" t="s">
        <v>675</v>
      </c>
      <c r="B55" s="64">
        <v>6.58</v>
      </c>
      <c r="C55" s="64">
        <v>19.34</v>
      </c>
      <c r="D55" s="64">
        <v>14</v>
      </c>
      <c r="E55" s="64">
        <v>4.96</v>
      </c>
      <c r="F55" s="64">
        <v>4.07</v>
      </c>
      <c r="G55" s="64">
        <v>66.790000000000006</v>
      </c>
      <c r="H55" s="64">
        <v>29.28</v>
      </c>
      <c r="I55" s="64">
        <v>7</v>
      </c>
      <c r="J55" s="64">
        <v>0.75</v>
      </c>
      <c r="K55" s="64">
        <v>125.3</v>
      </c>
      <c r="L55" s="64">
        <v>29.08</v>
      </c>
      <c r="M55" s="64">
        <v>39.090000000000003</v>
      </c>
      <c r="N55" s="64">
        <v>716.7</v>
      </c>
      <c r="O55" s="64">
        <v>0</v>
      </c>
      <c r="P55" s="64">
        <v>0.66</v>
      </c>
      <c r="Q55" s="64">
        <v>9.6199999999999992</v>
      </c>
      <c r="R55" s="196"/>
      <c r="S55" s="196"/>
      <c r="T55" s="196"/>
      <c r="U55" s="196"/>
    </row>
    <row r="56" spans="1:21" s="12" customFormat="1" x14ac:dyDescent="0.25">
      <c r="A56" s="211" t="s">
        <v>676</v>
      </c>
      <c r="B56" s="64">
        <v>5.91</v>
      </c>
      <c r="C56" s="64">
        <v>19.45</v>
      </c>
      <c r="D56" s="64">
        <v>13.52</v>
      </c>
      <c r="E56" s="64">
        <v>4.46</v>
      </c>
      <c r="F56" s="64">
        <v>4.0599999999999996</v>
      </c>
      <c r="G56" s="64">
        <v>66.739999999999995</v>
      </c>
      <c r="H56" s="64">
        <v>28.87</v>
      </c>
      <c r="I56" s="64">
        <v>5.93</v>
      </c>
      <c r="J56" s="64">
        <v>1.1100000000000001</v>
      </c>
      <c r="K56" s="64">
        <v>117.75</v>
      </c>
      <c r="L56" s="64">
        <v>26.83</v>
      </c>
      <c r="M56" s="64">
        <v>44.66</v>
      </c>
      <c r="N56" s="64">
        <v>692.6</v>
      </c>
      <c r="O56" s="64">
        <v>0</v>
      </c>
      <c r="P56" s="64">
        <v>0.7</v>
      </c>
      <c r="Q56" s="64">
        <v>9.6199999999999992</v>
      </c>
      <c r="R56" s="196"/>
      <c r="S56" s="196"/>
      <c r="T56" s="196"/>
      <c r="U56" s="196"/>
    </row>
    <row r="57" spans="1:21" s="12" customFormat="1" x14ac:dyDescent="0.25">
      <c r="A57" s="211" t="s">
        <v>677</v>
      </c>
      <c r="B57" s="64">
        <v>4.9800000000000004</v>
      </c>
      <c r="C57" s="64">
        <v>19.43</v>
      </c>
      <c r="D57" s="64">
        <v>12.76</v>
      </c>
      <c r="E57" s="64">
        <v>4.34</v>
      </c>
      <c r="F57" s="64">
        <v>4.6500000000000004</v>
      </c>
      <c r="G57" s="64">
        <v>66.59</v>
      </c>
      <c r="H57" s="64">
        <v>27.21</v>
      </c>
      <c r="I57" s="64">
        <v>6.18</v>
      </c>
      <c r="J57" s="64">
        <v>1.86</v>
      </c>
      <c r="K57" s="64">
        <v>117.52</v>
      </c>
      <c r="L57" s="64">
        <v>26.02</v>
      </c>
      <c r="M57" s="64">
        <v>45.01</v>
      </c>
      <c r="N57" s="64">
        <v>672.1</v>
      </c>
      <c r="O57" s="64">
        <v>0</v>
      </c>
      <c r="P57" s="64">
        <v>0.69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678</v>
      </c>
      <c r="B58" s="64">
        <v>3.87</v>
      </c>
      <c r="C58" s="64">
        <v>17.239999999999998</v>
      </c>
      <c r="D58" s="64">
        <v>10.74</v>
      </c>
      <c r="E58" s="64">
        <v>4.71</v>
      </c>
      <c r="F58" s="64">
        <v>4.76</v>
      </c>
      <c r="G58" s="64">
        <v>66.59</v>
      </c>
      <c r="H58" s="64">
        <v>27.21</v>
      </c>
      <c r="I58" s="64">
        <v>7.19</v>
      </c>
      <c r="J58" s="64">
        <v>1.22</v>
      </c>
      <c r="K58" s="64">
        <v>112.78</v>
      </c>
      <c r="L58" s="64">
        <v>25.91</v>
      </c>
      <c r="M58" s="64">
        <v>44.28</v>
      </c>
      <c r="N58" s="64">
        <v>639.5</v>
      </c>
      <c r="O58" s="64">
        <v>0</v>
      </c>
      <c r="P58" s="64">
        <v>0.66</v>
      </c>
      <c r="Q58" s="64">
        <v>9.6300000000000008</v>
      </c>
      <c r="R58" s="196"/>
      <c r="S58" s="196"/>
      <c r="T58" s="196"/>
      <c r="U58" s="196"/>
    </row>
    <row r="59" spans="1:21" s="12" customFormat="1" x14ac:dyDescent="0.25">
      <c r="A59" s="211" t="s">
        <v>679</v>
      </c>
      <c r="B59" s="64">
        <v>3.16</v>
      </c>
      <c r="C59" s="64">
        <v>18.41</v>
      </c>
      <c r="D59" s="64">
        <v>10.77</v>
      </c>
      <c r="E59" s="64">
        <v>4.2699999999999996</v>
      </c>
      <c r="F59" s="64">
        <v>4.93</v>
      </c>
      <c r="G59" s="64">
        <v>66.59</v>
      </c>
      <c r="H59" s="64">
        <v>27.21</v>
      </c>
      <c r="I59" s="64">
        <v>7.63</v>
      </c>
      <c r="J59" s="64">
        <v>0.26</v>
      </c>
      <c r="K59" s="64">
        <v>93.7</v>
      </c>
      <c r="L59" s="64">
        <v>27.82</v>
      </c>
      <c r="M59" s="64">
        <v>41.29</v>
      </c>
      <c r="N59" s="64">
        <v>614.9</v>
      </c>
      <c r="O59" s="64">
        <v>0</v>
      </c>
      <c r="P59" s="64">
        <v>0.65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680</v>
      </c>
      <c r="B60" s="64">
        <v>2.82</v>
      </c>
      <c r="C60" s="64">
        <v>17.41</v>
      </c>
      <c r="D60" s="64">
        <v>9.98</v>
      </c>
      <c r="E60" s="64">
        <v>4.5199999999999996</v>
      </c>
      <c r="F60" s="64">
        <v>5.58</v>
      </c>
      <c r="G60" s="64">
        <v>64.8</v>
      </c>
      <c r="H60" s="64">
        <v>23.21</v>
      </c>
      <c r="I60" s="64">
        <v>7.6</v>
      </c>
      <c r="J60" s="64">
        <v>0.46</v>
      </c>
      <c r="K60" s="64">
        <v>92.52</v>
      </c>
      <c r="L60" s="64">
        <v>26.92</v>
      </c>
      <c r="M60" s="64">
        <v>42.65</v>
      </c>
      <c r="N60" s="64">
        <v>571.4</v>
      </c>
      <c r="O60" s="64">
        <v>0</v>
      </c>
      <c r="P60" s="64">
        <v>0.62</v>
      </c>
      <c r="Q60" s="64">
        <v>9.6199999999999992</v>
      </c>
      <c r="R60" s="196"/>
      <c r="S60" s="196"/>
      <c r="T60" s="196"/>
      <c r="U60" s="196"/>
    </row>
    <row r="61" spans="1:21" s="12" customFormat="1" x14ac:dyDescent="0.25">
      <c r="A61" s="211" t="s">
        <v>681</v>
      </c>
      <c r="B61" s="64">
        <v>2.76</v>
      </c>
      <c r="C61" s="64">
        <v>18.670000000000002</v>
      </c>
      <c r="D61" s="64">
        <v>10.59</v>
      </c>
      <c r="E61" s="64">
        <v>4.32</v>
      </c>
      <c r="F61" s="64">
        <v>5.84</v>
      </c>
      <c r="G61" s="64">
        <v>59.58</v>
      </c>
      <c r="H61" s="64">
        <v>15.56</v>
      </c>
      <c r="I61" s="64">
        <v>6.88</v>
      </c>
      <c r="J61" s="64">
        <v>0.26</v>
      </c>
      <c r="K61" s="64">
        <v>68.08</v>
      </c>
      <c r="L61" s="64">
        <v>27.54</v>
      </c>
      <c r="M61" s="64">
        <v>42.14</v>
      </c>
      <c r="N61" s="64">
        <v>476.3</v>
      </c>
      <c r="O61" s="64">
        <v>0</v>
      </c>
      <c r="P61" s="64">
        <v>0.6</v>
      </c>
      <c r="Q61" s="64">
        <v>9.6300000000000008</v>
      </c>
      <c r="R61" s="196"/>
      <c r="S61" s="196"/>
      <c r="T61" s="196"/>
      <c r="U61" s="196"/>
    </row>
    <row r="62" spans="1:21" s="12" customFormat="1" x14ac:dyDescent="0.25">
      <c r="A62" s="211" t="s">
        <v>682</v>
      </c>
      <c r="B62" s="64">
        <v>2.89</v>
      </c>
      <c r="C62" s="64">
        <v>19.71</v>
      </c>
      <c r="D62" s="64">
        <v>11.24</v>
      </c>
      <c r="E62" s="64">
        <v>4.53</v>
      </c>
      <c r="F62" s="64">
        <v>5.26</v>
      </c>
      <c r="G62" s="64">
        <v>59.58</v>
      </c>
      <c r="H62" s="64">
        <v>15.56</v>
      </c>
      <c r="I62" s="64">
        <v>6.93</v>
      </c>
      <c r="J62" s="64">
        <v>1.28</v>
      </c>
      <c r="K62" s="64">
        <v>333.85</v>
      </c>
      <c r="L62" s="64">
        <v>29.02</v>
      </c>
      <c r="M62" s="64">
        <v>38.85</v>
      </c>
      <c r="N62" s="64">
        <v>389.2</v>
      </c>
      <c r="O62" s="64">
        <v>0</v>
      </c>
      <c r="P62" s="64">
        <v>0.62</v>
      </c>
      <c r="Q62" s="64">
        <v>9.6199999999999992</v>
      </c>
      <c r="R62" s="196"/>
      <c r="S62" s="196"/>
      <c r="T62" s="196"/>
      <c r="U62" s="196"/>
    </row>
    <row r="63" spans="1:21" s="12" customFormat="1" x14ac:dyDescent="0.25">
      <c r="A63" s="211" t="s">
        <v>683</v>
      </c>
      <c r="B63" s="64">
        <v>2.81</v>
      </c>
      <c r="C63" s="64">
        <v>20.36</v>
      </c>
      <c r="D63" s="64">
        <v>11.51</v>
      </c>
      <c r="E63" s="64">
        <v>4.9800000000000004</v>
      </c>
      <c r="F63" s="64">
        <v>5.0999999999999996</v>
      </c>
      <c r="G63" s="64">
        <v>59.58</v>
      </c>
      <c r="H63" s="64">
        <v>15.56</v>
      </c>
      <c r="I63" s="64">
        <v>7.05</v>
      </c>
      <c r="J63" s="64">
        <v>0.39</v>
      </c>
      <c r="K63" s="64">
        <v>84.78</v>
      </c>
      <c r="L63" s="64">
        <v>27.95</v>
      </c>
      <c r="M63" s="64">
        <v>40.24</v>
      </c>
      <c r="N63" s="64">
        <v>480.2</v>
      </c>
      <c r="O63" s="64">
        <v>0</v>
      </c>
      <c r="P63" s="64">
        <v>0.61</v>
      </c>
      <c r="Q63" s="64">
        <v>9.6199999999999992</v>
      </c>
      <c r="R63" s="196"/>
      <c r="S63" s="196"/>
      <c r="T63" s="196"/>
      <c r="U63" s="196"/>
    </row>
    <row r="64" spans="1:21" s="12" customFormat="1" x14ac:dyDescent="0.25">
      <c r="A64" s="211" t="s">
        <v>684</v>
      </c>
      <c r="B64" s="64">
        <v>2.5499999999999998</v>
      </c>
      <c r="C64" s="64">
        <v>20.059999999999999</v>
      </c>
      <c r="D64" s="64">
        <v>11.15</v>
      </c>
      <c r="E64" s="64">
        <v>4.7</v>
      </c>
      <c r="F64" s="64">
        <v>4.9400000000000004</v>
      </c>
      <c r="G64" s="64">
        <v>60.1</v>
      </c>
      <c r="H64" s="64">
        <v>17.440000000000001</v>
      </c>
      <c r="I64" s="64">
        <v>6.48</v>
      </c>
      <c r="J64" s="64">
        <v>0.64</v>
      </c>
      <c r="K64" s="64">
        <v>19.82</v>
      </c>
      <c r="L64" s="64">
        <v>27.03</v>
      </c>
      <c r="M64" s="64">
        <v>41.55</v>
      </c>
      <c r="N64" s="64">
        <v>274.3</v>
      </c>
      <c r="O64" s="64">
        <v>0</v>
      </c>
      <c r="P64" s="64">
        <v>0.6</v>
      </c>
      <c r="Q64" s="64">
        <v>9.61</v>
      </c>
      <c r="R64" s="196"/>
      <c r="S64" s="196"/>
      <c r="T64" s="196"/>
      <c r="U64" s="196"/>
    </row>
    <row r="65" spans="1:21" s="12" customFormat="1" x14ac:dyDescent="0.25">
      <c r="A65" s="211" t="s">
        <v>685</v>
      </c>
      <c r="B65" s="64">
        <v>2.5499999999999998</v>
      </c>
      <c r="C65" s="64">
        <v>19.690000000000001</v>
      </c>
      <c r="D65" s="64">
        <v>10.96</v>
      </c>
      <c r="E65" s="64">
        <v>4.72</v>
      </c>
      <c r="F65" s="64">
        <v>5.61</v>
      </c>
      <c r="G65" s="64">
        <v>61.61</v>
      </c>
      <c r="H65" s="64">
        <v>21.2</v>
      </c>
      <c r="I65" s="64">
        <v>6.26</v>
      </c>
      <c r="J65" s="64">
        <v>1.42</v>
      </c>
      <c r="K65" s="64">
        <v>331.95</v>
      </c>
      <c r="L65" s="64">
        <v>27.77</v>
      </c>
      <c r="M65" s="64">
        <v>40.840000000000003</v>
      </c>
      <c r="N65" s="64">
        <v>160.69999999999999</v>
      </c>
      <c r="O65" s="64">
        <v>0</v>
      </c>
      <c r="P65" s="64">
        <v>0.68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686</v>
      </c>
      <c r="B66" s="64">
        <v>2.67</v>
      </c>
      <c r="C66" s="64">
        <v>19.41</v>
      </c>
      <c r="D66" s="64">
        <v>10.91</v>
      </c>
      <c r="E66" s="64">
        <v>4.7300000000000004</v>
      </c>
      <c r="F66" s="64">
        <v>6.37</v>
      </c>
      <c r="G66" s="64">
        <v>61.61</v>
      </c>
      <c r="H66" s="64">
        <v>21.2</v>
      </c>
      <c r="I66" s="64">
        <v>5.99</v>
      </c>
      <c r="J66" s="64">
        <v>0.49</v>
      </c>
      <c r="K66" s="64">
        <v>12</v>
      </c>
      <c r="L66" s="64">
        <v>27.38</v>
      </c>
      <c r="M66" s="64">
        <v>39.86</v>
      </c>
      <c r="N66" s="64">
        <v>146.4</v>
      </c>
      <c r="O66" s="64">
        <v>0</v>
      </c>
      <c r="P66" s="64">
        <v>0.56999999999999995</v>
      </c>
      <c r="Q66" s="64">
        <v>9.6199999999999992</v>
      </c>
      <c r="R66" s="196"/>
      <c r="S66" s="196"/>
      <c r="T66" s="196"/>
      <c r="U66" s="196"/>
    </row>
    <row r="67" spans="1:21" s="12" customFormat="1" x14ac:dyDescent="0.25">
      <c r="A67" s="211" t="s">
        <v>687</v>
      </c>
      <c r="B67" s="64">
        <v>2.94</v>
      </c>
      <c r="C67" s="64">
        <v>19.399999999999999</v>
      </c>
      <c r="D67" s="64">
        <v>11.12</v>
      </c>
      <c r="E67" s="64">
        <v>4.32</v>
      </c>
      <c r="F67" s="64">
        <v>6.31</v>
      </c>
      <c r="G67" s="64">
        <v>61.61</v>
      </c>
      <c r="H67" s="64">
        <v>21.2</v>
      </c>
      <c r="I67" s="64">
        <v>4.5</v>
      </c>
      <c r="J67" s="64">
        <v>1.1100000000000001</v>
      </c>
      <c r="K67" s="64">
        <v>340.03</v>
      </c>
      <c r="L67" s="64">
        <v>27.09</v>
      </c>
      <c r="M67" s="64">
        <v>39.78</v>
      </c>
      <c r="N67" s="64">
        <v>134.19999999999999</v>
      </c>
      <c r="O67" s="64">
        <v>0</v>
      </c>
      <c r="P67" s="64">
        <v>0.64</v>
      </c>
      <c r="Q67" s="64">
        <v>9.61</v>
      </c>
      <c r="R67" s="196"/>
      <c r="S67" s="196"/>
      <c r="T67" s="196"/>
      <c r="U67" s="196"/>
    </row>
    <row r="68" spans="1:21" s="12" customFormat="1" x14ac:dyDescent="0.25">
      <c r="A68" s="211" t="s">
        <v>688</v>
      </c>
      <c r="B68" s="64">
        <v>3.16</v>
      </c>
      <c r="C68" s="64">
        <v>19.73</v>
      </c>
      <c r="D68" s="64">
        <v>11.47</v>
      </c>
      <c r="E68" s="64">
        <v>4.24</v>
      </c>
      <c r="F68" s="64">
        <v>7.12</v>
      </c>
      <c r="G68" s="64">
        <v>62.45</v>
      </c>
      <c r="H68" s="64">
        <v>22.29</v>
      </c>
      <c r="I68" s="64">
        <v>3.9</v>
      </c>
      <c r="J68" s="64">
        <v>1.28</v>
      </c>
      <c r="K68" s="64">
        <v>115.82</v>
      </c>
      <c r="L68" s="64">
        <v>25.99</v>
      </c>
      <c r="M68" s="64">
        <v>42.95</v>
      </c>
      <c r="N68" s="64">
        <v>134</v>
      </c>
      <c r="O68" s="64">
        <v>0</v>
      </c>
      <c r="P68" s="64">
        <v>0.51</v>
      </c>
      <c r="Q68" s="64">
        <v>9.61</v>
      </c>
      <c r="R68" s="196"/>
      <c r="S68" s="196"/>
      <c r="T68" s="196"/>
      <c r="U68" s="196"/>
    </row>
    <row r="69" spans="1:21" s="12" customFormat="1" x14ac:dyDescent="0.25">
      <c r="A69" s="211" t="s">
        <v>689</v>
      </c>
      <c r="B69" s="64">
        <v>3.08</v>
      </c>
      <c r="C69" s="64">
        <v>19.350000000000001</v>
      </c>
      <c r="D69" s="64">
        <v>11.2</v>
      </c>
      <c r="E69" s="64">
        <v>4.6100000000000003</v>
      </c>
      <c r="F69" s="64">
        <v>7.05</v>
      </c>
      <c r="G69" s="64">
        <v>64.900000000000006</v>
      </c>
      <c r="H69" s="64">
        <v>24.39</v>
      </c>
      <c r="I69" s="64">
        <v>3.28</v>
      </c>
      <c r="J69" s="64">
        <v>0.59</v>
      </c>
      <c r="K69" s="64">
        <v>358.41</v>
      </c>
      <c r="L69" s="64">
        <v>25.76</v>
      </c>
      <c r="M69" s="64">
        <v>42.55</v>
      </c>
      <c r="N69" s="64">
        <v>122.3</v>
      </c>
      <c r="O69" s="64">
        <v>0</v>
      </c>
      <c r="P69" s="64">
        <v>0.54</v>
      </c>
      <c r="Q69" s="64">
        <v>9.61</v>
      </c>
      <c r="R69" s="196"/>
      <c r="S69" s="196"/>
      <c r="T69" s="196"/>
      <c r="U69" s="196"/>
    </row>
    <row r="70" spans="1:21" s="12" customFormat="1" x14ac:dyDescent="0.25">
      <c r="A70" s="211" t="s">
        <v>690</v>
      </c>
      <c r="B70" s="64">
        <v>3.24</v>
      </c>
      <c r="C70" s="64">
        <v>19.690000000000001</v>
      </c>
      <c r="D70" s="64">
        <v>11.51</v>
      </c>
      <c r="E70" s="64">
        <v>4.68</v>
      </c>
      <c r="F70" s="64">
        <v>6.43</v>
      </c>
      <c r="G70" s="64">
        <v>64.900000000000006</v>
      </c>
      <c r="H70" s="64">
        <v>24.39</v>
      </c>
      <c r="I70" s="64">
        <v>2.88</v>
      </c>
      <c r="J70" s="64">
        <v>0.72</v>
      </c>
      <c r="K70" s="64">
        <v>344.94</v>
      </c>
      <c r="L70" s="64">
        <v>26.19</v>
      </c>
      <c r="M70" s="64">
        <v>41.62</v>
      </c>
      <c r="N70" s="64">
        <v>96.6</v>
      </c>
      <c r="O70" s="64">
        <v>0</v>
      </c>
      <c r="P70" s="64">
        <v>0.7</v>
      </c>
      <c r="Q70" s="64">
        <v>9.6199999999999992</v>
      </c>
      <c r="R70" s="196"/>
      <c r="S70" s="196"/>
      <c r="T70" s="196"/>
      <c r="U70" s="196"/>
    </row>
    <row r="71" spans="1:21" s="12" customFormat="1" x14ac:dyDescent="0.25">
      <c r="A71" s="211" t="s">
        <v>691</v>
      </c>
      <c r="B71" s="64">
        <v>3.51</v>
      </c>
      <c r="C71" s="64">
        <v>20.16</v>
      </c>
      <c r="D71" s="64">
        <v>11.97</v>
      </c>
      <c r="E71" s="64">
        <v>4.16</v>
      </c>
      <c r="F71" s="64">
        <v>6.8</v>
      </c>
      <c r="G71" s="64">
        <v>64.900000000000006</v>
      </c>
      <c r="H71" s="64">
        <v>24.39</v>
      </c>
      <c r="I71" s="64">
        <v>3.04</v>
      </c>
      <c r="J71" s="64">
        <v>0.47</v>
      </c>
      <c r="K71" s="64">
        <v>108.07</v>
      </c>
      <c r="L71" s="64">
        <v>25.52</v>
      </c>
      <c r="M71" s="64">
        <v>44.11</v>
      </c>
      <c r="N71" s="64">
        <v>87.7</v>
      </c>
      <c r="O71" s="64">
        <v>0</v>
      </c>
      <c r="P71" s="64">
        <v>0.51</v>
      </c>
      <c r="Q71" s="64">
        <v>9.6300000000000008</v>
      </c>
      <c r="R71" s="196"/>
      <c r="S71" s="196"/>
      <c r="T71" s="196"/>
      <c r="U71" s="196"/>
    </row>
    <row r="72" spans="1:21" s="12" customFormat="1" x14ac:dyDescent="0.25">
      <c r="A72" s="211" t="s">
        <v>692</v>
      </c>
      <c r="B72" s="64">
        <v>3.42</v>
      </c>
      <c r="C72" s="64">
        <v>19.93</v>
      </c>
      <c r="D72" s="64">
        <v>11.78</v>
      </c>
      <c r="E72" s="64">
        <v>6.29</v>
      </c>
      <c r="F72" s="64">
        <v>6.64</v>
      </c>
      <c r="G72" s="64">
        <v>63.73</v>
      </c>
      <c r="H72" s="64">
        <v>24.91</v>
      </c>
      <c r="I72" s="64">
        <v>2.41</v>
      </c>
      <c r="J72" s="64">
        <v>0.74</v>
      </c>
      <c r="K72" s="64">
        <v>107.57</v>
      </c>
      <c r="L72" s="64">
        <v>25.03</v>
      </c>
      <c r="M72" s="64">
        <v>45.24</v>
      </c>
      <c r="N72" s="64">
        <v>80.7</v>
      </c>
      <c r="O72" s="64">
        <v>0</v>
      </c>
      <c r="P72" s="64">
        <v>0.48</v>
      </c>
      <c r="Q72" s="64">
        <v>9.6300000000000008</v>
      </c>
      <c r="R72" s="196"/>
      <c r="S72" s="196"/>
      <c r="T72" s="196"/>
      <c r="U72" s="196"/>
    </row>
    <row r="73" spans="1:21" s="12" customFormat="1" x14ac:dyDescent="0.25">
      <c r="A73" s="211" t="s">
        <v>693</v>
      </c>
      <c r="B73" s="64">
        <v>3.24</v>
      </c>
      <c r="C73" s="64">
        <v>20.079999999999998</v>
      </c>
      <c r="D73" s="64">
        <v>11.71</v>
      </c>
      <c r="E73" s="64">
        <v>6.44</v>
      </c>
      <c r="F73" s="64">
        <v>5.42</v>
      </c>
      <c r="G73" s="64">
        <v>60.33</v>
      </c>
      <c r="H73" s="64">
        <v>27</v>
      </c>
      <c r="I73" s="64">
        <v>2.1</v>
      </c>
      <c r="J73" s="64">
        <v>1.1100000000000001</v>
      </c>
      <c r="K73" s="64">
        <v>343.91</v>
      </c>
      <c r="L73" s="64">
        <v>25.15</v>
      </c>
      <c r="M73" s="64">
        <v>45.65</v>
      </c>
      <c r="N73" s="64">
        <v>74.900000000000006</v>
      </c>
      <c r="O73" s="64">
        <v>0</v>
      </c>
      <c r="P73" s="64">
        <v>0.64</v>
      </c>
      <c r="Q73" s="64">
        <v>9.61</v>
      </c>
      <c r="R73" s="196"/>
      <c r="S73" s="196"/>
      <c r="T73" s="196"/>
      <c r="U73" s="196"/>
    </row>
    <row r="74" spans="1:21" s="12" customFormat="1" x14ac:dyDescent="0.25">
      <c r="A74" s="211" t="s">
        <v>694</v>
      </c>
      <c r="B74" s="64">
        <v>3.35</v>
      </c>
      <c r="C74" s="64">
        <v>20.61</v>
      </c>
      <c r="D74" s="64">
        <v>12.08</v>
      </c>
      <c r="E74" s="64">
        <v>6.56</v>
      </c>
      <c r="F74" s="64">
        <v>5.63</v>
      </c>
      <c r="G74" s="64">
        <v>60.33</v>
      </c>
      <c r="H74" s="64">
        <v>27</v>
      </c>
      <c r="I74" s="64">
        <v>2.71</v>
      </c>
      <c r="J74" s="64">
        <v>0.6</v>
      </c>
      <c r="K74" s="64">
        <v>108.28</v>
      </c>
      <c r="L74" s="64">
        <v>24.75</v>
      </c>
      <c r="M74" s="64">
        <v>47.18</v>
      </c>
      <c r="N74" s="64">
        <v>61.5</v>
      </c>
      <c r="O74" s="64">
        <v>0</v>
      </c>
      <c r="P74" s="64">
        <v>0.59</v>
      </c>
      <c r="Q74" s="64">
        <v>9.6</v>
      </c>
      <c r="R74" s="196"/>
      <c r="S74" s="196"/>
      <c r="T74" s="196"/>
      <c r="U74" s="196"/>
    </row>
    <row r="75" spans="1:21" s="12" customFormat="1" x14ac:dyDescent="0.25">
      <c r="A75" s="211" t="s">
        <v>695</v>
      </c>
      <c r="B75" s="64">
        <v>3.29</v>
      </c>
      <c r="C75" s="64">
        <v>21.18</v>
      </c>
      <c r="D75" s="64">
        <v>12.33</v>
      </c>
      <c r="E75" s="64">
        <v>6.5</v>
      </c>
      <c r="F75" s="64">
        <v>5.56</v>
      </c>
      <c r="G75" s="64">
        <v>60.33</v>
      </c>
      <c r="H75" s="64">
        <v>27</v>
      </c>
      <c r="I75" s="64">
        <v>4.3899999999999997</v>
      </c>
      <c r="J75" s="64">
        <v>0.28000000000000003</v>
      </c>
      <c r="K75" s="64">
        <v>77.150000000000006</v>
      </c>
      <c r="L75" s="64">
        <v>24.42</v>
      </c>
      <c r="M75" s="64">
        <v>48.68</v>
      </c>
      <c r="N75" s="64">
        <v>51.1</v>
      </c>
      <c r="O75" s="64">
        <v>0</v>
      </c>
      <c r="P75" s="64">
        <v>0.65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696</v>
      </c>
      <c r="B76" s="64">
        <v>3.32</v>
      </c>
      <c r="C76" s="64">
        <v>21.93</v>
      </c>
      <c r="D76" s="64">
        <v>12.74</v>
      </c>
      <c r="E76" s="64">
        <v>6.94</v>
      </c>
      <c r="F76" s="64">
        <v>5.35</v>
      </c>
      <c r="G76" s="64">
        <v>61.19</v>
      </c>
      <c r="H76" s="64">
        <v>23.83</v>
      </c>
      <c r="I76" s="64">
        <v>4.17</v>
      </c>
      <c r="J76" s="64">
        <v>0.32</v>
      </c>
      <c r="K76" s="64">
        <v>116.3</v>
      </c>
      <c r="L76" s="64">
        <v>24.08</v>
      </c>
      <c r="M76" s="64">
        <v>49.3</v>
      </c>
      <c r="N76" s="64">
        <v>42.3</v>
      </c>
      <c r="O76" s="64">
        <v>0</v>
      </c>
      <c r="P76" s="64">
        <v>0.68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697</v>
      </c>
      <c r="B77" s="64">
        <v>3.52</v>
      </c>
      <c r="C77" s="64">
        <v>22.72</v>
      </c>
      <c r="D77" s="64">
        <v>13.32</v>
      </c>
      <c r="E77" s="64">
        <v>6.46</v>
      </c>
      <c r="F77" s="64">
        <v>5.13</v>
      </c>
      <c r="G77" s="64">
        <v>63.72</v>
      </c>
      <c r="H77" s="64">
        <v>17.760000000000002</v>
      </c>
      <c r="I77" s="64">
        <v>4.2300000000000004</v>
      </c>
      <c r="J77" s="64">
        <v>0.18</v>
      </c>
      <c r="K77" s="64">
        <v>88.8</v>
      </c>
      <c r="L77" s="64">
        <v>23.74</v>
      </c>
      <c r="M77" s="64">
        <v>50.12</v>
      </c>
      <c r="N77" s="64">
        <v>34.299999999999997</v>
      </c>
      <c r="O77" s="64">
        <v>0</v>
      </c>
      <c r="P77" s="64">
        <v>0.74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698</v>
      </c>
      <c r="B78" s="64">
        <v>3.79</v>
      </c>
      <c r="C78" s="64">
        <v>23.48</v>
      </c>
      <c r="D78" s="64">
        <v>13.93</v>
      </c>
      <c r="E78" s="64">
        <v>6.76</v>
      </c>
      <c r="F78" s="64">
        <v>5.09</v>
      </c>
      <c r="G78" s="64">
        <v>63.72</v>
      </c>
      <c r="H78" s="64">
        <v>17.760000000000002</v>
      </c>
      <c r="I78" s="64">
        <v>4.17</v>
      </c>
      <c r="J78" s="64">
        <v>0.18</v>
      </c>
      <c r="K78" s="64">
        <v>65.77</v>
      </c>
      <c r="L78" s="64">
        <v>23.4</v>
      </c>
      <c r="M78" s="64">
        <v>50.54</v>
      </c>
      <c r="N78" s="64">
        <v>28.8</v>
      </c>
      <c r="O78" s="64">
        <v>0</v>
      </c>
      <c r="P78" s="64">
        <v>0.67</v>
      </c>
      <c r="Q78" s="64">
        <v>9.6199999999999992</v>
      </c>
      <c r="R78" s="196"/>
      <c r="S78" s="196"/>
      <c r="T78" s="196"/>
      <c r="U78" s="196"/>
    </row>
    <row r="79" spans="1:21" s="12" customFormat="1" x14ac:dyDescent="0.25">
      <c r="A79" s="211" t="s">
        <v>699</v>
      </c>
      <c r="B79" s="64">
        <v>3.6</v>
      </c>
      <c r="C79" s="64">
        <v>23.16</v>
      </c>
      <c r="D79" s="64">
        <v>13.62</v>
      </c>
      <c r="E79" s="64">
        <v>6.33</v>
      </c>
      <c r="F79" s="64">
        <v>5</v>
      </c>
      <c r="G79" s="64">
        <v>63.72</v>
      </c>
      <c r="H79" s="64">
        <v>17.760000000000002</v>
      </c>
      <c r="I79" s="64">
        <v>3.79</v>
      </c>
      <c r="J79" s="64">
        <v>0.44</v>
      </c>
      <c r="K79" s="64">
        <v>102.12</v>
      </c>
      <c r="L79" s="64">
        <v>23.18</v>
      </c>
      <c r="M79" s="64">
        <v>51.5</v>
      </c>
      <c r="N79" s="64">
        <v>26.4</v>
      </c>
      <c r="O79" s="64">
        <v>0</v>
      </c>
      <c r="P79" s="64">
        <v>0.66</v>
      </c>
      <c r="Q79" s="64">
        <v>9.6199999999999992</v>
      </c>
      <c r="R79" s="196"/>
      <c r="S79" s="196"/>
      <c r="T79" s="196"/>
      <c r="U79" s="196"/>
    </row>
    <row r="80" spans="1:21" s="12" customFormat="1" x14ac:dyDescent="0.25">
      <c r="A80" s="211" t="s">
        <v>700</v>
      </c>
      <c r="B80" s="64">
        <v>3.46</v>
      </c>
      <c r="C80" s="64">
        <v>22.95</v>
      </c>
      <c r="D80" s="64">
        <v>13.39</v>
      </c>
      <c r="E80" s="64">
        <v>6.35</v>
      </c>
      <c r="F80" s="64">
        <v>4.76</v>
      </c>
      <c r="G80" s="64">
        <v>62.68</v>
      </c>
      <c r="H80" s="64">
        <v>20.95</v>
      </c>
      <c r="I80" s="64">
        <v>2.91</v>
      </c>
      <c r="J80" s="64">
        <v>0.42</v>
      </c>
      <c r="K80" s="64">
        <v>94.26</v>
      </c>
      <c r="L80" s="64">
        <v>22.97</v>
      </c>
      <c r="M80" s="64">
        <v>53.36</v>
      </c>
      <c r="N80" s="64">
        <v>26.1</v>
      </c>
      <c r="O80" s="64">
        <v>0</v>
      </c>
      <c r="P80" s="64">
        <v>0.67</v>
      </c>
      <c r="Q80" s="64">
        <v>9.6300000000000008</v>
      </c>
      <c r="R80" s="196"/>
      <c r="S80" s="196"/>
      <c r="T80" s="196"/>
      <c r="U80" s="196"/>
    </row>
    <row r="81" spans="1:26" s="12" customFormat="1" x14ac:dyDescent="0.25">
      <c r="A81" s="211" t="s">
        <v>701</v>
      </c>
      <c r="B81" s="64">
        <v>3.37</v>
      </c>
      <c r="C81" s="64">
        <v>22.87</v>
      </c>
      <c r="D81" s="64">
        <v>13.28</v>
      </c>
      <c r="E81" s="64">
        <v>5.98</v>
      </c>
      <c r="F81" s="64">
        <v>5.05</v>
      </c>
      <c r="G81" s="64">
        <v>59.68</v>
      </c>
      <c r="H81" s="64">
        <v>27.07</v>
      </c>
      <c r="I81" s="64">
        <v>3.83</v>
      </c>
      <c r="J81" s="64">
        <v>0.35</v>
      </c>
      <c r="K81" s="64">
        <v>56.59</v>
      </c>
      <c r="L81" s="64">
        <v>22.66</v>
      </c>
      <c r="M81" s="64">
        <v>54.89</v>
      </c>
      <c r="N81" s="64">
        <v>26.1</v>
      </c>
      <c r="O81" s="64">
        <v>0</v>
      </c>
      <c r="P81" s="64">
        <v>0.93</v>
      </c>
      <c r="Q81" s="64">
        <v>9.61</v>
      </c>
      <c r="R81" s="196"/>
      <c r="S81" s="196"/>
      <c r="T81" s="196"/>
      <c r="U81" s="196"/>
    </row>
    <row r="82" spans="1:26" s="12" customFormat="1" x14ac:dyDescent="0.25">
      <c r="A82" s="211" t="s">
        <v>702</v>
      </c>
      <c r="B82" s="64">
        <v>3.62</v>
      </c>
      <c r="C82" s="64">
        <v>22.38</v>
      </c>
      <c r="D82" s="64">
        <v>13.22</v>
      </c>
      <c r="E82" s="64">
        <v>6.13</v>
      </c>
      <c r="F82" s="64">
        <v>5.57</v>
      </c>
      <c r="G82" s="64">
        <v>59.68</v>
      </c>
      <c r="H82" s="64">
        <v>27.07</v>
      </c>
      <c r="I82" s="64">
        <v>4.53</v>
      </c>
      <c r="J82" s="64">
        <v>0.34</v>
      </c>
      <c r="K82" s="64">
        <v>23.28</v>
      </c>
      <c r="L82" s="64">
        <v>22.39</v>
      </c>
      <c r="M82" s="64">
        <v>57.86</v>
      </c>
      <c r="N82" s="64">
        <v>26.1</v>
      </c>
      <c r="O82" s="64">
        <v>0</v>
      </c>
      <c r="P82" s="64">
        <v>1.05</v>
      </c>
      <c r="Q82" s="64">
        <v>9.6199999999999992</v>
      </c>
      <c r="R82" s="196"/>
      <c r="S82" s="196"/>
      <c r="T82" s="196"/>
      <c r="U82" s="196"/>
    </row>
    <row r="83" spans="1:26" s="12" customFormat="1" x14ac:dyDescent="0.25">
      <c r="A83" s="211" t="s">
        <v>703</v>
      </c>
      <c r="B83" s="64">
        <v>4.3099999999999996</v>
      </c>
      <c r="C83" s="64">
        <v>21.87</v>
      </c>
      <c r="D83" s="64">
        <v>13.5</v>
      </c>
      <c r="E83" s="64">
        <v>6.37</v>
      </c>
      <c r="F83" s="64">
        <v>4.6500000000000004</v>
      </c>
      <c r="G83" s="64">
        <v>59.68</v>
      </c>
      <c r="H83" s="64">
        <v>27.07</v>
      </c>
      <c r="I83" s="64">
        <v>4.16</v>
      </c>
      <c r="J83" s="64">
        <v>0.57999999999999996</v>
      </c>
      <c r="K83" s="64">
        <v>357.63</v>
      </c>
      <c r="L83" s="64">
        <v>21.84</v>
      </c>
      <c r="M83" s="64">
        <v>63.9</v>
      </c>
      <c r="N83" s="64">
        <v>26.3</v>
      </c>
      <c r="O83" s="64">
        <v>0</v>
      </c>
      <c r="P83" s="64">
        <v>1.28</v>
      </c>
      <c r="Q83" s="64">
        <v>9.6199999999999992</v>
      </c>
      <c r="R83" s="196"/>
      <c r="S83" s="196"/>
      <c r="T83" s="196"/>
      <c r="U83" s="196"/>
    </row>
    <row r="84" spans="1:26" s="12" customFormat="1" x14ac:dyDescent="0.25">
      <c r="A84" s="211" t="s">
        <v>704</v>
      </c>
      <c r="B84" s="64">
        <v>5.29</v>
      </c>
      <c r="C84" s="64">
        <v>21.96</v>
      </c>
      <c r="D84" s="64">
        <v>14.34</v>
      </c>
      <c r="E84" s="64">
        <v>6.19</v>
      </c>
      <c r="F84" s="64">
        <v>4.83</v>
      </c>
      <c r="G84" s="64">
        <v>61.33</v>
      </c>
      <c r="H84" s="64">
        <v>29.14</v>
      </c>
      <c r="I84" s="64">
        <v>4.2300000000000004</v>
      </c>
      <c r="J84" s="64">
        <v>0.33</v>
      </c>
      <c r="K84" s="64">
        <v>84.05</v>
      </c>
      <c r="L84" s="64">
        <v>21.44</v>
      </c>
      <c r="M84" s="64">
        <v>62.21</v>
      </c>
      <c r="N84" s="64">
        <v>26</v>
      </c>
      <c r="O84" s="64">
        <v>0</v>
      </c>
      <c r="P84" s="64">
        <v>1.28</v>
      </c>
      <c r="Q84" s="64">
        <v>9.61</v>
      </c>
      <c r="R84" s="196"/>
      <c r="S84" s="196"/>
      <c r="T84" s="196"/>
      <c r="U84" s="196"/>
    </row>
    <row r="85" spans="1:26" s="12" customFormat="1" x14ac:dyDescent="0.25">
      <c r="A85" s="211" t="s">
        <v>705</v>
      </c>
      <c r="B85" s="64">
        <v>6.07</v>
      </c>
      <c r="C85" s="64">
        <v>22.15</v>
      </c>
      <c r="D85" s="64">
        <v>15.07</v>
      </c>
      <c r="E85" s="64">
        <v>6.25</v>
      </c>
      <c r="F85" s="64">
        <v>5.16</v>
      </c>
      <c r="G85" s="64">
        <v>66.13</v>
      </c>
      <c r="H85" s="64">
        <v>33.11</v>
      </c>
      <c r="I85" s="64">
        <v>4.9000000000000004</v>
      </c>
      <c r="J85" s="64">
        <v>0.33</v>
      </c>
      <c r="K85" s="64">
        <v>17.39</v>
      </c>
      <c r="L85" s="64">
        <v>21.48</v>
      </c>
      <c r="M85" s="64">
        <v>62.78</v>
      </c>
      <c r="N85" s="64">
        <v>26.1</v>
      </c>
      <c r="O85" s="64">
        <v>0</v>
      </c>
      <c r="P85" s="64">
        <v>1.64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706</v>
      </c>
      <c r="B86" s="64">
        <v>7.86</v>
      </c>
      <c r="C86" s="64">
        <v>22.32</v>
      </c>
      <c r="D86" s="64">
        <v>16.59</v>
      </c>
      <c r="E86" s="64">
        <v>6.39</v>
      </c>
      <c r="F86" s="64">
        <v>4.16</v>
      </c>
      <c r="G86" s="64">
        <v>66.13</v>
      </c>
      <c r="H86" s="64">
        <v>33.11</v>
      </c>
      <c r="I86" s="64">
        <v>5.19</v>
      </c>
      <c r="J86" s="64">
        <v>0.57999999999999996</v>
      </c>
      <c r="K86" s="64">
        <v>352.95</v>
      </c>
      <c r="L86" s="64">
        <v>21.04</v>
      </c>
      <c r="M86" s="64">
        <v>69.78</v>
      </c>
      <c r="N86" s="64">
        <v>26.2</v>
      </c>
      <c r="O86" s="64">
        <v>0</v>
      </c>
      <c r="P86" s="64">
        <v>1.59</v>
      </c>
      <c r="Q86" s="64">
        <v>9.6199999999999992</v>
      </c>
      <c r="R86" s="196"/>
      <c r="S86" s="196"/>
      <c r="T86" s="196"/>
      <c r="U86" s="196"/>
    </row>
    <row r="87" spans="1:26" s="12" customFormat="1" x14ac:dyDescent="0.25">
      <c r="A87" s="211" t="s">
        <v>707</v>
      </c>
      <c r="B87" s="64">
        <v>10.26</v>
      </c>
      <c r="C87" s="64">
        <v>22.22</v>
      </c>
      <c r="D87" s="64">
        <v>18.46</v>
      </c>
      <c r="E87" s="64">
        <v>6.54</v>
      </c>
      <c r="F87" s="64">
        <v>3.96</v>
      </c>
      <c r="G87" s="64">
        <v>66.13</v>
      </c>
      <c r="H87" s="64">
        <v>33.11</v>
      </c>
      <c r="I87" s="64">
        <v>5.85</v>
      </c>
      <c r="J87" s="64">
        <v>0.75</v>
      </c>
      <c r="K87" s="64">
        <v>345.29</v>
      </c>
      <c r="L87" s="64">
        <v>21</v>
      </c>
      <c r="M87" s="64">
        <v>67.28</v>
      </c>
      <c r="N87" s="64">
        <v>25.3</v>
      </c>
      <c r="O87" s="64">
        <v>0</v>
      </c>
      <c r="P87" s="64">
        <v>1.58</v>
      </c>
      <c r="Q87" s="64">
        <v>9.6199999999999992</v>
      </c>
      <c r="R87" s="196"/>
      <c r="S87" s="196"/>
      <c r="T87" s="196"/>
      <c r="U87" s="196"/>
    </row>
    <row r="88" spans="1:26" s="12" customFormat="1" x14ac:dyDescent="0.25">
      <c r="A88" s="211" t="s">
        <v>708</v>
      </c>
      <c r="B88" s="64">
        <v>12</v>
      </c>
      <c r="C88" s="64">
        <v>21.98</v>
      </c>
      <c r="D88" s="64">
        <v>19.73</v>
      </c>
      <c r="E88" s="64">
        <v>5.25</v>
      </c>
      <c r="F88" s="64">
        <v>4.41</v>
      </c>
      <c r="G88" s="64">
        <v>67.91</v>
      </c>
      <c r="H88" s="64">
        <v>32.9</v>
      </c>
      <c r="I88" s="64">
        <v>6.58</v>
      </c>
      <c r="J88" s="64">
        <v>0.46</v>
      </c>
      <c r="K88" s="64">
        <v>93.2</v>
      </c>
      <c r="L88" s="64">
        <v>21.14</v>
      </c>
      <c r="M88" s="64">
        <v>64.52</v>
      </c>
      <c r="N88" s="64">
        <v>25.9</v>
      </c>
      <c r="O88" s="64">
        <v>0</v>
      </c>
      <c r="P88" s="64">
        <v>1.0900000000000001</v>
      </c>
      <c r="Q88" s="64">
        <v>9.61</v>
      </c>
      <c r="R88" s="196"/>
      <c r="S88" s="196"/>
      <c r="T88" s="196"/>
      <c r="U88" s="196"/>
    </row>
    <row r="89" spans="1:26" s="12" customFormat="1" x14ac:dyDescent="0.25">
      <c r="A89" s="211" t="s">
        <v>709</v>
      </c>
      <c r="B89" s="64">
        <v>12.06</v>
      </c>
      <c r="C89" s="64">
        <v>21.42</v>
      </c>
      <c r="D89" s="64">
        <v>19.48</v>
      </c>
      <c r="E89" s="64">
        <v>5.52</v>
      </c>
      <c r="F89" s="64">
        <v>4.28</v>
      </c>
      <c r="G89" s="64">
        <v>73.08</v>
      </c>
      <c r="H89" s="64">
        <v>32.31</v>
      </c>
      <c r="I89" s="64">
        <v>5.78</v>
      </c>
      <c r="J89" s="64">
        <v>0.38</v>
      </c>
      <c r="K89" s="64">
        <v>98.94</v>
      </c>
      <c r="L89" s="64">
        <v>21.1</v>
      </c>
      <c r="M89" s="64">
        <v>64.459999999999994</v>
      </c>
      <c r="N89" s="64">
        <v>25.8</v>
      </c>
      <c r="O89" s="64">
        <v>0</v>
      </c>
      <c r="P89" s="64">
        <v>1.07</v>
      </c>
      <c r="Q89" s="64">
        <v>9.6199999999999992</v>
      </c>
      <c r="R89" s="196"/>
      <c r="S89" s="196"/>
      <c r="T89" s="196"/>
      <c r="U89" s="196"/>
    </row>
    <row r="90" spans="1:26" s="12" customFormat="1" x14ac:dyDescent="0.25">
      <c r="A90" s="211" t="s">
        <v>710</v>
      </c>
      <c r="B90" s="64">
        <v>11.55</v>
      </c>
      <c r="C90" s="64">
        <v>21.6</v>
      </c>
      <c r="D90" s="64">
        <v>19.170000000000002</v>
      </c>
      <c r="E90" s="64">
        <v>5.78</v>
      </c>
      <c r="F90" s="64">
        <v>4.2300000000000004</v>
      </c>
      <c r="G90" s="64">
        <v>73.08</v>
      </c>
      <c r="H90" s="64">
        <v>32.31</v>
      </c>
      <c r="I90" s="64">
        <v>4.54</v>
      </c>
      <c r="J90" s="64">
        <v>0.05</v>
      </c>
      <c r="K90" s="64">
        <v>164.68</v>
      </c>
      <c r="L90" s="64">
        <v>21.03</v>
      </c>
      <c r="M90" s="64">
        <v>67.25</v>
      </c>
      <c r="N90" s="64">
        <v>25.7</v>
      </c>
      <c r="O90" s="64">
        <v>0</v>
      </c>
      <c r="P90" s="64">
        <v>0.97</v>
      </c>
      <c r="Q90" s="64">
        <v>9.6199999999999992</v>
      </c>
      <c r="R90" s="196"/>
      <c r="S90" s="196"/>
      <c r="T90" s="196"/>
      <c r="U90" s="196"/>
    </row>
    <row r="91" spans="1:26" s="12" customFormat="1" x14ac:dyDescent="0.25">
      <c r="A91" s="211" t="s">
        <v>711</v>
      </c>
      <c r="B91" s="64">
        <v>10.6</v>
      </c>
      <c r="C91" s="64">
        <v>21.57</v>
      </c>
      <c r="D91" s="64">
        <v>18.39</v>
      </c>
      <c r="E91" s="64">
        <v>5.66</v>
      </c>
      <c r="F91" s="64">
        <v>4.67</v>
      </c>
      <c r="G91" s="64">
        <v>73.08</v>
      </c>
      <c r="H91" s="64">
        <v>32.31</v>
      </c>
      <c r="I91" s="64">
        <v>5.61</v>
      </c>
      <c r="J91" s="64">
        <v>0.05</v>
      </c>
      <c r="K91" s="64">
        <v>206.63</v>
      </c>
      <c r="L91" s="64">
        <v>20.92</v>
      </c>
      <c r="M91" s="64">
        <v>68.48</v>
      </c>
      <c r="N91" s="64">
        <v>25.7</v>
      </c>
      <c r="O91" s="64">
        <v>0</v>
      </c>
      <c r="P91" s="64">
        <v>0.92</v>
      </c>
      <c r="Q91" s="64">
        <v>9.61</v>
      </c>
      <c r="R91" s="196"/>
      <c r="S91" s="196"/>
      <c r="T91" s="196"/>
      <c r="U91" s="196"/>
    </row>
    <row r="92" spans="1:26" s="12" customFormat="1" x14ac:dyDescent="0.25">
      <c r="A92" s="211" t="s">
        <v>712</v>
      </c>
      <c r="B92" s="64">
        <v>9.9700000000000006</v>
      </c>
      <c r="C92" s="64">
        <v>22.08</v>
      </c>
      <c r="D92" s="64">
        <v>18.16</v>
      </c>
      <c r="E92" s="64">
        <v>5.55</v>
      </c>
      <c r="F92" s="64">
        <v>4.5999999999999996</v>
      </c>
      <c r="G92" s="64">
        <v>73.69</v>
      </c>
      <c r="H92" s="64">
        <v>30.59</v>
      </c>
      <c r="I92" s="64">
        <v>5.75</v>
      </c>
      <c r="J92" s="64">
        <v>0.05</v>
      </c>
      <c r="K92" s="64">
        <v>215.89</v>
      </c>
      <c r="L92" s="64">
        <v>20.98</v>
      </c>
      <c r="M92" s="64">
        <v>66.069999999999993</v>
      </c>
      <c r="N92" s="64">
        <v>25.8</v>
      </c>
      <c r="O92" s="64">
        <v>0</v>
      </c>
      <c r="P92" s="64">
        <v>0.99</v>
      </c>
      <c r="Q92" s="64">
        <v>9.6199999999999992</v>
      </c>
      <c r="R92" s="196"/>
      <c r="S92" s="196"/>
      <c r="T92" s="196"/>
      <c r="U92" s="196"/>
    </row>
    <row r="93" spans="1:26" s="12" customFormat="1" x14ac:dyDescent="0.25">
      <c r="A93" s="211" t="s">
        <v>713</v>
      </c>
      <c r="B93" s="64">
        <v>9.49</v>
      </c>
      <c r="C93" s="64">
        <v>22.16</v>
      </c>
      <c r="D93" s="64">
        <v>17.809999999999999</v>
      </c>
      <c r="E93" s="64">
        <v>5.34</v>
      </c>
      <c r="F93" s="64">
        <v>5.07</v>
      </c>
      <c r="G93" s="64">
        <v>75.47</v>
      </c>
      <c r="H93" s="64">
        <v>27.29</v>
      </c>
      <c r="I93" s="64">
        <v>5.62</v>
      </c>
      <c r="J93" s="64">
        <v>0.8</v>
      </c>
      <c r="K93" s="64">
        <v>115.33</v>
      </c>
      <c r="L93" s="64">
        <v>20.96</v>
      </c>
      <c r="M93" s="64">
        <v>66.25</v>
      </c>
      <c r="N93" s="64">
        <v>25.7</v>
      </c>
      <c r="O93" s="64">
        <v>0</v>
      </c>
      <c r="P93" s="64">
        <v>0.91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714</v>
      </c>
      <c r="B94" s="64">
        <v>8.51</v>
      </c>
      <c r="C94" s="64">
        <v>21.93</v>
      </c>
      <c r="D94" s="64">
        <v>16.899999999999999</v>
      </c>
      <c r="E94" s="64">
        <v>5.47</v>
      </c>
      <c r="F94" s="64">
        <v>4.96</v>
      </c>
      <c r="G94" s="64">
        <v>75.47</v>
      </c>
      <c r="H94" s="64">
        <v>27.29</v>
      </c>
      <c r="I94" s="64">
        <v>5.53</v>
      </c>
      <c r="J94" s="64">
        <v>0.79</v>
      </c>
      <c r="K94" s="64">
        <v>113.29</v>
      </c>
      <c r="L94" s="64">
        <v>20.82</v>
      </c>
      <c r="M94" s="64">
        <v>67.319999999999993</v>
      </c>
      <c r="N94" s="64">
        <v>25.8</v>
      </c>
      <c r="O94" s="64">
        <v>0</v>
      </c>
      <c r="P94" s="64">
        <v>0.89</v>
      </c>
      <c r="Q94" s="64">
        <v>9.6199999999999992</v>
      </c>
      <c r="R94" s="196"/>
      <c r="S94" s="196"/>
      <c r="T94" s="196"/>
      <c r="U94" s="196"/>
    </row>
    <row r="95" spans="1:26" s="12" customFormat="1" x14ac:dyDescent="0.25">
      <c r="A95" s="211" t="s">
        <v>715</v>
      </c>
      <c r="B95" s="64">
        <v>7.56</v>
      </c>
      <c r="C95" s="64">
        <v>21.68</v>
      </c>
      <c r="D95" s="64">
        <v>16.010000000000002</v>
      </c>
      <c r="E95" s="64">
        <v>5.34</v>
      </c>
      <c r="F95" s="64">
        <v>4.51</v>
      </c>
      <c r="G95" s="64">
        <v>75.47</v>
      </c>
      <c r="H95" s="64">
        <v>27.29</v>
      </c>
      <c r="I95" s="64">
        <v>5.74</v>
      </c>
      <c r="J95" s="64">
        <v>1.03</v>
      </c>
      <c r="K95" s="64">
        <v>120.55</v>
      </c>
      <c r="L95" s="64">
        <v>20.67</v>
      </c>
      <c r="M95" s="64">
        <v>68.94</v>
      </c>
      <c r="N95" s="64">
        <v>25.8</v>
      </c>
      <c r="O95" s="64">
        <v>0</v>
      </c>
      <c r="P95" s="64">
        <v>0.92</v>
      </c>
      <c r="Q95" s="64">
        <v>9.6300000000000008</v>
      </c>
      <c r="R95" s="196"/>
      <c r="S95" s="196"/>
      <c r="T95" s="196"/>
      <c r="U95" s="196"/>
    </row>
    <row r="96" spans="1:26" s="12" customFormat="1" x14ac:dyDescent="0.25">
      <c r="A96" s="211" t="s">
        <v>716</v>
      </c>
      <c r="B96" s="64">
        <v>6.63</v>
      </c>
      <c r="C96" s="64">
        <v>21.38</v>
      </c>
      <c r="D96" s="64">
        <v>15.11</v>
      </c>
      <c r="E96" s="64">
        <v>5.3</v>
      </c>
      <c r="F96" s="64">
        <v>4.58</v>
      </c>
      <c r="G96" s="64">
        <v>74.97</v>
      </c>
      <c r="H96" s="64">
        <v>27.75</v>
      </c>
      <c r="I96" s="64">
        <v>5.43</v>
      </c>
      <c r="J96" s="64">
        <v>0.84</v>
      </c>
      <c r="K96" s="64">
        <v>116.51</v>
      </c>
      <c r="L96" s="64">
        <v>20.53</v>
      </c>
      <c r="M96" s="64">
        <v>69.739999999999995</v>
      </c>
      <c r="N96" s="64">
        <v>26</v>
      </c>
      <c r="O96" s="64">
        <v>0</v>
      </c>
      <c r="P96" s="64">
        <v>0.84</v>
      </c>
      <c r="Q96" s="64">
        <v>9.6300000000000008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717</v>
      </c>
      <c r="B97" s="64">
        <v>5.85</v>
      </c>
      <c r="C97" s="64">
        <v>20.99</v>
      </c>
      <c r="D97" s="64">
        <v>14.28</v>
      </c>
      <c r="E97" s="64">
        <v>5.72</v>
      </c>
      <c r="F97" s="64">
        <v>4.5999999999999996</v>
      </c>
      <c r="G97" s="64">
        <v>73.5</v>
      </c>
      <c r="H97" s="64">
        <v>28.69</v>
      </c>
      <c r="I97" s="64">
        <v>5.68</v>
      </c>
      <c r="J97" s="64">
        <v>0.69</v>
      </c>
      <c r="K97" s="64">
        <v>113.36</v>
      </c>
      <c r="L97" s="64">
        <v>20.420000000000002</v>
      </c>
      <c r="M97" s="64">
        <v>70.069999999999993</v>
      </c>
      <c r="N97" s="64">
        <v>25.9</v>
      </c>
      <c r="O97" s="64">
        <v>0</v>
      </c>
      <c r="P97" s="64">
        <v>0.84</v>
      </c>
      <c r="Q97" s="64">
        <v>9.6199999999999992</v>
      </c>
      <c r="R97" s="196"/>
      <c r="S97" s="196"/>
      <c r="T97" s="196"/>
      <c r="U97" s="196"/>
    </row>
    <row r="98" spans="1:33" s="12" customFormat="1" x14ac:dyDescent="0.25">
      <c r="A98" s="211" t="s">
        <v>718</v>
      </c>
      <c r="B98" s="64">
        <v>5.19</v>
      </c>
      <c r="C98" s="64">
        <v>20.65</v>
      </c>
      <c r="D98" s="64">
        <v>13.57</v>
      </c>
      <c r="E98" s="64">
        <v>5.62</v>
      </c>
      <c r="F98" s="64">
        <v>4.49</v>
      </c>
      <c r="G98" s="64">
        <v>73.5</v>
      </c>
      <c r="H98" s="64">
        <v>28.69</v>
      </c>
      <c r="I98" s="64">
        <v>5.22</v>
      </c>
      <c r="J98" s="64">
        <v>0.73</v>
      </c>
      <c r="K98" s="64">
        <v>119.27</v>
      </c>
      <c r="L98" s="64">
        <v>20.32</v>
      </c>
      <c r="M98" s="64">
        <v>70.75</v>
      </c>
      <c r="N98" s="64">
        <v>25.9</v>
      </c>
      <c r="O98" s="64">
        <v>0</v>
      </c>
      <c r="P98" s="64">
        <v>0.81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719</v>
      </c>
      <c r="B99" s="64">
        <v>4.75</v>
      </c>
      <c r="C99" s="64">
        <v>19.079999999999998</v>
      </c>
      <c r="D99" s="64">
        <v>12.4</v>
      </c>
      <c r="E99" s="64">
        <v>5.51</v>
      </c>
      <c r="F99" s="64">
        <v>4.67</v>
      </c>
      <c r="G99" s="64">
        <v>73.5</v>
      </c>
      <c r="H99" s="64">
        <v>28.69</v>
      </c>
      <c r="I99" s="64">
        <v>5.32</v>
      </c>
      <c r="J99" s="64">
        <v>1.31</v>
      </c>
      <c r="K99" s="64">
        <v>115.77</v>
      </c>
      <c r="L99" s="64">
        <v>20.27</v>
      </c>
      <c r="M99" s="64">
        <v>71.2</v>
      </c>
      <c r="N99" s="64">
        <v>25.7</v>
      </c>
      <c r="O99" s="64">
        <v>0</v>
      </c>
      <c r="P99" s="64">
        <v>0.75</v>
      </c>
      <c r="Q99" s="64">
        <v>9.6199999999999992</v>
      </c>
      <c r="R99" s="196"/>
      <c r="S99" s="196"/>
      <c r="T99" s="196"/>
      <c r="U99" s="196"/>
    </row>
    <row r="100" spans="1:33" s="12" customFormat="1" x14ac:dyDescent="0.25">
      <c r="A100" s="211" t="s">
        <v>720</v>
      </c>
      <c r="B100" s="64">
        <v>4.49</v>
      </c>
      <c r="C100" s="64">
        <v>17.920000000000002</v>
      </c>
      <c r="D100" s="64">
        <v>11.58</v>
      </c>
      <c r="E100" s="64">
        <v>5.07</v>
      </c>
      <c r="F100" s="64">
        <v>4.46</v>
      </c>
      <c r="G100" s="64">
        <v>73</v>
      </c>
      <c r="H100" s="64">
        <v>28.11</v>
      </c>
      <c r="I100" s="64">
        <v>4.8899999999999997</v>
      </c>
      <c r="J100" s="64">
        <v>1.97</v>
      </c>
      <c r="K100" s="64">
        <v>120.09</v>
      </c>
      <c r="L100" s="64">
        <v>20.309999999999999</v>
      </c>
      <c r="M100" s="64">
        <v>70.72</v>
      </c>
      <c r="N100" s="64">
        <v>25.6</v>
      </c>
      <c r="O100" s="64">
        <v>0</v>
      </c>
      <c r="P100" s="64">
        <v>0.81</v>
      </c>
      <c r="Q100" s="64">
        <v>9.61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721</v>
      </c>
      <c r="B101" s="64">
        <v>4.29</v>
      </c>
      <c r="C101" s="64">
        <v>17.47</v>
      </c>
      <c r="D101" s="64">
        <v>11.19</v>
      </c>
      <c r="E101" s="64">
        <v>5.22</v>
      </c>
      <c r="F101" s="64">
        <v>4.46</v>
      </c>
      <c r="G101" s="64">
        <v>71.540000000000006</v>
      </c>
      <c r="H101" s="64">
        <v>26.99</v>
      </c>
      <c r="I101" s="64">
        <v>4.5</v>
      </c>
      <c r="J101" s="64">
        <v>1.83</v>
      </c>
      <c r="K101" s="64">
        <v>121.68</v>
      </c>
      <c r="L101" s="64">
        <v>20.149999999999999</v>
      </c>
      <c r="M101" s="64">
        <v>70.81</v>
      </c>
      <c r="N101" s="64">
        <v>25.9</v>
      </c>
      <c r="O101" s="64">
        <v>0</v>
      </c>
      <c r="P101" s="64">
        <v>0.73</v>
      </c>
      <c r="Q101" s="64">
        <v>9.61</v>
      </c>
      <c r="R101" s="196"/>
      <c r="S101" s="196"/>
      <c r="T101" s="196"/>
      <c r="U101" s="196"/>
    </row>
    <row r="102" spans="1:33" s="12" customFormat="1" x14ac:dyDescent="0.25">
      <c r="A102" s="211" t="s">
        <v>722</v>
      </c>
      <c r="B102" s="64">
        <v>4.0999999999999996</v>
      </c>
      <c r="C102" s="64">
        <v>16.97</v>
      </c>
      <c r="D102" s="64">
        <v>10.78</v>
      </c>
      <c r="E102" s="64">
        <v>5.38</v>
      </c>
      <c r="F102" s="64">
        <v>3.62</v>
      </c>
      <c r="G102" s="64">
        <v>71.540000000000006</v>
      </c>
      <c r="H102" s="64">
        <v>26.99</v>
      </c>
      <c r="I102" s="64">
        <v>5.48</v>
      </c>
      <c r="J102" s="64">
        <v>1.69</v>
      </c>
      <c r="K102" s="64">
        <v>117.95</v>
      </c>
      <c r="L102" s="64">
        <v>20.12</v>
      </c>
      <c r="M102" s="64">
        <v>71.040000000000006</v>
      </c>
      <c r="N102" s="64">
        <v>25.9</v>
      </c>
      <c r="O102" s="64">
        <v>0</v>
      </c>
      <c r="P102" s="64">
        <v>0.75</v>
      </c>
      <c r="Q102" s="64">
        <v>9.6199999999999992</v>
      </c>
      <c r="R102" s="196"/>
      <c r="S102" s="196"/>
      <c r="T102" s="196"/>
      <c r="U102" s="196"/>
    </row>
    <row r="103" spans="1:33" s="12" customFormat="1" x14ac:dyDescent="0.25">
      <c r="A103" s="211" t="s">
        <v>723</v>
      </c>
      <c r="B103" s="64">
        <v>3.9</v>
      </c>
      <c r="C103" s="64">
        <v>16.5</v>
      </c>
      <c r="D103" s="64">
        <v>10.37</v>
      </c>
      <c r="E103" s="64">
        <v>5.22</v>
      </c>
      <c r="F103" s="64">
        <v>4.09</v>
      </c>
      <c r="G103" s="64">
        <v>71.540000000000006</v>
      </c>
      <c r="H103" s="64">
        <v>26.99</v>
      </c>
      <c r="I103" s="64">
        <v>5.78</v>
      </c>
      <c r="J103" s="64">
        <v>1.54</v>
      </c>
      <c r="K103" s="64">
        <v>107.91</v>
      </c>
      <c r="L103" s="64">
        <v>20.05</v>
      </c>
      <c r="M103" s="64">
        <v>71.739999999999995</v>
      </c>
      <c r="N103" s="64">
        <v>26</v>
      </c>
      <c r="O103" s="64">
        <v>0</v>
      </c>
      <c r="P103" s="64">
        <v>0.72</v>
      </c>
      <c r="Q103" s="64">
        <v>9.6199999999999992</v>
      </c>
      <c r="R103" s="196"/>
      <c r="S103" s="196"/>
      <c r="T103" s="196"/>
      <c r="U103" s="196"/>
    </row>
    <row r="104" spans="1:33" s="12" customFormat="1" x14ac:dyDescent="0.25">
      <c r="A104" s="211" t="s">
        <v>724</v>
      </c>
      <c r="B104" s="64">
        <v>3.73</v>
      </c>
      <c r="C104" s="64">
        <v>16.07</v>
      </c>
      <c r="D104" s="64">
        <v>10.01</v>
      </c>
      <c r="E104" s="64">
        <v>6.56</v>
      </c>
      <c r="F104" s="64">
        <v>3.43</v>
      </c>
      <c r="G104" s="64">
        <v>69.819999999999993</v>
      </c>
      <c r="H104" s="64">
        <v>26.09</v>
      </c>
      <c r="I104" s="64">
        <v>6.28</v>
      </c>
      <c r="J104" s="64">
        <v>1.28</v>
      </c>
      <c r="K104" s="64">
        <v>102.28</v>
      </c>
      <c r="L104" s="64">
        <v>19.87</v>
      </c>
      <c r="M104" s="64">
        <v>72.88</v>
      </c>
      <c r="N104" s="64">
        <v>26</v>
      </c>
      <c r="O104" s="64">
        <v>0</v>
      </c>
      <c r="P104" s="64">
        <v>0.65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2.5499999999999998</v>
      </c>
      <c r="C106" s="67">
        <f>MIN(C9:C104)</f>
        <v>14.29</v>
      </c>
      <c r="D106" s="67">
        <f t="shared" ref="D106:Q106" si="0">MIN(D9:D104)</f>
        <v>9.98</v>
      </c>
      <c r="E106" s="67">
        <f t="shared" si="0"/>
        <v>4.16</v>
      </c>
      <c r="F106" s="67">
        <f t="shared" si="0"/>
        <v>3.1</v>
      </c>
      <c r="G106" s="67">
        <f t="shared" si="0"/>
        <v>59.58</v>
      </c>
      <c r="H106" s="67">
        <f t="shared" si="0"/>
        <v>15.56</v>
      </c>
      <c r="I106" s="67">
        <f t="shared" si="0"/>
        <v>2.1</v>
      </c>
      <c r="J106" s="67">
        <f t="shared" si="0"/>
        <v>0.05</v>
      </c>
      <c r="K106" s="67">
        <f t="shared" si="0"/>
        <v>9.31</v>
      </c>
      <c r="L106" s="67">
        <f t="shared" si="0"/>
        <v>16.34</v>
      </c>
      <c r="M106" s="67">
        <f t="shared" si="0"/>
        <v>36.32</v>
      </c>
      <c r="N106" s="67">
        <f t="shared" si="0"/>
        <v>25.3</v>
      </c>
      <c r="O106" s="67">
        <f t="shared" si="0"/>
        <v>0</v>
      </c>
      <c r="P106" s="67">
        <f t="shared" si="0"/>
        <v>0.48</v>
      </c>
      <c r="Q106" s="67">
        <f t="shared" si="0"/>
        <v>9.6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93.79</v>
      </c>
      <c r="C107" s="66">
        <f t="shared" ref="C107:Q107" si="1">MAX(C9:C104)</f>
        <v>23.48</v>
      </c>
      <c r="D107" s="66">
        <f t="shared" si="1"/>
        <v>84.73</v>
      </c>
      <c r="E107" s="66">
        <f t="shared" si="1"/>
        <v>7.23</v>
      </c>
      <c r="F107" s="66">
        <f t="shared" si="1"/>
        <v>7.12</v>
      </c>
      <c r="G107" s="66">
        <f t="shared" si="1"/>
        <v>117.47</v>
      </c>
      <c r="H107" s="66">
        <f t="shared" si="1"/>
        <v>53.84</v>
      </c>
      <c r="I107" s="66">
        <f t="shared" si="1"/>
        <v>9.07</v>
      </c>
      <c r="J107" s="66">
        <f t="shared" si="1"/>
        <v>1.97</v>
      </c>
      <c r="K107" s="66">
        <f t="shared" si="1"/>
        <v>358.41</v>
      </c>
      <c r="L107" s="66">
        <f t="shared" si="1"/>
        <v>31.13</v>
      </c>
      <c r="M107" s="66">
        <f t="shared" si="1"/>
        <v>94.29</v>
      </c>
      <c r="N107" s="66">
        <f t="shared" si="1"/>
        <v>716.7</v>
      </c>
      <c r="O107" s="66">
        <f t="shared" si="1"/>
        <v>0</v>
      </c>
      <c r="P107" s="66">
        <f t="shared" si="1"/>
        <v>1.7</v>
      </c>
      <c r="Q107" s="66">
        <f t="shared" si="1"/>
        <v>9.7100000000000009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21.64020833333333</v>
      </c>
      <c r="C108" s="67">
        <f t="shared" ref="C108:Q108" si="2">AVERAGE(C9:C104)</f>
        <v>18.836354166666677</v>
      </c>
      <c r="D108" s="67">
        <f t="shared" si="2"/>
        <v>25.818333333333346</v>
      </c>
      <c r="E108" s="67">
        <f t="shared" si="2"/>
        <v>5.506875</v>
      </c>
      <c r="F108" s="67">
        <f t="shared" si="2"/>
        <v>4.5245833333333332</v>
      </c>
      <c r="G108" s="67">
        <f t="shared" si="2"/>
        <v>73.675520833333323</v>
      </c>
      <c r="H108" s="67">
        <f t="shared" si="2"/>
        <v>30.116354166666682</v>
      </c>
      <c r="I108" s="67">
        <f t="shared" si="2"/>
        <v>5.8417708333333342</v>
      </c>
      <c r="J108" s="67">
        <f t="shared" si="2"/>
        <v>0.67906250000000001</v>
      </c>
      <c r="K108" s="67">
        <f t="shared" si="2"/>
        <v>162.04916666666676</v>
      </c>
      <c r="L108" s="67">
        <f t="shared" si="2"/>
        <v>21.782395833333336</v>
      </c>
      <c r="M108" s="67">
        <f t="shared" si="2"/>
        <v>65.4973958333333</v>
      </c>
      <c r="N108" s="67">
        <f t="shared" si="2"/>
        <v>174.26666666666674</v>
      </c>
      <c r="O108" s="67">
        <f t="shared" si="2"/>
        <v>0</v>
      </c>
      <c r="P108" s="67">
        <f t="shared" si="2"/>
        <v>0.89406249999999998</v>
      </c>
      <c r="Q108" s="67">
        <f t="shared" si="2"/>
        <v>9.626354166666669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23.739230643285133</v>
      </c>
      <c r="C109" s="67">
        <f t="shared" ref="C109:Q109" si="3">STDEV(C9:C104)</f>
        <v>2.5700846268235735</v>
      </c>
      <c r="D109" s="67">
        <f t="shared" si="3"/>
        <v>18.594982043362705</v>
      </c>
      <c r="E109" s="67">
        <f t="shared" si="3"/>
        <v>0.68440725410657244</v>
      </c>
      <c r="F109" s="67">
        <f t="shared" si="3"/>
        <v>0.85717272922048848</v>
      </c>
      <c r="G109" s="67">
        <f t="shared" si="3"/>
        <v>12.789347036522903</v>
      </c>
      <c r="H109" s="67">
        <f t="shared" si="3"/>
        <v>8.3062961686702188</v>
      </c>
      <c r="I109" s="67">
        <f t="shared" si="3"/>
        <v>1.4463412968348148</v>
      </c>
      <c r="J109" s="67">
        <f t="shared" si="3"/>
        <v>0.47180744985305373</v>
      </c>
      <c r="K109" s="67">
        <f t="shared" si="3"/>
        <v>115.08276087157681</v>
      </c>
      <c r="L109" s="67">
        <f t="shared" si="3"/>
        <v>3.8416210242940849</v>
      </c>
      <c r="M109" s="67">
        <f t="shared" si="3"/>
        <v>17.456881089056594</v>
      </c>
      <c r="N109" s="67">
        <f t="shared" si="3"/>
        <v>233.53202357511415</v>
      </c>
      <c r="O109" s="67">
        <f t="shared" si="3"/>
        <v>0</v>
      </c>
      <c r="P109" s="67">
        <f t="shared" si="3"/>
        <v>0.28756538158166928</v>
      </c>
      <c r="Q109" s="67">
        <f t="shared" si="3"/>
        <v>1.5363647570374601E-2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0" sqref="B110:D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725</v>
      </c>
      <c r="B9" s="64">
        <v>3.57</v>
      </c>
      <c r="C9" s="64">
        <v>15.48</v>
      </c>
      <c r="D9" s="64">
        <v>9.58</v>
      </c>
      <c r="E9" s="64">
        <v>6.13</v>
      </c>
      <c r="F9" s="64">
        <v>4.1399999999999997</v>
      </c>
      <c r="G9" s="64">
        <v>64.8</v>
      </c>
      <c r="H9" s="64">
        <v>22.49</v>
      </c>
      <c r="I9" s="64">
        <v>5.85</v>
      </c>
      <c r="J9" s="64">
        <v>1.32</v>
      </c>
      <c r="K9" s="64">
        <v>99.79</v>
      </c>
      <c r="L9" s="64">
        <v>19.75</v>
      </c>
      <c r="M9" s="64">
        <v>73.08</v>
      </c>
      <c r="N9" s="64">
        <v>26</v>
      </c>
      <c r="O9" s="64">
        <v>0</v>
      </c>
      <c r="P9" s="64">
        <v>0.67</v>
      </c>
      <c r="Q9" s="64">
        <v>9.6199999999999992</v>
      </c>
      <c r="R9" s="196"/>
      <c r="S9" s="196"/>
      <c r="T9" s="196"/>
      <c r="U9" s="196"/>
    </row>
    <row r="10" spans="1:21" s="12" customFormat="1" x14ac:dyDescent="0.25">
      <c r="A10" s="211" t="s">
        <v>726</v>
      </c>
      <c r="B10" s="64">
        <v>3.41</v>
      </c>
      <c r="C10" s="64">
        <v>14.99</v>
      </c>
      <c r="D10" s="64">
        <v>9.19</v>
      </c>
      <c r="E10" s="64">
        <v>6.01</v>
      </c>
      <c r="F10" s="64">
        <v>4.08</v>
      </c>
      <c r="G10" s="64">
        <v>64.8</v>
      </c>
      <c r="H10" s="64">
        <v>22.49</v>
      </c>
      <c r="I10" s="64">
        <v>5.84</v>
      </c>
      <c r="J10" s="64">
        <v>1.26</v>
      </c>
      <c r="K10" s="64">
        <v>110.15</v>
      </c>
      <c r="L10" s="64">
        <v>19.61</v>
      </c>
      <c r="M10" s="64">
        <v>73.94</v>
      </c>
      <c r="N10" s="64">
        <v>26</v>
      </c>
      <c r="O10" s="64">
        <v>0</v>
      </c>
      <c r="P10" s="64">
        <v>0.68</v>
      </c>
      <c r="Q10" s="64">
        <v>9.61</v>
      </c>
      <c r="R10" s="196"/>
      <c r="S10" s="196"/>
      <c r="T10" s="196"/>
      <c r="U10" s="196"/>
    </row>
    <row r="11" spans="1:21" s="12" customFormat="1" x14ac:dyDescent="0.25">
      <c r="A11" s="211" t="s">
        <v>727</v>
      </c>
      <c r="B11" s="64">
        <v>3.23</v>
      </c>
      <c r="C11" s="64">
        <v>15.02</v>
      </c>
      <c r="D11" s="64">
        <v>9.06</v>
      </c>
      <c r="E11" s="64">
        <v>5.89</v>
      </c>
      <c r="F11" s="64">
        <v>4.26</v>
      </c>
      <c r="G11" s="64">
        <v>64.8</v>
      </c>
      <c r="H11" s="64">
        <v>22.49</v>
      </c>
      <c r="I11" s="64">
        <v>5.87</v>
      </c>
      <c r="J11" s="64">
        <v>0.6</v>
      </c>
      <c r="K11" s="64">
        <v>110.97</v>
      </c>
      <c r="L11" s="64">
        <v>19.5</v>
      </c>
      <c r="M11" s="64">
        <v>74.459999999999994</v>
      </c>
      <c r="N11" s="64">
        <v>26</v>
      </c>
      <c r="O11" s="64">
        <v>0</v>
      </c>
      <c r="P11" s="64">
        <v>0.69</v>
      </c>
      <c r="Q11" s="64">
        <v>9.61</v>
      </c>
      <c r="R11" s="196"/>
      <c r="S11" s="196"/>
      <c r="T11" s="196"/>
      <c r="U11" s="196"/>
    </row>
    <row r="12" spans="1:21" s="12" customFormat="1" x14ac:dyDescent="0.25">
      <c r="A12" s="211" t="s">
        <v>728</v>
      </c>
      <c r="B12" s="64">
        <v>3</v>
      </c>
      <c r="C12" s="64">
        <v>14.66</v>
      </c>
      <c r="D12" s="64">
        <v>8.69</v>
      </c>
      <c r="E12" s="64">
        <v>5.89</v>
      </c>
      <c r="F12" s="64">
        <v>4.1900000000000004</v>
      </c>
      <c r="G12" s="64">
        <v>63.99</v>
      </c>
      <c r="H12" s="64">
        <v>24.03</v>
      </c>
      <c r="I12" s="64">
        <v>6.94</v>
      </c>
      <c r="J12" s="64">
        <v>0.26</v>
      </c>
      <c r="K12" s="64">
        <v>90.07</v>
      </c>
      <c r="L12" s="64">
        <v>19.18</v>
      </c>
      <c r="M12" s="64">
        <v>76.61</v>
      </c>
      <c r="N12" s="64">
        <v>26.1</v>
      </c>
      <c r="O12" s="64">
        <v>0</v>
      </c>
      <c r="P12" s="64">
        <v>0.66</v>
      </c>
      <c r="Q12" s="64">
        <v>9.61</v>
      </c>
      <c r="R12" s="196"/>
      <c r="S12" s="196"/>
      <c r="T12" s="196"/>
      <c r="U12" s="196"/>
    </row>
    <row r="13" spans="1:21" s="12" customFormat="1" x14ac:dyDescent="0.25">
      <c r="A13" s="211" t="s">
        <v>729</v>
      </c>
      <c r="B13" s="64">
        <v>2.88</v>
      </c>
      <c r="C13" s="64">
        <v>14.47</v>
      </c>
      <c r="D13" s="64">
        <v>8.49</v>
      </c>
      <c r="E13" s="64">
        <v>5.84</v>
      </c>
      <c r="F13" s="64">
        <v>4.5</v>
      </c>
      <c r="G13" s="64">
        <v>61.62</v>
      </c>
      <c r="H13" s="64">
        <v>26.97</v>
      </c>
      <c r="I13" s="64">
        <v>7.23</v>
      </c>
      <c r="J13" s="64">
        <v>0.53</v>
      </c>
      <c r="K13" s="64">
        <v>105.01</v>
      </c>
      <c r="L13" s="64">
        <v>19.13</v>
      </c>
      <c r="M13" s="64">
        <v>77.23</v>
      </c>
      <c r="N13" s="64">
        <v>26</v>
      </c>
      <c r="O13" s="64">
        <v>0</v>
      </c>
      <c r="P13" s="64">
        <v>0.62</v>
      </c>
      <c r="Q13" s="64">
        <v>9.6199999999999992</v>
      </c>
      <c r="R13" s="196"/>
      <c r="S13" s="196"/>
      <c r="T13" s="196"/>
      <c r="U13" s="196"/>
    </row>
    <row r="14" spans="1:21" s="12" customFormat="1" x14ac:dyDescent="0.25">
      <c r="A14" s="211" t="s">
        <v>730</v>
      </c>
      <c r="B14" s="64">
        <v>2.75</v>
      </c>
      <c r="C14" s="64">
        <v>14.38</v>
      </c>
      <c r="D14" s="64">
        <v>8.35</v>
      </c>
      <c r="E14" s="64">
        <v>5.53</v>
      </c>
      <c r="F14" s="64">
        <v>4.28</v>
      </c>
      <c r="G14" s="64">
        <v>61.62</v>
      </c>
      <c r="H14" s="64">
        <v>26.97</v>
      </c>
      <c r="I14" s="64">
        <v>7.04</v>
      </c>
      <c r="J14" s="64">
        <v>0.28999999999999998</v>
      </c>
      <c r="K14" s="64">
        <v>156.16</v>
      </c>
      <c r="L14" s="64">
        <v>18.91</v>
      </c>
      <c r="M14" s="64">
        <v>77.34</v>
      </c>
      <c r="N14" s="64">
        <v>26</v>
      </c>
      <c r="O14" s="64">
        <v>0</v>
      </c>
      <c r="P14" s="64">
        <v>0.64</v>
      </c>
      <c r="Q14" s="64">
        <v>9.6199999999999992</v>
      </c>
      <c r="R14" s="196"/>
      <c r="S14" s="196"/>
      <c r="T14" s="196"/>
      <c r="U14" s="196"/>
    </row>
    <row r="15" spans="1:21" s="12" customFormat="1" x14ac:dyDescent="0.25">
      <c r="A15" s="211" t="s">
        <v>731</v>
      </c>
      <c r="B15" s="64">
        <v>2.68</v>
      </c>
      <c r="C15" s="64">
        <v>14.09</v>
      </c>
      <c r="D15" s="64">
        <v>8.1300000000000008</v>
      </c>
      <c r="E15" s="64">
        <v>5.4</v>
      </c>
      <c r="F15" s="64">
        <v>4.4000000000000004</v>
      </c>
      <c r="G15" s="64">
        <v>61.62</v>
      </c>
      <c r="H15" s="64">
        <v>26.97</v>
      </c>
      <c r="I15" s="64">
        <v>6.88</v>
      </c>
      <c r="J15" s="64">
        <v>0.49</v>
      </c>
      <c r="K15" s="64">
        <v>177.41</v>
      </c>
      <c r="L15" s="64">
        <v>18.8</v>
      </c>
      <c r="M15" s="64">
        <v>77.08</v>
      </c>
      <c r="N15" s="64">
        <v>25.9</v>
      </c>
      <c r="O15" s="64">
        <v>0</v>
      </c>
      <c r="P15" s="64">
        <v>0.62</v>
      </c>
      <c r="Q15" s="64">
        <v>9.6300000000000008</v>
      </c>
      <c r="R15" s="196"/>
      <c r="S15" s="196"/>
      <c r="T15" s="196"/>
      <c r="U15" s="196"/>
    </row>
    <row r="16" spans="1:21" s="12" customFormat="1" x14ac:dyDescent="0.25">
      <c r="A16" s="211" t="s">
        <v>732</v>
      </c>
      <c r="B16" s="64">
        <v>2.57</v>
      </c>
      <c r="C16" s="64">
        <v>14.07</v>
      </c>
      <c r="D16" s="64">
        <v>8.0299999999999994</v>
      </c>
      <c r="E16" s="64">
        <v>5.7</v>
      </c>
      <c r="F16" s="64">
        <v>4.4000000000000004</v>
      </c>
      <c r="G16" s="64">
        <v>60.84</v>
      </c>
      <c r="H16" s="64">
        <v>26.82</v>
      </c>
      <c r="I16" s="64">
        <v>6.63</v>
      </c>
      <c r="J16" s="64">
        <v>0.48</v>
      </c>
      <c r="K16" s="64">
        <v>202.3</v>
      </c>
      <c r="L16" s="64">
        <v>18.690000000000001</v>
      </c>
      <c r="M16" s="64">
        <v>77.5</v>
      </c>
      <c r="N16" s="64">
        <v>26</v>
      </c>
      <c r="O16" s="64">
        <v>0</v>
      </c>
      <c r="P16" s="64">
        <v>0.59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733</v>
      </c>
      <c r="B17" s="64">
        <v>2.4700000000000002</v>
      </c>
      <c r="C17" s="64">
        <v>14.24</v>
      </c>
      <c r="D17" s="64">
        <v>8.0399999999999991</v>
      </c>
      <c r="E17" s="64">
        <v>5.46</v>
      </c>
      <c r="F17" s="64">
        <v>4.33</v>
      </c>
      <c r="G17" s="64">
        <v>58.42</v>
      </c>
      <c r="H17" s="64">
        <v>26.53</v>
      </c>
      <c r="I17" s="64">
        <v>6.4</v>
      </c>
      <c r="J17" s="64">
        <v>0.32</v>
      </c>
      <c r="K17" s="64">
        <v>207.92</v>
      </c>
      <c r="L17" s="64">
        <v>18.559999999999999</v>
      </c>
      <c r="M17" s="64">
        <v>78.48</v>
      </c>
      <c r="N17" s="64">
        <v>26</v>
      </c>
      <c r="O17" s="64">
        <v>0</v>
      </c>
      <c r="P17" s="64">
        <v>0.59</v>
      </c>
      <c r="Q17" s="64">
        <v>9.6300000000000008</v>
      </c>
      <c r="R17" s="196"/>
      <c r="S17" s="196"/>
      <c r="T17" s="196"/>
      <c r="U17" s="196"/>
    </row>
    <row r="18" spans="1:21" s="12" customFormat="1" x14ac:dyDescent="0.25">
      <c r="A18" s="211" t="s">
        <v>734</v>
      </c>
      <c r="B18" s="64">
        <v>2.42</v>
      </c>
      <c r="C18" s="64">
        <v>14.3</v>
      </c>
      <c r="D18" s="64">
        <v>8.0399999999999991</v>
      </c>
      <c r="E18" s="64">
        <v>5.32</v>
      </c>
      <c r="F18" s="64">
        <v>4.51</v>
      </c>
      <c r="G18" s="64">
        <v>58.42</v>
      </c>
      <c r="H18" s="64">
        <v>26.53</v>
      </c>
      <c r="I18" s="64">
        <v>5.88</v>
      </c>
      <c r="J18" s="64">
        <v>0.34</v>
      </c>
      <c r="K18" s="64">
        <v>196.48</v>
      </c>
      <c r="L18" s="64">
        <v>18.36</v>
      </c>
      <c r="M18" s="64">
        <v>80.040000000000006</v>
      </c>
      <c r="N18" s="64">
        <v>26.1</v>
      </c>
      <c r="O18" s="64">
        <v>0</v>
      </c>
      <c r="P18" s="64">
        <v>0.56999999999999995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735</v>
      </c>
      <c r="B19" s="64">
        <v>2.41</v>
      </c>
      <c r="C19" s="64">
        <v>14.14</v>
      </c>
      <c r="D19" s="64">
        <v>7.95</v>
      </c>
      <c r="E19" s="64">
        <v>5.59</v>
      </c>
      <c r="F19" s="64">
        <v>4.63</v>
      </c>
      <c r="G19" s="64">
        <v>58.42</v>
      </c>
      <c r="H19" s="64">
        <v>26.53</v>
      </c>
      <c r="I19" s="64">
        <v>5.82</v>
      </c>
      <c r="J19" s="64">
        <v>0.41</v>
      </c>
      <c r="K19" s="64">
        <v>291.22000000000003</v>
      </c>
      <c r="L19" s="64">
        <v>18.09</v>
      </c>
      <c r="M19" s="64">
        <v>83.47</v>
      </c>
      <c r="N19" s="64">
        <v>26.1</v>
      </c>
      <c r="O19" s="64">
        <v>0</v>
      </c>
      <c r="P19" s="64">
        <v>0.5</v>
      </c>
      <c r="Q19" s="64">
        <v>9.6199999999999992</v>
      </c>
      <c r="R19" s="196"/>
      <c r="S19" s="196"/>
      <c r="T19" s="196"/>
      <c r="U19" s="196"/>
    </row>
    <row r="20" spans="1:21" s="12" customFormat="1" x14ac:dyDescent="0.25">
      <c r="A20" s="211" t="s">
        <v>736</v>
      </c>
      <c r="B20" s="64">
        <v>2.52</v>
      </c>
      <c r="C20" s="64">
        <v>13.39</v>
      </c>
      <c r="D20" s="64">
        <v>7.64</v>
      </c>
      <c r="E20" s="64">
        <v>5.39</v>
      </c>
      <c r="F20" s="64">
        <v>4.08</v>
      </c>
      <c r="G20" s="64">
        <v>58.69</v>
      </c>
      <c r="H20" s="64">
        <v>25.3</v>
      </c>
      <c r="I20" s="64">
        <v>5.5</v>
      </c>
      <c r="J20" s="64">
        <v>0.6</v>
      </c>
      <c r="K20" s="64">
        <v>311.72000000000003</v>
      </c>
      <c r="L20" s="64">
        <v>17.649999999999999</v>
      </c>
      <c r="M20" s="64">
        <v>89.85</v>
      </c>
      <c r="N20" s="64">
        <v>26.2</v>
      </c>
      <c r="O20" s="64">
        <v>0</v>
      </c>
      <c r="P20" s="64">
        <v>0.5</v>
      </c>
      <c r="Q20" s="64">
        <v>9.6300000000000008</v>
      </c>
      <c r="R20" s="196"/>
      <c r="S20" s="196"/>
      <c r="T20" s="196"/>
      <c r="U20" s="196"/>
    </row>
    <row r="21" spans="1:21" s="12" customFormat="1" x14ac:dyDescent="0.25">
      <c r="A21" s="211" t="s">
        <v>737</v>
      </c>
      <c r="B21" s="64">
        <v>2.74</v>
      </c>
      <c r="C21" s="64">
        <v>13.35</v>
      </c>
      <c r="D21" s="64">
        <v>7.8</v>
      </c>
      <c r="E21" s="64">
        <v>5.36</v>
      </c>
      <c r="F21" s="64">
        <v>4.41</v>
      </c>
      <c r="G21" s="64">
        <v>59.47</v>
      </c>
      <c r="H21" s="64">
        <v>22.83</v>
      </c>
      <c r="I21" s="64">
        <v>3.51</v>
      </c>
      <c r="J21" s="64">
        <v>0.56000000000000005</v>
      </c>
      <c r="K21" s="64">
        <v>315.02</v>
      </c>
      <c r="L21" s="64">
        <v>17.11</v>
      </c>
      <c r="M21" s="64">
        <v>93.31</v>
      </c>
      <c r="N21" s="64">
        <v>26.2</v>
      </c>
      <c r="O21" s="64">
        <v>0</v>
      </c>
      <c r="P21" s="64">
        <v>0.47</v>
      </c>
      <c r="Q21" s="64">
        <v>9.6300000000000008</v>
      </c>
      <c r="R21" s="196"/>
      <c r="S21" s="196"/>
      <c r="T21" s="196"/>
      <c r="U21" s="196"/>
    </row>
    <row r="22" spans="1:21" s="12" customFormat="1" x14ac:dyDescent="0.25">
      <c r="A22" s="211" t="s">
        <v>738</v>
      </c>
      <c r="B22" s="64">
        <v>3.01</v>
      </c>
      <c r="C22" s="64">
        <v>13.18</v>
      </c>
      <c r="D22" s="64">
        <v>7.93</v>
      </c>
      <c r="E22" s="64">
        <v>5.43</v>
      </c>
      <c r="F22" s="64">
        <v>4.09</v>
      </c>
      <c r="G22" s="64">
        <v>59.47</v>
      </c>
      <c r="H22" s="64">
        <v>22.83</v>
      </c>
      <c r="I22" s="64">
        <v>3.15</v>
      </c>
      <c r="J22" s="64">
        <v>0.52</v>
      </c>
      <c r="K22" s="64">
        <v>315.38</v>
      </c>
      <c r="L22" s="64">
        <v>16.739999999999998</v>
      </c>
      <c r="M22" s="64">
        <v>94.02</v>
      </c>
      <c r="N22" s="64">
        <v>26.1</v>
      </c>
      <c r="O22" s="64">
        <v>0</v>
      </c>
      <c r="P22" s="64">
        <v>0.49</v>
      </c>
      <c r="Q22" s="64">
        <v>9.6199999999999992</v>
      </c>
      <c r="R22" s="196"/>
      <c r="S22" s="196"/>
      <c r="T22" s="196"/>
      <c r="U22" s="196"/>
    </row>
    <row r="23" spans="1:21" s="12" customFormat="1" x14ac:dyDescent="0.25">
      <c r="A23" s="211" t="s">
        <v>739</v>
      </c>
      <c r="B23" s="64">
        <v>3.23</v>
      </c>
      <c r="C23" s="64">
        <v>13.12</v>
      </c>
      <c r="D23" s="64">
        <v>8.07</v>
      </c>
      <c r="E23" s="64">
        <v>5.48</v>
      </c>
      <c r="F23" s="64">
        <v>3.99</v>
      </c>
      <c r="G23" s="64">
        <v>59.47</v>
      </c>
      <c r="H23" s="64">
        <v>22.83</v>
      </c>
      <c r="I23" s="64">
        <v>3.69</v>
      </c>
      <c r="J23" s="64">
        <v>0.51</v>
      </c>
      <c r="K23" s="64">
        <v>311.89</v>
      </c>
      <c r="L23" s="64">
        <v>16.559999999999999</v>
      </c>
      <c r="M23" s="64">
        <v>94.19</v>
      </c>
      <c r="N23" s="64">
        <v>26.1</v>
      </c>
      <c r="O23" s="64">
        <v>0</v>
      </c>
      <c r="P23" s="64">
        <v>0.47</v>
      </c>
      <c r="Q23" s="64">
        <v>9.6199999999999992</v>
      </c>
      <c r="R23" s="196"/>
      <c r="S23" s="196"/>
      <c r="T23" s="196"/>
      <c r="U23" s="196"/>
    </row>
    <row r="24" spans="1:21" s="12" customFormat="1" x14ac:dyDescent="0.25">
      <c r="A24" s="211" t="s">
        <v>740</v>
      </c>
      <c r="B24" s="64">
        <v>3.48</v>
      </c>
      <c r="C24" s="64">
        <v>13.28</v>
      </c>
      <c r="D24" s="64">
        <v>8.35</v>
      </c>
      <c r="E24" s="64">
        <v>4.8</v>
      </c>
      <c r="F24" s="64">
        <v>3.82</v>
      </c>
      <c r="G24" s="64">
        <v>57.38</v>
      </c>
      <c r="H24" s="64">
        <v>23.83</v>
      </c>
      <c r="I24" s="64">
        <v>3.54</v>
      </c>
      <c r="J24" s="64">
        <v>0.57999999999999996</v>
      </c>
      <c r="K24" s="64">
        <v>312.66000000000003</v>
      </c>
      <c r="L24" s="64">
        <v>16.5</v>
      </c>
      <c r="M24" s="64">
        <v>96.32</v>
      </c>
      <c r="N24" s="64">
        <v>26.1</v>
      </c>
      <c r="O24" s="64">
        <v>0</v>
      </c>
      <c r="P24" s="64">
        <v>0.51</v>
      </c>
      <c r="Q24" s="64">
        <v>9.61</v>
      </c>
      <c r="R24" s="196"/>
      <c r="S24" s="196"/>
      <c r="T24" s="196"/>
      <c r="U24" s="196"/>
    </row>
    <row r="25" spans="1:21" s="12" customFormat="1" x14ac:dyDescent="0.25">
      <c r="A25" s="211" t="s">
        <v>741</v>
      </c>
      <c r="B25" s="64">
        <v>4.01</v>
      </c>
      <c r="C25" s="64">
        <v>13.59</v>
      </c>
      <c r="D25" s="64">
        <v>8.94</v>
      </c>
      <c r="E25" s="64">
        <v>4.24</v>
      </c>
      <c r="F25" s="64">
        <v>3.71</v>
      </c>
      <c r="G25" s="64">
        <v>51.29</v>
      </c>
      <c r="H25" s="64">
        <v>27.48</v>
      </c>
      <c r="I25" s="64">
        <v>3.34</v>
      </c>
      <c r="J25" s="64">
        <v>0.56999999999999995</v>
      </c>
      <c r="K25" s="64">
        <v>304.79000000000002</v>
      </c>
      <c r="L25" s="64">
        <v>16.3</v>
      </c>
      <c r="M25" s="64">
        <v>98.72</v>
      </c>
      <c r="N25" s="64">
        <v>26.1</v>
      </c>
      <c r="O25" s="64">
        <v>0</v>
      </c>
      <c r="P25" s="64">
        <v>0.52</v>
      </c>
      <c r="Q25" s="64">
        <v>9.6199999999999992</v>
      </c>
      <c r="R25" s="196"/>
      <c r="S25" s="196"/>
      <c r="T25" s="196"/>
      <c r="U25" s="196"/>
    </row>
    <row r="26" spans="1:21" s="12" customFormat="1" x14ac:dyDescent="0.25">
      <c r="A26" s="211" t="s">
        <v>742</v>
      </c>
      <c r="B26" s="64">
        <v>4.45</v>
      </c>
      <c r="C26" s="64">
        <v>13.89</v>
      </c>
      <c r="D26" s="64">
        <v>9.4499999999999993</v>
      </c>
      <c r="E26" s="64">
        <v>4.76</v>
      </c>
      <c r="F26" s="64">
        <v>3.48</v>
      </c>
      <c r="G26" s="64">
        <v>51.29</v>
      </c>
      <c r="H26" s="64">
        <v>27.48</v>
      </c>
      <c r="I26" s="64">
        <v>3.96</v>
      </c>
      <c r="J26" s="64">
        <v>0.52</v>
      </c>
      <c r="K26" s="64">
        <v>290.88</v>
      </c>
      <c r="L26" s="64">
        <v>16.09</v>
      </c>
      <c r="M26" s="64">
        <v>99.22</v>
      </c>
      <c r="N26" s="64">
        <v>25.9</v>
      </c>
      <c r="O26" s="64">
        <v>0</v>
      </c>
      <c r="P26" s="64">
        <v>0.47</v>
      </c>
      <c r="Q26" s="64">
        <v>9.6199999999999992</v>
      </c>
      <c r="R26" s="196"/>
      <c r="S26" s="196"/>
      <c r="T26" s="196"/>
      <c r="U26" s="196"/>
    </row>
    <row r="27" spans="1:21" s="12" customFormat="1" x14ac:dyDescent="0.25">
      <c r="A27" s="211" t="s">
        <v>743</v>
      </c>
      <c r="B27" s="64">
        <v>4.74</v>
      </c>
      <c r="C27" s="64">
        <v>14.12</v>
      </c>
      <c r="D27" s="64">
        <v>9.8000000000000007</v>
      </c>
      <c r="E27" s="64">
        <v>4.88</v>
      </c>
      <c r="F27" s="64">
        <v>3.56</v>
      </c>
      <c r="G27" s="64">
        <v>51.29</v>
      </c>
      <c r="H27" s="64">
        <v>27.48</v>
      </c>
      <c r="I27" s="64">
        <v>3.7</v>
      </c>
      <c r="J27" s="64">
        <v>0.57999999999999996</v>
      </c>
      <c r="K27" s="64">
        <v>322.72000000000003</v>
      </c>
      <c r="L27" s="64">
        <v>16.079999999999998</v>
      </c>
      <c r="M27" s="64">
        <v>100.55</v>
      </c>
      <c r="N27" s="64">
        <v>25.8</v>
      </c>
      <c r="O27" s="64">
        <v>0</v>
      </c>
      <c r="P27" s="64">
        <v>0.51</v>
      </c>
      <c r="Q27" s="64">
        <v>9.61</v>
      </c>
      <c r="R27" s="196"/>
      <c r="S27" s="196"/>
      <c r="T27" s="196"/>
      <c r="U27" s="196"/>
    </row>
    <row r="28" spans="1:21" s="12" customFormat="1" x14ac:dyDescent="0.25">
      <c r="A28" s="211" t="s">
        <v>744</v>
      </c>
      <c r="B28" s="64">
        <v>5.25</v>
      </c>
      <c r="C28" s="64">
        <v>14.53</v>
      </c>
      <c r="D28" s="64">
        <v>10.42</v>
      </c>
      <c r="E28" s="64">
        <v>5.0199999999999996</v>
      </c>
      <c r="F28" s="64">
        <v>3.76</v>
      </c>
      <c r="G28" s="64">
        <v>51.95</v>
      </c>
      <c r="H28" s="64">
        <v>27.17</v>
      </c>
      <c r="I28" s="64">
        <v>3.9</v>
      </c>
      <c r="J28" s="64">
        <v>0.67</v>
      </c>
      <c r="K28" s="64">
        <v>333.83</v>
      </c>
      <c r="L28" s="64">
        <v>16.14</v>
      </c>
      <c r="M28" s="64">
        <v>100.65</v>
      </c>
      <c r="N28" s="64">
        <v>25.7</v>
      </c>
      <c r="O28" s="64">
        <v>0</v>
      </c>
      <c r="P28" s="64">
        <v>0.52</v>
      </c>
      <c r="Q28" s="64">
        <v>9.61</v>
      </c>
      <c r="R28" s="196"/>
      <c r="S28" s="196"/>
      <c r="T28" s="196"/>
      <c r="U28" s="196"/>
    </row>
    <row r="29" spans="1:21" s="12" customFormat="1" x14ac:dyDescent="0.25">
      <c r="A29" s="211" t="s">
        <v>745</v>
      </c>
      <c r="B29" s="64">
        <v>5.94</v>
      </c>
      <c r="C29" s="64">
        <v>14.97</v>
      </c>
      <c r="D29" s="64">
        <v>11.2</v>
      </c>
      <c r="E29" s="64">
        <v>5.22</v>
      </c>
      <c r="F29" s="64">
        <v>3.93</v>
      </c>
      <c r="G29" s="64">
        <v>53.88</v>
      </c>
      <c r="H29" s="64">
        <v>26.58</v>
      </c>
      <c r="I29" s="64">
        <v>4.3899999999999997</v>
      </c>
      <c r="J29" s="64">
        <v>0.68</v>
      </c>
      <c r="K29" s="64">
        <v>332.9</v>
      </c>
      <c r="L29" s="64">
        <v>16.13</v>
      </c>
      <c r="M29" s="64">
        <v>101.09</v>
      </c>
      <c r="N29" s="64">
        <v>25.7</v>
      </c>
      <c r="O29" s="64">
        <v>0</v>
      </c>
      <c r="P29" s="64">
        <v>0.53</v>
      </c>
      <c r="Q29" s="64">
        <v>9.6</v>
      </c>
      <c r="R29" s="196"/>
      <c r="S29" s="196"/>
      <c r="T29" s="196"/>
      <c r="U29" s="196"/>
    </row>
    <row r="30" spans="1:21" s="12" customFormat="1" x14ac:dyDescent="0.25">
      <c r="A30" s="211" t="s">
        <v>746</v>
      </c>
      <c r="B30" s="64">
        <v>6.99</v>
      </c>
      <c r="C30" s="64">
        <v>15.47</v>
      </c>
      <c r="D30" s="64">
        <v>12.31</v>
      </c>
      <c r="E30" s="64">
        <v>5.16</v>
      </c>
      <c r="F30" s="64">
        <v>3.67</v>
      </c>
      <c r="G30" s="64">
        <v>53.88</v>
      </c>
      <c r="H30" s="64">
        <v>26.58</v>
      </c>
      <c r="I30" s="64">
        <v>4.68</v>
      </c>
      <c r="J30" s="64">
        <v>0.26</v>
      </c>
      <c r="K30" s="64">
        <v>5.94</v>
      </c>
      <c r="L30" s="64">
        <v>16.11</v>
      </c>
      <c r="M30" s="64">
        <v>101.31</v>
      </c>
      <c r="N30" s="64">
        <v>26</v>
      </c>
      <c r="O30" s="64">
        <v>0</v>
      </c>
      <c r="P30" s="64">
        <v>0.56000000000000005</v>
      </c>
      <c r="Q30" s="64">
        <v>9.61</v>
      </c>
      <c r="R30" s="196"/>
      <c r="S30" s="196"/>
      <c r="T30" s="196"/>
      <c r="U30" s="196"/>
    </row>
    <row r="31" spans="1:21" s="12" customFormat="1" x14ac:dyDescent="0.25">
      <c r="A31" s="211" t="s">
        <v>747</v>
      </c>
      <c r="B31" s="64">
        <v>8.31</v>
      </c>
      <c r="C31" s="64">
        <v>16.190000000000001</v>
      </c>
      <c r="D31" s="64">
        <v>13.75</v>
      </c>
      <c r="E31" s="64">
        <v>5.71</v>
      </c>
      <c r="F31" s="64">
        <v>4.03</v>
      </c>
      <c r="G31" s="64">
        <v>53.88</v>
      </c>
      <c r="H31" s="64">
        <v>26.58</v>
      </c>
      <c r="I31" s="64">
        <v>4.54</v>
      </c>
      <c r="J31" s="64">
        <v>0.44</v>
      </c>
      <c r="K31" s="64">
        <v>16.32</v>
      </c>
      <c r="L31" s="64">
        <v>16.05</v>
      </c>
      <c r="M31" s="64">
        <v>101.86</v>
      </c>
      <c r="N31" s="64">
        <v>25.7</v>
      </c>
      <c r="O31" s="64">
        <v>0</v>
      </c>
      <c r="P31" s="64">
        <v>0.57999999999999996</v>
      </c>
      <c r="Q31" s="64">
        <v>9.61</v>
      </c>
      <c r="R31" s="196"/>
      <c r="S31" s="196"/>
      <c r="T31" s="196"/>
      <c r="U31" s="196"/>
    </row>
    <row r="32" spans="1:21" s="12" customFormat="1" x14ac:dyDescent="0.25">
      <c r="A32" s="211" t="s">
        <v>748</v>
      </c>
      <c r="B32" s="64">
        <v>10.029999999999999</v>
      </c>
      <c r="C32" s="64">
        <v>16.97</v>
      </c>
      <c r="D32" s="64">
        <v>15.54</v>
      </c>
      <c r="E32" s="64">
        <v>5.9</v>
      </c>
      <c r="F32" s="64">
        <v>4.25</v>
      </c>
      <c r="G32" s="64">
        <v>62.42</v>
      </c>
      <c r="H32" s="64">
        <v>32.76</v>
      </c>
      <c r="I32" s="64">
        <v>4.63</v>
      </c>
      <c r="J32" s="64">
        <v>1.06</v>
      </c>
      <c r="K32" s="64">
        <v>344.67</v>
      </c>
      <c r="L32" s="64">
        <v>16.32</v>
      </c>
      <c r="M32" s="64">
        <v>99.7</v>
      </c>
      <c r="N32" s="64">
        <v>25.6</v>
      </c>
      <c r="O32" s="64">
        <v>0</v>
      </c>
      <c r="P32" s="64">
        <v>0.61</v>
      </c>
      <c r="Q32" s="64">
        <v>9.6300000000000008</v>
      </c>
      <c r="R32" s="196"/>
      <c r="S32" s="196"/>
      <c r="T32" s="196"/>
      <c r="U32" s="196"/>
    </row>
    <row r="33" spans="1:21" s="12" customFormat="1" x14ac:dyDescent="0.25">
      <c r="A33" s="211" t="s">
        <v>749</v>
      </c>
      <c r="B33" s="64">
        <v>11.77</v>
      </c>
      <c r="C33" s="64">
        <v>18.309999999999999</v>
      </c>
      <c r="D33" s="64">
        <v>17.63</v>
      </c>
      <c r="E33" s="64">
        <v>6.56</v>
      </c>
      <c r="F33" s="64">
        <v>4.21</v>
      </c>
      <c r="G33" s="64">
        <v>87.3</v>
      </c>
      <c r="H33" s="64">
        <v>45.11</v>
      </c>
      <c r="I33" s="64">
        <v>4.53</v>
      </c>
      <c r="J33" s="64">
        <v>1.77</v>
      </c>
      <c r="K33" s="64">
        <v>342.95</v>
      </c>
      <c r="L33" s="64">
        <v>16.53</v>
      </c>
      <c r="M33" s="64">
        <v>95.6</v>
      </c>
      <c r="N33" s="64">
        <v>27.6</v>
      </c>
      <c r="O33" s="64">
        <v>0</v>
      </c>
      <c r="P33" s="64">
        <v>0.65</v>
      </c>
      <c r="Q33" s="64">
        <v>9.6300000000000008</v>
      </c>
      <c r="R33" s="196"/>
      <c r="S33" s="196"/>
      <c r="T33" s="196"/>
      <c r="U33" s="196"/>
    </row>
    <row r="34" spans="1:21" s="12" customFormat="1" x14ac:dyDescent="0.25">
      <c r="A34" s="211" t="s">
        <v>750</v>
      </c>
      <c r="B34" s="64">
        <v>12.83</v>
      </c>
      <c r="C34" s="64">
        <v>19.93</v>
      </c>
      <c r="D34" s="64">
        <v>19.32</v>
      </c>
      <c r="E34" s="64">
        <v>6.95</v>
      </c>
      <c r="F34" s="64">
        <v>4.1100000000000003</v>
      </c>
      <c r="G34" s="64">
        <v>87.3</v>
      </c>
      <c r="H34" s="64">
        <v>45.11</v>
      </c>
      <c r="I34" s="64">
        <v>4.4400000000000004</v>
      </c>
      <c r="J34" s="64">
        <v>1</v>
      </c>
      <c r="K34" s="64">
        <v>342.31</v>
      </c>
      <c r="L34" s="64">
        <v>16.579999999999998</v>
      </c>
      <c r="M34" s="64">
        <v>95.57</v>
      </c>
      <c r="N34" s="64">
        <v>36.6</v>
      </c>
      <c r="O34" s="64">
        <v>0</v>
      </c>
      <c r="P34" s="64">
        <v>0.67</v>
      </c>
      <c r="Q34" s="64">
        <v>9.64</v>
      </c>
      <c r="R34" s="196"/>
      <c r="S34" s="196"/>
      <c r="T34" s="196"/>
      <c r="U34" s="196"/>
    </row>
    <row r="35" spans="1:21" s="12" customFormat="1" x14ac:dyDescent="0.25">
      <c r="A35" s="211" t="s">
        <v>751</v>
      </c>
      <c r="B35" s="64">
        <v>13.39</v>
      </c>
      <c r="C35" s="64">
        <v>20.22</v>
      </c>
      <c r="D35" s="64">
        <v>19.93</v>
      </c>
      <c r="E35" s="64">
        <v>6.51</v>
      </c>
      <c r="F35" s="64">
        <v>4.28</v>
      </c>
      <c r="G35" s="64">
        <v>87.3</v>
      </c>
      <c r="H35" s="64">
        <v>45.11</v>
      </c>
      <c r="I35" s="64">
        <v>4.4000000000000004</v>
      </c>
      <c r="J35" s="64">
        <v>0.71</v>
      </c>
      <c r="K35" s="64">
        <v>350.98</v>
      </c>
      <c r="L35" s="64">
        <v>16.670000000000002</v>
      </c>
      <c r="M35" s="64">
        <v>95.55</v>
      </c>
      <c r="N35" s="64">
        <v>50.1</v>
      </c>
      <c r="O35" s="64">
        <v>0</v>
      </c>
      <c r="P35" s="64">
        <v>0.68</v>
      </c>
      <c r="Q35" s="64">
        <v>9.6199999999999992</v>
      </c>
      <c r="R35" s="196"/>
      <c r="S35" s="196"/>
      <c r="T35" s="196"/>
      <c r="U35" s="196"/>
    </row>
    <row r="36" spans="1:21" s="12" customFormat="1" x14ac:dyDescent="0.25">
      <c r="A36" s="211" t="s">
        <v>752</v>
      </c>
      <c r="B36" s="64">
        <v>14.61</v>
      </c>
      <c r="C36" s="64">
        <v>20.37</v>
      </c>
      <c r="D36" s="64">
        <v>20.98</v>
      </c>
      <c r="E36" s="64">
        <v>6.74</v>
      </c>
      <c r="F36" s="64">
        <v>4.25</v>
      </c>
      <c r="G36" s="64">
        <v>93.11</v>
      </c>
      <c r="H36" s="64">
        <v>49.96</v>
      </c>
      <c r="I36" s="64">
        <v>4.33</v>
      </c>
      <c r="J36" s="64">
        <v>0.79</v>
      </c>
      <c r="K36" s="64">
        <v>342.42</v>
      </c>
      <c r="L36" s="64">
        <v>17.190000000000001</v>
      </c>
      <c r="M36" s="64">
        <v>93.69</v>
      </c>
      <c r="N36" s="64">
        <v>66.7</v>
      </c>
      <c r="O36" s="64">
        <v>0</v>
      </c>
      <c r="P36" s="64">
        <v>0.73</v>
      </c>
      <c r="Q36" s="64">
        <v>9.6199999999999992</v>
      </c>
      <c r="R36" s="196"/>
      <c r="S36" s="196"/>
      <c r="T36" s="196"/>
      <c r="U36" s="196"/>
    </row>
    <row r="37" spans="1:21" s="12" customFormat="1" x14ac:dyDescent="0.25">
      <c r="A37" s="211" t="s">
        <v>753</v>
      </c>
      <c r="B37" s="64">
        <v>15.96</v>
      </c>
      <c r="C37" s="64">
        <v>19.100000000000001</v>
      </c>
      <c r="D37" s="64">
        <v>21.4</v>
      </c>
      <c r="E37" s="64">
        <v>6.58</v>
      </c>
      <c r="F37" s="64">
        <v>4.26</v>
      </c>
      <c r="G37" s="64">
        <v>110.03</v>
      </c>
      <c r="H37" s="64">
        <v>59.23</v>
      </c>
      <c r="I37" s="64">
        <v>4.3600000000000003</v>
      </c>
      <c r="J37" s="64">
        <v>0.92</v>
      </c>
      <c r="K37" s="64">
        <v>342.8</v>
      </c>
      <c r="L37" s="64">
        <v>17.739999999999998</v>
      </c>
      <c r="M37" s="64">
        <v>91.6</v>
      </c>
      <c r="N37" s="64">
        <v>95</v>
      </c>
      <c r="O37" s="64">
        <v>0</v>
      </c>
      <c r="P37" s="64">
        <v>0.84</v>
      </c>
      <c r="Q37" s="64">
        <v>9.6199999999999992</v>
      </c>
      <c r="R37" s="196"/>
      <c r="S37" s="196"/>
      <c r="T37" s="196"/>
      <c r="U37" s="196"/>
    </row>
    <row r="38" spans="1:21" s="12" customFormat="1" x14ac:dyDescent="0.25">
      <c r="A38" s="211" t="s">
        <v>754</v>
      </c>
      <c r="B38" s="64">
        <v>17.52</v>
      </c>
      <c r="C38" s="64">
        <v>19.100000000000001</v>
      </c>
      <c r="D38" s="64">
        <v>22.65</v>
      </c>
      <c r="E38" s="64">
        <v>6.51</v>
      </c>
      <c r="F38" s="64">
        <v>3.98</v>
      </c>
      <c r="G38" s="64">
        <v>110.03</v>
      </c>
      <c r="H38" s="64">
        <v>59.23</v>
      </c>
      <c r="I38" s="64">
        <v>4.43</v>
      </c>
      <c r="J38" s="64">
        <v>1.31</v>
      </c>
      <c r="K38" s="64">
        <v>341.88</v>
      </c>
      <c r="L38" s="64">
        <v>19.010000000000002</v>
      </c>
      <c r="M38" s="64">
        <v>84.56</v>
      </c>
      <c r="N38" s="64">
        <v>145.6</v>
      </c>
      <c r="O38" s="64">
        <v>0</v>
      </c>
      <c r="P38" s="64">
        <v>0.89</v>
      </c>
      <c r="Q38" s="64">
        <v>9.6300000000000008</v>
      </c>
      <c r="R38" s="196"/>
      <c r="S38" s="196"/>
      <c r="T38" s="196"/>
      <c r="U38" s="196"/>
    </row>
    <row r="39" spans="1:21" s="12" customFormat="1" x14ac:dyDescent="0.25">
      <c r="A39" s="211" t="s">
        <v>755</v>
      </c>
      <c r="B39" s="64">
        <v>18.2</v>
      </c>
      <c r="C39" s="64">
        <v>19.52</v>
      </c>
      <c r="D39" s="64">
        <v>23.42</v>
      </c>
      <c r="E39" s="64">
        <v>7.18</v>
      </c>
      <c r="F39" s="64">
        <v>3.97</v>
      </c>
      <c r="G39" s="64">
        <v>110.03</v>
      </c>
      <c r="H39" s="64">
        <v>59.23</v>
      </c>
      <c r="I39" s="64">
        <v>4.66</v>
      </c>
      <c r="J39" s="64">
        <v>0.52</v>
      </c>
      <c r="K39" s="64">
        <v>357.47</v>
      </c>
      <c r="L39" s="64">
        <v>20.309999999999999</v>
      </c>
      <c r="M39" s="64">
        <v>78.37</v>
      </c>
      <c r="N39" s="64">
        <v>183.4</v>
      </c>
      <c r="O39" s="64">
        <v>0</v>
      </c>
      <c r="P39" s="64">
        <v>1.08</v>
      </c>
      <c r="Q39" s="64">
        <v>9.6300000000000008</v>
      </c>
      <c r="R39" s="196"/>
      <c r="S39" s="196"/>
      <c r="T39" s="196"/>
      <c r="U39" s="196"/>
    </row>
    <row r="40" spans="1:21" s="12" customFormat="1" x14ac:dyDescent="0.25">
      <c r="A40" s="211" t="s">
        <v>756</v>
      </c>
      <c r="B40" s="64">
        <v>18.57</v>
      </c>
      <c r="C40" s="64">
        <v>19.489999999999998</v>
      </c>
      <c r="D40" s="64">
        <v>23.7</v>
      </c>
      <c r="E40" s="64">
        <v>7.95</v>
      </c>
      <c r="F40" s="64">
        <v>4.24</v>
      </c>
      <c r="G40" s="64">
        <v>117.17</v>
      </c>
      <c r="H40" s="64">
        <v>60.48</v>
      </c>
      <c r="I40" s="64">
        <v>4.57</v>
      </c>
      <c r="J40" s="64">
        <v>0.61</v>
      </c>
      <c r="K40" s="64">
        <v>342.59</v>
      </c>
      <c r="L40" s="64">
        <v>21.28</v>
      </c>
      <c r="M40" s="64">
        <v>74.150000000000006</v>
      </c>
      <c r="N40" s="64">
        <v>222.3</v>
      </c>
      <c r="O40" s="64">
        <v>0</v>
      </c>
      <c r="P40" s="64">
        <v>0.95</v>
      </c>
      <c r="Q40" s="64">
        <v>9.6300000000000008</v>
      </c>
      <c r="R40" s="196"/>
      <c r="S40" s="196"/>
      <c r="T40" s="196"/>
      <c r="U40" s="196"/>
    </row>
    <row r="41" spans="1:21" s="12" customFormat="1" x14ac:dyDescent="0.25">
      <c r="A41" s="211" t="s">
        <v>757</v>
      </c>
      <c r="B41" s="64">
        <v>19.190000000000001</v>
      </c>
      <c r="C41" s="64">
        <v>19.59</v>
      </c>
      <c r="D41" s="64">
        <v>24.24</v>
      </c>
      <c r="E41" s="64">
        <v>7.77</v>
      </c>
      <c r="F41" s="64">
        <v>4.0999999999999996</v>
      </c>
      <c r="G41" s="64">
        <v>137.97</v>
      </c>
      <c r="H41" s="64">
        <v>65.489999999999995</v>
      </c>
      <c r="I41" s="64">
        <v>4.54</v>
      </c>
      <c r="J41" s="64">
        <v>0.3</v>
      </c>
      <c r="K41" s="64">
        <v>4.53</v>
      </c>
      <c r="L41" s="64">
        <v>22.41</v>
      </c>
      <c r="M41" s="64">
        <v>70.34</v>
      </c>
      <c r="N41" s="64">
        <v>264.7</v>
      </c>
      <c r="O41" s="64">
        <v>0</v>
      </c>
      <c r="P41" s="64">
        <v>1.1000000000000001</v>
      </c>
      <c r="Q41" s="64">
        <v>9.6300000000000008</v>
      </c>
      <c r="R41" s="196"/>
      <c r="S41" s="196"/>
      <c r="T41" s="196"/>
      <c r="U41" s="196"/>
    </row>
    <row r="42" spans="1:21" s="12" customFormat="1" x14ac:dyDescent="0.25">
      <c r="A42" s="211" t="s">
        <v>758</v>
      </c>
      <c r="B42" s="64">
        <v>20.04</v>
      </c>
      <c r="C42" s="64">
        <v>19.399999999999999</v>
      </c>
      <c r="D42" s="64">
        <v>24.83</v>
      </c>
      <c r="E42" s="64">
        <v>7.6</v>
      </c>
      <c r="F42" s="64">
        <v>3.95</v>
      </c>
      <c r="G42" s="64">
        <v>137.97</v>
      </c>
      <c r="H42" s="64">
        <v>65.489999999999995</v>
      </c>
      <c r="I42" s="64">
        <v>4.6100000000000003</v>
      </c>
      <c r="J42" s="64">
        <v>0.3</v>
      </c>
      <c r="K42" s="64">
        <v>357.72</v>
      </c>
      <c r="L42" s="64">
        <v>22.76</v>
      </c>
      <c r="M42" s="64">
        <v>68.66</v>
      </c>
      <c r="N42" s="64">
        <v>305.60000000000002</v>
      </c>
      <c r="O42" s="64">
        <v>0</v>
      </c>
      <c r="P42" s="64">
        <v>1.08</v>
      </c>
      <c r="Q42" s="64">
        <v>9.6300000000000008</v>
      </c>
      <c r="R42" s="196"/>
      <c r="S42" s="196"/>
      <c r="T42" s="196"/>
      <c r="U42" s="196"/>
    </row>
    <row r="43" spans="1:21" s="12" customFormat="1" x14ac:dyDescent="0.25">
      <c r="A43" s="211" t="s">
        <v>759</v>
      </c>
      <c r="B43" s="64">
        <v>20.75</v>
      </c>
      <c r="C43" s="64">
        <v>19.760000000000002</v>
      </c>
      <c r="D43" s="64">
        <v>25.59</v>
      </c>
      <c r="E43" s="64">
        <v>8.07</v>
      </c>
      <c r="F43" s="64">
        <v>4.24</v>
      </c>
      <c r="G43" s="64">
        <v>137.97</v>
      </c>
      <c r="H43" s="64">
        <v>65.489999999999995</v>
      </c>
      <c r="I43" s="64">
        <v>4.9800000000000004</v>
      </c>
      <c r="J43" s="64">
        <v>1.01</v>
      </c>
      <c r="K43" s="64">
        <v>335.58</v>
      </c>
      <c r="L43" s="64">
        <v>24.54</v>
      </c>
      <c r="M43" s="64">
        <v>60.15</v>
      </c>
      <c r="N43" s="64">
        <v>343.9</v>
      </c>
      <c r="O43" s="64">
        <v>0</v>
      </c>
      <c r="P43" s="64">
        <v>1.04</v>
      </c>
      <c r="Q43" s="64">
        <v>9.6300000000000008</v>
      </c>
      <c r="R43" s="196"/>
      <c r="S43" s="196"/>
      <c r="T43" s="196"/>
      <c r="U43" s="196"/>
    </row>
    <row r="44" spans="1:21" s="12" customFormat="1" x14ac:dyDescent="0.25">
      <c r="A44" s="211" t="s">
        <v>760</v>
      </c>
      <c r="B44" s="64">
        <v>21.62</v>
      </c>
      <c r="C44" s="64">
        <v>21.25</v>
      </c>
      <c r="D44" s="64">
        <v>27.06</v>
      </c>
      <c r="E44" s="64">
        <v>8.11</v>
      </c>
      <c r="F44" s="64">
        <v>4.21</v>
      </c>
      <c r="G44" s="64">
        <v>143.26</v>
      </c>
      <c r="H44" s="64">
        <v>73.2</v>
      </c>
      <c r="I44" s="64">
        <v>5.21</v>
      </c>
      <c r="J44" s="64">
        <v>1.29</v>
      </c>
      <c r="K44" s="64">
        <v>340.66</v>
      </c>
      <c r="L44" s="64">
        <v>25.84</v>
      </c>
      <c r="M44" s="64">
        <v>55.86</v>
      </c>
      <c r="N44" s="64">
        <v>384.7</v>
      </c>
      <c r="O44" s="64">
        <v>0</v>
      </c>
      <c r="P44" s="64">
        <v>0.99</v>
      </c>
      <c r="Q44" s="64">
        <v>9.6300000000000008</v>
      </c>
      <c r="R44" s="196"/>
      <c r="S44" s="196"/>
      <c r="T44" s="196"/>
      <c r="U44" s="196"/>
    </row>
    <row r="45" spans="1:21" s="12" customFormat="1" x14ac:dyDescent="0.25">
      <c r="A45" s="211" t="s">
        <v>761</v>
      </c>
      <c r="B45" s="64">
        <v>21.96</v>
      </c>
      <c r="C45" s="64">
        <v>22.52</v>
      </c>
      <c r="D45" s="64">
        <v>27.99</v>
      </c>
      <c r="E45" s="64">
        <v>8.15</v>
      </c>
      <c r="F45" s="64">
        <v>4.55</v>
      </c>
      <c r="G45" s="64">
        <v>158.66999999999999</v>
      </c>
      <c r="H45" s="64">
        <v>88.62</v>
      </c>
      <c r="I45" s="64">
        <v>5.28</v>
      </c>
      <c r="J45" s="64">
        <v>1.35</v>
      </c>
      <c r="K45" s="64">
        <v>339.41</v>
      </c>
      <c r="L45" s="64">
        <v>26.39</v>
      </c>
      <c r="M45" s="64">
        <v>54.42</v>
      </c>
      <c r="N45" s="64">
        <v>427.3</v>
      </c>
      <c r="O45" s="64">
        <v>0</v>
      </c>
      <c r="P45" s="64">
        <v>1.04</v>
      </c>
      <c r="Q45" s="64">
        <v>9.6300000000000008</v>
      </c>
      <c r="R45" s="196"/>
      <c r="S45" s="196"/>
      <c r="T45" s="196"/>
      <c r="U45" s="196"/>
    </row>
    <row r="46" spans="1:21" s="12" customFormat="1" x14ac:dyDescent="0.25">
      <c r="A46" s="211" t="s">
        <v>762</v>
      </c>
      <c r="B46" s="64">
        <v>22.1</v>
      </c>
      <c r="C46" s="64">
        <v>23.98</v>
      </c>
      <c r="D46" s="64">
        <v>28.88</v>
      </c>
      <c r="E46" s="64">
        <v>8.16</v>
      </c>
      <c r="F46" s="64">
        <v>4.5</v>
      </c>
      <c r="G46" s="64">
        <v>158.66999999999999</v>
      </c>
      <c r="H46" s="64">
        <v>88.62</v>
      </c>
      <c r="I46" s="64">
        <v>5.36</v>
      </c>
      <c r="J46" s="64">
        <v>0.86</v>
      </c>
      <c r="K46" s="64">
        <v>341.08</v>
      </c>
      <c r="L46" s="64">
        <v>27.01</v>
      </c>
      <c r="M46" s="64">
        <v>51.97</v>
      </c>
      <c r="N46" s="64">
        <v>465</v>
      </c>
      <c r="O46" s="64">
        <v>0</v>
      </c>
      <c r="P46" s="64">
        <v>1.06</v>
      </c>
      <c r="Q46" s="64">
        <v>9.6199999999999992</v>
      </c>
      <c r="R46" s="196"/>
      <c r="S46" s="196"/>
      <c r="T46" s="196"/>
      <c r="U46" s="196"/>
    </row>
    <row r="47" spans="1:21" s="12" customFormat="1" x14ac:dyDescent="0.25">
      <c r="A47" s="211" t="s">
        <v>763</v>
      </c>
      <c r="B47" s="64">
        <v>21.77</v>
      </c>
      <c r="C47" s="64">
        <v>25.2</v>
      </c>
      <c r="D47" s="64">
        <v>29.25</v>
      </c>
      <c r="E47" s="64">
        <v>7.62</v>
      </c>
      <c r="F47" s="64">
        <v>4.3600000000000003</v>
      </c>
      <c r="G47" s="64">
        <v>158.66999999999999</v>
      </c>
      <c r="H47" s="64">
        <v>88.62</v>
      </c>
      <c r="I47" s="64">
        <v>5.43</v>
      </c>
      <c r="J47" s="64">
        <v>1.52</v>
      </c>
      <c r="K47" s="64">
        <v>340.14</v>
      </c>
      <c r="L47" s="64">
        <v>27.39</v>
      </c>
      <c r="M47" s="64">
        <v>50.19</v>
      </c>
      <c r="N47" s="64">
        <v>490.5</v>
      </c>
      <c r="O47" s="64">
        <v>0</v>
      </c>
      <c r="P47" s="64">
        <v>1.06</v>
      </c>
      <c r="Q47" s="64">
        <v>9.6300000000000008</v>
      </c>
      <c r="R47" s="196"/>
      <c r="S47" s="196"/>
      <c r="T47" s="196"/>
      <c r="U47" s="196"/>
    </row>
    <row r="48" spans="1:21" s="12" customFormat="1" x14ac:dyDescent="0.25">
      <c r="A48" s="211" t="s">
        <v>764</v>
      </c>
      <c r="B48" s="64">
        <v>20.82</v>
      </c>
      <c r="C48" s="64">
        <v>26.33</v>
      </c>
      <c r="D48" s="64">
        <v>29.08</v>
      </c>
      <c r="E48" s="64">
        <v>7.55</v>
      </c>
      <c r="F48" s="64">
        <v>4.3</v>
      </c>
      <c r="G48" s="64">
        <v>156.26</v>
      </c>
      <c r="H48" s="64">
        <v>84.5</v>
      </c>
      <c r="I48" s="64">
        <v>5.41</v>
      </c>
      <c r="J48" s="64">
        <v>0.43</v>
      </c>
      <c r="K48" s="64">
        <v>55.6</v>
      </c>
      <c r="L48" s="64">
        <v>27.78</v>
      </c>
      <c r="M48" s="64">
        <v>48.32</v>
      </c>
      <c r="N48" s="64">
        <v>533</v>
      </c>
      <c r="O48" s="64">
        <v>0</v>
      </c>
      <c r="P48" s="64">
        <v>1.07</v>
      </c>
      <c r="Q48" s="64">
        <v>9.64</v>
      </c>
      <c r="R48" s="196"/>
      <c r="S48" s="196"/>
      <c r="T48" s="196"/>
      <c r="U48" s="196"/>
    </row>
    <row r="49" spans="1:21" s="12" customFormat="1" x14ac:dyDescent="0.25">
      <c r="A49" s="211" t="s">
        <v>765</v>
      </c>
      <c r="B49" s="64">
        <v>19.350000000000001</v>
      </c>
      <c r="C49" s="64">
        <v>26.69</v>
      </c>
      <c r="D49" s="64">
        <v>28.09</v>
      </c>
      <c r="E49" s="64">
        <v>7.64</v>
      </c>
      <c r="F49" s="64">
        <v>3.92</v>
      </c>
      <c r="G49" s="64">
        <v>149.22999999999999</v>
      </c>
      <c r="H49" s="64">
        <v>76.62</v>
      </c>
      <c r="I49" s="64">
        <v>5.37</v>
      </c>
      <c r="J49" s="64">
        <v>1.26</v>
      </c>
      <c r="K49" s="64">
        <v>127.59</v>
      </c>
      <c r="L49" s="64">
        <v>24.97</v>
      </c>
      <c r="M49" s="64">
        <v>55.24</v>
      </c>
      <c r="N49" s="64">
        <v>560</v>
      </c>
      <c r="O49" s="64">
        <v>0</v>
      </c>
      <c r="P49" s="64">
        <v>1.06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766</v>
      </c>
      <c r="B50" s="64">
        <v>17.05</v>
      </c>
      <c r="C50" s="64">
        <v>26.2</v>
      </c>
      <c r="D50" s="64">
        <v>25.99</v>
      </c>
      <c r="E50" s="64">
        <v>7.29</v>
      </c>
      <c r="F50" s="64">
        <v>4.37</v>
      </c>
      <c r="G50" s="64">
        <v>149.22999999999999</v>
      </c>
      <c r="H50" s="64">
        <v>76.62</v>
      </c>
      <c r="I50" s="64">
        <v>5.41</v>
      </c>
      <c r="J50" s="64">
        <v>1.1599999999999999</v>
      </c>
      <c r="K50" s="64">
        <v>113.07</v>
      </c>
      <c r="L50" s="64">
        <v>24.13</v>
      </c>
      <c r="M50" s="64">
        <v>55.75</v>
      </c>
      <c r="N50" s="64">
        <v>598</v>
      </c>
      <c r="O50" s="64">
        <v>0</v>
      </c>
      <c r="P50" s="64">
        <v>1.04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767</v>
      </c>
      <c r="B51" s="64">
        <v>14.8</v>
      </c>
      <c r="C51" s="64">
        <v>26.16</v>
      </c>
      <c r="D51" s="64">
        <v>24.16</v>
      </c>
      <c r="E51" s="64">
        <v>7.24</v>
      </c>
      <c r="F51" s="64">
        <v>4.3899999999999997</v>
      </c>
      <c r="G51" s="64">
        <v>149.22999999999999</v>
      </c>
      <c r="H51" s="64">
        <v>76.62</v>
      </c>
      <c r="I51" s="64">
        <v>5.63</v>
      </c>
      <c r="J51" s="64">
        <v>0.53</v>
      </c>
      <c r="K51" s="64">
        <v>102.27</v>
      </c>
      <c r="L51" s="64">
        <v>25.2</v>
      </c>
      <c r="M51" s="64">
        <v>52.25</v>
      </c>
      <c r="N51" s="64">
        <v>608.70000000000005</v>
      </c>
      <c r="O51" s="64">
        <v>0</v>
      </c>
      <c r="P51" s="64">
        <v>1.02</v>
      </c>
      <c r="Q51" s="64">
        <v>9.6300000000000008</v>
      </c>
      <c r="R51" s="196"/>
      <c r="S51" s="196"/>
      <c r="T51" s="196"/>
      <c r="U51" s="196"/>
    </row>
    <row r="52" spans="1:21" s="12" customFormat="1" x14ac:dyDescent="0.25">
      <c r="A52" s="211" t="s">
        <v>768</v>
      </c>
      <c r="B52" s="64">
        <v>11.91</v>
      </c>
      <c r="C52" s="64">
        <v>27.06</v>
      </c>
      <c r="D52" s="64">
        <v>22.31</v>
      </c>
      <c r="E52" s="64">
        <v>7.49</v>
      </c>
      <c r="F52" s="64">
        <v>5.8</v>
      </c>
      <c r="G52" s="64">
        <v>136.05000000000001</v>
      </c>
      <c r="H52" s="64">
        <v>69.739999999999995</v>
      </c>
      <c r="I52" s="64">
        <v>5.97</v>
      </c>
      <c r="J52" s="64">
        <v>0.51</v>
      </c>
      <c r="K52" s="64">
        <v>108.62</v>
      </c>
      <c r="L52" s="64">
        <v>26.76</v>
      </c>
      <c r="M52" s="64">
        <v>46.76</v>
      </c>
      <c r="N52" s="64">
        <v>649.9</v>
      </c>
      <c r="O52" s="64">
        <v>0</v>
      </c>
      <c r="P52" s="64">
        <v>0.95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769</v>
      </c>
      <c r="B53" s="64">
        <v>6.4</v>
      </c>
      <c r="C53" s="64">
        <v>29.87</v>
      </c>
      <c r="D53" s="64">
        <v>19.36</v>
      </c>
      <c r="E53" s="64">
        <v>8.07</v>
      </c>
      <c r="F53" s="64">
        <v>7.28</v>
      </c>
      <c r="G53" s="64">
        <v>97.66</v>
      </c>
      <c r="H53" s="64">
        <v>56.59</v>
      </c>
      <c r="I53" s="64">
        <v>6.09</v>
      </c>
      <c r="J53" s="64">
        <v>1.07</v>
      </c>
      <c r="K53" s="64">
        <v>129.5</v>
      </c>
      <c r="L53" s="64">
        <v>25.1</v>
      </c>
      <c r="M53" s="64">
        <v>49.74</v>
      </c>
      <c r="N53" s="64">
        <v>651.70000000000005</v>
      </c>
      <c r="O53" s="64">
        <v>0</v>
      </c>
      <c r="P53" s="64">
        <v>0.83</v>
      </c>
      <c r="Q53" s="64">
        <v>9.64</v>
      </c>
      <c r="R53" s="196"/>
      <c r="S53" s="196"/>
      <c r="T53" s="196"/>
      <c r="U53" s="196"/>
    </row>
    <row r="54" spans="1:21" s="12" customFormat="1" x14ac:dyDescent="0.25">
      <c r="A54" s="211" t="s">
        <v>770</v>
      </c>
      <c r="B54" s="64">
        <v>3.58</v>
      </c>
      <c r="C54" s="64">
        <v>29.03</v>
      </c>
      <c r="D54" s="64">
        <v>16.66</v>
      </c>
      <c r="E54" s="64">
        <v>8.34</v>
      </c>
      <c r="F54" s="64">
        <v>9.08</v>
      </c>
      <c r="G54" s="64">
        <v>97.66</v>
      </c>
      <c r="H54" s="64">
        <v>56.59</v>
      </c>
      <c r="I54" s="64">
        <v>5.47</v>
      </c>
      <c r="J54" s="64">
        <v>0.3</v>
      </c>
      <c r="K54" s="64">
        <v>33.01</v>
      </c>
      <c r="L54" s="64">
        <v>27.44</v>
      </c>
      <c r="M54" s="64">
        <v>43.77</v>
      </c>
      <c r="N54" s="64">
        <v>646.29999999999995</v>
      </c>
      <c r="O54" s="64">
        <v>0</v>
      </c>
      <c r="P54" s="64">
        <v>0.86</v>
      </c>
      <c r="Q54" s="64">
        <v>9.61</v>
      </c>
      <c r="R54" s="196"/>
      <c r="S54" s="196"/>
      <c r="T54" s="196"/>
      <c r="U54" s="196"/>
    </row>
    <row r="55" spans="1:21" s="12" customFormat="1" x14ac:dyDescent="0.25">
      <c r="A55" s="211" t="s">
        <v>771</v>
      </c>
      <c r="B55" s="64">
        <v>2.46</v>
      </c>
      <c r="C55" s="64">
        <v>28.17</v>
      </c>
      <c r="D55" s="64">
        <v>15.31</v>
      </c>
      <c r="E55" s="64">
        <v>8.42</v>
      </c>
      <c r="F55" s="64">
        <v>7.94</v>
      </c>
      <c r="G55" s="64">
        <v>97.66</v>
      </c>
      <c r="H55" s="64">
        <v>56.59</v>
      </c>
      <c r="I55" s="64">
        <v>5.25</v>
      </c>
      <c r="J55" s="64">
        <v>1.52</v>
      </c>
      <c r="K55" s="64">
        <v>128.43</v>
      </c>
      <c r="L55" s="64">
        <v>25.71</v>
      </c>
      <c r="M55" s="64">
        <v>47.47</v>
      </c>
      <c r="N55" s="64">
        <v>644.20000000000005</v>
      </c>
      <c r="O55" s="64">
        <v>0</v>
      </c>
      <c r="P55" s="64">
        <v>0.8</v>
      </c>
      <c r="Q55" s="64">
        <v>9.61</v>
      </c>
      <c r="R55" s="196"/>
      <c r="S55" s="196"/>
      <c r="T55" s="196"/>
      <c r="U55" s="196"/>
    </row>
    <row r="56" spans="1:21" s="12" customFormat="1" x14ac:dyDescent="0.25">
      <c r="A56" s="211" t="s">
        <v>772</v>
      </c>
      <c r="B56" s="64">
        <v>2.2599999999999998</v>
      </c>
      <c r="C56" s="64">
        <v>25.34</v>
      </c>
      <c r="D56" s="64">
        <v>13.67</v>
      </c>
      <c r="E56" s="64">
        <v>6.07</v>
      </c>
      <c r="F56" s="64">
        <v>5.78</v>
      </c>
      <c r="G56" s="64">
        <v>99.05</v>
      </c>
      <c r="H56" s="64">
        <v>51.49</v>
      </c>
      <c r="I56" s="64">
        <v>4.72</v>
      </c>
      <c r="J56" s="64">
        <v>1.19</v>
      </c>
      <c r="K56" s="64">
        <v>333.5</v>
      </c>
      <c r="L56" s="64">
        <v>27.48</v>
      </c>
      <c r="M56" s="64">
        <v>43.38</v>
      </c>
      <c r="N56" s="64">
        <v>609.5</v>
      </c>
      <c r="O56" s="64">
        <v>0</v>
      </c>
      <c r="P56" s="64">
        <v>0.79</v>
      </c>
      <c r="Q56" s="64">
        <v>9.6</v>
      </c>
      <c r="R56" s="196"/>
      <c r="S56" s="196"/>
      <c r="T56" s="196"/>
      <c r="U56" s="196"/>
    </row>
    <row r="57" spans="1:21" s="12" customFormat="1" x14ac:dyDescent="0.25">
      <c r="A57" s="211" t="s">
        <v>773</v>
      </c>
      <c r="B57" s="64">
        <v>2.7</v>
      </c>
      <c r="C57" s="64">
        <v>23.73</v>
      </c>
      <c r="D57" s="64">
        <v>13.18</v>
      </c>
      <c r="E57" s="64">
        <v>6.95</v>
      </c>
      <c r="F57" s="64">
        <v>5.8</v>
      </c>
      <c r="G57" s="64">
        <v>103.11</v>
      </c>
      <c r="H57" s="64">
        <v>36.51</v>
      </c>
      <c r="I57" s="64">
        <v>5.18</v>
      </c>
      <c r="J57" s="64">
        <v>0.4</v>
      </c>
      <c r="K57" s="64">
        <v>54.89</v>
      </c>
      <c r="L57" s="64">
        <v>27.72</v>
      </c>
      <c r="M57" s="64">
        <v>42.16</v>
      </c>
      <c r="N57" s="64">
        <v>609.5</v>
      </c>
      <c r="O57" s="64">
        <v>0</v>
      </c>
      <c r="P57" s="64">
        <v>0.73</v>
      </c>
      <c r="Q57" s="64">
        <v>9.61</v>
      </c>
      <c r="R57" s="196"/>
      <c r="S57" s="196"/>
      <c r="T57" s="196"/>
      <c r="U57" s="196"/>
    </row>
    <row r="58" spans="1:21" s="12" customFormat="1" x14ac:dyDescent="0.25">
      <c r="A58" s="211" t="s">
        <v>774</v>
      </c>
      <c r="B58" s="64">
        <v>2.9</v>
      </c>
      <c r="C58" s="64">
        <v>23.42</v>
      </c>
      <c r="D58" s="64">
        <v>13.19</v>
      </c>
      <c r="E58" s="64">
        <v>7.36</v>
      </c>
      <c r="F58" s="64">
        <v>6.31</v>
      </c>
      <c r="G58" s="64">
        <v>103.11</v>
      </c>
      <c r="H58" s="64">
        <v>36.51</v>
      </c>
      <c r="I58" s="64">
        <v>4.8899999999999997</v>
      </c>
      <c r="J58" s="64">
        <v>1.5</v>
      </c>
      <c r="K58" s="64">
        <v>333.76</v>
      </c>
      <c r="L58" s="64">
        <v>28.73</v>
      </c>
      <c r="M58" s="64">
        <v>39.340000000000003</v>
      </c>
      <c r="N58" s="64">
        <v>591</v>
      </c>
      <c r="O58" s="64">
        <v>0</v>
      </c>
      <c r="P58" s="64">
        <v>0.8</v>
      </c>
      <c r="Q58" s="64">
        <v>9.6199999999999992</v>
      </c>
      <c r="R58" s="196"/>
      <c r="S58" s="196"/>
      <c r="T58" s="196"/>
      <c r="U58" s="196"/>
    </row>
    <row r="59" spans="1:21" s="12" customFormat="1" x14ac:dyDescent="0.25">
      <c r="A59" s="211" t="s">
        <v>775</v>
      </c>
      <c r="B59" s="64">
        <v>2.74</v>
      </c>
      <c r="C59" s="64">
        <v>24.95</v>
      </c>
      <c r="D59" s="64">
        <v>13.86</v>
      </c>
      <c r="E59" s="64">
        <v>6.96</v>
      </c>
      <c r="F59" s="64">
        <v>7.22</v>
      </c>
      <c r="G59" s="64">
        <v>103.11</v>
      </c>
      <c r="H59" s="64">
        <v>36.51</v>
      </c>
      <c r="I59" s="64">
        <v>4.6500000000000004</v>
      </c>
      <c r="J59" s="64">
        <v>0.93</v>
      </c>
      <c r="K59" s="64">
        <v>112.13</v>
      </c>
      <c r="L59" s="64">
        <v>27.44</v>
      </c>
      <c r="M59" s="64">
        <v>41.59</v>
      </c>
      <c r="N59" s="64">
        <v>558.79999999999995</v>
      </c>
      <c r="O59" s="64">
        <v>0</v>
      </c>
      <c r="P59" s="64">
        <v>0.73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776</v>
      </c>
      <c r="B60" s="64">
        <v>2.56</v>
      </c>
      <c r="C60" s="64">
        <v>24.24</v>
      </c>
      <c r="D60" s="64">
        <v>13.34</v>
      </c>
      <c r="E60" s="64">
        <v>6.71</v>
      </c>
      <c r="F60" s="64">
        <v>6.21</v>
      </c>
      <c r="G60" s="64">
        <v>100.35</v>
      </c>
      <c r="H60" s="64">
        <v>32.619999999999997</v>
      </c>
      <c r="I60" s="64">
        <v>4.97</v>
      </c>
      <c r="J60" s="64">
        <v>0.65</v>
      </c>
      <c r="K60" s="64">
        <v>1.57</v>
      </c>
      <c r="L60" s="64">
        <v>26.77</v>
      </c>
      <c r="M60" s="64">
        <v>43.2</v>
      </c>
      <c r="N60" s="64">
        <v>491.1</v>
      </c>
      <c r="O60" s="64">
        <v>0</v>
      </c>
      <c r="P60" s="64">
        <v>0.75</v>
      </c>
      <c r="Q60" s="64">
        <v>9.61</v>
      </c>
      <c r="R60" s="196"/>
      <c r="S60" s="196"/>
      <c r="T60" s="196"/>
      <c r="U60" s="196"/>
    </row>
    <row r="61" spans="1:21" s="12" customFormat="1" x14ac:dyDescent="0.25">
      <c r="A61" s="211" t="s">
        <v>777</v>
      </c>
      <c r="B61" s="64">
        <v>2.76</v>
      </c>
      <c r="C61" s="64">
        <v>24.32</v>
      </c>
      <c r="D61" s="64">
        <v>13.55</v>
      </c>
      <c r="E61" s="64">
        <v>6.54</v>
      </c>
      <c r="F61" s="64">
        <v>6.56</v>
      </c>
      <c r="G61" s="64">
        <v>92.31</v>
      </c>
      <c r="H61" s="64">
        <v>21.28</v>
      </c>
      <c r="I61" s="64">
        <v>5.0199999999999996</v>
      </c>
      <c r="J61" s="64">
        <v>1.07</v>
      </c>
      <c r="K61" s="64">
        <v>341.13</v>
      </c>
      <c r="L61" s="64">
        <v>27.81</v>
      </c>
      <c r="M61" s="64">
        <v>41.36</v>
      </c>
      <c r="N61" s="64">
        <v>410.3</v>
      </c>
      <c r="O61" s="64">
        <v>0</v>
      </c>
      <c r="P61" s="64">
        <v>0.73</v>
      </c>
      <c r="Q61" s="64">
        <v>9.6199999999999992</v>
      </c>
      <c r="R61" s="196"/>
      <c r="S61" s="196"/>
      <c r="T61" s="196"/>
      <c r="U61" s="196"/>
    </row>
    <row r="62" spans="1:21" s="12" customFormat="1" x14ac:dyDescent="0.25">
      <c r="A62" s="211" t="s">
        <v>778</v>
      </c>
      <c r="B62" s="64">
        <v>2.83</v>
      </c>
      <c r="C62" s="64">
        <v>23.54</v>
      </c>
      <c r="D62" s="64">
        <v>13.19</v>
      </c>
      <c r="E62" s="64">
        <v>6.41</v>
      </c>
      <c r="F62" s="64">
        <v>5.97</v>
      </c>
      <c r="G62" s="64">
        <v>92.31</v>
      </c>
      <c r="H62" s="64">
        <v>21.28</v>
      </c>
      <c r="I62" s="64">
        <v>5.23</v>
      </c>
      <c r="J62" s="64">
        <v>0.37</v>
      </c>
      <c r="K62" s="64">
        <v>105.65</v>
      </c>
      <c r="L62" s="64">
        <v>26.93</v>
      </c>
      <c r="M62" s="64">
        <v>43.41</v>
      </c>
      <c r="N62" s="64">
        <v>331.8</v>
      </c>
      <c r="O62" s="64">
        <v>0</v>
      </c>
      <c r="P62" s="64">
        <v>0.73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779</v>
      </c>
      <c r="B63" s="64">
        <v>2.67</v>
      </c>
      <c r="C63" s="64">
        <v>23.01</v>
      </c>
      <c r="D63" s="64">
        <v>12.79</v>
      </c>
      <c r="E63" s="64">
        <v>6.73</v>
      </c>
      <c r="F63" s="64">
        <v>5.86</v>
      </c>
      <c r="G63" s="64">
        <v>92.31</v>
      </c>
      <c r="H63" s="64">
        <v>21.28</v>
      </c>
      <c r="I63" s="64">
        <v>5.19</v>
      </c>
      <c r="J63" s="64">
        <v>0.5</v>
      </c>
      <c r="K63" s="64">
        <v>347.49</v>
      </c>
      <c r="L63" s="64">
        <v>26.64</v>
      </c>
      <c r="M63" s="64">
        <v>42.49</v>
      </c>
      <c r="N63" s="64">
        <v>378.1</v>
      </c>
      <c r="O63" s="64">
        <v>0</v>
      </c>
      <c r="P63" s="64">
        <v>0.7</v>
      </c>
      <c r="Q63" s="64">
        <v>9.6199999999999992</v>
      </c>
      <c r="R63" s="196"/>
      <c r="S63" s="196"/>
      <c r="T63" s="196"/>
      <c r="U63" s="196"/>
    </row>
    <row r="64" spans="1:21" s="12" customFormat="1" x14ac:dyDescent="0.25">
      <c r="A64" s="211" t="s">
        <v>780</v>
      </c>
      <c r="B64" s="64">
        <v>2.69</v>
      </c>
      <c r="C64" s="64">
        <v>22.84</v>
      </c>
      <c r="D64" s="64">
        <v>12.71</v>
      </c>
      <c r="E64" s="64">
        <v>6.39</v>
      </c>
      <c r="F64" s="64">
        <v>5.6</v>
      </c>
      <c r="G64" s="64">
        <v>90.62</v>
      </c>
      <c r="H64" s="64">
        <v>16.82</v>
      </c>
      <c r="I64" s="64">
        <v>4.95</v>
      </c>
      <c r="J64" s="64">
        <v>0.54</v>
      </c>
      <c r="K64" s="64">
        <v>34.229999999999997</v>
      </c>
      <c r="L64" s="64">
        <v>27.03</v>
      </c>
      <c r="M64" s="64">
        <v>42.24</v>
      </c>
      <c r="N64" s="64">
        <v>289.7</v>
      </c>
      <c r="O64" s="64">
        <v>0</v>
      </c>
      <c r="P64" s="64">
        <v>0.71</v>
      </c>
      <c r="Q64" s="64">
        <v>9.6199999999999992</v>
      </c>
      <c r="R64" s="196"/>
      <c r="S64" s="196"/>
      <c r="T64" s="196"/>
      <c r="U64" s="196"/>
    </row>
    <row r="65" spans="1:21" s="12" customFormat="1" x14ac:dyDescent="0.25">
      <c r="A65" s="211" t="s">
        <v>781</v>
      </c>
      <c r="B65" s="64">
        <v>2.66</v>
      </c>
      <c r="C65" s="64">
        <v>22.6</v>
      </c>
      <c r="D65" s="64">
        <v>12.56</v>
      </c>
      <c r="E65" s="64">
        <v>6.45</v>
      </c>
      <c r="F65" s="64">
        <v>5.56</v>
      </c>
      <c r="G65" s="64">
        <v>85.72</v>
      </c>
      <c r="H65" s="64">
        <v>8.3000000000000007</v>
      </c>
      <c r="I65" s="64">
        <v>4.95</v>
      </c>
      <c r="J65" s="64">
        <v>0.56000000000000005</v>
      </c>
      <c r="K65" s="64">
        <v>21.22</v>
      </c>
      <c r="L65" s="64">
        <v>25.71</v>
      </c>
      <c r="M65" s="64">
        <v>45.25</v>
      </c>
      <c r="N65" s="64">
        <v>215.5</v>
      </c>
      <c r="O65" s="64">
        <v>0</v>
      </c>
      <c r="P65" s="64">
        <v>0.69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782</v>
      </c>
      <c r="B66" s="64">
        <v>2.63</v>
      </c>
      <c r="C66" s="64">
        <v>23.74</v>
      </c>
      <c r="D66" s="64">
        <v>13.14</v>
      </c>
      <c r="E66" s="64">
        <v>6.72</v>
      </c>
      <c r="F66" s="64">
        <v>11.29</v>
      </c>
      <c r="G66" s="64">
        <v>85.72</v>
      </c>
      <c r="H66" s="64">
        <v>8.3000000000000007</v>
      </c>
      <c r="I66" s="64">
        <v>5.31</v>
      </c>
      <c r="J66" s="64">
        <v>0.71</v>
      </c>
      <c r="K66" s="64">
        <v>355.47</v>
      </c>
      <c r="L66" s="64">
        <v>25.9</v>
      </c>
      <c r="M66" s="64">
        <v>46.08</v>
      </c>
      <c r="N66" s="64">
        <v>147.4</v>
      </c>
      <c r="O66" s="64">
        <v>0</v>
      </c>
      <c r="P66" s="64">
        <v>0.7</v>
      </c>
      <c r="Q66" s="64">
        <v>9.6199999999999992</v>
      </c>
      <c r="R66" s="196"/>
      <c r="S66" s="196"/>
      <c r="T66" s="196"/>
      <c r="U66" s="196"/>
    </row>
    <row r="67" spans="1:21" s="12" customFormat="1" x14ac:dyDescent="0.25">
      <c r="A67" s="211" t="s">
        <v>783</v>
      </c>
      <c r="B67" s="64">
        <v>2.08</v>
      </c>
      <c r="C67" s="64">
        <v>32.83</v>
      </c>
      <c r="D67" s="64">
        <v>17.440000000000001</v>
      </c>
      <c r="E67" s="64">
        <v>8.8800000000000008</v>
      </c>
      <c r="F67" s="64">
        <v>14.64</v>
      </c>
      <c r="G67" s="64">
        <v>85.72</v>
      </c>
      <c r="H67" s="64">
        <v>8.3000000000000007</v>
      </c>
      <c r="I67" s="64">
        <v>5.0599999999999996</v>
      </c>
      <c r="J67" s="64">
        <v>0.46</v>
      </c>
      <c r="K67" s="64">
        <v>32.479999999999997</v>
      </c>
      <c r="L67" s="64">
        <v>26.12</v>
      </c>
      <c r="M67" s="64">
        <v>44.93</v>
      </c>
      <c r="N67" s="64">
        <v>161.80000000000001</v>
      </c>
      <c r="O67" s="64">
        <v>0</v>
      </c>
      <c r="P67" s="64">
        <v>0.67</v>
      </c>
      <c r="Q67" s="64">
        <v>9.61</v>
      </c>
      <c r="R67" s="196"/>
      <c r="S67" s="196"/>
      <c r="T67" s="196"/>
      <c r="U67" s="196"/>
    </row>
    <row r="68" spans="1:21" s="12" customFormat="1" x14ac:dyDescent="0.25">
      <c r="A68" s="211" t="s">
        <v>784</v>
      </c>
      <c r="B68" s="64">
        <v>1.55</v>
      </c>
      <c r="C68" s="64">
        <v>31.29</v>
      </c>
      <c r="D68" s="64">
        <v>16.21</v>
      </c>
      <c r="E68" s="64">
        <v>11.19</v>
      </c>
      <c r="F68" s="64">
        <v>39.18</v>
      </c>
      <c r="G68" s="64">
        <v>84.26</v>
      </c>
      <c r="H68" s="64">
        <v>22.06</v>
      </c>
      <c r="I68" s="64">
        <v>4.21</v>
      </c>
      <c r="J68" s="64">
        <v>0.57999999999999996</v>
      </c>
      <c r="K68" s="64">
        <v>21.91</v>
      </c>
      <c r="L68" s="64">
        <v>25.33</v>
      </c>
      <c r="M68" s="64">
        <v>46.31</v>
      </c>
      <c r="N68" s="64">
        <v>156.9</v>
      </c>
      <c r="O68" s="64">
        <v>0</v>
      </c>
      <c r="P68" s="64">
        <v>0.52</v>
      </c>
      <c r="Q68" s="64">
        <v>9.6199999999999992</v>
      </c>
      <c r="R68" s="196"/>
      <c r="S68" s="196"/>
      <c r="T68" s="196"/>
      <c r="U68" s="196"/>
    </row>
    <row r="69" spans="1:21" s="12" customFormat="1" x14ac:dyDescent="0.25">
      <c r="A69" s="211" t="s">
        <v>785</v>
      </c>
      <c r="B69" s="64">
        <v>1.47</v>
      </c>
      <c r="C69" s="64">
        <v>30.99</v>
      </c>
      <c r="D69" s="64">
        <v>15.99</v>
      </c>
      <c r="E69" s="64">
        <v>10.51</v>
      </c>
      <c r="F69" s="64">
        <v>15.5</v>
      </c>
      <c r="G69" s="64">
        <v>80.02</v>
      </c>
      <c r="H69" s="64">
        <v>48.4</v>
      </c>
      <c r="I69" s="64">
        <v>3.19</v>
      </c>
      <c r="J69" s="64">
        <v>0.79</v>
      </c>
      <c r="K69" s="64">
        <v>336.43</v>
      </c>
      <c r="L69" s="64">
        <v>25.52</v>
      </c>
      <c r="M69" s="64">
        <v>45.66</v>
      </c>
      <c r="N69" s="64">
        <v>116.2</v>
      </c>
      <c r="O69" s="64">
        <v>0</v>
      </c>
      <c r="P69" s="64">
        <v>0.6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786</v>
      </c>
      <c r="B70" s="64">
        <v>1.77</v>
      </c>
      <c r="C70" s="64">
        <v>28.9</v>
      </c>
      <c r="D70" s="64">
        <v>15.14</v>
      </c>
      <c r="E70" s="64">
        <v>9.24</v>
      </c>
      <c r="F70" s="64">
        <v>12.26</v>
      </c>
      <c r="G70" s="64">
        <v>80.02</v>
      </c>
      <c r="H70" s="64">
        <v>48.4</v>
      </c>
      <c r="I70" s="64">
        <v>2.79</v>
      </c>
      <c r="J70" s="64">
        <v>0.62</v>
      </c>
      <c r="K70" s="64">
        <v>354.83</v>
      </c>
      <c r="L70" s="64">
        <v>25.4</v>
      </c>
      <c r="M70" s="64">
        <v>45.46</v>
      </c>
      <c r="N70" s="64">
        <v>111.2</v>
      </c>
      <c r="O70" s="64">
        <v>0</v>
      </c>
      <c r="P70" s="64">
        <v>0.65</v>
      </c>
      <c r="Q70" s="64">
        <v>9.6199999999999992</v>
      </c>
      <c r="R70" s="196"/>
      <c r="S70" s="196"/>
      <c r="T70" s="196"/>
      <c r="U70" s="196"/>
    </row>
    <row r="71" spans="1:21" s="12" customFormat="1" x14ac:dyDescent="0.25">
      <c r="A71" s="211" t="s">
        <v>787</v>
      </c>
      <c r="B71" s="64">
        <v>10.61</v>
      </c>
      <c r="C71" s="64">
        <v>40.14</v>
      </c>
      <c r="D71" s="64">
        <v>28.11</v>
      </c>
      <c r="E71" s="64">
        <v>8.94</v>
      </c>
      <c r="F71" s="64">
        <v>13.66</v>
      </c>
      <c r="G71" s="64">
        <v>80.02</v>
      </c>
      <c r="H71" s="64">
        <v>48.4</v>
      </c>
      <c r="I71" s="64">
        <v>2.44</v>
      </c>
      <c r="J71" s="64">
        <v>0.45</v>
      </c>
      <c r="K71" s="64">
        <v>346.55</v>
      </c>
      <c r="L71" s="64">
        <v>25.17</v>
      </c>
      <c r="M71" s="64">
        <v>46.05</v>
      </c>
      <c r="N71" s="64">
        <v>112</v>
      </c>
      <c r="O71" s="64">
        <v>0</v>
      </c>
      <c r="P71" s="64">
        <v>0.68</v>
      </c>
      <c r="Q71" s="64">
        <v>9.6300000000000008</v>
      </c>
      <c r="R71" s="196"/>
      <c r="S71" s="196"/>
      <c r="T71" s="196"/>
      <c r="U71" s="196"/>
    </row>
    <row r="72" spans="1:21" s="12" customFormat="1" x14ac:dyDescent="0.25">
      <c r="A72" s="211" t="s">
        <v>788</v>
      </c>
      <c r="B72" s="64">
        <v>29.59</v>
      </c>
      <c r="C72" s="64">
        <v>70.45</v>
      </c>
      <c r="D72" s="64">
        <v>59.15</v>
      </c>
      <c r="E72" s="64">
        <v>9.18</v>
      </c>
      <c r="F72" s="64">
        <v>7.21</v>
      </c>
      <c r="G72" s="64">
        <v>76.78</v>
      </c>
      <c r="H72" s="64">
        <v>55.05</v>
      </c>
      <c r="I72" s="64">
        <v>1.94</v>
      </c>
      <c r="J72" s="64">
        <v>0.53</v>
      </c>
      <c r="K72" s="64">
        <v>107.54</v>
      </c>
      <c r="L72" s="64">
        <v>24.75</v>
      </c>
      <c r="M72" s="64">
        <v>47.63</v>
      </c>
      <c r="N72" s="64">
        <v>89</v>
      </c>
      <c r="O72" s="64">
        <v>0</v>
      </c>
      <c r="P72" s="64">
        <v>0.6</v>
      </c>
      <c r="Q72" s="64">
        <v>9.6</v>
      </c>
      <c r="R72" s="196"/>
      <c r="S72" s="196"/>
      <c r="T72" s="196"/>
      <c r="U72" s="196"/>
    </row>
    <row r="73" spans="1:21" s="12" customFormat="1" x14ac:dyDescent="0.25">
      <c r="A73" s="211" t="s">
        <v>789</v>
      </c>
      <c r="B73" s="64">
        <v>24.97</v>
      </c>
      <c r="C73" s="64">
        <v>63.53</v>
      </c>
      <c r="D73" s="64">
        <v>51.84</v>
      </c>
      <c r="E73" s="64">
        <v>8.2899999999999991</v>
      </c>
      <c r="F73" s="64">
        <v>6.57</v>
      </c>
      <c r="G73" s="64">
        <v>67.349999999999994</v>
      </c>
      <c r="H73" s="64">
        <v>81.66</v>
      </c>
      <c r="I73" s="64">
        <v>1.91</v>
      </c>
      <c r="J73" s="64">
        <v>0.44</v>
      </c>
      <c r="K73" s="64">
        <v>93.91</v>
      </c>
      <c r="L73" s="64">
        <v>24.27</v>
      </c>
      <c r="M73" s="64">
        <v>48.47</v>
      </c>
      <c r="N73" s="64">
        <v>70.599999999999994</v>
      </c>
      <c r="O73" s="64">
        <v>0</v>
      </c>
      <c r="P73" s="64">
        <v>0.63</v>
      </c>
      <c r="Q73" s="64">
        <v>9.61</v>
      </c>
      <c r="R73" s="196"/>
      <c r="S73" s="196"/>
      <c r="T73" s="196"/>
      <c r="U73" s="196"/>
    </row>
    <row r="74" spans="1:21" s="12" customFormat="1" x14ac:dyDescent="0.25">
      <c r="A74" s="211" t="s">
        <v>790</v>
      </c>
      <c r="B74" s="64">
        <v>21.96</v>
      </c>
      <c r="C74" s="64">
        <v>55.32</v>
      </c>
      <c r="D74" s="64">
        <v>45.14</v>
      </c>
      <c r="E74" s="64">
        <v>7.95</v>
      </c>
      <c r="F74" s="64">
        <v>6.71</v>
      </c>
      <c r="G74" s="64">
        <v>67.349999999999994</v>
      </c>
      <c r="H74" s="64">
        <v>81.66</v>
      </c>
      <c r="I74" s="64">
        <v>1.75</v>
      </c>
      <c r="J74" s="64">
        <v>0.28000000000000003</v>
      </c>
      <c r="K74" s="64">
        <v>103.14</v>
      </c>
      <c r="L74" s="64">
        <v>23.95</v>
      </c>
      <c r="M74" s="64">
        <v>48.33</v>
      </c>
      <c r="N74" s="64">
        <v>61.3</v>
      </c>
      <c r="O74" s="64">
        <v>0</v>
      </c>
      <c r="P74" s="64">
        <v>0.65</v>
      </c>
      <c r="Q74" s="64">
        <v>9.6300000000000008</v>
      </c>
      <c r="R74" s="196"/>
      <c r="S74" s="196"/>
      <c r="T74" s="196"/>
      <c r="U74" s="196"/>
    </row>
    <row r="75" spans="1:21" s="12" customFormat="1" x14ac:dyDescent="0.25">
      <c r="A75" s="211" t="s">
        <v>791</v>
      </c>
      <c r="B75" s="64">
        <v>17.940000000000001</v>
      </c>
      <c r="C75" s="64">
        <v>49.98</v>
      </c>
      <c r="D75" s="64">
        <v>39.119999999999997</v>
      </c>
      <c r="E75" s="64">
        <v>7.55</v>
      </c>
      <c r="F75" s="64">
        <v>6.36</v>
      </c>
      <c r="G75" s="64">
        <v>67.349999999999994</v>
      </c>
      <c r="H75" s="64">
        <v>81.66</v>
      </c>
      <c r="I75" s="64">
        <v>2</v>
      </c>
      <c r="J75" s="64">
        <v>1.07</v>
      </c>
      <c r="K75" s="64">
        <v>118.14</v>
      </c>
      <c r="L75" s="64">
        <v>23.63</v>
      </c>
      <c r="M75" s="64">
        <v>50.3</v>
      </c>
      <c r="N75" s="64">
        <v>51.1</v>
      </c>
      <c r="O75" s="64">
        <v>0</v>
      </c>
      <c r="P75" s="64">
        <v>0.57999999999999996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792</v>
      </c>
      <c r="B76" s="64">
        <v>13.76</v>
      </c>
      <c r="C76" s="64">
        <v>45.73</v>
      </c>
      <c r="D76" s="64">
        <v>33.549999999999997</v>
      </c>
      <c r="E76" s="64">
        <v>7.18</v>
      </c>
      <c r="F76" s="64">
        <v>11.46</v>
      </c>
      <c r="G76" s="64">
        <v>63.83</v>
      </c>
      <c r="H76" s="64">
        <v>53.96</v>
      </c>
      <c r="I76" s="64">
        <v>2.2400000000000002</v>
      </c>
      <c r="J76" s="64">
        <v>0.99</v>
      </c>
      <c r="K76" s="64">
        <v>112.31</v>
      </c>
      <c r="L76" s="64">
        <v>23.37</v>
      </c>
      <c r="M76" s="64">
        <v>51.87</v>
      </c>
      <c r="N76" s="64">
        <v>41.5</v>
      </c>
      <c r="O76" s="64">
        <v>0</v>
      </c>
      <c r="P76" s="64">
        <v>0.54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793</v>
      </c>
      <c r="B77" s="64">
        <v>7.55</v>
      </c>
      <c r="C77" s="64">
        <v>45.15</v>
      </c>
      <c r="D77" s="64">
        <v>28.27</v>
      </c>
      <c r="E77" s="64">
        <v>7.18</v>
      </c>
      <c r="F77" s="64">
        <v>7.08</v>
      </c>
      <c r="G77" s="64">
        <v>53.59</v>
      </c>
      <c r="H77" s="64">
        <v>0.98</v>
      </c>
      <c r="I77" s="64">
        <v>2.04</v>
      </c>
      <c r="J77" s="64">
        <v>1.0900000000000001</v>
      </c>
      <c r="K77" s="64">
        <v>115.05</v>
      </c>
      <c r="L77" s="64">
        <v>23.18</v>
      </c>
      <c r="M77" s="64">
        <v>52.98</v>
      </c>
      <c r="N77" s="64">
        <v>33.799999999999997</v>
      </c>
      <c r="O77" s="64">
        <v>0</v>
      </c>
      <c r="P77" s="64">
        <v>0.61</v>
      </c>
      <c r="Q77" s="64">
        <v>9.6300000000000008</v>
      </c>
      <c r="R77" s="196"/>
      <c r="S77" s="196"/>
      <c r="T77" s="196"/>
      <c r="U77" s="196"/>
    </row>
    <row r="78" spans="1:21" s="12" customFormat="1" x14ac:dyDescent="0.25">
      <c r="A78" s="211" t="s">
        <v>794</v>
      </c>
      <c r="B78" s="64">
        <v>4.8</v>
      </c>
      <c r="C78" s="64">
        <v>40.840000000000003</v>
      </c>
      <c r="D78" s="64">
        <v>23.8</v>
      </c>
      <c r="E78" s="64">
        <v>6.67</v>
      </c>
      <c r="F78" s="64">
        <v>6.35</v>
      </c>
      <c r="G78" s="64">
        <v>53.59</v>
      </c>
      <c r="H78" s="64">
        <v>0.98</v>
      </c>
      <c r="I78" s="64">
        <v>2.25</v>
      </c>
      <c r="J78" s="64">
        <v>0.64</v>
      </c>
      <c r="K78" s="64">
        <v>116.46</v>
      </c>
      <c r="L78" s="64">
        <v>22.87</v>
      </c>
      <c r="M78" s="64">
        <v>55.56</v>
      </c>
      <c r="N78" s="64">
        <v>28.6</v>
      </c>
      <c r="O78" s="64">
        <v>0</v>
      </c>
      <c r="P78" s="64">
        <v>0.59</v>
      </c>
      <c r="Q78" s="64">
        <v>9.6199999999999992</v>
      </c>
      <c r="R78" s="196"/>
      <c r="S78" s="196"/>
      <c r="T78" s="196"/>
      <c r="U78" s="196"/>
    </row>
    <row r="79" spans="1:21" s="12" customFormat="1" x14ac:dyDescent="0.25">
      <c r="A79" s="211" t="s">
        <v>795</v>
      </c>
      <c r="B79" s="64">
        <v>3.7</v>
      </c>
      <c r="C79" s="64">
        <v>36.74</v>
      </c>
      <c r="D79" s="64">
        <v>20.79</v>
      </c>
      <c r="E79" s="64">
        <v>6.1</v>
      </c>
      <c r="F79" s="64">
        <v>6.07</v>
      </c>
      <c r="G79" s="64">
        <v>53.59</v>
      </c>
      <c r="H79" s="64">
        <v>0.98</v>
      </c>
      <c r="I79" s="64">
        <v>3.08</v>
      </c>
      <c r="J79" s="64">
        <v>0.81</v>
      </c>
      <c r="K79" s="64">
        <v>118.41</v>
      </c>
      <c r="L79" s="64">
        <v>22.59</v>
      </c>
      <c r="M79" s="64">
        <v>55.96</v>
      </c>
      <c r="N79" s="64">
        <v>26.2</v>
      </c>
      <c r="O79" s="64">
        <v>0</v>
      </c>
      <c r="P79" s="64">
        <v>0.6</v>
      </c>
      <c r="Q79" s="64">
        <v>9.6199999999999992</v>
      </c>
      <c r="R79" s="196"/>
      <c r="S79" s="196"/>
      <c r="T79" s="196"/>
      <c r="U79" s="196"/>
    </row>
    <row r="80" spans="1:21" s="12" customFormat="1" x14ac:dyDescent="0.25">
      <c r="A80" s="211" t="s">
        <v>796</v>
      </c>
      <c r="B80" s="64">
        <v>3.12</v>
      </c>
      <c r="C80" s="64">
        <v>32.590000000000003</v>
      </c>
      <c r="D80" s="64">
        <v>18.149999999999999</v>
      </c>
      <c r="E80" s="64">
        <v>5.94</v>
      </c>
      <c r="F80" s="64">
        <v>6.24</v>
      </c>
      <c r="G80" s="64">
        <v>62.21</v>
      </c>
      <c r="H80" s="64">
        <v>23.4</v>
      </c>
      <c r="I80" s="64">
        <v>3.54</v>
      </c>
      <c r="J80" s="64">
        <v>0.89</v>
      </c>
      <c r="K80" s="64">
        <v>123.02</v>
      </c>
      <c r="L80" s="64">
        <v>22.4</v>
      </c>
      <c r="M80" s="64">
        <v>57.7</v>
      </c>
      <c r="N80" s="64">
        <v>26.1</v>
      </c>
      <c r="O80" s="64">
        <v>0</v>
      </c>
      <c r="P80" s="64">
        <v>0.61</v>
      </c>
      <c r="Q80" s="64">
        <v>9.61</v>
      </c>
      <c r="R80" s="196"/>
      <c r="S80" s="196"/>
      <c r="T80" s="196"/>
      <c r="U80" s="196"/>
    </row>
    <row r="81" spans="1:26" s="12" customFormat="1" x14ac:dyDescent="0.25">
      <c r="A81" s="211" t="s">
        <v>797</v>
      </c>
      <c r="B81" s="64">
        <v>2.78</v>
      </c>
      <c r="C81" s="64">
        <v>29.52</v>
      </c>
      <c r="D81" s="64">
        <v>16.28</v>
      </c>
      <c r="E81" s="64">
        <v>5.82</v>
      </c>
      <c r="F81" s="64">
        <v>6.27</v>
      </c>
      <c r="G81" s="64">
        <v>87.34</v>
      </c>
      <c r="H81" s="64">
        <v>66.3</v>
      </c>
      <c r="I81" s="64">
        <v>3.58</v>
      </c>
      <c r="J81" s="64">
        <v>0.74</v>
      </c>
      <c r="K81" s="64">
        <v>116.05</v>
      </c>
      <c r="L81" s="64">
        <v>22.31</v>
      </c>
      <c r="M81" s="64">
        <v>57.23</v>
      </c>
      <c r="N81" s="64">
        <v>25.9</v>
      </c>
      <c r="O81" s="64">
        <v>0</v>
      </c>
      <c r="P81" s="64">
        <v>0.62</v>
      </c>
      <c r="Q81" s="64">
        <v>9.6199999999999992</v>
      </c>
      <c r="R81" s="196"/>
      <c r="S81" s="196"/>
      <c r="T81" s="196"/>
      <c r="U81" s="196"/>
    </row>
    <row r="82" spans="1:26" s="12" customFormat="1" x14ac:dyDescent="0.25">
      <c r="A82" s="211" t="s">
        <v>798</v>
      </c>
      <c r="B82" s="64">
        <v>2.62</v>
      </c>
      <c r="C82" s="64">
        <v>27.17</v>
      </c>
      <c r="D82" s="64">
        <v>14.92</v>
      </c>
      <c r="E82" s="64">
        <v>5.72</v>
      </c>
      <c r="F82" s="64">
        <v>6.32</v>
      </c>
      <c r="G82" s="64">
        <v>87.34</v>
      </c>
      <c r="H82" s="64">
        <v>66.3</v>
      </c>
      <c r="I82" s="64">
        <v>3.17</v>
      </c>
      <c r="J82" s="64">
        <v>0.47</v>
      </c>
      <c r="K82" s="64">
        <v>109.72</v>
      </c>
      <c r="L82" s="64">
        <v>22.05</v>
      </c>
      <c r="M82" s="64">
        <v>58.81</v>
      </c>
      <c r="N82" s="64">
        <v>26.1</v>
      </c>
      <c r="O82" s="64">
        <v>0</v>
      </c>
      <c r="P82" s="64">
        <v>0.68</v>
      </c>
      <c r="Q82" s="64">
        <v>9.6300000000000008</v>
      </c>
      <c r="R82" s="196"/>
      <c r="S82" s="196"/>
      <c r="T82" s="196"/>
      <c r="U82" s="196"/>
    </row>
    <row r="83" spans="1:26" s="12" customFormat="1" x14ac:dyDescent="0.25">
      <c r="A83" s="211" t="s">
        <v>799</v>
      </c>
      <c r="B83" s="64">
        <v>2.52</v>
      </c>
      <c r="C83" s="64">
        <v>25.38</v>
      </c>
      <c r="D83" s="64">
        <v>13.91</v>
      </c>
      <c r="E83" s="64">
        <v>5.76</v>
      </c>
      <c r="F83" s="64">
        <v>6.09</v>
      </c>
      <c r="G83" s="64">
        <v>87.34</v>
      </c>
      <c r="H83" s="64">
        <v>66.3</v>
      </c>
      <c r="I83" s="64">
        <v>2.93</v>
      </c>
      <c r="J83" s="64">
        <v>0.23</v>
      </c>
      <c r="K83" s="64">
        <v>80.44</v>
      </c>
      <c r="L83" s="64">
        <v>21.82</v>
      </c>
      <c r="M83" s="64">
        <v>60.33</v>
      </c>
      <c r="N83" s="64">
        <v>26.1</v>
      </c>
      <c r="O83" s="64">
        <v>0</v>
      </c>
      <c r="P83" s="64">
        <v>0.71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800</v>
      </c>
      <c r="B84" s="64">
        <v>2.54</v>
      </c>
      <c r="C84" s="64">
        <v>23.71</v>
      </c>
      <c r="D84" s="64">
        <v>13.05</v>
      </c>
      <c r="E84" s="64">
        <v>5.52</v>
      </c>
      <c r="F84" s="64">
        <v>5.6</v>
      </c>
      <c r="G84" s="64">
        <v>88.86</v>
      </c>
      <c r="H84" s="64">
        <v>64.680000000000007</v>
      </c>
      <c r="I84" s="64">
        <v>3.19</v>
      </c>
      <c r="J84" s="64">
        <v>0.87</v>
      </c>
      <c r="K84" s="64">
        <v>115.61</v>
      </c>
      <c r="L84" s="64">
        <v>21.83</v>
      </c>
      <c r="M84" s="64">
        <v>60.17</v>
      </c>
      <c r="N84" s="64">
        <v>25.6</v>
      </c>
      <c r="O84" s="64">
        <v>0</v>
      </c>
      <c r="P84" s="64">
        <v>0.7</v>
      </c>
      <c r="Q84" s="64">
        <v>9.6199999999999992</v>
      </c>
      <c r="R84" s="196"/>
      <c r="S84" s="196"/>
      <c r="T84" s="196"/>
      <c r="U84" s="196"/>
    </row>
    <row r="85" spans="1:26" s="12" customFormat="1" x14ac:dyDescent="0.25">
      <c r="A85" s="211" t="s">
        <v>801</v>
      </c>
      <c r="B85" s="64">
        <v>2.5</v>
      </c>
      <c r="C85" s="64">
        <v>23.42</v>
      </c>
      <c r="D85" s="64">
        <v>12.87</v>
      </c>
      <c r="E85" s="64">
        <v>5.52</v>
      </c>
      <c r="F85" s="64">
        <v>5.58</v>
      </c>
      <c r="G85" s="64">
        <v>93.28</v>
      </c>
      <c r="H85" s="64">
        <v>61.58</v>
      </c>
      <c r="I85" s="64">
        <v>3.61</v>
      </c>
      <c r="J85" s="64">
        <v>0.52</v>
      </c>
      <c r="K85" s="64">
        <v>99.57</v>
      </c>
      <c r="L85" s="64">
        <v>21.69</v>
      </c>
      <c r="M85" s="64">
        <v>61.18</v>
      </c>
      <c r="N85" s="64">
        <v>26</v>
      </c>
      <c r="O85" s="64">
        <v>0</v>
      </c>
      <c r="P85" s="64">
        <v>0.68</v>
      </c>
      <c r="Q85" s="64">
        <v>9.61</v>
      </c>
      <c r="R85" s="196"/>
      <c r="S85" s="196"/>
      <c r="T85" s="196"/>
      <c r="U85" s="196"/>
    </row>
    <row r="86" spans="1:26" s="12" customFormat="1" x14ac:dyDescent="0.25">
      <c r="A86" s="211" t="s">
        <v>802</v>
      </c>
      <c r="B86" s="64">
        <v>2.52</v>
      </c>
      <c r="C86" s="64">
        <v>22.69</v>
      </c>
      <c r="D86" s="64">
        <v>12.5</v>
      </c>
      <c r="E86" s="64">
        <v>5.48</v>
      </c>
      <c r="F86" s="64">
        <v>6.17</v>
      </c>
      <c r="G86" s="64">
        <v>93.28</v>
      </c>
      <c r="H86" s="64">
        <v>61.58</v>
      </c>
      <c r="I86" s="64">
        <v>4.09</v>
      </c>
      <c r="J86" s="64">
        <v>0.54</v>
      </c>
      <c r="K86" s="64">
        <v>113.97</v>
      </c>
      <c r="L86" s="64">
        <v>21.48</v>
      </c>
      <c r="M86" s="64">
        <v>62.69</v>
      </c>
      <c r="N86" s="64">
        <v>26</v>
      </c>
      <c r="O86" s="64">
        <v>0</v>
      </c>
      <c r="P86" s="64">
        <v>0.81</v>
      </c>
      <c r="Q86" s="64">
        <v>9.6199999999999992</v>
      </c>
      <c r="R86" s="196"/>
      <c r="S86" s="196"/>
      <c r="T86" s="196"/>
      <c r="U86" s="196"/>
    </row>
    <row r="87" spans="1:26" s="12" customFormat="1" x14ac:dyDescent="0.25">
      <c r="A87" s="211" t="s">
        <v>803</v>
      </c>
      <c r="B87" s="64">
        <v>2.6</v>
      </c>
      <c r="C87" s="64">
        <v>20.420000000000002</v>
      </c>
      <c r="D87" s="64">
        <v>11.38</v>
      </c>
      <c r="E87" s="64">
        <v>5.21</v>
      </c>
      <c r="F87" s="64">
        <v>6.45</v>
      </c>
      <c r="G87" s="64">
        <v>93.28</v>
      </c>
      <c r="H87" s="64">
        <v>61.58</v>
      </c>
      <c r="I87" s="64">
        <v>3.64</v>
      </c>
      <c r="J87" s="64">
        <v>0.89</v>
      </c>
      <c r="K87" s="64">
        <v>108.18</v>
      </c>
      <c r="L87" s="64">
        <v>21.51</v>
      </c>
      <c r="M87" s="64">
        <v>62.88</v>
      </c>
      <c r="N87" s="64">
        <v>25.6</v>
      </c>
      <c r="O87" s="64">
        <v>0</v>
      </c>
      <c r="P87" s="64">
        <v>0.75</v>
      </c>
      <c r="Q87" s="64">
        <v>9.61</v>
      </c>
      <c r="R87" s="196"/>
      <c r="S87" s="196"/>
      <c r="T87" s="196"/>
      <c r="U87" s="196"/>
    </row>
    <row r="88" spans="1:26" s="12" customFormat="1" x14ac:dyDescent="0.25">
      <c r="A88" s="211" t="s">
        <v>804</v>
      </c>
      <c r="B88" s="64">
        <v>2.73</v>
      </c>
      <c r="C88" s="64">
        <v>20.260000000000002</v>
      </c>
      <c r="D88" s="64">
        <v>11.39</v>
      </c>
      <c r="E88" s="64">
        <v>5.76</v>
      </c>
      <c r="F88" s="64">
        <v>6.22</v>
      </c>
      <c r="G88" s="64">
        <v>92.7</v>
      </c>
      <c r="H88" s="64">
        <v>59.72</v>
      </c>
      <c r="I88" s="64">
        <v>3.15</v>
      </c>
      <c r="J88" s="64">
        <v>0.6</v>
      </c>
      <c r="K88" s="64">
        <v>116.81</v>
      </c>
      <c r="L88" s="64">
        <v>21.45</v>
      </c>
      <c r="M88" s="64">
        <v>62.63</v>
      </c>
      <c r="N88" s="64">
        <v>25.8</v>
      </c>
      <c r="O88" s="64">
        <v>0</v>
      </c>
      <c r="P88" s="64">
        <v>0.79</v>
      </c>
      <c r="Q88" s="64">
        <v>9.6199999999999992</v>
      </c>
      <c r="R88" s="196"/>
      <c r="S88" s="196"/>
      <c r="T88" s="196"/>
      <c r="U88" s="196"/>
    </row>
    <row r="89" spans="1:26" s="12" customFormat="1" x14ac:dyDescent="0.25">
      <c r="A89" s="211" t="s">
        <v>805</v>
      </c>
      <c r="B89" s="64">
        <v>2.84</v>
      </c>
      <c r="C89" s="64">
        <v>20.37</v>
      </c>
      <c r="D89" s="64">
        <v>11.54</v>
      </c>
      <c r="E89" s="64">
        <v>5.51</v>
      </c>
      <c r="F89" s="64">
        <v>5.76</v>
      </c>
      <c r="G89" s="64">
        <v>90.99</v>
      </c>
      <c r="H89" s="64">
        <v>52.29</v>
      </c>
      <c r="I89" s="64">
        <v>3.17</v>
      </c>
      <c r="J89" s="64">
        <v>0.53</v>
      </c>
      <c r="K89" s="64">
        <v>100.2</v>
      </c>
      <c r="L89" s="64">
        <v>21.14</v>
      </c>
      <c r="M89" s="64">
        <v>64.680000000000007</v>
      </c>
      <c r="N89" s="64">
        <v>26.1</v>
      </c>
      <c r="O89" s="64">
        <v>0</v>
      </c>
      <c r="P89" s="64">
        <v>0.93</v>
      </c>
      <c r="Q89" s="64">
        <v>9.6300000000000008</v>
      </c>
      <c r="R89" s="196"/>
      <c r="S89" s="196"/>
      <c r="T89" s="196"/>
      <c r="U89" s="196"/>
    </row>
    <row r="90" spans="1:26" s="12" customFormat="1" x14ac:dyDescent="0.25">
      <c r="A90" s="211" t="s">
        <v>806</v>
      </c>
      <c r="B90" s="64">
        <v>2.97</v>
      </c>
      <c r="C90" s="64">
        <v>20.02</v>
      </c>
      <c r="D90" s="64">
        <v>11.46</v>
      </c>
      <c r="E90" s="64">
        <v>5.59</v>
      </c>
      <c r="F90" s="64">
        <v>5.63</v>
      </c>
      <c r="G90" s="64">
        <v>90.99</v>
      </c>
      <c r="H90" s="64">
        <v>52.29</v>
      </c>
      <c r="I90" s="64">
        <v>3.3</v>
      </c>
      <c r="J90" s="64">
        <v>0.56999999999999995</v>
      </c>
      <c r="K90" s="64">
        <v>130.03</v>
      </c>
      <c r="L90" s="64">
        <v>20.89</v>
      </c>
      <c r="M90" s="64">
        <v>66.13</v>
      </c>
      <c r="N90" s="64">
        <v>26</v>
      </c>
      <c r="O90" s="64">
        <v>0</v>
      </c>
      <c r="P90" s="64">
        <v>0.89</v>
      </c>
      <c r="Q90" s="64">
        <v>9.6300000000000008</v>
      </c>
      <c r="R90" s="196"/>
      <c r="S90" s="196"/>
      <c r="T90" s="196"/>
      <c r="U90" s="196"/>
    </row>
    <row r="91" spans="1:26" s="12" customFormat="1" x14ac:dyDescent="0.25">
      <c r="A91" s="211" t="s">
        <v>807</v>
      </c>
      <c r="B91" s="64">
        <v>3.04</v>
      </c>
      <c r="C91" s="64">
        <v>19.73</v>
      </c>
      <c r="D91" s="64">
        <v>11.37</v>
      </c>
      <c r="E91" s="64">
        <v>5.69</v>
      </c>
      <c r="F91" s="64">
        <v>5.96</v>
      </c>
      <c r="G91" s="64">
        <v>90.99</v>
      </c>
      <c r="H91" s="64">
        <v>52.29</v>
      </c>
      <c r="I91" s="64">
        <v>3.53</v>
      </c>
      <c r="J91" s="64">
        <v>0.82</v>
      </c>
      <c r="K91" s="64">
        <v>124.8</v>
      </c>
      <c r="L91" s="64">
        <v>20.98</v>
      </c>
      <c r="M91" s="64">
        <v>65.92</v>
      </c>
      <c r="N91" s="64">
        <v>25.6</v>
      </c>
      <c r="O91" s="64">
        <v>0</v>
      </c>
      <c r="P91" s="64">
        <v>0.81</v>
      </c>
      <c r="Q91" s="64">
        <v>9.6300000000000008</v>
      </c>
      <c r="R91" s="196"/>
      <c r="S91" s="196"/>
      <c r="T91" s="196"/>
      <c r="U91" s="196"/>
    </row>
    <row r="92" spans="1:26" s="12" customFormat="1" x14ac:dyDescent="0.25">
      <c r="A92" s="211" t="s">
        <v>808</v>
      </c>
      <c r="B92" s="64">
        <v>3.1</v>
      </c>
      <c r="C92" s="64">
        <v>19.489999999999998</v>
      </c>
      <c r="D92" s="64">
        <v>11.29</v>
      </c>
      <c r="E92" s="64">
        <v>5.53</v>
      </c>
      <c r="F92" s="64">
        <v>6.52</v>
      </c>
      <c r="G92" s="64">
        <v>94.23</v>
      </c>
      <c r="H92" s="64">
        <v>53.67</v>
      </c>
      <c r="I92" s="64">
        <v>3.38</v>
      </c>
      <c r="J92" s="64">
        <v>0.32</v>
      </c>
      <c r="K92" s="64">
        <v>157.03</v>
      </c>
      <c r="L92" s="64">
        <v>20.87</v>
      </c>
      <c r="M92" s="64">
        <v>67.11</v>
      </c>
      <c r="N92" s="64">
        <v>26</v>
      </c>
      <c r="O92" s="64">
        <v>0</v>
      </c>
      <c r="P92" s="64">
        <v>0.79</v>
      </c>
      <c r="Q92" s="64">
        <v>9.6199999999999992</v>
      </c>
      <c r="R92" s="196"/>
      <c r="S92" s="196"/>
      <c r="T92" s="196"/>
      <c r="U92" s="196"/>
    </row>
    <row r="93" spans="1:26" s="12" customFormat="1" x14ac:dyDescent="0.25">
      <c r="A93" s="211" t="s">
        <v>809</v>
      </c>
      <c r="B93" s="64">
        <v>3.16</v>
      </c>
      <c r="C93" s="64">
        <v>19.68</v>
      </c>
      <c r="D93" s="64">
        <v>11.44</v>
      </c>
      <c r="E93" s="64">
        <v>5.71</v>
      </c>
      <c r="F93" s="64">
        <v>5.92</v>
      </c>
      <c r="G93" s="64">
        <v>103.67</v>
      </c>
      <c r="H93" s="64">
        <v>56.29</v>
      </c>
      <c r="I93" s="64">
        <v>3.24</v>
      </c>
      <c r="J93" s="64">
        <v>0.26</v>
      </c>
      <c r="K93" s="64">
        <v>60.91</v>
      </c>
      <c r="L93" s="64">
        <v>20.67</v>
      </c>
      <c r="M93" s="64">
        <v>68.66</v>
      </c>
      <c r="N93" s="64">
        <v>26</v>
      </c>
      <c r="O93" s="64">
        <v>0</v>
      </c>
      <c r="P93" s="64">
        <v>0.77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810</v>
      </c>
      <c r="B94" s="64">
        <v>3.13</v>
      </c>
      <c r="C94" s="64">
        <v>20.25</v>
      </c>
      <c r="D94" s="64">
        <v>11.71</v>
      </c>
      <c r="E94" s="64">
        <v>5.82</v>
      </c>
      <c r="F94" s="64">
        <v>5</v>
      </c>
      <c r="G94" s="64">
        <v>103.67</v>
      </c>
      <c r="H94" s="64">
        <v>56.29</v>
      </c>
      <c r="I94" s="64">
        <v>3</v>
      </c>
      <c r="J94" s="64">
        <v>0.56999999999999995</v>
      </c>
      <c r="K94" s="64">
        <v>109.47</v>
      </c>
      <c r="L94" s="64">
        <v>20.6</v>
      </c>
      <c r="M94" s="64">
        <v>68.88</v>
      </c>
      <c r="N94" s="64">
        <v>25.8</v>
      </c>
      <c r="O94" s="64">
        <v>0</v>
      </c>
      <c r="P94" s="64">
        <v>0.74</v>
      </c>
      <c r="Q94" s="64">
        <v>9.6199999999999992</v>
      </c>
      <c r="R94" s="196"/>
      <c r="S94" s="196"/>
      <c r="T94" s="196"/>
      <c r="U94" s="196"/>
    </row>
    <row r="95" spans="1:26" s="12" customFormat="1" x14ac:dyDescent="0.25">
      <c r="A95" s="211" t="s">
        <v>811</v>
      </c>
      <c r="B95" s="64">
        <v>3.09</v>
      </c>
      <c r="C95" s="64">
        <v>21.15</v>
      </c>
      <c r="D95" s="64">
        <v>12.16</v>
      </c>
      <c r="E95" s="64">
        <v>5.95</v>
      </c>
      <c r="F95" s="64">
        <v>5.0999999999999996</v>
      </c>
      <c r="G95" s="64">
        <v>103.67</v>
      </c>
      <c r="H95" s="64">
        <v>56.29</v>
      </c>
      <c r="I95" s="64">
        <v>4.16</v>
      </c>
      <c r="J95" s="64">
        <v>0.22</v>
      </c>
      <c r="K95" s="64">
        <v>77.599999999999994</v>
      </c>
      <c r="L95" s="64">
        <v>20.65</v>
      </c>
      <c r="M95" s="64">
        <v>68.349999999999994</v>
      </c>
      <c r="N95" s="64">
        <v>25.9</v>
      </c>
      <c r="O95" s="64">
        <v>0</v>
      </c>
      <c r="P95" s="64">
        <v>0.75</v>
      </c>
      <c r="Q95" s="64">
        <v>9.61</v>
      </c>
      <c r="R95" s="196"/>
      <c r="S95" s="196"/>
      <c r="T95" s="196"/>
      <c r="U95" s="196"/>
    </row>
    <row r="96" spans="1:26" s="12" customFormat="1" x14ac:dyDescent="0.25">
      <c r="A96" s="211" t="s">
        <v>812</v>
      </c>
      <c r="B96" s="64">
        <v>3.74</v>
      </c>
      <c r="C96" s="64">
        <v>22.45</v>
      </c>
      <c r="D96" s="64">
        <v>13.35</v>
      </c>
      <c r="E96" s="64">
        <v>5.79</v>
      </c>
      <c r="F96" s="64">
        <v>4.63</v>
      </c>
      <c r="G96" s="64">
        <v>102.3</v>
      </c>
      <c r="H96" s="64">
        <v>51.78</v>
      </c>
      <c r="I96" s="64">
        <v>4.74</v>
      </c>
      <c r="J96" s="64">
        <v>0.21</v>
      </c>
      <c r="K96" s="64">
        <v>106.72</v>
      </c>
      <c r="L96" s="64">
        <v>20.350000000000001</v>
      </c>
      <c r="M96" s="64">
        <v>69.650000000000006</v>
      </c>
      <c r="N96" s="64">
        <v>26</v>
      </c>
      <c r="O96" s="64">
        <v>0</v>
      </c>
      <c r="P96" s="64">
        <v>0.78</v>
      </c>
      <c r="Q96" s="64">
        <v>9.61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813</v>
      </c>
      <c r="B97" s="64">
        <v>3.95</v>
      </c>
      <c r="C97" s="64">
        <v>22.94</v>
      </c>
      <c r="D97" s="64">
        <v>13.77</v>
      </c>
      <c r="E97" s="64">
        <v>5.88</v>
      </c>
      <c r="F97" s="64">
        <v>4.92</v>
      </c>
      <c r="G97" s="64">
        <v>98.29</v>
      </c>
      <c r="H97" s="64">
        <v>43.13</v>
      </c>
      <c r="I97" s="64">
        <v>4.63</v>
      </c>
      <c r="J97" s="64">
        <v>0.56000000000000005</v>
      </c>
      <c r="K97" s="64">
        <v>110.78</v>
      </c>
      <c r="L97" s="64">
        <v>20.29</v>
      </c>
      <c r="M97" s="64">
        <v>70.05</v>
      </c>
      <c r="N97" s="64">
        <v>25.8</v>
      </c>
      <c r="O97" s="64">
        <v>0</v>
      </c>
      <c r="P97" s="64">
        <v>0.76</v>
      </c>
      <c r="Q97" s="64">
        <v>9.61</v>
      </c>
      <c r="R97" s="196"/>
      <c r="S97" s="196"/>
      <c r="T97" s="196"/>
      <c r="U97" s="196"/>
    </row>
    <row r="98" spans="1:33" s="12" customFormat="1" x14ac:dyDescent="0.25">
      <c r="A98" s="211" t="s">
        <v>814</v>
      </c>
      <c r="B98" s="64">
        <v>3.81</v>
      </c>
      <c r="C98" s="64">
        <v>23.02</v>
      </c>
      <c r="D98" s="64">
        <v>13.71</v>
      </c>
      <c r="E98" s="64">
        <v>5.8</v>
      </c>
      <c r="F98" s="64">
        <v>4.83</v>
      </c>
      <c r="G98" s="64">
        <v>98.29</v>
      </c>
      <c r="H98" s="64">
        <v>43.13</v>
      </c>
      <c r="I98" s="64">
        <v>4.43</v>
      </c>
      <c r="J98" s="64">
        <v>0.23</v>
      </c>
      <c r="K98" s="64">
        <v>58.27</v>
      </c>
      <c r="L98" s="64">
        <v>20.239999999999998</v>
      </c>
      <c r="M98" s="64">
        <v>70.03</v>
      </c>
      <c r="N98" s="64">
        <v>25.9</v>
      </c>
      <c r="O98" s="64">
        <v>0</v>
      </c>
      <c r="P98" s="64">
        <v>0.74</v>
      </c>
      <c r="Q98" s="64">
        <v>9.6199999999999992</v>
      </c>
      <c r="R98" s="196"/>
      <c r="S98" s="196"/>
      <c r="T98" s="196"/>
      <c r="U98" s="196"/>
    </row>
    <row r="99" spans="1:33" s="12" customFormat="1" x14ac:dyDescent="0.25">
      <c r="A99" s="211" t="s">
        <v>815</v>
      </c>
      <c r="B99" s="64">
        <v>3.7</v>
      </c>
      <c r="C99" s="64">
        <v>23.26</v>
      </c>
      <c r="D99" s="64">
        <v>13.74</v>
      </c>
      <c r="E99" s="64">
        <v>5.55</v>
      </c>
      <c r="F99" s="64">
        <v>4.93</v>
      </c>
      <c r="G99" s="64">
        <v>98.29</v>
      </c>
      <c r="H99" s="64">
        <v>43.13</v>
      </c>
      <c r="I99" s="64">
        <v>4.67</v>
      </c>
      <c r="J99" s="64">
        <v>0.24</v>
      </c>
      <c r="K99" s="64">
        <v>90.41</v>
      </c>
      <c r="L99" s="64">
        <v>19.95</v>
      </c>
      <c r="M99" s="64">
        <v>71.44</v>
      </c>
      <c r="N99" s="64">
        <v>26.1</v>
      </c>
      <c r="O99" s="64">
        <v>0</v>
      </c>
      <c r="P99" s="64">
        <v>0.79</v>
      </c>
      <c r="Q99" s="64">
        <v>9.6300000000000008</v>
      </c>
      <c r="R99" s="196"/>
      <c r="S99" s="196"/>
      <c r="T99" s="196"/>
      <c r="U99" s="196"/>
    </row>
    <row r="100" spans="1:33" s="12" customFormat="1" x14ac:dyDescent="0.25">
      <c r="A100" s="211" t="s">
        <v>816</v>
      </c>
      <c r="B100" s="64">
        <v>3.53</v>
      </c>
      <c r="C100" s="64">
        <v>23.2</v>
      </c>
      <c r="D100" s="64">
        <v>13.58</v>
      </c>
      <c r="E100" s="64">
        <v>5.18</v>
      </c>
      <c r="F100" s="64">
        <v>4.9000000000000004</v>
      </c>
      <c r="G100" s="64">
        <v>98.07</v>
      </c>
      <c r="H100" s="64">
        <v>41.01</v>
      </c>
      <c r="I100" s="64">
        <v>4.68</v>
      </c>
      <c r="J100" s="64">
        <v>0.59</v>
      </c>
      <c r="K100" s="64">
        <v>119.66</v>
      </c>
      <c r="L100" s="64">
        <v>19.91</v>
      </c>
      <c r="M100" s="64">
        <v>71.11</v>
      </c>
      <c r="N100" s="64">
        <v>25.8</v>
      </c>
      <c r="O100" s="64">
        <v>0</v>
      </c>
      <c r="P100" s="64">
        <v>0.75</v>
      </c>
      <c r="Q100" s="64">
        <v>9.6199999999999992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817</v>
      </c>
      <c r="B101" s="64">
        <v>3.3</v>
      </c>
      <c r="C101" s="64">
        <v>22.79</v>
      </c>
      <c r="D101" s="64">
        <v>13.18</v>
      </c>
      <c r="E101" s="64">
        <v>6.02</v>
      </c>
      <c r="F101" s="64">
        <v>4.93</v>
      </c>
      <c r="G101" s="64">
        <v>97.44</v>
      </c>
      <c r="H101" s="64">
        <v>36.94</v>
      </c>
      <c r="I101" s="64">
        <v>4.66</v>
      </c>
      <c r="J101" s="64">
        <v>0.14000000000000001</v>
      </c>
      <c r="K101" s="64">
        <v>249.79</v>
      </c>
      <c r="L101" s="64">
        <v>19.75</v>
      </c>
      <c r="M101" s="64">
        <v>72.8</v>
      </c>
      <c r="N101" s="64">
        <v>26</v>
      </c>
      <c r="O101" s="64">
        <v>0</v>
      </c>
      <c r="P101" s="64">
        <v>0.75</v>
      </c>
      <c r="Q101" s="64">
        <v>9.6199999999999992</v>
      </c>
      <c r="R101" s="196"/>
      <c r="S101" s="196"/>
      <c r="T101" s="196"/>
      <c r="U101" s="196"/>
    </row>
    <row r="102" spans="1:33" s="12" customFormat="1" x14ac:dyDescent="0.25">
      <c r="A102" s="211" t="s">
        <v>818</v>
      </c>
      <c r="B102" s="64">
        <v>3.16</v>
      </c>
      <c r="C102" s="64">
        <v>22.83</v>
      </c>
      <c r="D102" s="64">
        <v>13.08</v>
      </c>
      <c r="E102" s="64">
        <v>6.01</v>
      </c>
      <c r="F102" s="64">
        <v>5.0199999999999996</v>
      </c>
      <c r="G102" s="64">
        <v>97.44</v>
      </c>
      <c r="H102" s="64">
        <v>36.94</v>
      </c>
      <c r="I102" s="64">
        <v>4.66</v>
      </c>
      <c r="J102" s="64">
        <v>1.1399999999999999</v>
      </c>
      <c r="K102" s="64">
        <v>109.76</v>
      </c>
      <c r="L102" s="64">
        <v>19.850000000000001</v>
      </c>
      <c r="M102" s="64">
        <v>70.599999999999994</v>
      </c>
      <c r="N102" s="64">
        <v>25.4</v>
      </c>
      <c r="O102" s="64">
        <v>0</v>
      </c>
      <c r="P102" s="64">
        <v>0.75</v>
      </c>
      <c r="Q102" s="64">
        <v>9.6199999999999992</v>
      </c>
      <c r="R102" s="196"/>
      <c r="S102" s="196"/>
      <c r="T102" s="196"/>
      <c r="U102" s="196"/>
    </row>
    <row r="103" spans="1:33" s="12" customFormat="1" x14ac:dyDescent="0.25">
      <c r="A103" s="211" t="s">
        <v>819</v>
      </c>
      <c r="B103" s="64">
        <v>3.06</v>
      </c>
      <c r="C103" s="64">
        <v>21.58</v>
      </c>
      <c r="D103" s="64">
        <v>12.36</v>
      </c>
      <c r="E103" s="64">
        <v>6.04</v>
      </c>
      <c r="F103" s="64">
        <v>5.27</v>
      </c>
      <c r="G103" s="64">
        <v>97.44</v>
      </c>
      <c r="H103" s="64">
        <v>36.94</v>
      </c>
      <c r="I103" s="64">
        <v>5.01</v>
      </c>
      <c r="J103" s="64">
        <v>0.87</v>
      </c>
      <c r="K103" s="64">
        <v>115.93</v>
      </c>
      <c r="L103" s="64">
        <v>19.79</v>
      </c>
      <c r="M103" s="64">
        <v>71.33</v>
      </c>
      <c r="N103" s="64">
        <v>25.8</v>
      </c>
      <c r="O103" s="64">
        <v>0</v>
      </c>
      <c r="P103" s="64">
        <v>0.64</v>
      </c>
      <c r="Q103" s="64">
        <v>9.6300000000000008</v>
      </c>
      <c r="R103" s="196"/>
      <c r="S103" s="196"/>
      <c r="T103" s="196"/>
      <c r="U103" s="196"/>
    </row>
    <row r="104" spans="1:33" s="12" customFormat="1" x14ac:dyDescent="0.25">
      <c r="A104" s="211" t="s">
        <v>820</v>
      </c>
      <c r="B104" s="64">
        <v>3.04</v>
      </c>
      <c r="C104" s="64">
        <v>19.78</v>
      </c>
      <c r="D104" s="64">
        <v>11.39</v>
      </c>
      <c r="E104" s="64">
        <v>4.72</v>
      </c>
      <c r="F104" s="64">
        <v>5.72</v>
      </c>
      <c r="G104" s="64">
        <v>96.66</v>
      </c>
      <c r="H104" s="64">
        <v>45.01</v>
      </c>
      <c r="I104" s="64">
        <v>4.3600000000000003</v>
      </c>
      <c r="J104" s="64">
        <v>0.79</v>
      </c>
      <c r="K104" s="64">
        <v>104.5</v>
      </c>
      <c r="L104" s="64">
        <v>19.66</v>
      </c>
      <c r="M104" s="64">
        <v>72.44</v>
      </c>
      <c r="N104" s="64">
        <v>25.8</v>
      </c>
      <c r="O104" s="64">
        <v>0</v>
      </c>
      <c r="P104" s="64">
        <v>0.63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1.47</v>
      </c>
      <c r="C106" s="67">
        <f>MIN(C9:C104)</f>
        <v>13.12</v>
      </c>
      <c r="D106" s="67">
        <f t="shared" ref="D106:Q106" si="0">MIN(D9:D104)</f>
        <v>7.64</v>
      </c>
      <c r="E106" s="67">
        <f t="shared" si="0"/>
        <v>4.24</v>
      </c>
      <c r="F106" s="67">
        <f t="shared" si="0"/>
        <v>3.48</v>
      </c>
      <c r="G106" s="67">
        <f t="shared" si="0"/>
        <v>51.29</v>
      </c>
      <c r="H106" s="67">
        <f t="shared" si="0"/>
        <v>0.98</v>
      </c>
      <c r="I106" s="67">
        <f t="shared" si="0"/>
        <v>1.75</v>
      </c>
      <c r="J106" s="67">
        <f t="shared" si="0"/>
        <v>0.14000000000000001</v>
      </c>
      <c r="K106" s="67">
        <f t="shared" si="0"/>
        <v>1.57</v>
      </c>
      <c r="L106" s="67">
        <f t="shared" si="0"/>
        <v>16.05</v>
      </c>
      <c r="M106" s="67">
        <f t="shared" si="0"/>
        <v>39.340000000000003</v>
      </c>
      <c r="N106" s="67">
        <f t="shared" si="0"/>
        <v>25.4</v>
      </c>
      <c r="O106" s="67">
        <f t="shared" si="0"/>
        <v>0</v>
      </c>
      <c r="P106" s="67">
        <f t="shared" si="0"/>
        <v>0.47</v>
      </c>
      <c r="Q106" s="67">
        <f t="shared" si="0"/>
        <v>9.6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29.59</v>
      </c>
      <c r="C107" s="66">
        <f t="shared" ref="C107:Q107" si="1">MAX(C9:C104)</f>
        <v>70.45</v>
      </c>
      <c r="D107" s="66">
        <f t="shared" si="1"/>
        <v>59.15</v>
      </c>
      <c r="E107" s="66">
        <f t="shared" si="1"/>
        <v>11.19</v>
      </c>
      <c r="F107" s="66">
        <f t="shared" si="1"/>
        <v>39.18</v>
      </c>
      <c r="G107" s="66">
        <f t="shared" si="1"/>
        <v>158.66999999999999</v>
      </c>
      <c r="H107" s="66">
        <f t="shared" si="1"/>
        <v>88.62</v>
      </c>
      <c r="I107" s="66">
        <f t="shared" si="1"/>
        <v>7.23</v>
      </c>
      <c r="J107" s="66">
        <f t="shared" si="1"/>
        <v>1.77</v>
      </c>
      <c r="K107" s="66">
        <f t="shared" si="1"/>
        <v>357.72</v>
      </c>
      <c r="L107" s="66">
        <f t="shared" si="1"/>
        <v>28.73</v>
      </c>
      <c r="M107" s="66">
        <f t="shared" si="1"/>
        <v>101.86</v>
      </c>
      <c r="N107" s="66">
        <f t="shared" si="1"/>
        <v>651.70000000000005</v>
      </c>
      <c r="O107" s="66">
        <f t="shared" si="1"/>
        <v>0</v>
      </c>
      <c r="P107" s="66">
        <f t="shared" si="1"/>
        <v>1.1000000000000001</v>
      </c>
      <c r="Q107" s="66">
        <f t="shared" si="1"/>
        <v>9.64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7.4004166666666658</v>
      </c>
      <c r="C108" s="67">
        <f t="shared" ref="C108:Q108" si="2">AVERAGE(C9:C104)</f>
        <v>23.692291666666673</v>
      </c>
      <c r="D108" s="67">
        <f t="shared" si="2"/>
        <v>16.936354166666664</v>
      </c>
      <c r="E108" s="67">
        <f t="shared" si="2"/>
        <v>6.5237500000000006</v>
      </c>
      <c r="F108" s="67">
        <f t="shared" si="2"/>
        <v>5.978958333333332</v>
      </c>
      <c r="G108" s="67">
        <f t="shared" si="2"/>
        <v>89.389479166666717</v>
      </c>
      <c r="H108" s="67">
        <f t="shared" si="2"/>
        <v>44.204791666666686</v>
      </c>
      <c r="I108" s="67">
        <f t="shared" si="2"/>
        <v>4.4283333333333355</v>
      </c>
      <c r="J108" s="67">
        <f t="shared" si="2"/>
        <v>0.68614583333333357</v>
      </c>
      <c r="K108" s="67">
        <f t="shared" si="2"/>
        <v>184.52333333333323</v>
      </c>
      <c r="L108" s="67">
        <f t="shared" si="2"/>
        <v>21.745208333333334</v>
      </c>
      <c r="M108" s="67">
        <f t="shared" si="2"/>
        <v>66.695937499999999</v>
      </c>
      <c r="N108" s="67">
        <f t="shared" si="2"/>
        <v>160.04479166666664</v>
      </c>
      <c r="O108" s="67">
        <f t="shared" si="2"/>
        <v>0</v>
      </c>
      <c r="P108" s="67">
        <f t="shared" si="2"/>
        <v>0.72562499999999996</v>
      </c>
      <c r="Q108" s="67">
        <f t="shared" si="2"/>
        <v>9.6213541666666682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7.1175430291589965</v>
      </c>
      <c r="C109" s="67">
        <f t="shared" ref="C109:Q109" si="3">STDEV(C9:C104)</f>
        <v>10.291112617375665</v>
      </c>
      <c r="D109" s="67">
        <f t="shared" si="3"/>
        <v>9.3461429274655359</v>
      </c>
      <c r="E109" s="67">
        <f t="shared" si="3"/>
        <v>1.286764404068957</v>
      </c>
      <c r="F109" s="67">
        <f t="shared" si="3"/>
        <v>4.1095384499880101</v>
      </c>
      <c r="G109" s="67">
        <f t="shared" si="3"/>
        <v>28.445096825464912</v>
      </c>
      <c r="H109" s="67">
        <f t="shared" si="3"/>
        <v>21.720037461398661</v>
      </c>
      <c r="I109" s="67">
        <f t="shared" si="3"/>
        <v>1.2236714958780983</v>
      </c>
      <c r="J109" s="67">
        <f t="shared" si="3"/>
        <v>0.35282430335095616</v>
      </c>
      <c r="K109" s="67">
        <f t="shared" si="3"/>
        <v>118.28624903545305</v>
      </c>
      <c r="L109" s="67">
        <f t="shared" si="3"/>
        <v>3.6987317824148302</v>
      </c>
      <c r="M109" s="67">
        <f t="shared" si="3"/>
        <v>18.537803513680924</v>
      </c>
      <c r="N109" s="67">
        <f t="shared" si="3"/>
        <v>207.82226002539144</v>
      </c>
      <c r="O109" s="67">
        <f t="shared" si="3"/>
        <v>0</v>
      </c>
      <c r="P109" s="67">
        <f t="shared" si="3"/>
        <v>0.16492941073779477</v>
      </c>
      <c r="Q109" s="67">
        <f t="shared" si="3"/>
        <v>8.8994135426733595E-3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821</v>
      </c>
      <c r="B9" s="64">
        <v>3.03</v>
      </c>
      <c r="C9" s="64">
        <v>19</v>
      </c>
      <c r="D9" s="64">
        <v>10.98</v>
      </c>
      <c r="E9" s="64">
        <v>4.97</v>
      </c>
      <c r="F9" s="64">
        <v>5.78</v>
      </c>
      <c r="G9" s="64">
        <v>94.52</v>
      </c>
      <c r="H9" s="64">
        <v>77.290000000000006</v>
      </c>
      <c r="I9" s="64">
        <v>3.59</v>
      </c>
      <c r="J9" s="64">
        <v>1.07</v>
      </c>
      <c r="K9" s="64">
        <v>113.52</v>
      </c>
      <c r="L9" s="64">
        <v>19.63</v>
      </c>
      <c r="M9" s="64">
        <v>73.39</v>
      </c>
      <c r="N9" s="64">
        <v>25.8</v>
      </c>
      <c r="O9" s="64">
        <v>0</v>
      </c>
      <c r="P9" s="64">
        <v>0.65</v>
      </c>
      <c r="Q9" s="64">
        <v>9.6300000000000008</v>
      </c>
      <c r="R9" s="196"/>
      <c r="S9" s="196"/>
      <c r="T9" s="196"/>
      <c r="U9" s="196"/>
    </row>
    <row r="10" spans="1:21" s="12" customFormat="1" x14ac:dyDescent="0.25">
      <c r="A10" s="211" t="s">
        <v>822</v>
      </c>
      <c r="B10" s="64">
        <v>3.03</v>
      </c>
      <c r="C10" s="64">
        <v>17.98</v>
      </c>
      <c r="D10" s="64">
        <v>10.45</v>
      </c>
      <c r="E10" s="64">
        <v>4.53</v>
      </c>
      <c r="F10" s="64">
        <v>5.53</v>
      </c>
      <c r="G10" s="64">
        <v>94.52</v>
      </c>
      <c r="H10" s="64">
        <v>77.290000000000006</v>
      </c>
      <c r="I10" s="64">
        <v>2.88</v>
      </c>
      <c r="J10" s="64">
        <v>0.89</v>
      </c>
      <c r="K10" s="64">
        <v>115.59</v>
      </c>
      <c r="L10" s="64">
        <v>19.54</v>
      </c>
      <c r="M10" s="64">
        <v>73.739999999999995</v>
      </c>
      <c r="N10" s="64">
        <v>25.8</v>
      </c>
      <c r="O10" s="64">
        <v>0</v>
      </c>
      <c r="P10" s="64">
        <v>0.65</v>
      </c>
      <c r="Q10" s="64">
        <v>9.6300000000000008</v>
      </c>
      <c r="R10" s="196"/>
      <c r="S10" s="196"/>
      <c r="T10" s="196"/>
      <c r="U10" s="196"/>
    </row>
    <row r="11" spans="1:21" s="12" customFormat="1" x14ac:dyDescent="0.25">
      <c r="A11" s="211" t="s">
        <v>823</v>
      </c>
      <c r="B11" s="64">
        <v>2.98</v>
      </c>
      <c r="C11" s="64">
        <v>17.18</v>
      </c>
      <c r="D11" s="64">
        <v>9.99</v>
      </c>
      <c r="E11" s="64">
        <v>5.01</v>
      </c>
      <c r="F11" s="64">
        <v>5.49</v>
      </c>
      <c r="G11" s="64">
        <v>94.52</v>
      </c>
      <c r="H11" s="64">
        <v>77.290000000000006</v>
      </c>
      <c r="I11" s="64">
        <v>3.97</v>
      </c>
      <c r="J11" s="64">
        <v>0.73</v>
      </c>
      <c r="K11" s="64">
        <v>111.15</v>
      </c>
      <c r="L11" s="64">
        <v>19.420000000000002</v>
      </c>
      <c r="M11" s="64">
        <v>74.62</v>
      </c>
      <c r="N11" s="64">
        <v>25.9</v>
      </c>
      <c r="O11" s="64">
        <v>0</v>
      </c>
      <c r="P11" s="64">
        <v>0.62</v>
      </c>
      <c r="Q11" s="64">
        <v>9.6300000000000008</v>
      </c>
      <c r="R11" s="196"/>
      <c r="S11" s="196"/>
      <c r="T11" s="196"/>
      <c r="U11" s="196"/>
    </row>
    <row r="12" spans="1:21" s="12" customFormat="1" x14ac:dyDescent="0.25">
      <c r="A12" s="211" t="s">
        <v>824</v>
      </c>
      <c r="B12" s="64">
        <v>2.95</v>
      </c>
      <c r="C12" s="64">
        <v>16.52</v>
      </c>
      <c r="D12" s="64">
        <v>9.6199999999999992</v>
      </c>
      <c r="E12" s="64">
        <v>4.6900000000000004</v>
      </c>
      <c r="F12" s="64">
        <v>6.02</v>
      </c>
      <c r="G12" s="64">
        <v>94.54</v>
      </c>
      <c r="H12" s="64">
        <v>68.069999999999993</v>
      </c>
      <c r="I12" s="64">
        <v>3.96</v>
      </c>
      <c r="J12" s="64">
        <v>0.28000000000000003</v>
      </c>
      <c r="K12" s="64">
        <v>328.21</v>
      </c>
      <c r="L12" s="64">
        <v>19.04</v>
      </c>
      <c r="M12" s="64">
        <v>78.23</v>
      </c>
      <c r="N12" s="64">
        <v>26.1</v>
      </c>
      <c r="O12" s="64">
        <v>0</v>
      </c>
      <c r="P12" s="64">
        <v>0.57999999999999996</v>
      </c>
      <c r="Q12" s="64">
        <v>9.6199999999999992</v>
      </c>
      <c r="R12" s="196"/>
      <c r="S12" s="196"/>
      <c r="T12" s="196"/>
      <c r="U12" s="196"/>
    </row>
    <row r="13" spans="1:21" s="12" customFormat="1" x14ac:dyDescent="0.25">
      <c r="A13" s="211" t="s">
        <v>825</v>
      </c>
      <c r="B13" s="64">
        <v>2.94</v>
      </c>
      <c r="C13" s="64">
        <v>15.97</v>
      </c>
      <c r="D13" s="64">
        <v>9.33</v>
      </c>
      <c r="E13" s="64">
        <v>4.5599999999999996</v>
      </c>
      <c r="F13" s="64">
        <v>5.52</v>
      </c>
      <c r="G13" s="64">
        <v>94.6</v>
      </c>
      <c r="H13" s="64">
        <v>48.42</v>
      </c>
      <c r="I13" s="64">
        <v>3.6</v>
      </c>
      <c r="J13" s="64">
        <v>0.56999999999999995</v>
      </c>
      <c r="K13" s="64">
        <v>296.27999999999997</v>
      </c>
      <c r="L13" s="64">
        <v>18.43</v>
      </c>
      <c r="M13" s="64">
        <v>83.52</v>
      </c>
      <c r="N13" s="64">
        <v>26.2</v>
      </c>
      <c r="O13" s="64">
        <v>0</v>
      </c>
      <c r="P13" s="64">
        <v>0.68</v>
      </c>
      <c r="Q13" s="64">
        <v>9.6300000000000008</v>
      </c>
      <c r="R13" s="196"/>
      <c r="S13" s="196"/>
      <c r="T13" s="196"/>
      <c r="U13" s="196"/>
    </row>
    <row r="14" spans="1:21" s="12" customFormat="1" x14ac:dyDescent="0.25">
      <c r="A14" s="211" t="s">
        <v>826</v>
      </c>
      <c r="B14" s="64">
        <v>2.98</v>
      </c>
      <c r="C14" s="64">
        <v>15.69</v>
      </c>
      <c r="D14" s="64">
        <v>9.2100000000000009</v>
      </c>
      <c r="E14" s="64">
        <v>4.66</v>
      </c>
      <c r="F14" s="64">
        <v>4.43</v>
      </c>
      <c r="G14" s="64">
        <v>94.6</v>
      </c>
      <c r="H14" s="64">
        <v>48.42</v>
      </c>
      <c r="I14" s="64">
        <v>3.53</v>
      </c>
      <c r="J14" s="64">
        <v>0.51</v>
      </c>
      <c r="K14" s="64">
        <v>265.39999999999998</v>
      </c>
      <c r="L14" s="64">
        <v>18.2</v>
      </c>
      <c r="M14" s="64">
        <v>84</v>
      </c>
      <c r="N14" s="64">
        <v>26.1</v>
      </c>
      <c r="O14" s="64">
        <v>0</v>
      </c>
      <c r="P14" s="64">
        <v>0.69</v>
      </c>
      <c r="Q14" s="64">
        <v>9.6199999999999992</v>
      </c>
      <c r="R14" s="196"/>
      <c r="S14" s="196"/>
      <c r="T14" s="196"/>
      <c r="U14" s="196"/>
    </row>
    <row r="15" spans="1:21" s="12" customFormat="1" x14ac:dyDescent="0.25">
      <c r="A15" s="211" t="s">
        <v>827</v>
      </c>
      <c r="B15" s="64">
        <v>2.98</v>
      </c>
      <c r="C15" s="64">
        <v>16.12</v>
      </c>
      <c r="D15" s="64">
        <v>9.44</v>
      </c>
      <c r="E15" s="64">
        <v>4.84</v>
      </c>
      <c r="F15" s="64">
        <v>4.5599999999999996</v>
      </c>
      <c r="G15" s="64">
        <v>94.6</v>
      </c>
      <c r="H15" s="64">
        <v>48.42</v>
      </c>
      <c r="I15" s="64">
        <v>3.86</v>
      </c>
      <c r="J15" s="64">
        <v>0.44</v>
      </c>
      <c r="K15" s="64">
        <v>300.22000000000003</v>
      </c>
      <c r="L15" s="64">
        <v>17.95</v>
      </c>
      <c r="M15" s="64">
        <v>85.35</v>
      </c>
      <c r="N15" s="64">
        <v>26.1</v>
      </c>
      <c r="O15" s="64">
        <v>0</v>
      </c>
      <c r="P15" s="64">
        <v>0.69</v>
      </c>
      <c r="Q15" s="64">
        <v>9.61</v>
      </c>
      <c r="R15" s="196"/>
      <c r="S15" s="196"/>
      <c r="T15" s="196"/>
      <c r="U15" s="196"/>
    </row>
    <row r="16" spans="1:21" s="12" customFormat="1" x14ac:dyDescent="0.25">
      <c r="A16" s="211" t="s">
        <v>828</v>
      </c>
      <c r="B16" s="64">
        <v>2.88</v>
      </c>
      <c r="C16" s="64">
        <v>16.05</v>
      </c>
      <c r="D16" s="64">
        <v>9.32</v>
      </c>
      <c r="E16" s="64">
        <v>4.9800000000000004</v>
      </c>
      <c r="F16" s="64">
        <v>4.92</v>
      </c>
      <c r="G16" s="64">
        <v>93.97</v>
      </c>
      <c r="H16" s="64">
        <v>41.66</v>
      </c>
      <c r="I16" s="64">
        <v>5.21</v>
      </c>
      <c r="J16" s="64">
        <v>0.52</v>
      </c>
      <c r="K16" s="64">
        <v>277.55</v>
      </c>
      <c r="L16" s="64">
        <v>17.93</v>
      </c>
      <c r="M16" s="64">
        <v>84.93</v>
      </c>
      <c r="N16" s="64">
        <v>26</v>
      </c>
      <c r="O16" s="64">
        <v>0</v>
      </c>
      <c r="P16" s="64">
        <v>0.68</v>
      </c>
      <c r="Q16" s="64">
        <v>9.59</v>
      </c>
      <c r="R16" s="196"/>
      <c r="S16" s="196"/>
      <c r="T16" s="196"/>
      <c r="U16" s="196"/>
    </row>
    <row r="17" spans="1:21" s="12" customFormat="1" x14ac:dyDescent="0.25">
      <c r="A17" s="211" t="s">
        <v>829</v>
      </c>
      <c r="B17" s="64">
        <v>3.06</v>
      </c>
      <c r="C17" s="64">
        <v>16.239999999999998</v>
      </c>
      <c r="D17" s="64">
        <v>9.56</v>
      </c>
      <c r="E17" s="64">
        <v>4.72</v>
      </c>
      <c r="F17" s="64">
        <v>4.78</v>
      </c>
      <c r="G17" s="64">
        <v>92.13</v>
      </c>
      <c r="H17" s="64">
        <v>21.97</v>
      </c>
      <c r="I17" s="64">
        <v>5.62</v>
      </c>
      <c r="J17" s="64">
        <v>0.52</v>
      </c>
      <c r="K17" s="64">
        <v>302.72000000000003</v>
      </c>
      <c r="L17" s="64">
        <v>17.670000000000002</v>
      </c>
      <c r="M17" s="64">
        <v>88.31</v>
      </c>
      <c r="N17" s="64">
        <v>26.1</v>
      </c>
      <c r="O17" s="64">
        <v>0</v>
      </c>
      <c r="P17" s="64">
        <v>0.68</v>
      </c>
      <c r="Q17" s="64">
        <v>9.6199999999999992</v>
      </c>
      <c r="R17" s="196"/>
      <c r="S17" s="196"/>
      <c r="T17" s="196"/>
      <c r="U17" s="196"/>
    </row>
    <row r="18" spans="1:21" s="12" customFormat="1" x14ac:dyDescent="0.25">
      <c r="A18" s="211" t="s">
        <v>830</v>
      </c>
      <c r="B18" s="64">
        <v>3.12</v>
      </c>
      <c r="C18" s="64">
        <v>16.53</v>
      </c>
      <c r="D18" s="64">
        <v>9.76</v>
      </c>
      <c r="E18" s="64">
        <v>5.0599999999999996</v>
      </c>
      <c r="F18" s="64">
        <v>4.6900000000000004</v>
      </c>
      <c r="G18" s="64">
        <v>92.13</v>
      </c>
      <c r="H18" s="64">
        <v>21.97</v>
      </c>
      <c r="I18" s="64">
        <v>5.51</v>
      </c>
      <c r="J18" s="64">
        <v>0.55000000000000004</v>
      </c>
      <c r="K18" s="64">
        <v>288.22000000000003</v>
      </c>
      <c r="L18" s="64">
        <v>17.39</v>
      </c>
      <c r="M18" s="64">
        <v>89.41</v>
      </c>
      <c r="N18" s="64">
        <v>26.1</v>
      </c>
      <c r="O18" s="64">
        <v>0</v>
      </c>
      <c r="P18" s="64">
        <v>0.67</v>
      </c>
      <c r="Q18" s="64">
        <v>9.6300000000000008</v>
      </c>
      <c r="R18" s="196"/>
      <c r="S18" s="196"/>
      <c r="T18" s="196"/>
      <c r="U18" s="196"/>
    </row>
    <row r="19" spans="1:21" s="12" customFormat="1" x14ac:dyDescent="0.25">
      <c r="A19" s="211" t="s">
        <v>831</v>
      </c>
      <c r="B19" s="64">
        <v>3.09</v>
      </c>
      <c r="C19" s="64">
        <v>16.68</v>
      </c>
      <c r="D19" s="64">
        <v>9.81</v>
      </c>
      <c r="E19" s="64">
        <v>4.7699999999999996</v>
      </c>
      <c r="F19" s="64">
        <v>4.78</v>
      </c>
      <c r="G19" s="64">
        <v>92.13</v>
      </c>
      <c r="H19" s="64">
        <v>21.97</v>
      </c>
      <c r="I19" s="64">
        <v>5.44</v>
      </c>
      <c r="J19" s="64">
        <v>0.24</v>
      </c>
      <c r="K19" s="64">
        <v>310.94</v>
      </c>
      <c r="L19" s="64">
        <v>17.170000000000002</v>
      </c>
      <c r="M19" s="64">
        <v>92.15</v>
      </c>
      <c r="N19" s="64">
        <v>26.1</v>
      </c>
      <c r="O19" s="64">
        <v>0</v>
      </c>
      <c r="P19" s="64">
        <v>0.66</v>
      </c>
      <c r="Q19" s="64">
        <v>9.6199999999999992</v>
      </c>
      <c r="R19" s="196"/>
      <c r="S19" s="196"/>
      <c r="T19" s="196"/>
      <c r="U19" s="196"/>
    </row>
    <row r="20" spans="1:21" s="12" customFormat="1" x14ac:dyDescent="0.25">
      <c r="A20" s="211" t="s">
        <v>832</v>
      </c>
      <c r="B20" s="64">
        <v>3.15</v>
      </c>
      <c r="C20" s="64">
        <v>17.18</v>
      </c>
      <c r="D20" s="64">
        <v>10.130000000000001</v>
      </c>
      <c r="E20" s="64">
        <v>5.26</v>
      </c>
      <c r="F20" s="64">
        <v>4.29</v>
      </c>
      <c r="G20" s="64">
        <v>92.47</v>
      </c>
      <c r="H20" s="64">
        <v>38.94</v>
      </c>
      <c r="I20" s="64">
        <v>5.34</v>
      </c>
      <c r="J20" s="64">
        <v>0.25</v>
      </c>
      <c r="K20" s="64">
        <v>266.14999999999998</v>
      </c>
      <c r="L20" s="64">
        <v>16.98</v>
      </c>
      <c r="M20" s="64">
        <v>93.83</v>
      </c>
      <c r="N20" s="64">
        <v>25.9</v>
      </c>
      <c r="O20" s="64">
        <v>0</v>
      </c>
      <c r="P20" s="64">
        <v>0.66</v>
      </c>
      <c r="Q20" s="64">
        <v>9.6300000000000008</v>
      </c>
      <c r="R20" s="196"/>
      <c r="S20" s="196"/>
      <c r="T20" s="196"/>
      <c r="U20" s="196"/>
    </row>
    <row r="21" spans="1:21" s="12" customFormat="1" x14ac:dyDescent="0.25">
      <c r="A21" s="211" t="s">
        <v>833</v>
      </c>
      <c r="B21" s="64">
        <v>3.28</v>
      </c>
      <c r="C21" s="64">
        <v>17.760000000000002</v>
      </c>
      <c r="D21" s="64">
        <v>10.53</v>
      </c>
      <c r="E21" s="64">
        <v>4.92</v>
      </c>
      <c r="F21" s="64">
        <v>4.01</v>
      </c>
      <c r="G21" s="64">
        <v>93.46</v>
      </c>
      <c r="H21" s="64">
        <v>72.87</v>
      </c>
      <c r="I21" s="64">
        <v>5.22</v>
      </c>
      <c r="J21" s="64">
        <v>0.61</v>
      </c>
      <c r="K21" s="64">
        <v>330.01</v>
      </c>
      <c r="L21" s="64">
        <v>16.93</v>
      </c>
      <c r="M21" s="64">
        <v>95.31</v>
      </c>
      <c r="N21" s="64">
        <v>26.1</v>
      </c>
      <c r="O21" s="64">
        <v>0</v>
      </c>
      <c r="P21" s="64">
        <v>0.66</v>
      </c>
      <c r="Q21" s="64">
        <v>9.6300000000000008</v>
      </c>
      <c r="R21" s="196"/>
      <c r="S21" s="196"/>
      <c r="T21" s="196"/>
      <c r="U21" s="196"/>
    </row>
    <row r="22" spans="1:21" s="12" customFormat="1" x14ac:dyDescent="0.25">
      <c r="A22" s="211" t="s">
        <v>834</v>
      </c>
      <c r="B22" s="64">
        <v>3.46</v>
      </c>
      <c r="C22" s="64">
        <v>17.86</v>
      </c>
      <c r="D22" s="64">
        <v>10.73</v>
      </c>
      <c r="E22" s="64">
        <v>4.92</v>
      </c>
      <c r="F22" s="64">
        <v>4.33</v>
      </c>
      <c r="G22" s="64">
        <v>93.46</v>
      </c>
      <c r="H22" s="64">
        <v>72.87</v>
      </c>
      <c r="I22" s="64">
        <v>5.13</v>
      </c>
      <c r="J22" s="64">
        <v>0.53</v>
      </c>
      <c r="K22" s="64">
        <v>300.72000000000003</v>
      </c>
      <c r="L22" s="64">
        <v>16.579999999999998</v>
      </c>
      <c r="M22" s="64">
        <v>99.17</v>
      </c>
      <c r="N22" s="64">
        <v>26.1</v>
      </c>
      <c r="O22" s="64">
        <v>0</v>
      </c>
      <c r="P22" s="64">
        <v>0.65</v>
      </c>
      <c r="Q22" s="64">
        <v>9.6300000000000008</v>
      </c>
      <c r="R22" s="196"/>
      <c r="S22" s="196"/>
      <c r="T22" s="196"/>
      <c r="U22" s="196"/>
    </row>
    <row r="23" spans="1:21" s="12" customFormat="1" x14ac:dyDescent="0.25">
      <c r="A23" s="211" t="s">
        <v>835</v>
      </c>
      <c r="B23" s="64">
        <v>3.58</v>
      </c>
      <c r="C23" s="64">
        <v>17.93</v>
      </c>
      <c r="D23" s="64">
        <v>10.86</v>
      </c>
      <c r="E23" s="64">
        <v>4.66</v>
      </c>
      <c r="F23" s="64">
        <v>4.13</v>
      </c>
      <c r="G23" s="64">
        <v>93.46</v>
      </c>
      <c r="H23" s="64">
        <v>72.87</v>
      </c>
      <c r="I23" s="64">
        <v>5.04</v>
      </c>
      <c r="J23" s="64">
        <v>0.69</v>
      </c>
      <c r="K23" s="64">
        <v>331.06</v>
      </c>
      <c r="L23" s="64">
        <v>16.420000000000002</v>
      </c>
      <c r="M23" s="64">
        <v>100.59</v>
      </c>
      <c r="N23" s="64">
        <v>25.9</v>
      </c>
      <c r="O23" s="64">
        <v>0</v>
      </c>
      <c r="P23" s="64">
        <v>0.65</v>
      </c>
      <c r="Q23" s="64">
        <v>9.6199999999999992</v>
      </c>
      <c r="R23" s="196"/>
      <c r="S23" s="196"/>
      <c r="T23" s="196"/>
      <c r="U23" s="196"/>
    </row>
    <row r="24" spans="1:21" s="12" customFormat="1" x14ac:dyDescent="0.25">
      <c r="A24" s="211" t="s">
        <v>836</v>
      </c>
      <c r="B24" s="64">
        <v>3.77</v>
      </c>
      <c r="C24" s="64">
        <v>16.29</v>
      </c>
      <c r="D24" s="64">
        <v>10.16</v>
      </c>
      <c r="E24" s="64">
        <v>7.17</v>
      </c>
      <c r="F24" s="64">
        <v>4.43</v>
      </c>
      <c r="G24" s="64">
        <v>93.86</v>
      </c>
      <c r="H24" s="64">
        <v>64.290000000000006</v>
      </c>
      <c r="I24" s="64">
        <v>4.9800000000000004</v>
      </c>
      <c r="J24" s="64">
        <v>1.04</v>
      </c>
      <c r="K24" s="64">
        <v>330.23</v>
      </c>
      <c r="L24" s="64">
        <v>16.48</v>
      </c>
      <c r="M24" s="64">
        <v>99.7</v>
      </c>
      <c r="N24" s="64">
        <v>25.3</v>
      </c>
      <c r="O24" s="64">
        <v>0</v>
      </c>
      <c r="P24" s="64">
        <v>0.64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837</v>
      </c>
      <c r="B25" s="64">
        <v>4.1500000000000004</v>
      </c>
      <c r="C25" s="64">
        <v>15.74</v>
      </c>
      <c r="D25" s="64">
        <v>10.18</v>
      </c>
      <c r="E25" s="64">
        <v>6.11</v>
      </c>
      <c r="F25" s="64">
        <v>4.13</v>
      </c>
      <c r="G25" s="64">
        <v>95.01</v>
      </c>
      <c r="H25" s="64">
        <v>29.95</v>
      </c>
      <c r="I25" s="64">
        <v>4.72</v>
      </c>
      <c r="J25" s="64">
        <v>0.66</v>
      </c>
      <c r="K25" s="64">
        <v>324.14999999999998</v>
      </c>
      <c r="L25" s="64">
        <v>16.47</v>
      </c>
      <c r="M25" s="64">
        <v>99.19</v>
      </c>
      <c r="N25" s="64">
        <v>25.9</v>
      </c>
      <c r="O25" s="64">
        <v>0</v>
      </c>
      <c r="P25" s="64">
        <v>0.69</v>
      </c>
      <c r="Q25" s="64">
        <v>9.6300000000000008</v>
      </c>
      <c r="R25" s="196"/>
      <c r="S25" s="196"/>
      <c r="T25" s="196"/>
      <c r="U25" s="196"/>
    </row>
    <row r="26" spans="1:21" s="12" customFormat="1" x14ac:dyDescent="0.25">
      <c r="A26" s="211" t="s">
        <v>838</v>
      </c>
      <c r="B26" s="64">
        <v>4.7</v>
      </c>
      <c r="C26" s="64">
        <v>15.74</v>
      </c>
      <c r="D26" s="64">
        <v>10.61</v>
      </c>
      <c r="E26" s="64">
        <v>6.04</v>
      </c>
      <c r="F26" s="64">
        <v>4.0199999999999996</v>
      </c>
      <c r="G26" s="64">
        <v>95.01</v>
      </c>
      <c r="H26" s="64">
        <v>29.95</v>
      </c>
      <c r="I26" s="64">
        <v>4.47</v>
      </c>
      <c r="J26" s="64">
        <v>0.45</v>
      </c>
      <c r="K26" s="64">
        <v>334.22</v>
      </c>
      <c r="L26" s="64">
        <v>16.39</v>
      </c>
      <c r="M26" s="64">
        <v>99.9</v>
      </c>
      <c r="N26" s="64">
        <v>25.8</v>
      </c>
      <c r="O26" s="64">
        <v>0</v>
      </c>
      <c r="P26" s="64">
        <v>0.71</v>
      </c>
      <c r="Q26" s="64">
        <v>9.6300000000000008</v>
      </c>
      <c r="R26" s="196"/>
      <c r="S26" s="196"/>
      <c r="T26" s="196"/>
      <c r="U26" s="196"/>
    </row>
    <row r="27" spans="1:21" s="12" customFormat="1" x14ac:dyDescent="0.25">
      <c r="A27" s="211" t="s">
        <v>839</v>
      </c>
      <c r="B27" s="64">
        <v>5.33</v>
      </c>
      <c r="C27" s="64">
        <v>15.69</v>
      </c>
      <c r="D27" s="64">
        <v>11.09</v>
      </c>
      <c r="E27" s="64">
        <v>6.59</v>
      </c>
      <c r="F27" s="64">
        <v>4.24</v>
      </c>
      <c r="G27" s="64">
        <v>95.01</v>
      </c>
      <c r="H27" s="64">
        <v>29.95</v>
      </c>
      <c r="I27" s="64">
        <v>4.1500000000000004</v>
      </c>
      <c r="J27" s="64">
        <v>0.46</v>
      </c>
      <c r="K27" s="64">
        <v>357.84</v>
      </c>
      <c r="L27" s="64">
        <v>16.37</v>
      </c>
      <c r="M27" s="64">
        <v>99.58</v>
      </c>
      <c r="N27" s="64">
        <v>26.1</v>
      </c>
      <c r="O27" s="64">
        <v>0</v>
      </c>
      <c r="P27" s="64">
        <v>0.71</v>
      </c>
      <c r="Q27" s="64">
        <v>9.6300000000000008</v>
      </c>
      <c r="R27" s="196"/>
      <c r="S27" s="196"/>
      <c r="T27" s="196"/>
      <c r="U27" s="196"/>
    </row>
    <row r="28" spans="1:21" s="12" customFormat="1" x14ac:dyDescent="0.25">
      <c r="A28" s="211" t="s">
        <v>840</v>
      </c>
      <c r="B28" s="64">
        <v>5.94</v>
      </c>
      <c r="C28" s="64">
        <v>15.55</v>
      </c>
      <c r="D28" s="64">
        <v>11.51</v>
      </c>
      <c r="E28" s="64">
        <v>7</v>
      </c>
      <c r="F28" s="64">
        <v>3.91</v>
      </c>
      <c r="G28" s="64">
        <v>99.3</v>
      </c>
      <c r="H28" s="64">
        <v>48.96</v>
      </c>
      <c r="I28" s="64">
        <v>4.17</v>
      </c>
      <c r="J28" s="64">
        <v>0.24</v>
      </c>
      <c r="K28" s="64">
        <v>57.91</v>
      </c>
      <c r="L28" s="64">
        <v>16.34</v>
      </c>
      <c r="M28" s="64">
        <v>99.64</v>
      </c>
      <c r="N28" s="64">
        <v>25.9</v>
      </c>
      <c r="O28" s="64">
        <v>0</v>
      </c>
      <c r="P28" s="64">
        <v>0.73</v>
      </c>
      <c r="Q28" s="64">
        <v>9.64</v>
      </c>
      <c r="R28" s="196"/>
      <c r="S28" s="196"/>
      <c r="T28" s="196"/>
      <c r="U28" s="196"/>
    </row>
    <row r="29" spans="1:21" s="12" customFormat="1" x14ac:dyDescent="0.25">
      <c r="A29" s="211" t="s">
        <v>841</v>
      </c>
      <c r="B29" s="64">
        <v>6.58</v>
      </c>
      <c r="C29" s="64">
        <v>15.51</v>
      </c>
      <c r="D29" s="64">
        <v>12.01</v>
      </c>
      <c r="E29" s="64">
        <v>6.47</v>
      </c>
      <c r="F29" s="64">
        <v>4.16</v>
      </c>
      <c r="G29" s="64">
        <v>111.81</v>
      </c>
      <c r="H29" s="64">
        <v>87</v>
      </c>
      <c r="I29" s="64">
        <v>4.28</v>
      </c>
      <c r="J29" s="64">
        <v>0.37</v>
      </c>
      <c r="K29" s="64">
        <v>31.53</v>
      </c>
      <c r="L29" s="64">
        <v>16.350000000000001</v>
      </c>
      <c r="M29" s="64">
        <v>99.08</v>
      </c>
      <c r="N29" s="64">
        <v>26</v>
      </c>
      <c r="O29" s="64">
        <v>0</v>
      </c>
      <c r="P29" s="64">
        <v>0.82</v>
      </c>
      <c r="Q29" s="64">
        <v>9.6199999999999992</v>
      </c>
      <c r="R29" s="196"/>
      <c r="S29" s="196"/>
      <c r="T29" s="196"/>
      <c r="U29" s="196"/>
    </row>
    <row r="30" spans="1:21" s="12" customFormat="1" x14ac:dyDescent="0.25">
      <c r="A30" s="211" t="s">
        <v>842</v>
      </c>
      <c r="B30" s="64">
        <v>7.14</v>
      </c>
      <c r="C30" s="64">
        <v>15.41</v>
      </c>
      <c r="D30" s="64">
        <v>12.4</v>
      </c>
      <c r="E30" s="64">
        <v>6.8</v>
      </c>
      <c r="F30" s="64">
        <v>3.82</v>
      </c>
      <c r="G30" s="64">
        <v>111.81</v>
      </c>
      <c r="H30" s="64">
        <v>87</v>
      </c>
      <c r="I30" s="64">
        <v>4.34</v>
      </c>
      <c r="J30" s="64">
        <v>0.36</v>
      </c>
      <c r="K30" s="64">
        <v>65.25</v>
      </c>
      <c r="L30" s="64">
        <v>16.399999999999999</v>
      </c>
      <c r="M30" s="64">
        <v>98.52</v>
      </c>
      <c r="N30" s="64">
        <v>25.8</v>
      </c>
      <c r="O30" s="64">
        <v>0</v>
      </c>
      <c r="P30" s="64">
        <v>0.8</v>
      </c>
      <c r="Q30" s="64">
        <v>9.6199999999999992</v>
      </c>
      <c r="R30" s="196"/>
      <c r="S30" s="196"/>
      <c r="T30" s="196"/>
      <c r="U30" s="196"/>
    </row>
    <row r="31" spans="1:21" s="12" customFormat="1" x14ac:dyDescent="0.25">
      <c r="A31" s="211" t="s">
        <v>843</v>
      </c>
      <c r="B31" s="64">
        <v>7.43</v>
      </c>
      <c r="C31" s="64">
        <v>16</v>
      </c>
      <c r="D31" s="64">
        <v>12.94</v>
      </c>
      <c r="E31" s="64">
        <v>6.79</v>
      </c>
      <c r="F31" s="64">
        <v>4.3499999999999996</v>
      </c>
      <c r="G31" s="64">
        <v>111.81</v>
      </c>
      <c r="H31" s="64">
        <v>87</v>
      </c>
      <c r="I31" s="64">
        <v>4.53</v>
      </c>
      <c r="J31" s="64">
        <v>0.1</v>
      </c>
      <c r="K31" s="64">
        <v>64.040000000000006</v>
      </c>
      <c r="L31" s="64">
        <v>16.420000000000002</v>
      </c>
      <c r="M31" s="64">
        <v>97.88</v>
      </c>
      <c r="N31" s="64">
        <v>26</v>
      </c>
      <c r="O31" s="64">
        <v>0</v>
      </c>
      <c r="P31" s="64">
        <v>0.74</v>
      </c>
      <c r="Q31" s="64">
        <v>9.6199999999999992</v>
      </c>
      <c r="R31" s="196"/>
      <c r="S31" s="196"/>
      <c r="T31" s="196"/>
      <c r="U31" s="196"/>
    </row>
    <row r="32" spans="1:21" s="12" customFormat="1" x14ac:dyDescent="0.25">
      <c r="A32" s="211" t="s">
        <v>844</v>
      </c>
      <c r="B32" s="64">
        <v>7.5</v>
      </c>
      <c r="C32" s="64">
        <v>16.559999999999999</v>
      </c>
      <c r="D32" s="64">
        <v>13.29</v>
      </c>
      <c r="E32" s="64">
        <v>7.48</v>
      </c>
      <c r="F32" s="64">
        <v>4.4400000000000004</v>
      </c>
      <c r="G32" s="64">
        <v>121.22</v>
      </c>
      <c r="H32" s="64">
        <v>92.02</v>
      </c>
      <c r="I32" s="64">
        <v>4.72</v>
      </c>
      <c r="J32" s="64">
        <v>0.51</v>
      </c>
      <c r="K32" s="64">
        <v>280.33999999999997</v>
      </c>
      <c r="L32" s="64">
        <v>16.350000000000001</v>
      </c>
      <c r="M32" s="64">
        <v>99.26</v>
      </c>
      <c r="N32" s="64">
        <v>26.2</v>
      </c>
      <c r="O32" s="64">
        <v>0</v>
      </c>
      <c r="P32" s="64">
        <v>0.77</v>
      </c>
      <c r="Q32" s="64">
        <v>9.61</v>
      </c>
      <c r="R32" s="196"/>
      <c r="S32" s="196"/>
      <c r="T32" s="196"/>
      <c r="U32" s="196"/>
    </row>
    <row r="33" spans="1:21" s="12" customFormat="1" x14ac:dyDescent="0.25">
      <c r="A33" s="211" t="s">
        <v>845</v>
      </c>
      <c r="B33" s="64">
        <v>7.81</v>
      </c>
      <c r="C33" s="64">
        <v>17.03</v>
      </c>
      <c r="D33" s="64">
        <v>13.79</v>
      </c>
      <c r="E33" s="64">
        <v>7.77</v>
      </c>
      <c r="F33" s="64">
        <v>4.1900000000000004</v>
      </c>
      <c r="G33" s="64">
        <v>148.62</v>
      </c>
      <c r="H33" s="64">
        <v>102.08</v>
      </c>
      <c r="I33" s="64">
        <v>5.05</v>
      </c>
      <c r="J33" s="64">
        <v>0.52</v>
      </c>
      <c r="K33" s="64">
        <v>259.73</v>
      </c>
      <c r="L33" s="64">
        <v>16.46</v>
      </c>
      <c r="M33" s="64">
        <v>98.51</v>
      </c>
      <c r="N33" s="64">
        <v>28.1</v>
      </c>
      <c r="O33" s="64">
        <v>0</v>
      </c>
      <c r="P33" s="64">
        <v>0.8</v>
      </c>
      <c r="Q33" s="64">
        <v>9.6199999999999992</v>
      </c>
      <c r="R33" s="196"/>
      <c r="S33" s="196"/>
      <c r="T33" s="196"/>
      <c r="U33" s="196"/>
    </row>
    <row r="34" spans="1:21" s="12" customFormat="1" x14ac:dyDescent="0.25">
      <c r="A34" s="211" t="s">
        <v>846</v>
      </c>
      <c r="B34" s="64">
        <v>8.07</v>
      </c>
      <c r="C34" s="64">
        <v>17.73</v>
      </c>
      <c r="D34" s="64">
        <v>14.36</v>
      </c>
      <c r="E34" s="64">
        <v>7.62</v>
      </c>
      <c r="F34" s="64">
        <v>4.43</v>
      </c>
      <c r="G34" s="64">
        <v>148.62</v>
      </c>
      <c r="H34" s="64">
        <v>102.08</v>
      </c>
      <c r="I34" s="64">
        <v>5.18</v>
      </c>
      <c r="J34" s="64">
        <v>0.47</v>
      </c>
      <c r="K34" s="64">
        <v>307.56</v>
      </c>
      <c r="L34" s="64">
        <v>16.37</v>
      </c>
      <c r="M34" s="64">
        <v>98.6</v>
      </c>
      <c r="N34" s="64">
        <v>35.1</v>
      </c>
      <c r="O34" s="64">
        <v>0</v>
      </c>
      <c r="P34" s="64">
        <v>0.82</v>
      </c>
      <c r="Q34" s="64">
        <v>9.6300000000000008</v>
      </c>
      <c r="R34" s="196"/>
      <c r="S34" s="196"/>
      <c r="T34" s="196"/>
      <c r="U34" s="196"/>
    </row>
    <row r="35" spans="1:21" s="12" customFormat="1" x14ac:dyDescent="0.25">
      <c r="A35" s="211" t="s">
        <v>847</v>
      </c>
      <c r="B35" s="64">
        <v>9.31</v>
      </c>
      <c r="C35" s="64">
        <v>18.73</v>
      </c>
      <c r="D35" s="64">
        <v>15.88</v>
      </c>
      <c r="E35" s="64">
        <v>7.65</v>
      </c>
      <c r="F35" s="64">
        <v>4.6900000000000004</v>
      </c>
      <c r="G35" s="64">
        <v>148.62</v>
      </c>
      <c r="H35" s="64">
        <v>102.08</v>
      </c>
      <c r="I35" s="64">
        <v>5.2</v>
      </c>
      <c r="J35" s="64">
        <v>0.34</v>
      </c>
      <c r="K35" s="64">
        <v>6.36</v>
      </c>
      <c r="L35" s="64">
        <v>16.64</v>
      </c>
      <c r="M35" s="64">
        <v>96.67</v>
      </c>
      <c r="N35" s="64">
        <v>48.7</v>
      </c>
      <c r="O35" s="64">
        <v>0</v>
      </c>
      <c r="P35" s="64">
        <v>0.85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848</v>
      </c>
      <c r="B36" s="64">
        <v>11.66</v>
      </c>
      <c r="C36" s="64">
        <v>19.850000000000001</v>
      </c>
      <c r="D36" s="64">
        <v>18.34</v>
      </c>
      <c r="E36" s="64">
        <v>7.67</v>
      </c>
      <c r="F36" s="64">
        <v>3.96</v>
      </c>
      <c r="G36" s="64">
        <v>149.1</v>
      </c>
      <c r="H36" s="64">
        <v>95.34</v>
      </c>
      <c r="I36" s="64">
        <v>5.19</v>
      </c>
      <c r="J36" s="64">
        <v>0.46</v>
      </c>
      <c r="K36" s="64">
        <v>343.17</v>
      </c>
      <c r="L36" s="64">
        <v>17.18</v>
      </c>
      <c r="M36" s="64">
        <v>94.31</v>
      </c>
      <c r="N36" s="64">
        <v>66.599999999999994</v>
      </c>
      <c r="O36" s="64">
        <v>0</v>
      </c>
      <c r="P36" s="64">
        <v>0.88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849</v>
      </c>
      <c r="B37" s="64">
        <v>14</v>
      </c>
      <c r="C37" s="64">
        <v>20.75</v>
      </c>
      <c r="D37" s="64">
        <v>20.69</v>
      </c>
      <c r="E37" s="64">
        <v>7.72</v>
      </c>
      <c r="F37" s="64">
        <v>4.18</v>
      </c>
      <c r="G37" s="64">
        <v>150.49</v>
      </c>
      <c r="H37" s="64">
        <v>81.87</v>
      </c>
      <c r="I37" s="64">
        <v>5.18</v>
      </c>
      <c r="J37" s="64">
        <v>0.21</v>
      </c>
      <c r="K37" s="64">
        <v>38.869999999999997</v>
      </c>
      <c r="L37" s="64">
        <v>17.829999999999998</v>
      </c>
      <c r="M37" s="64">
        <v>91.38</v>
      </c>
      <c r="N37" s="64">
        <v>94.5</v>
      </c>
      <c r="O37" s="64">
        <v>0</v>
      </c>
      <c r="P37" s="64">
        <v>0.89</v>
      </c>
      <c r="Q37" s="64">
        <v>9.6300000000000008</v>
      </c>
      <c r="R37" s="196"/>
      <c r="S37" s="196"/>
      <c r="T37" s="196"/>
      <c r="U37" s="196"/>
    </row>
    <row r="38" spans="1:21" s="12" customFormat="1" x14ac:dyDescent="0.25">
      <c r="A38" s="211" t="s">
        <v>850</v>
      </c>
      <c r="B38" s="64">
        <v>15.3</v>
      </c>
      <c r="C38" s="64">
        <v>20.97</v>
      </c>
      <c r="D38" s="64">
        <v>21.85</v>
      </c>
      <c r="E38" s="64">
        <v>7.74</v>
      </c>
      <c r="F38" s="64">
        <v>4.54</v>
      </c>
      <c r="G38" s="64">
        <v>150.49</v>
      </c>
      <c r="H38" s="64">
        <v>81.87</v>
      </c>
      <c r="I38" s="64">
        <v>5.22</v>
      </c>
      <c r="J38" s="64">
        <v>0.98</v>
      </c>
      <c r="K38" s="64">
        <v>349.43</v>
      </c>
      <c r="L38" s="64">
        <v>19.21</v>
      </c>
      <c r="M38" s="64">
        <v>84.82</v>
      </c>
      <c r="N38" s="64">
        <v>144.19999999999999</v>
      </c>
      <c r="O38" s="64">
        <v>0</v>
      </c>
      <c r="P38" s="64">
        <v>0.92</v>
      </c>
      <c r="Q38" s="64">
        <v>9.6300000000000008</v>
      </c>
      <c r="R38" s="196"/>
      <c r="S38" s="196"/>
      <c r="T38" s="196"/>
      <c r="U38" s="196"/>
    </row>
    <row r="39" spans="1:21" s="12" customFormat="1" x14ac:dyDescent="0.25">
      <c r="A39" s="211" t="s">
        <v>851</v>
      </c>
      <c r="B39" s="64">
        <v>15.57</v>
      </c>
      <c r="C39" s="64">
        <v>21.71</v>
      </c>
      <c r="D39" s="64">
        <v>22.45</v>
      </c>
      <c r="E39" s="64">
        <v>8.36</v>
      </c>
      <c r="F39" s="64">
        <v>4.75</v>
      </c>
      <c r="G39" s="64">
        <v>150.49</v>
      </c>
      <c r="H39" s="64">
        <v>81.87</v>
      </c>
      <c r="I39" s="64">
        <v>4.92</v>
      </c>
      <c r="J39" s="64">
        <v>1.22</v>
      </c>
      <c r="K39" s="64">
        <v>341.81</v>
      </c>
      <c r="L39" s="64">
        <v>21.15</v>
      </c>
      <c r="M39" s="64">
        <v>74.56</v>
      </c>
      <c r="N39" s="64">
        <v>186.7</v>
      </c>
      <c r="O39" s="64">
        <v>0</v>
      </c>
      <c r="P39" s="64">
        <v>0.94</v>
      </c>
      <c r="Q39" s="64">
        <v>9.6300000000000008</v>
      </c>
      <c r="R39" s="196"/>
      <c r="S39" s="196"/>
      <c r="T39" s="196"/>
      <c r="U39" s="196"/>
    </row>
    <row r="40" spans="1:21" s="12" customFormat="1" x14ac:dyDescent="0.25">
      <c r="A40" s="211" t="s">
        <v>852</v>
      </c>
      <c r="B40" s="64">
        <v>15.31</v>
      </c>
      <c r="C40" s="64">
        <v>22.73</v>
      </c>
      <c r="D40" s="64">
        <v>22.78</v>
      </c>
      <c r="E40" s="64">
        <v>4.96</v>
      </c>
      <c r="F40" s="64">
        <v>4.5199999999999996</v>
      </c>
      <c r="G40" s="64">
        <v>147.77000000000001</v>
      </c>
      <c r="H40" s="64">
        <v>78.55</v>
      </c>
      <c r="I40" s="64">
        <v>4.8099999999999996</v>
      </c>
      <c r="J40" s="64">
        <v>1.1499999999999999</v>
      </c>
      <c r="K40" s="64">
        <v>343.45</v>
      </c>
      <c r="L40" s="64">
        <v>22.54</v>
      </c>
      <c r="M40" s="64">
        <v>68.23</v>
      </c>
      <c r="N40" s="64">
        <v>228.3</v>
      </c>
      <c r="O40" s="64">
        <v>0</v>
      </c>
      <c r="P40" s="64">
        <v>0.95</v>
      </c>
      <c r="Q40" s="64">
        <v>9.6300000000000008</v>
      </c>
      <c r="R40" s="196"/>
      <c r="S40" s="196"/>
      <c r="T40" s="196"/>
      <c r="U40" s="196"/>
    </row>
    <row r="41" spans="1:21" s="12" customFormat="1" x14ac:dyDescent="0.25">
      <c r="A41" s="211" t="s">
        <v>853</v>
      </c>
      <c r="B41" s="64">
        <v>15.04</v>
      </c>
      <c r="C41" s="64">
        <v>21.45</v>
      </c>
      <c r="D41" s="64">
        <v>21.88</v>
      </c>
      <c r="E41" s="64">
        <v>7.33</v>
      </c>
      <c r="F41" s="64">
        <v>4.82</v>
      </c>
      <c r="G41" s="64">
        <v>139.85</v>
      </c>
      <c r="H41" s="64">
        <v>63.92</v>
      </c>
      <c r="I41" s="64">
        <v>4.9000000000000004</v>
      </c>
      <c r="J41" s="64">
        <v>0.95</v>
      </c>
      <c r="K41" s="64">
        <v>340.56</v>
      </c>
      <c r="L41" s="64">
        <v>23.85</v>
      </c>
      <c r="M41" s="64">
        <v>62.51</v>
      </c>
      <c r="N41" s="64">
        <v>267.89999999999998</v>
      </c>
      <c r="O41" s="64">
        <v>0</v>
      </c>
      <c r="P41" s="64">
        <v>0.96</v>
      </c>
      <c r="Q41" s="64">
        <v>9.61</v>
      </c>
      <c r="R41" s="196"/>
      <c r="S41" s="196"/>
      <c r="T41" s="196"/>
      <c r="U41" s="196"/>
    </row>
    <row r="42" spans="1:21" s="12" customFormat="1" x14ac:dyDescent="0.25">
      <c r="A42" s="211" t="s">
        <v>854</v>
      </c>
      <c r="B42" s="64">
        <v>15.01</v>
      </c>
      <c r="C42" s="64">
        <v>21.8</v>
      </c>
      <c r="D42" s="64">
        <v>22.05</v>
      </c>
      <c r="E42" s="64">
        <v>7.12</v>
      </c>
      <c r="F42" s="64">
        <v>4.72</v>
      </c>
      <c r="G42" s="64">
        <v>139.85</v>
      </c>
      <c r="H42" s="64">
        <v>63.92</v>
      </c>
      <c r="I42" s="64">
        <v>4.3899999999999997</v>
      </c>
      <c r="J42" s="64">
        <v>0.64</v>
      </c>
      <c r="K42" s="64">
        <v>335.85</v>
      </c>
      <c r="L42" s="64">
        <v>24.37</v>
      </c>
      <c r="M42" s="64">
        <v>60.76</v>
      </c>
      <c r="N42" s="64">
        <v>311.60000000000002</v>
      </c>
      <c r="O42" s="64">
        <v>0</v>
      </c>
      <c r="P42" s="64">
        <v>0.96</v>
      </c>
      <c r="Q42" s="64">
        <v>9.6300000000000008</v>
      </c>
      <c r="R42" s="196"/>
      <c r="S42" s="196"/>
      <c r="T42" s="196"/>
      <c r="U42" s="196"/>
    </row>
    <row r="43" spans="1:21" s="12" customFormat="1" x14ac:dyDescent="0.25">
      <c r="A43" s="211" t="s">
        <v>855</v>
      </c>
      <c r="B43" s="64">
        <v>14.82</v>
      </c>
      <c r="C43" s="64">
        <v>21.91</v>
      </c>
      <c r="D43" s="64">
        <v>21.96</v>
      </c>
      <c r="E43" s="64">
        <v>6.65</v>
      </c>
      <c r="F43" s="64">
        <v>4.78</v>
      </c>
      <c r="G43" s="64">
        <v>139.85</v>
      </c>
      <c r="H43" s="64">
        <v>63.92</v>
      </c>
      <c r="I43" s="64">
        <v>4.51</v>
      </c>
      <c r="J43" s="64">
        <v>0.78</v>
      </c>
      <c r="K43" s="64">
        <v>332.27</v>
      </c>
      <c r="L43" s="64">
        <v>24.99</v>
      </c>
      <c r="M43" s="64">
        <v>57.75</v>
      </c>
      <c r="N43" s="64">
        <v>353.3</v>
      </c>
      <c r="O43" s="64">
        <v>0</v>
      </c>
      <c r="P43" s="64">
        <v>0.93</v>
      </c>
      <c r="Q43" s="64">
        <v>9.6300000000000008</v>
      </c>
      <c r="R43" s="196"/>
      <c r="S43" s="196"/>
      <c r="T43" s="196"/>
      <c r="U43" s="196"/>
    </row>
    <row r="44" spans="1:21" s="12" customFormat="1" x14ac:dyDescent="0.25">
      <c r="A44" s="211" t="s">
        <v>856</v>
      </c>
      <c r="B44" s="64">
        <v>14.56</v>
      </c>
      <c r="C44" s="64">
        <v>22.31</v>
      </c>
      <c r="D44" s="64">
        <v>21.96</v>
      </c>
      <c r="E44" s="64">
        <v>7.1</v>
      </c>
      <c r="F44" s="64">
        <v>4.63</v>
      </c>
      <c r="G44" s="64">
        <v>140.79</v>
      </c>
      <c r="H44" s="64">
        <v>63.65</v>
      </c>
      <c r="I44" s="64">
        <v>4.41</v>
      </c>
      <c r="J44" s="64">
        <v>1.1499999999999999</v>
      </c>
      <c r="K44" s="64">
        <v>337.42</v>
      </c>
      <c r="L44" s="64">
        <v>25.95</v>
      </c>
      <c r="M44" s="64">
        <v>56.72</v>
      </c>
      <c r="N44" s="64">
        <v>400.6</v>
      </c>
      <c r="O44" s="64">
        <v>0</v>
      </c>
      <c r="P44" s="64">
        <v>0.98</v>
      </c>
      <c r="Q44" s="64">
        <v>9.6300000000000008</v>
      </c>
      <c r="R44" s="196"/>
      <c r="S44" s="196"/>
      <c r="T44" s="196"/>
      <c r="U44" s="196"/>
    </row>
    <row r="45" spans="1:21" s="12" customFormat="1" x14ac:dyDescent="0.25">
      <c r="A45" s="211" t="s">
        <v>857</v>
      </c>
      <c r="B45" s="64">
        <v>14.28</v>
      </c>
      <c r="C45" s="64">
        <v>22.68</v>
      </c>
      <c r="D45" s="64">
        <v>21.92</v>
      </c>
      <c r="E45" s="64">
        <v>6.98</v>
      </c>
      <c r="F45" s="64">
        <v>4.78</v>
      </c>
      <c r="G45" s="64">
        <v>143.54</v>
      </c>
      <c r="H45" s="64">
        <v>63.14</v>
      </c>
      <c r="I45" s="64">
        <v>4.58</v>
      </c>
      <c r="J45" s="64">
        <v>1.31</v>
      </c>
      <c r="K45" s="64">
        <v>336.59</v>
      </c>
      <c r="L45" s="64">
        <v>26.65</v>
      </c>
      <c r="M45" s="64">
        <v>53.16</v>
      </c>
      <c r="N45" s="64">
        <v>433.5</v>
      </c>
      <c r="O45" s="64">
        <v>0</v>
      </c>
      <c r="P45" s="64">
        <v>0.94</v>
      </c>
      <c r="Q45" s="64">
        <v>9.6300000000000008</v>
      </c>
      <c r="R45" s="196"/>
      <c r="S45" s="196"/>
      <c r="T45" s="196"/>
      <c r="U45" s="196"/>
    </row>
    <row r="46" spans="1:21" s="12" customFormat="1" x14ac:dyDescent="0.25">
      <c r="A46" s="211" t="s">
        <v>858</v>
      </c>
      <c r="B46" s="64">
        <v>13.55</v>
      </c>
      <c r="C46" s="64">
        <v>22.89</v>
      </c>
      <c r="D46" s="64">
        <v>21.45</v>
      </c>
      <c r="E46" s="64">
        <v>7.16</v>
      </c>
      <c r="F46" s="64">
        <v>5.09</v>
      </c>
      <c r="G46" s="64">
        <v>143.54</v>
      </c>
      <c r="H46" s="64">
        <v>63.14</v>
      </c>
      <c r="I46" s="64">
        <v>4.8899999999999997</v>
      </c>
      <c r="J46" s="64">
        <v>1.34</v>
      </c>
      <c r="K46" s="64">
        <v>334.83</v>
      </c>
      <c r="L46" s="64">
        <v>27.75</v>
      </c>
      <c r="M46" s="64">
        <v>48.96</v>
      </c>
      <c r="N46" s="64">
        <v>471.2</v>
      </c>
      <c r="O46" s="64">
        <v>0</v>
      </c>
      <c r="P46" s="64">
        <v>0.96</v>
      </c>
      <c r="Q46" s="64">
        <v>9.6300000000000008</v>
      </c>
      <c r="R46" s="196"/>
      <c r="S46" s="196"/>
      <c r="T46" s="196"/>
      <c r="U46" s="196"/>
    </row>
    <row r="47" spans="1:21" s="12" customFormat="1" x14ac:dyDescent="0.25">
      <c r="A47" s="211" t="s">
        <v>859</v>
      </c>
      <c r="B47" s="64">
        <v>12.48</v>
      </c>
      <c r="C47" s="64">
        <v>22.98</v>
      </c>
      <c r="D47" s="64">
        <v>20.64</v>
      </c>
      <c r="E47" s="64">
        <v>7.07</v>
      </c>
      <c r="F47" s="64">
        <v>4.29</v>
      </c>
      <c r="G47" s="64">
        <v>143.54</v>
      </c>
      <c r="H47" s="64">
        <v>63.14</v>
      </c>
      <c r="I47" s="64">
        <v>4.88</v>
      </c>
      <c r="J47" s="64">
        <v>0.4</v>
      </c>
      <c r="K47" s="64">
        <v>90.25</v>
      </c>
      <c r="L47" s="64">
        <v>26.85</v>
      </c>
      <c r="M47" s="64">
        <v>51.41</v>
      </c>
      <c r="N47" s="64">
        <v>493</v>
      </c>
      <c r="O47" s="64">
        <v>0</v>
      </c>
      <c r="P47" s="64">
        <v>0.92</v>
      </c>
      <c r="Q47" s="64">
        <v>9.6199999999999992</v>
      </c>
      <c r="R47" s="196"/>
      <c r="S47" s="196"/>
      <c r="T47" s="196"/>
      <c r="U47" s="196"/>
    </row>
    <row r="48" spans="1:21" s="12" customFormat="1" x14ac:dyDescent="0.25">
      <c r="A48" s="211" t="s">
        <v>860</v>
      </c>
      <c r="B48" s="64">
        <v>11.44</v>
      </c>
      <c r="C48" s="64">
        <v>23.56</v>
      </c>
      <c r="D48" s="64">
        <v>20.11</v>
      </c>
      <c r="E48" s="64">
        <v>6.9</v>
      </c>
      <c r="F48" s="64">
        <v>4.01</v>
      </c>
      <c r="G48" s="64">
        <v>139.82</v>
      </c>
      <c r="H48" s="64">
        <v>59.85</v>
      </c>
      <c r="I48" s="64">
        <v>4.96</v>
      </c>
      <c r="J48" s="64">
        <v>0.35</v>
      </c>
      <c r="K48" s="64">
        <v>77.489999999999995</v>
      </c>
      <c r="L48" s="64">
        <v>26.16</v>
      </c>
      <c r="M48" s="64">
        <v>52.79</v>
      </c>
      <c r="N48" s="64">
        <v>515.4</v>
      </c>
      <c r="O48" s="64">
        <v>0</v>
      </c>
      <c r="P48" s="64">
        <v>0.94</v>
      </c>
      <c r="Q48" s="64">
        <v>9.6199999999999992</v>
      </c>
      <c r="R48" s="196"/>
      <c r="S48" s="196"/>
      <c r="T48" s="196"/>
      <c r="U48" s="196"/>
    </row>
    <row r="49" spans="1:21" s="12" customFormat="1" x14ac:dyDescent="0.25">
      <c r="A49" s="211" t="s">
        <v>861</v>
      </c>
      <c r="B49" s="64">
        <v>10.16</v>
      </c>
      <c r="C49" s="64">
        <v>24.17</v>
      </c>
      <c r="D49" s="64">
        <v>19.399999999999999</v>
      </c>
      <c r="E49" s="64">
        <v>6.88</v>
      </c>
      <c r="F49" s="64">
        <v>4.66</v>
      </c>
      <c r="G49" s="64">
        <v>129</v>
      </c>
      <c r="H49" s="64">
        <v>53.57</v>
      </c>
      <c r="I49" s="64">
        <v>5.4</v>
      </c>
      <c r="J49" s="64">
        <v>0.65</v>
      </c>
      <c r="K49" s="64">
        <v>355.82</v>
      </c>
      <c r="L49" s="64">
        <v>27.47</v>
      </c>
      <c r="M49" s="64">
        <v>49.1</v>
      </c>
      <c r="N49" s="64">
        <v>545.20000000000005</v>
      </c>
      <c r="O49" s="64">
        <v>0</v>
      </c>
      <c r="P49" s="64">
        <v>0.94</v>
      </c>
      <c r="Q49" s="64">
        <v>9.61</v>
      </c>
      <c r="R49" s="196"/>
      <c r="S49" s="196"/>
      <c r="T49" s="196"/>
      <c r="U49" s="196"/>
    </row>
    <row r="50" spans="1:21" s="12" customFormat="1" x14ac:dyDescent="0.25">
      <c r="A50" s="211" t="s">
        <v>862</v>
      </c>
      <c r="B50" s="64">
        <v>8.81</v>
      </c>
      <c r="C50" s="64">
        <v>24.41</v>
      </c>
      <c r="D50" s="64">
        <v>18.440000000000001</v>
      </c>
      <c r="E50" s="64">
        <v>6.75</v>
      </c>
      <c r="F50" s="64">
        <v>5.08</v>
      </c>
      <c r="G50" s="64">
        <v>129</v>
      </c>
      <c r="H50" s="64">
        <v>53.57</v>
      </c>
      <c r="I50" s="64">
        <v>5.75</v>
      </c>
      <c r="J50" s="64">
        <v>1.53</v>
      </c>
      <c r="K50" s="64">
        <v>117.91</v>
      </c>
      <c r="L50" s="64">
        <v>24.78</v>
      </c>
      <c r="M50" s="64">
        <v>56.79</v>
      </c>
      <c r="N50" s="64">
        <v>579.6</v>
      </c>
      <c r="O50" s="64">
        <v>0</v>
      </c>
      <c r="P50" s="64">
        <v>0.94</v>
      </c>
      <c r="Q50" s="64">
        <v>9.61</v>
      </c>
      <c r="R50" s="196"/>
      <c r="S50" s="196"/>
      <c r="T50" s="196"/>
      <c r="U50" s="196"/>
    </row>
    <row r="51" spans="1:21" s="12" customFormat="1" x14ac:dyDescent="0.25">
      <c r="A51" s="211" t="s">
        <v>863</v>
      </c>
      <c r="B51" s="64">
        <v>7.08</v>
      </c>
      <c r="C51" s="64">
        <v>24.43</v>
      </c>
      <c r="D51" s="64">
        <v>17.07</v>
      </c>
      <c r="E51" s="64">
        <v>6.45</v>
      </c>
      <c r="F51" s="64">
        <v>5.0199999999999996</v>
      </c>
      <c r="G51" s="64">
        <v>129</v>
      </c>
      <c r="H51" s="64">
        <v>53.57</v>
      </c>
      <c r="I51" s="64">
        <v>5.89</v>
      </c>
      <c r="J51" s="64">
        <v>1.07</v>
      </c>
      <c r="K51" s="64">
        <v>124.37</v>
      </c>
      <c r="L51" s="64">
        <v>24.55</v>
      </c>
      <c r="M51" s="64">
        <v>56.76</v>
      </c>
      <c r="N51" s="64">
        <v>603.1</v>
      </c>
      <c r="O51" s="64">
        <v>0</v>
      </c>
      <c r="P51" s="64">
        <v>0.92</v>
      </c>
      <c r="Q51" s="64">
        <v>9.61</v>
      </c>
      <c r="R51" s="196"/>
      <c r="S51" s="196"/>
      <c r="T51" s="196"/>
      <c r="U51" s="196"/>
    </row>
    <row r="52" spans="1:21" s="12" customFormat="1" x14ac:dyDescent="0.25">
      <c r="A52" s="211" t="s">
        <v>864</v>
      </c>
      <c r="B52" s="64">
        <v>5.57</v>
      </c>
      <c r="C52" s="64">
        <v>24.02</v>
      </c>
      <c r="D52" s="64">
        <v>15.64</v>
      </c>
      <c r="E52" s="64">
        <v>6.31</v>
      </c>
      <c r="F52" s="64">
        <v>5.0999999999999996</v>
      </c>
      <c r="G52" s="64">
        <v>124.78</v>
      </c>
      <c r="H52" s="64">
        <v>52.51</v>
      </c>
      <c r="I52" s="64">
        <v>6.32</v>
      </c>
      <c r="J52" s="64">
        <v>1.53</v>
      </c>
      <c r="K52" s="64">
        <v>125.06</v>
      </c>
      <c r="L52" s="64">
        <v>24.56</v>
      </c>
      <c r="M52" s="64">
        <v>56.13</v>
      </c>
      <c r="N52" s="64">
        <v>593</v>
      </c>
      <c r="O52" s="64">
        <v>0</v>
      </c>
      <c r="P52" s="64">
        <v>0.89</v>
      </c>
      <c r="Q52" s="64">
        <v>9.61</v>
      </c>
      <c r="R52" s="196"/>
      <c r="S52" s="196"/>
      <c r="T52" s="196"/>
      <c r="U52" s="196"/>
    </row>
    <row r="53" spans="1:21" s="12" customFormat="1" x14ac:dyDescent="0.25">
      <c r="A53" s="211" t="s">
        <v>865</v>
      </c>
      <c r="B53" s="64">
        <v>4.32</v>
      </c>
      <c r="C53" s="64">
        <v>23.05</v>
      </c>
      <c r="D53" s="64">
        <v>14.13</v>
      </c>
      <c r="E53" s="64">
        <v>6.22</v>
      </c>
      <c r="F53" s="64">
        <v>5.43</v>
      </c>
      <c r="G53" s="64">
        <v>112.49</v>
      </c>
      <c r="H53" s="64">
        <v>50.48</v>
      </c>
      <c r="I53" s="64">
        <v>6.74</v>
      </c>
      <c r="J53" s="64">
        <v>0.67</v>
      </c>
      <c r="K53" s="64">
        <v>92.34</v>
      </c>
      <c r="L53" s="64">
        <v>24.99</v>
      </c>
      <c r="M53" s="64">
        <v>55.8</v>
      </c>
      <c r="N53" s="64">
        <v>630.70000000000005</v>
      </c>
      <c r="O53" s="64">
        <v>0</v>
      </c>
      <c r="P53" s="64">
        <v>0.86</v>
      </c>
      <c r="Q53" s="64">
        <v>9.6199999999999992</v>
      </c>
      <c r="R53" s="196"/>
      <c r="S53" s="196"/>
      <c r="T53" s="196"/>
      <c r="U53" s="196"/>
    </row>
    <row r="54" spans="1:21" s="12" customFormat="1" x14ac:dyDescent="0.25">
      <c r="A54" s="211" t="s">
        <v>866</v>
      </c>
      <c r="B54" s="64">
        <v>3.7</v>
      </c>
      <c r="C54" s="64">
        <v>22.64</v>
      </c>
      <c r="D54" s="64">
        <v>13.42</v>
      </c>
      <c r="E54" s="64">
        <v>6.34</v>
      </c>
      <c r="F54" s="64">
        <v>5.26</v>
      </c>
      <c r="G54" s="64">
        <v>112.49</v>
      </c>
      <c r="H54" s="64">
        <v>50.48</v>
      </c>
      <c r="I54" s="64">
        <v>6.51</v>
      </c>
      <c r="J54" s="64">
        <v>0.59</v>
      </c>
      <c r="K54" s="64">
        <v>116.74</v>
      </c>
      <c r="L54" s="64">
        <v>26.37</v>
      </c>
      <c r="M54" s="64">
        <v>49.56</v>
      </c>
      <c r="N54" s="64">
        <v>451.1</v>
      </c>
      <c r="O54" s="64">
        <v>0</v>
      </c>
      <c r="P54" s="64">
        <v>0.84</v>
      </c>
      <c r="Q54" s="64">
        <v>9.6199999999999992</v>
      </c>
      <c r="R54" s="196"/>
      <c r="S54" s="196"/>
      <c r="T54" s="196"/>
      <c r="U54" s="196"/>
    </row>
    <row r="55" spans="1:21" s="12" customFormat="1" x14ac:dyDescent="0.25">
      <c r="A55" s="211" t="s">
        <v>867</v>
      </c>
      <c r="B55" s="64">
        <v>3.17</v>
      </c>
      <c r="C55" s="64">
        <v>21.56</v>
      </c>
      <c r="D55" s="64">
        <v>12.43</v>
      </c>
      <c r="E55" s="64">
        <v>6.26</v>
      </c>
      <c r="F55" s="64">
        <v>5.39</v>
      </c>
      <c r="G55" s="64">
        <v>112.49</v>
      </c>
      <c r="H55" s="64">
        <v>50.48</v>
      </c>
      <c r="I55" s="64">
        <v>6.47</v>
      </c>
      <c r="J55" s="64">
        <v>1.1599999999999999</v>
      </c>
      <c r="K55" s="64">
        <v>122.52</v>
      </c>
      <c r="L55" s="64">
        <v>25.05</v>
      </c>
      <c r="M55" s="64">
        <v>51.23</v>
      </c>
      <c r="N55" s="64">
        <v>596.29999999999995</v>
      </c>
      <c r="O55" s="64">
        <v>0</v>
      </c>
      <c r="P55" s="64">
        <v>0.81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868</v>
      </c>
      <c r="B56" s="64">
        <v>2.62</v>
      </c>
      <c r="C56" s="64">
        <v>20.57</v>
      </c>
      <c r="D56" s="64">
        <v>11.47</v>
      </c>
      <c r="E56" s="64">
        <v>4.75</v>
      </c>
      <c r="F56" s="64">
        <v>6.14</v>
      </c>
      <c r="G56" s="64">
        <v>106.5</v>
      </c>
      <c r="H56" s="64">
        <v>49.06</v>
      </c>
      <c r="I56" s="64">
        <v>6.51</v>
      </c>
      <c r="J56" s="64">
        <v>0.69</v>
      </c>
      <c r="K56" s="64">
        <v>125.12</v>
      </c>
      <c r="L56" s="64">
        <v>24.83</v>
      </c>
      <c r="M56" s="64">
        <v>53.29</v>
      </c>
      <c r="N56" s="64">
        <v>322.5</v>
      </c>
      <c r="O56" s="64">
        <v>0</v>
      </c>
      <c r="P56" s="64">
        <v>0.78</v>
      </c>
      <c r="Q56" s="64">
        <v>9.6199999999999992</v>
      </c>
      <c r="R56" s="196"/>
      <c r="S56" s="196"/>
      <c r="T56" s="196"/>
      <c r="U56" s="196"/>
    </row>
    <row r="57" spans="1:21" s="12" customFormat="1" x14ac:dyDescent="0.25">
      <c r="A57" s="211" t="s">
        <v>869</v>
      </c>
      <c r="B57" s="64">
        <v>2.44</v>
      </c>
      <c r="C57" s="64">
        <v>19.399999999999999</v>
      </c>
      <c r="D57" s="64">
        <v>10.72</v>
      </c>
      <c r="E57" s="64">
        <v>5.82</v>
      </c>
      <c r="F57" s="64">
        <v>5.75</v>
      </c>
      <c r="G57" s="64">
        <v>89.05</v>
      </c>
      <c r="H57" s="64">
        <v>43.41</v>
      </c>
      <c r="I57" s="64">
        <v>6.45</v>
      </c>
      <c r="J57" s="64">
        <v>0.99</v>
      </c>
      <c r="K57" s="64">
        <v>116.18</v>
      </c>
      <c r="L57" s="64">
        <v>24.94</v>
      </c>
      <c r="M57" s="64">
        <v>51.68</v>
      </c>
      <c r="N57" s="64">
        <v>518.29999999999995</v>
      </c>
      <c r="O57" s="64">
        <v>0</v>
      </c>
      <c r="P57" s="64">
        <v>0.65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870</v>
      </c>
      <c r="B58" s="64">
        <v>2.4</v>
      </c>
      <c r="C58" s="64">
        <v>17.07</v>
      </c>
      <c r="D58" s="64">
        <v>9.4700000000000006</v>
      </c>
      <c r="E58" s="64">
        <v>5.7</v>
      </c>
      <c r="F58" s="64">
        <v>5.62</v>
      </c>
      <c r="G58" s="64">
        <v>89.05</v>
      </c>
      <c r="H58" s="64">
        <v>43.41</v>
      </c>
      <c r="I58" s="64">
        <v>5.08</v>
      </c>
      <c r="J58" s="64">
        <v>0.44</v>
      </c>
      <c r="K58" s="64">
        <v>157.63</v>
      </c>
      <c r="L58" s="64">
        <v>25.67</v>
      </c>
      <c r="M58" s="64">
        <v>49.62</v>
      </c>
      <c r="N58" s="64">
        <v>591.29999999999995</v>
      </c>
      <c r="O58" s="64">
        <v>0</v>
      </c>
      <c r="P58" s="64">
        <v>0.69</v>
      </c>
      <c r="Q58" s="64">
        <v>9.61</v>
      </c>
      <c r="R58" s="196"/>
      <c r="S58" s="196"/>
      <c r="T58" s="196"/>
      <c r="U58" s="196"/>
    </row>
    <row r="59" spans="1:21" s="12" customFormat="1" x14ac:dyDescent="0.25">
      <c r="A59" s="211" t="s">
        <v>871</v>
      </c>
      <c r="B59" s="64">
        <v>2.41</v>
      </c>
      <c r="C59" s="64">
        <v>16.27</v>
      </c>
      <c r="D59" s="64">
        <v>9.06</v>
      </c>
      <c r="E59" s="64">
        <v>5.56</v>
      </c>
      <c r="F59" s="64">
        <v>6.27</v>
      </c>
      <c r="G59" s="64">
        <v>89.05</v>
      </c>
      <c r="H59" s="64">
        <v>43.41</v>
      </c>
      <c r="I59" s="64">
        <v>4.95</v>
      </c>
      <c r="J59" s="64">
        <v>0.78</v>
      </c>
      <c r="K59" s="64">
        <v>339.82</v>
      </c>
      <c r="L59" s="64">
        <v>27.51</v>
      </c>
      <c r="M59" s="64">
        <v>46.06</v>
      </c>
      <c r="N59" s="64">
        <v>477.6</v>
      </c>
      <c r="O59" s="64">
        <v>0</v>
      </c>
      <c r="P59" s="64">
        <v>0.67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872</v>
      </c>
      <c r="B60" s="64">
        <v>2.62</v>
      </c>
      <c r="C60" s="64">
        <v>16.28</v>
      </c>
      <c r="D60" s="64">
        <v>9.23</v>
      </c>
      <c r="E60" s="64">
        <v>5.85</v>
      </c>
      <c r="F60" s="64">
        <v>5.64</v>
      </c>
      <c r="G60" s="64">
        <v>84.92</v>
      </c>
      <c r="H60" s="64">
        <v>40.75</v>
      </c>
      <c r="I60" s="64">
        <v>4.58</v>
      </c>
      <c r="J60" s="64">
        <v>1.06</v>
      </c>
      <c r="K60" s="64">
        <v>113.25</v>
      </c>
      <c r="L60" s="64">
        <v>26.75</v>
      </c>
      <c r="M60" s="64">
        <v>47.61</v>
      </c>
      <c r="N60" s="64">
        <v>545.5</v>
      </c>
      <c r="O60" s="64">
        <v>0</v>
      </c>
      <c r="P60" s="64">
        <v>0.64</v>
      </c>
      <c r="Q60" s="64">
        <v>9.6199999999999992</v>
      </c>
      <c r="R60" s="196"/>
      <c r="S60" s="196"/>
      <c r="T60" s="196"/>
      <c r="U60" s="196"/>
    </row>
    <row r="61" spans="1:21" s="12" customFormat="1" x14ac:dyDescent="0.25">
      <c r="A61" s="211" t="s">
        <v>873</v>
      </c>
      <c r="B61" s="64">
        <v>2.72</v>
      </c>
      <c r="C61" s="64">
        <v>16.11</v>
      </c>
      <c r="D61" s="64">
        <v>9.2200000000000006</v>
      </c>
      <c r="E61" s="64">
        <v>5.68</v>
      </c>
      <c r="F61" s="64">
        <v>6.4</v>
      </c>
      <c r="G61" s="64">
        <v>72.89</v>
      </c>
      <c r="H61" s="64">
        <v>35.67</v>
      </c>
      <c r="I61" s="64">
        <v>4.45</v>
      </c>
      <c r="J61" s="64">
        <v>0.3</v>
      </c>
      <c r="K61" s="64">
        <v>41.43</v>
      </c>
      <c r="L61" s="64">
        <v>26.12</v>
      </c>
      <c r="M61" s="64">
        <v>47.8</v>
      </c>
      <c r="N61" s="64">
        <v>365.1</v>
      </c>
      <c r="O61" s="64">
        <v>0</v>
      </c>
      <c r="P61" s="64">
        <v>0.65</v>
      </c>
      <c r="Q61" s="64">
        <v>9.6</v>
      </c>
      <c r="R61" s="196"/>
      <c r="S61" s="196"/>
      <c r="T61" s="196"/>
      <c r="U61" s="196"/>
    </row>
    <row r="62" spans="1:21" s="12" customFormat="1" x14ac:dyDescent="0.25">
      <c r="A62" s="211" t="s">
        <v>874</v>
      </c>
      <c r="B62" s="64">
        <v>2.82</v>
      </c>
      <c r="C62" s="64">
        <v>16.04</v>
      </c>
      <c r="D62" s="64">
        <v>9.26</v>
      </c>
      <c r="E62" s="64">
        <v>5.66</v>
      </c>
      <c r="F62" s="64">
        <v>5.72</v>
      </c>
      <c r="G62" s="64">
        <v>72.89</v>
      </c>
      <c r="H62" s="64">
        <v>35.67</v>
      </c>
      <c r="I62" s="64">
        <v>4.55</v>
      </c>
      <c r="J62" s="64">
        <v>0.2</v>
      </c>
      <c r="K62" s="64">
        <v>355.63</v>
      </c>
      <c r="L62" s="64">
        <v>26.75</v>
      </c>
      <c r="M62" s="64">
        <v>46.92</v>
      </c>
      <c r="N62" s="64">
        <v>317.8</v>
      </c>
      <c r="O62" s="64">
        <v>0</v>
      </c>
      <c r="P62" s="64">
        <v>0.61</v>
      </c>
      <c r="Q62" s="64">
        <v>9.61</v>
      </c>
      <c r="R62" s="196"/>
      <c r="S62" s="196"/>
      <c r="T62" s="196"/>
      <c r="U62" s="196"/>
    </row>
    <row r="63" spans="1:21" s="12" customFormat="1" x14ac:dyDescent="0.25">
      <c r="A63" s="211" t="s">
        <v>875</v>
      </c>
      <c r="B63" s="64">
        <v>3.07</v>
      </c>
      <c r="C63" s="64">
        <v>16.309999999999999</v>
      </c>
      <c r="D63" s="64">
        <v>9.61</v>
      </c>
      <c r="E63" s="64">
        <v>5.35</v>
      </c>
      <c r="F63" s="64">
        <v>5</v>
      </c>
      <c r="G63" s="64">
        <v>72.89</v>
      </c>
      <c r="H63" s="64">
        <v>35.67</v>
      </c>
      <c r="I63" s="64">
        <v>3.78</v>
      </c>
      <c r="J63" s="64">
        <v>0.6</v>
      </c>
      <c r="K63" s="64">
        <v>338.15</v>
      </c>
      <c r="L63" s="64">
        <v>26.96</v>
      </c>
      <c r="M63" s="64">
        <v>46.71</v>
      </c>
      <c r="N63" s="64">
        <v>378.5</v>
      </c>
      <c r="O63" s="64">
        <v>0</v>
      </c>
      <c r="P63" s="64">
        <v>0.69</v>
      </c>
      <c r="Q63" s="64">
        <v>9.6199999999999992</v>
      </c>
      <c r="R63" s="196"/>
      <c r="S63" s="196"/>
      <c r="T63" s="196"/>
      <c r="U63" s="196"/>
    </row>
    <row r="64" spans="1:21" s="12" customFormat="1" x14ac:dyDescent="0.25">
      <c r="A64" s="211" t="s">
        <v>876</v>
      </c>
      <c r="B64" s="64">
        <v>3.43</v>
      </c>
      <c r="C64" s="64">
        <v>16.98</v>
      </c>
      <c r="D64" s="64">
        <v>10.25</v>
      </c>
      <c r="E64" s="64">
        <v>5.56</v>
      </c>
      <c r="F64" s="64">
        <v>5.03</v>
      </c>
      <c r="G64" s="64">
        <v>72.540000000000006</v>
      </c>
      <c r="H64" s="64">
        <v>36.159999999999997</v>
      </c>
      <c r="I64" s="64">
        <v>3.48</v>
      </c>
      <c r="J64" s="64">
        <v>0.63</v>
      </c>
      <c r="K64" s="64">
        <v>348.73</v>
      </c>
      <c r="L64" s="64">
        <v>27.05</v>
      </c>
      <c r="M64" s="64">
        <v>45.28</v>
      </c>
      <c r="N64" s="64">
        <v>245.6</v>
      </c>
      <c r="O64" s="64">
        <v>0</v>
      </c>
      <c r="P64" s="64">
        <v>0.68</v>
      </c>
      <c r="Q64" s="64">
        <v>9.61</v>
      </c>
      <c r="R64" s="196"/>
      <c r="S64" s="196"/>
      <c r="T64" s="196"/>
      <c r="U64" s="196"/>
    </row>
    <row r="65" spans="1:21" s="12" customFormat="1" x14ac:dyDescent="0.25">
      <c r="A65" s="211" t="s">
        <v>877</v>
      </c>
      <c r="B65" s="64">
        <v>3.5</v>
      </c>
      <c r="C65" s="64">
        <v>18.07</v>
      </c>
      <c r="D65" s="64">
        <v>10.87</v>
      </c>
      <c r="E65" s="64">
        <v>5.76</v>
      </c>
      <c r="F65" s="64">
        <v>5.78</v>
      </c>
      <c r="G65" s="64">
        <v>71.52</v>
      </c>
      <c r="H65" s="64">
        <v>37.1</v>
      </c>
      <c r="I65" s="64">
        <v>3.87</v>
      </c>
      <c r="J65" s="64">
        <v>0.38</v>
      </c>
      <c r="K65" s="64">
        <v>35.119999999999997</v>
      </c>
      <c r="L65" s="64">
        <v>26.86</v>
      </c>
      <c r="M65" s="64">
        <v>46.24</v>
      </c>
      <c r="N65" s="64">
        <v>205.5</v>
      </c>
      <c r="O65" s="64">
        <v>0</v>
      </c>
      <c r="P65" s="64">
        <v>0.65</v>
      </c>
      <c r="Q65" s="64">
        <v>9.61</v>
      </c>
      <c r="R65" s="196"/>
      <c r="S65" s="196"/>
      <c r="T65" s="196"/>
      <c r="U65" s="196"/>
    </row>
    <row r="66" spans="1:21" s="12" customFormat="1" x14ac:dyDescent="0.25">
      <c r="A66" s="211" t="s">
        <v>878</v>
      </c>
      <c r="B66" s="64">
        <v>3.49</v>
      </c>
      <c r="C66" s="64">
        <v>18.829999999999998</v>
      </c>
      <c r="D66" s="64">
        <v>11.26</v>
      </c>
      <c r="E66" s="64">
        <v>5.6</v>
      </c>
      <c r="F66" s="64">
        <v>5.45</v>
      </c>
      <c r="G66" s="64">
        <v>71.52</v>
      </c>
      <c r="H66" s="64">
        <v>37.1</v>
      </c>
      <c r="I66" s="64">
        <v>4.96</v>
      </c>
      <c r="J66" s="64">
        <v>0.81</v>
      </c>
      <c r="K66" s="64">
        <v>351.99</v>
      </c>
      <c r="L66" s="64">
        <v>26.11</v>
      </c>
      <c r="M66" s="64">
        <v>47.47</v>
      </c>
      <c r="N66" s="64">
        <v>177.2</v>
      </c>
      <c r="O66" s="64">
        <v>0</v>
      </c>
      <c r="P66" s="64">
        <v>0.65</v>
      </c>
      <c r="Q66" s="64">
        <v>9.61</v>
      </c>
      <c r="R66" s="196"/>
      <c r="S66" s="196"/>
      <c r="T66" s="196"/>
      <c r="U66" s="196"/>
    </row>
    <row r="67" spans="1:21" s="12" customFormat="1" x14ac:dyDescent="0.25">
      <c r="A67" s="211" t="s">
        <v>879</v>
      </c>
      <c r="B67" s="64">
        <v>3.61</v>
      </c>
      <c r="C67" s="64">
        <v>19.43</v>
      </c>
      <c r="D67" s="64">
        <v>11.67</v>
      </c>
      <c r="E67" s="64">
        <v>5.55</v>
      </c>
      <c r="F67" s="64">
        <v>5.2</v>
      </c>
      <c r="G67" s="64">
        <v>71.52</v>
      </c>
      <c r="H67" s="64">
        <v>37.1</v>
      </c>
      <c r="I67" s="64">
        <v>4.7699999999999996</v>
      </c>
      <c r="J67" s="64">
        <v>0.24</v>
      </c>
      <c r="K67" s="64">
        <v>349.33</v>
      </c>
      <c r="L67" s="64">
        <v>26.49</v>
      </c>
      <c r="M67" s="64">
        <v>44.28</v>
      </c>
      <c r="N67" s="64">
        <v>145.1</v>
      </c>
      <c r="O67" s="64">
        <v>0</v>
      </c>
      <c r="P67" s="64">
        <v>0.64</v>
      </c>
      <c r="Q67" s="64">
        <v>9.6199999999999992</v>
      </c>
      <c r="R67" s="196"/>
      <c r="S67" s="196"/>
      <c r="T67" s="196"/>
      <c r="U67" s="196"/>
    </row>
    <row r="68" spans="1:21" s="12" customFormat="1" x14ac:dyDescent="0.25">
      <c r="A68" s="211" t="s">
        <v>880</v>
      </c>
      <c r="B68" s="64">
        <v>3.49</v>
      </c>
      <c r="C68" s="64">
        <v>19.72</v>
      </c>
      <c r="D68" s="64">
        <v>11.73</v>
      </c>
      <c r="E68" s="64">
        <v>5.73</v>
      </c>
      <c r="F68" s="64">
        <v>5.36</v>
      </c>
      <c r="G68" s="64">
        <v>72.52</v>
      </c>
      <c r="H68" s="64">
        <v>36.6</v>
      </c>
      <c r="I68" s="64">
        <v>4.88</v>
      </c>
      <c r="J68" s="64">
        <v>0.52</v>
      </c>
      <c r="K68" s="64">
        <v>115.93</v>
      </c>
      <c r="L68" s="64">
        <v>25.17</v>
      </c>
      <c r="M68" s="64">
        <v>46.88</v>
      </c>
      <c r="N68" s="64">
        <v>128</v>
      </c>
      <c r="O68" s="64">
        <v>0</v>
      </c>
      <c r="P68" s="64">
        <v>0.56999999999999995</v>
      </c>
      <c r="Q68" s="64">
        <v>9.61</v>
      </c>
      <c r="R68" s="196"/>
      <c r="S68" s="196"/>
      <c r="T68" s="196"/>
      <c r="U68" s="196"/>
    </row>
    <row r="69" spans="1:21" s="12" customFormat="1" x14ac:dyDescent="0.25">
      <c r="A69" s="211" t="s">
        <v>881</v>
      </c>
      <c r="B69" s="64">
        <v>3.17</v>
      </c>
      <c r="C69" s="64">
        <v>19.54</v>
      </c>
      <c r="D69" s="64">
        <v>11.38</v>
      </c>
      <c r="E69" s="64">
        <v>5.34</v>
      </c>
      <c r="F69" s="64">
        <v>5.8</v>
      </c>
      <c r="G69" s="64">
        <v>75.41</v>
      </c>
      <c r="H69" s="64">
        <v>35.6</v>
      </c>
      <c r="I69" s="64">
        <v>4.76</v>
      </c>
      <c r="J69" s="64">
        <v>0.75</v>
      </c>
      <c r="K69" s="64">
        <v>99.12</v>
      </c>
      <c r="L69" s="64">
        <v>25.1</v>
      </c>
      <c r="M69" s="64">
        <v>45.96</v>
      </c>
      <c r="N69" s="64">
        <v>126.6</v>
      </c>
      <c r="O69" s="64">
        <v>0</v>
      </c>
      <c r="P69" s="64">
        <v>0.54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882</v>
      </c>
      <c r="B70" s="64">
        <v>2.93</v>
      </c>
      <c r="C70" s="64">
        <v>19.05</v>
      </c>
      <c r="D70" s="64">
        <v>10.92</v>
      </c>
      <c r="E70" s="64">
        <v>5.28</v>
      </c>
      <c r="F70" s="64">
        <v>5.7</v>
      </c>
      <c r="G70" s="64">
        <v>75.41</v>
      </c>
      <c r="H70" s="64">
        <v>35.6</v>
      </c>
      <c r="I70" s="64">
        <v>3.84</v>
      </c>
      <c r="J70" s="64">
        <v>0.5</v>
      </c>
      <c r="K70" s="64">
        <v>107.67</v>
      </c>
      <c r="L70" s="64">
        <v>24.66</v>
      </c>
      <c r="M70" s="64">
        <v>49.03</v>
      </c>
      <c r="N70" s="64">
        <v>111.1</v>
      </c>
      <c r="O70" s="64">
        <v>0</v>
      </c>
      <c r="P70" s="64">
        <v>0.59</v>
      </c>
      <c r="Q70" s="64">
        <v>9.6199999999999992</v>
      </c>
      <c r="R70" s="196"/>
      <c r="S70" s="196"/>
      <c r="T70" s="196"/>
      <c r="U70" s="196"/>
    </row>
    <row r="71" spans="1:21" s="12" customFormat="1" x14ac:dyDescent="0.25">
      <c r="A71" s="211" t="s">
        <v>883</v>
      </c>
      <c r="B71" s="64">
        <v>3.05</v>
      </c>
      <c r="C71" s="64">
        <v>18.8</v>
      </c>
      <c r="D71" s="64">
        <v>10.89</v>
      </c>
      <c r="E71" s="64">
        <v>5.9</v>
      </c>
      <c r="F71" s="64">
        <v>5.14</v>
      </c>
      <c r="G71" s="64">
        <v>75.41</v>
      </c>
      <c r="H71" s="64">
        <v>35.6</v>
      </c>
      <c r="I71" s="64">
        <v>2.98</v>
      </c>
      <c r="J71" s="64">
        <v>1.17</v>
      </c>
      <c r="K71" s="64">
        <v>113.19</v>
      </c>
      <c r="L71" s="64">
        <v>24.5</v>
      </c>
      <c r="M71" s="64">
        <v>48.59</v>
      </c>
      <c r="N71" s="64">
        <v>87.1</v>
      </c>
      <c r="O71" s="64">
        <v>0</v>
      </c>
      <c r="P71" s="64">
        <v>0.61</v>
      </c>
      <c r="Q71" s="64">
        <v>9.6199999999999992</v>
      </c>
      <c r="R71" s="196"/>
      <c r="S71" s="196"/>
      <c r="T71" s="196"/>
      <c r="U71" s="196"/>
    </row>
    <row r="72" spans="1:21" s="12" customFormat="1" x14ac:dyDescent="0.25">
      <c r="A72" s="211" t="s">
        <v>884</v>
      </c>
      <c r="B72" s="64">
        <v>2.87</v>
      </c>
      <c r="C72" s="64">
        <v>18.920000000000002</v>
      </c>
      <c r="D72" s="64">
        <v>10.81</v>
      </c>
      <c r="E72" s="64">
        <v>4.93</v>
      </c>
      <c r="F72" s="64">
        <v>5.4</v>
      </c>
      <c r="G72" s="64">
        <v>74</v>
      </c>
      <c r="H72" s="64">
        <v>33.61</v>
      </c>
      <c r="I72" s="64">
        <v>3.38</v>
      </c>
      <c r="J72" s="64">
        <v>0.62</v>
      </c>
      <c r="K72" s="64">
        <v>102.12</v>
      </c>
      <c r="L72" s="64">
        <v>24.27</v>
      </c>
      <c r="M72" s="64">
        <v>48.07</v>
      </c>
      <c r="N72" s="64">
        <v>76.5</v>
      </c>
      <c r="O72" s="64">
        <v>0</v>
      </c>
      <c r="P72" s="64">
        <v>0.5</v>
      </c>
      <c r="Q72" s="64">
        <v>9.61</v>
      </c>
      <c r="R72" s="196"/>
      <c r="S72" s="196"/>
      <c r="T72" s="196"/>
      <c r="U72" s="196"/>
    </row>
    <row r="73" spans="1:21" s="12" customFormat="1" x14ac:dyDescent="0.25">
      <c r="A73" s="211" t="s">
        <v>885</v>
      </c>
      <c r="B73" s="64">
        <v>2.73</v>
      </c>
      <c r="C73" s="64">
        <v>18.78</v>
      </c>
      <c r="D73" s="64">
        <v>10.63</v>
      </c>
      <c r="E73" s="64">
        <v>4.66</v>
      </c>
      <c r="F73" s="64">
        <v>5.92</v>
      </c>
      <c r="G73" s="64">
        <v>69.89</v>
      </c>
      <c r="H73" s="64">
        <v>25.61</v>
      </c>
      <c r="I73" s="64">
        <v>4.33</v>
      </c>
      <c r="J73" s="64">
        <v>0.48</v>
      </c>
      <c r="K73" s="64">
        <v>101.93</v>
      </c>
      <c r="L73" s="64">
        <v>24.23</v>
      </c>
      <c r="M73" s="64">
        <v>47.69</v>
      </c>
      <c r="N73" s="64">
        <v>71.099999999999994</v>
      </c>
      <c r="O73" s="64">
        <v>0</v>
      </c>
      <c r="P73" s="64">
        <v>0.5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886</v>
      </c>
      <c r="B74" s="64">
        <v>2.65</v>
      </c>
      <c r="C74" s="64">
        <v>17.440000000000001</v>
      </c>
      <c r="D74" s="64">
        <v>9.86</v>
      </c>
      <c r="E74" s="64">
        <v>4.38</v>
      </c>
      <c r="F74" s="64">
        <v>7.38</v>
      </c>
      <c r="G74" s="64">
        <v>69.89</v>
      </c>
      <c r="H74" s="64">
        <v>25.61</v>
      </c>
      <c r="I74" s="64">
        <v>3.41</v>
      </c>
      <c r="J74" s="64">
        <v>0.35</v>
      </c>
      <c r="K74" s="64">
        <v>89.21</v>
      </c>
      <c r="L74" s="64">
        <v>24.15</v>
      </c>
      <c r="M74" s="64">
        <v>47.95</v>
      </c>
      <c r="N74" s="64">
        <v>62.1</v>
      </c>
      <c r="O74" s="64">
        <v>0</v>
      </c>
      <c r="P74" s="64">
        <v>0.42</v>
      </c>
      <c r="Q74" s="64">
        <v>9.6199999999999992</v>
      </c>
      <c r="R74" s="196"/>
      <c r="S74" s="196"/>
      <c r="T74" s="196"/>
      <c r="U74" s="196"/>
    </row>
    <row r="75" spans="1:21" s="12" customFormat="1" x14ac:dyDescent="0.25">
      <c r="A75" s="211" t="s">
        <v>887</v>
      </c>
      <c r="B75" s="64">
        <v>2.79</v>
      </c>
      <c r="C75" s="64">
        <v>16.579999999999998</v>
      </c>
      <c r="D75" s="64">
        <v>9.52</v>
      </c>
      <c r="E75" s="64">
        <v>4.4800000000000004</v>
      </c>
      <c r="F75" s="64">
        <v>6.33</v>
      </c>
      <c r="G75" s="64">
        <v>69.89</v>
      </c>
      <c r="H75" s="64">
        <v>25.61</v>
      </c>
      <c r="I75" s="64">
        <v>1.96</v>
      </c>
      <c r="J75" s="64">
        <v>0.6</v>
      </c>
      <c r="K75" s="64">
        <v>352.95</v>
      </c>
      <c r="L75" s="64">
        <v>23.96</v>
      </c>
      <c r="M75" s="64">
        <v>56.23</v>
      </c>
      <c r="N75" s="64">
        <v>53</v>
      </c>
      <c r="O75" s="64">
        <v>0</v>
      </c>
      <c r="P75" s="64">
        <v>0.9</v>
      </c>
      <c r="Q75" s="64">
        <v>9.61</v>
      </c>
      <c r="R75" s="196"/>
      <c r="S75" s="196"/>
      <c r="T75" s="196"/>
      <c r="U75" s="196"/>
    </row>
    <row r="76" spans="1:21" s="12" customFormat="1" x14ac:dyDescent="0.25">
      <c r="A76" s="211" t="s">
        <v>888</v>
      </c>
      <c r="B76" s="64">
        <v>3.63</v>
      </c>
      <c r="C76" s="64">
        <v>17.61</v>
      </c>
      <c r="D76" s="64">
        <v>10.74</v>
      </c>
      <c r="E76" s="64">
        <v>4.9800000000000004</v>
      </c>
      <c r="F76" s="64">
        <v>6.52</v>
      </c>
      <c r="G76" s="64">
        <v>68.14</v>
      </c>
      <c r="H76" s="64">
        <v>24.84</v>
      </c>
      <c r="I76" s="64">
        <v>2.2999999999999998</v>
      </c>
      <c r="J76" s="64">
        <v>0.51</v>
      </c>
      <c r="K76" s="64">
        <v>107.72</v>
      </c>
      <c r="L76" s="64">
        <v>23.64</v>
      </c>
      <c r="M76" s="64">
        <v>51.83</v>
      </c>
      <c r="N76" s="64">
        <v>43.6</v>
      </c>
      <c r="O76" s="64">
        <v>0</v>
      </c>
      <c r="P76" s="64">
        <v>0.69</v>
      </c>
      <c r="Q76" s="64">
        <v>9.6199999999999992</v>
      </c>
      <c r="R76" s="196"/>
      <c r="S76" s="196"/>
      <c r="T76" s="196"/>
      <c r="U76" s="196"/>
    </row>
    <row r="77" spans="1:21" s="12" customFormat="1" x14ac:dyDescent="0.25">
      <c r="A77" s="211" t="s">
        <v>889</v>
      </c>
      <c r="B77" s="64">
        <v>3.88</v>
      </c>
      <c r="C77" s="64">
        <v>18.16</v>
      </c>
      <c r="D77" s="64">
        <v>11.23</v>
      </c>
      <c r="E77" s="64">
        <v>4.3600000000000003</v>
      </c>
      <c r="F77" s="64">
        <v>6.72</v>
      </c>
      <c r="G77" s="64">
        <v>63.02</v>
      </c>
      <c r="H77" s="64">
        <v>23.31</v>
      </c>
      <c r="I77" s="64">
        <v>3.72</v>
      </c>
      <c r="J77" s="64">
        <v>0.59</v>
      </c>
      <c r="K77" s="64">
        <v>96.49</v>
      </c>
      <c r="L77" s="64">
        <v>23.34</v>
      </c>
      <c r="M77" s="64">
        <v>52.67</v>
      </c>
      <c r="N77" s="64">
        <v>34.5</v>
      </c>
      <c r="O77" s="64">
        <v>0</v>
      </c>
      <c r="P77" s="64">
        <v>0.69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890</v>
      </c>
      <c r="B78" s="64">
        <v>3.94</v>
      </c>
      <c r="C78" s="64">
        <v>18.510000000000002</v>
      </c>
      <c r="D78" s="64">
        <v>11.45</v>
      </c>
      <c r="E78" s="64">
        <v>4.26</v>
      </c>
      <c r="F78" s="64">
        <v>5.64</v>
      </c>
      <c r="G78" s="64">
        <v>63.02</v>
      </c>
      <c r="H78" s="64">
        <v>23.31</v>
      </c>
      <c r="I78" s="64">
        <v>2.4500000000000002</v>
      </c>
      <c r="J78" s="64">
        <v>0.42</v>
      </c>
      <c r="K78" s="64">
        <v>92.55</v>
      </c>
      <c r="L78" s="64">
        <v>22.88</v>
      </c>
      <c r="M78" s="64">
        <v>55.46</v>
      </c>
      <c r="N78" s="64">
        <v>28.7</v>
      </c>
      <c r="O78" s="64">
        <v>0</v>
      </c>
      <c r="P78" s="64">
        <v>0.91</v>
      </c>
      <c r="Q78" s="64">
        <v>9.6199999999999992</v>
      </c>
      <c r="R78" s="196"/>
      <c r="S78" s="196"/>
      <c r="T78" s="196"/>
      <c r="U78" s="196"/>
    </row>
    <row r="79" spans="1:21" s="12" customFormat="1" x14ac:dyDescent="0.25">
      <c r="A79" s="211" t="s">
        <v>891</v>
      </c>
      <c r="B79" s="64">
        <v>4.09</v>
      </c>
      <c r="C79" s="64">
        <v>18.87</v>
      </c>
      <c r="D79" s="64">
        <v>11.76</v>
      </c>
      <c r="E79" s="64">
        <v>4.5199999999999996</v>
      </c>
      <c r="F79" s="64">
        <v>5.34</v>
      </c>
      <c r="G79" s="64">
        <v>63.02</v>
      </c>
      <c r="H79" s="64">
        <v>23.31</v>
      </c>
      <c r="I79" s="64">
        <v>2.59</v>
      </c>
      <c r="J79" s="64">
        <v>0.56999999999999995</v>
      </c>
      <c r="K79" s="64">
        <v>71.44</v>
      </c>
      <c r="L79" s="64">
        <v>22.54</v>
      </c>
      <c r="M79" s="64">
        <v>57.28</v>
      </c>
      <c r="N79" s="64">
        <v>26.5</v>
      </c>
      <c r="O79" s="64">
        <v>0</v>
      </c>
      <c r="P79" s="64">
        <v>0.93</v>
      </c>
      <c r="Q79" s="64">
        <v>9.6300000000000008</v>
      </c>
      <c r="R79" s="196"/>
      <c r="S79" s="196"/>
      <c r="T79" s="196"/>
      <c r="U79" s="196"/>
    </row>
    <row r="80" spans="1:21" s="12" customFormat="1" x14ac:dyDescent="0.25">
      <c r="A80" s="211" t="s">
        <v>892</v>
      </c>
      <c r="B80" s="64">
        <v>4.5</v>
      </c>
      <c r="C80" s="64">
        <v>19.48</v>
      </c>
      <c r="D80" s="64">
        <v>12.41</v>
      </c>
      <c r="E80" s="64">
        <v>4.66</v>
      </c>
      <c r="F80" s="64">
        <v>4.92</v>
      </c>
      <c r="G80" s="64">
        <v>64.48</v>
      </c>
      <c r="H80" s="64">
        <v>26.97</v>
      </c>
      <c r="I80" s="64">
        <v>3.05</v>
      </c>
      <c r="J80" s="64">
        <v>0.44</v>
      </c>
      <c r="K80" s="64">
        <v>71.89</v>
      </c>
      <c r="L80" s="64">
        <v>22.3</v>
      </c>
      <c r="M80" s="64">
        <v>58.47</v>
      </c>
      <c r="N80" s="64">
        <v>26.1</v>
      </c>
      <c r="O80" s="64">
        <v>0</v>
      </c>
      <c r="P80" s="64">
        <v>1.1499999999999999</v>
      </c>
      <c r="Q80" s="64">
        <v>9.61</v>
      </c>
      <c r="R80" s="196"/>
      <c r="S80" s="196"/>
      <c r="T80" s="196"/>
      <c r="U80" s="196"/>
    </row>
    <row r="81" spans="1:26" s="12" customFormat="1" x14ac:dyDescent="0.25">
      <c r="A81" s="211" t="s">
        <v>893</v>
      </c>
      <c r="B81" s="64">
        <v>5.2</v>
      </c>
      <c r="C81" s="64">
        <v>20.48</v>
      </c>
      <c r="D81" s="64">
        <v>13.49</v>
      </c>
      <c r="E81" s="64">
        <v>4.84</v>
      </c>
      <c r="F81" s="64">
        <v>4.32</v>
      </c>
      <c r="G81" s="64">
        <v>68.739999999999995</v>
      </c>
      <c r="H81" s="64">
        <v>33.97</v>
      </c>
      <c r="I81" s="64">
        <v>3.63</v>
      </c>
      <c r="J81" s="64">
        <v>0.28000000000000003</v>
      </c>
      <c r="K81" s="64">
        <v>349.49</v>
      </c>
      <c r="L81" s="64">
        <v>21.91</v>
      </c>
      <c r="M81" s="64">
        <v>62.36</v>
      </c>
      <c r="N81" s="64">
        <v>26.1</v>
      </c>
      <c r="O81" s="64">
        <v>0</v>
      </c>
      <c r="P81" s="64">
        <v>0.74</v>
      </c>
      <c r="Q81" s="64">
        <v>9.6199999999999992</v>
      </c>
      <c r="R81" s="196"/>
      <c r="S81" s="196"/>
      <c r="T81" s="196"/>
      <c r="U81" s="196"/>
    </row>
    <row r="82" spans="1:26" s="12" customFormat="1" x14ac:dyDescent="0.25">
      <c r="A82" s="211" t="s">
        <v>894</v>
      </c>
      <c r="B82" s="64">
        <v>9.01</v>
      </c>
      <c r="C82" s="64">
        <v>22.04</v>
      </c>
      <c r="D82" s="64">
        <v>17.37</v>
      </c>
      <c r="E82" s="64">
        <v>5.19</v>
      </c>
      <c r="F82" s="64">
        <v>4.07</v>
      </c>
      <c r="G82" s="64">
        <v>68.739999999999995</v>
      </c>
      <c r="H82" s="64">
        <v>33.97</v>
      </c>
      <c r="I82" s="64">
        <v>4.41</v>
      </c>
      <c r="J82" s="64">
        <v>0.5</v>
      </c>
      <c r="K82" s="64">
        <v>28.17</v>
      </c>
      <c r="L82" s="64">
        <v>21.46</v>
      </c>
      <c r="M82" s="64">
        <v>65.92</v>
      </c>
      <c r="N82" s="64">
        <v>26.1</v>
      </c>
      <c r="O82" s="64">
        <v>0</v>
      </c>
      <c r="P82" s="64">
        <v>1.53</v>
      </c>
      <c r="Q82" s="64">
        <v>9.61</v>
      </c>
      <c r="R82" s="196"/>
      <c r="S82" s="196"/>
      <c r="T82" s="196"/>
      <c r="U82" s="196"/>
    </row>
    <row r="83" spans="1:26" s="12" customFormat="1" x14ac:dyDescent="0.25">
      <c r="A83" s="211" t="s">
        <v>895</v>
      </c>
      <c r="B83" s="64">
        <v>13.24</v>
      </c>
      <c r="C83" s="64">
        <v>23.22</v>
      </c>
      <c r="D83" s="64">
        <v>21.38</v>
      </c>
      <c r="E83" s="64">
        <v>5.32</v>
      </c>
      <c r="F83" s="64">
        <v>4.42</v>
      </c>
      <c r="G83" s="64">
        <v>68.739999999999995</v>
      </c>
      <c r="H83" s="64">
        <v>33.97</v>
      </c>
      <c r="I83" s="64">
        <v>5.99</v>
      </c>
      <c r="J83" s="64">
        <v>0.45</v>
      </c>
      <c r="K83" s="64">
        <v>30.57</v>
      </c>
      <c r="L83" s="64">
        <v>21.21</v>
      </c>
      <c r="M83" s="64">
        <v>64.86</v>
      </c>
      <c r="N83" s="64">
        <v>26.1</v>
      </c>
      <c r="O83" s="64">
        <v>0</v>
      </c>
      <c r="P83" s="64">
        <v>1.17</v>
      </c>
      <c r="Q83" s="64">
        <v>9.61</v>
      </c>
      <c r="R83" s="196"/>
      <c r="S83" s="196"/>
      <c r="T83" s="196"/>
      <c r="U83" s="196"/>
    </row>
    <row r="84" spans="1:26" s="12" customFormat="1" x14ac:dyDescent="0.25">
      <c r="A84" s="211" t="s">
        <v>896</v>
      </c>
      <c r="B84" s="64">
        <v>15.17</v>
      </c>
      <c r="C84" s="64">
        <v>23.87</v>
      </c>
      <c r="D84" s="64">
        <v>23.26</v>
      </c>
      <c r="E84" s="64">
        <v>5.25</v>
      </c>
      <c r="F84" s="64">
        <v>4.9000000000000004</v>
      </c>
      <c r="G84" s="64">
        <v>74.03</v>
      </c>
      <c r="H84" s="64">
        <v>34.71</v>
      </c>
      <c r="I84" s="64">
        <v>7.02</v>
      </c>
      <c r="J84" s="64">
        <v>0.53</v>
      </c>
      <c r="K84" s="64">
        <v>312.64</v>
      </c>
      <c r="L84" s="64">
        <v>21</v>
      </c>
      <c r="M84" s="64">
        <v>70.27</v>
      </c>
      <c r="N84" s="64">
        <v>26.2</v>
      </c>
      <c r="O84" s="64">
        <v>0</v>
      </c>
      <c r="P84" s="64">
        <v>1.34</v>
      </c>
      <c r="Q84" s="64">
        <v>9.64</v>
      </c>
      <c r="R84" s="196"/>
      <c r="S84" s="196"/>
      <c r="T84" s="196"/>
      <c r="U84" s="196"/>
    </row>
    <row r="85" spans="1:26" s="12" customFormat="1" x14ac:dyDescent="0.25">
      <c r="A85" s="211" t="s">
        <v>897</v>
      </c>
      <c r="B85" s="64">
        <v>18.66</v>
      </c>
      <c r="C85" s="64">
        <v>24.75</v>
      </c>
      <c r="D85" s="64">
        <v>26.51</v>
      </c>
      <c r="E85" s="64">
        <v>5.8</v>
      </c>
      <c r="F85" s="64">
        <v>4.93</v>
      </c>
      <c r="G85" s="64">
        <v>89.45</v>
      </c>
      <c r="H85" s="64">
        <v>36.11</v>
      </c>
      <c r="I85" s="64">
        <v>6.06</v>
      </c>
      <c r="J85" s="64">
        <v>0.56000000000000005</v>
      </c>
      <c r="K85" s="64">
        <v>321.05</v>
      </c>
      <c r="L85" s="64">
        <v>20.51</v>
      </c>
      <c r="M85" s="64">
        <v>74.010000000000005</v>
      </c>
      <c r="N85" s="64">
        <v>26.1</v>
      </c>
      <c r="O85" s="64">
        <v>0</v>
      </c>
      <c r="P85" s="64">
        <v>1.72</v>
      </c>
      <c r="Q85" s="64">
        <v>9.6300000000000008</v>
      </c>
      <c r="R85" s="196"/>
      <c r="S85" s="196"/>
      <c r="T85" s="196"/>
      <c r="U85" s="196"/>
    </row>
    <row r="86" spans="1:26" s="12" customFormat="1" x14ac:dyDescent="0.25">
      <c r="A86" s="211" t="s">
        <v>898</v>
      </c>
      <c r="B86" s="64">
        <v>22.89</v>
      </c>
      <c r="C86" s="64">
        <v>25.03</v>
      </c>
      <c r="D86" s="64">
        <v>30.06</v>
      </c>
      <c r="E86" s="64">
        <v>6.24</v>
      </c>
      <c r="F86" s="64">
        <v>4.3</v>
      </c>
      <c r="G86" s="64">
        <v>89.45</v>
      </c>
      <c r="H86" s="64">
        <v>36.11</v>
      </c>
      <c r="I86" s="64">
        <v>6.61</v>
      </c>
      <c r="J86" s="64">
        <v>0.51</v>
      </c>
      <c r="K86" s="64">
        <v>315.8</v>
      </c>
      <c r="L86" s="64">
        <v>20.079999999999998</v>
      </c>
      <c r="M86" s="64">
        <v>78.09</v>
      </c>
      <c r="N86" s="64">
        <v>26.1</v>
      </c>
      <c r="O86" s="64">
        <v>0</v>
      </c>
      <c r="P86" s="64">
        <v>1.79</v>
      </c>
      <c r="Q86" s="64">
        <v>9.6300000000000008</v>
      </c>
      <c r="R86" s="196"/>
      <c r="S86" s="196"/>
      <c r="T86" s="196"/>
      <c r="U86" s="196"/>
    </row>
    <row r="87" spans="1:26" s="12" customFormat="1" x14ac:dyDescent="0.25">
      <c r="A87" s="211" t="s">
        <v>899</v>
      </c>
      <c r="B87" s="64">
        <v>26.07</v>
      </c>
      <c r="C87" s="64">
        <v>25.11</v>
      </c>
      <c r="D87" s="64">
        <v>32.65</v>
      </c>
      <c r="E87" s="64">
        <v>7.07</v>
      </c>
      <c r="F87" s="64">
        <v>4.3499999999999996</v>
      </c>
      <c r="G87" s="64">
        <v>89.45</v>
      </c>
      <c r="H87" s="64">
        <v>36.11</v>
      </c>
      <c r="I87" s="64">
        <v>7.67</v>
      </c>
      <c r="J87" s="64">
        <v>0.46</v>
      </c>
      <c r="K87" s="64">
        <v>345.63</v>
      </c>
      <c r="L87" s="64">
        <v>19.97</v>
      </c>
      <c r="M87" s="64">
        <v>78.19</v>
      </c>
      <c r="N87" s="64">
        <v>26</v>
      </c>
      <c r="O87" s="64">
        <v>0</v>
      </c>
      <c r="P87" s="64">
        <v>1.94</v>
      </c>
      <c r="Q87" s="64">
        <v>9.6199999999999992</v>
      </c>
      <c r="R87" s="196"/>
      <c r="S87" s="196"/>
      <c r="T87" s="196"/>
      <c r="U87" s="196"/>
    </row>
    <row r="88" spans="1:26" s="12" customFormat="1" x14ac:dyDescent="0.25">
      <c r="A88" s="211" t="s">
        <v>900</v>
      </c>
      <c r="B88" s="64">
        <v>29.72</v>
      </c>
      <c r="C88" s="64">
        <v>25.53</v>
      </c>
      <c r="D88" s="64">
        <v>35.799999999999997</v>
      </c>
      <c r="E88" s="64">
        <v>5.12</v>
      </c>
      <c r="F88" s="64">
        <v>4.54</v>
      </c>
      <c r="G88" s="64">
        <v>91.32</v>
      </c>
      <c r="H88" s="64">
        <v>38.39</v>
      </c>
      <c r="I88" s="64">
        <v>8.48</v>
      </c>
      <c r="J88" s="64">
        <v>0.28999999999999998</v>
      </c>
      <c r="K88" s="64">
        <v>83.9</v>
      </c>
      <c r="L88" s="64">
        <v>20.010000000000002</v>
      </c>
      <c r="M88" s="64">
        <v>75.58</v>
      </c>
      <c r="N88" s="64">
        <v>26</v>
      </c>
      <c r="O88" s="64">
        <v>0</v>
      </c>
      <c r="P88" s="64">
        <v>1.98</v>
      </c>
      <c r="Q88" s="64">
        <v>9.6300000000000008</v>
      </c>
      <c r="R88" s="196"/>
      <c r="S88" s="196"/>
      <c r="T88" s="196"/>
      <c r="U88" s="196"/>
    </row>
    <row r="89" spans="1:26" s="12" customFormat="1" x14ac:dyDescent="0.25">
      <c r="A89" s="211" t="s">
        <v>901</v>
      </c>
      <c r="B89" s="64">
        <v>31.9</v>
      </c>
      <c r="C89" s="64">
        <v>25.79</v>
      </c>
      <c r="D89" s="64">
        <v>37.68</v>
      </c>
      <c r="E89" s="64">
        <v>6.61</v>
      </c>
      <c r="F89" s="64">
        <v>4.41</v>
      </c>
      <c r="G89" s="64">
        <v>96.75</v>
      </c>
      <c r="H89" s="64">
        <v>47.5</v>
      </c>
      <c r="I89" s="64">
        <v>9.89</v>
      </c>
      <c r="J89" s="64">
        <v>0.34</v>
      </c>
      <c r="K89" s="64">
        <v>77.13</v>
      </c>
      <c r="L89" s="64">
        <v>20.190000000000001</v>
      </c>
      <c r="M89" s="64">
        <v>71.239999999999995</v>
      </c>
      <c r="N89" s="64">
        <v>25.9</v>
      </c>
      <c r="O89" s="64">
        <v>0</v>
      </c>
      <c r="P89" s="64">
        <v>1.78</v>
      </c>
      <c r="Q89" s="64">
        <v>9.6300000000000008</v>
      </c>
      <c r="R89" s="196"/>
      <c r="S89" s="196"/>
      <c r="T89" s="196"/>
      <c r="U89" s="196"/>
    </row>
    <row r="90" spans="1:26" s="12" customFormat="1" x14ac:dyDescent="0.25">
      <c r="A90" s="211" t="s">
        <v>902</v>
      </c>
      <c r="B90" s="64">
        <v>32.9</v>
      </c>
      <c r="C90" s="64">
        <v>25.6</v>
      </c>
      <c r="D90" s="64">
        <v>38.380000000000003</v>
      </c>
      <c r="E90" s="64">
        <v>6.52</v>
      </c>
      <c r="F90" s="64">
        <v>4.29</v>
      </c>
      <c r="G90" s="64">
        <v>96.75</v>
      </c>
      <c r="H90" s="64">
        <v>47.5</v>
      </c>
      <c r="I90" s="64">
        <v>9.82</v>
      </c>
      <c r="J90" s="64">
        <v>0.44</v>
      </c>
      <c r="K90" s="64">
        <v>101.8</v>
      </c>
      <c r="L90" s="64">
        <v>20.39</v>
      </c>
      <c r="M90" s="64">
        <v>68.540000000000006</v>
      </c>
      <c r="N90" s="64">
        <v>25.8</v>
      </c>
      <c r="O90" s="64">
        <v>0</v>
      </c>
      <c r="P90" s="64">
        <v>1.86</v>
      </c>
      <c r="Q90" s="64">
        <v>9.64</v>
      </c>
      <c r="R90" s="196"/>
      <c r="S90" s="196"/>
      <c r="T90" s="196"/>
      <c r="U90" s="196"/>
    </row>
    <row r="91" spans="1:26" s="12" customFormat="1" x14ac:dyDescent="0.25">
      <c r="A91" s="211" t="s">
        <v>903</v>
      </c>
      <c r="B91" s="64">
        <v>34.119999999999997</v>
      </c>
      <c r="C91" s="64">
        <v>23.84</v>
      </c>
      <c r="D91" s="64">
        <v>38.44</v>
      </c>
      <c r="E91" s="64">
        <v>6.02</v>
      </c>
      <c r="F91" s="64">
        <v>4.42</v>
      </c>
      <c r="G91" s="64">
        <v>96.75</v>
      </c>
      <c r="H91" s="64">
        <v>47.5</v>
      </c>
      <c r="I91" s="64">
        <v>9.0299999999999994</v>
      </c>
      <c r="J91" s="64">
        <v>0.48</v>
      </c>
      <c r="K91" s="64">
        <v>96.74</v>
      </c>
      <c r="L91" s="64">
        <v>20.329999999999998</v>
      </c>
      <c r="M91" s="64">
        <v>69.25</v>
      </c>
      <c r="N91" s="64">
        <v>25.9</v>
      </c>
      <c r="O91" s="64">
        <v>0</v>
      </c>
      <c r="P91" s="64">
        <v>2.2799999999999998</v>
      </c>
      <c r="Q91" s="64">
        <v>9.65</v>
      </c>
      <c r="R91" s="196"/>
      <c r="S91" s="196"/>
      <c r="T91" s="196"/>
      <c r="U91" s="196"/>
    </row>
    <row r="92" spans="1:26" s="12" customFormat="1" x14ac:dyDescent="0.25">
      <c r="A92" s="211" t="s">
        <v>904</v>
      </c>
      <c r="B92" s="64">
        <v>36.42</v>
      </c>
      <c r="C92" s="64">
        <v>23.49</v>
      </c>
      <c r="D92" s="64">
        <v>40.1</v>
      </c>
      <c r="E92" s="64">
        <v>5.54</v>
      </c>
      <c r="F92" s="64">
        <v>4.34</v>
      </c>
      <c r="G92" s="64">
        <v>97.47</v>
      </c>
      <c r="H92" s="64">
        <v>48.07</v>
      </c>
      <c r="I92" s="64">
        <v>8.4</v>
      </c>
      <c r="J92" s="64">
        <v>0.27</v>
      </c>
      <c r="K92" s="64">
        <v>91.48</v>
      </c>
      <c r="L92" s="64">
        <v>20.11</v>
      </c>
      <c r="M92" s="64">
        <v>70.930000000000007</v>
      </c>
      <c r="N92" s="64">
        <v>25.9</v>
      </c>
      <c r="O92" s="64">
        <v>0</v>
      </c>
      <c r="P92" s="64">
        <v>2.31</v>
      </c>
      <c r="Q92" s="64">
        <v>9.64</v>
      </c>
      <c r="R92" s="196"/>
      <c r="S92" s="196"/>
      <c r="T92" s="196"/>
      <c r="U92" s="196"/>
    </row>
    <row r="93" spans="1:26" s="12" customFormat="1" x14ac:dyDescent="0.25">
      <c r="A93" s="211" t="s">
        <v>905</v>
      </c>
      <c r="B93" s="64">
        <v>37.659999999999997</v>
      </c>
      <c r="C93" s="64">
        <v>23.39</v>
      </c>
      <c r="D93" s="64">
        <v>41.04</v>
      </c>
      <c r="E93" s="64">
        <v>5.58</v>
      </c>
      <c r="F93" s="64">
        <v>4.3600000000000003</v>
      </c>
      <c r="G93" s="64">
        <v>99.58</v>
      </c>
      <c r="H93" s="64">
        <v>49.18</v>
      </c>
      <c r="I93" s="64">
        <v>9.1300000000000008</v>
      </c>
      <c r="J93" s="64">
        <v>0.46</v>
      </c>
      <c r="K93" s="64">
        <v>69.42</v>
      </c>
      <c r="L93" s="64">
        <v>20.11</v>
      </c>
      <c r="M93" s="64">
        <v>69.58</v>
      </c>
      <c r="N93" s="64">
        <v>26</v>
      </c>
      <c r="O93" s="64">
        <v>0</v>
      </c>
      <c r="P93" s="64">
        <v>1.76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906</v>
      </c>
      <c r="B94" s="64">
        <v>37.92</v>
      </c>
      <c r="C94" s="64">
        <v>23.16</v>
      </c>
      <c r="D94" s="64">
        <v>41.14</v>
      </c>
      <c r="E94" s="64">
        <v>5.46</v>
      </c>
      <c r="F94" s="64">
        <v>4.33</v>
      </c>
      <c r="G94" s="64">
        <v>99.58</v>
      </c>
      <c r="H94" s="64">
        <v>49.18</v>
      </c>
      <c r="I94" s="64">
        <v>8.59</v>
      </c>
      <c r="J94" s="64">
        <v>0.5</v>
      </c>
      <c r="K94" s="64">
        <v>72.27</v>
      </c>
      <c r="L94" s="64">
        <v>19.95</v>
      </c>
      <c r="M94" s="64">
        <v>71.540000000000006</v>
      </c>
      <c r="N94" s="64">
        <v>25.8</v>
      </c>
      <c r="O94" s="64">
        <v>0</v>
      </c>
      <c r="P94" s="64">
        <v>1.63</v>
      </c>
      <c r="Q94" s="64">
        <v>9.64</v>
      </c>
      <c r="R94" s="196"/>
      <c r="S94" s="196"/>
      <c r="T94" s="196"/>
      <c r="U94" s="196"/>
    </row>
    <row r="95" spans="1:26" s="12" customFormat="1" x14ac:dyDescent="0.25">
      <c r="A95" s="211" t="s">
        <v>907</v>
      </c>
      <c r="B95" s="64">
        <v>37.76</v>
      </c>
      <c r="C95" s="64">
        <v>22.59</v>
      </c>
      <c r="D95" s="64">
        <v>40.71</v>
      </c>
      <c r="E95" s="64">
        <v>5.09</v>
      </c>
      <c r="F95" s="64">
        <v>4.5199999999999996</v>
      </c>
      <c r="G95" s="64">
        <v>99.58</v>
      </c>
      <c r="H95" s="64">
        <v>49.18</v>
      </c>
      <c r="I95" s="64">
        <v>6.91</v>
      </c>
      <c r="J95" s="64">
        <v>0.28000000000000003</v>
      </c>
      <c r="K95" s="64">
        <v>47.98</v>
      </c>
      <c r="L95" s="64">
        <v>19.899999999999999</v>
      </c>
      <c r="M95" s="64">
        <v>70.59</v>
      </c>
      <c r="N95" s="64">
        <v>25.8</v>
      </c>
      <c r="O95" s="64">
        <v>0</v>
      </c>
      <c r="P95" s="64">
        <v>1.3</v>
      </c>
      <c r="Q95" s="64">
        <v>9.6300000000000008</v>
      </c>
      <c r="R95" s="196"/>
      <c r="S95" s="196"/>
      <c r="T95" s="196"/>
      <c r="U95" s="196"/>
    </row>
    <row r="96" spans="1:26" s="12" customFormat="1" x14ac:dyDescent="0.25">
      <c r="A96" s="211" t="s">
        <v>908</v>
      </c>
      <c r="B96" s="64">
        <v>36.85</v>
      </c>
      <c r="C96" s="64">
        <v>21.71</v>
      </c>
      <c r="D96" s="64">
        <v>39.520000000000003</v>
      </c>
      <c r="E96" s="64">
        <v>5.0599999999999996</v>
      </c>
      <c r="F96" s="64">
        <v>4.49</v>
      </c>
      <c r="G96" s="64">
        <v>99.26</v>
      </c>
      <c r="H96" s="64">
        <v>47.88</v>
      </c>
      <c r="I96" s="64">
        <v>6.06</v>
      </c>
      <c r="J96" s="64">
        <v>0.19</v>
      </c>
      <c r="K96" s="64">
        <v>29.06</v>
      </c>
      <c r="L96" s="64">
        <v>19.89</v>
      </c>
      <c r="M96" s="64">
        <v>70.540000000000006</v>
      </c>
      <c r="N96" s="64">
        <v>25.9</v>
      </c>
      <c r="O96" s="64">
        <v>0</v>
      </c>
      <c r="P96" s="64">
        <v>1.3</v>
      </c>
      <c r="Q96" s="64">
        <v>9.6300000000000008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909</v>
      </c>
      <c r="B97" s="64">
        <v>35.67</v>
      </c>
      <c r="C97" s="64">
        <v>21.35</v>
      </c>
      <c r="D97" s="64">
        <v>38.39</v>
      </c>
      <c r="E97" s="64">
        <v>5</v>
      </c>
      <c r="F97" s="64">
        <v>4.58</v>
      </c>
      <c r="G97" s="64">
        <v>98.34</v>
      </c>
      <c r="H97" s="64">
        <v>45.41</v>
      </c>
      <c r="I97" s="64">
        <v>4.96</v>
      </c>
      <c r="J97" s="64">
        <v>0.09</v>
      </c>
      <c r="K97" s="64">
        <v>348.64</v>
      </c>
      <c r="L97" s="64">
        <v>19.850000000000001</v>
      </c>
      <c r="M97" s="64">
        <v>71.290000000000006</v>
      </c>
      <c r="N97" s="64">
        <v>26</v>
      </c>
      <c r="O97" s="64">
        <v>0</v>
      </c>
      <c r="P97" s="64">
        <v>1.32</v>
      </c>
      <c r="Q97" s="64">
        <v>9.64</v>
      </c>
      <c r="R97" s="196"/>
      <c r="S97" s="196"/>
      <c r="T97" s="196"/>
      <c r="U97" s="196"/>
    </row>
    <row r="98" spans="1:33" s="12" customFormat="1" x14ac:dyDescent="0.25">
      <c r="A98" s="211" t="s">
        <v>910</v>
      </c>
      <c r="B98" s="64">
        <v>34.44</v>
      </c>
      <c r="C98" s="64">
        <v>21.78</v>
      </c>
      <c r="D98" s="64">
        <v>37.619999999999997</v>
      </c>
      <c r="E98" s="64">
        <v>4.49</v>
      </c>
      <c r="F98" s="64">
        <v>3.98</v>
      </c>
      <c r="G98" s="64">
        <v>98.34</v>
      </c>
      <c r="H98" s="64">
        <v>45.41</v>
      </c>
      <c r="I98" s="64">
        <v>4.46</v>
      </c>
      <c r="J98" s="64">
        <v>0.44</v>
      </c>
      <c r="K98" s="64">
        <v>271.97000000000003</v>
      </c>
      <c r="L98" s="64">
        <v>19.66</v>
      </c>
      <c r="M98" s="64">
        <v>73.66</v>
      </c>
      <c r="N98" s="64">
        <v>25.9</v>
      </c>
      <c r="O98" s="64">
        <v>0</v>
      </c>
      <c r="P98" s="64">
        <v>1.58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911</v>
      </c>
      <c r="B99" s="64">
        <v>33.119999999999997</v>
      </c>
      <c r="C99" s="64">
        <v>22.45</v>
      </c>
      <c r="D99" s="64">
        <v>36.909999999999997</v>
      </c>
      <c r="E99" s="64">
        <v>4.43</v>
      </c>
      <c r="F99" s="64">
        <v>4.05</v>
      </c>
      <c r="G99" s="64">
        <v>98.34</v>
      </c>
      <c r="H99" s="64">
        <v>45.41</v>
      </c>
      <c r="I99" s="64">
        <v>5.86</v>
      </c>
      <c r="J99" s="64">
        <v>0.49</v>
      </c>
      <c r="K99" s="64">
        <v>333.97</v>
      </c>
      <c r="L99" s="64">
        <v>19.52</v>
      </c>
      <c r="M99" s="64">
        <v>74.16</v>
      </c>
      <c r="N99" s="64">
        <v>25.9</v>
      </c>
      <c r="O99" s="64">
        <v>0</v>
      </c>
      <c r="P99" s="64">
        <v>1.43</v>
      </c>
      <c r="Q99" s="64">
        <v>9.6300000000000008</v>
      </c>
      <c r="R99" s="196"/>
      <c r="S99" s="196"/>
      <c r="T99" s="196"/>
      <c r="U99" s="196"/>
    </row>
    <row r="100" spans="1:33" s="12" customFormat="1" x14ac:dyDescent="0.25">
      <c r="A100" s="211" t="s">
        <v>912</v>
      </c>
      <c r="B100" s="64">
        <v>33.74</v>
      </c>
      <c r="C100" s="64">
        <v>23.74</v>
      </c>
      <c r="D100" s="64">
        <v>38.090000000000003</v>
      </c>
      <c r="E100" s="64">
        <v>4.74</v>
      </c>
      <c r="F100" s="64">
        <v>4.18</v>
      </c>
      <c r="G100" s="64">
        <v>97.06</v>
      </c>
      <c r="H100" s="64">
        <v>46.81</v>
      </c>
      <c r="I100" s="64">
        <v>6.98</v>
      </c>
      <c r="J100" s="64">
        <v>0.46</v>
      </c>
      <c r="K100" s="64">
        <v>343.93</v>
      </c>
      <c r="L100" s="64">
        <v>19.329999999999998</v>
      </c>
      <c r="M100" s="64">
        <v>75.650000000000006</v>
      </c>
      <c r="N100" s="64">
        <v>26.1</v>
      </c>
      <c r="O100" s="64">
        <v>0</v>
      </c>
      <c r="P100" s="64">
        <v>1.45</v>
      </c>
      <c r="Q100" s="64">
        <v>9.6300000000000008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913</v>
      </c>
      <c r="B101" s="64">
        <v>33.659999999999997</v>
      </c>
      <c r="C101" s="64">
        <v>24.45</v>
      </c>
      <c r="D101" s="64">
        <v>38.39</v>
      </c>
      <c r="E101" s="64">
        <v>5.01</v>
      </c>
      <c r="F101" s="64">
        <v>4.28</v>
      </c>
      <c r="G101" s="64">
        <v>93.36</v>
      </c>
      <c r="H101" s="64">
        <v>49.51</v>
      </c>
      <c r="I101" s="64">
        <v>6.96</v>
      </c>
      <c r="J101" s="64">
        <v>0.57999999999999996</v>
      </c>
      <c r="K101" s="64">
        <v>311.89999999999998</v>
      </c>
      <c r="L101" s="64">
        <v>19.09</v>
      </c>
      <c r="M101" s="64">
        <v>78.44</v>
      </c>
      <c r="N101" s="64">
        <v>26.1</v>
      </c>
      <c r="O101" s="64">
        <v>0</v>
      </c>
      <c r="P101" s="64">
        <v>1.52</v>
      </c>
      <c r="Q101" s="64">
        <v>9.6300000000000008</v>
      </c>
      <c r="R101" s="196"/>
      <c r="S101" s="196"/>
      <c r="T101" s="196"/>
      <c r="U101" s="196"/>
    </row>
    <row r="102" spans="1:33" s="12" customFormat="1" x14ac:dyDescent="0.25">
      <c r="A102" s="211" t="s">
        <v>914</v>
      </c>
      <c r="B102" s="64">
        <v>34.32</v>
      </c>
      <c r="C102" s="64">
        <v>25.3</v>
      </c>
      <c r="D102" s="64">
        <v>39.36</v>
      </c>
      <c r="E102" s="64">
        <v>4.33</v>
      </c>
      <c r="F102" s="64">
        <v>4.2</v>
      </c>
      <c r="G102" s="64">
        <v>93.36</v>
      </c>
      <c r="H102" s="64">
        <v>49.51</v>
      </c>
      <c r="I102" s="64">
        <v>7.15</v>
      </c>
      <c r="J102" s="64">
        <v>0.56000000000000005</v>
      </c>
      <c r="K102" s="64">
        <v>304.33</v>
      </c>
      <c r="L102" s="64">
        <v>18.73</v>
      </c>
      <c r="M102" s="64">
        <v>82.05</v>
      </c>
      <c r="N102" s="64">
        <v>26.1</v>
      </c>
      <c r="O102" s="64">
        <v>0</v>
      </c>
      <c r="P102" s="64">
        <v>1.48</v>
      </c>
      <c r="Q102" s="64">
        <v>9.6199999999999992</v>
      </c>
      <c r="R102" s="196"/>
      <c r="S102" s="196"/>
      <c r="T102" s="196"/>
      <c r="U102" s="196"/>
    </row>
    <row r="103" spans="1:33" s="12" customFormat="1" x14ac:dyDescent="0.25">
      <c r="A103" s="211" t="s">
        <v>915</v>
      </c>
      <c r="B103" s="64">
        <v>35.380000000000003</v>
      </c>
      <c r="C103" s="64">
        <v>25.49</v>
      </c>
      <c r="D103" s="64">
        <v>40.31</v>
      </c>
      <c r="E103" s="64">
        <v>4.6500000000000004</v>
      </c>
      <c r="F103" s="64">
        <v>3.99</v>
      </c>
      <c r="G103" s="64">
        <v>93.36</v>
      </c>
      <c r="H103" s="64">
        <v>49.51</v>
      </c>
      <c r="I103" s="64">
        <v>7.41</v>
      </c>
      <c r="J103" s="64">
        <v>0.53</v>
      </c>
      <c r="K103" s="64">
        <v>273.55</v>
      </c>
      <c r="L103" s="64">
        <v>18.57</v>
      </c>
      <c r="M103" s="64">
        <v>81.680000000000007</v>
      </c>
      <c r="N103" s="64">
        <v>26.1</v>
      </c>
      <c r="O103" s="64">
        <v>0</v>
      </c>
      <c r="P103" s="64">
        <v>1.48</v>
      </c>
      <c r="Q103" s="64">
        <v>9.6300000000000008</v>
      </c>
      <c r="R103" s="196"/>
      <c r="S103" s="196"/>
      <c r="T103" s="196"/>
      <c r="U103" s="196"/>
    </row>
    <row r="104" spans="1:33" s="12" customFormat="1" x14ac:dyDescent="0.25">
      <c r="A104" s="211" t="s">
        <v>916</v>
      </c>
      <c r="B104" s="64">
        <v>34.76</v>
      </c>
      <c r="C104" s="64">
        <v>25.55</v>
      </c>
      <c r="D104" s="64">
        <v>39.85</v>
      </c>
      <c r="E104" s="64">
        <v>4.51</v>
      </c>
      <c r="F104" s="64">
        <v>4.03</v>
      </c>
      <c r="G104" s="64">
        <v>94.24</v>
      </c>
      <c r="H104" s="64">
        <v>48.78</v>
      </c>
      <c r="I104" s="64">
        <v>7.25</v>
      </c>
      <c r="J104" s="64">
        <v>0.35</v>
      </c>
      <c r="K104" s="64">
        <v>279.07</v>
      </c>
      <c r="L104" s="64">
        <v>18.48</v>
      </c>
      <c r="M104" s="64">
        <v>83.56</v>
      </c>
      <c r="N104" s="64">
        <v>26.1</v>
      </c>
      <c r="O104" s="64">
        <v>0</v>
      </c>
      <c r="P104" s="64">
        <v>1.46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2.4</v>
      </c>
      <c r="C106" s="67">
        <f>MIN(C9:C104)</f>
        <v>15.41</v>
      </c>
      <c r="D106" s="67">
        <f t="shared" ref="D106:Q106" si="0">MIN(D9:D104)</f>
        <v>9.06</v>
      </c>
      <c r="E106" s="67">
        <f t="shared" si="0"/>
        <v>4.26</v>
      </c>
      <c r="F106" s="67">
        <f t="shared" si="0"/>
        <v>3.82</v>
      </c>
      <c r="G106" s="67">
        <f t="shared" si="0"/>
        <v>63.02</v>
      </c>
      <c r="H106" s="67">
        <f t="shared" si="0"/>
        <v>21.97</v>
      </c>
      <c r="I106" s="67">
        <f t="shared" si="0"/>
        <v>1.96</v>
      </c>
      <c r="J106" s="67">
        <f t="shared" si="0"/>
        <v>0.09</v>
      </c>
      <c r="K106" s="67">
        <f t="shared" si="0"/>
        <v>6.36</v>
      </c>
      <c r="L106" s="67">
        <f t="shared" si="0"/>
        <v>16.34</v>
      </c>
      <c r="M106" s="67">
        <f t="shared" si="0"/>
        <v>44.28</v>
      </c>
      <c r="N106" s="67">
        <f t="shared" si="0"/>
        <v>25.3</v>
      </c>
      <c r="O106" s="67">
        <f t="shared" si="0"/>
        <v>0</v>
      </c>
      <c r="P106" s="67">
        <f t="shared" si="0"/>
        <v>0.42</v>
      </c>
      <c r="Q106" s="67">
        <f t="shared" si="0"/>
        <v>9.59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37.92</v>
      </c>
      <c r="C107" s="66">
        <f t="shared" ref="C107:Q107" si="1">MAX(C9:C104)</f>
        <v>25.79</v>
      </c>
      <c r="D107" s="66">
        <f t="shared" si="1"/>
        <v>41.14</v>
      </c>
      <c r="E107" s="66">
        <f t="shared" si="1"/>
        <v>8.36</v>
      </c>
      <c r="F107" s="66">
        <f t="shared" si="1"/>
        <v>7.38</v>
      </c>
      <c r="G107" s="66">
        <f t="shared" si="1"/>
        <v>150.49</v>
      </c>
      <c r="H107" s="66">
        <f t="shared" si="1"/>
        <v>102.08</v>
      </c>
      <c r="I107" s="66">
        <f t="shared" si="1"/>
        <v>9.89</v>
      </c>
      <c r="J107" s="66">
        <f t="shared" si="1"/>
        <v>1.53</v>
      </c>
      <c r="K107" s="66">
        <f t="shared" si="1"/>
        <v>357.84</v>
      </c>
      <c r="L107" s="66">
        <f t="shared" si="1"/>
        <v>27.75</v>
      </c>
      <c r="M107" s="66">
        <f t="shared" si="1"/>
        <v>100.59</v>
      </c>
      <c r="N107" s="66">
        <f t="shared" si="1"/>
        <v>630.70000000000005</v>
      </c>
      <c r="O107" s="66">
        <f t="shared" si="1"/>
        <v>0</v>
      </c>
      <c r="P107" s="66">
        <f t="shared" si="1"/>
        <v>2.31</v>
      </c>
      <c r="Q107" s="66">
        <f t="shared" si="1"/>
        <v>9.65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11.765625</v>
      </c>
      <c r="C108" s="67">
        <f t="shared" ref="C108:Q108" si="2">AVERAGE(C9:C104)</f>
        <v>20.031979166666659</v>
      </c>
      <c r="D108" s="67">
        <f t="shared" si="2"/>
        <v>18.525208333333335</v>
      </c>
      <c r="E108" s="67">
        <f t="shared" si="2"/>
        <v>5.7520833333333341</v>
      </c>
      <c r="F108" s="67">
        <f t="shared" si="2"/>
        <v>4.8701041666666649</v>
      </c>
      <c r="G108" s="67">
        <f t="shared" si="2"/>
        <v>99.736041666666679</v>
      </c>
      <c r="H108" s="67">
        <f t="shared" si="2"/>
        <v>50.638437500000002</v>
      </c>
      <c r="I108" s="67">
        <f t="shared" si="2"/>
        <v>5.2022916666666648</v>
      </c>
      <c r="J108" s="67">
        <f t="shared" si="2"/>
        <v>0.59104166666666702</v>
      </c>
      <c r="K108" s="67">
        <f t="shared" si="2"/>
        <v>208.84093750000011</v>
      </c>
      <c r="L108" s="67">
        <f t="shared" si="2"/>
        <v>21.412499999999998</v>
      </c>
      <c r="M108" s="67">
        <f t="shared" si="2"/>
        <v>69.863124999999982</v>
      </c>
      <c r="N108" s="67">
        <f t="shared" si="2"/>
        <v>150.93645833333338</v>
      </c>
      <c r="O108" s="67">
        <f t="shared" si="2"/>
        <v>0</v>
      </c>
      <c r="P108" s="67">
        <f t="shared" si="2"/>
        <v>0.9632291666666668</v>
      </c>
      <c r="Q108" s="67">
        <f t="shared" si="2"/>
        <v>9.6232291666666683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11.785932096984812</v>
      </c>
      <c r="C109" s="67">
        <f t="shared" ref="C109:Q109" si="3">STDEV(C9:C104)</f>
        <v>3.2455779210592155</v>
      </c>
      <c r="D109" s="67">
        <f t="shared" si="3"/>
        <v>10.74089665757808</v>
      </c>
      <c r="E109" s="67">
        <f t="shared" si="3"/>
        <v>1.0367580204572588</v>
      </c>
      <c r="F109" s="67">
        <f t="shared" si="3"/>
        <v>0.73545617035197075</v>
      </c>
      <c r="G109" s="67">
        <f t="shared" si="3"/>
        <v>25.325280212682149</v>
      </c>
      <c r="H109" s="67">
        <f t="shared" si="3"/>
        <v>20.239514885393177</v>
      </c>
      <c r="I109" s="67">
        <f t="shared" si="3"/>
        <v>1.60956645301357</v>
      </c>
      <c r="J109" s="67">
        <f t="shared" si="3"/>
        <v>0.3082667305970303</v>
      </c>
      <c r="K109" s="67">
        <f t="shared" si="3"/>
        <v>122.30972864071127</v>
      </c>
      <c r="L109" s="67">
        <f t="shared" si="3"/>
        <v>3.657968950402029</v>
      </c>
      <c r="M109" s="67">
        <f t="shared" si="3"/>
        <v>18.339455097943269</v>
      </c>
      <c r="N109" s="67">
        <f t="shared" si="3"/>
        <v>192.07510105755995</v>
      </c>
      <c r="O109" s="67">
        <f t="shared" si="3"/>
        <v>0</v>
      </c>
      <c r="P109" s="67">
        <f t="shared" si="3"/>
        <v>0.42064986012663919</v>
      </c>
      <c r="Q109" s="67">
        <f t="shared" si="3"/>
        <v>9.8936227909616151E-3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917</v>
      </c>
      <c r="B9" s="64">
        <v>34.01</v>
      </c>
      <c r="C9" s="64">
        <v>25.5</v>
      </c>
      <c r="D9" s="64">
        <v>39.22</v>
      </c>
      <c r="E9" s="64">
        <v>5.0999999999999996</v>
      </c>
      <c r="F9" s="64">
        <v>4.03</v>
      </c>
      <c r="G9" s="64">
        <v>96.8</v>
      </c>
      <c r="H9" s="64">
        <v>45.58</v>
      </c>
      <c r="I9" s="64">
        <v>7.18</v>
      </c>
      <c r="J9" s="64">
        <v>0.56999999999999995</v>
      </c>
      <c r="K9" s="64">
        <v>337.19</v>
      </c>
      <c r="L9" s="64">
        <v>18.02</v>
      </c>
      <c r="M9" s="64">
        <v>91.23</v>
      </c>
      <c r="N9" s="64">
        <v>26.1</v>
      </c>
      <c r="O9" s="64">
        <v>0</v>
      </c>
      <c r="P9" s="64">
        <v>1.43</v>
      </c>
      <c r="Q9" s="64">
        <v>9.67</v>
      </c>
      <c r="R9" s="196"/>
      <c r="S9" s="196"/>
      <c r="T9" s="196"/>
      <c r="U9" s="196"/>
    </row>
    <row r="10" spans="1:21" s="12" customFormat="1" x14ac:dyDescent="0.25">
      <c r="A10" s="211" t="s">
        <v>918</v>
      </c>
      <c r="B10" s="64">
        <v>32.79</v>
      </c>
      <c r="C10" s="64">
        <v>24.78</v>
      </c>
      <c r="D10" s="64">
        <v>37.869999999999997</v>
      </c>
      <c r="E10" s="64">
        <v>5.1100000000000003</v>
      </c>
      <c r="F10" s="64">
        <v>3.99</v>
      </c>
      <c r="G10" s="64">
        <v>96.8</v>
      </c>
      <c r="H10" s="64">
        <v>45.58</v>
      </c>
      <c r="I10" s="64">
        <v>7.08</v>
      </c>
      <c r="J10" s="64">
        <v>0.54</v>
      </c>
      <c r="K10" s="64">
        <v>286.82</v>
      </c>
      <c r="L10" s="64">
        <v>17.63</v>
      </c>
      <c r="M10" s="64">
        <v>88</v>
      </c>
      <c r="N10" s="64">
        <v>26.1</v>
      </c>
      <c r="O10" s="64">
        <v>0</v>
      </c>
      <c r="P10" s="64">
        <v>1.4</v>
      </c>
      <c r="Q10" s="64">
        <v>9.68</v>
      </c>
      <c r="R10" s="196"/>
      <c r="S10" s="196"/>
      <c r="T10" s="196"/>
      <c r="U10" s="196"/>
    </row>
    <row r="11" spans="1:21" s="12" customFormat="1" x14ac:dyDescent="0.25">
      <c r="A11" s="211" t="s">
        <v>919</v>
      </c>
      <c r="B11" s="64">
        <v>31.15</v>
      </c>
      <c r="C11" s="64">
        <v>22.87</v>
      </c>
      <c r="D11" s="64">
        <v>35.549999999999997</v>
      </c>
      <c r="E11" s="64">
        <v>5.27</v>
      </c>
      <c r="F11" s="64">
        <v>4.3</v>
      </c>
      <c r="G11" s="64">
        <v>96.8</v>
      </c>
      <c r="H11" s="64">
        <v>45.58</v>
      </c>
      <c r="I11" s="64">
        <v>7.11</v>
      </c>
      <c r="J11" s="64">
        <v>0.55000000000000004</v>
      </c>
      <c r="K11" s="64">
        <v>323.08999999999997</v>
      </c>
      <c r="L11" s="64">
        <v>17.5</v>
      </c>
      <c r="M11" s="64">
        <v>88.87</v>
      </c>
      <c r="N11" s="64">
        <v>26.1</v>
      </c>
      <c r="O11" s="64">
        <v>0</v>
      </c>
      <c r="P11" s="64">
        <v>1.06</v>
      </c>
      <c r="Q11" s="64">
        <v>9.65</v>
      </c>
      <c r="R11" s="196"/>
      <c r="S11" s="196"/>
      <c r="T11" s="196"/>
      <c r="U11" s="196"/>
    </row>
    <row r="12" spans="1:21" s="12" customFormat="1" x14ac:dyDescent="0.25">
      <c r="A12" s="211" t="s">
        <v>920</v>
      </c>
      <c r="B12" s="64">
        <v>30.1</v>
      </c>
      <c r="C12" s="64">
        <v>21.2</v>
      </c>
      <c r="D12" s="64">
        <v>33.840000000000003</v>
      </c>
      <c r="E12" s="64">
        <v>5.47</v>
      </c>
      <c r="F12" s="64">
        <v>4.05</v>
      </c>
      <c r="G12" s="64">
        <v>97.29</v>
      </c>
      <c r="H12" s="64">
        <v>44.58</v>
      </c>
      <c r="I12" s="64">
        <v>6.25</v>
      </c>
      <c r="J12" s="64">
        <v>0.53</v>
      </c>
      <c r="K12" s="64">
        <v>303.18</v>
      </c>
      <c r="L12" s="64">
        <v>17.45</v>
      </c>
      <c r="M12" s="64">
        <v>91.15</v>
      </c>
      <c r="N12" s="64">
        <v>26.1</v>
      </c>
      <c r="O12" s="64">
        <v>0</v>
      </c>
      <c r="P12" s="64">
        <v>1.2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921</v>
      </c>
      <c r="B13" s="64">
        <v>29.38</v>
      </c>
      <c r="C13" s="64">
        <v>20.76</v>
      </c>
      <c r="D13" s="64">
        <v>33.03</v>
      </c>
      <c r="E13" s="64">
        <v>5.31</v>
      </c>
      <c r="F13" s="64">
        <v>3.97</v>
      </c>
      <c r="G13" s="64">
        <v>98.73</v>
      </c>
      <c r="H13" s="64">
        <v>42.65</v>
      </c>
      <c r="I13" s="64">
        <v>5.26</v>
      </c>
      <c r="J13" s="64">
        <v>0.57999999999999996</v>
      </c>
      <c r="K13" s="64">
        <v>323.18</v>
      </c>
      <c r="L13" s="64">
        <v>17.27</v>
      </c>
      <c r="M13" s="64">
        <v>93.19</v>
      </c>
      <c r="N13" s="64">
        <v>26.1</v>
      </c>
      <c r="O13" s="64">
        <v>0</v>
      </c>
      <c r="P13" s="64">
        <v>0.98</v>
      </c>
      <c r="Q13" s="64">
        <v>9.6199999999999992</v>
      </c>
      <c r="R13" s="196"/>
      <c r="S13" s="196"/>
      <c r="T13" s="196"/>
      <c r="U13" s="196"/>
    </row>
    <row r="14" spans="1:21" s="12" customFormat="1" x14ac:dyDescent="0.25">
      <c r="A14" s="211" t="s">
        <v>922</v>
      </c>
      <c r="B14" s="64">
        <v>28.62</v>
      </c>
      <c r="C14" s="64">
        <v>20.09</v>
      </c>
      <c r="D14" s="64">
        <v>32.07</v>
      </c>
      <c r="E14" s="64">
        <v>4.88</v>
      </c>
      <c r="F14" s="64">
        <v>3.98</v>
      </c>
      <c r="G14" s="64">
        <v>98.73</v>
      </c>
      <c r="H14" s="64">
        <v>42.65</v>
      </c>
      <c r="I14" s="64">
        <v>5.21</v>
      </c>
      <c r="J14" s="64">
        <v>0.42</v>
      </c>
      <c r="K14" s="64">
        <v>268.55</v>
      </c>
      <c r="L14" s="64">
        <v>17.350000000000001</v>
      </c>
      <c r="M14" s="64">
        <v>92.89</v>
      </c>
      <c r="N14" s="64">
        <v>25.6</v>
      </c>
      <c r="O14" s="64">
        <v>0</v>
      </c>
      <c r="P14" s="64">
        <v>1.1000000000000001</v>
      </c>
      <c r="Q14" s="64">
        <v>9.64</v>
      </c>
      <c r="R14" s="196"/>
      <c r="S14" s="196"/>
      <c r="T14" s="196"/>
      <c r="U14" s="196"/>
    </row>
    <row r="15" spans="1:21" s="12" customFormat="1" x14ac:dyDescent="0.25">
      <c r="A15" s="211" t="s">
        <v>923</v>
      </c>
      <c r="B15" s="64">
        <v>27.7</v>
      </c>
      <c r="C15" s="64">
        <v>19.27</v>
      </c>
      <c r="D15" s="64">
        <v>30.9</v>
      </c>
      <c r="E15" s="64">
        <v>4.71</v>
      </c>
      <c r="F15" s="64">
        <v>3.92</v>
      </c>
      <c r="G15" s="64">
        <v>98.73</v>
      </c>
      <c r="H15" s="64">
        <v>42.65</v>
      </c>
      <c r="I15" s="64">
        <v>5.66</v>
      </c>
      <c r="J15" s="64">
        <v>0.42</v>
      </c>
      <c r="K15" s="64">
        <v>173.34</v>
      </c>
      <c r="L15" s="64">
        <v>17.649999999999999</v>
      </c>
      <c r="M15" s="64">
        <v>92.56</v>
      </c>
      <c r="N15" s="64">
        <v>25.8</v>
      </c>
      <c r="O15" s="64">
        <v>0</v>
      </c>
      <c r="P15" s="64">
        <v>1.06</v>
      </c>
      <c r="Q15" s="64">
        <v>9.6199999999999992</v>
      </c>
      <c r="R15" s="196"/>
      <c r="S15" s="196"/>
      <c r="T15" s="196"/>
      <c r="U15" s="196"/>
    </row>
    <row r="16" spans="1:21" s="12" customFormat="1" x14ac:dyDescent="0.25">
      <c r="A16" s="211" t="s">
        <v>924</v>
      </c>
      <c r="B16" s="64">
        <v>26.83</v>
      </c>
      <c r="C16" s="64">
        <v>18.309999999999999</v>
      </c>
      <c r="D16" s="64">
        <v>29.7</v>
      </c>
      <c r="E16" s="64">
        <v>5.26</v>
      </c>
      <c r="F16" s="64">
        <v>4.2</v>
      </c>
      <c r="G16" s="64">
        <v>97.86</v>
      </c>
      <c r="H16" s="64">
        <v>44.21</v>
      </c>
      <c r="I16" s="64">
        <v>5.29</v>
      </c>
      <c r="J16" s="64">
        <v>0.54</v>
      </c>
      <c r="K16" s="64">
        <v>218</v>
      </c>
      <c r="L16" s="64">
        <v>17.25</v>
      </c>
      <c r="M16" s="64">
        <v>94.96</v>
      </c>
      <c r="N16" s="64">
        <v>26.1</v>
      </c>
      <c r="O16" s="64">
        <v>0</v>
      </c>
      <c r="P16" s="64">
        <v>1.1100000000000001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925</v>
      </c>
      <c r="B17" s="64">
        <v>26.04</v>
      </c>
      <c r="C17" s="64">
        <v>17.510000000000002</v>
      </c>
      <c r="D17" s="64">
        <v>28.65</v>
      </c>
      <c r="E17" s="64">
        <v>5.51</v>
      </c>
      <c r="F17" s="64">
        <v>3.93</v>
      </c>
      <c r="G17" s="64">
        <v>95.31</v>
      </c>
      <c r="H17" s="64">
        <v>47.33</v>
      </c>
      <c r="I17" s="64">
        <v>6.74</v>
      </c>
      <c r="J17" s="64">
        <v>0.21</v>
      </c>
      <c r="K17" s="64">
        <v>336.85</v>
      </c>
      <c r="L17" s="64">
        <v>16.940000000000001</v>
      </c>
      <c r="M17" s="64">
        <v>97.38</v>
      </c>
      <c r="N17" s="64">
        <v>26.1</v>
      </c>
      <c r="O17" s="64">
        <v>0</v>
      </c>
      <c r="P17" s="64">
        <v>1.07</v>
      </c>
      <c r="Q17" s="64">
        <v>9.6300000000000008</v>
      </c>
      <c r="R17" s="196"/>
      <c r="S17" s="196"/>
      <c r="T17" s="196"/>
      <c r="U17" s="196"/>
    </row>
    <row r="18" spans="1:21" s="12" customFormat="1" x14ac:dyDescent="0.25">
      <c r="A18" s="211" t="s">
        <v>926</v>
      </c>
      <c r="B18" s="64">
        <v>25.29</v>
      </c>
      <c r="C18" s="64">
        <v>16.739999999999998</v>
      </c>
      <c r="D18" s="64">
        <v>27.65</v>
      </c>
      <c r="E18" s="64">
        <v>5.69</v>
      </c>
      <c r="F18" s="64">
        <v>3.92</v>
      </c>
      <c r="G18" s="64">
        <v>95.31</v>
      </c>
      <c r="H18" s="64">
        <v>47.33</v>
      </c>
      <c r="I18" s="64">
        <v>7.4</v>
      </c>
      <c r="J18" s="64">
        <v>0.54</v>
      </c>
      <c r="K18" s="64">
        <v>2.95</v>
      </c>
      <c r="L18" s="64">
        <v>16.78</v>
      </c>
      <c r="M18" s="64">
        <v>99.25</v>
      </c>
      <c r="N18" s="64">
        <v>26.1</v>
      </c>
      <c r="O18" s="64">
        <v>0</v>
      </c>
      <c r="P18" s="64">
        <v>1.0900000000000001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927</v>
      </c>
      <c r="B19" s="64">
        <v>24.6</v>
      </c>
      <c r="C19" s="64">
        <v>16.989999999999998</v>
      </c>
      <c r="D19" s="64">
        <v>27.23</v>
      </c>
      <c r="E19" s="64">
        <v>6.01</v>
      </c>
      <c r="F19" s="64">
        <v>3.95</v>
      </c>
      <c r="G19" s="64">
        <v>95.31</v>
      </c>
      <c r="H19" s="64">
        <v>47.33</v>
      </c>
      <c r="I19" s="64">
        <v>7.07</v>
      </c>
      <c r="J19" s="64">
        <v>0.51</v>
      </c>
      <c r="K19" s="64">
        <v>352.34</v>
      </c>
      <c r="L19" s="64">
        <v>16.579999999999998</v>
      </c>
      <c r="M19" s="64">
        <v>100.98</v>
      </c>
      <c r="N19" s="64">
        <v>26.1</v>
      </c>
      <c r="O19" s="64">
        <v>0</v>
      </c>
      <c r="P19" s="64">
        <v>1.1399999999999999</v>
      </c>
      <c r="Q19" s="64">
        <v>9.6199999999999992</v>
      </c>
      <c r="R19" s="196"/>
      <c r="S19" s="196"/>
      <c r="T19" s="196"/>
      <c r="U19" s="196"/>
    </row>
    <row r="20" spans="1:21" s="12" customFormat="1" x14ac:dyDescent="0.25">
      <c r="A20" s="211" t="s">
        <v>928</v>
      </c>
      <c r="B20" s="64">
        <v>23.77</v>
      </c>
      <c r="C20" s="64">
        <v>16.86</v>
      </c>
      <c r="D20" s="64">
        <v>26.5</v>
      </c>
      <c r="E20" s="64">
        <v>6.41</v>
      </c>
      <c r="F20" s="64">
        <v>4.2300000000000004</v>
      </c>
      <c r="G20" s="64">
        <v>97.63</v>
      </c>
      <c r="H20" s="64">
        <v>48.46</v>
      </c>
      <c r="I20" s="64">
        <v>7.07</v>
      </c>
      <c r="J20" s="64">
        <v>0.55000000000000004</v>
      </c>
      <c r="K20" s="64">
        <v>335.98</v>
      </c>
      <c r="L20" s="64">
        <v>16.29</v>
      </c>
      <c r="M20" s="64">
        <v>102.6</v>
      </c>
      <c r="N20" s="64">
        <v>26.1</v>
      </c>
      <c r="O20" s="64">
        <v>0</v>
      </c>
      <c r="P20" s="64">
        <v>1.1299999999999999</v>
      </c>
      <c r="Q20" s="64">
        <v>9.6199999999999992</v>
      </c>
      <c r="R20" s="196"/>
      <c r="S20" s="196"/>
      <c r="T20" s="196"/>
      <c r="U20" s="196"/>
    </row>
    <row r="21" spans="1:21" s="12" customFormat="1" x14ac:dyDescent="0.25">
      <c r="A21" s="211" t="s">
        <v>929</v>
      </c>
      <c r="B21" s="64">
        <v>22.99</v>
      </c>
      <c r="C21" s="64">
        <v>16.5</v>
      </c>
      <c r="D21" s="64">
        <v>25.68</v>
      </c>
      <c r="E21" s="64">
        <v>6.85</v>
      </c>
      <c r="F21" s="64">
        <v>4.08</v>
      </c>
      <c r="G21" s="64">
        <v>104.37</v>
      </c>
      <c r="H21" s="64">
        <v>50.73</v>
      </c>
      <c r="I21" s="64">
        <v>7.2</v>
      </c>
      <c r="J21" s="64">
        <v>0.51</v>
      </c>
      <c r="K21" s="64">
        <v>278.51</v>
      </c>
      <c r="L21" s="64">
        <v>16.12</v>
      </c>
      <c r="M21" s="64">
        <v>102.77</v>
      </c>
      <c r="N21" s="64">
        <v>25.7</v>
      </c>
      <c r="O21" s="64">
        <v>0</v>
      </c>
      <c r="P21" s="64">
        <v>1.1100000000000001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930</v>
      </c>
      <c r="B22" s="64">
        <v>22.09</v>
      </c>
      <c r="C22" s="64">
        <v>16.5</v>
      </c>
      <c r="D22" s="64">
        <v>24.96</v>
      </c>
      <c r="E22" s="64">
        <v>6.54</v>
      </c>
      <c r="F22" s="64">
        <v>4.2300000000000004</v>
      </c>
      <c r="G22" s="64">
        <v>104.37</v>
      </c>
      <c r="H22" s="64">
        <v>50.73</v>
      </c>
      <c r="I22" s="64">
        <v>7.28</v>
      </c>
      <c r="J22" s="64">
        <v>0.57999999999999996</v>
      </c>
      <c r="K22" s="64">
        <v>292.33999999999997</v>
      </c>
      <c r="L22" s="64">
        <v>16.12</v>
      </c>
      <c r="M22" s="64">
        <v>102.76</v>
      </c>
      <c r="N22" s="64">
        <v>25.9</v>
      </c>
      <c r="O22" s="64">
        <v>0</v>
      </c>
      <c r="P22" s="64">
        <v>1.08</v>
      </c>
      <c r="Q22" s="64">
        <v>9.6199999999999992</v>
      </c>
      <c r="R22" s="196"/>
      <c r="S22" s="196"/>
      <c r="T22" s="196"/>
      <c r="U22" s="196"/>
    </row>
    <row r="23" spans="1:21" s="12" customFormat="1" x14ac:dyDescent="0.25">
      <c r="A23" s="211" t="s">
        <v>931</v>
      </c>
      <c r="B23" s="64">
        <v>21.27</v>
      </c>
      <c r="C23" s="64">
        <v>16.3</v>
      </c>
      <c r="D23" s="64">
        <v>24.2</v>
      </c>
      <c r="E23" s="64">
        <v>6.67</v>
      </c>
      <c r="F23" s="64">
        <v>4.13</v>
      </c>
      <c r="G23" s="64">
        <v>104.37</v>
      </c>
      <c r="H23" s="64">
        <v>50.73</v>
      </c>
      <c r="I23" s="64">
        <v>7.35</v>
      </c>
      <c r="J23" s="64">
        <v>0.45</v>
      </c>
      <c r="K23" s="64">
        <v>301.43</v>
      </c>
      <c r="L23" s="64">
        <v>15.93</v>
      </c>
      <c r="M23" s="64">
        <v>102.79</v>
      </c>
      <c r="N23" s="64">
        <v>26</v>
      </c>
      <c r="O23" s="64">
        <v>0</v>
      </c>
      <c r="P23" s="64">
        <v>1.05</v>
      </c>
      <c r="Q23" s="64">
        <v>9.6199999999999992</v>
      </c>
      <c r="R23" s="196"/>
      <c r="S23" s="196"/>
      <c r="T23" s="196"/>
      <c r="U23" s="196"/>
    </row>
    <row r="24" spans="1:21" s="12" customFormat="1" x14ac:dyDescent="0.25">
      <c r="A24" s="211" t="s">
        <v>932</v>
      </c>
      <c r="B24" s="64">
        <v>20.53</v>
      </c>
      <c r="C24" s="64">
        <v>16.46</v>
      </c>
      <c r="D24" s="64">
        <v>23.68</v>
      </c>
      <c r="E24" s="64">
        <v>8.02</v>
      </c>
      <c r="F24" s="64">
        <v>4.17</v>
      </c>
      <c r="G24" s="64">
        <v>103.64</v>
      </c>
      <c r="H24" s="64">
        <v>50.91</v>
      </c>
      <c r="I24" s="64">
        <v>7.35</v>
      </c>
      <c r="J24" s="64">
        <v>0.51</v>
      </c>
      <c r="K24" s="64">
        <v>299.26</v>
      </c>
      <c r="L24" s="64">
        <v>15.81</v>
      </c>
      <c r="M24" s="64">
        <v>102.79</v>
      </c>
      <c r="N24" s="64">
        <v>26</v>
      </c>
      <c r="O24" s="64">
        <v>0</v>
      </c>
      <c r="P24" s="64">
        <v>1.03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933</v>
      </c>
      <c r="B25" s="64">
        <v>20.149999999999999</v>
      </c>
      <c r="C25" s="64">
        <v>16.66</v>
      </c>
      <c r="D25" s="64">
        <v>23.49</v>
      </c>
      <c r="E25" s="64">
        <v>7.23</v>
      </c>
      <c r="F25" s="64">
        <v>4.18</v>
      </c>
      <c r="G25" s="64">
        <v>101.49</v>
      </c>
      <c r="H25" s="64">
        <v>51.65</v>
      </c>
      <c r="I25" s="64">
        <v>7.33</v>
      </c>
      <c r="J25" s="64">
        <v>0.53</v>
      </c>
      <c r="K25" s="64">
        <v>322.88</v>
      </c>
      <c r="L25" s="64">
        <v>15.77</v>
      </c>
      <c r="M25" s="64">
        <v>102.78</v>
      </c>
      <c r="N25" s="64">
        <v>25.9</v>
      </c>
      <c r="O25" s="64">
        <v>0</v>
      </c>
      <c r="P25" s="64">
        <v>1.01</v>
      </c>
      <c r="Q25" s="64">
        <v>9.6300000000000008</v>
      </c>
      <c r="R25" s="196"/>
      <c r="S25" s="196"/>
      <c r="T25" s="196"/>
      <c r="U25" s="196"/>
    </row>
    <row r="26" spans="1:21" s="12" customFormat="1" x14ac:dyDescent="0.25">
      <c r="A26" s="211" t="s">
        <v>934</v>
      </c>
      <c r="B26" s="64">
        <v>20.85</v>
      </c>
      <c r="C26" s="64">
        <v>16.71</v>
      </c>
      <c r="D26" s="64">
        <v>24.07</v>
      </c>
      <c r="E26" s="64">
        <v>7.62</v>
      </c>
      <c r="F26" s="64">
        <v>4.0199999999999996</v>
      </c>
      <c r="G26" s="64">
        <v>101.49</v>
      </c>
      <c r="H26" s="64">
        <v>51.65</v>
      </c>
      <c r="I26" s="64">
        <v>7.31</v>
      </c>
      <c r="J26" s="64">
        <v>0.49</v>
      </c>
      <c r="K26" s="64">
        <v>299.67</v>
      </c>
      <c r="L26" s="64">
        <v>15.85</v>
      </c>
      <c r="M26" s="64">
        <v>102.78</v>
      </c>
      <c r="N26" s="64">
        <v>25.8</v>
      </c>
      <c r="O26" s="64">
        <v>0</v>
      </c>
      <c r="P26" s="64">
        <v>1</v>
      </c>
      <c r="Q26" s="64">
        <v>9.6300000000000008</v>
      </c>
      <c r="R26" s="196"/>
      <c r="S26" s="196"/>
      <c r="T26" s="196"/>
      <c r="U26" s="196"/>
    </row>
    <row r="27" spans="1:21" s="12" customFormat="1" x14ac:dyDescent="0.25">
      <c r="A27" s="211" t="s">
        <v>935</v>
      </c>
      <c r="B27" s="64">
        <v>21.59</v>
      </c>
      <c r="C27" s="64">
        <v>16.96</v>
      </c>
      <c r="D27" s="64">
        <v>24.79</v>
      </c>
      <c r="E27" s="64">
        <v>8.02</v>
      </c>
      <c r="F27" s="64">
        <v>4.0999999999999996</v>
      </c>
      <c r="G27" s="64">
        <v>101.49</v>
      </c>
      <c r="H27" s="64">
        <v>51.65</v>
      </c>
      <c r="I27" s="64">
        <v>7.29</v>
      </c>
      <c r="J27" s="64">
        <v>0.55000000000000004</v>
      </c>
      <c r="K27" s="64">
        <v>287.52</v>
      </c>
      <c r="L27" s="64">
        <v>15.77</v>
      </c>
      <c r="M27" s="64">
        <v>102.8</v>
      </c>
      <c r="N27" s="64">
        <v>25.8</v>
      </c>
      <c r="O27" s="64">
        <v>0</v>
      </c>
      <c r="P27" s="64">
        <v>0.98</v>
      </c>
      <c r="Q27" s="64">
        <v>9.6300000000000008</v>
      </c>
      <c r="R27" s="196"/>
      <c r="S27" s="196"/>
      <c r="T27" s="196"/>
      <c r="U27" s="196"/>
    </row>
    <row r="28" spans="1:21" s="12" customFormat="1" x14ac:dyDescent="0.25">
      <c r="A28" s="211" t="s">
        <v>936</v>
      </c>
      <c r="B28" s="64">
        <v>22.36</v>
      </c>
      <c r="C28" s="64">
        <v>15.44</v>
      </c>
      <c r="D28" s="64">
        <v>24.62</v>
      </c>
      <c r="E28" s="64">
        <v>7.43</v>
      </c>
      <c r="F28" s="64">
        <v>3.39</v>
      </c>
      <c r="G28" s="64">
        <v>102.38</v>
      </c>
      <c r="H28" s="64">
        <v>50.04</v>
      </c>
      <c r="I28" s="64">
        <v>7.26</v>
      </c>
      <c r="J28" s="64">
        <v>0.49</v>
      </c>
      <c r="K28" s="64">
        <v>299.05</v>
      </c>
      <c r="L28" s="64">
        <v>15.84</v>
      </c>
      <c r="M28" s="64">
        <v>102.78</v>
      </c>
      <c r="N28" s="64">
        <v>25.8</v>
      </c>
      <c r="O28" s="64">
        <v>0</v>
      </c>
      <c r="P28" s="64">
        <v>0.92</v>
      </c>
      <c r="Q28" s="64">
        <v>9.6300000000000008</v>
      </c>
      <c r="R28" s="196"/>
      <c r="S28" s="196"/>
      <c r="T28" s="196"/>
      <c r="U28" s="196"/>
    </row>
    <row r="29" spans="1:21" s="12" customFormat="1" x14ac:dyDescent="0.25">
      <c r="A29" s="211" t="s">
        <v>937</v>
      </c>
      <c r="B29" s="64">
        <v>23.11</v>
      </c>
      <c r="C29" s="64">
        <v>14.81</v>
      </c>
      <c r="D29" s="64">
        <v>24.89</v>
      </c>
      <c r="E29" s="64">
        <v>7.06</v>
      </c>
      <c r="F29" s="64">
        <v>3.55</v>
      </c>
      <c r="G29" s="64">
        <v>104.97</v>
      </c>
      <c r="H29" s="64">
        <v>46.95</v>
      </c>
      <c r="I29" s="64">
        <v>7.08</v>
      </c>
      <c r="J29" s="64">
        <v>0.35</v>
      </c>
      <c r="K29" s="64">
        <v>140.85</v>
      </c>
      <c r="L29" s="64">
        <v>15.89</v>
      </c>
      <c r="M29" s="64">
        <v>102.78</v>
      </c>
      <c r="N29" s="64">
        <v>25.7</v>
      </c>
      <c r="O29" s="64">
        <v>0</v>
      </c>
      <c r="P29" s="64">
        <v>0.92</v>
      </c>
      <c r="Q29" s="64">
        <v>9.6300000000000008</v>
      </c>
      <c r="R29" s="196"/>
      <c r="S29" s="196"/>
      <c r="T29" s="196"/>
      <c r="U29" s="196"/>
    </row>
    <row r="30" spans="1:21" s="12" customFormat="1" x14ac:dyDescent="0.25">
      <c r="A30" s="211" t="s">
        <v>938</v>
      </c>
      <c r="B30" s="64">
        <v>24.06</v>
      </c>
      <c r="C30" s="64">
        <v>14.96</v>
      </c>
      <c r="D30" s="64">
        <v>25.73</v>
      </c>
      <c r="E30" s="64">
        <v>6.93</v>
      </c>
      <c r="F30" s="64">
        <v>3.86</v>
      </c>
      <c r="G30" s="64">
        <v>104.97</v>
      </c>
      <c r="H30" s="64">
        <v>46.95</v>
      </c>
      <c r="I30" s="64">
        <v>6.59</v>
      </c>
      <c r="J30" s="64">
        <v>0.51</v>
      </c>
      <c r="K30" s="64">
        <v>238.76</v>
      </c>
      <c r="L30" s="64">
        <v>16.02</v>
      </c>
      <c r="M30" s="64">
        <v>102.78</v>
      </c>
      <c r="N30" s="64">
        <v>25.8</v>
      </c>
      <c r="O30" s="64">
        <v>0</v>
      </c>
      <c r="P30" s="64">
        <v>0.89</v>
      </c>
      <c r="Q30" s="64">
        <v>9.61</v>
      </c>
      <c r="R30" s="196"/>
      <c r="S30" s="196"/>
      <c r="T30" s="196"/>
      <c r="U30" s="196"/>
    </row>
    <row r="31" spans="1:21" s="12" customFormat="1" x14ac:dyDescent="0.25">
      <c r="A31" s="211" t="s">
        <v>939</v>
      </c>
      <c r="B31" s="64">
        <v>24.85</v>
      </c>
      <c r="C31" s="64">
        <v>14.57</v>
      </c>
      <c r="D31" s="64">
        <v>26.16</v>
      </c>
      <c r="E31" s="64">
        <v>6.68</v>
      </c>
      <c r="F31" s="64">
        <v>4.01</v>
      </c>
      <c r="G31" s="64">
        <v>104.97</v>
      </c>
      <c r="H31" s="64">
        <v>46.95</v>
      </c>
      <c r="I31" s="64">
        <v>6.21</v>
      </c>
      <c r="J31" s="64">
        <v>0.57999999999999996</v>
      </c>
      <c r="K31" s="64">
        <v>216.03</v>
      </c>
      <c r="L31" s="64">
        <v>16.12</v>
      </c>
      <c r="M31" s="64">
        <v>102.78</v>
      </c>
      <c r="N31" s="64">
        <v>25.7</v>
      </c>
      <c r="O31" s="64">
        <v>0</v>
      </c>
      <c r="P31" s="64">
        <v>0.9</v>
      </c>
      <c r="Q31" s="64">
        <v>9.6300000000000008</v>
      </c>
      <c r="R31" s="196"/>
      <c r="S31" s="196"/>
      <c r="T31" s="196"/>
      <c r="U31" s="196"/>
    </row>
    <row r="32" spans="1:21" s="12" customFormat="1" x14ac:dyDescent="0.25">
      <c r="A32" s="211" t="s">
        <v>940</v>
      </c>
      <c r="B32" s="64">
        <v>26.91</v>
      </c>
      <c r="C32" s="64">
        <v>14.24</v>
      </c>
      <c r="D32" s="64">
        <v>27.64</v>
      </c>
      <c r="E32" s="64">
        <v>6.53</v>
      </c>
      <c r="F32" s="64">
        <v>3.88</v>
      </c>
      <c r="G32" s="64">
        <v>105.29</v>
      </c>
      <c r="H32" s="64">
        <v>48.05</v>
      </c>
      <c r="I32" s="64">
        <v>6.12</v>
      </c>
      <c r="J32" s="64">
        <v>0.6</v>
      </c>
      <c r="K32" s="64">
        <v>330.71</v>
      </c>
      <c r="L32" s="64">
        <v>16.010000000000002</v>
      </c>
      <c r="M32" s="64">
        <v>102.79</v>
      </c>
      <c r="N32" s="64">
        <v>26.2</v>
      </c>
      <c r="O32" s="64">
        <v>0</v>
      </c>
      <c r="P32" s="64">
        <v>0.98</v>
      </c>
      <c r="Q32" s="64">
        <v>9.6300000000000008</v>
      </c>
      <c r="R32" s="196"/>
      <c r="S32" s="196"/>
      <c r="T32" s="196"/>
      <c r="U32" s="196"/>
    </row>
    <row r="33" spans="1:21" s="12" customFormat="1" x14ac:dyDescent="0.25">
      <c r="A33" s="211" t="s">
        <v>941</v>
      </c>
      <c r="B33" s="64">
        <v>29.89</v>
      </c>
      <c r="C33" s="64">
        <v>14.18</v>
      </c>
      <c r="D33" s="64">
        <v>30</v>
      </c>
      <c r="E33" s="64">
        <v>7.28</v>
      </c>
      <c r="F33" s="64">
        <v>3.49</v>
      </c>
      <c r="G33" s="64">
        <v>106.2</v>
      </c>
      <c r="H33" s="64">
        <v>50.15</v>
      </c>
      <c r="I33" s="64">
        <v>6.32</v>
      </c>
      <c r="J33" s="64">
        <v>0.56000000000000005</v>
      </c>
      <c r="K33" s="64">
        <v>291.45</v>
      </c>
      <c r="L33" s="64">
        <v>15.68</v>
      </c>
      <c r="M33" s="64">
        <v>102.8</v>
      </c>
      <c r="N33" s="64">
        <v>28</v>
      </c>
      <c r="O33" s="64">
        <v>0</v>
      </c>
      <c r="P33" s="64">
        <v>0.95</v>
      </c>
      <c r="Q33" s="64">
        <v>9.6300000000000008</v>
      </c>
      <c r="R33" s="196"/>
      <c r="S33" s="196"/>
      <c r="T33" s="196"/>
      <c r="U33" s="196"/>
    </row>
    <row r="34" spans="1:21" s="12" customFormat="1" x14ac:dyDescent="0.25">
      <c r="A34" s="211" t="s">
        <v>942</v>
      </c>
      <c r="B34" s="64">
        <v>32.159999999999997</v>
      </c>
      <c r="C34" s="64">
        <v>13.76</v>
      </c>
      <c r="D34" s="64">
        <v>31.6</v>
      </c>
      <c r="E34" s="64">
        <v>7.13</v>
      </c>
      <c r="F34" s="64">
        <v>4</v>
      </c>
      <c r="G34" s="64">
        <v>106.2</v>
      </c>
      <c r="H34" s="64">
        <v>50.15</v>
      </c>
      <c r="I34" s="64">
        <v>6.43</v>
      </c>
      <c r="J34" s="64">
        <v>0.52</v>
      </c>
      <c r="K34" s="64">
        <v>309.43</v>
      </c>
      <c r="L34" s="64">
        <v>15.59</v>
      </c>
      <c r="M34" s="64">
        <v>102.83</v>
      </c>
      <c r="N34" s="64">
        <v>35.1</v>
      </c>
      <c r="O34" s="64">
        <v>0</v>
      </c>
      <c r="P34" s="64">
        <v>0.93</v>
      </c>
      <c r="Q34" s="64">
        <v>9.6199999999999992</v>
      </c>
      <c r="R34" s="196"/>
      <c r="S34" s="196"/>
      <c r="T34" s="196"/>
      <c r="U34" s="196"/>
    </row>
    <row r="35" spans="1:21" s="12" customFormat="1" x14ac:dyDescent="0.25">
      <c r="A35" s="211" t="s">
        <v>943</v>
      </c>
      <c r="B35" s="64">
        <v>35.5</v>
      </c>
      <c r="C35" s="64">
        <v>13.93</v>
      </c>
      <c r="D35" s="64">
        <v>34.369999999999997</v>
      </c>
      <c r="E35" s="64">
        <v>7.19</v>
      </c>
      <c r="F35" s="64">
        <v>3.78</v>
      </c>
      <c r="G35" s="64">
        <v>106.2</v>
      </c>
      <c r="H35" s="64">
        <v>50.15</v>
      </c>
      <c r="I35" s="64">
        <v>6.45</v>
      </c>
      <c r="J35" s="64">
        <v>0.48</v>
      </c>
      <c r="K35" s="64">
        <v>348.27</v>
      </c>
      <c r="L35" s="64">
        <v>15.84</v>
      </c>
      <c r="M35" s="64">
        <v>102.82</v>
      </c>
      <c r="N35" s="64">
        <v>49</v>
      </c>
      <c r="O35" s="64">
        <v>0</v>
      </c>
      <c r="P35" s="64">
        <v>0.96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944</v>
      </c>
      <c r="B36" s="64">
        <v>41.27</v>
      </c>
      <c r="C36" s="64">
        <v>14.86</v>
      </c>
      <c r="D36" s="64">
        <v>39.479999999999997</v>
      </c>
      <c r="E36" s="64">
        <v>7.37</v>
      </c>
      <c r="F36" s="64">
        <v>4.1500000000000004</v>
      </c>
      <c r="G36" s="64">
        <v>107.99</v>
      </c>
      <c r="H36" s="64">
        <v>50.11</v>
      </c>
      <c r="I36" s="64">
        <v>6.43</v>
      </c>
      <c r="J36" s="64">
        <v>0.47</v>
      </c>
      <c r="K36" s="64">
        <v>94.17</v>
      </c>
      <c r="L36" s="64">
        <v>16.53</v>
      </c>
      <c r="M36" s="64">
        <v>100.5</v>
      </c>
      <c r="N36" s="64">
        <v>67.2</v>
      </c>
      <c r="O36" s="64">
        <v>0</v>
      </c>
      <c r="P36" s="64">
        <v>0.96</v>
      </c>
      <c r="Q36" s="64">
        <v>9.6199999999999992</v>
      </c>
      <c r="R36" s="196"/>
      <c r="S36" s="196"/>
      <c r="T36" s="196"/>
      <c r="U36" s="196"/>
    </row>
    <row r="37" spans="1:21" s="12" customFormat="1" x14ac:dyDescent="0.25">
      <c r="A37" s="211" t="s">
        <v>945</v>
      </c>
      <c r="B37" s="64">
        <v>42.52</v>
      </c>
      <c r="C37" s="64">
        <v>15.34</v>
      </c>
      <c r="D37" s="64">
        <v>40.729999999999997</v>
      </c>
      <c r="E37" s="64">
        <v>7.44</v>
      </c>
      <c r="F37" s="64">
        <v>4.32</v>
      </c>
      <c r="G37" s="64">
        <v>113.22</v>
      </c>
      <c r="H37" s="64">
        <v>50.03</v>
      </c>
      <c r="I37" s="64">
        <v>6.77</v>
      </c>
      <c r="J37" s="64">
        <v>0.89</v>
      </c>
      <c r="K37" s="64">
        <v>113.53</v>
      </c>
      <c r="L37" s="64">
        <v>17.14</v>
      </c>
      <c r="M37" s="64">
        <v>96.34</v>
      </c>
      <c r="N37" s="64">
        <v>94.1</v>
      </c>
      <c r="O37" s="64">
        <v>0</v>
      </c>
      <c r="P37" s="64">
        <v>1</v>
      </c>
      <c r="Q37" s="64">
        <v>9.6199999999999992</v>
      </c>
      <c r="R37" s="196"/>
      <c r="S37" s="196"/>
      <c r="T37" s="196"/>
      <c r="U37" s="196"/>
    </row>
    <row r="38" spans="1:21" s="12" customFormat="1" x14ac:dyDescent="0.25">
      <c r="A38" s="211" t="s">
        <v>946</v>
      </c>
      <c r="B38" s="64">
        <v>41.49</v>
      </c>
      <c r="C38" s="64">
        <v>16.05</v>
      </c>
      <c r="D38" s="64">
        <v>40.29</v>
      </c>
      <c r="E38" s="64">
        <v>7.12</v>
      </c>
      <c r="F38" s="64">
        <v>4.29</v>
      </c>
      <c r="G38" s="64">
        <v>113.22</v>
      </c>
      <c r="H38" s="64">
        <v>50.03</v>
      </c>
      <c r="I38" s="64">
        <v>6.77</v>
      </c>
      <c r="J38" s="64">
        <v>0.45</v>
      </c>
      <c r="K38" s="64">
        <v>19.89</v>
      </c>
      <c r="L38" s="64">
        <v>18.07</v>
      </c>
      <c r="M38" s="64">
        <v>92.47</v>
      </c>
      <c r="N38" s="64">
        <v>146.4</v>
      </c>
      <c r="O38" s="64">
        <v>0</v>
      </c>
      <c r="P38" s="64">
        <v>1.03</v>
      </c>
      <c r="Q38" s="64">
        <v>9.64</v>
      </c>
      <c r="R38" s="196"/>
      <c r="S38" s="196"/>
      <c r="T38" s="196"/>
      <c r="U38" s="196"/>
    </row>
    <row r="39" spans="1:21" s="12" customFormat="1" x14ac:dyDescent="0.25">
      <c r="A39" s="211" t="s">
        <v>947</v>
      </c>
      <c r="B39" s="64">
        <v>40.71</v>
      </c>
      <c r="C39" s="64">
        <v>17.52</v>
      </c>
      <c r="D39" s="64">
        <v>40.42</v>
      </c>
      <c r="E39" s="64">
        <v>7.64</v>
      </c>
      <c r="F39" s="64">
        <v>4.46</v>
      </c>
      <c r="G39" s="64">
        <v>113.22</v>
      </c>
      <c r="H39" s="64">
        <v>50.03</v>
      </c>
      <c r="I39" s="64">
        <v>6.82</v>
      </c>
      <c r="J39" s="64">
        <v>0.83</v>
      </c>
      <c r="K39" s="64">
        <v>334.75</v>
      </c>
      <c r="L39" s="64">
        <v>20.46</v>
      </c>
      <c r="M39" s="64">
        <v>80.03</v>
      </c>
      <c r="N39" s="64">
        <v>188.1</v>
      </c>
      <c r="O39" s="64">
        <v>0</v>
      </c>
      <c r="P39" s="64">
        <v>1.04</v>
      </c>
      <c r="Q39" s="64">
        <v>9.65</v>
      </c>
      <c r="R39" s="196"/>
      <c r="S39" s="196"/>
      <c r="T39" s="196"/>
      <c r="U39" s="196"/>
    </row>
    <row r="40" spans="1:21" s="12" customFormat="1" x14ac:dyDescent="0.25">
      <c r="A40" s="211" t="s">
        <v>948</v>
      </c>
      <c r="B40" s="64">
        <v>39.950000000000003</v>
      </c>
      <c r="C40" s="64">
        <v>18.91</v>
      </c>
      <c r="D40" s="64">
        <v>40.54</v>
      </c>
      <c r="E40" s="64">
        <v>5.78</v>
      </c>
      <c r="F40" s="64">
        <v>4.32</v>
      </c>
      <c r="G40" s="64">
        <v>113.06</v>
      </c>
      <c r="H40" s="64">
        <v>51.08</v>
      </c>
      <c r="I40" s="64">
        <v>6.81</v>
      </c>
      <c r="J40" s="64">
        <v>1.05</v>
      </c>
      <c r="K40" s="64">
        <v>341.71</v>
      </c>
      <c r="L40" s="64">
        <v>22.39</v>
      </c>
      <c r="M40" s="64">
        <v>71.459999999999994</v>
      </c>
      <c r="N40" s="64">
        <v>229.8</v>
      </c>
      <c r="O40" s="64">
        <v>0</v>
      </c>
      <c r="P40" s="64">
        <v>1.05</v>
      </c>
      <c r="Q40" s="64">
        <v>9.66</v>
      </c>
      <c r="R40" s="196"/>
      <c r="S40" s="196"/>
      <c r="T40" s="196"/>
      <c r="U40" s="196"/>
    </row>
    <row r="41" spans="1:21" s="12" customFormat="1" x14ac:dyDescent="0.25">
      <c r="A41" s="211" t="s">
        <v>949</v>
      </c>
      <c r="B41" s="64">
        <v>39.57</v>
      </c>
      <c r="C41" s="64">
        <v>20.75</v>
      </c>
      <c r="D41" s="64">
        <v>41.2</v>
      </c>
      <c r="E41" s="64">
        <v>6.5</v>
      </c>
      <c r="F41" s="64">
        <v>4.26</v>
      </c>
      <c r="G41" s="64">
        <v>112.58</v>
      </c>
      <c r="H41" s="64">
        <v>55.27</v>
      </c>
      <c r="I41" s="64">
        <v>6.71</v>
      </c>
      <c r="J41" s="64">
        <v>1.02</v>
      </c>
      <c r="K41" s="64">
        <v>342.21</v>
      </c>
      <c r="L41" s="64">
        <v>23.6</v>
      </c>
      <c r="M41" s="64">
        <v>66.72</v>
      </c>
      <c r="N41" s="64">
        <v>271.39999999999998</v>
      </c>
      <c r="O41" s="64">
        <v>0</v>
      </c>
      <c r="P41" s="64">
        <v>1.06</v>
      </c>
      <c r="Q41" s="64">
        <v>9.65</v>
      </c>
      <c r="R41" s="196"/>
      <c r="S41" s="196"/>
      <c r="T41" s="196"/>
      <c r="U41" s="196"/>
    </row>
    <row r="42" spans="1:21" s="12" customFormat="1" x14ac:dyDescent="0.25">
      <c r="A42" s="211" t="s">
        <v>950</v>
      </c>
      <c r="B42" s="64">
        <v>38.79</v>
      </c>
      <c r="C42" s="64">
        <v>21.77</v>
      </c>
      <c r="D42" s="64">
        <v>41.1</v>
      </c>
      <c r="E42" s="64">
        <v>6.57</v>
      </c>
      <c r="F42" s="64">
        <v>4.49</v>
      </c>
      <c r="G42" s="64">
        <v>112.58</v>
      </c>
      <c r="H42" s="64">
        <v>55.27</v>
      </c>
      <c r="I42" s="64">
        <v>6.65</v>
      </c>
      <c r="J42" s="64">
        <v>0.82</v>
      </c>
      <c r="K42" s="64">
        <v>342.24</v>
      </c>
      <c r="L42" s="64">
        <v>24.54</v>
      </c>
      <c r="M42" s="64">
        <v>62.85</v>
      </c>
      <c r="N42" s="64">
        <v>309.60000000000002</v>
      </c>
      <c r="O42" s="64">
        <v>0</v>
      </c>
      <c r="P42" s="64">
        <v>1.06</v>
      </c>
      <c r="Q42" s="64">
        <v>9.6300000000000008</v>
      </c>
      <c r="R42" s="196"/>
      <c r="S42" s="196"/>
      <c r="T42" s="196"/>
      <c r="U42" s="196"/>
    </row>
    <row r="43" spans="1:21" s="12" customFormat="1" x14ac:dyDescent="0.25">
      <c r="A43" s="211" t="s">
        <v>951</v>
      </c>
      <c r="B43" s="64">
        <v>37.17</v>
      </c>
      <c r="C43" s="64">
        <v>22.81</v>
      </c>
      <c r="D43" s="64">
        <v>40.35</v>
      </c>
      <c r="E43" s="64">
        <v>6.18</v>
      </c>
      <c r="F43" s="64">
        <v>4.62</v>
      </c>
      <c r="G43" s="64">
        <v>112.58</v>
      </c>
      <c r="H43" s="64">
        <v>55.27</v>
      </c>
      <c r="I43" s="64">
        <v>6.58</v>
      </c>
      <c r="J43" s="64">
        <v>1.04</v>
      </c>
      <c r="K43" s="64">
        <v>341.35</v>
      </c>
      <c r="L43" s="64">
        <v>25.64</v>
      </c>
      <c r="M43" s="64">
        <v>59.33</v>
      </c>
      <c r="N43" s="64">
        <v>353.3</v>
      </c>
      <c r="O43" s="64">
        <v>0</v>
      </c>
      <c r="P43" s="64">
        <v>1.06</v>
      </c>
      <c r="Q43" s="64">
        <v>9.64</v>
      </c>
      <c r="R43" s="196"/>
      <c r="S43" s="196"/>
      <c r="T43" s="196"/>
      <c r="U43" s="196"/>
    </row>
    <row r="44" spans="1:21" s="12" customFormat="1" x14ac:dyDescent="0.25">
      <c r="A44" s="211" t="s">
        <v>952</v>
      </c>
      <c r="B44" s="64">
        <v>35.369999999999997</v>
      </c>
      <c r="C44" s="64">
        <v>23.96</v>
      </c>
      <c r="D44" s="64">
        <v>39.51</v>
      </c>
      <c r="E44" s="64">
        <v>6.51</v>
      </c>
      <c r="F44" s="64">
        <v>4.54</v>
      </c>
      <c r="G44" s="64">
        <v>113.27</v>
      </c>
      <c r="H44" s="64">
        <v>56.03</v>
      </c>
      <c r="I44" s="64">
        <v>6.5</v>
      </c>
      <c r="J44" s="64">
        <v>0.95</v>
      </c>
      <c r="K44" s="64">
        <v>340.42</v>
      </c>
      <c r="L44" s="64">
        <v>26.54</v>
      </c>
      <c r="M44" s="64">
        <v>56.58</v>
      </c>
      <c r="N44" s="64">
        <v>389.2</v>
      </c>
      <c r="O44" s="64">
        <v>0</v>
      </c>
      <c r="P44" s="64">
        <v>1.03</v>
      </c>
      <c r="Q44" s="64">
        <v>9.65</v>
      </c>
      <c r="R44" s="196"/>
      <c r="S44" s="196"/>
      <c r="T44" s="196"/>
      <c r="U44" s="196"/>
    </row>
    <row r="45" spans="1:21" s="12" customFormat="1" x14ac:dyDescent="0.25">
      <c r="A45" s="211" t="s">
        <v>953</v>
      </c>
      <c r="B45" s="64">
        <v>34.14</v>
      </c>
      <c r="C45" s="64">
        <v>22.58</v>
      </c>
      <c r="D45" s="64">
        <v>37.799999999999997</v>
      </c>
      <c r="E45" s="64">
        <v>6.66</v>
      </c>
      <c r="F45" s="64">
        <v>4.41</v>
      </c>
      <c r="G45" s="64">
        <v>115.28</v>
      </c>
      <c r="H45" s="64">
        <v>57.5</v>
      </c>
      <c r="I45" s="64">
        <v>6.43</v>
      </c>
      <c r="J45" s="64">
        <v>1.1000000000000001</v>
      </c>
      <c r="K45" s="64">
        <v>334.68</v>
      </c>
      <c r="L45" s="64">
        <v>26.87</v>
      </c>
      <c r="M45" s="64">
        <v>55.8</v>
      </c>
      <c r="N45" s="64">
        <v>432.4</v>
      </c>
      <c r="O45" s="64">
        <v>0</v>
      </c>
      <c r="P45" s="64">
        <v>0.99</v>
      </c>
      <c r="Q45" s="64">
        <v>9.6300000000000008</v>
      </c>
      <c r="R45" s="196"/>
      <c r="S45" s="196"/>
      <c r="T45" s="196"/>
      <c r="U45" s="196"/>
    </row>
    <row r="46" spans="1:21" s="12" customFormat="1" x14ac:dyDescent="0.25">
      <c r="A46" s="211" t="s">
        <v>954</v>
      </c>
      <c r="B46" s="64">
        <v>32.86</v>
      </c>
      <c r="C46" s="64">
        <v>22.71</v>
      </c>
      <c r="D46" s="64">
        <v>36.840000000000003</v>
      </c>
      <c r="E46" s="64">
        <v>6.78</v>
      </c>
      <c r="F46" s="64">
        <v>4.13</v>
      </c>
      <c r="G46" s="64">
        <v>115.28</v>
      </c>
      <c r="H46" s="64">
        <v>57.5</v>
      </c>
      <c r="I46" s="64">
        <v>5.44</v>
      </c>
      <c r="J46" s="64">
        <v>1.25</v>
      </c>
      <c r="K46" s="64">
        <v>335.24</v>
      </c>
      <c r="L46" s="64">
        <v>28.07</v>
      </c>
      <c r="M46" s="64">
        <v>52.34</v>
      </c>
      <c r="N46" s="64">
        <v>464.6</v>
      </c>
      <c r="O46" s="64">
        <v>0</v>
      </c>
      <c r="P46" s="64">
        <v>1.04</v>
      </c>
      <c r="Q46" s="64">
        <v>9.64</v>
      </c>
      <c r="R46" s="196"/>
      <c r="S46" s="196"/>
      <c r="T46" s="196"/>
      <c r="U46" s="196"/>
    </row>
    <row r="47" spans="1:21" s="12" customFormat="1" x14ac:dyDescent="0.25">
      <c r="A47" s="211" t="s">
        <v>955</v>
      </c>
      <c r="B47" s="64">
        <v>31.45</v>
      </c>
      <c r="C47" s="64">
        <v>23.28</v>
      </c>
      <c r="D47" s="64">
        <v>36.01</v>
      </c>
      <c r="E47" s="64">
        <v>6.88</v>
      </c>
      <c r="F47" s="64">
        <v>4.3499999999999996</v>
      </c>
      <c r="G47" s="64">
        <v>115.28</v>
      </c>
      <c r="H47" s="64">
        <v>57.5</v>
      </c>
      <c r="I47" s="64">
        <v>5.35</v>
      </c>
      <c r="J47" s="64">
        <v>0.56000000000000005</v>
      </c>
      <c r="K47" s="64">
        <v>356.16</v>
      </c>
      <c r="L47" s="64">
        <v>28.08</v>
      </c>
      <c r="M47" s="64">
        <v>51.96</v>
      </c>
      <c r="N47" s="64">
        <v>506.6</v>
      </c>
      <c r="O47" s="64">
        <v>0</v>
      </c>
      <c r="P47" s="64">
        <v>1</v>
      </c>
      <c r="Q47" s="64">
        <v>9.64</v>
      </c>
      <c r="R47" s="196"/>
      <c r="S47" s="196"/>
      <c r="T47" s="196"/>
      <c r="U47" s="196"/>
    </row>
    <row r="48" spans="1:21" s="12" customFormat="1" x14ac:dyDescent="0.25">
      <c r="A48" s="211" t="s">
        <v>956</v>
      </c>
      <c r="B48" s="64">
        <v>29.61</v>
      </c>
      <c r="C48" s="64">
        <v>23.3</v>
      </c>
      <c r="D48" s="64">
        <v>34.549999999999997</v>
      </c>
      <c r="E48" s="64">
        <v>6.56</v>
      </c>
      <c r="F48" s="64">
        <v>4.1500000000000004</v>
      </c>
      <c r="G48" s="64">
        <v>115.24</v>
      </c>
      <c r="H48" s="64">
        <v>57.06</v>
      </c>
      <c r="I48" s="64">
        <v>5.57</v>
      </c>
      <c r="J48" s="64">
        <v>0.59</v>
      </c>
      <c r="K48" s="64">
        <v>105.84</v>
      </c>
      <c r="L48" s="64">
        <v>26.39</v>
      </c>
      <c r="M48" s="64">
        <v>56.84</v>
      </c>
      <c r="N48" s="64">
        <v>548.1</v>
      </c>
      <c r="O48" s="64">
        <v>0</v>
      </c>
      <c r="P48" s="64">
        <v>1</v>
      </c>
      <c r="Q48" s="64">
        <v>9.64</v>
      </c>
      <c r="R48" s="196"/>
      <c r="S48" s="196"/>
      <c r="T48" s="196"/>
      <c r="U48" s="196"/>
    </row>
    <row r="49" spans="1:21" s="12" customFormat="1" x14ac:dyDescent="0.25">
      <c r="A49" s="211" t="s">
        <v>957</v>
      </c>
      <c r="B49" s="64">
        <v>27.58</v>
      </c>
      <c r="C49" s="64">
        <v>23.14</v>
      </c>
      <c r="D49" s="64">
        <v>32.83</v>
      </c>
      <c r="E49" s="64">
        <v>6.22</v>
      </c>
      <c r="F49" s="64">
        <v>3.92</v>
      </c>
      <c r="G49" s="64">
        <v>115.13</v>
      </c>
      <c r="H49" s="64">
        <v>56.21</v>
      </c>
      <c r="I49" s="64">
        <v>5.4</v>
      </c>
      <c r="J49" s="64">
        <v>0.39</v>
      </c>
      <c r="K49" s="64">
        <v>89.73</v>
      </c>
      <c r="L49" s="64">
        <v>25.81</v>
      </c>
      <c r="M49" s="64">
        <v>58.28</v>
      </c>
      <c r="N49" s="64">
        <v>581.4</v>
      </c>
      <c r="O49" s="64">
        <v>0</v>
      </c>
      <c r="P49" s="64">
        <v>0.96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958</v>
      </c>
      <c r="B50" s="64">
        <v>25.35</v>
      </c>
      <c r="C50" s="64">
        <v>22.82</v>
      </c>
      <c r="D50" s="64">
        <v>30.88</v>
      </c>
      <c r="E50" s="64">
        <v>5.79</v>
      </c>
      <c r="F50" s="64">
        <v>3.97</v>
      </c>
      <c r="G50" s="64">
        <v>115.13</v>
      </c>
      <c r="H50" s="64">
        <v>56.21</v>
      </c>
      <c r="I50" s="64">
        <v>5.16</v>
      </c>
      <c r="J50" s="64">
        <v>0.88</v>
      </c>
      <c r="K50" s="64">
        <v>115.4</v>
      </c>
      <c r="L50" s="64">
        <v>25.6</v>
      </c>
      <c r="M50" s="64">
        <v>58.49</v>
      </c>
      <c r="N50" s="64">
        <v>607.79999999999995</v>
      </c>
      <c r="O50" s="64">
        <v>0</v>
      </c>
      <c r="P50" s="64">
        <v>0.95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959</v>
      </c>
      <c r="B51" s="64">
        <v>22.88</v>
      </c>
      <c r="C51" s="64">
        <v>22.61</v>
      </c>
      <c r="D51" s="64">
        <v>28.78</v>
      </c>
      <c r="E51" s="64">
        <v>5.88</v>
      </c>
      <c r="F51" s="64">
        <v>4.32</v>
      </c>
      <c r="G51" s="64">
        <v>115.13</v>
      </c>
      <c r="H51" s="64">
        <v>56.21</v>
      </c>
      <c r="I51" s="64">
        <v>6.28</v>
      </c>
      <c r="J51" s="64">
        <v>1.57</v>
      </c>
      <c r="K51" s="64">
        <v>114.89</v>
      </c>
      <c r="L51" s="64">
        <v>24.87</v>
      </c>
      <c r="M51" s="64">
        <v>60.05</v>
      </c>
      <c r="N51" s="64">
        <v>646.29999999999995</v>
      </c>
      <c r="O51" s="64">
        <v>0</v>
      </c>
      <c r="P51" s="64">
        <v>0.97</v>
      </c>
      <c r="Q51" s="64">
        <v>9.64</v>
      </c>
      <c r="R51" s="196"/>
      <c r="S51" s="196"/>
      <c r="T51" s="196"/>
      <c r="U51" s="196"/>
    </row>
    <row r="52" spans="1:21" s="12" customFormat="1" x14ac:dyDescent="0.25">
      <c r="A52" s="211" t="s">
        <v>960</v>
      </c>
      <c r="B52" s="64">
        <v>19.09</v>
      </c>
      <c r="C52" s="64">
        <v>24.14</v>
      </c>
      <c r="D52" s="64">
        <v>26.54</v>
      </c>
      <c r="E52" s="64">
        <v>6.19</v>
      </c>
      <c r="F52" s="64">
        <v>4.83</v>
      </c>
      <c r="G52" s="64">
        <v>106.6</v>
      </c>
      <c r="H52" s="64">
        <v>53.05</v>
      </c>
      <c r="I52" s="64">
        <v>7.07</v>
      </c>
      <c r="J52" s="64">
        <v>1.1499999999999999</v>
      </c>
      <c r="K52" s="64">
        <v>119.05</v>
      </c>
      <c r="L52" s="64">
        <v>24.85</v>
      </c>
      <c r="M52" s="64">
        <v>59.36</v>
      </c>
      <c r="N52" s="64">
        <v>644.20000000000005</v>
      </c>
      <c r="O52" s="64">
        <v>0</v>
      </c>
      <c r="P52" s="64">
        <v>0.93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961</v>
      </c>
      <c r="B53" s="64">
        <v>9.36</v>
      </c>
      <c r="C53" s="64">
        <v>30.43</v>
      </c>
      <c r="D53" s="64">
        <v>22.03</v>
      </c>
      <c r="E53" s="64">
        <v>7.27</v>
      </c>
      <c r="F53" s="64">
        <v>8.06</v>
      </c>
      <c r="G53" s="64">
        <v>81.739999999999995</v>
      </c>
      <c r="H53" s="64">
        <v>47</v>
      </c>
      <c r="I53" s="64">
        <v>7.81</v>
      </c>
      <c r="J53" s="64">
        <v>1.06</v>
      </c>
      <c r="K53" s="64">
        <v>109.06</v>
      </c>
      <c r="L53" s="64">
        <v>25.49</v>
      </c>
      <c r="M53" s="64">
        <v>56.46</v>
      </c>
      <c r="N53" s="64">
        <v>532.9</v>
      </c>
      <c r="O53" s="64">
        <v>0</v>
      </c>
      <c r="P53" s="64">
        <v>0.81</v>
      </c>
      <c r="Q53" s="64">
        <v>9.6300000000000008</v>
      </c>
      <c r="R53" s="196"/>
      <c r="S53" s="196"/>
      <c r="T53" s="196"/>
      <c r="U53" s="196"/>
    </row>
    <row r="54" spans="1:21" s="12" customFormat="1" x14ac:dyDescent="0.25">
      <c r="A54" s="211" t="s">
        <v>962</v>
      </c>
      <c r="B54" s="64">
        <v>4.55</v>
      </c>
      <c r="C54" s="64">
        <v>32.61</v>
      </c>
      <c r="D54" s="64">
        <v>19.309999999999999</v>
      </c>
      <c r="E54" s="64">
        <v>7.42</v>
      </c>
      <c r="F54" s="64">
        <v>7.25</v>
      </c>
      <c r="G54" s="64">
        <v>81.739999999999995</v>
      </c>
      <c r="H54" s="64">
        <v>47</v>
      </c>
      <c r="I54" s="64">
        <v>7.39</v>
      </c>
      <c r="J54" s="64">
        <v>1.29</v>
      </c>
      <c r="K54" s="64">
        <v>114.04</v>
      </c>
      <c r="L54" s="64">
        <v>24.38</v>
      </c>
      <c r="M54" s="64">
        <v>56.52</v>
      </c>
      <c r="N54" s="64">
        <v>460.9</v>
      </c>
      <c r="O54" s="64">
        <v>0</v>
      </c>
      <c r="P54" s="64">
        <v>0.77</v>
      </c>
      <c r="Q54" s="64">
        <v>9.6199999999999992</v>
      </c>
      <c r="R54" s="196"/>
      <c r="S54" s="196"/>
      <c r="T54" s="196"/>
      <c r="U54" s="196"/>
    </row>
    <row r="55" spans="1:21" s="12" customFormat="1" x14ac:dyDescent="0.25">
      <c r="A55" s="211" t="s">
        <v>963</v>
      </c>
      <c r="B55" s="64">
        <v>2.84</v>
      </c>
      <c r="C55" s="64">
        <v>28.28</v>
      </c>
      <c r="D55" s="64">
        <v>15.68</v>
      </c>
      <c r="E55" s="64">
        <v>7.09</v>
      </c>
      <c r="F55" s="64">
        <v>7.86</v>
      </c>
      <c r="G55" s="64">
        <v>81.739999999999995</v>
      </c>
      <c r="H55" s="64">
        <v>47</v>
      </c>
      <c r="I55" s="64">
        <v>6.71</v>
      </c>
      <c r="J55" s="64">
        <v>1.51</v>
      </c>
      <c r="K55" s="64">
        <v>114.01</v>
      </c>
      <c r="L55" s="64">
        <v>25.16</v>
      </c>
      <c r="M55" s="64">
        <v>50.66</v>
      </c>
      <c r="N55" s="64">
        <v>740.7</v>
      </c>
      <c r="O55" s="64">
        <v>0</v>
      </c>
      <c r="P55" s="64">
        <v>0.73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964</v>
      </c>
      <c r="B56" s="64">
        <v>2.08</v>
      </c>
      <c r="C56" s="64">
        <v>24.51</v>
      </c>
      <c r="D56" s="64">
        <v>13.1</v>
      </c>
      <c r="E56" s="64">
        <v>5.39</v>
      </c>
      <c r="F56" s="64">
        <v>7.51</v>
      </c>
      <c r="G56" s="64">
        <v>83.35</v>
      </c>
      <c r="H56" s="64">
        <v>46.02</v>
      </c>
      <c r="I56" s="64">
        <v>6.44</v>
      </c>
      <c r="J56" s="64">
        <v>1.64</v>
      </c>
      <c r="K56" s="64">
        <v>114.02</v>
      </c>
      <c r="L56" s="64">
        <v>25.34</v>
      </c>
      <c r="M56" s="64">
        <v>49.12</v>
      </c>
      <c r="N56" s="64">
        <v>698.9</v>
      </c>
      <c r="O56" s="64">
        <v>0</v>
      </c>
      <c r="P56" s="64">
        <v>0.71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965</v>
      </c>
      <c r="B57" s="64">
        <v>1.93</v>
      </c>
      <c r="C57" s="64">
        <v>23.12</v>
      </c>
      <c r="D57" s="64">
        <v>12.25</v>
      </c>
      <c r="E57" s="64">
        <v>6.8</v>
      </c>
      <c r="F57" s="64">
        <v>9.36</v>
      </c>
      <c r="G57" s="64">
        <v>88.06</v>
      </c>
      <c r="H57" s="64">
        <v>42.1</v>
      </c>
      <c r="I57" s="64">
        <v>6.36</v>
      </c>
      <c r="J57" s="64">
        <v>1.04</v>
      </c>
      <c r="K57" s="64">
        <v>128.04</v>
      </c>
      <c r="L57" s="64">
        <v>25.7</v>
      </c>
      <c r="M57" s="64">
        <v>45.4</v>
      </c>
      <c r="N57" s="64">
        <v>632.9</v>
      </c>
      <c r="O57" s="64">
        <v>0</v>
      </c>
      <c r="P57" s="64">
        <v>0.61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966</v>
      </c>
      <c r="B58" s="64">
        <v>1.73</v>
      </c>
      <c r="C58" s="64">
        <v>19.46</v>
      </c>
      <c r="D58" s="64">
        <v>10.18</v>
      </c>
      <c r="E58" s="64">
        <v>6.85</v>
      </c>
      <c r="F58" s="64">
        <v>10.73</v>
      </c>
      <c r="G58" s="64">
        <v>88.06</v>
      </c>
      <c r="H58" s="64">
        <v>42.1</v>
      </c>
      <c r="I58" s="64">
        <v>6.32</v>
      </c>
      <c r="J58" s="64">
        <v>1.67</v>
      </c>
      <c r="K58" s="64">
        <v>124.12</v>
      </c>
      <c r="L58" s="64">
        <v>25.63</v>
      </c>
      <c r="M58" s="64">
        <v>47.38</v>
      </c>
      <c r="N58" s="64">
        <v>559</v>
      </c>
      <c r="O58" s="64">
        <v>0</v>
      </c>
      <c r="P58" s="64">
        <v>0.59</v>
      </c>
      <c r="Q58" s="64">
        <v>9.6300000000000008</v>
      </c>
      <c r="R58" s="196"/>
      <c r="S58" s="196"/>
      <c r="T58" s="196"/>
      <c r="U58" s="196"/>
    </row>
    <row r="59" spans="1:21" s="12" customFormat="1" x14ac:dyDescent="0.25">
      <c r="A59" s="211" t="s">
        <v>967</v>
      </c>
      <c r="B59" s="64">
        <v>1.76</v>
      </c>
      <c r="C59" s="64">
        <v>19.04</v>
      </c>
      <c r="D59" s="64">
        <v>9.98</v>
      </c>
      <c r="E59" s="64">
        <v>6.64</v>
      </c>
      <c r="F59" s="64">
        <v>7.48</v>
      </c>
      <c r="G59" s="64">
        <v>88.06</v>
      </c>
      <c r="H59" s="64">
        <v>42.1</v>
      </c>
      <c r="I59" s="64">
        <v>5.57</v>
      </c>
      <c r="J59" s="64">
        <v>0.41</v>
      </c>
      <c r="K59" s="64">
        <v>353.21</v>
      </c>
      <c r="L59" s="64">
        <v>26.43</v>
      </c>
      <c r="M59" s="64">
        <v>47.76</v>
      </c>
      <c r="N59" s="64">
        <v>526</v>
      </c>
      <c r="O59" s="64">
        <v>0</v>
      </c>
      <c r="P59" s="64">
        <v>0.56999999999999995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968</v>
      </c>
      <c r="B60" s="64">
        <v>2.5</v>
      </c>
      <c r="C60" s="64">
        <v>20.95</v>
      </c>
      <c r="D60" s="64">
        <v>11.57</v>
      </c>
      <c r="E60" s="64">
        <v>7.16</v>
      </c>
      <c r="F60" s="64">
        <v>7.92</v>
      </c>
      <c r="G60" s="64">
        <v>86.09</v>
      </c>
      <c r="H60" s="64">
        <v>41.52</v>
      </c>
      <c r="I60" s="64">
        <v>5.51</v>
      </c>
      <c r="J60" s="64">
        <v>1.25</v>
      </c>
      <c r="K60" s="64">
        <v>341.7</v>
      </c>
      <c r="L60" s="64">
        <v>28.13</v>
      </c>
      <c r="M60" s="64">
        <v>41.97</v>
      </c>
      <c r="N60" s="64">
        <v>362.5</v>
      </c>
      <c r="O60" s="64">
        <v>0</v>
      </c>
      <c r="P60" s="64">
        <v>0.61</v>
      </c>
      <c r="Q60" s="64">
        <v>9.6300000000000008</v>
      </c>
      <c r="R60" s="196"/>
      <c r="S60" s="196"/>
      <c r="T60" s="196"/>
      <c r="U60" s="196"/>
    </row>
    <row r="61" spans="1:21" s="12" customFormat="1" x14ac:dyDescent="0.25">
      <c r="A61" s="211" t="s">
        <v>969</v>
      </c>
      <c r="B61" s="64">
        <v>3.15</v>
      </c>
      <c r="C61" s="64">
        <v>25.6</v>
      </c>
      <c r="D61" s="64">
        <v>14.52</v>
      </c>
      <c r="E61" s="64">
        <v>7.09</v>
      </c>
      <c r="F61" s="64">
        <v>6.41</v>
      </c>
      <c r="G61" s="64">
        <v>80.34</v>
      </c>
      <c r="H61" s="64">
        <v>40.4</v>
      </c>
      <c r="I61" s="64">
        <v>5.29</v>
      </c>
      <c r="J61" s="64">
        <v>1.59</v>
      </c>
      <c r="K61" s="64">
        <v>328.45</v>
      </c>
      <c r="L61" s="64">
        <v>28.25</v>
      </c>
      <c r="M61" s="64">
        <v>40.11</v>
      </c>
      <c r="N61" s="64">
        <v>352</v>
      </c>
      <c r="O61" s="64">
        <v>0</v>
      </c>
      <c r="P61" s="64">
        <v>0.6</v>
      </c>
      <c r="Q61" s="64">
        <v>9.6300000000000008</v>
      </c>
      <c r="R61" s="196"/>
      <c r="S61" s="196"/>
      <c r="T61" s="196"/>
      <c r="U61" s="196"/>
    </row>
    <row r="62" spans="1:21" s="12" customFormat="1" x14ac:dyDescent="0.25">
      <c r="A62" s="211" t="s">
        <v>970</v>
      </c>
      <c r="B62" s="64">
        <v>3.39</v>
      </c>
      <c r="C62" s="64">
        <v>24.69</v>
      </c>
      <c r="D62" s="64">
        <v>14.24</v>
      </c>
      <c r="E62" s="64">
        <v>6.93</v>
      </c>
      <c r="F62" s="64">
        <v>5.41</v>
      </c>
      <c r="G62" s="64">
        <v>80.34</v>
      </c>
      <c r="H62" s="64">
        <v>40.4</v>
      </c>
      <c r="I62" s="64">
        <v>5.03</v>
      </c>
      <c r="J62" s="64">
        <v>0.73</v>
      </c>
      <c r="K62" s="64">
        <v>312.43</v>
      </c>
      <c r="L62" s="64">
        <v>29.55</v>
      </c>
      <c r="M62" s="64">
        <v>35.409999999999997</v>
      </c>
      <c r="N62" s="64">
        <v>473.4</v>
      </c>
      <c r="O62" s="64">
        <v>0</v>
      </c>
      <c r="P62" s="64">
        <v>0.62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971</v>
      </c>
      <c r="B63" s="64">
        <v>3.47</v>
      </c>
      <c r="C63" s="64">
        <v>22.92</v>
      </c>
      <c r="D63" s="64">
        <v>13.38</v>
      </c>
      <c r="E63" s="64">
        <v>7.22</v>
      </c>
      <c r="F63" s="64">
        <v>9.5299999999999994</v>
      </c>
      <c r="G63" s="64">
        <v>80.34</v>
      </c>
      <c r="H63" s="64">
        <v>40.4</v>
      </c>
      <c r="I63" s="64">
        <v>4.58</v>
      </c>
      <c r="J63" s="64">
        <v>0.71</v>
      </c>
      <c r="K63" s="64">
        <v>127.87</v>
      </c>
      <c r="L63" s="64">
        <v>27.85</v>
      </c>
      <c r="M63" s="64">
        <v>38.07</v>
      </c>
      <c r="N63" s="64">
        <v>435.7</v>
      </c>
      <c r="O63" s="64">
        <v>0</v>
      </c>
      <c r="P63" s="64">
        <v>0.54</v>
      </c>
      <c r="Q63" s="64">
        <v>9.6300000000000008</v>
      </c>
      <c r="R63" s="196"/>
      <c r="S63" s="196"/>
      <c r="T63" s="196"/>
      <c r="U63" s="196"/>
    </row>
    <row r="64" spans="1:21" s="12" customFormat="1" x14ac:dyDescent="0.25">
      <c r="A64" s="211" t="s">
        <v>972</v>
      </c>
      <c r="B64" s="64">
        <v>2.31</v>
      </c>
      <c r="C64" s="64">
        <v>21.68</v>
      </c>
      <c r="D64" s="64">
        <v>11.8</v>
      </c>
      <c r="E64" s="64">
        <v>6.75</v>
      </c>
      <c r="F64" s="64">
        <v>11.6</v>
      </c>
      <c r="G64" s="64">
        <v>83.46</v>
      </c>
      <c r="H64" s="64">
        <v>39.369999999999997</v>
      </c>
      <c r="I64" s="64">
        <v>3.47</v>
      </c>
      <c r="J64" s="64">
        <v>0.67</v>
      </c>
      <c r="K64" s="64">
        <v>102.83</v>
      </c>
      <c r="L64" s="64">
        <v>26.49</v>
      </c>
      <c r="M64" s="64">
        <v>40.72</v>
      </c>
      <c r="N64" s="64">
        <v>219.6</v>
      </c>
      <c r="O64" s="64">
        <v>0</v>
      </c>
      <c r="P64" s="64">
        <v>0.55000000000000004</v>
      </c>
      <c r="Q64" s="64">
        <v>9.6199999999999992</v>
      </c>
      <c r="R64" s="196"/>
      <c r="S64" s="196"/>
      <c r="T64" s="196"/>
      <c r="U64" s="196"/>
    </row>
    <row r="65" spans="1:21" s="12" customFormat="1" x14ac:dyDescent="0.25">
      <c r="A65" s="211" t="s">
        <v>973</v>
      </c>
      <c r="B65" s="64">
        <v>1.77</v>
      </c>
      <c r="C65" s="64">
        <v>19.079999999999998</v>
      </c>
      <c r="D65" s="64">
        <v>10.01</v>
      </c>
      <c r="E65" s="64">
        <v>8.3000000000000007</v>
      </c>
      <c r="F65" s="64">
        <v>29.24</v>
      </c>
      <c r="G65" s="64">
        <v>92.57</v>
      </c>
      <c r="H65" s="64">
        <v>37.39</v>
      </c>
      <c r="I65" s="64">
        <v>2.59</v>
      </c>
      <c r="J65" s="64">
        <v>1</v>
      </c>
      <c r="K65" s="64">
        <v>122.51</v>
      </c>
      <c r="L65" s="64">
        <v>25.81</v>
      </c>
      <c r="M65" s="64">
        <v>40.85</v>
      </c>
      <c r="N65" s="64">
        <v>170.6</v>
      </c>
      <c r="O65" s="64">
        <v>0</v>
      </c>
      <c r="P65" s="64">
        <v>0.41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974</v>
      </c>
      <c r="B66" s="64">
        <v>1.5</v>
      </c>
      <c r="C66" s="64">
        <v>16.239999999999998</v>
      </c>
      <c r="D66" s="64">
        <v>8.31</v>
      </c>
      <c r="E66" s="64">
        <v>7.8</v>
      </c>
      <c r="F66" s="64">
        <v>16.23</v>
      </c>
      <c r="G66" s="64">
        <v>92.57</v>
      </c>
      <c r="H66" s="64">
        <v>37.39</v>
      </c>
      <c r="I66" s="64">
        <v>2.06</v>
      </c>
      <c r="J66" s="64">
        <v>0.3</v>
      </c>
      <c r="K66" s="64">
        <v>157.53</v>
      </c>
      <c r="L66" s="64">
        <v>26.05</v>
      </c>
      <c r="M66" s="64">
        <v>40.020000000000003</v>
      </c>
      <c r="N66" s="64">
        <v>162.19999999999999</v>
      </c>
      <c r="O66" s="64">
        <v>0</v>
      </c>
      <c r="P66" s="64">
        <v>0.41</v>
      </c>
      <c r="Q66" s="64">
        <v>9.6199999999999992</v>
      </c>
      <c r="R66" s="196"/>
      <c r="S66" s="196"/>
      <c r="T66" s="196"/>
      <c r="U66" s="196"/>
    </row>
    <row r="67" spans="1:21" s="12" customFormat="1" x14ac:dyDescent="0.25">
      <c r="A67" s="211" t="s">
        <v>975</v>
      </c>
      <c r="B67" s="64">
        <v>1.59</v>
      </c>
      <c r="C67" s="64">
        <v>14.84</v>
      </c>
      <c r="D67" s="64">
        <v>7.65</v>
      </c>
      <c r="E67" s="64">
        <v>7.21</v>
      </c>
      <c r="F67" s="64">
        <v>9.89</v>
      </c>
      <c r="G67" s="64">
        <v>92.57</v>
      </c>
      <c r="H67" s="64">
        <v>37.39</v>
      </c>
      <c r="I67" s="64">
        <v>1.74</v>
      </c>
      <c r="J67" s="64">
        <v>0.1</v>
      </c>
      <c r="K67" s="64">
        <v>323.02</v>
      </c>
      <c r="L67" s="64">
        <v>25.92</v>
      </c>
      <c r="M67" s="64">
        <v>40.64</v>
      </c>
      <c r="N67" s="64">
        <v>141.6</v>
      </c>
      <c r="O67" s="64">
        <v>0</v>
      </c>
      <c r="P67" s="64">
        <v>0.42</v>
      </c>
      <c r="Q67" s="64">
        <v>9.6300000000000008</v>
      </c>
      <c r="R67" s="196"/>
      <c r="S67" s="196"/>
      <c r="T67" s="196"/>
      <c r="U67" s="196"/>
    </row>
    <row r="68" spans="1:21" s="12" customFormat="1" x14ac:dyDescent="0.25">
      <c r="A68" s="211" t="s">
        <v>976</v>
      </c>
      <c r="B68" s="64">
        <v>1.84</v>
      </c>
      <c r="C68" s="64">
        <v>14.65</v>
      </c>
      <c r="D68" s="64">
        <v>7.75</v>
      </c>
      <c r="E68" s="64">
        <v>6.7</v>
      </c>
      <c r="F68" s="64">
        <v>7.5</v>
      </c>
      <c r="G68" s="64">
        <v>89.92</v>
      </c>
      <c r="H68" s="64">
        <v>37.200000000000003</v>
      </c>
      <c r="I68" s="64">
        <v>1.66</v>
      </c>
      <c r="J68" s="64">
        <v>0.18</v>
      </c>
      <c r="K68" s="64">
        <v>80.930000000000007</v>
      </c>
      <c r="L68" s="64">
        <v>26.21</v>
      </c>
      <c r="M68" s="64">
        <v>38.700000000000003</v>
      </c>
      <c r="N68" s="64">
        <v>133</v>
      </c>
      <c r="O68" s="64">
        <v>0</v>
      </c>
      <c r="P68" s="64">
        <v>0.48</v>
      </c>
      <c r="Q68" s="64">
        <v>9.6300000000000008</v>
      </c>
      <c r="R68" s="196"/>
      <c r="S68" s="196"/>
      <c r="T68" s="196"/>
      <c r="U68" s="196"/>
    </row>
    <row r="69" spans="1:21" s="12" customFormat="1" x14ac:dyDescent="0.25">
      <c r="A69" s="211" t="s">
        <v>977</v>
      </c>
      <c r="B69" s="64">
        <v>2.1</v>
      </c>
      <c r="C69" s="64">
        <v>17.97</v>
      </c>
      <c r="D69" s="64">
        <v>9.69</v>
      </c>
      <c r="E69" s="64">
        <v>6.59</v>
      </c>
      <c r="F69" s="64">
        <v>7.68</v>
      </c>
      <c r="G69" s="64">
        <v>82.23</v>
      </c>
      <c r="H69" s="64">
        <v>36.82</v>
      </c>
      <c r="I69" s="64">
        <v>2.0299999999999998</v>
      </c>
      <c r="J69" s="64">
        <v>0.82</v>
      </c>
      <c r="K69" s="64">
        <v>331.66</v>
      </c>
      <c r="L69" s="64">
        <v>26.34</v>
      </c>
      <c r="M69" s="64">
        <v>39.82</v>
      </c>
      <c r="N69" s="64">
        <v>120.7</v>
      </c>
      <c r="O69" s="64">
        <v>0</v>
      </c>
      <c r="P69" s="64">
        <v>0.47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978</v>
      </c>
      <c r="B70" s="64">
        <v>2.2200000000000002</v>
      </c>
      <c r="C70" s="64">
        <v>17.86</v>
      </c>
      <c r="D70" s="64">
        <v>9.74</v>
      </c>
      <c r="E70" s="64">
        <v>6.72</v>
      </c>
      <c r="F70" s="64">
        <v>7.09</v>
      </c>
      <c r="G70" s="64">
        <v>82.23</v>
      </c>
      <c r="H70" s="64">
        <v>36.82</v>
      </c>
      <c r="I70" s="64">
        <v>2.99</v>
      </c>
      <c r="J70" s="64">
        <v>0.43</v>
      </c>
      <c r="K70" s="64">
        <v>78.239999999999995</v>
      </c>
      <c r="L70" s="64">
        <v>25.95</v>
      </c>
      <c r="M70" s="64">
        <v>39.590000000000003</v>
      </c>
      <c r="N70" s="64">
        <v>106.9</v>
      </c>
      <c r="O70" s="64">
        <v>0</v>
      </c>
      <c r="P70" s="64">
        <v>0.47</v>
      </c>
      <c r="Q70" s="64">
        <v>9.6199999999999992</v>
      </c>
      <c r="R70" s="196"/>
      <c r="S70" s="196"/>
      <c r="T70" s="196"/>
      <c r="U70" s="196"/>
    </row>
    <row r="71" spans="1:21" s="12" customFormat="1" x14ac:dyDescent="0.25">
      <c r="A71" s="211" t="s">
        <v>979</v>
      </c>
      <c r="B71" s="64">
        <v>2.17</v>
      </c>
      <c r="C71" s="64">
        <v>17.97</v>
      </c>
      <c r="D71" s="64">
        <v>9.75</v>
      </c>
      <c r="E71" s="64">
        <v>6.04</v>
      </c>
      <c r="F71" s="64">
        <v>9.7899999999999991</v>
      </c>
      <c r="G71" s="64">
        <v>82.23</v>
      </c>
      <c r="H71" s="64">
        <v>36.82</v>
      </c>
      <c r="I71" s="64">
        <v>2.83</v>
      </c>
      <c r="J71" s="64">
        <v>0.56000000000000005</v>
      </c>
      <c r="K71" s="64">
        <v>122.67</v>
      </c>
      <c r="L71" s="64">
        <v>25.36</v>
      </c>
      <c r="M71" s="64">
        <v>41.87</v>
      </c>
      <c r="N71" s="64">
        <v>95.1</v>
      </c>
      <c r="O71" s="64">
        <v>0</v>
      </c>
      <c r="P71" s="64">
        <v>0.43</v>
      </c>
      <c r="Q71" s="64">
        <v>9.6199999999999992</v>
      </c>
      <c r="R71" s="196"/>
      <c r="S71" s="196"/>
      <c r="T71" s="196"/>
      <c r="U71" s="196"/>
    </row>
    <row r="72" spans="1:21" s="12" customFormat="1" x14ac:dyDescent="0.25">
      <c r="A72" s="211" t="s">
        <v>980</v>
      </c>
      <c r="B72" s="64">
        <v>1.79</v>
      </c>
      <c r="C72" s="64">
        <v>20</v>
      </c>
      <c r="D72" s="64">
        <v>10.51</v>
      </c>
      <c r="E72" s="64">
        <v>7.34</v>
      </c>
      <c r="F72" s="64">
        <v>11.19</v>
      </c>
      <c r="G72" s="64">
        <v>76.39</v>
      </c>
      <c r="H72" s="64">
        <v>36.1</v>
      </c>
      <c r="I72" s="64">
        <v>1.63</v>
      </c>
      <c r="J72" s="64">
        <v>0.75</v>
      </c>
      <c r="K72" s="64">
        <v>331.86</v>
      </c>
      <c r="L72" s="64">
        <v>25.37</v>
      </c>
      <c r="M72" s="64">
        <v>42.44</v>
      </c>
      <c r="N72" s="64">
        <v>91.8</v>
      </c>
      <c r="O72" s="64">
        <v>0</v>
      </c>
      <c r="P72" s="64">
        <v>0.55000000000000004</v>
      </c>
      <c r="Q72" s="64">
        <v>9.61</v>
      </c>
      <c r="R72" s="196"/>
      <c r="S72" s="196"/>
      <c r="T72" s="196"/>
      <c r="U72" s="196"/>
    </row>
    <row r="73" spans="1:21" s="12" customFormat="1" x14ac:dyDescent="0.25">
      <c r="A73" s="211" t="s">
        <v>981</v>
      </c>
      <c r="B73" s="64">
        <v>1.95</v>
      </c>
      <c r="C73" s="64">
        <v>20.350000000000001</v>
      </c>
      <c r="D73" s="64">
        <v>10.82</v>
      </c>
      <c r="E73" s="64">
        <v>7.01</v>
      </c>
      <c r="F73" s="64">
        <v>7.95</v>
      </c>
      <c r="G73" s="64">
        <v>59.37</v>
      </c>
      <c r="H73" s="64">
        <v>33.229999999999997</v>
      </c>
      <c r="I73" s="64">
        <v>1.59</v>
      </c>
      <c r="J73" s="64">
        <v>0.88</v>
      </c>
      <c r="K73" s="64">
        <v>113.05</v>
      </c>
      <c r="L73" s="64">
        <v>25.06</v>
      </c>
      <c r="M73" s="64">
        <v>42.37</v>
      </c>
      <c r="N73" s="64">
        <v>80.7</v>
      </c>
      <c r="O73" s="64">
        <v>0</v>
      </c>
      <c r="P73" s="64">
        <v>0.45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982</v>
      </c>
      <c r="B74" s="64">
        <v>2.08</v>
      </c>
      <c r="C74" s="64">
        <v>20.59</v>
      </c>
      <c r="D74" s="64">
        <v>11.05</v>
      </c>
      <c r="E74" s="64">
        <v>7.03</v>
      </c>
      <c r="F74" s="64">
        <v>7.83</v>
      </c>
      <c r="G74" s="64">
        <v>59.37</v>
      </c>
      <c r="H74" s="64">
        <v>33.229999999999997</v>
      </c>
      <c r="I74" s="64">
        <v>1.62</v>
      </c>
      <c r="J74" s="64">
        <v>0.28000000000000003</v>
      </c>
      <c r="K74" s="64">
        <v>52.7</v>
      </c>
      <c r="L74" s="64">
        <v>24.72</v>
      </c>
      <c r="M74" s="64">
        <v>44.09</v>
      </c>
      <c r="N74" s="64">
        <v>63.1</v>
      </c>
      <c r="O74" s="64">
        <v>0</v>
      </c>
      <c r="P74" s="64">
        <v>0.57999999999999996</v>
      </c>
      <c r="Q74" s="64">
        <v>9.6199999999999992</v>
      </c>
      <c r="R74" s="196"/>
      <c r="S74" s="196"/>
      <c r="T74" s="196"/>
      <c r="U74" s="196"/>
    </row>
    <row r="75" spans="1:21" s="12" customFormat="1" x14ac:dyDescent="0.25">
      <c r="A75" s="211" t="s">
        <v>983</v>
      </c>
      <c r="B75" s="64">
        <v>2.4900000000000002</v>
      </c>
      <c r="C75" s="64">
        <v>19.7</v>
      </c>
      <c r="D75" s="64">
        <v>10.91</v>
      </c>
      <c r="E75" s="64">
        <v>7.19</v>
      </c>
      <c r="F75" s="64">
        <v>6.65</v>
      </c>
      <c r="G75" s="64">
        <v>59.37</v>
      </c>
      <c r="H75" s="64">
        <v>33.229999999999997</v>
      </c>
      <c r="I75" s="64">
        <v>2.31</v>
      </c>
      <c r="J75" s="64">
        <v>0.22</v>
      </c>
      <c r="K75" s="64">
        <v>44.23</v>
      </c>
      <c r="L75" s="64">
        <v>24.46</v>
      </c>
      <c r="M75" s="64">
        <v>45.14</v>
      </c>
      <c r="N75" s="64">
        <v>50</v>
      </c>
      <c r="O75" s="64">
        <v>0</v>
      </c>
      <c r="P75" s="64">
        <v>0.62</v>
      </c>
      <c r="Q75" s="64">
        <v>9.6300000000000008</v>
      </c>
      <c r="R75" s="196"/>
      <c r="S75" s="196"/>
      <c r="T75" s="196"/>
      <c r="U75" s="196"/>
    </row>
    <row r="76" spans="1:21" s="12" customFormat="1" x14ac:dyDescent="0.25">
      <c r="A76" s="211" t="s">
        <v>984</v>
      </c>
      <c r="B76" s="64">
        <v>2.75</v>
      </c>
      <c r="C76" s="64">
        <v>21.83</v>
      </c>
      <c r="D76" s="64">
        <v>12.23</v>
      </c>
      <c r="E76" s="64">
        <v>6.99</v>
      </c>
      <c r="F76" s="64">
        <v>6.1</v>
      </c>
      <c r="G76" s="64">
        <v>66.180000000000007</v>
      </c>
      <c r="H76" s="64">
        <v>33.97</v>
      </c>
      <c r="I76" s="64">
        <v>2.57</v>
      </c>
      <c r="J76" s="64">
        <v>0.16</v>
      </c>
      <c r="K76" s="64">
        <v>325.35000000000002</v>
      </c>
      <c r="L76" s="64">
        <v>24</v>
      </c>
      <c r="M76" s="64">
        <v>44.9</v>
      </c>
      <c r="N76" s="64">
        <v>39.9</v>
      </c>
      <c r="O76" s="64">
        <v>0</v>
      </c>
      <c r="P76" s="64">
        <v>0.46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985</v>
      </c>
      <c r="B77" s="64">
        <v>2.73</v>
      </c>
      <c r="C77" s="64">
        <v>20.88</v>
      </c>
      <c r="D77" s="64">
        <v>11.72</v>
      </c>
      <c r="E77" s="64">
        <v>6.52</v>
      </c>
      <c r="F77" s="64">
        <v>5.43</v>
      </c>
      <c r="G77" s="64">
        <v>86.02</v>
      </c>
      <c r="H77" s="64">
        <v>35.4</v>
      </c>
      <c r="I77" s="64">
        <v>2.31</v>
      </c>
      <c r="J77" s="64">
        <v>0.43</v>
      </c>
      <c r="K77" s="64">
        <v>106.2</v>
      </c>
      <c r="L77" s="64">
        <v>23.59</v>
      </c>
      <c r="M77" s="64">
        <v>47.99</v>
      </c>
      <c r="N77" s="64">
        <v>32.9</v>
      </c>
      <c r="O77" s="64">
        <v>0</v>
      </c>
      <c r="P77" s="64">
        <v>0.51</v>
      </c>
      <c r="Q77" s="64">
        <v>9.6300000000000008</v>
      </c>
      <c r="R77" s="196"/>
      <c r="S77" s="196"/>
      <c r="T77" s="196"/>
      <c r="U77" s="196"/>
    </row>
    <row r="78" spans="1:21" s="12" customFormat="1" x14ac:dyDescent="0.25">
      <c r="A78" s="211" t="s">
        <v>986</v>
      </c>
      <c r="B78" s="64">
        <v>4.46</v>
      </c>
      <c r="C78" s="64">
        <v>22.11</v>
      </c>
      <c r="D78" s="64">
        <v>13.75</v>
      </c>
      <c r="E78" s="64">
        <v>7.08</v>
      </c>
      <c r="F78" s="64">
        <v>4.75</v>
      </c>
      <c r="G78" s="64">
        <v>86.02</v>
      </c>
      <c r="H78" s="64">
        <v>35.4</v>
      </c>
      <c r="I78" s="64">
        <v>1.69</v>
      </c>
      <c r="J78" s="64">
        <v>0.51</v>
      </c>
      <c r="K78" s="64">
        <v>297.38</v>
      </c>
      <c r="L78" s="64">
        <v>22.91</v>
      </c>
      <c r="M78" s="64">
        <v>55.76</v>
      </c>
      <c r="N78" s="64">
        <v>28.7</v>
      </c>
      <c r="O78" s="64">
        <v>0</v>
      </c>
      <c r="P78" s="64">
        <v>1.19</v>
      </c>
      <c r="Q78" s="64">
        <v>9.6199999999999992</v>
      </c>
      <c r="R78" s="196"/>
      <c r="S78" s="196"/>
      <c r="T78" s="196"/>
      <c r="U78" s="196"/>
    </row>
    <row r="79" spans="1:21" s="12" customFormat="1" x14ac:dyDescent="0.25">
      <c r="A79" s="211" t="s">
        <v>987</v>
      </c>
      <c r="B79" s="64">
        <v>7.14</v>
      </c>
      <c r="C79" s="64">
        <v>24.06</v>
      </c>
      <c r="D79" s="64">
        <v>16.920000000000002</v>
      </c>
      <c r="E79" s="64">
        <v>6.96</v>
      </c>
      <c r="F79" s="64">
        <v>4.07</v>
      </c>
      <c r="G79" s="64">
        <v>86.02</v>
      </c>
      <c r="H79" s="64">
        <v>35.4</v>
      </c>
      <c r="I79" s="64">
        <v>2.61</v>
      </c>
      <c r="J79" s="64">
        <v>0.52</v>
      </c>
      <c r="K79" s="64">
        <v>306.95999999999998</v>
      </c>
      <c r="L79" s="64">
        <v>22.19</v>
      </c>
      <c r="M79" s="64">
        <v>60.04</v>
      </c>
      <c r="N79" s="64">
        <v>26.7</v>
      </c>
      <c r="O79" s="64">
        <v>0</v>
      </c>
      <c r="P79" s="64">
        <v>1.42</v>
      </c>
      <c r="Q79" s="64">
        <v>9.61</v>
      </c>
      <c r="R79" s="196"/>
      <c r="S79" s="196"/>
      <c r="T79" s="196"/>
      <c r="U79" s="196"/>
    </row>
    <row r="80" spans="1:21" s="12" customFormat="1" x14ac:dyDescent="0.25">
      <c r="A80" s="211" t="s">
        <v>988</v>
      </c>
      <c r="B80" s="64">
        <v>9.69</v>
      </c>
      <c r="C80" s="64">
        <v>25.2</v>
      </c>
      <c r="D80" s="64">
        <v>19.559999999999999</v>
      </c>
      <c r="E80" s="64">
        <v>6.76</v>
      </c>
      <c r="F80" s="64">
        <v>4.0999999999999996</v>
      </c>
      <c r="G80" s="64">
        <v>87.65</v>
      </c>
      <c r="H80" s="64">
        <v>35.67</v>
      </c>
      <c r="I80" s="64">
        <v>3.65</v>
      </c>
      <c r="J80" s="64">
        <v>0.57999999999999996</v>
      </c>
      <c r="K80" s="64">
        <v>303.60000000000002</v>
      </c>
      <c r="L80" s="64">
        <v>21.61</v>
      </c>
      <c r="M80" s="64">
        <v>63.91</v>
      </c>
      <c r="N80" s="64">
        <v>26.2</v>
      </c>
      <c r="O80" s="64">
        <v>0</v>
      </c>
      <c r="P80" s="64">
        <v>1.82</v>
      </c>
      <c r="Q80" s="64">
        <v>9.6199999999999992</v>
      </c>
      <c r="R80" s="196"/>
      <c r="S80" s="196"/>
      <c r="T80" s="196"/>
      <c r="U80" s="196"/>
    </row>
    <row r="81" spans="1:26" s="12" customFormat="1" x14ac:dyDescent="0.25">
      <c r="A81" s="211" t="s">
        <v>989</v>
      </c>
      <c r="B81" s="64">
        <v>12.08</v>
      </c>
      <c r="C81" s="64">
        <v>25.62</v>
      </c>
      <c r="D81" s="64">
        <v>21.69</v>
      </c>
      <c r="E81" s="64">
        <v>7.13</v>
      </c>
      <c r="F81" s="64">
        <v>4.1399999999999997</v>
      </c>
      <c r="G81" s="64">
        <v>92.4</v>
      </c>
      <c r="H81" s="64">
        <v>36.200000000000003</v>
      </c>
      <c r="I81" s="64">
        <v>4.84</v>
      </c>
      <c r="J81" s="64">
        <v>0.5</v>
      </c>
      <c r="K81" s="64">
        <v>313.31</v>
      </c>
      <c r="L81" s="64">
        <v>21.25</v>
      </c>
      <c r="M81" s="64">
        <v>64.64</v>
      </c>
      <c r="N81" s="64">
        <v>26.2</v>
      </c>
      <c r="O81" s="64">
        <v>0</v>
      </c>
      <c r="P81" s="64">
        <v>1.68</v>
      </c>
      <c r="Q81" s="64">
        <v>9.61</v>
      </c>
      <c r="R81" s="196"/>
      <c r="S81" s="196"/>
      <c r="T81" s="196"/>
      <c r="U81" s="196"/>
    </row>
    <row r="82" spans="1:26" s="12" customFormat="1" x14ac:dyDescent="0.25">
      <c r="A82" s="211" t="s">
        <v>990</v>
      </c>
      <c r="B82" s="64">
        <v>15.19</v>
      </c>
      <c r="C82" s="64">
        <v>25.71</v>
      </c>
      <c r="D82" s="64">
        <v>24.23</v>
      </c>
      <c r="E82" s="64">
        <v>7.01</v>
      </c>
      <c r="F82" s="64">
        <v>3.81</v>
      </c>
      <c r="G82" s="64">
        <v>92.4</v>
      </c>
      <c r="H82" s="64">
        <v>36.200000000000003</v>
      </c>
      <c r="I82" s="64">
        <v>5.8</v>
      </c>
      <c r="J82" s="64">
        <v>0.42</v>
      </c>
      <c r="K82" s="64">
        <v>342.35</v>
      </c>
      <c r="L82" s="64">
        <v>20.96</v>
      </c>
      <c r="M82" s="64">
        <v>64.78</v>
      </c>
      <c r="N82" s="64">
        <v>26.1</v>
      </c>
      <c r="O82" s="64">
        <v>0</v>
      </c>
      <c r="P82" s="64">
        <v>1.72</v>
      </c>
      <c r="Q82" s="64">
        <v>9.6199999999999992</v>
      </c>
      <c r="R82" s="196"/>
      <c r="S82" s="196"/>
      <c r="T82" s="196"/>
      <c r="U82" s="196"/>
    </row>
    <row r="83" spans="1:26" s="12" customFormat="1" x14ac:dyDescent="0.25">
      <c r="A83" s="211" t="s">
        <v>991</v>
      </c>
      <c r="B83" s="64">
        <v>18.8</v>
      </c>
      <c r="C83" s="64">
        <v>25.86</v>
      </c>
      <c r="D83" s="64">
        <v>27.21</v>
      </c>
      <c r="E83" s="64">
        <v>7.33</v>
      </c>
      <c r="F83" s="64">
        <v>4.03</v>
      </c>
      <c r="G83" s="64">
        <v>92.4</v>
      </c>
      <c r="H83" s="64">
        <v>36.200000000000003</v>
      </c>
      <c r="I83" s="64">
        <v>5.9</v>
      </c>
      <c r="J83" s="64">
        <v>0.32</v>
      </c>
      <c r="K83" s="64">
        <v>43.79</v>
      </c>
      <c r="L83" s="64">
        <v>21.09</v>
      </c>
      <c r="M83" s="64">
        <v>65.12</v>
      </c>
      <c r="N83" s="64">
        <v>25.7</v>
      </c>
      <c r="O83" s="64">
        <v>0</v>
      </c>
      <c r="P83" s="64">
        <v>1.56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992</v>
      </c>
      <c r="B84" s="64">
        <v>21.14</v>
      </c>
      <c r="C84" s="64">
        <v>25.57</v>
      </c>
      <c r="D84" s="64">
        <v>28.93</v>
      </c>
      <c r="E84" s="64">
        <v>7.51</v>
      </c>
      <c r="F84" s="64">
        <v>4.34</v>
      </c>
      <c r="G84" s="64">
        <v>97.36</v>
      </c>
      <c r="H84" s="64">
        <v>38.76</v>
      </c>
      <c r="I84" s="64">
        <v>6.46</v>
      </c>
      <c r="J84" s="64">
        <v>0.59</v>
      </c>
      <c r="K84" s="64">
        <v>337.15</v>
      </c>
      <c r="L84" s="64">
        <v>21.21</v>
      </c>
      <c r="M84" s="64">
        <v>66.69</v>
      </c>
      <c r="N84" s="64">
        <v>26</v>
      </c>
      <c r="O84" s="64">
        <v>0</v>
      </c>
      <c r="P84" s="64">
        <v>2.25</v>
      </c>
      <c r="Q84" s="64">
        <v>9.64</v>
      </c>
      <c r="R84" s="196"/>
      <c r="S84" s="196"/>
      <c r="T84" s="196"/>
      <c r="U84" s="196"/>
    </row>
    <row r="85" spans="1:26" s="12" customFormat="1" x14ac:dyDescent="0.25">
      <c r="A85" s="211" t="s">
        <v>993</v>
      </c>
      <c r="B85" s="64">
        <v>23.67</v>
      </c>
      <c r="C85" s="64">
        <v>26.15</v>
      </c>
      <c r="D85" s="64">
        <v>31.27</v>
      </c>
      <c r="E85" s="64">
        <v>7.38</v>
      </c>
      <c r="F85" s="64">
        <v>5.6</v>
      </c>
      <c r="G85" s="64">
        <v>111.81</v>
      </c>
      <c r="H85" s="64">
        <v>43.65</v>
      </c>
      <c r="I85" s="64">
        <v>6.89</v>
      </c>
      <c r="J85" s="64">
        <v>0.61</v>
      </c>
      <c r="K85" s="64">
        <v>355.87</v>
      </c>
      <c r="L85" s="64">
        <v>20.94</v>
      </c>
      <c r="M85" s="64">
        <v>66.2</v>
      </c>
      <c r="N85" s="64">
        <v>26</v>
      </c>
      <c r="O85" s="64">
        <v>0</v>
      </c>
      <c r="P85" s="64">
        <v>1.02</v>
      </c>
      <c r="Q85" s="64">
        <v>9.6300000000000008</v>
      </c>
      <c r="R85" s="196"/>
      <c r="S85" s="196"/>
      <c r="T85" s="196"/>
      <c r="U85" s="196"/>
    </row>
    <row r="86" spans="1:26" s="12" customFormat="1" x14ac:dyDescent="0.25">
      <c r="A86" s="211" t="s">
        <v>994</v>
      </c>
      <c r="B86" s="64">
        <v>25.62</v>
      </c>
      <c r="C86" s="64">
        <v>27.38</v>
      </c>
      <c r="D86" s="64">
        <v>33.47</v>
      </c>
      <c r="E86" s="64">
        <v>7.43</v>
      </c>
      <c r="F86" s="64">
        <v>4.16</v>
      </c>
      <c r="G86" s="64">
        <v>111.81</v>
      </c>
      <c r="H86" s="64">
        <v>43.65</v>
      </c>
      <c r="I86" s="64">
        <v>7.56</v>
      </c>
      <c r="J86" s="64">
        <v>0.53</v>
      </c>
      <c r="K86" s="64">
        <v>9.09</v>
      </c>
      <c r="L86" s="64">
        <v>20.87</v>
      </c>
      <c r="M86" s="64">
        <v>66.099999999999994</v>
      </c>
      <c r="N86" s="64">
        <v>26.1</v>
      </c>
      <c r="O86" s="64">
        <v>0</v>
      </c>
      <c r="P86" s="64">
        <v>1.46</v>
      </c>
      <c r="Q86" s="64">
        <v>9.6300000000000008</v>
      </c>
      <c r="R86" s="196"/>
      <c r="S86" s="196"/>
      <c r="T86" s="196"/>
      <c r="U86" s="196"/>
    </row>
    <row r="87" spans="1:26" s="12" customFormat="1" x14ac:dyDescent="0.25">
      <c r="A87" s="211" t="s">
        <v>995</v>
      </c>
      <c r="B87" s="64">
        <v>27.34</v>
      </c>
      <c r="C87" s="64">
        <v>27.33</v>
      </c>
      <c r="D87" s="64">
        <v>34.83</v>
      </c>
      <c r="E87" s="64">
        <v>7.97</v>
      </c>
      <c r="F87" s="64">
        <v>4.2</v>
      </c>
      <c r="G87" s="64">
        <v>111.81</v>
      </c>
      <c r="H87" s="64">
        <v>43.65</v>
      </c>
      <c r="I87" s="64">
        <v>6.67</v>
      </c>
      <c r="J87" s="64">
        <v>0.16</v>
      </c>
      <c r="K87" s="64">
        <v>298.75</v>
      </c>
      <c r="L87" s="64">
        <v>20.72</v>
      </c>
      <c r="M87" s="64">
        <v>64.62</v>
      </c>
      <c r="N87" s="64">
        <v>26</v>
      </c>
      <c r="O87" s="64">
        <v>0</v>
      </c>
      <c r="P87" s="64">
        <v>1.33</v>
      </c>
      <c r="Q87" s="64">
        <v>9.64</v>
      </c>
      <c r="R87" s="196"/>
      <c r="S87" s="196"/>
      <c r="T87" s="196"/>
      <c r="U87" s="196"/>
    </row>
    <row r="88" spans="1:26" s="12" customFormat="1" x14ac:dyDescent="0.25">
      <c r="A88" s="211" t="s">
        <v>996</v>
      </c>
      <c r="B88" s="64">
        <v>28.4</v>
      </c>
      <c r="C88" s="64">
        <v>27.28</v>
      </c>
      <c r="D88" s="64">
        <v>35.65</v>
      </c>
      <c r="E88" s="64">
        <v>5.72</v>
      </c>
      <c r="F88" s="64">
        <v>4.67</v>
      </c>
      <c r="G88" s="64">
        <v>114.12</v>
      </c>
      <c r="H88" s="64">
        <v>44.52</v>
      </c>
      <c r="I88" s="64">
        <v>6.22</v>
      </c>
      <c r="J88" s="64">
        <v>0.74</v>
      </c>
      <c r="K88" s="64">
        <v>335.76</v>
      </c>
      <c r="L88" s="64">
        <v>20.94</v>
      </c>
      <c r="M88" s="64">
        <v>66.319999999999993</v>
      </c>
      <c r="N88" s="64">
        <v>25.4</v>
      </c>
      <c r="O88" s="64">
        <v>0</v>
      </c>
      <c r="P88" s="64">
        <v>1.37</v>
      </c>
      <c r="Q88" s="64">
        <v>9.6300000000000008</v>
      </c>
      <c r="R88" s="196"/>
      <c r="S88" s="196"/>
      <c r="T88" s="196"/>
      <c r="U88" s="196"/>
    </row>
    <row r="89" spans="1:26" s="12" customFormat="1" x14ac:dyDescent="0.25">
      <c r="A89" s="211" t="s">
        <v>997</v>
      </c>
      <c r="B89" s="64">
        <v>28.98</v>
      </c>
      <c r="C89" s="64">
        <v>27.28</v>
      </c>
      <c r="D89" s="64">
        <v>36.11</v>
      </c>
      <c r="E89" s="64">
        <v>6.81</v>
      </c>
      <c r="F89" s="64">
        <v>3.35</v>
      </c>
      <c r="G89" s="64">
        <v>120.85</v>
      </c>
      <c r="H89" s="64">
        <v>47.98</v>
      </c>
      <c r="I89" s="64">
        <v>6.47</v>
      </c>
      <c r="J89" s="64">
        <v>0.03</v>
      </c>
      <c r="K89" s="64">
        <v>41.44</v>
      </c>
      <c r="L89" s="64">
        <v>20.91</v>
      </c>
      <c r="M89" s="64">
        <v>65.14</v>
      </c>
      <c r="N89" s="64">
        <v>26</v>
      </c>
      <c r="O89" s="64">
        <v>0</v>
      </c>
      <c r="P89" s="64">
        <v>1.42</v>
      </c>
      <c r="Q89" s="64">
        <v>9.6300000000000008</v>
      </c>
      <c r="R89" s="196"/>
      <c r="S89" s="196"/>
      <c r="T89" s="196"/>
      <c r="U89" s="196"/>
    </row>
    <row r="90" spans="1:26" s="12" customFormat="1" x14ac:dyDescent="0.25">
      <c r="A90" s="211" t="s">
        <v>998</v>
      </c>
      <c r="B90" s="64">
        <v>28.41</v>
      </c>
      <c r="C90" s="64">
        <v>27.59</v>
      </c>
      <c r="D90" s="64">
        <v>35.82</v>
      </c>
      <c r="E90" s="64">
        <v>6.51</v>
      </c>
      <c r="F90" s="64">
        <v>4.2</v>
      </c>
      <c r="G90" s="64">
        <v>120.85</v>
      </c>
      <c r="H90" s="64">
        <v>47.98</v>
      </c>
      <c r="I90" s="64">
        <v>6.15</v>
      </c>
      <c r="J90" s="64">
        <v>0.27</v>
      </c>
      <c r="K90" s="64">
        <v>64.45</v>
      </c>
      <c r="L90" s="64">
        <v>20.73</v>
      </c>
      <c r="M90" s="64">
        <v>66.48</v>
      </c>
      <c r="N90" s="64">
        <v>25.9</v>
      </c>
      <c r="O90" s="64">
        <v>0</v>
      </c>
      <c r="P90" s="64">
        <v>1.41</v>
      </c>
      <c r="Q90" s="64">
        <v>9.64</v>
      </c>
      <c r="R90" s="196"/>
      <c r="S90" s="196"/>
      <c r="T90" s="196"/>
      <c r="U90" s="196"/>
    </row>
    <row r="91" spans="1:26" s="12" customFormat="1" x14ac:dyDescent="0.25">
      <c r="A91" s="211" t="s">
        <v>999</v>
      </c>
      <c r="B91" s="64">
        <v>28.46</v>
      </c>
      <c r="C91" s="64">
        <v>27.21</v>
      </c>
      <c r="D91" s="64">
        <v>35.659999999999997</v>
      </c>
      <c r="E91" s="64">
        <v>6.43</v>
      </c>
      <c r="F91" s="64">
        <v>4.4000000000000004</v>
      </c>
      <c r="G91" s="64">
        <v>120.85</v>
      </c>
      <c r="H91" s="64">
        <v>47.98</v>
      </c>
      <c r="I91" s="64">
        <v>5.87</v>
      </c>
      <c r="J91" s="64">
        <v>0.25</v>
      </c>
      <c r="K91" s="64">
        <v>351.99</v>
      </c>
      <c r="L91" s="64">
        <v>20.66</v>
      </c>
      <c r="M91" s="64">
        <v>67</v>
      </c>
      <c r="N91" s="64">
        <v>25.9</v>
      </c>
      <c r="O91" s="64">
        <v>0</v>
      </c>
      <c r="P91" s="64">
        <v>1.3</v>
      </c>
      <c r="Q91" s="64">
        <v>9.6199999999999992</v>
      </c>
      <c r="R91" s="196"/>
      <c r="S91" s="196"/>
      <c r="T91" s="196"/>
      <c r="U91" s="196"/>
    </row>
    <row r="92" spans="1:26" s="12" customFormat="1" x14ac:dyDescent="0.25">
      <c r="A92" s="211" t="s">
        <v>1000</v>
      </c>
      <c r="B92" s="64">
        <v>29.78</v>
      </c>
      <c r="C92" s="64">
        <v>26.57</v>
      </c>
      <c r="D92" s="64">
        <v>36.380000000000003</v>
      </c>
      <c r="E92" s="64">
        <v>6.51</v>
      </c>
      <c r="F92" s="64">
        <v>4.47</v>
      </c>
      <c r="G92" s="64">
        <v>120.76</v>
      </c>
      <c r="H92" s="64">
        <v>46.12</v>
      </c>
      <c r="I92" s="64">
        <v>6.15</v>
      </c>
      <c r="J92" s="64">
        <v>0.3</v>
      </c>
      <c r="K92" s="64">
        <v>10.86</v>
      </c>
      <c r="L92" s="64">
        <v>20.45</v>
      </c>
      <c r="M92" s="64">
        <v>68.83</v>
      </c>
      <c r="N92" s="64">
        <v>26.1</v>
      </c>
      <c r="O92" s="64">
        <v>0</v>
      </c>
      <c r="P92" s="64">
        <v>1.47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1001</v>
      </c>
      <c r="B93" s="64">
        <v>31.31</v>
      </c>
      <c r="C93" s="64">
        <v>27.75</v>
      </c>
      <c r="D93" s="64">
        <v>38.229999999999997</v>
      </c>
      <c r="E93" s="64">
        <v>6.14</v>
      </c>
      <c r="F93" s="64">
        <v>4.38</v>
      </c>
      <c r="G93" s="64">
        <v>120.48</v>
      </c>
      <c r="H93" s="64">
        <v>42.56</v>
      </c>
      <c r="I93" s="64">
        <v>6.09</v>
      </c>
      <c r="J93" s="64">
        <v>0.17</v>
      </c>
      <c r="K93" s="64">
        <v>345.62</v>
      </c>
      <c r="L93" s="64">
        <v>20.329999999999998</v>
      </c>
      <c r="M93" s="64">
        <v>69.25</v>
      </c>
      <c r="N93" s="64">
        <v>26</v>
      </c>
      <c r="O93" s="64">
        <v>0</v>
      </c>
      <c r="P93" s="64">
        <v>1.4</v>
      </c>
      <c r="Q93" s="64">
        <v>9.66</v>
      </c>
      <c r="R93" s="196"/>
      <c r="S93" s="196"/>
      <c r="T93" s="196"/>
      <c r="U93" s="196"/>
    </row>
    <row r="94" spans="1:26" s="12" customFormat="1" x14ac:dyDescent="0.25">
      <c r="A94" s="211" t="s">
        <v>1002</v>
      </c>
      <c r="B94" s="64">
        <v>31.7</v>
      </c>
      <c r="C94" s="64">
        <v>26.81</v>
      </c>
      <c r="D94" s="64">
        <v>38.049999999999997</v>
      </c>
      <c r="E94" s="64">
        <v>6.5</v>
      </c>
      <c r="F94" s="64">
        <v>4.4800000000000004</v>
      </c>
      <c r="G94" s="64">
        <v>120.48</v>
      </c>
      <c r="H94" s="64">
        <v>42.56</v>
      </c>
      <c r="I94" s="64">
        <v>6.3</v>
      </c>
      <c r="J94" s="64">
        <v>0.49</v>
      </c>
      <c r="K94" s="64">
        <v>84.23</v>
      </c>
      <c r="L94" s="64">
        <v>20.37</v>
      </c>
      <c r="M94" s="64">
        <v>69.08</v>
      </c>
      <c r="N94" s="64">
        <v>25.9</v>
      </c>
      <c r="O94" s="64">
        <v>0</v>
      </c>
      <c r="P94" s="64">
        <v>1.29</v>
      </c>
      <c r="Q94" s="64">
        <v>9.66</v>
      </c>
      <c r="R94" s="196"/>
      <c r="S94" s="196"/>
      <c r="T94" s="196"/>
      <c r="U94" s="196"/>
    </row>
    <row r="95" spans="1:26" s="12" customFormat="1" x14ac:dyDescent="0.25">
      <c r="A95" s="211" t="s">
        <v>1003</v>
      </c>
      <c r="B95" s="64">
        <v>31.11</v>
      </c>
      <c r="C95" s="64">
        <v>24.39</v>
      </c>
      <c r="D95" s="64">
        <v>36.32</v>
      </c>
      <c r="E95" s="64">
        <v>5.71</v>
      </c>
      <c r="F95" s="64">
        <v>4.5199999999999996</v>
      </c>
      <c r="G95" s="64">
        <v>120.48</v>
      </c>
      <c r="H95" s="64">
        <v>42.56</v>
      </c>
      <c r="I95" s="64">
        <v>6.26</v>
      </c>
      <c r="J95" s="64">
        <v>0.34</v>
      </c>
      <c r="K95" s="64">
        <v>93.11</v>
      </c>
      <c r="L95" s="64">
        <v>20.239999999999998</v>
      </c>
      <c r="M95" s="64">
        <v>70.69</v>
      </c>
      <c r="N95" s="64">
        <v>26</v>
      </c>
      <c r="O95" s="64">
        <v>0</v>
      </c>
      <c r="P95" s="64">
        <v>1.24</v>
      </c>
      <c r="Q95" s="64">
        <v>9.64</v>
      </c>
      <c r="R95" s="196"/>
      <c r="S95" s="196"/>
      <c r="T95" s="196"/>
      <c r="U95" s="196"/>
    </row>
    <row r="96" spans="1:26" s="12" customFormat="1" x14ac:dyDescent="0.25">
      <c r="A96" s="211" t="s">
        <v>1004</v>
      </c>
      <c r="B96" s="64">
        <v>30.02</v>
      </c>
      <c r="C96" s="64">
        <v>23.3</v>
      </c>
      <c r="D96" s="64">
        <v>34.869999999999997</v>
      </c>
      <c r="E96" s="64">
        <v>5.78</v>
      </c>
      <c r="F96" s="64">
        <v>4.68</v>
      </c>
      <c r="G96" s="64">
        <v>119.03</v>
      </c>
      <c r="H96" s="64">
        <v>42.98</v>
      </c>
      <c r="I96" s="64">
        <v>5.2</v>
      </c>
      <c r="J96" s="64">
        <v>0.38</v>
      </c>
      <c r="K96" s="64">
        <v>65.45</v>
      </c>
      <c r="L96" s="64">
        <v>20.09</v>
      </c>
      <c r="M96" s="64">
        <v>71.97</v>
      </c>
      <c r="N96" s="64">
        <v>26</v>
      </c>
      <c r="O96" s="64">
        <v>0</v>
      </c>
      <c r="P96" s="64">
        <v>1.1100000000000001</v>
      </c>
      <c r="Q96" s="64">
        <v>9.64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1005</v>
      </c>
      <c r="B97" s="64">
        <v>28.76</v>
      </c>
      <c r="C97" s="64">
        <v>22.68</v>
      </c>
      <c r="D97" s="64">
        <v>33.53</v>
      </c>
      <c r="E97" s="64">
        <v>5.82</v>
      </c>
      <c r="F97" s="64">
        <v>4.7699999999999996</v>
      </c>
      <c r="G97" s="64">
        <v>114.81</v>
      </c>
      <c r="H97" s="64">
        <v>43.78</v>
      </c>
      <c r="I97" s="64">
        <v>4.6399999999999997</v>
      </c>
      <c r="J97" s="64">
        <v>0.2</v>
      </c>
      <c r="K97" s="64">
        <v>79.349999999999994</v>
      </c>
      <c r="L97" s="64">
        <v>20.010000000000002</v>
      </c>
      <c r="M97" s="64">
        <v>72.73</v>
      </c>
      <c r="N97" s="64">
        <v>25.8</v>
      </c>
      <c r="O97" s="64">
        <v>0</v>
      </c>
      <c r="P97" s="64">
        <v>1.1200000000000001</v>
      </c>
      <c r="Q97" s="64">
        <v>9.64</v>
      </c>
      <c r="R97" s="196"/>
      <c r="S97" s="196"/>
      <c r="T97" s="196"/>
      <c r="U97" s="196"/>
    </row>
    <row r="98" spans="1:33" s="12" customFormat="1" x14ac:dyDescent="0.25">
      <c r="A98" s="211" t="s">
        <v>1006</v>
      </c>
      <c r="B98" s="64">
        <v>27.7</v>
      </c>
      <c r="C98" s="64">
        <v>22.23</v>
      </c>
      <c r="D98" s="64">
        <v>32.46</v>
      </c>
      <c r="E98" s="64">
        <v>5.76</v>
      </c>
      <c r="F98" s="64">
        <v>4.49</v>
      </c>
      <c r="G98" s="64">
        <v>114.81</v>
      </c>
      <c r="H98" s="64">
        <v>43.78</v>
      </c>
      <c r="I98" s="64">
        <v>4.2300000000000004</v>
      </c>
      <c r="J98" s="64">
        <v>0.35</v>
      </c>
      <c r="K98" s="64">
        <v>67.099999999999994</v>
      </c>
      <c r="L98" s="64">
        <v>19.940000000000001</v>
      </c>
      <c r="M98" s="64">
        <v>73.680000000000007</v>
      </c>
      <c r="N98" s="64">
        <v>25.9</v>
      </c>
      <c r="O98" s="64">
        <v>0</v>
      </c>
      <c r="P98" s="64">
        <v>1.1200000000000001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1007</v>
      </c>
      <c r="B99" s="64">
        <v>26.63</v>
      </c>
      <c r="C99" s="64">
        <v>21.67</v>
      </c>
      <c r="D99" s="64">
        <v>31.3</v>
      </c>
      <c r="E99" s="64">
        <v>5.69</v>
      </c>
      <c r="F99" s="64">
        <v>5.18</v>
      </c>
      <c r="G99" s="64">
        <v>114.81</v>
      </c>
      <c r="H99" s="64">
        <v>43.78</v>
      </c>
      <c r="I99" s="64">
        <v>4.28</v>
      </c>
      <c r="J99" s="64">
        <v>0.46</v>
      </c>
      <c r="K99" s="64">
        <v>102.1</v>
      </c>
      <c r="L99" s="64">
        <v>19.98</v>
      </c>
      <c r="M99" s="64">
        <v>73.7</v>
      </c>
      <c r="N99" s="64">
        <v>25.7</v>
      </c>
      <c r="O99" s="64">
        <v>0</v>
      </c>
      <c r="P99" s="64">
        <v>1.03</v>
      </c>
      <c r="Q99" s="64">
        <v>9.65</v>
      </c>
      <c r="R99" s="196"/>
      <c r="S99" s="196"/>
      <c r="T99" s="196"/>
      <c r="U99" s="196"/>
    </row>
    <row r="100" spans="1:33" s="12" customFormat="1" x14ac:dyDescent="0.25">
      <c r="A100" s="211" t="s">
        <v>1008</v>
      </c>
      <c r="B100" s="64">
        <v>25.31</v>
      </c>
      <c r="C100" s="64">
        <v>21.2</v>
      </c>
      <c r="D100" s="64">
        <v>29.99</v>
      </c>
      <c r="E100" s="64">
        <v>5.68</v>
      </c>
      <c r="F100" s="64">
        <v>5.76</v>
      </c>
      <c r="G100" s="64">
        <v>113.97</v>
      </c>
      <c r="H100" s="64">
        <v>45.17</v>
      </c>
      <c r="I100" s="64">
        <v>4.29</v>
      </c>
      <c r="J100" s="64">
        <v>0.38</v>
      </c>
      <c r="K100" s="64">
        <v>100.09</v>
      </c>
      <c r="L100" s="64">
        <v>19.86</v>
      </c>
      <c r="M100" s="64">
        <v>74.53</v>
      </c>
      <c r="N100" s="64">
        <v>25.8</v>
      </c>
      <c r="O100" s="64">
        <v>0</v>
      </c>
      <c r="P100" s="64">
        <v>0.97</v>
      </c>
      <c r="Q100" s="64">
        <v>9.6300000000000008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1009</v>
      </c>
      <c r="B101" s="64">
        <v>23.99</v>
      </c>
      <c r="C101" s="64">
        <v>20.72</v>
      </c>
      <c r="D101" s="64">
        <v>28.69</v>
      </c>
      <c r="E101" s="64">
        <v>5.56</v>
      </c>
      <c r="F101" s="64">
        <v>4.8899999999999997</v>
      </c>
      <c r="G101" s="64">
        <v>111.5</v>
      </c>
      <c r="H101" s="64">
        <v>47.82</v>
      </c>
      <c r="I101" s="64">
        <v>3.86</v>
      </c>
      <c r="J101" s="64">
        <v>1.1599999999999999</v>
      </c>
      <c r="K101" s="64">
        <v>114.79</v>
      </c>
      <c r="L101" s="64">
        <v>19.89</v>
      </c>
      <c r="M101" s="64">
        <v>74.099999999999994</v>
      </c>
      <c r="N101" s="64">
        <v>25.4</v>
      </c>
      <c r="O101" s="64">
        <v>0</v>
      </c>
      <c r="P101" s="64">
        <v>1.1100000000000001</v>
      </c>
      <c r="Q101" s="64">
        <v>9.64</v>
      </c>
      <c r="R101" s="196"/>
      <c r="S101" s="196"/>
      <c r="T101" s="196"/>
      <c r="U101" s="196"/>
    </row>
    <row r="102" spans="1:33" s="12" customFormat="1" x14ac:dyDescent="0.25">
      <c r="A102" s="211" t="s">
        <v>1010</v>
      </c>
      <c r="B102" s="64">
        <v>22.36</v>
      </c>
      <c r="C102" s="64">
        <v>21.47</v>
      </c>
      <c r="D102" s="64">
        <v>27.77</v>
      </c>
      <c r="E102" s="64">
        <v>5.86</v>
      </c>
      <c r="F102" s="64">
        <v>3.7</v>
      </c>
      <c r="G102" s="64">
        <v>111.5</v>
      </c>
      <c r="H102" s="64">
        <v>47.82</v>
      </c>
      <c r="I102" s="64">
        <v>4.28</v>
      </c>
      <c r="J102" s="64">
        <v>1.47</v>
      </c>
      <c r="K102" s="64">
        <v>116.57</v>
      </c>
      <c r="L102" s="64">
        <v>19.920000000000002</v>
      </c>
      <c r="M102" s="64">
        <v>74.06</v>
      </c>
      <c r="N102" s="64">
        <v>25.5</v>
      </c>
      <c r="O102" s="64">
        <v>0</v>
      </c>
      <c r="P102" s="64">
        <v>1.22</v>
      </c>
      <c r="Q102" s="64">
        <v>9.65</v>
      </c>
      <c r="R102" s="196"/>
      <c r="S102" s="196"/>
      <c r="T102" s="196"/>
      <c r="U102" s="196"/>
    </row>
    <row r="103" spans="1:33" s="12" customFormat="1" x14ac:dyDescent="0.25">
      <c r="A103" s="211" t="s">
        <v>1011</v>
      </c>
      <c r="B103" s="64">
        <v>20.25</v>
      </c>
      <c r="C103" s="64">
        <v>21.79</v>
      </c>
      <c r="D103" s="64">
        <v>26.25</v>
      </c>
      <c r="E103" s="64">
        <v>5.83</v>
      </c>
      <c r="F103" s="64">
        <v>4.29</v>
      </c>
      <c r="G103" s="64">
        <v>111.5</v>
      </c>
      <c r="H103" s="64">
        <v>47.82</v>
      </c>
      <c r="I103" s="64">
        <v>5.82</v>
      </c>
      <c r="J103" s="64">
        <v>1.23</v>
      </c>
      <c r="K103" s="64">
        <v>121.54</v>
      </c>
      <c r="L103" s="64">
        <v>19.8</v>
      </c>
      <c r="M103" s="64">
        <v>74.92</v>
      </c>
      <c r="N103" s="64">
        <v>25.8</v>
      </c>
      <c r="O103" s="64">
        <v>0</v>
      </c>
      <c r="P103" s="64">
        <v>1.18</v>
      </c>
      <c r="Q103" s="64">
        <v>9.65</v>
      </c>
      <c r="R103" s="196"/>
      <c r="S103" s="196"/>
      <c r="T103" s="196"/>
      <c r="U103" s="196"/>
    </row>
    <row r="104" spans="1:33" s="12" customFormat="1" x14ac:dyDescent="0.25">
      <c r="A104" s="211" t="s">
        <v>1012</v>
      </c>
      <c r="B104" s="64">
        <v>17.97</v>
      </c>
      <c r="C104" s="64">
        <v>22.01</v>
      </c>
      <c r="D104" s="64">
        <v>24.54</v>
      </c>
      <c r="E104" s="64">
        <v>5.55</v>
      </c>
      <c r="F104" s="64">
        <v>4</v>
      </c>
      <c r="G104" s="64">
        <v>108.36</v>
      </c>
      <c r="H104" s="64">
        <v>47.77</v>
      </c>
      <c r="I104" s="64">
        <v>6.96</v>
      </c>
      <c r="J104" s="64">
        <v>1.37</v>
      </c>
      <c r="K104" s="64">
        <v>111.13</v>
      </c>
      <c r="L104" s="64">
        <v>19.86</v>
      </c>
      <c r="M104" s="64">
        <v>74.92</v>
      </c>
      <c r="N104" s="64">
        <v>25.7</v>
      </c>
      <c r="O104" s="64">
        <v>0</v>
      </c>
      <c r="P104" s="64">
        <v>1.1299999999999999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1.5</v>
      </c>
      <c r="C106" s="67">
        <f>MIN(C9:C104)</f>
        <v>13.76</v>
      </c>
      <c r="D106" s="67">
        <f t="shared" ref="D106:Q106" si="0">MIN(D9:D104)</f>
        <v>7.65</v>
      </c>
      <c r="E106" s="67">
        <f t="shared" si="0"/>
        <v>4.71</v>
      </c>
      <c r="F106" s="67">
        <f t="shared" si="0"/>
        <v>3.35</v>
      </c>
      <c r="G106" s="67">
        <f t="shared" si="0"/>
        <v>59.37</v>
      </c>
      <c r="H106" s="67">
        <f t="shared" si="0"/>
        <v>33.229999999999997</v>
      </c>
      <c r="I106" s="67">
        <f t="shared" si="0"/>
        <v>1.59</v>
      </c>
      <c r="J106" s="67">
        <f t="shared" si="0"/>
        <v>0.03</v>
      </c>
      <c r="K106" s="67">
        <f t="shared" si="0"/>
        <v>2.95</v>
      </c>
      <c r="L106" s="67">
        <f t="shared" si="0"/>
        <v>15.59</v>
      </c>
      <c r="M106" s="67">
        <f t="shared" si="0"/>
        <v>35.409999999999997</v>
      </c>
      <c r="N106" s="67">
        <f t="shared" si="0"/>
        <v>25.4</v>
      </c>
      <c r="O106" s="67">
        <f t="shared" si="0"/>
        <v>0</v>
      </c>
      <c r="P106" s="67">
        <f t="shared" si="0"/>
        <v>0.41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42.52</v>
      </c>
      <c r="C107" s="66">
        <f t="shared" ref="C107:Q107" si="1">MAX(C9:C104)</f>
        <v>32.61</v>
      </c>
      <c r="D107" s="66">
        <f t="shared" si="1"/>
        <v>41.2</v>
      </c>
      <c r="E107" s="66">
        <f t="shared" si="1"/>
        <v>8.3000000000000007</v>
      </c>
      <c r="F107" s="66">
        <f t="shared" si="1"/>
        <v>29.24</v>
      </c>
      <c r="G107" s="66">
        <f t="shared" si="1"/>
        <v>120.85</v>
      </c>
      <c r="H107" s="66">
        <f t="shared" si="1"/>
        <v>57.5</v>
      </c>
      <c r="I107" s="66">
        <f t="shared" si="1"/>
        <v>7.81</v>
      </c>
      <c r="J107" s="66">
        <f t="shared" si="1"/>
        <v>1.67</v>
      </c>
      <c r="K107" s="66">
        <f t="shared" si="1"/>
        <v>356.16</v>
      </c>
      <c r="L107" s="66">
        <f t="shared" si="1"/>
        <v>29.55</v>
      </c>
      <c r="M107" s="66">
        <f t="shared" si="1"/>
        <v>102.83</v>
      </c>
      <c r="N107" s="66">
        <f t="shared" si="1"/>
        <v>740.7</v>
      </c>
      <c r="O107" s="66">
        <f t="shared" si="1"/>
        <v>0</v>
      </c>
      <c r="P107" s="66">
        <f t="shared" si="1"/>
        <v>2.25</v>
      </c>
      <c r="Q107" s="66">
        <f t="shared" si="1"/>
        <v>9.68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20.63239583333333</v>
      </c>
      <c r="C108" s="67">
        <f t="shared" ref="C108:Q108" si="2">AVERAGE(C9:C104)</f>
        <v>21.162499999999998</v>
      </c>
      <c r="D108" s="67">
        <f t="shared" si="2"/>
        <v>26.225000000000005</v>
      </c>
      <c r="E108" s="67">
        <f t="shared" si="2"/>
        <v>6.5880208333333314</v>
      </c>
      <c r="F108" s="67">
        <f t="shared" si="2"/>
        <v>5.5415625000000004</v>
      </c>
      <c r="G108" s="67">
        <f t="shared" si="2"/>
        <v>100.26739583333331</v>
      </c>
      <c r="H108" s="67">
        <f t="shared" si="2"/>
        <v>45.353020833333325</v>
      </c>
      <c r="I108" s="67">
        <f t="shared" si="2"/>
        <v>5.5331249999999983</v>
      </c>
      <c r="J108" s="67">
        <f t="shared" si="2"/>
        <v>0.65302083333333338</v>
      </c>
      <c r="K108" s="67">
        <f t="shared" si="2"/>
        <v>214.92135416666667</v>
      </c>
      <c r="L108" s="67">
        <f t="shared" si="2"/>
        <v>21.411354166666666</v>
      </c>
      <c r="M108" s="67">
        <f t="shared" si="2"/>
        <v>70.39114583333334</v>
      </c>
      <c r="N108" s="67">
        <f t="shared" si="2"/>
        <v>158.34166666666673</v>
      </c>
      <c r="O108" s="67">
        <f t="shared" si="2"/>
        <v>0</v>
      </c>
      <c r="P108" s="67">
        <f t="shared" si="2"/>
        <v>0.99916666666666665</v>
      </c>
      <c r="Q108" s="67">
        <f t="shared" si="2"/>
        <v>9.6311458333333295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12.61845830476272</v>
      </c>
      <c r="C109" s="67">
        <f t="shared" ref="C109:Q109" si="3">STDEV(C9:C104)</f>
        <v>4.2822898449065603</v>
      </c>
      <c r="D109" s="67">
        <f t="shared" si="3"/>
        <v>10.225622101780436</v>
      </c>
      <c r="E109" s="67">
        <f t="shared" si="3"/>
        <v>0.77694627571724495</v>
      </c>
      <c r="F109" s="67">
        <f t="shared" si="3"/>
        <v>3.2853279346448638</v>
      </c>
      <c r="G109" s="67">
        <f t="shared" si="3"/>
        <v>14.831442222861813</v>
      </c>
      <c r="H109" s="67">
        <f t="shared" si="3"/>
        <v>6.4751999960646867</v>
      </c>
      <c r="I109" s="67">
        <f t="shared" si="3"/>
        <v>1.73560140494358</v>
      </c>
      <c r="J109" s="67">
        <f t="shared" si="3"/>
        <v>0.37695768237064187</v>
      </c>
      <c r="K109" s="67">
        <f t="shared" si="3"/>
        <v>117.34469159495598</v>
      </c>
      <c r="L109" s="67">
        <f t="shared" si="3"/>
        <v>4.059618499004098</v>
      </c>
      <c r="M109" s="67">
        <f t="shared" si="3"/>
        <v>21.996843116554214</v>
      </c>
      <c r="N109" s="67">
        <f t="shared" si="3"/>
        <v>207.58663463044283</v>
      </c>
      <c r="O109" s="67">
        <f t="shared" si="3"/>
        <v>0</v>
      </c>
      <c r="P109" s="67">
        <f t="shared" si="3"/>
        <v>0.34087709366054014</v>
      </c>
      <c r="Q109" s="67">
        <f t="shared" si="3"/>
        <v>1.2638270340239987E-2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1013</v>
      </c>
      <c r="B9" s="64">
        <v>15.99</v>
      </c>
      <c r="C9" s="64">
        <v>22.12</v>
      </c>
      <c r="D9" s="64">
        <v>23</v>
      </c>
      <c r="E9" s="64">
        <v>5.56</v>
      </c>
      <c r="F9" s="64">
        <v>4.12</v>
      </c>
      <c r="G9" s="64">
        <v>99.23</v>
      </c>
      <c r="H9" s="64">
        <v>47.53</v>
      </c>
      <c r="I9" s="64">
        <v>7.29</v>
      </c>
      <c r="J9" s="64">
        <v>1.35</v>
      </c>
      <c r="K9" s="64">
        <v>107.98</v>
      </c>
      <c r="L9" s="64">
        <v>19.8</v>
      </c>
      <c r="M9" s="64">
        <v>74.67</v>
      </c>
      <c r="N9" s="64">
        <v>25.9</v>
      </c>
      <c r="O9" s="64">
        <v>0</v>
      </c>
      <c r="P9" s="64">
        <v>1.1000000000000001</v>
      </c>
      <c r="Q9" s="64">
        <v>9.6199999999999992</v>
      </c>
      <c r="R9" s="196"/>
      <c r="S9" s="196"/>
      <c r="T9" s="196"/>
      <c r="U9" s="196"/>
    </row>
    <row r="10" spans="1:21" s="12" customFormat="1" x14ac:dyDescent="0.25">
      <c r="A10" s="211" t="s">
        <v>1014</v>
      </c>
      <c r="B10" s="64">
        <v>14.2</v>
      </c>
      <c r="C10" s="64">
        <v>21.86</v>
      </c>
      <c r="D10" s="64">
        <v>21.43</v>
      </c>
      <c r="E10" s="64">
        <v>5.89</v>
      </c>
      <c r="F10" s="64">
        <v>4.51</v>
      </c>
      <c r="G10" s="64">
        <v>99.23</v>
      </c>
      <c r="H10" s="64">
        <v>47.53</v>
      </c>
      <c r="I10" s="64">
        <v>7.51</v>
      </c>
      <c r="J10" s="64">
        <v>0.17</v>
      </c>
      <c r="K10" s="64">
        <v>358.95</v>
      </c>
      <c r="L10" s="64">
        <v>19.66</v>
      </c>
      <c r="M10" s="64">
        <v>75.81</v>
      </c>
      <c r="N10" s="64">
        <v>26.2</v>
      </c>
      <c r="O10" s="64">
        <v>0</v>
      </c>
      <c r="P10" s="64">
        <v>1.04</v>
      </c>
      <c r="Q10" s="64">
        <v>9.6300000000000008</v>
      </c>
      <c r="R10" s="196"/>
      <c r="S10" s="196"/>
      <c r="T10" s="196"/>
      <c r="U10" s="196"/>
    </row>
    <row r="11" spans="1:21" s="12" customFormat="1" x14ac:dyDescent="0.25">
      <c r="A11" s="211" t="s">
        <v>1015</v>
      </c>
      <c r="B11" s="64">
        <v>13.03</v>
      </c>
      <c r="C11" s="64">
        <v>21.69</v>
      </c>
      <c r="D11" s="64">
        <v>20.399999999999999</v>
      </c>
      <c r="E11" s="64">
        <v>5.81</v>
      </c>
      <c r="F11" s="64">
        <v>4.92</v>
      </c>
      <c r="G11" s="64">
        <v>99.23</v>
      </c>
      <c r="H11" s="64">
        <v>47.53</v>
      </c>
      <c r="I11" s="64">
        <v>7.73</v>
      </c>
      <c r="J11" s="64">
        <v>0.11</v>
      </c>
      <c r="K11" s="64">
        <v>346.31</v>
      </c>
      <c r="L11" s="64">
        <v>19.239999999999998</v>
      </c>
      <c r="M11" s="64">
        <v>78.91</v>
      </c>
      <c r="N11" s="64">
        <v>26.2</v>
      </c>
      <c r="O11" s="64">
        <v>0</v>
      </c>
      <c r="P11" s="64">
        <v>0.99</v>
      </c>
      <c r="Q11" s="64">
        <v>9.6300000000000008</v>
      </c>
      <c r="R11" s="196"/>
      <c r="S11" s="196"/>
      <c r="T11" s="196"/>
      <c r="U11" s="196"/>
    </row>
    <row r="12" spans="1:21" s="12" customFormat="1" x14ac:dyDescent="0.25">
      <c r="A12" s="211" t="s">
        <v>1016</v>
      </c>
      <c r="B12" s="64">
        <v>12.09</v>
      </c>
      <c r="C12" s="64">
        <v>21.33</v>
      </c>
      <c r="D12" s="64">
        <v>19.46</v>
      </c>
      <c r="E12" s="64">
        <v>5.66</v>
      </c>
      <c r="F12" s="64">
        <v>3.99</v>
      </c>
      <c r="G12" s="64">
        <v>96.98</v>
      </c>
      <c r="H12" s="64">
        <v>46.43</v>
      </c>
      <c r="I12" s="64">
        <v>7.36</v>
      </c>
      <c r="J12" s="64">
        <v>0.26</v>
      </c>
      <c r="K12" s="64">
        <v>268.36</v>
      </c>
      <c r="L12" s="64">
        <v>18.940000000000001</v>
      </c>
      <c r="M12" s="64">
        <v>81.45</v>
      </c>
      <c r="N12" s="64">
        <v>26.1</v>
      </c>
      <c r="O12" s="64">
        <v>0</v>
      </c>
      <c r="P12" s="64">
        <v>0.98</v>
      </c>
      <c r="Q12" s="64">
        <v>9.65</v>
      </c>
      <c r="R12" s="196"/>
      <c r="S12" s="196"/>
      <c r="T12" s="196"/>
      <c r="U12" s="196"/>
    </row>
    <row r="13" spans="1:21" s="12" customFormat="1" x14ac:dyDescent="0.25">
      <c r="A13" s="211" t="s">
        <v>1017</v>
      </c>
      <c r="B13" s="64">
        <v>11.2</v>
      </c>
      <c r="C13" s="64">
        <v>21.12</v>
      </c>
      <c r="D13" s="64">
        <v>18.64</v>
      </c>
      <c r="E13" s="64">
        <v>5.38</v>
      </c>
      <c r="F13" s="64">
        <v>3.61</v>
      </c>
      <c r="G13" s="64">
        <v>90.42</v>
      </c>
      <c r="H13" s="64">
        <v>44.32</v>
      </c>
      <c r="I13" s="64">
        <v>6.81</v>
      </c>
      <c r="J13" s="64">
        <v>0.48</v>
      </c>
      <c r="K13" s="64">
        <v>282.45</v>
      </c>
      <c r="L13" s="64">
        <v>18.72</v>
      </c>
      <c r="M13" s="64">
        <v>82.68</v>
      </c>
      <c r="N13" s="64">
        <v>26.1</v>
      </c>
      <c r="O13" s="64">
        <v>0</v>
      </c>
      <c r="P13" s="64">
        <v>0.92</v>
      </c>
      <c r="Q13" s="64">
        <v>9.6300000000000008</v>
      </c>
      <c r="R13" s="196"/>
      <c r="S13" s="196"/>
      <c r="T13" s="196"/>
      <c r="U13" s="196"/>
    </row>
    <row r="14" spans="1:21" s="12" customFormat="1" x14ac:dyDescent="0.25">
      <c r="A14" s="211" t="s">
        <v>1018</v>
      </c>
      <c r="B14" s="64">
        <v>10.35</v>
      </c>
      <c r="C14" s="64">
        <v>20.76</v>
      </c>
      <c r="D14" s="64">
        <v>17.77</v>
      </c>
      <c r="E14" s="64">
        <v>5.41</v>
      </c>
      <c r="F14" s="64">
        <v>3.14</v>
      </c>
      <c r="G14" s="64">
        <v>90.42</v>
      </c>
      <c r="H14" s="64">
        <v>44.32</v>
      </c>
      <c r="I14" s="64">
        <v>6.9</v>
      </c>
      <c r="J14" s="64">
        <v>0.64</v>
      </c>
      <c r="K14" s="64">
        <v>306.19</v>
      </c>
      <c r="L14" s="64">
        <v>18.510000000000002</v>
      </c>
      <c r="M14" s="64">
        <v>84.28</v>
      </c>
      <c r="N14" s="64">
        <v>26.1</v>
      </c>
      <c r="O14" s="64">
        <v>0</v>
      </c>
      <c r="P14" s="64">
        <v>0.93</v>
      </c>
      <c r="Q14" s="64">
        <v>9.6300000000000008</v>
      </c>
      <c r="R14" s="196"/>
      <c r="S14" s="196"/>
      <c r="T14" s="196"/>
      <c r="U14" s="196"/>
    </row>
    <row r="15" spans="1:21" s="12" customFormat="1" x14ac:dyDescent="0.25">
      <c r="A15" s="211" t="s">
        <v>1019</v>
      </c>
      <c r="B15" s="64">
        <v>9.82</v>
      </c>
      <c r="C15" s="64">
        <v>19.13</v>
      </c>
      <c r="D15" s="64">
        <v>16.5</v>
      </c>
      <c r="E15" s="64">
        <v>5.28</v>
      </c>
      <c r="F15" s="64">
        <v>3.61</v>
      </c>
      <c r="G15" s="64">
        <v>90.42</v>
      </c>
      <c r="H15" s="64">
        <v>44.32</v>
      </c>
      <c r="I15" s="64">
        <v>6.9</v>
      </c>
      <c r="J15" s="64">
        <v>0.48</v>
      </c>
      <c r="K15" s="64">
        <v>305.48</v>
      </c>
      <c r="L15" s="64">
        <v>18.23</v>
      </c>
      <c r="M15" s="64">
        <v>88.33</v>
      </c>
      <c r="N15" s="64">
        <v>26.1</v>
      </c>
      <c r="O15" s="64">
        <v>0</v>
      </c>
      <c r="P15" s="64">
        <v>0.69</v>
      </c>
      <c r="Q15" s="64">
        <v>9.61</v>
      </c>
      <c r="R15" s="196"/>
      <c r="S15" s="196"/>
      <c r="T15" s="196"/>
      <c r="U15" s="196"/>
    </row>
    <row r="16" spans="1:21" s="12" customFormat="1" x14ac:dyDescent="0.25">
      <c r="A16" s="211" t="s">
        <v>1020</v>
      </c>
      <c r="B16" s="64">
        <v>9.49</v>
      </c>
      <c r="C16" s="64">
        <v>17.760000000000002</v>
      </c>
      <c r="D16" s="64">
        <v>15.51</v>
      </c>
      <c r="E16" s="64">
        <v>5.05</v>
      </c>
      <c r="F16" s="64">
        <v>4.8899999999999997</v>
      </c>
      <c r="G16" s="64">
        <v>87.34</v>
      </c>
      <c r="H16" s="64">
        <v>43</v>
      </c>
      <c r="I16" s="64">
        <v>6.05</v>
      </c>
      <c r="J16" s="64">
        <v>0.21</v>
      </c>
      <c r="K16" s="64">
        <v>252.42</v>
      </c>
      <c r="L16" s="64">
        <v>18.29</v>
      </c>
      <c r="M16" s="64">
        <v>85.79</v>
      </c>
      <c r="N16" s="64">
        <v>25.8</v>
      </c>
      <c r="O16" s="64">
        <v>0</v>
      </c>
      <c r="P16" s="64">
        <v>0.67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1021</v>
      </c>
      <c r="B17" s="64">
        <v>9.26</v>
      </c>
      <c r="C17" s="64">
        <v>17.39</v>
      </c>
      <c r="D17" s="64">
        <v>15.13</v>
      </c>
      <c r="E17" s="64">
        <v>5.1100000000000003</v>
      </c>
      <c r="F17" s="64">
        <v>4.7300000000000004</v>
      </c>
      <c r="G17" s="64">
        <v>78.38</v>
      </c>
      <c r="H17" s="64">
        <v>40.46</v>
      </c>
      <c r="I17" s="64">
        <v>4.92</v>
      </c>
      <c r="J17" s="64">
        <v>0.51</v>
      </c>
      <c r="K17" s="64">
        <v>318.05</v>
      </c>
      <c r="L17" s="64">
        <v>18.2</v>
      </c>
      <c r="M17" s="64">
        <v>88.17</v>
      </c>
      <c r="N17" s="64">
        <v>26.1</v>
      </c>
      <c r="O17" s="64">
        <v>0</v>
      </c>
      <c r="P17" s="64">
        <v>0.72</v>
      </c>
      <c r="Q17" s="64">
        <v>9.6199999999999992</v>
      </c>
      <c r="R17" s="196"/>
      <c r="S17" s="196"/>
      <c r="T17" s="196"/>
      <c r="U17" s="196"/>
    </row>
    <row r="18" spans="1:21" s="12" customFormat="1" x14ac:dyDescent="0.25">
      <c r="A18" s="211" t="s">
        <v>1022</v>
      </c>
      <c r="B18" s="64">
        <v>9.07</v>
      </c>
      <c r="C18" s="64">
        <v>16.84</v>
      </c>
      <c r="D18" s="64">
        <v>14.7</v>
      </c>
      <c r="E18" s="64">
        <v>4.88</v>
      </c>
      <c r="F18" s="64">
        <v>4.38</v>
      </c>
      <c r="G18" s="64">
        <v>78.38</v>
      </c>
      <c r="H18" s="64">
        <v>40.46</v>
      </c>
      <c r="I18" s="64">
        <v>3.87</v>
      </c>
      <c r="J18" s="64">
        <v>0.49</v>
      </c>
      <c r="K18" s="64">
        <v>332.17</v>
      </c>
      <c r="L18" s="64">
        <v>18</v>
      </c>
      <c r="M18" s="64">
        <v>89.29</v>
      </c>
      <c r="N18" s="64">
        <v>26</v>
      </c>
      <c r="O18" s="64">
        <v>0</v>
      </c>
      <c r="P18" s="64">
        <v>0.72</v>
      </c>
      <c r="Q18" s="64">
        <v>9.6300000000000008</v>
      </c>
      <c r="R18" s="196"/>
      <c r="S18" s="196"/>
      <c r="T18" s="196"/>
      <c r="U18" s="196"/>
    </row>
    <row r="19" spans="1:21" s="12" customFormat="1" x14ac:dyDescent="0.25">
      <c r="A19" s="211" t="s">
        <v>1023</v>
      </c>
      <c r="B19" s="64">
        <v>8.89</v>
      </c>
      <c r="C19" s="64">
        <v>16.329999999999998</v>
      </c>
      <c r="D19" s="64">
        <v>14.28</v>
      </c>
      <c r="E19" s="64">
        <v>5.18</v>
      </c>
      <c r="F19" s="64">
        <v>3.91</v>
      </c>
      <c r="G19" s="64">
        <v>78.38</v>
      </c>
      <c r="H19" s="64">
        <v>40.46</v>
      </c>
      <c r="I19" s="64">
        <v>3.96</v>
      </c>
      <c r="J19" s="64">
        <v>0.55000000000000004</v>
      </c>
      <c r="K19" s="64">
        <v>306.67</v>
      </c>
      <c r="L19" s="64">
        <v>17.68</v>
      </c>
      <c r="M19" s="64">
        <v>92.22</v>
      </c>
      <c r="N19" s="64">
        <v>26.1</v>
      </c>
      <c r="O19" s="64">
        <v>0</v>
      </c>
      <c r="P19" s="64">
        <v>0.67</v>
      </c>
      <c r="Q19" s="64">
        <v>9.6199999999999992</v>
      </c>
      <c r="R19" s="196"/>
      <c r="S19" s="196"/>
      <c r="T19" s="196"/>
      <c r="U19" s="196"/>
    </row>
    <row r="20" spans="1:21" s="12" customFormat="1" x14ac:dyDescent="0.25">
      <c r="A20" s="211" t="s">
        <v>1024</v>
      </c>
      <c r="B20" s="64">
        <v>8.85</v>
      </c>
      <c r="C20" s="64">
        <v>15.75</v>
      </c>
      <c r="D20" s="64">
        <v>13.95</v>
      </c>
      <c r="E20" s="64">
        <v>5.5</v>
      </c>
      <c r="F20" s="64">
        <v>4.45</v>
      </c>
      <c r="G20" s="64">
        <v>77.400000000000006</v>
      </c>
      <c r="H20" s="64">
        <v>39.36</v>
      </c>
      <c r="I20" s="64">
        <v>3.98</v>
      </c>
      <c r="J20" s="64">
        <v>0.49</v>
      </c>
      <c r="K20" s="64">
        <v>311.06</v>
      </c>
      <c r="L20" s="64">
        <v>17.41</v>
      </c>
      <c r="M20" s="64">
        <v>93.13</v>
      </c>
      <c r="N20" s="64">
        <v>26.1</v>
      </c>
      <c r="O20" s="64">
        <v>0</v>
      </c>
      <c r="P20" s="64">
        <v>0.73</v>
      </c>
      <c r="Q20" s="64">
        <v>9.61</v>
      </c>
      <c r="R20" s="196"/>
      <c r="S20" s="196"/>
      <c r="T20" s="196"/>
      <c r="U20" s="196"/>
    </row>
    <row r="21" spans="1:21" s="12" customFormat="1" x14ac:dyDescent="0.25">
      <c r="A21" s="211" t="s">
        <v>1025</v>
      </c>
      <c r="B21" s="64">
        <v>8.7200000000000006</v>
      </c>
      <c r="C21" s="64">
        <v>15.48</v>
      </c>
      <c r="D21" s="64">
        <v>13.7</v>
      </c>
      <c r="E21" s="64">
        <v>5.39</v>
      </c>
      <c r="F21" s="64">
        <v>3.69</v>
      </c>
      <c r="G21" s="64">
        <v>74.540000000000006</v>
      </c>
      <c r="H21" s="64">
        <v>37.24</v>
      </c>
      <c r="I21" s="64">
        <v>4.4000000000000004</v>
      </c>
      <c r="J21" s="64">
        <v>0.48</v>
      </c>
      <c r="K21" s="64">
        <v>306.87</v>
      </c>
      <c r="L21" s="64">
        <v>17.100000000000001</v>
      </c>
      <c r="M21" s="64">
        <v>95.54</v>
      </c>
      <c r="N21" s="64">
        <v>26.1</v>
      </c>
      <c r="O21" s="64">
        <v>0</v>
      </c>
      <c r="P21" s="64">
        <v>0.7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1026</v>
      </c>
      <c r="B22" s="64">
        <v>8.6199999999999992</v>
      </c>
      <c r="C22" s="64">
        <v>15.17</v>
      </c>
      <c r="D22" s="64">
        <v>13.46</v>
      </c>
      <c r="E22" s="64">
        <v>5.2</v>
      </c>
      <c r="F22" s="64">
        <v>3.94</v>
      </c>
      <c r="G22" s="64">
        <v>74.540000000000006</v>
      </c>
      <c r="H22" s="64">
        <v>37.24</v>
      </c>
      <c r="I22" s="64">
        <v>4.3099999999999996</v>
      </c>
      <c r="J22" s="64">
        <v>0.61</v>
      </c>
      <c r="K22" s="64">
        <v>316.02999999999997</v>
      </c>
      <c r="L22" s="64">
        <v>16.97</v>
      </c>
      <c r="M22" s="64">
        <v>97.43</v>
      </c>
      <c r="N22" s="64">
        <v>26</v>
      </c>
      <c r="O22" s="64">
        <v>0</v>
      </c>
      <c r="P22" s="64">
        <v>0.71</v>
      </c>
      <c r="Q22" s="64">
        <v>9.61</v>
      </c>
      <c r="R22" s="196"/>
      <c r="S22" s="196"/>
      <c r="T22" s="196"/>
      <c r="U22" s="196"/>
    </row>
    <row r="23" spans="1:21" s="12" customFormat="1" x14ac:dyDescent="0.25">
      <c r="A23" s="211" t="s">
        <v>1027</v>
      </c>
      <c r="B23" s="64">
        <v>8.57</v>
      </c>
      <c r="C23" s="64">
        <v>16.690000000000001</v>
      </c>
      <c r="D23" s="64">
        <v>14.21</v>
      </c>
      <c r="E23" s="64">
        <v>5.52</v>
      </c>
      <c r="F23" s="64">
        <v>3.96</v>
      </c>
      <c r="G23" s="64">
        <v>74.540000000000006</v>
      </c>
      <c r="H23" s="64">
        <v>37.24</v>
      </c>
      <c r="I23" s="64">
        <v>4.53</v>
      </c>
      <c r="J23" s="64">
        <v>0.56999999999999995</v>
      </c>
      <c r="K23" s="64">
        <v>322.74</v>
      </c>
      <c r="L23" s="64">
        <v>16.809999999999999</v>
      </c>
      <c r="M23" s="64">
        <v>99.94</v>
      </c>
      <c r="N23" s="64">
        <v>26.1</v>
      </c>
      <c r="O23" s="64">
        <v>0</v>
      </c>
      <c r="P23" s="64">
        <v>0.76</v>
      </c>
      <c r="Q23" s="64">
        <v>9.6199999999999992</v>
      </c>
      <c r="R23" s="196"/>
      <c r="S23" s="196"/>
      <c r="T23" s="196"/>
      <c r="U23" s="196"/>
    </row>
    <row r="24" spans="1:21" s="12" customFormat="1" x14ac:dyDescent="0.25">
      <c r="A24" s="211" t="s">
        <v>1028</v>
      </c>
      <c r="B24" s="64">
        <v>8.41</v>
      </c>
      <c r="C24" s="64">
        <v>16.32</v>
      </c>
      <c r="D24" s="64">
        <v>13.9</v>
      </c>
      <c r="E24" s="64">
        <v>5.85</v>
      </c>
      <c r="F24" s="64">
        <v>4.25</v>
      </c>
      <c r="G24" s="64">
        <v>72.37</v>
      </c>
      <c r="H24" s="64">
        <v>37.92</v>
      </c>
      <c r="I24" s="64">
        <v>4.9800000000000004</v>
      </c>
      <c r="J24" s="64">
        <v>0.16</v>
      </c>
      <c r="K24" s="64">
        <v>119.11</v>
      </c>
      <c r="L24" s="64">
        <v>16.579999999999998</v>
      </c>
      <c r="M24" s="64">
        <v>99.5</v>
      </c>
      <c r="N24" s="64">
        <v>25.9</v>
      </c>
      <c r="O24" s="64">
        <v>0</v>
      </c>
      <c r="P24" s="64">
        <v>0.73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1029</v>
      </c>
      <c r="B25" s="64">
        <v>8.2899999999999991</v>
      </c>
      <c r="C25" s="64">
        <v>16.32</v>
      </c>
      <c r="D25" s="64">
        <v>13.8</v>
      </c>
      <c r="E25" s="64">
        <v>4.6900000000000004</v>
      </c>
      <c r="F25" s="64">
        <v>3.91</v>
      </c>
      <c r="G25" s="64">
        <v>66.05</v>
      </c>
      <c r="H25" s="64">
        <v>40.94</v>
      </c>
      <c r="I25" s="64">
        <v>5.22</v>
      </c>
      <c r="J25" s="64">
        <v>0.31</v>
      </c>
      <c r="K25" s="64">
        <v>347.19</v>
      </c>
      <c r="L25" s="64">
        <v>16.63</v>
      </c>
      <c r="M25" s="64">
        <v>99.51</v>
      </c>
      <c r="N25" s="64">
        <v>26</v>
      </c>
      <c r="O25" s="64">
        <v>0</v>
      </c>
      <c r="P25" s="64">
        <v>0.72</v>
      </c>
      <c r="Q25" s="64">
        <v>9.6300000000000008</v>
      </c>
      <c r="R25" s="196"/>
      <c r="S25" s="196"/>
      <c r="T25" s="196"/>
      <c r="U25" s="196"/>
    </row>
    <row r="26" spans="1:21" s="12" customFormat="1" x14ac:dyDescent="0.25">
      <c r="A26" s="211" t="s">
        <v>1030</v>
      </c>
      <c r="B26" s="64">
        <v>9.24</v>
      </c>
      <c r="C26" s="64">
        <v>16.850000000000001</v>
      </c>
      <c r="D26" s="64">
        <v>14.84</v>
      </c>
      <c r="E26" s="64">
        <v>5.25</v>
      </c>
      <c r="F26" s="64">
        <v>3.83</v>
      </c>
      <c r="G26" s="64">
        <v>66.05</v>
      </c>
      <c r="H26" s="64">
        <v>40.94</v>
      </c>
      <c r="I26" s="64">
        <v>5.3</v>
      </c>
      <c r="J26" s="64">
        <v>0.5</v>
      </c>
      <c r="K26" s="64">
        <v>296.19</v>
      </c>
      <c r="L26" s="64">
        <v>16.55</v>
      </c>
      <c r="M26" s="64">
        <v>99.9</v>
      </c>
      <c r="N26" s="64">
        <v>26.1</v>
      </c>
      <c r="O26" s="64">
        <v>0</v>
      </c>
      <c r="P26" s="64">
        <v>0.71</v>
      </c>
      <c r="Q26" s="64">
        <v>9.6199999999999992</v>
      </c>
      <c r="R26" s="196"/>
      <c r="S26" s="196"/>
      <c r="T26" s="196"/>
      <c r="U26" s="196"/>
    </row>
    <row r="27" spans="1:21" s="12" customFormat="1" x14ac:dyDescent="0.25">
      <c r="A27" s="211" t="s">
        <v>1031</v>
      </c>
      <c r="B27" s="64">
        <v>10.84</v>
      </c>
      <c r="C27" s="64">
        <v>17.46</v>
      </c>
      <c r="D27" s="64">
        <v>16.440000000000001</v>
      </c>
      <c r="E27" s="64">
        <v>5.35</v>
      </c>
      <c r="F27" s="64">
        <v>3.57</v>
      </c>
      <c r="G27" s="64">
        <v>66.05</v>
      </c>
      <c r="H27" s="64">
        <v>40.94</v>
      </c>
      <c r="I27" s="64">
        <v>5.28</v>
      </c>
      <c r="J27" s="64">
        <v>0.43</v>
      </c>
      <c r="K27" s="64">
        <v>313.74</v>
      </c>
      <c r="L27" s="64">
        <v>16.43</v>
      </c>
      <c r="M27" s="64">
        <v>101.37</v>
      </c>
      <c r="N27" s="64">
        <v>26.1</v>
      </c>
      <c r="O27" s="64">
        <v>0</v>
      </c>
      <c r="P27" s="64">
        <v>0.7</v>
      </c>
      <c r="Q27" s="64">
        <v>9.6199999999999992</v>
      </c>
      <c r="R27" s="196"/>
      <c r="S27" s="196"/>
      <c r="T27" s="196"/>
      <c r="U27" s="196"/>
    </row>
    <row r="28" spans="1:21" s="12" customFormat="1" x14ac:dyDescent="0.25">
      <c r="A28" s="211" t="s">
        <v>1032</v>
      </c>
      <c r="B28" s="64">
        <v>13.32</v>
      </c>
      <c r="C28" s="64">
        <v>18.190000000000001</v>
      </c>
      <c r="D28" s="64">
        <v>18.809999999999999</v>
      </c>
      <c r="E28" s="64">
        <v>5.26</v>
      </c>
      <c r="F28" s="64">
        <v>3.79</v>
      </c>
      <c r="G28" s="64">
        <v>65.23</v>
      </c>
      <c r="H28" s="64">
        <v>42.28</v>
      </c>
      <c r="I28" s="64">
        <v>5.21</v>
      </c>
      <c r="J28" s="64">
        <v>0.36</v>
      </c>
      <c r="K28" s="64">
        <v>282.89</v>
      </c>
      <c r="L28" s="64">
        <v>16.34</v>
      </c>
      <c r="M28" s="64">
        <v>101.71</v>
      </c>
      <c r="N28" s="64">
        <v>26</v>
      </c>
      <c r="O28" s="64">
        <v>0</v>
      </c>
      <c r="P28" s="64">
        <v>0.7</v>
      </c>
      <c r="Q28" s="64">
        <v>9.6300000000000008</v>
      </c>
      <c r="R28" s="196"/>
      <c r="S28" s="196"/>
      <c r="T28" s="196"/>
      <c r="U28" s="196"/>
    </row>
    <row r="29" spans="1:21" s="12" customFormat="1" x14ac:dyDescent="0.25">
      <c r="A29" s="211" t="s">
        <v>1033</v>
      </c>
      <c r="B29" s="64">
        <v>14.94</v>
      </c>
      <c r="C29" s="64">
        <v>18.57</v>
      </c>
      <c r="D29" s="64">
        <v>20.309999999999999</v>
      </c>
      <c r="E29" s="64">
        <v>4.95</v>
      </c>
      <c r="F29" s="64">
        <v>3.44</v>
      </c>
      <c r="G29" s="64">
        <v>62.84</v>
      </c>
      <c r="H29" s="64">
        <v>44.86</v>
      </c>
      <c r="I29" s="64">
        <v>5.1100000000000003</v>
      </c>
      <c r="J29" s="64">
        <v>0.37</v>
      </c>
      <c r="K29" s="64">
        <v>24.56</v>
      </c>
      <c r="L29" s="64">
        <v>16.7</v>
      </c>
      <c r="M29" s="64">
        <v>97.98</v>
      </c>
      <c r="N29" s="64">
        <v>25.8</v>
      </c>
      <c r="O29" s="64">
        <v>0</v>
      </c>
      <c r="P29" s="64">
        <v>0.69</v>
      </c>
      <c r="Q29" s="64">
        <v>9.64</v>
      </c>
      <c r="R29" s="196"/>
      <c r="S29" s="196"/>
      <c r="T29" s="196"/>
      <c r="U29" s="196"/>
    </row>
    <row r="30" spans="1:21" s="12" customFormat="1" x14ac:dyDescent="0.25">
      <c r="A30" s="211" t="s">
        <v>1034</v>
      </c>
      <c r="B30" s="64">
        <v>15.46</v>
      </c>
      <c r="C30" s="64">
        <v>18.760000000000002</v>
      </c>
      <c r="D30" s="64">
        <v>20.83</v>
      </c>
      <c r="E30" s="64">
        <v>5.49</v>
      </c>
      <c r="F30" s="64">
        <v>3.39</v>
      </c>
      <c r="G30" s="64">
        <v>62.84</v>
      </c>
      <c r="H30" s="64">
        <v>44.86</v>
      </c>
      <c r="I30" s="64">
        <v>5.03</v>
      </c>
      <c r="J30" s="64">
        <v>0.52</v>
      </c>
      <c r="K30" s="64">
        <v>337.91</v>
      </c>
      <c r="L30" s="64">
        <v>16.84</v>
      </c>
      <c r="M30" s="64">
        <v>98.83</v>
      </c>
      <c r="N30" s="64">
        <v>25.8</v>
      </c>
      <c r="O30" s="64">
        <v>0</v>
      </c>
      <c r="P30" s="64">
        <v>0.69</v>
      </c>
      <c r="Q30" s="64">
        <v>9.64</v>
      </c>
      <c r="R30" s="196"/>
      <c r="S30" s="196"/>
      <c r="T30" s="196"/>
      <c r="U30" s="196"/>
    </row>
    <row r="31" spans="1:21" s="12" customFormat="1" x14ac:dyDescent="0.25">
      <c r="A31" s="211" t="s">
        <v>1035</v>
      </c>
      <c r="B31" s="64">
        <v>16.73</v>
      </c>
      <c r="C31" s="64">
        <v>19.11</v>
      </c>
      <c r="D31" s="64">
        <v>22.03</v>
      </c>
      <c r="E31" s="64">
        <v>5.0999999999999996</v>
      </c>
      <c r="F31" s="64">
        <v>3.96</v>
      </c>
      <c r="G31" s="64">
        <v>62.84</v>
      </c>
      <c r="H31" s="64">
        <v>44.86</v>
      </c>
      <c r="I31" s="64">
        <v>4.95</v>
      </c>
      <c r="J31" s="64">
        <v>0.17</v>
      </c>
      <c r="K31" s="64">
        <v>106.71</v>
      </c>
      <c r="L31" s="64">
        <v>16.59</v>
      </c>
      <c r="M31" s="64">
        <v>100.64</v>
      </c>
      <c r="N31" s="64">
        <v>25.9</v>
      </c>
      <c r="O31" s="64">
        <v>0</v>
      </c>
      <c r="P31" s="64">
        <v>0.67</v>
      </c>
      <c r="Q31" s="64">
        <v>9.64</v>
      </c>
      <c r="R31" s="196"/>
      <c r="S31" s="196"/>
      <c r="T31" s="196"/>
      <c r="U31" s="196"/>
    </row>
    <row r="32" spans="1:21" s="12" customFormat="1" x14ac:dyDescent="0.25">
      <c r="A32" s="211" t="s">
        <v>1036</v>
      </c>
      <c r="B32" s="64">
        <v>17.23</v>
      </c>
      <c r="C32" s="64">
        <v>17.87</v>
      </c>
      <c r="D32" s="64">
        <v>21.78</v>
      </c>
      <c r="E32" s="64">
        <v>4.83</v>
      </c>
      <c r="F32" s="64">
        <v>4.03</v>
      </c>
      <c r="G32" s="64">
        <v>64.5</v>
      </c>
      <c r="H32" s="64">
        <v>45.38</v>
      </c>
      <c r="I32" s="64">
        <v>4.88</v>
      </c>
      <c r="J32" s="64">
        <v>0.3</v>
      </c>
      <c r="K32" s="64">
        <v>54.58</v>
      </c>
      <c r="L32" s="64">
        <v>16.57</v>
      </c>
      <c r="M32" s="64">
        <v>99.27</v>
      </c>
      <c r="N32" s="64">
        <v>26.1</v>
      </c>
      <c r="O32" s="64">
        <v>0</v>
      </c>
      <c r="P32" s="64">
        <v>0.62</v>
      </c>
      <c r="Q32" s="64">
        <v>9.64</v>
      </c>
      <c r="R32" s="196"/>
      <c r="S32" s="196"/>
      <c r="T32" s="196"/>
      <c r="U32" s="196"/>
    </row>
    <row r="33" spans="1:21" s="12" customFormat="1" x14ac:dyDescent="0.25">
      <c r="A33" s="211" t="s">
        <v>1037</v>
      </c>
      <c r="B33" s="64">
        <v>17.75</v>
      </c>
      <c r="C33" s="64">
        <v>16.64</v>
      </c>
      <c r="D33" s="64">
        <v>21.55</v>
      </c>
      <c r="E33" s="64">
        <v>5.24</v>
      </c>
      <c r="F33" s="64">
        <v>3.82</v>
      </c>
      <c r="G33" s="64">
        <v>69.349999999999994</v>
      </c>
      <c r="H33" s="64">
        <v>46.38</v>
      </c>
      <c r="I33" s="64">
        <v>4.18</v>
      </c>
      <c r="J33" s="64">
        <v>0.24</v>
      </c>
      <c r="K33" s="64">
        <v>19.54</v>
      </c>
      <c r="L33" s="64">
        <v>16.489999999999998</v>
      </c>
      <c r="M33" s="64">
        <v>99.97</v>
      </c>
      <c r="N33" s="64">
        <v>27.7</v>
      </c>
      <c r="O33" s="64">
        <v>0</v>
      </c>
      <c r="P33" s="64">
        <v>0.72</v>
      </c>
      <c r="Q33" s="64">
        <v>9.6300000000000008</v>
      </c>
      <c r="R33" s="196"/>
      <c r="S33" s="196"/>
      <c r="T33" s="196"/>
      <c r="U33" s="196"/>
    </row>
    <row r="34" spans="1:21" s="12" customFormat="1" x14ac:dyDescent="0.25">
      <c r="A34" s="211" t="s">
        <v>1038</v>
      </c>
      <c r="B34" s="64">
        <v>18.260000000000002</v>
      </c>
      <c r="C34" s="64">
        <v>16.37</v>
      </c>
      <c r="D34" s="64">
        <v>21.82</v>
      </c>
      <c r="E34" s="64">
        <v>5.15</v>
      </c>
      <c r="F34" s="64">
        <v>3.65</v>
      </c>
      <c r="G34" s="64">
        <v>69.349999999999994</v>
      </c>
      <c r="H34" s="64">
        <v>46.38</v>
      </c>
      <c r="I34" s="64">
        <v>3.71</v>
      </c>
      <c r="J34" s="64">
        <v>0.28000000000000003</v>
      </c>
      <c r="K34" s="64">
        <v>47.17</v>
      </c>
      <c r="L34" s="64">
        <v>16.57</v>
      </c>
      <c r="M34" s="64">
        <v>99.53</v>
      </c>
      <c r="N34" s="64">
        <v>34.5</v>
      </c>
      <c r="O34" s="64">
        <v>0</v>
      </c>
      <c r="P34" s="64">
        <v>0.76</v>
      </c>
      <c r="Q34" s="64">
        <v>9.6300000000000008</v>
      </c>
      <c r="R34" s="196"/>
      <c r="S34" s="196"/>
      <c r="T34" s="196"/>
      <c r="U34" s="196"/>
    </row>
    <row r="35" spans="1:21" s="12" customFormat="1" x14ac:dyDescent="0.25">
      <c r="A35" s="211" t="s">
        <v>1039</v>
      </c>
      <c r="B35" s="64">
        <v>18.59</v>
      </c>
      <c r="C35" s="64">
        <v>16.11</v>
      </c>
      <c r="D35" s="64">
        <v>21.95</v>
      </c>
      <c r="E35" s="64">
        <v>5.63</v>
      </c>
      <c r="F35" s="64">
        <v>4.3</v>
      </c>
      <c r="G35" s="64">
        <v>69.349999999999994</v>
      </c>
      <c r="H35" s="64">
        <v>46.38</v>
      </c>
      <c r="I35" s="64">
        <v>4.0599999999999996</v>
      </c>
      <c r="J35" s="64">
        <v>0.49</v>
      </c>
      <c r="K35" s="64">
        <v>95.38</v>
      </c>
      <c r="L35" s="64">
        <v>16.670000000000002</v>
      </c>
      <c r="M35" s="64">
        <v>99.76</v>
      </c>
      <c r="N35" s="64">
        <v>48.3</v>
      </c>
      <c r="O35" s="64">
        <v>0</v>
      </c>
      <c r="P35" s="64">
        <v>0.85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1040</v>
      </c>
      <c r="B36" s="64">
        <v>18.97</v>
      </c>
      <c r="C36" s="64">
        <v>15.93</v>
      </c>
      <c r="D36" s="64">
        <v>22.16</v>
      </c>
      <c r="E36" s="64">
        <v>5.66</v>
      </c>
      <c r="F36" s="64">
        <v>3.67</v>
      </c>
      <c r="G36" s="64">
        <v>75.42</v>
      </c>
      <c r="H36" s="64">
        <v>47.86</v>
      </c>
      <c r="I36" s="64">
        <v>4.5599999999999996</v>
      </c>
      <c r="J36" s="64">
        <v>0.86</v>
      </c>
      <c r="K36" s="64">
        <v>346.18</v>
      </c>
      <c r="L36" s="64">
        <v>17.03</v>
      </c>
      <c r="M36" s="64">
        <v>98.9</v>
      </c>
      <c r="N36" s="64">
        <v>65.7</v>
      </c>
      <c r="O36" s="64">
        <v>0</v>
      </c>
      <c r="P36" s="64">
        <v>0.93</v>
      </c>
      <c r="Q36" s="64">
        <v>9.64</v>
      </c>
      <c r="R36" s="196"/>
      <c r="S36" s="196"/>
      <c r="T36" s="196"/>
      <c r="U36" s="196"/>
    </row>
    <row r="37" spans="1:21" s="12" customFormat="1" x14ac:dyDescent="0.25">
      <c r="A37" s="211" t="s">
        <v>1041</v>
      </c>
      <c r="B37" s="64">
        <v>19.64</v>
      </c>
      <c r="C37" s="64">
        <v>15.95</v>
      </c>
      <c r="D37" s="64">
        <v>22.71</v>
      </c>
      <c r="E37" s="64">
        <v>5.28</v>
      </c>
      <c r="F37" s="64">
        <v>3.46</v>
      </c>
      <c r="G37" s="64">
        <v>93.1</v>
      </c>
      <c r="H37" s="64">
        <v>50.81</v>
      </c>
      <c r="I37" s="64">
        <v>4.72</v>
      </c>
      <c r="J37" s="64">
        <v>0.81</v>
      </c>
      <c r="K37" s="64">
        <v>335.5</v>
      </c>
      <c r="L37" s="64">
        <v>17.71</v>
      </c>
      <c r="M37" s="64">
        <v>96.16</v>
      </c>
      <c r="N37" s="64">
        <v>90.7</v>
      </c>
      <c r="O37" s="64">
        <v>0</v>
      </c>
      <c r="P37" s="64">
        <v>1.02</v>
      </c>
      <c r="Q37" s="64">
        <v>9.64</v>
      </c>
      <c r="R37" s="196"/>
      <c r="S37" s="196"/>
      <c r="T37" s="196"/>
      <c r="U37" s="196"/>
    </row>
    <row r="38" spans="1:21" s="12" customFormat="1" x14ac:dyDescent="0.25">
      <c r="A38" s="211" t="s">
        <v>1042</v>
      </c>
      <c r="B38" s="64">
        <v>20.64</v>
      </c>
      <c r="C38" s="64">
        <v>16.05</v>
      </c>
      <c r="D38" s="64">
        <v>23.56</v>
      </c>
      <c r="E38" s="64">
        <v>5.85</v>
      </c>
      <c r="F38" s="64">
        <v>3.76</v>
      </c>
      <c r="G38" s="64">
        <v>93.1</v>
      </c>
      <c r="H38" s="64">
        <v>50.81</v>
      </c>
      <c r="I38" s="64">
        <v>4.63</v>
      </c>
      <c r="J38" s="64">
        <v>1.08</v>
      </c>
      <c r="K38" s="64">
        <v>341.27</v>
      </c>
      <c r="L38" s="64">
        <v>18.68</v>
      </c>
      <c r="M38" s="64">
        <v>89.2</v>
      </c>
      <c r="N38" s="64">
        <v>139.5</v>
      </c>
      <c r="O38" s="64">
        <v>0</v>
      </c>
      <c r="P38" s="64">
        <v>0.86</v>
      </c>
      <c r="Q38" s="64">
        <v>9.6300000000000008</v>
      </c>
      <c r="R38" s="196"/>
      <c r="S38" s="196"/>
      <c r="T38" s="196"/>
      <c r="U38" s="196"/>
    </row>
    <row r="39" spans="1:21" s="12" customFormat="1" x14ac:dyDescent="0.25">
      <c r="A39" s="211" t="s">
        <v>1043</v>
      </c>
      <c r="B39" s="64">
        <v>20.92</v>
      </c>
      <c r="C39" s="64">
        <v>16.91</v>
      </c>
      <c r="D39" s="64">
        <v>24.23</v>
      </c>
      <c r="E39" s="64">
        <v>6.77</v>
      </c>
      <c r="F39" s="64">
        <v>3.62</v>
      </c>
      <c r="G39" s="64">
        <v>93.1</v>
      </c>
      <c r="H39" s="64">
        <v>50.81</v>
      </c>
      <c r="I39" s="64">
        <v>4.63</v>
      </c>
      <c r="J39" s="64">
        <v>0.97</v>
      </c>
      <c r="K39" s="64">
        <v>348.17</v>
      </c>
      <c r="L39" s="64">
        <v>20.260000000000002</v>
      </c>
      <c r="M39" s="64">
        <v>80.44</v>
      </c>
      <c r="N39" s="64">
        <v>182.8</v>
      </c>
      <c r="O39" s="64">
        <v>0</v>
      </c>
      <c r="P39" s="64">
        <v>0.85</v>
      </c>
      <c r="Q39" s="64">
        <v>9.6199999999999992</v>
      </c>
      <c r="R39" s="196"/>
      <c r="S39" s="196"/>
      <c r="T39" s="196"/>
      <c r="U39" s="196"/>
    </row>
    <row r="40" spans="1:21" s="12" customFormat="1" x14ac:dyDescent="0.25">
      <c r="A40" s="211" t="s">
        <v>1044</v>
      </c>
      <c r="B40" s="64">
        <v>20.72</v>
      </c>
      <c r="C40" s="64">
        <v>18.22</v>
      </c>
      <c r="D40" s="64">
        <v>24.76</v>
      </c>
      <c r="E40" s="64">
        <v>5.62</v>
      </c>
      <c r="F40" s="64">
        <v>4.54</v>
      </c>
      <c r="G40" s="64">
        <v>99.39</v>
      </c>
      <c r="H40" s="64">
        <v>52.86</v>
      </c>
      <c r="I40" s="64">
        <v>4.6399999999999997</v>
      </c>
      <c r="J40" s="64">
        <v>0.91</v>
      </c>
      <c r="K40" s="64">
        <v>332.27</v>
      </c>
      <c r="L40" s="64">
        <v>21.24</v>
      </c>
      <c r="M40" s="64">
        <v>76.7</v>
      </c>
      <c r="N40" s="64">
        <v>220.1</v>
      </c>
      <c r="O40" s="64">
        <v>0</v>
      </c>
      <c r="P40" s="64">
        <v>0.86</v>
      </c>
      <c r="Q40" s="64">
        <v>9.6199999999999992</v>
      </c>
      <c r="R40" s="196"/>
      <c r="S40" s="196"/>
      <c r="T40" s="196"/>
      <c r="U40" s="196"/>
    </row>
    <row r="41" spans="1:21" s="12" customFormat="1" x14ac:dyDescent="0.25">
      <c r="A41" s="211" t="s">
        <v>1045</v>
      </c>
      <c r="B41" s="64">
        <v>20.440000000000001</v>
      </c>
      <c r="C41" s="64">
        <v>19.2</v>
      </c>
      <c r="D41" s="64">
        <v>25.05</v>
      </c>
      <c r="E41" s="64">
        <v>6.63</v>
      </c>
      <c r="F41" s="64">
        <v>4.57</v>
      </c>
      <c r="G41" s="64">
        <v>117.72</v>
      </c>
      <c r="H41" s="64">
        <v>61.08</v>
      </c>
      <c r="I41" s="64">
        <v>4.99</v>
      </c>
      <c r="J41" s="64">
        <v>0.55000000000000004</v>
      </c>
      <c r="K41" s="64">
        <v>100.38</v>
      </c>
      <c r="L41" s="64">
        <v>21.39</v>
      </c>
      <c r="M41" s="64">
        <v>76.930000000000007</v>
      </c>
      <c r="N41" s="64">
        <v>261.3</v>
      </c>
      <c r="O41" s="64">
        <v>0</v>
      </c>
      <c r="P41" s="64">
        <v>0.87</v>
      </c>
      <c r="Q41" s="64">
        <v>9.6199999999999992</v>
      </c>
      <c r="R41" s="196"/>
      <c r="S41" s="196"/>
      <c r="T41" s="196"/>
      <c r="U41" s="196"/>
    </row>
    <row r="42" spans="1:21" s="12" customFormat="1" x14ac:dyDescent="0.25">
      <c r="A42" s="211" t="s">
        <v>1046</v>
      </c>
      <c r="B42" s="64">
        <v>19.920000000000002</v>
      </c>
      <c r="C42" s="64">
        <v>19.579999999999998</v>
      </c>
      <c r="D42" s="64">
        <v>24.83</v>
      </c>
      <c r="E42" s="64">
        <v>6.33</v>
      </c>
      <c r="F42" s="64">
        <v>4.3099999999999996</v>
      </c>
      <c r="G42" s="64">
        <v>117.72</v>
      </c>
      <c r="H42" s="64">
        <v>61.08</v>
      </c>
      <c r="I42" s="64">
        <v>5.13</v>
      </c>
      <c r="J42" s="64">
        <v>0.88</v>
      </c>
      <c r="K42" s="64">
        <v>118.64</v>
      </c>
      <c r="L42" s="64">
        <v>21.21</v>
      </c>
      <c r="M42" s="64">
        <v>78.400000000000006</v>
      </c>
      <c r="N42" s="64">
        <v>304.10000000000002</v>
      </c>
      <c r="O42" s="64">
        <v>0</v>
      </c>
      <c r="P42" s="64">
        <v>0.87</v>
      </c>
      <c r="Q42" s="64">
        <v>9.6300000000000008</v>
      </c>
      <c r="R42" s="196"/>
      <c r="S42" s="196"/>
      <c r="T42" s="196"/>
      <c r="U42" s="196"/>
    </row>
    <row r="43" spans="1:21" s="12" customFormat="1" x14ac:dyDescent="0.25">
      <c r="A43" s="211" t="s">
        <v>1047</v>
      </c>
      <c r="B43" s="64">
        <v>18.53</v>
      </c>
      <c r="C43" s="64">
        <v>20.14</v>
      </c>
      <c r="D43" s="64">
        <v>24.01</v>
      </c>
      <c r="E43" s="64">
        <v>5.96</v>
      </c>
      <c r="F43" s="64">
        <v>4.8</v>
      </c>
      <c r="G43" s="64">
        <v>117.72</v>
      </c>
      <c r="H43" s="64">
        <v>61.08</v>
      </c>
      <c r="I43" s="64">
        <v>5.29</v>
      </c>
      <c r="J43" s="64">
        <v>1.18</v>
      </c>
      <c r="K43" s="64">
        <v>119.78</v>
      </c>
      <c r="L43" s="64">
        <v>21.58</v>
      </c>
      <c r="M43" s="64">
        <v>76.599999999999994</v>
      </c>
      <c r="N43" s="64">
        <v>345</v>
      </c>
      <c r="O43" s="64">
        <v>0</v>
      </c>
      <c r="P43" s="64">
        <v>0.86</v>
      </c>
      <c r="Q43" s="64">
        <v>9.64</v>
      </c>
      <c r="R43" s="196"/>
      <c r="S43" s="196"/>
      <c r="T43" s="196"/>
      <c r="U43" s="196"/>
    </row>
    <row r="44" spans="1:21" s="12" customFormat="1" x14ac:dyDescent="0.25">
      <c r="A44" s="211" t="s">
        <v>1048</v>
      </c>
      <c r="B44" s="64">
        <v>17.09</v>
      </c>
      <c r="C44" s="64">
        <v>20.68</v>
      </c>
      <c r="D44" s="64">
        <v>23.13</v>
      </c>
      <c r="E44" s="64">
        <v>5.9</v>
      </c>
      <c r="F44" s="64">
        <v>4.41</v>
      </c>
      <c r="G44" s="64">
        <v>115.92</v>
      </c>
      <c r="H44" s="64">
        <v>59.82</v>
      </c>
      <c r="I44" s="64">
        <v>5.53</v>
      </c>
      <c r="J44" s="64">
        <v>0.39</v>
      </c>
      <c r="K44" s="64">
        <v>124.04</v>
      </c>
      <c r="L44" s="64">
        <v>22.62</v>
      </c>
      <c r="M44" s="64">
        <v>72.17</v>
      </c>
      <c r="N44" s="64">
        <v>373.9</v>
      </c>
      <c r="O44" s="64">
        <v>0</v>
      </c>
      <c r="P44" s="64">
        <v>0.86</v>
      </c>
      <c r="Q44" s="64">
        <v>9.64</v>
      </c>
      <c r="R44" s="196"/>
      <c r="S44" s="196"/>
      <c r="T44" s="196"/>
      <c r="U44" s="196"/>
    </row>
    <row r="45" spans="1:21" s="12" customFormat="1" x14ac:dyDescent="0.25">
      <c r="A45" s="211" t="s">
        <v>1049</v>
      </c>
      <c r="B45" s="64">
        <v>16.14</v>
      </c>
      <c r="C45" s="64">
        <v>21.56</v>
      </c>
      <c r="D45" s="64">
        <v>22.83</v>
      </c>
      <c r="E45" s="64">
        <v>5.73</v>
      </c>
      <c r="F45" s="64">
        <v>3.94</v>
      </c>
      <c r="G45" s="64">
        <v>110.71</v>
      </c>
      <c r="H45" s="64">
        <v>57.3</v>
      </c>
      <c r="I45" s="64">
        <v>5.77</v>
      </c>
      <c r="J45" s="64">
        <v>0.27</v>
      </c>
      <c r="K45" s="64">
        <v>38.36</v>
      </c>
      <c r="L45" s="64">
        <v>24.14</v>
      </c>
      <c r="M45" s="64">
        <v>65.33</v>
      </c>
      <c r="N45" s="64">
        <v>408.6</v>
      </c>
      <c r="O45" s="64">
        <v>0</v>
      </c>
      <c r="P45" s="64">
        <v>0.86</v>
      </c>
      <c r="Q45" s="64">
        <v>9.64</v>
      </c>
      <c r="R45" s="196"/>
      <c r="S45" s="196"/>
      <c r="T45" s="196"/>
      <c r="U45" s="196"/>
    </row>
    <row r="46" spans="1:21" s="12" customFormat="1" x14ac:dyDescent="0.25">
      <c r="A46" s="211" t="s">
        <v>1050</v>
      </c>
      <c r="B46" s="64">
        <v>15.17</v>
      </c>
      <c r="C46" s="64">
        <v>22.37</v>
      </c>
      <c r="D46" s="64">
        <v>22.48</v>
      </c>
      <c r="E46" s="64">
        <v>5.86</v>
      </c>
      <c r="F46" s="64">
        <v>4.41</v>
      </c>
      <c r="G46" s="64">
        <v>110.71</v>
      </c>
      <c r="H46" s="64">
        <v>57.3</v>
      </c>
      <c r="I46" s="64">
        <v>5.96</v>
      </c>
      <c r="J46" s="64">
        <v>0.97</v>
      </c>
      <c r="K46" s="64">
        <v>113.32</v>
      </c>
      <c r="L46" s="64">
        <v>23.78</v>
      </c>
      <c r="M46" s="64">
        <v>65.400000000000006</v>
      </c>
      <c r="N46" s="64">
        <v>437.5</v>
      </c>
      <c r="O46" s="64">
        <v>0</v>
      </c>
      <c r="P46" s="64">
        <v>0.85</v>
      </c>
      <c r="Q46" s="64">
        <v>9.6300000000000008</v>
      </c>
      <c r="R46" s="196"/>
      <c r="S46" s="196"/>
      <c r="T46" s="196"/>
      <c r="U46" s="196"/>
    </row>
    <row r="47" spans="1:21" s="12" customFormat="1" x14ac:dyDescent="0.25">
      <c r="A47" s="211" t="s">
        <v>1051</v>
      </c>
      <c r="B47" s="64">
        <v>13.63</v>
      </c>
      <c r="C47" s="64">
        <v>22.53</v>
      </c>
      <c r="D47" s="64">
        <v>21.32</v>
      </c>
      <c r="E47" s="64">
        <v>5.76</v>
      </c>
      <c r="F47" s="64">
        <v>4.55</v>
      </c>
      <c r="G47" s="64">
        <v>110.71</v>
      </c>
      <c r="H47" s="64">
        <v>57.3</v>
      </c>
      <c r="I47" s="64">
        <v>6.1</v>
      </c>
      <c r="J47" s="64">
        <v>1.07</v>
      </c>
      <c r="K47" s="64">
        <v>140.19999999999999</v>
      </c>
      <c r="L47" s="64">
        <v>24.08</v>
      </c>
      <c r="M47" s="64">
        <v>63.29</v>
      </c>
      <c r="N47" s="64">
        <v>468.3</v>
      </c>
      <c r="O47" s="64">
        <v>0</v>
      </c>
      <c r="P47" s="64">
        <v>0.84</v>
      </c>
      <c r="Q47" s="64">
        <v>9.6300000000000008</v>
      </c>
      <c r="R47" s="196"/>
      <c r="S47" s="196"/>
      <c r="T47" s="196"/>
      <c r="U47" s="196"/>
    </row>
    <row r="48" spans="1:21" s="12" customFormat="1" x14ac:dyDescent="0.25">
      <c r="A48" s="211" t="s">
        <v>1052</v>
      </c>
      <c r="B48" s="64">
        <v>11.97</v>
      </c>
      <c r="C48" s="64">
        <v>22.22</v>
      </c>
      <c r="D48" s="64">
        <v>19.829999999999998</v>
      </c>
      <c r="E48" s="64">
        <v>5.43</v>
      </c>
      <c r="F48" s="64">
        <v>4.3600000000000003</v>
      </c>
      <c r="G48" s="64">
        <v>110.49</v>
      </c>
      <c r="H48" s="64">
        <v>54.83</v>
      </c>
      <c r="I48" s="64">
        <v>6.25</v>
      </c>
      <c r="J48" s="64">
        <v>0.92</v>
      </c>
      <c r="K48" s="64">
        <v>123.76</v>
      </c>
      <c r="L48" s="64">
        <v>24.37</v>
      </c>
      <c r="M48" s="64">
        <v>62.94</v>
      </c>
      <c r="N48" s="64">
        <v>501.4</v>
      </c>
      <c r="O48" s="64">
        <v>0</v>
      </c>
      <c r="P48" s="64">
        <v>0.78</v>
      </c>
      <c r="Q48" s="64">
        <v>9.6300000000000008</v>
      </c>
      <c r="R48" s="196"/>
      <c r="S48" s="196"/>
      <c r="T48" s="196"/>
      <c r="U48" s="196"/>
    </row>
    <row r="49" spans="1:21" s="12" customFormat="1" x14ac:dyDescent="0.25">
      <c r="A49" s="211" t="s">
        <v>1053</v>
      </c>
      <c r="B49" s="64">
        <v>10.78</v>
      </c>
      <c r="C49" s="64">
        <v>20.81</v>
      </c>
      <c r="D49" s="64">
        <v>18.14</v>
      </c>
      <c r="E49" s="64">
        <v>5.0199999999999996</v>
      </c>
      <c r="F49" s="64">
        <v>4.03</v>
      </c>
      <c r="G49" s="64">
        <v>109.84</v>
      </c>
      <c r="H49" s="64">
        <v>50.1</v>
      </c>
      <c r="I49" s="64">
        <v>6.01</v>
      </c>
      <c r="J49" s="64">
        <v>0.99</v>
      </c>
      <c r="K49" s="64">
        <v>107.23</v>
      </c>
      <c r="L49" s="64">
        <v>24.62</v>
      </c>
      <c r="M49" s="64">
        <v>60.76</v>
      </c>
      <c r="N49" s="64">
        <v>535.70000000000005</v>
      </c>
      <c r="O49" s="64">
        <v>0</v>
      </c>
      <c r="P49" s="64">
        <v>0.79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1054</v>
      </c>
      <c r="B50" s="64">
        <v>9.64</v>
      </c>
      <c r="C50" s="64">
        <v>20.170000000000002</v>
      </c>
      <c r="D50" s="64">
        <v>16.89</v>
      </c>
      <c r="E50" s="64">
        <v>5.03</v>
      </c>
      <c r="F50" s="64">
        <v>4.5199999999999996</v>
      </c>
      <c r="G50" s="64">
        <v>109.84</v>
      </c>
      <c r="H50" s="64">
        <v>50.1</v>
      </c>
      <c r="I50" s="64">
        <v>5.28</v>
      </c>
      <c r="J50" s="64">
        <v>1.33</v>
      </c>
      <c r="K50" s="64">
        <v>114.85</v>
      </c>
      <c r="L50" s="64">
        <v>24.12</v>
      </c>
      <c r="M50" s="64">
        <v>61.45</v>
      </c>
      <c r="N50" s="64">
        <v>560.6</v>
      </c>
      <c r="O50" s="64">
        <v>0</v>
      </c>
      <c r="P50" s="64">
        <v>0.78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1055</v>
      </c>
      <c r="B51" s="64">
        <v>8.49</v>
      </c>
      <c r="C51" s="64">
        <v>19.64</v>
      </c>
      <c r="D51" s="64">
        <v>15.69</v>
      </c>
      <c r="E51" s="64">
        <v>5.12</v>
      </c>
      <c r="F51" s="64">
        <v>4.26</v>
      </c>
      <c r="G51" s="64">
        <v>109.84</v>
      </c>
      <c r="H51" s="64">
        <v>50.1</v>
      </c>
      <c r="I51" s="64">
        <v>5.41</v>
      </c>
      <c r="J51" s="64">
        <v>1.1399999999999999</v>
      </c>
      <c r="K51" s="64">
        <v>122.04</v>
      </c>
      <c r="L51" s="64">
        <v>24.28</v>
      </c>
      <c r="M51" s="64">
        <v>60.06</v>
      </c>
      <c r="N51" s="64">
        <v>591.9</v>
      </c>
      <c r="O51" s="64">
        <v>0</v>
      </c>
      <c r="P51" s="64">
        <v>0.76</v>
      </c>
      <c r="Q51" s="64">
        <v>9.6300000000000008</v>
      </c>
      <c r="R51" s="196"/>
      <c r="S51" s="196"/>
      <c r="T51" s="196"/>
      <c r="U51" s="196"/>
    </row>
    <row r="52" spans="1:21" s="12" customFormat="1" x14ac:dyDescent="0.25">
      <c r="A52" s="211" t="s">
        <v>1056</v>
      </c>
      <c r="B52" s="64">
        <v>7.4</v>
      </c>
      <c r="C52" s="64">
        <v>19.079999999999998</v>
      </c>
      <c r="D52" s="64">
        <v>14.52</v>
      </c>
      <c r="E52" s="64">
        <v>4.8499999999999996</v>
      </c>
      <c r="F52" s="64">
        <v>4.68</v>
      </c>
      <c r="G52" s="64">
        <v>105.34</v>
      </c>
      <c r="H52" s="64">
        <v>49.14</v>
      </c>
      <c r="I52" s="64">
        <v>5.97</v>
      </c>
      <c r="J52" s="64">
        <v>0.93</v>
      </c>
      <c r="K52" s="64">
        <v>118.39</v>
      </c>
      <c r="L52" s="64">
        <v>25.32</v>
      </c>
      <c r="M52" s="64">
        <v>56.63</v>
      </c>
      <c r="N52" s="64">
        <v>623.70000000000005</v>
      </c>
      <c r="O52" s="64">
        <v>0</v>
      </c>
      <c r="P52" s="64">
        <v>0.71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1057</v>
      </c>
      <c r="B53" s="64">
        <v>6.45</v>
      </c>
      <c r="C53" s="64">
        <v>18.7</v>
      </c>
      <c r="D53" s="64">
        <v>13.56</v>
      </c>
      <c r="E53" s="64">
        <v>4.83</v>
      </c>
      <c r="F53" s="64">
        <v>4.25</v>
      </c>
      <c r="G53" s="64">
        <v>92.26</v>
      </c>
      <c r="H53" s="64">
        <v>47.31</v>
      </c>
      <c r="I53" s="64">
        <v>6.18</v>
      </c>
      <c r="J53" s="64">
        <v>0.71</v>
      </c>
      <c r="K53" s="64">
        <v>101.56</v>
      </c>
      <c r="L53" s="64">
        <v>25.44</v>
      </c>
      <c r="M53" s="64">
        <v>56.29</v>
      </c>
      <c r="N53" s="64">
        <v>642.29999999999995</v>
      </c>
      <c r="O53" s="64">
        <v>0</v>
      </c>
      <c r="P53" s="64">
        <v>0.71</v>
      </c>
      <c r="Q53" s="64">
        <v>9.64</v>
      </c>
      <c r="R53" s="196"/>
      <c r="S53" s="196"/>
      <c r="T53" s="196"/>
      <c r="U53" s="196"/>
    </row>
    <row r="54" spans="1:21" s="12" customFormat="1" x14ac:dyDescent="0.25">
      <c r="A54" s="211" t="s">
        <v>1058</v>
      </c>
      <c r="B54" s="64">
        <v>5.72</v>
      </c>
      <c r="C54" s="64">
        <v>18.23</v>
      </c>
      <c r="D54" s="64">
        <v>12.73</v>
      </c>
      <c r="E54" s="64">
        <v>4.8</v>
      </c>
      <c r="F54" s="64">
        <v>4.33</v>
      </c>
      <c r="G54" s="64">
        <v>92.26</v>
      </c>
      <c r="H54" s="64">
        <v>47.31</v>
      </c>
      <c r="I54" s="64">
        <v>5.8</v>
      </c>
      <c r="J54" s="64">
        <v>0.54</v>
      </c>
      <c r="K54" s="64">
        <v>86.42</v>
      </c>
      <c r="L54" s="64">
        <v>25.61</v>
      </c>
      <c r="M54" s="64">
        <v>53.49</v>
      </c>
      <c r="N54" s="64">
        <v>626.9</v>
      </c>
      <c r="O54" s="64">
        <v>0</v>
      </c>
      <c r="P54" s="64">
        <v>0.7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1059</v>
      </c>
      <c r="B55" s="64">
        <v>5.3</v>
      </c>
      <c r="C55" s="64">
        <v>18.29</v>
      </c>
      <c r="D55" s="64">
        <v>12.43</v>
      </c>
      <c r="E55" s="64">
        <v>4.6100000000000003</v>
      </c>
      <c r="F55" s="64">
        <v>4.29</v>
      </c>
      <c r="G55" s="64">
        <v>92.26</v>
      </c>
      <c r="H55" s="64">
        <v>47.31</v>
      </c>
      <c r="I55" s="64">
        <v>6.07</v>
      </c>
      <c r="J55" s="64">
        <v>0.6</v>
      </c>
      <c r="K55" s="64">
        <v>353.49</v>
      </c>
      <c r="L55" s="64">
        <v>27.72</v>
      </c>
      <c r="M55" s="64">
        <v>47.76</v>
      </c>
      <c r="N55" s="64">
        <v>646.1</v>
      </c>
      <c r="O55" s="64">
        <v>0</v>
      </c>
      <c r="P55" s="64">
        <v>0.71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1060</v>
      </c>
      <c r="B56" s="64">
        <v>5.07</v>
      </c>
      <c r="C56" s="64">
        <v>19.62</v>
      </c>
      <c r="D56" s="64">
        <v>12.94</v>
      </c>
      <c r="E56" s="64">
        <v>3.89</v>
      </c>
      <c r="F56" s="64">
        <v>4.26</v>
      </c>
      <c r="G56" s="64">
        <v>88.18</v>
      </c>
      <c r="H56" s="64">
        <v>46.67</v>
      </c>
      <c r="I56" s="64">
        <v>6.1</v>
      </c>
      <c r="J56" s="64">
        <v>1.23</v>
      </c>
      <c r="K56" s="64">
        <v>120.1</v>
      </c>
      <c r="L56" s="64">
        <v>27.21</v>
      </c>
      <c r="M56" s="64">
        <v>47.02</v>
      </c>
      <c r="N56" s="64">
        <v>661.6</v>
      </c>
      <c r="O56" s="64">
        <v>0</v>
      </c>
      <c r="P56" s="64">
        <v>0.71</v>
      </c>
      <c r="Q56" s="64">
        <v>9.6199999999999992</v>
      </c>
      <c r="R56" s="196"/>
      <c r="S56" s="196"/>
      <c r="T56" s="196"/>
      <c r="U56" s="196"/>
    </row>
    <row r="57" spans="1:21" s="12" customFormat="1" x14ac:dyDescent="0.25">
      <c r="A57" s="211" t="s">
        <v>1061</v>
      </c>
      <c r="B57" s="64">
        <v>4.49</v>
      </c>
      <c r="C57" s="64">
        <v>20.059999999999999</v>
      </c>
      <c r="D57" s="64">
        <v>12.71</v>
      </c>
      <c r="E57" s="64">
        <v>5.24</v>
      </c>
      <c r="F57" s="64">
        <v>4.83</v>
      </c>
      <c r="G57" s="64">
        <v>76.319999999999993</v>
      </c>
      <c r="H57" s="64">
        <v>44.12</v>
      </c>
      <c r="I57" s="64">
        <v>5.98</v>
      </c>
      <c r="J57" s="64">
        <v>0.59</v>
      </c>
      <c r="K57" s="64">
        <v>102.01</v>
      </c>
      <c r="L57" s="64">
        <v>26.66</v>
      </c>
      <c r="M57" s="64">
        <v>48.26</v>
      </c>
      <c r="N57" s="64">
        <v>609.9</v>
      </c>
      <c r="O57" s="64">
        <v>0</v>
      </c>
      <c r="P57" s="64">
        <v>0.68</v>
      </c>
      <c r="Q57" s="64">
        <v>9.6199999999999992</v>
      </c>
      <c r="R57" s="196"/>
      <c r="S57" s="196"/>
      <c r="T57" s="196"/>
      <c r="U57" s="196"/>
    </row>
    <row r="58" spans="1:21" s="12" customFormat="1" x14ac:dyDescent="0.25">
      <c r="A58" s="211" t="s">
        <v>1062</v>
      </c>
      <c r="B58" s="64">
        <v>3.86</v>
      </c>
      <c r="C58" s="64">
        <v>19.87</v>
      </c>
      <c r="D58" s="64">
        <v>12.1</v>
      </c>
      <c r="E58" s="64">
        <v>4.9000000000000004</v>
      </c>
      <c r="F58" s="64">
        <v>5.2</v>
      </c>
      <c r="G58" s="64">
        <v>76.319999999999993</v>
      </c>
      <c r="H58" s="64">
        <v>44.12</v>
      </c>
      <c r="I58" s="64">
        <v>6.47</v>
      </c>
      <c r="J58" s="64">
        <v>0.36</v>
      </c>
      <c r="K58" s="64">
        <v>10.77</v>
      </c>
      <c r="L58" s="64">
        <v>26.44</v>
      </c>
      <c r="M58" s="64">
        <v>47.76</v>
      </c>
      <c r="N58" s="64">
        <v>383</v>
      </c>
      <c r="O58" s="64">
        <v>0</v>
      </c>
      <c r="P58" s="64">
        <v>0.67</v>
      </c>
      <c r="Q58" s="64">
        <v>9.6300000000000008</v>
      </c>
      <c r="R58" s="196"/>
      <c r="S58" s="196"/>
      <c r="T58" s="196"/>
      <c r="U58" s="196"/>
    </row>
    <row r="59" spans="1:21" s="12" customFormat="1" x14ac:dyDescent="0.25">
      <c r="A59" s="211" t="s">
        <v>1063</v>
      </c>
      <c r="B59" s="64">
        <v>3.49</v>
      </c>
      <c r="C59" s="64">
        <v>19.72</v>
      </c>
      <c r="D59" s="64">
        <v>11.72</v>
      </c>
      <c r="E59" s="64">
        <v>5.13</v>
      </c>
      <c r="F59" s="64">
        <v>5.23</v>
      </c>
      <c r="G59" s="64">
        <v>76.319999999999993</v>
      </c>
      <c r="H59" s="64">
        <v>44.12</v>
      </c>
      <c r="I59" s="64">
        <v>6.53</v>
      </c>
      <c r="J59" s="64">
        <v>0.34</v>
      </c>
      <c r="K59" s="64">
        <v>33.700000000000003</v>
      </c>
      <c r="L59" s="64">
        <v>26.78</v>
      </c>
      <c r="M59" s="64">
        <v>45.21</v>
      </c>
      <c r="N59" s="64">
        <v>492.4</v>
      </c>
      <c r="O59" s="64">
        <v>0</v>
      </c>
      <c r="P59" s="64">
        <v>0.67</v>
      </c>
      <c r="Q59" s="64">
        <v>9.6300000000000008</v>
      </c>
      <c r="R59" s="196"/>
      <c r="S59" s="196"/>
      <c r="T59" s="196"/>
      <c r="U59" s="196"/>
    </row>
    <row r="60" spans="1:21" s="12" customFormat="1" x14ac:dyDescent="0.25">
      <c r="A60" s="211" t="s">
        <v>1064</v>
      </c>
      <c r="B60" s="64">
        <v>3.32</v>
      </c>
      <c r="C60" s="64">
        <v>20.56</v>
      </c>
      <c r="D60" s="64">
        <v>12.02</v>
      </c>
      <c r="E60" s="64">
        <v>5.08</v>
      </c>
      <c r="F60" s="64">
        <v>4.91</v>
      </c>
      <c r="G60" s="64">
        <v>75.180000000000007</v>
      </c>
      <c r="H60" s="64">
        <v>42.7</v>
      </c>
      <c r="I60" s="64">
        <v>6.51</v>
      </c>
      <c r="J60" s="64">
        <v>0.28000000000000003</v>
      </c>
      <c r="K60" s="64">
        <v>19.8</v>
      </c>
      <c r="L60" s="64">
        <v>26.55</v>
      </c>
      <c r="M60" s="64">
        <v>47.37</v>
      </c>
      <c r="N60" s="64">
        <v>160.30000000000001</v>
      </c>
      <c r="O60" s="64">
        <v>0</v>
      </c>
      <c r="P60" s="64">
        <v>0.65</v>
      </c>
      <c r="Q60" s="64">
        <v>9.6199999999999992</v>
      </c>
      <c r="R60" s="196"/>
      <c r="S60" s="196"/>
      <c r="T60" s="196"/>
      <c r="U60" s="196"/>
    </row>
    <row r="61" spans="1:21" s="12" customFormat="1" x14ac:dyDescent="0.25">
      <c r="A61" s="211" t="s">
        <v>1065</v>
      </c>
      <c r="B61" s="64">
        <v>3.37</v>
      </c>
      <c r="C61" s="64">
        <v>21.32</v>
      </c>
      <c r="D61" s="64">
        <v>12.46</v>
      </c>
      <c r="E61" s="64">
        <v>5.04</v>
      </c>
      <c r="F61" s="64">
        <v>4.8499999999999996</v>
      </c>
      <c r="G61" s="64">
        <v>71.89</v>
      </c>
      <c r="H61" s="64">
        <v>40</v>
      </c>
      <c r="I61" s="64">
        <v>6.4</v>
      </c>
      <c r="J61" s="64">
        <v>0.94</v>
      </c>
      <c r="K61" s="64">
        <v>329.24</v>
      </c>
      <c r="L61" s="64">
        <v>26.45</v>
      </c>
      <c r="M61" s="64">
        <v>44.66</v>
      </c>
      <c r="N61" s="64">
        <v>219</v>
      </c>
      <c r="O61" s="64">
        <v>0</v>
      </c>
      <c r="P61" s="64">
        <v>0.69</v>
      </c>
      <c r="Q61" s="64">
        <v>9.6199999999999992</v>
      </c>
      <c r="R61" s="196"/>
      <c r="S61" s="196"/>
      <c r="T61" s="196"/>
      <c r="U61" s="196"/>
    </row>
    <row r="62" spans="1:21" s="12" customFormat="1" x14ac:dyDescent="0.25">
      <c r="A62" s="211" t="s">
        <v>1066</v>
      </c>
      <c r="B62" s="64">
        <v>3.5</v>
      </c>
      <c r="C62" s="64">
        <v>22.05</v>
      </c>
      <c r="D62" s="64">
        <v>12.95</v>
      </c>
      <c r="E62" s="64">
        <v>4.88</v>
      </c>
      <c r="F62" s="64">
        <v>5.08</v>
      </c>
      <c r="G62" s="64">
        <v>71.89</v>
      </c>
      <c r="H62" s="64">
        <v>40</v>
      </c>
      <c r="I62" s="64">
        <v>6.2</v>
      </c>
      <c r="J62" s="64">
        <v>0.41</v>
      </c>
      <c r="K62" s="64">
        <v>338.26</v>
      </c>
      <c r="L62" s="64">
        <v>28.09</v>
      </c>
      <c r="M62" s="64">
        <v>37.369999999999997</v>
      </c>
      <c r="N62" s="64">
        <v>443.5</v>
      </c>
      <c r="O62" s="64">
        <v>0</v>
      </c>
      <c r="P62" s="64">
        <v>0.72</v>
      </c>
      <c r="Q62" s="64">
        <v>9.61</v>
      </c>
      <c r="R62" s="196"/>
      <c r="S62" s="196"/>
      <c r="T62" s="196"/>
      <c r="U62" s="196"/>
    </row>
    <row r="63" spans="1:21" s="12" customFormat="1" x14ac:dyDescent="0.25">
      <c r="A63" s="211" t="s">
        <v>1067</v>
      </c>
      <c r="B63" s="64">
        <v>3.21</v>
      </c>
      <c r="C63" s="64">
        <v>21.81</v>
      </c>
      <c r="D63" s="64">
        <v>12.59</v>
      </c>
      <c r="E63" s="64">
        <v>4.9000000000000004</v>
      </c>
      <c r="F63" s="64">
        <v>5.24</v>
      </c>
      <c r="G63" s="64">
        <v>71.89</v>
      </c>
      <c r="H63" s="64">
        <v>40</v>
      </c>
      <c r="I63" s="64">
        <v>6.08</v>
      </c>
      <c r="J63" s="64">
        <v>0.79</v>
      </c>
      <c r="K63" s="64">
        <v>343.13</v>
      </c>
      <c r="L63" s="64">
        <v>27.61</v>
      </c>
      <c r="M63" s="64">
        <v>41.48</v>
      </c>
      <c r="N63" s="64">
        <v>398.8</v>
      </c>
      <c r="O63" s="64">
        <v>0</v>
      </c>
      <c r="P63" s="64">
        <v>0.7</v>
      </c>
      <c r="Q63" s="64">
        <v>9.61</v>
      </c>
      <c r="R63" s="196"/>
      <c r="S63" s="196"/>
      <c r="T63" s="196"/>
      <c r="U63" s="196"/>
    </row>
    <row r="64" spans="1:21" s="12" customFormat="1" x14ac:dyDescent="0.25">
      <c r="A64" s="211" t="s">
        <v>1068</v>
      </c>
      <c r="B64" s="64">
        <v>3.3</v>
      </c>
      <c r="C64" s="64">
        <v>23.15</v>
      </c>
      <c r="D64" s="64">
        <v>13.37</v>
      </c>
      <c r="E64" s="64">
        <v>4.75</v>
      </c>
      <c r="F64" s="64">
        <v>5.04</v>
      </c>
      <c r="G64" s="64">
        <v>70.34</v>
      </c>
      <c r="H64" s="64">
        <v>36.369999999999997</v>
      </c>
      <c r="I64" s="64">
        <v>5.46</v>
      </c>
      <c r="J64" s="64">
        <v>0.66</v>
      </c>
      <c r="K64" s="64">
        <v>326.45</v>
      </c>
      <c r="L64" s="64">
        <v>27.78</v>
      </c>
      <c r="M64" s="64">
        <v>40.409999999999997</v>
      </c>
      <c r="N64" s="64">
        <v>235.9</v>
      </c>
      <c r="O64" s="64">
        <v>0</v>
      </c>
      <c r="P64" s="64">
        <v>0.7</v>
      </c>
      <c r="Q64" s="64">
        <v>9.6199999999999992</v>
      </c>
      <c r="R64" s="196"/>
      <c r="S64" s="196"/>
      <c r="T64" s="196"/>
      <c r="U64" s="196"/>
    </row>
    <row r="65" spans="1:21" s="12" customFormat="1" x14ac:dyDescent="0.25">
      <c r="A65" s="211" t="s">
        <v>1069</v>
      </c>
      <c r="B65" s="64">
        <v>3.45</v>
      </c>
      <c r="C65" s="64">
        <v>22.41</v>
      </c>
      <c r="D65" s="64">
        <v>13.1</v>
      </c>
      <c r="E65" s="64">
        <v>5.13</v>
      </c>
      <c r="F65" s="64">
        <v>5.89</v>
      </c>
      <c r="G65" s="64">
        <v>65.84</v>
      </c>
      <c r="H65" s="64">
        <v>29.09</v>
      </c>
      <c r="I65" s="64">
        <v>5.1100000000000003</v>
      </c>
      <c r="J65" s="64">
        <v>0.31</v>
      </c>
      <c r="K65" s="64">
        <v>68.72</v>
      </c>
      <c r="L65" s="64">
        <v>26.76</v>
      </c>
      <c r="M65" s="64">
        <v>39.24</v>
      </c>
      <c r="N65" s="64">
        <v>162.9</v>
      </c>
      <c r="O65" s="64">
        <v>0</v>
      </c>
      <c r="P65" s="64">
        <v>0.63</v>
      </c>
      <c r="Q65" s="64">
        <v>9.6300000000000008</v>
      </c>
      <c r="R65" s="196"/>
      <c r="S65" s="196"/>
      <c r="T65" s="196"/>
      <c r="U65" s="196"/>
    </row>
    <row r="66" spans="1:21" s="12" customFormat="1" x14ac:dyDescent="0.25">
      <c r="A66" s="211" t="s">
        <v>1070</v>
      </c>
      <c r="B66" s="64">
        <v>3.37</v>
      </c>
      <c r="C66" s="64">
        <v>21.09</v>
      </c>
      <c r="D66" s="64">
        <v>12.35</v>
      </c>
      <c r="E66" s="64">
        <v>4.84</v>
      </c>
      <c r="F66" s="64">
        <v>6.65</v>
      </c>
      <c r="G66" s="64">
        <v>65.84</v>
      </c>
      <c r="H66" s="64">
        <v>29.09</v>
      </c>
      <c r="I66" s="64">
        <v>4.1399999999999997</v>
      </c>
      <c r="J66" s="64">
        <v>0.05</v>
      </c>
      <c r="K66" s="64">
        <v>174.74</v>
      </c>
      <c r="L66" s="64">
        <v>26.08</v>
      </c>
      <c r="M66" s="64">
        <v>41.34</v>
      </c>
      <c r="N66" s="64">
        <v>156.19999999999999</v>
      </c>
      <c r="O66" s="64">
        <v>0</v>
      </c>
      <c r="P66" s="64">
        <v>0.59</v>
      </c>
      <c r="Q66" s="64">
        <v>9.6199999999999992</v>
      </c>
      <c r="R66" s="196"/>
      <c r="S66" s="196"/>
      <c r="T66" s="196"/>
      <c r="U66" s="196"/>
    </row>
    <row r="67" spans="1:21" s="12" customFormat="1" x14ac:dyDescent="0.25">
      <c r="A67" s="211" t="s">
        <v>1071</v>
      </c>
      <c r="B67" s="64">
        <v>3.2</v>
      </c>
      <c r="C67" s="64">
        <v>20.13</v>
      </c>
      <c r="D67" s="64">
        <v>11.7</v>
      </c>
      <c r="E67" s="64">
        <v>5.07</v>
      </c>
      <c r="F67" s="64">
        <v>6.42</v>
      </c>
      <c r="G67" s="64">
        <v>65.84</v>
      </c>
      <c r="H67" s="64">
        <v>29.09</v>
      </c>
      <c r="I67" s="64">
        <v>3.32</v>
      </c>
      <c r="J67" s="64">
        <v>0.11</v>
      </c>
      <c r="K67" s="64">
        <v>205.3</v>
      </c>
      <c r="L67" s="64">
        <v>26.08</v>
      </c>
      <c r="M67" s="64">
        <v>40.450000000000003</v>
      </c>
      <c r="N67" s="64">
        <v>150.30000000000001</v>
      </c>
      <c r="O67" s="64">
        <v>0</v>
      </c>
      <c r="P67" s="64">
        <v>0.62</v>
      </c>
      <c r="Q67" s="64">
        <v>9.6199999999999992</v>
      </c>
      <c r="R67" s="196"/>
      <c r="S67" s="196"/>
      <c r="T67" s="196"/>
      <c r="U67" s="196"/>
    </row>
    <row r="68" spans="1:21" s="12" customFormat="1" x14ac:dyDescent="0.25">
      <c r="A68" s="211" t="s">
        <v>1072</v>
      </c>
      <c r="B68" s="64">
        <v>2.96</v>
      </c>
      <c r="C68" s="64">
        <v>19.48</v>
      </c>
      <c r="D68" s="64">
        <v>11.18</v>
      </c>
      <c r="E68" s="64">
        <v>4.97</v>
      </c>
      <c r="F68" s="64">
        <v>6.78</v>
      </c>
      <c r="G68" s="64">
        <v>65.959999999999994</v>
      </c>
      <c r="H68" s="64">
        <v>30.12</v>
      </c>
      <c r="I68" s="64">
        <v>3.31</v>
      </c>
      <c r="J68" s="64">
        <v>0.21</v>
      </c>
      <c r="K68" s="64">
        <v>61.21</v>
      </c>
      <c r="L68" s="64">
        <v>26.21</v>
      </c>
      <c r="M68" s="64">
        <v>40.44</v>
      </c>
      <c r="N68" s="64">
        <v>140.30000000000001</v>
      </c>
      <c r="O68" s="64">
        <v>0</v>
      </c>
      <c r="P68" s="64">
        <v>0.56999999999999995</v>
      </c>
      <c r="Q68" s="64">
        <v>9.61</v>
      </c>
      <c r="R68" s="196"/>
      <c r="S68" s="196"/>
      <c r="T68" s="196"/>
      <c r="U68" s="196"/>
    </row>
    <row r="69" spans="1:21" s="12" customFormat="1" x14ac:dyDescent="0.25">
      <c r="A69" s="211" t="s">
        <v>1073</v>
      </c>
      <c r="B69" s="64">
        <v>3.07</v>
      </c>
      <c r="C69" s="64">
        <v>19.170000000000002</v>
      </c>
      <c r="D69" s="64">
        <v>11.1</v>
      </c>
      <c r="E69" s="64">
        <v>4.7</v>
      </c>
      <c r="F69" s="64">
        <v>5.88</v>
      </c>
      <c r="G69" s="64">
        <v>66.319999999999993</v>
      </c>
      <c r="H69" s="64">
        <v>32.08</v>
      </c>
      <c r="I69" s="64">
        <v>3.15</v>
      </c>
      <c r="J69" s="64">
        <v>0.62</v>
      </c>
      <c r="K69" s="64">
        <v>339.72</v>
      </c>
      <c r="L69" s="64">
        <v>26.33</v>
      </c>
      <c r="M69" s="64">
        <v>41.75</v>
      </c>
      <c r="N69" s="64">
        <v>129.80000000000001</v>
      </c>
      <c r="O69" s="64">
        <v>0</v>
      </c>
      <c r="P69" s="64">
        <v>0.76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1074</v>
      </c>
      <c r="B70" s="64">
        <v>3.43</v>
      </c>
      <c r="C70" s="64">
        <v>19.38</v>
      </c>
      <c r="D70" s="64">
        <v>11.49</v>
      </c>
      <c r="E70" s="64">
        <v>4.8099999999999996</v>
      </c>
      <c r="F70" s="64">
        <v>5.78</v>
      </c>
      <c r="G70" s="64">
        <v>66.319999999999993</v>
      </c>
      <c r="H70" s="64">
        <v>32.08</v>
      </c>
      <c r="I70" s="64">
        <v>2.54</v>
      </c>
      <c r="J70" s="64">
        <v>0.23</v>
      </c>
      <c r="K70" s="64">
        <v>54.86</v>
      </c>
      <c r="L70" s="64">
        <v>26.02</v>
      </c>
      <c r="M70" s="64">
        <v>42.97</v>
      </c>
      <c r="N70" s="64">
        <v>113.4</v>
      </c>
      <c r="O70" s="64">
        <v>0</v>
      </c>
      <c r="P70" s="64">
        <v>0.74</v>
      </c>
      <c r="Q70" s="64">
        <v>9.61</v>
      </c>
      <c r="R70" s="196"/>
      <c r="S70" s="196"/>
      <c r="T70" s="196"/>
      <c r="U70" s="196"/>
    </row>
    <row r="71" spans="1:21" s="12" customFormat="1" x14ac:dyDescent="0.25">
      <c r="A71" s="211" t="s">
        <v>1075</v>
      </c>
      <c r="B71" s="64">
        <v>3.58</v>
      </c>
      <c r="C71" s="64">
        <v>19.510000000000002</v>
      </c>
      <c r="D71" s="64">
        <v>11.69</v>
      </c>
      <c r="E71" s="64">
        <v>5.01</v>
      </c>
      <c r="F71" s="64">
        <v>5.37</v>
      </c>
      <c r="G71" s="64">
        <v>66.319999999999993</v>
      </c>
      <c r="H71" s="64">
        <v>32.08</v>
      </c>
      <c r="I71" s="64">
        <v>2.52</v>
      </c>
      <c r="J71" s="64">
        <v>0.31</v>
      </c>
      <c r="K71" s="64">
        <v>78.099999999999994</v>
      </c>
      <c r="L71" s="64">
        <v>25.09</v>
      </c>
      <c r="M71" s="64">
        <v>44.57</v>
      </c>
      <c r="N71" s="64">
        <v>96.1</v>
      </c>
      <c r="O71" s="64">
        <v>0</v>
      </c>
      <c r="P71" s="64">
        <v>0.65</v>
      </c>
      <c r="Q71" s="64">
        <v>9.61</v>
      </c>
      <c r="R71" s="196"/>
      <c r="S71" s="196"/>
      <c r="T71" s="196"/>
      <c r="U71" s="196"/>
    </row>
    <row r="72" spans="1:21" s="12" customFormat="1" x14ac:dyDescent="0.25">
      <c r="A72" s="211" t="s">
        <v>1076</v>
      </c>
      <c r="B72" s="64">
        <v>3.56</v>
      </c>
      <c r="C72" s="64">
        <v>19.399999999999999</v>
      </c>
      <c r="D72" s="64">
        <v>11.62</v>
      </c>
      <c r="E72" s="64">
        <v>5.03</v>
      </c>
      <c r="F72" s="64">
        <v>6.06</v>
      </c>
      <c r="G72" s="64">
        <v>66.45</v>
      </c>
      <c r="H72" s="64">
        <v>32.729999999999997</v>
      </c>
      <c r="I72" s="64">
        <v>2.4</v>
      </c>
      <c r="J72" s="64">
        <v>0.3</v>
      </c>
      <c r="K72" s="64">
        <v>94.83</v>
      </c>
      <c r="L72" s="64">
        <v>24.87</v>
      </c>
      <c r="M72" s="64">
        <v>43.95</v>
      </c>
      <c r="N72" s="64">
        <v>85.8</v>
      </c>
      <c r="O72" s="64">
        <v>0</v>
      </c>
      <c r="P72" s="64">
        <v>0.56999999999999995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1077</v>
      </c>
      <c r="B73" s="64">
        <v>3.73</v>
      </c>
      <c r="C73" s="64">
        <v>20.52</v>
      </c>
      <c r="D73" s="64">
        <v>12.34</v>
      </c>
      <c r="E73" s="64">
        <v>5.36</v>
      </c>
      <c r="F73" s="64">
        <v>4.79</v>
      </c>
      <c r="G73" s="64">
        <v>66.84</v>
      </c>
      <c r="H73" s="64">
        <v>35.32</v>
      </c>
      <c r="I73" s="64">
        <v>2.04</v>
      </c>
      <c r="J73" s="64">
        <v>0.62</v>
      </c>
      <c r="K73" s="64">
        <v>353.42</v>
      </c>
      <c r="L73" s="64">
        <v>25.1</v>
      </c>
      <c r="M73" s="64">
        <v>47.61</v>
      </c>
      <c r="N73" s="64">
        <v>83.4</v>
      </c>
      <c r="O73" s="64">
        <v>0</v>
      </c>
      <c r="P73" s="64">
        <v>0.76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1078</v>
      </c>
      <c r="B74" s="64">
        <v>4.59</v>
      </c>
      <c r="C74" s="64">
        <v>21.84</v>
      </c>
      <c r="D74" s="64">
        <v>13.72</v>
      </c>
      <c r="E74" s="64">
        <v>5.84</v>
      </c>
      <c r="F74" s="64">
        <v>4.84</v>
      </c>
      <c r="G74" s="64">
        <v>66.84</v>
      </c>
      <c r="H74" s="64">
        <v>35.32</v>
      </c>
      <c r="I74" s="64">
        <v>3.43</v>
      </c>
      <c r="J74" s="64">
        <v>0.87</v>
      </c>
      <c r="K74" s="64">
        <v>106.64</v>
      </c>
      <c r="L74" s="64">
        <v>24.71</v>
      </c>
      <c r="M74" s="64">
        <v>47.32</v>
      </c>
      <c r="N74" s="64">
        <v>69.099999999999994</v>
      </c>
      <c r="O74" s="64">
        <v>0</v>
      </c>
      <c r="P74" s="64">
        <v>0.65</v>
      </c>
      <c r="Q74" s="64">
        <v>9.61</v>
      </c>
      <c r="R74" s="196"/>
      <c r="S74" s="196"/>
      <c r="T74" s="196"/>
      <c r="U74" s="196"/>
    </row>
    <row r="75" spans="1:21" s="12" customFormat="1" x14ac:dyDescent="0.25">
      <c r="A75" s="211" t="s">
        <v>1079</v>
      </c>
      <c r="B75" s="64">
        <v>4.43</v>
      </c>
      <c r="C75" s="64">
        <v>22.03</v>
      </c>
      <c r="D75" s="64">
        <v>13.68</v>
      </c>
      <c r="E75" s="64">
        <v>5.92</v>
      </c>
      <c r="F75" s="64">
        <v>5.34</v>
      </c>
      <c r="G75" s="64">
        <v>66.84</v>
      </c>
      <c r="H75" s="64">
        <v>35.32</v>
      </c>
      <c r="I75" s="64">
        <v>3.99</v>
      </c>
      <c r="J75" s="64">
        <v>0.75</v>
      </c>
      <c r="K75" s="64">
        <v>117.23</v>
      </c>
      <c r="L75" s="64">
        <v>24.21</v>
      </c>
      <c r="M75" s="64">
        <v>48.83</v>
      </c>
      <c r="N75" s="64">
        <v>49.3</v>
      </c>
      <c r="O75" s="64">
        <v>0</v>
      </c>
      <c r="P75" s="64">
        <v>0.67</v>
      </c>
      <c r="Q75" s="64">
        <v>9.6300000000000008</v>
      </c>
      <c r="R75" s="196"/>
      <c r="S75" s="196"/>
      <c r="T75" s="196"/>
      <c r="U75" s="196"/>
    </row>
    <row r="76" spans="1:21" s="12" customFormat="1" x14ac:dyDescent="0.25">
      <c r="A76" s="211" t="s">
        <v>1080</v>
      </c>
      <c r="B76" s="64">
        <v>3.95</v>
      </c>
      <c r="C76" s="64">
        <v>21.73</v>
      </c>
      <c r="D76" s="64">
        <v>13.14</v>
      </c>
      <c r="E76" s="64">
        <v>5.77</v>
      </c>
      <c r="F76" s="64">
        <v>5.36</v>
      </c>
      <c r="G76" s="64">
        <v>66.89</v>
      </c>
      <c r="H76" s="64">
        <v>31.52</v>
      </c>
      <c r="I76" s="64">
        <v>3.56</v>
      </c>
      <c r="J76" s="64">
        <v>0.34</v>
      </c>
      <c r="K76" s="64">
        <v>104.6</v>
      </c>
      <c r="L76" s="64">
        <v>23.83</v>
      </c>
      <c r="M76" s="64">
        <v>49.82</v>
      </c>
      <c r="N76" s="64">
        <v>39.1</v>
      </c>
      <c r="O76" s="64">
        <v>0</v>
      </c>
      <c r="P76" s="64">
        <v>0.73</v>
      </c>
      <c r="Q76" s="64">
        <v>9.6199999999999992</v>
      </c>
      <c r="R76" s="196"/>
      <c r="S76" s="196"/>
      <c r="T76" s="196"/>
      <c r="U76" s="196"/>
    </row>
    <row r="77" spans="1:21" s="12" customFormat="1" x14ac:dyDescent="0.25">
      <c r="A77" s="211" t="s">
        <v>1081</v>
      </c>
      <c r="B77" s="64">
        <v>3.85</v>
      </c>
      <c r="C77" s="64">
        <v>22.94</v>
      </c>
      <c r="D77" s="64">
        <v>13.69</v>
      </c>
      <c r="E77" s="64">
        <v>5.66</v>
      </c>
      <c r="F77" s="64">
        <v>5.04</v>
      </c>
      <c r="G77" s="64">
        <v>67.040000000000006</v>
      </c>
      <c r="H77" s="64">
        <v>24.25</v>
      </c>
      <c r="I77" s="64">
        <v>2.5</v>
      </c>
      <c r="J77" s="64">
        <v>0.38</v>
      </c>
      <c r="K77" s="64">
        <v>92.1</v>
      </c>
      <c r="L77" s="64">
        <v>23.44</v>
      </c>
      <c r="M77" s="64">
        <v>50.73</v>
      </c>
      <c r="N77" s="64">
        <v>33</v>
      </c>
      <c r="O77" s="64">
        <v>0</v>
      </c>
      <c r="P77" s="64">
        <v>0.81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1082</v>
      </c>
      <c r="B78" s="64">
        <v>3.87</v>
      </c>
      <c r="C78" s="64">
        <v>24.01</v>
      </c>
      <c r="D78" s="64">
        <v>14.27</v>
      </c>
      <c r="E78" s="64">
        <v>5.24</v>
      </c>
      <c r="F78" s="64">
        <v>5.19</v>
      </c>
      <c r="G78" s="64">
        <v>67.040000000000006</v>
      </c>
      <c r="H78" s="64">
        <v>24.25</v>
      </c>
      <c r="I78" s="64">
        <v>3.7</v>
      </c>
      <c r="J78" s="64">
        <v>0.31</v>
      </c>
      <c r="K78" s="64">
        <v>82.54</v>
      </c>
      <c r="L78" s="64">
        <v>23.2</v>
      </c>
      <c r="M78" s="64">
        <v>51.14</v>
      </c>
      <c r="N78" s="64">
        <v>28.2</v>
      </c>
      <c r="O78" s="64">
        <v>0</v>
      </c>
      <c r="P78" s="64">
        <v>0.8</v>
      </c>
      <c r="Q78" s="64">
        <v>9.6300000000000008</v>
      </c>
      <c r="R78" s="196"/>
      <c r="S78" s="196"/>
      <c r="T78" s="196"/>
      <c r="U78" s="196"/>
    </row>
    <row r="79" spans="1:21" s="12" customFormat="1" x14ac:dyDescent="0.25">
      <c r="A79" s="211" t="s">
        <v>1083</v>
      </c>
      <c r="B79" s="64">
        <v>4.34</v>
      </c>
      <c r="C79" s="64">
        <v>25.19</v>
      </c>
      <c r="D79" s="64">
        <v>15.27</v>
      </c>
      <c r="E79" s="64">
        <v>5.86</v>
      </c>
      <c r="F79" s="64">
        <v>4.7</v>
      </c>
      <c r="G79" s="64">
        <v>67.040000000000006</v>
      </c>
      <c r="H79" s="64">
        <v>24.25</v>
      </c>
      <c r="I79" s="64">
        <v>4.0599999999999996</v>
      </c>
      <c r="J79" s="64">
        <v>0.49</v>
      </c>
      <c r="K79" s="64">
        <v>81.36</v>
      </c>
      <c r="L79" s="64">
        <v>22.91</v>
      </c>
      <c r="M79" s="64">
        <v>53.44</v>
      </c>
      <c r="N79" s="64">
        <v>26.4</v>
      </c>
      <c r="O79" s="64">
        <v>0</v>
      </c>
      <c r="P79" s="64">
        <v>1.06</v>
      </c>
      <c r="Q79" s="64">
        <v>9.6199999999999992</v>
      </c>
      <c r="R79" s="196"/>
      <c r="S79" s="196"/>
      <c r="T79" s="196"/>
      <c r="U79" s="196"/>
    </row>
    <row r="80" spans="1:21" s="12" customFormat="1" x14ac:dyDescent="0.25">
      <c r="A80" s="211" t="s">
        <v>1084</v>
      </c>
      <c r="B80" s="64">
        <v>5.61</v>
      </c>
      <c r="C80" s="64">
        <v>26.51</v>
      </c>
      <c r="D80" s="64">
        <v>16.97</v>
      </c>
      <c r="E80" s="64">
        <v>5.94</v>
      </c>
      <c r="F80" s="64">
        <v>4.3899999999999997</v>
      </c>
      <c r="G80" s="64">
        <v>66.97</v>
      </c>
      <c r="H80" s="64">
        <v>31.77</v>
      </c>
      <c r="I80" s="64">
        <v>3.38</v>
      </c>
      <c r="J80" s="64">
        <v>0.39</v>
      </c>
      <c r="K80" s="64">
        <v>60.01</v>
      </c>
      <c r="L80" s="64">
        <v>22.62</v>
      </c>
      <c r="M80" s="64">
        <v>54.71</v>
      </c>
      <c r="N80" s="64">
        <v>26.1</v>
      </c>
      <c r="O80" s="64">
        <v>0</v>
      </c>
      <c r="P80" s="64">
        <v>0.92</v>
      </c>
      <c r="Q80" s="64">
        <v>9.61</v>
      </c>
      <c r="R80" s="196"/>
      <c r="S80" s="196"/>
      <c r="T80" s="196"/>
      <c r="U80" s="196"/>
    </row>
    <row r="81" spans="1:26" s="12" customFormat="1" x14ac:dyDescent="0.25">
      <c r="A81" s="211" t="s">
        <v>1085</v>
      </c>
      <c r="B81" s="64">
        <v>5.85</v>
      </c>
      <c r="C81" s="64">
        <v>27.39</v>
      </c>
      <c r="D81" s="64">
        <v>17.62</v>
      </c>
      <c r="E81" s="64">
        <v>5.96</v>
      </c>
      <c r="F81" s="64">
        <v>3.94</v>
      </c>
      <c r="G81" s="64">
        <v>66.760000000000005</v>
      </c>
      <c r="H81" s="64">
        <v>46.16</v>
      </c>
      <c r="I81" s="64">
        <v>3.94</v>
      </c>
      <c r="J81" s="64">
        <v>0.21</v>
      </c>
      <c r="K81" s="64">
        <v>58.42</v>
      </c>
      <c r="L81" s="64">
        <v>22.39</v>
      </c>
      <c r="M81" s="64">
        <v>57.03</v>
      </c>
      <c r="N81" s="64">
        <v>26.1</v>
      </c>
      <c r="O81" s="64">
        <v>0</v>
      </c>
      <c r="P81" s="64">
        <v>1.17</v>
      </c>
      <c r="Q81" s="64">
        <v>9.6300000000000008</v>
      </c>
      <c r="R81" s="196"/>
      <c r="S81" s="196"/>
      <c r="T81" s="196"/>
      <c r="U81" s="196"/>
    </row>
    <row r="82" spans="1:26" s="12" customFormat="1" x14ac:dyDescent="0.25">
      <c r="A82" s="211" t="s">
        <v>1086</v>
      </c>
      <c r="B82" s="64">
        <v>6.55</v>
      </c>
      <c r="C82" s="64">
        <v>26.27</v>
      </c>
      <c r="D82" s="64">
        <v>17.61</v>
      </c>
      <c r="E82" s="64">
        <v>5.79</v>
      </c>
      <c r="F82" s="64">
        <v>4.43</v>
      </c>
      <c r="G82" s="64">
        <v>66.760000000000005</v>
      </c>
      <c r="H82" s="64">
        <v>46.16</v>
      </c>
      <c r="I82" s="64">
        <v>4.62</v>
      </c>
      <c r="J82" s="64">
        <v>0.35</v>
      </c>
      <c r="K82" s="64">
        <v>36.08</v>
      </c>
      <c r="L82" s="64">
        <v>22.2</v>
      </c>
      <c r="M82" s="64">
        <v>60.28</v>
      </c>
      <c r="N82" s="64">
        <v>26.2</v>
      </c>
      <c r="O82" s="64">
        <v>0</v>
      </c>
      <c r="P82" s="64">
        <v>1.79</v>
      </c>
      <c r="Q82" s="64">
        <v>9.6300000000000008</v>
      </c>
      <c r="R82" s="196"/>
      <c r="S82" s="196"/>
      <c r="T82" s="196"/>
      <c r="U82" s="196"/>
    </row>
    <row r="83" spans="1:26" s="12" customFormat="1" x14ac:dyDescent="0.25">
      <c r="A83" s="211" t="s">
        <v>1087</v>
      </c>
      <c r="B83" s="64">
        <v>8.42</v>
      </c>
      <c r="C83" s="64">
        <v>25.65</v>
      </c>
      <c r="D83" s="64">
        <v>18.77</v>
      </c>
      <c r="E83" s="64">
        <v>5.93</v>
      </c>
      <c r="F83" s="64">
        <v>4.5</v>
      </c>
      <c r="G83" s="64">
        <v>66.760000000000005</v>
      </c>
      <c r="H83" s="64">
        <v>46.16</v>
      </c>
      <c r="I83" s="64">
        <v>5.01</v>
      </c>
      <c r="J83" s="64">
        <v>0.35</v>
      </c>
      <c r="K83" s="64">
        <v>339.02</v>
      </c>
      <c r="L83" s="64">
        <v>21.76</v>
      </c>
      <c r="M83" s="64">
        <v>68.28</v>
      </c>
      <c r="N83" s="64">
        <v>26.3</v>
      </c>
      <c r="O83" s="64">
        <v>0</v>
      </c>
      <c r="P83" s="64">
        <v>1.75</v>
      </c>
      <c r="Q83" s="64">
        <v>9.6199999999999992</v>
      </c>
      <c r="R83" s="196"/>
      <c r="S83" s="196"/>
      <c r="T83" s="196"/>
      <c r="U83" s="196"/>
    </row>
    <row r="84" spans="1:26" s="12" customFormat="1" x14ac:dyDescent="0.25">
      <c r="A84" s="211" t="s">
        <v>1088</v>
      </c>
      <c r="B84" s="64">
        <v>9.9600000000000009</v>
      </c>
      <c r="C84" s="64">
        <v>25.58</v>
      </c>
      <c r="D84" s="64">
        <v>19.98</v>
      </c>
      <c r="E84" s="64">
        <v>5.6</v>
      </c>
      <c r="F84" s="64">
        <v>4.28</v>
      </c>
      <c r="G84" s="64">
        <v>71.92</v>
      </c>
      <c r="H84" s="64">
        <v>45.11</v>
      </c>
      <c r="I84" s="64">
        <v>6.22</v>
      </c>
      <c r="J84" s="64">
        <v>0.45</v>
      </c>
      <c r="K84" s="64">
        <v>97.15</v>
      </c>
      <c r="L84" s="64">
        <v>21.58</v>
      </c>
      <c r="M84" s="64">
        <v>64.099999999999994</v>
      </c>
      <c r="N84" s="64">
        <v>26</v>
      </c>
      <c r="O84" s="64">
        <v>0</v>
      </c>
      <c r="P84" s="64">
        <v>2.04</v>
      </c>
      <c r="Q84" s="64">
        <v>9.6300000000000008</v>
      </c>
      <c r="R84" s="196"/>
      <c r="S84" s="196"/>
      <c r="T84" s="196"/>
      <c r="U84" s="196"/>
    </row>
    <row r="85" spans="1:26" s="12" customFormat="1" x14ac:dyDescent="0.25">
      <c r="A85" s="211" t="s">
        <v>1089</v>
      </c>
      <c r="B85" s="64">
        <v>11.57</v>
      </c>
      <c r="C85" s="64">
        <v>25.54</v>
      </c>
      <c r="D85" s="64">
        <v>21.25</v>
      </c>
      <c r="E85" s="64">
        <v>6.36</v>
      </c>
      <c r="F85" s="64">
        <v>4.95</v>
      </c>
      <c r="G85" s="64">
        <v>86.97</v>
      </c>
      <c r="H85" s="64">
        <v>43.1</v>
      </c>
      <c r="I85" s="64">
        <v>6.81</v>
      </c>
      <c r="J85" s="64">
        <v>0.64</v>
      </c>
      <c r="K85" s="64">
        <v>100.32</v>
      </c>
      <c r="L85" s="64">
        <v>21.67</v>
      </c>
      <c r="M85" s="64">
        <v>62.83</v>
      </c>
      <c r="N85" s="64">
        <v>25.9</v>
      </c>
      <c r="O85" s="64">
        <v>0</v>
      </c>
      <c r="P85" s="64">
        <v>1.88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1090</v>
      </c>
      <c r="B86" s="64">
        <v>12.63</v>
      </c>
      <c r="C86" s="64">
        <v>25.74</v>
      </c>
      <c r="D86" s="64">
        <v>22.21</v>
      </c>
      <c r="E86" s="64">
        <v>6.36</v>
      </c>
      <c r="F86" s="64">
        <v>4.54</v>
      </c>
      <c r="G86" s="64">
        <v>86.97</v>
      </c>
      <c r="H86" s="64">
        <v>43.1</v>
      </c>
      <c r="I86" s="64">
        <v>7.79</v>
      </c>
      <c r="J86" s="64">
        <v>0.36</v>
      </c>
      <c r="K86" s="64">
        <v>113.28</v>
      </c>
      <c r="L86" s="64">
        <v>21.53</v>
      </c>
      <c r="M86" s="64">
        <v>63.53</v>
      </c>
      <c r="N86" s="64">
        <v>26</v>
      </c>
      <c r="O86" s="64">
        <v>0</v>
      </c>
      <c r="P86" s="64">
        <v>1.58</v>
      </c>
      <c r="Q86" s="64">
        <v>9.61</v>
      </c>
      <c r="R86" s="196"/>
      <c r="S86" s="196"/>
      <c r="T86" s="196"/>
      <c r="U86" s="196"/>
    </row>
    <row r="87" spans="1:26" s="12" customFormat="1" x14ac:dyDescent="0.25">
      <c r="A87" s="211" t="s">
        <v>1091</v>
      </c>
      <c r="B87" s="64">
        <v>13.39</v>
      </c>
      <c r="C87" s="64">
        <v>25.58</v>
      </c>
      <c r="D87" s="64">
        <v>22.73</v>
      </c>
      <c r="E87" s="64">
        <v>6.35</v>
      </c>
      <c r="F87" s="64">
        <v>4.2300000000000004</v>
      </c>
      <c r="G87" s="64">
        <v>86.97</v>
      </c>
      <c r="H87" s="64">
        <v>43.1</v>
      </c>
      <c r="I87" s="64">
        <v>7.79</v>
      </c>
      <c r="J87" s="64">
        <v>0.32</v>
      </c>
      <c r="K87" s="64">
        <v>358.78</v>
      </c>
      <c r="L87" s="64">
        <v>21.17</v>
      </c>
      <c r="M87" s="64">
        <v>71.19</v>
      </c>
      <c r="N87" s="64">
        <v>26.3</v>
      </c>
      <c r="O87" s="64">
        <v>0</v>
      </c>
      <c r="P87" s="64">
        <v>1.69</v>
      </c>
      <c r="Q87" s="64">
        <v>9.6300000000000008</v>
      </c>
      <c r="R87" s="196"/>
      <c r="S87" s="196"/>
      <c r="T87" s="196"/>
      <c r="U87" s="196"/>
    </row>
    <row r="88" spans="1:26" s="12" customFormat="1" x14ac:dyDescent="0.25">
      <c r="A88" s="211" t="s">
        <v>1092</v>
      </c>
      <c r="B88" s="64">
        <v>15.33</v>
      </c>
      <c r="C88" s="64">
        <v>25.1</v>
      </c>
      <c r="D88" s="64">
        <v>24.03</v>
      </c>
      <c r="E88" s="64">
        <v>5.16</v>
      </c>
      <c r="F88" s="64">
        <v>4.09</v>
      </c>
      <c r="G88" s="64">
        <v>88.77</v>
      </c>
      <c r="H88" s="64">
        <v>44.8</v>
      </c>
      <c r="I88" s="64">
        <v>6.76</v>
      </c>
      <c r="J88" s="64">
        <v>0.45</v>
      </c>
      <c r="K88" s="64">
        <v>326.04000000000002</v>
      </c>
      <c r="L88" s="64">
        <v>20.55</v>
      </c>
      <c r="M88" s="64">
        <v>73.64</v>
      </c>
      <c r="N88" s="64">
        <v>26.1</v>
      </c>
      <c r="O88" s="64">
        <v>0</v>
      </c>
      <c r="P88" s="64">
        <v>2.4700000000000002</v>
      </c>
      <c r="Q88" s="64">
        <v>9.6300000000000008</v>
      </c>
      <c r="R88" s="196"/>
      <c r="S88" s="196"/>
      <c r="T88" s="196"/>
      <c r="U88" s="196"/>
    </row>
    <row r="89" spans="1:26" s="12" customFormat="1" x14ac:dyDescent="0.25">
      <c r="A89" s="211" t="s">
        <v>1093</v>
      </c>
      <c r="B89" s="64">
        <v>17.86</v>
      </c>
      <c r="C89" s="64">
        <v>25.18</v>
      </c>
      <c r="D89" s="64">
        <v>26.1</v>
      </c>
      <c r="E89" s="64">
        <v>5.88</v>
      </c>
      <c r="F89" s="64">
        <v>4.03</v>
      </c>
      <c r="G89" s="64">
        <v>94.01</v>
      </c>
      <c r="H89" s="64">
        <v>51.6</v>
      </c>
      <c r="I89" s="64">
        <v>7.38</v>
      </c>
      <c r="J89" s="64">
        <v>0.49</v>
      </c>
      <c r="K89" s="64">
        <v>331.36</v>
      </c>
      <c r="L89" s="64">
        <v>20.54</v>
      </c>
      <c r="M89" s="64">
        <v>75.989999999999995</v>
      </c>
      <c r="N89" s="64">
        <v>26</v>
      </c>
      <c r="O89" s="64">
        <v>0</v>
      </c>
      <c r="P89" s="64">
        <v>1.44</v>
      </c>
      <c r="Q89" s="64">
        <v>9.6300000000000008</v>
      </c>
      <c r="R89" s="196"/>
      <c r="S89" s="196"/>
      <c r="T89" s="196"/>
      <c r="U89" s="196"/>
    </row>
    <row r="90" spans="1:26" s="12" customFormat="1" x14ac:dyDescent="0.25">
      <c r="A90" s="211" t="s">
        <v>1094</v>
      </c>
      <c r="B90" s="64">
        <v>23.37</v>
      </c>
      <c r="C90" s="64">
        <v>25.81</v>
      </c>
      <c r="D90" s="64">
        <v>30.85</v>
      </c>
      <c r="E90" s="64">
        <v>6.48</v>
      </c>
      <c r="F90" s="64">
        <v>4.28</v>
      </c>
      <c r="G90" s="64">
        <v>94.01</v>
      </c>
      <c r="H90" s="64">
        <v>51.6</v>
      </c>
      <c r="I90" s="64">
        <v>9.4499999999999993</v>
      </c>
      <c r="J90" s="64">
        <v>0.3</v>
      </c>
      <c r="K90" s="64">
        <v>354.69</v>
      </c>
      <c r="L90" s="64">
        <v>20.34</v>
      </c>
      <c r="M90" s="64">
        <v>76.17</v>
      </c>
      <c r="N90" s="64">
        <v>26</v>
      </c>
      <c r="O90" s="64">
        <v>0</v>
      </c>
      <c r="P90" s="64">
        <v>1.91</v>
      </c>
      <c r="Q90" s="64">
        <v>9.6199999999999992</v>
      </c>
      <c r="R90" s="196"/>
      <c r="S90" s="196"/>
      <c r="T90" s="196"/>
      <c r="U90" s="196"/>
    </row>
    <row r="91" spans="1:26" s="12" customFormat="1" x14ac:dyDescent="0.25">
      <c r="A91" s="211" t="s">
        <v>1095</v>
      </c>
      <c r="B91" s="64">
        <v>27.33</v>
      </c>
      <c r="C91" s="64">
        <v>26.4</v>
      </c>
      <c r="D91" s="64">
        <v>34.33</v>
      </c>
      <c r="E91" s="64">
        <v>6.77</v>
      </c>
      <c r="F91" s="64">
        <v>4.38</v>
      </c>
      <c r="G91" s="64">
        <v>94.01</v>
      </c>
      <c r="H91" s="64">
        <v>51.6</v>
      </c>
      <c r="I91" s="64">
        <v>8.32</v>
      </c>
      <c r="J91" s="64">
        <v>0.35</v>
      </c>
      <c r="K91" s="64">
        <v>357.41</v>
      </c>
      <c r="L91" s="64">
        <v>20.55</v>
      </c>
      <c r="M91" s="64">
        <v>70.959999999999994</v>
      </c>
      <c r="N91" s="64">
        <v>25.9</v>
      </c>
      <c r="O91" s="64">
        <v>0</v>
      </c>
      <c r="P91" s="64">
        <v>1.81</v>
      </c>
      <c r="Q91" s="64">
        <v>9.6300000000000008</v>
      </c>
      <c r="R91" s="196"/>
      <c r="S91" s="196"/>
      <c r="T91" s="196"/>
      <c r="U91" s="196"/>
    </row>
    <row r="92" spans="1:26" s="12" customFormat="1" x14ac:dyDescent="0.25">
      <c r="A92" s="211" t="s">
        <v>1096</v>
      </c>
      <c r="B92" s="64">
        <v>28.01</v>
      </c>
      <c r="C92" s="64">
        <v>26.82</v>
      </c>
      <c r="D92" s="64">
        <v>35.1</v>
      </c>
      <c r="E92" s="64">
        <v>6.73</v>
      </c>
      <c r="F92" s="64">
        <v>4.49</v>
      </c>
      <c r="G92" s="64">
        <v>96.38</v>
      </c>
      <c r="H92" s="64">
        <v>51.31</v>
      </c>
      <c r="I92" s="64">
        <v>8.26</v>
      </c>
      <c r="J92" s="64">
        <v>0.42</v>
      </c>
      <c r="K92" s="64">
        <v>19.940000000000001</v>
      </c>
      <c r="L92" s="64">
        <v>20.7</v>
      </c>
      <c r="M92" s="64">
        <v>68.41</v>
      </c>
      <c r="N92" s="64">
        <v>26</v>
      </c>
      <c r="O92" s="64">
        <v>0</v>
      </c>
      <c r="P92" s="64">
        <v>1.48</v>
      </c>
      <c r="Q92" s="64">
        <v>9.64</v>
      </c>
      <c r="R92" s="196"/>
      <c r="S92" s="196"/>
      <c r="T92" s="196"/>
      <c r="U92" s="196"/>
    </row>
    <row r="93" spans="1:26" s="12" customFormat="1" x14ac:dyDescent="0.25">
      <c r="A93" s="211" t="s">
        <v>1097</v>
      </c>
      <c r="B93" s="64">
        <v>29.09</v>
      </c>
      <c r="C93" s="64">
        <v>27.25</v>
      </c>
      <c r="D93" s="64">
        <v>36.18</v>
      </c>
      <c r="E93" s="64">
        <v>6.4</v>
      </c>
      <c r="F93" s="64">
        <v>4.58</v>
      </c>
      <c r="G93" s="64">
        <v>103.28</v>
      </c>
      <c r="H93" s="64">
        <v>50.75</v>
      </c>
      <c r="I93" s="64">
        <v>7.81</v>
      </c>
      <c r="J93" s="64">
        <v>0.49</v>
      </c>
      <c r="K93" s="64">
        <v>330.33</v>
      </c>
      <c r="L93" s="64">
        <v>20.3</v>
      </c>
      <c r="M93" s="64">
        <v>75.33</v>
      </c>
      <c r="N93" s="64">
        <v>26.1</v>
      </c>
      <c r="O93" s="64">
        <v>0</v>
      </c>
      <c r="P93" s="64">
        <v>1.69</v>
      </c>
      <c r="Q93" s="64">
        <v>9.67</v>
      </c>
      <c r="R93" s="196"/>
      <c r="S93" s="196"/>
      <c r="T93" s="196"/>
      <c r="U93" s="196"/>
    </row>
    <row r="94" spans="1:26" s="12" customFormat="1" x14ac:dyDescent="0.25">
      <c r="A94" s="211" t="s">
        <v>1098</v>
      </c>
      <c r="B94" s="64">
        <v>32.119999999999997</v>
      </c>
      <c r="C94" s="64">
        <v>27.81</v>
      </c>
      <c r="D94" s="64">
        <v>38.909999999999997</v>
      </c>
      <c r="E94" s="64">
        <v>6.74</v>
      </c>
      <c r="F94" s="64">
        <v>4.95</v>
      </c>
      <c r="G94" s="64">
        <v>103.28</v>
      </c>
      <c r="H94" s="64">
        <v>50.75</v>
      </c>
      <c r="I94" s="64">
        <v>6.97</v>
      </c>
      <c r="J94" s="64">
        <v>0.13</v>
      </c>
      <c r="K94" s="64">
        <v>29.5</v>
      </c>
      <c r="L94" s="64">
        <v>20.02</v>
      </c>
      <c r="M94" s="64">
        <v>73.66</v>
      </c>
      <c r="N94" s="64">
        <v>25.9</v>
      </c>
      <c r="O94" s="64">
        <v>0</v>
      </c>
      <c r="P94" s="64">
        <v>1.71</v>
      </c>
      <c r="Q94" s="64">
        <v>9.66</v>
      </c>
      <c r="R94" s="196"/>
      <c r="S94" s="196"/>
      <c r="T94" s="196"/>
      <c r="U94" s="196"/>
    </row>
    <row r="95" spans="1:26" s="12" customFormat="1" x14ac:dyDescent="0.25">
      <c r="A95" s="211" t="s">
        <v>1099</v>
      </c>
      <c r="B95" s="64">
        <v>33.17</v>
      </c>
      <c r="C95" s="64">
        <v>28.14</v>
      </c>
      <c r="D95" s="64">
        <v>39.92</v>
      </c>
      <c r="E95" s="64">
        <v>6.25</v>
      </c>
      <c r="F95" s="64">
        <v>4.99</v>
      </c>
      <c r="G95" s="64">
        <v>103.28</v>
      </c>
      <c r="H95" s="64">
        <v>50.75</v>
      </c>
      <c r="I95" s="64">
        <v>7.37</v>
      </c>
      <c r="J95" s="64">
        <v>0.08</v>
      </c>
      <c r="K95" s="64">
        <v>30.75</v>
      </c>
      <c r="L95" s="64">
        <v>20.350000000000001</v>
      </c>
      <c r="M95" s="64">
        <v>68.27</v>
      </c>
      <c r="N95" s="64">
        <v>25.8</v>
      </c>
      <c r="O95" s="64">
        <v>0</v>
      </c>
      <c r="P95" s="64">
        <v>1.4</v>
      </c>
      <c r="Q95" s="64">
        <v>9.67</v>
      </c>
      <c r="R95" s="196"/>
      <c r="S95" s="196"/>
      <c r="T95" s="196"/>
      <c r="U95" s="196"/>
    </row>
    <row r="96" spans="1:26" s="12" customFormat="1" x14ac:dyDescent="0.25">
      <c r="A96" s="211" t="s">
        <v>1100</v>
      </c>
      <c r="B96" s="64">
        <v>31.9</v>
      </c>
      <c r="C96" s="64">
        <v>27.62</v>
      </c>
      <c r="D96" s="64">
        <v>38.64</v>
      </c>
      <c r="E96" s="64">
        <v>6.3</v>
      </c>
      <c r="F96" s="64">
        <v>4.25</v>
      </c>
      <c r="G96" s="64">
        <v>104.15</v>
      </c>
      <c r="H96" s="64">
        <v>51.64</v>
      </c>
      <c r="I96" s="64">
        <v>7.45</v>
      </c>
      <c r="J96" s="64">
        <v>0.36</v>
      </c>
      <c r="K96" s="64">
        <v>93.59</v>
      </c>
      <c r="L96" s="64">
        <v>20.309999999999999</v>
      </c>
      <c r="M96" s="64">
        <v>69.7</v>
      </c>
      <c r="N96" s="64">
        <v>26.1</v>
      </c>
      <c r="O96" s="64">
        <v>0</v>
      </c>
      <c r="P96" s="64">
        <v>1.52</v>
      </c>
      <c r="Q96" s="64">
        <v>9.67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1101</v>
      </c>
      <c r="B97" s="64">
        <v>30.75</v>
      </c>
      <c r="C97" s="64">
        <v>27.36</v>
      </c>
      <c r="D97" s="64">
        <v>37.58</v>
      </c>
      <c r="E97" s="64">
        <v>6.03</v>
      </c>
      <c r="F97" s="64">
        <v>4.04</v>
      </c>
      <c r="G97" s="64">
        <v>106.68</v>
      </c>
      <c r="H97" s="64">
        <v>53.34</v>
      </c>
      <c r="I97" s="64">
        <v>6.29</v>
      </c>
      <c r="J97" s="64">
        <v>0.12</v>
      </c>
      <c r="K97" s="64">
        <v>102.87</v>
      </c>
      <c r="L97" s="64">
        <v>20.13</v>
      </c>
      <c r="M97" s="64">
        <v>70.34</v>
      </c>
      <c r="N97" s="64">
        <v>26</v>
      </c>
      <c r="O97" s="64">
        <v>0</v>
      </c>
      <c r="P97" s="64">
        <v>1.54</v>
      </c>
      <c r="Q97" s="64">
        <v>9.67</v>
      </c>
      <c r="R97" s="196"/>
      <c r="S97" s="196"/>
      <c r="T97" s="196"/>
      <c r="U97" s="196"/>
    </row>
    <row r="98" spans="1:33" s="12" customFormat="1" x14ac:dyDescent="0.25">
      <c r="A98" s="211" t="s">
        <v>1102</v>
      </c>
      <c r="B98" s="64">
        <v>29.67</v>
      </c>
      <c r="C98" s="64">
        <v>26.54</v>
      </c>
      <c r="D98" s="64">
        <v>36.28</v>
      </c>
      <c r="E98" s="64">
        <v>5.88</v>
      </c>
      <c r="F98" s="64">
        <v>3.95</v>
      </c>
      <c r="G98" s="64">
        <v>106.68</v>
      </c>
      <c r="H98" s="64">
        <v>53.34</v>
      </c>
      <c r="I98" s="64">
        <v>6.14</v>
      </c>
      <c r="J98" s="64">
        <v>0.43</v>
      </c>
      <c r="K98" s="64">
        <v>97.75</v>
      </c>
      <c r="L98" s="64">
        <v>20.079999999999998</v>
      </c>
      <c r="M98" s="64">
        <v>70.040000000000006</v>
      </c>
      <c r="N98" s="64">
        <v>25.9</v>
      </c>
      <c r="O98" s="64">
        <v>0</v>
      </c>
      <c r="P98" s="64">
        <v>1.37</v>
      </c>
      <c r="Q98" s="64">
        <v>9.65</v>
      </c>
      <c r="R98" s="196"/>
      <c r="S98" s="196"/>
      <c r="T98" s="196"/>
      <c r="U98" s="196"/>
    </row>
    <row r="99" spans="1:33" s="12" customFormat="1" x14ac:dyDescent="0.25">
      <c r="A99" s="211" t="s">
        <v>1103</v>
      </c>
      <c r="B99" s="64">
        <v>28.68</v>
      </c>
      <c r="C99" s="64">
        <v>24.33</v>
      </c>
      <c r="D99" s="64">
        <v>34.33</v>
      </c>
      <c r="E99" s="64">
        <v>5.77</v>
      </c>
      <c r="F99" s="64">
        <v>4.3099999999999996</v>
      </c>
      <c r="G99" s="64">
        <v>106.68</v>
      </c>
      <c r="H99" s="64">
        <v>53.34</v>
      </c>
      <c r="I99" s="64">
        <v>6.56</v>
      </c>
      <c r="J99" s="64">
        <v>0.18</v>
      </c>
      <c r="K99" s="64">
        <v>58.31</v>
      </c>
      <c r="L99" s="64">
        <v>20.03</v>
      </c>
      <c r="M99" s="64">
        <v>69.67</v>
      </c>
      <c r="N99" s="64">
        <v>26</v>
      </c>
      <c r="O99" s="64">
        <v>0</v>
      </c>
      <c r="P99" s="64">
        <v>1.17</v>
      </c>
      <c r="Q99" s="64">
        <v>9.64</v>
      </c>
      <c r="R99" s="196"/>
      <c r="S99" s="196"/>
      <c r="T99" s="196"/>
      <c r="U99" s="196"/>
    </row>
    <row r="100" spans="1:33" s="12" customFormat="1" x14ac:dyDescent="0.25">
      <c r="A100" s="211" t="s">
        <v>1104</v>
      </c>
      <c r="B100" s="64">
        <v>28.28</v>
      </c>
      <c r="C100" s="64">
        <v>23.12</v>
      </c>
      <c r="D100" s="64">
        <v>33.380000000000003</v>
      </c>
      <c r="E100" s="64">
        <v>5.69</v>
      </c>
      <c r="F100" s="64">
        <v>4.41</v>
      </c>
      <c r="G100" s="64">
        <v>101.77</v>
      </c>
      <c r="H100" s="64">
        <v>51.41</v>
      </c>
      <c r="I100" s="64">
        <v>5.19</v>
      </c>
      <c r="J100" s="64">
        <v>0.4</v>
      </c>
      <c r="K100" s="64">
        <v>3.37</v>
      </c>
      <c r="L100" s="64">
        <v>19.86</v>
      </c>
      <c r="M100" s="64">
        <v>71.11</v>
      </c>
      <c r="N100" s="64">
        <v>26.1</v>
      </c>
      <c r="O100" s="64">
        <v>0</v>
      </c>
      <c r="P100" s="64">
        <v>1.34</v>
      </c>
      <c r="Q100" s="64">
        <v>9.64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1105</v>
      </c>
      <c r="B101" s="64">
        <v>28.33</v>
      </c>
      <c r="C101" s="64">
        <v>22.63</v>
      </c>
      <c r="D101" s="64">
        <v>33.17</v>
      </c>
      <c r="E101" s="64">
        <v>6.08</v>
      </c>
      <c r="F101" s="64">
        <v>3.96</v>
      </c>
      <c r="G101" s="64">
        <v>87.48</v>
      </c>
      <c r="H101" s="64">
        <v>47.71</v>
      </c>
      <c r="I101" s="64">
        <v>4.28</v>
      </c>
      <c r="J101" s="64">
        <v>0.26</v>
      </c>
      <c r="K101" s="64">
        <v>17.95</v>
      </c>
      <c r="L101" s="64">
        <v>19.7</v>
      </c>
      <c r="M101" s="64">
        <v>71.260000000000005</v>
      </c>
      <c r="N101" s="64">
        <v>26</v>
      </c>
      <c r="O101" s="64">
        <v>0</v>
      </c>
      <c r="P101" s="64">
        <v>1.27</v>
      </c>
      <c r="Q101" s="64">
        <v>9.64</v>
      </c>
      <c r="R101" s="196"/>
      <c r="S101" s="196"/>
      <c r="T101" s="196"/>
      <c r="U101" s="196"/>
    </row>
    <row r="102" spans="1:33" s="12" customFormat="1" x14ac:dyDescent="0.25">
      <c r="A102" s="211" t="s">
        <v>1106</v>
      </c>
      <c r="B102" s="64">
        <v>28.35</v>
      </c>
      <c r="C102" s="64">
        <v>22.15</v>
      </c>
      <c r="D102" s="64">
        <v>32.93</v>
      </c>
      <c r="E102" s="64">
        <v>5.82</v>
      </c>
      <c r="F102" s="64">
        <v>3.63</v>
      </c>
      <c r="G102" s="64">
        <v>87.48</v>
      </c>
      <c r="H102" s="64">
        <v>47.71</v>
      </c>
      <c r="I102" s="64">
        <v>4.63</v>
      </c>
      <c r="J102" s="64">
        <v>0.47</v>
      </c>
      <c r="K102" s="64">
        <v>116.79</v>
      </c>
      <c r="L102" s="64">
        <v>19.68</v>
      </c>
      <c r="M102" s="64">
        <v>71.08</v>
      </c>
      <c r="N102" s="64">
        <v>25.8</v>
      </c>
      <c r="O102" s="64">
        <v>0</v>
      </c>
      <c r="P102" s="64">
        <v>1.1299999999999999</v>
      </c>
      <c r="Q102" s="64">
        <v>9.64</v>
      </c>
      <c r="R102" s="196"/>
      <c r="S102" s="196"/>
      <c r="T102" s="196"/>
      <c r="U102" s="196"/>
    </row>
    <row r="103" spans="1:33" s="12" customFormat="1" x14ac:dyDescent="0.25">
      <c r="A103" s="211" t="s">
        <v>1107</v>
      </c>
      <c r="B103" s="64">
        <v>28.13</v>
      </c>
      <c r="C103" s="64">
        <v>21.48</v>
      </c>
      <c r="D103" s="64">
        <v>32.409999999999997</v>
      </c>
      <c r="E103" s="64">
        <v>5.84</v>
      </c>
      <c r="F103" s="64">
        <v>3.82</v>
      </c>
      <c r="G103" s="64">
        <v>87.48</v>
      </c>
      <c r="H103" s="64">
        <v>47.71</v>
      </c>
      <c r="I103" s="64">
        <v>4.55</v>
      </c>
      <c r="J103" s="64">
        <v>0.74</v>
      </c>
      <c r="K103" s="64">
        <v>117.68</v>
      </c>
      <c r="L103" s="64">
        <v>19.7</v>
      </c>
      <c r="M103" s="64">
        <v>71.19</v>
      </c>
      <c r="N103" s="64">
        <v>25.7</v>
      </c>
      <c r="O103" s="64">
        <v>0</v>
      </c>
      <c r="P103" s="64">
        <v>1.0900000000000001</v>
      </c>
      <c r="Q103" s="64">
        <v>9.64</v>
      </c>
      <c r="R103" s="196"/>
      <c r="S103" s="196"/>
      <c r="T103" s="196"/>
      <c r="U103" s="196"/>
    </row>
    <row r="104" spans="1:33" s="12" customFormat="1" x14ac:dyDescent="0.25">
      <c r="A104" s="211" t="s">
        <v>1108</v>
      </c>
      <c r="B104" s="64">
        <v>27.39</v>
      </c>
      <c r="C104" s="64">
        <v>20.79</v>
      </c>
      <c r="D104" s="64">
        <v>31.44</v>
      </c>
      <c r="E104" s="64">
        <v>5.61</v>
      </c>
      <c r="F104" s="64">
        <v>4</v>
      </c>
      <c r="G104" s="64">
        <v>88.32</v>
      </c>
      <c r="H104" s="64">
        <v>47.57</v>
      </c>
      <c r="I104" s="64">
        <v>4.37</v>
      </c>
      <c r="J104" s="64">
        <v>0.15</v>
      </c>
      <c r="K104" s="64">
        <v>199.06</v>
      </c>
      <c r="L104" s="64">
        <v>19.68</v>
      </c>
      <c r="M104" s="64">
        <v>70.7</v>
      </c>
      <c r="N104" s="64">
        <v>25.9</v>
      </c>
      <c r="O104" s="64">
        <v>0</v>
      </c>
      <c r="P104" s="64">
        <v>0.95</v>
      </c>
      <c r="Q104" s="64">
        <v>9.65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2.96</v>
      </c>
      <c r="C106" s="67">
        <f>MIN(C9:C104)</f>
        <v>15.17</v>
      </c>
      <c r="D106" s="67">
        <f t="shared" ref="D106:Q106" si="0">MIN(D9:D104)</f>
        <v>11.1</v>
      </c>
      <c r="E106" s="67">
        <f t="shared" si="0"/>
        <v>3.89</v>
      </c>
      <c r="F106" s="67">
        <f t="shared" si="0"/>
        <v>3.14</v>
      </c>
      <c r="G106" s="67">
        <f t="shared" si="0"/>
        <v>62.84</v>
      </c>
      <c r="H106" s="67">
        <f t="shared" si="0"/>
        <v>24.25</v>
      </c>
      <c r="I106" s="67">
        <f t="shared" si="0"/>
        <v>2.04</v>
      </c>
      <c r="J106" s="67">
        <f t="shared" si="0"/>
        <v>0.05</v>
      </c>
      <c r="K106" s="67">
        <f t="shared" si="0"/>
        <v>3.37</v>
      </c>
      <c r="L106" s="67">
        <f t="shared" si="0"/>
        <v>16.34</v>
      </c>
      <c r="M106" s="67">
        <f t="shared" si="0"/>
        <v>37.369999999999997</v>
      </c>
      <c r="N106" s="67">
        <f t="shared" si="0"/>
        <v>25.7</v>
      </c>
      <c r="O106" s="67">
        <f t="shared" si="0"/>
        <v>0</v>
      </c>
      <c r="P106" s="67">
        <f t="shared" si="0"/>
        <v>0.56999999999999995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33.17</v>
      </c>
      <c r="C107" s="66">
        <f t="shared" ref="C107:Q107" si="1">MAX(C9:C104)</f>
        <v>28.14</v>
      </c>
      <c r="D107" s="66">
        <f t="shared" si="1"/>
        <v>39.92</v>
      </c>
      <c r="E107" s="66">
        <f t="shared" si="1"/>
        <v>6.77</v>
      </c>
      <c r="F107" s="66">
        <f t="shared" si="1"/>
        <v>6.78</v>
      </c>
      <c r="G107" s="66">
        <f t="shared" si="1"/>
        <v>117.72</v>
      </c>
      <c r="H107" s="66">
        <f t="shared" si="1"/>
        <v>61.08</v>
      </c>
      <c r="I107" s="66">
        <f t="shared" si="1"/>
        <v>9.4499999999999993</v>
      </c>
      <c r="J107" s="66">
        <f t="shared" si="1"/>
        <v>1.35</v>
      </c>
      <c r="K107" s="66">
        <f t="shared" si="1"/>
        <v>358.95</v>
      </c>
      <c r="L107" s="66">
        <f t="shared" si="1"/>
        <v>28.09</v>
      </c>
      <c r="M107" s="66">
        <f t="shared" si="1"/>
        <v>101.71</v>
      </c>
      <c r="N107" s="66">
        <f t="shared" si="1"/>
        <v>661.6</v>
      </c>
      <c r="O107" s="66">
        <f t="shared" si="1"/>
        <v>0</v>
      </c>
      <c r="P107" s="66">
        <f t="shared" si="1"/>
        <v>2.4700000000000002</v>
      </c>
      <c r="Q107" s="66">
        <f t="shared" si="1"/>
        <v>9.67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12.973958333333337</v>
      </c>
      <c r="C108" s="67">
        <f t="shared" ref="C108:Q108" si="2">AVERAGE(C9:C104)</f>
        <v>21.021145833333332</v>
      </c>
      <c r="D108" s="67">
        <f t="shared" si="2"/>
        <v>20.010208333333335</v>
      </c>
      <c r="E108" s="67">
        <f t="shared" si="2"/>
        <v>5.5144791666666686</v>
      </c>
      <c r="F108" s="67">
        <f t="shared" si="2"/>
        <v>4.4656249999999984</v>
      </c>
      <c r="G108" s="67">
        <f t="shared" si="2"/>
        <v>84.304895833333347</v>
      </c>
      <c r="H108" s="67">
        <f t="shared" si="2"/>
        <v>44.376562499999977</v>
      </c>
      <c r="I108" s="67">
        <f t="shared" si="2"/>
        <v>5.3769791666666658</v>
      </c>
      <c r="J108" s="67">
        <f t="shared" si="2"/>
        <v>0.510625</v>
      </c>
      <c r="K108" s="67">
        <f t="shared" si="2"/>
        <v>181.8940625000001</v>
      </c>
      <c r="L108" s="67">
        <f t="shared" si="2"/>
        <v>21.495520833333327</v>
      </c>
      <c r="M108" s="67">
        <f t="shared" si="2"/>
        <v>69.865833333333285</v>
      </c>
      <c r="N108" s="67">
        <f t="shared" si="2"/>
        <v>149.78333333333327</v>
      </c>
      <c r="O108" s="67">
        <f t="shared" si="2"/>
        <v>0</v>
      </c>
      <c r="P108" s="67">
        <f t="shared" si="2"/>
        <v>0.96114583333333359</v>
      </c>
      <c r="Q108" s="67">
        <f t="shared" si="2"/>
        <v>9.6290624999999963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8.701620959600648</v>
      </c>
      <c r="C109" s="67">
        <f t="shared" ref="C109:Q109" si="3">STDEV(C9:C104)</f>
        <v>3.4742711071355941</v>
      </c>
      <c r="D109" s="67">
        <f t="shared" si="3"/>
        <v>7.7500924244630127</v>
      </c>
      <c r="E109" s="67">
        <f t="shared" si="3"/>
        <v>0.56600515116058492</v>
      </c>
      <c r="F109" s="67">
        <f t="shared" si="3"/>
        <v>0.70559838360598715</v>
      </c>
      <c r="G109" s="67">
        <f t="shared" si="3"/>
        <v>16.694400069282008</v>
      </c>
      <c r="H109" s="67">
        <f t="shared" si="3"/>
        <v>8.292913376476152</v>
      </c>
      <c r="I109" s="67">
        <f t="shared" si="3"/>
        <v>1.491866453591236</v>
      </c>
      <c r="J109" s="67">
        <f t="shared" si="3"/>
        <v>0.29972904430501879</v>
      </c>
      <c r="K109" s="67">
        <f t="shared" si="3"/>
        <v>123.34200548477608</v>
      </c>
      <c r="L109" s="67">
        <f t="shared" si="3"/>
        <v>3.5046182673098043</v>
      </c>
      <c r="M109" s="67">
        <f t="shared" si="3"/>
        <v>19.386331411952181</v>
      </c>
      <c r="N109" s="67">
        <f t="shared" si="3"/>
        <v>196.05219373081917</v>
      </c>
      <c r="O109" s="67">
        <f t="shared" si="3"/>
        <v>0</v>
      </c>
      <c r="P109" s="67">
        <f t="shared" si="3"/>
        <v>0.39543412464002642</v>
      </c>
      <c r="Q109" s="67">
        <f t="shared" si="3"/>
        <v>1.3461690282545036E-2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1109</v>
      </c>
      <c r="B9" s="64">
        <v>26.48</v>
      </c>
      <c r="C9" s="64">
        <v>20.2</v>
      </c>
      <c r="D9" s="64">
        <v>30.41</v>
      </c>
      <c r="E9" s="64">
        <v>5.85</v>
      </c>
      <c r="F9" s="64">
        <v>4.2699999999999996</v>
      </c>
      <c r="G9" s="64">
        <v>90.77</v>
      </c>
      <c r="H9" s="64">
        <v>47</v>
      </c>
      <c r="I9" s="64">
        <v>4.63</v>
      </c>
      <c r="J9" s="64">
        <v>0.51</v>
      </c>
      <c r="K9" s="64">
        <v>286.54000000000002</v>
      </c>
      <c r="L9" s="64">
        <v>19.46</v>
      </c>
      <c r="M9" s="64">
        <v>72.02</v>
      </c>
      <c r="N9" s="64">
        <v>26.1</v>
      </c>
      <c r="O9" s="64">
        <v>0</v>
      </c>
      <c r="P9" s="64">
        <v>1.04</v>
      </c>
      <c r="Q9" s="64">
        <v>9.65</v>
      </c>
      <c r="R9" s="196"/>
      <c r="S9" s="196"/>
      <c r="T9" s="196"/>
      <c r="U9" s="196"/>
    </row>
    <row r="10" spans="1:21" s="12" customFormat="1" x14ac:dyDescent="0.25">
      <c r="A10" s="211" t="s">
        <v>1110</v>
      </c>
      <c r="B10" s="64">
        <v>25.4</v>
      </c>
      <c r="C10" s="64">
        <v>20.21</v>
      </c>
      <c r="D10" s="64">
        <v>29.55</v>
      </c>
      <c r="E10" s="64">
        <v>5.55</v>
      </c>
      <c r="F10" s="64">
        <v>4.0599999999999996</v>
      </c>
      <c r="G10" s="64">
        <v>90.77</v>
      </c>
      <c r="H10" s="64">
        <v>47</v>
      </c>
      <c r="I10" s="64">
        <v>3.33</v>
      </c>
      <c r="J10" s="64">
        <v>0.39</v>
      </c>
      <c r="K10" s="64">
        <v>260.13</v>
      </c>
      <c r="L10" s="64">
        <v>19.059999999999999</v>
      </c>
      <c r="M10" s="64">
        <v>74.89</v>
      </c>
      <c r="N10" s="64">
        <v>26.3</v>
      </c>
      <c r="O10" s="64">
        <v>0</v>
      </c>
      <c r="P10" s="64">
        <v>1.36</v>
      </c>
      <c r="Q10" s="64">
        <v>9.6300000000000008</v>
      </c>
      <c r="R10" s="196"/>
      <c r="S10" s="196"/>
      <c r="T10" s="196"/>
      <c r="U10" s="196"/>
    </row>
    <row r="11" spans="1:21" s="12" customFormat="1" x14ac:dyDescent="0.25">
      <c r="A11" s="211" t="s">
        <v>1111</v>
      </c>
      <c r="B11" s="64">
        <v>24.08</v>
      </c>
      <c r="C11" s="64">
        <v>20.47</v>
      </c>
      <c r="D11" s="64">
        <v>28.63</v>
      </c>
      <c r="E11" s="64">
        <v>5.26</v>
      </c>
      <c r="F11" s="64">
        <v>4.03</v>
      </c>
      <c r="G11" s="64">
        <v>90.77</v>
      </c>
      <c r="H11" s="64">
        <v>47</v>
      </c>
      <c r="I11" s="64">
        <v>4.71</v>
      </c>
      <c r="J11" s="64">
        <v>0.53</v>
      </c>
      <c r="K11" s="64">
        <v>224.04</v>
      </c>
      <c r="L11" s="64">
        <v>18.809999999999999</v>
      </c>
      <c r="M11" s="64">
        <v>77.040000000000006</v>
      </c>
      <c r="N11" s="64">
        <v>25.9</v>
      </c>
      <c r="O11" s="64">
        <v>0</v>
      </c>
      <c r="P11" s="64">
        <v>1.3</v>
      </c>
      <c r="Q11" s="64">
        <v>9.6300000000000008</v>
      </c>
      <c r="R11" s="196"/>
      <c r="S11" s="196"/>
      <c r="T11" s="196"/>
      <c r="U11" s="196"/>
    </row>
    <row r="12" spans="1:21" s="12" customFormat="1" x14ac:dyDescent="0.25">
      <c r="A12" s="211" t="s">
        <v>1112</v>
      </c>
      <c r="B12" s="64">
        <v>22.87</v>
      </c>
      <c r="C12" s="64">
        <v>20.61</v>
      </c>
      <c r="D12" s="64">
        <v>27.73</v>
      </c>
      <c r="E12" s="64">
        <v>5.37</v>
      </c>
      <c r="F12" s="64">
        <v>4.09</v>
      </c>
      <c r="G12" s="64">
        <v>90.79</v>
      </c>
      <c r="H12" s="64">
        <v>43.4</v>
      </c>
      <c r="I12" s="64">
        <v>6.69</v>
      </c>
      <c r="J12" s="64">
        <v>0.45</v>
      </c>
      <c r="K12" s="64">
        <v>319.16000000000003</v>
      </c>
      <c r="L12" s="64">
        <v>18.850000000000001</v>
      </c>
      <c r="M12" s="64">
        <v>78.010000000000005</v>
      </c>
      <c r="N12" s="64">
        <v>26</v>
      </c>
      <c r="O12" s="64">
        <v>0</v>
      </c>
      <c r="P12" s="64">
        <v>1.26</v>
      </c>
      <c r="Q12" s="64">
        <v>9.65</v>
      </c>
      <c r="R12" s="196"/>
      <c r="S12" s="196"/>
      <c r="T12" s="196"/>
      <c r="U12" s="196"/>
    </row>
    <row r="13" spans="1:21" s="12" customFormat="1" x14ac:dyDescent="0.25">
      <c r="A13" s="211" t="s">
        <v>1113</v>
      </c>
      <c r="B13" s="64">
        <v>22.08</v>
      </c>
      <c r="C13" s="64">
        <v>20.92</v>
      </c>
      <c r="D13" s="64">
        <v>27.26</v>
      </c>
      <c r="E13" s="64">
        <v>5.22</v>
      </c>
      <c r="F13" s="64">
        <v>3.64</v>
      </c>
      <c r="G13" s="64">
        <v>90.86</v>
      </c>
      <c r="H13" s="64">
        <v>36.53</v>
      </c>
      <c r="I13" s="64">
        <v>6.99</v>
      </c>
      <c r="J13" s="64">
        <v>0.53</v>
      </c>
      <c r="K13" s="64">
        <v>308.7</v>
      </c>
      <c r="L13" s="64">
        <v>18.22</v>
      </c>
      <c r="M13" s="64">
        <v>84.15</v>
      </c>
      <c r="N13" s="64">
        <v>26.3</v>
      </c>
      <c r="O13" s="64">
        <v>0</v>
      </c>
      <c r="P13" s="64">
        <v>1.1299999999999999</v>
      </c>
      <c r="Q13" s="64">
        <v>9.65</v>
      </c>
      <c r="R13" s="196"/>
      <c r="S13" s="196"/>
      <c r="T13" s="196"/>
      <c r="U13" s="196"/>
    </row>
    <row r="14" spans="1:21" s="12" customFormat="1" x14ac:dyDescent="0.25">
      <c r="A14" s="211" t="s">
        <v>1114</v>
      </c>
      <c r="B14" s="64">
        <v>21.6</v>
      </c>
      <c r="C14" s="64">
        <v>21.16</v>
      </c>
      <c r="D14" s="64">
        <v>27</v>
      </c>
      <c r="E14" s="64">
        <v>5.44</v>
      </c>
      <c r="F14" s="64">
        <v>3.6</v>
      </c>
      <c r="G14" s="64">
        <v>90.86</v>
      </c>
      <c r="H14" s="64">
        <v>36.53</v>
      </c>
      <c r="I14" s="64">
        <v>7.08</v>
      </c>
      <c r="J14" s="64">
        <v>0.33</v>
      </c>
      <c r="K14" s="64">
        <v>310.69</v>
      </c>
      <c r="L14" s="64">
        <v>17.78</v>
      </c>
      <c r="M14" s="64">
        <v>87.05</v>
      </c>
      <c r="N14" s="64">
        <v>26.1</v>
      </c>
      <c r="O14" s="64">
        <v>0</v>
      </c>
      <c r="P14" s="64">
        <v>1.1499999999999999</v>
      </c>
      <c r="Q14" s="64">
        <v>9.64</v>
      </c>
      <c r="R14" s="196"/>
      <c r="S14" s="196"/>
      <c r="T14" s="196"/>
      <c r="U14" s="196"/>
    </row>
    <row r="15" spans="1:21" s="12" customFormat="1" x14ac:dyDescent="0.25">
      <c r="A15" s="211" t="s">
        <v>1115</v>
      </c>
      <c r="B15" s="64">
        <v>20.95</v>
      </c>
      <c r="C15" s="64">
        <v>21.09</v>
      </c>
      <c r="D15" s="64">
        <v>26.44</v>
      </c>
      <c r="E15" s="64">
        <v>5.1100000000000003</v>
      </c>
      <c r="F15" s="64">
        <v>3.44</v>
      </c>
      <c r="G15" s="64">
        <v>90.86</v>
      </c>
      <c r="H15" s="64">
        <v>36.53</v>
      </c>
      <c r="I15" s="64">
        <v>7.01</v>
      </c>
      <c r="J15" s="64">
        <v>0.36</v>
      </c>
      <c r="K15" s="64">
        <v>249.4</v>
      </c>
      <c r="L15" s="64">
        <v>17.809999999999999</v>
      </c>
      <c r="M15" s="64">
        <v>88.35</v>
      </c>
      <c r="N15" s="64">
        <v>25.9</v>
      </c>
      <c r="O15" s="64">
        <v>0</v>
      </c>
      <c r="P15" s="64">
        <v>1.1200000000000001</v>
      </c>
      <c r="Q15" s="64">
        <v>9.6300000000000008</v>
      </c>
      <c r="R15" s="196"/>
      <c r="S15" s="196"/>
      <c r="T15" s="196"/>
      <c r="U15" s="196"/>
    </row>
    <row r="16" spans="1:21" s="12" customFormat="1" x14ac:dyDescent="0.25">
      <c r="A16" s="211" t="s">
        <v>1116</v>
      </c>
      <c r="B16" s="64">
        <v>20.440000000000001</v>
      </c>
      <c r="C16" s="64">
        <v>21.02</v>
      </c>
      <c r="D16" s="64">
        <v>26</v>
      </c>
      <c r="E16" s="64">
        <v>5.29</v>
      </c>
      <c r="F16" s="64">
        <v>3.69</v>
      </c>
      <c r="G16" s="64">
        <v>89.47</v>
      </c>
      <c r="H16" s="64">
        <v>36.909999999999997</v>
      </c>
      <c r="I16" s="64">
        <v>6.84</v>
      </c>
      <c r="J16" s="64">
        <v>0.55000000000000004</v>
      </c>
      <c r="K16" s="64">
        <v>347.19</v>
      </c>
      <c r="L16" s="64">
        <v>17.47</v>
      </c>
      <c r="M16" s="64">
        <v>92.51</v>
      </c>
      <c r="N16" s="64">
        <v>26.1</v>
      </c>
      <c r="O16" s="64">
        <v>0</v>
      </c>
      <c r="P16" s="64">
        <v>1.0900000000000001</v>
      </c>
      <c r="Q16" s="64">
        <v>9.65</v>
      </c>
      <c r="R16" s="196"/>
      <c r="S16" s="196"/>
      <c r="T16" s="196"/>
      <c r="U16" s="196"/>
    </row>
    <row r="17" spans="1:21" s="12" customFormat="1" x14ac:dyDescent="0.25">
      <c r="A17" s="211" t="s">
        <v>1117</v>
      </c>
      <c r="B17" s="64">
        <v>19.86</v>
      </c>
      <c r="C17" s="64">
        <v>20.66</v>
      </c>
      <c r="D17" s="64">
        <v>25.34</v>
      </c>
      <c r="E17" s="64">
        <v>5.04</v>
      </c>
      <c r="F17" s="64">
        <v>4.13</v>
      </c>
      <c r="G17" s="64">
        <v>85.44</v>
      </c>
      <c r="H17" s="64">
        <v>37.65</v>
      </c>
      <c r="I17" s="64">
        <v>6.71</v>
      </c>
      <c r="J17" s="64">
        <v>0.32</v>
      </c>
      <c r="K17" s="64">
        <v>251.98</v>
      </c>
      <c r="L17" s="64">
        <v>17.22</v>
      </c>
      <c r="M17" s="64">
        <v>93.7</v>
      </c>
      <c r="N17" s="64">
        <v>25.8</v>
      </c>
      <c r="O17" s="64">
        <v>0</v>
      </c>
      <c r="P17" s="64">
        <v>1.06</v>
      </c>
      <c r="Q17" s="64">
        <v>9.6300000000000008</v>
      </c>
      <c r="R17" s="196"/>
      <c r="S17" s="196"/>
      <c r="T17" s="196"/>
      <c r="U17" s="196"/>
    </row>
    <row r="18" spans="1:21" s="12" customFormat="1" x14ac:dyDescent="0.25">
      <c r="A18" s="211" t="s">
        <v>1118</v>
      </c>
      <c r="B18" s="64">
        <v>19.29</v>
      </c>
      <c r="C18" s="64">
        <v>20.34</v>
      </c>
      <c r="D18" s="64">
        <v>24.72</v>
      </c>
      <c r="E18" s="64">
        <v>4.8499999999999996</v>
      </c>
      <c r="F18" s="64">
        <v>3.83</v>
      </c>
      <c r="G18" s="64">
        <v>85.44</v>
      </c>
      <c r="H18" s="64">
        <v>37.65</v>
      </c>
      <c r="I18" s="64">
        <v>6.62</v>
      </c>
      <c r="J18" s="64">
        <v>0.42</v>
      </c>
      <c r="K18" s="64">
        <v>237.68</v>
      </c>
      <c r="L18" s="64">
        <v>17.3</v>
      </c>
      <c r="M18" s="64">
        <v>94.44</v>
      </c>
      <c r="N18" s="64">
        <v>25.9</v>
      </c>
      <c r="O18" s="64">
        <v>0</v>
      </c>
      <c r="P18" s="64">
        <v>1.03</v>
      </c>
      <c r="Q18" s="64">
        <v>9.6300000000000008</v>
      </c>
      <c r="R18" s="196"/>
      <c r="S18" s="196"/>
      <c r="T18" s="196"/>
      <c r="U18" s="196"/>
    </row>
    <row r="19" spans="1:21" s="12" customFormat="1" x14ac:dyDescent="0.25">
      <c r="A19" s="211" t="s">
        <v>1119</v>
      </c>
      <c r="B19" s="64">
        <v>18.88</v>
      </c>
      <c r="C19" s="64">
        <v>18.61</v>
      </c>
      <c r="D19" s="64">
        <v>23.49</v>
      </c>
      <c r="E19" s="64">
        <v>5.15</v>
      </c>
      <c r="F19" s="64">
        <v>3.69</v>
      </c>
      <c r="G19" s="64">
        <v>85.44</v>
      </c>
      <c r="H19" s="64">
        <v>37.65</v>
      </c>
      <c r="I19" s="64">
        <v>6.22</v>
      </c>
      <c r="J19" s="64">
        <v>0.56000000000000005</v>
      </c>
      <c r="K19" s="64">
        <v>329.46</v>
      </c>
      <c r="L19" s="64">
        <v>17.3</v>
      </c>
      <c r="M19" s="64">
        <v>95.8</v>
      </c>
      <c r="N19" s="64">
        <v>26.1</v>
      </c>
      <c r="O19" s="64">
        <v>0</v>
      </c>
      <c r="P19" s="64">
        <v>0.89</v>
      </c>
      <c r="Q19" s="64">
        <v>9.64</v>
      </c>
      <c r="R19" s="196"/>
      <c r="S19" s="196"/>
      <c r="T19" s="196"/>
      <c r="U19" s="196"/>
    </row>
    <row r="20" spans="1:21" s="12" customFormat="1" x14ac:dyDescent="0.25">
      <c r="A20" s="211" t="s">
        <v>1120</v>
      </c>
      <c r="B20" s="64">
        <v>18.760000000000002</v>
      </c>
      <c r="C20" s="64">
        <v>17.11</v>
      </c>
      <c r="D20" s="64">
        <v>22.61</v>
      </c>
      <c r="E20" s="64">
        <v>5.16</v>
      </c>
      <c r="F20" s="64">
        <v>3.77</v>
      </c>
      <c r="G20" s="64">
        <v>85.47</v>
      </c>
      <c r="H20" s="64">
        <v>38.29</v>
      </c>
      <c r="I20" s="64">
        <v>5.87</v>
      </c>
      <c r="J20" s="64">
        <v>0.14000000000000001</v>
      </c>
      <c r="K20" s="64">
        <v>325.32</v>
      </c>
      <c r="L20" s="64">
        <v>17.12</v>
      </c>
      <c r="M20" s="64">
        <v>96.58</v>
      </c>
      <c r="N20" s="64">
        <v>25.7</v>
      </c>
      <c r="O20" s="64">
        <v>0</v>
      </c>
      <c r="P20" s="64">
        <v>0.85</v>
      </c>
      <c r="Q20" s="64">
        <v>9.6300000000000008</v>
      </c>
      <c r="R20" s="196"/>
      <c r="S20" s="196"/>
      <c r="T20" s="196"/>
      <c r="U20" s="196"/>
    </row>
    <row r="21" spans="1:21" s="12" customFormat="1" x14ac:dyDescent="0.25">
      <c r="A21" s="211" t="s">
        <v>1121</v>
      </c>
      <c r="B21" s="64">
        <v>18.46</v>
      </c>
      <c r="C21" s="64">
        <v>16.75</v>
      </c>
      <c r="D21" s="64">
        <v>22.17</v>
      </c>
      <c r="E21" s="64">
        <v>5.3</v>
      </c>
      <c r="F21" s="64">
        <v>3.85</v>
      </c>
      <c r="G21" s="64">
        <v>85.56</v>
      </c>
      <c r="H21" s="64">
        <v>39.51</v>
      </c>
      <c r="I21" s="64">
        <v>5.15</v>
      </c>
      <c r="J21" s="64">
        <v>0.15</v>
      </c>
      <c r="K21" s="64">
        <v>359.29</v>
      </c>
      <c r="L21" s="64">
        <v>17.41</v>
      </c>
      <c r="M21" s="64">
        <v>91.81</v>
      </c>
      <c r="N21" s="64">
        <v>25.6</v>
      </c>
      <c r="O21" s="64">
        <v>0</v>
      </c>
      <c r="P21" s="64">
        <v>0.78</v>
      </c>
      <c r="Q21" s="64">
        <v>9.65</v>
      </c>
      <c r="R21" s="196"/>
      <c r="S21" s="196"/>
      <c r="T21" s="196"/>
      <c r="U21" s="196"/>
    </row>
    <row r="22" spans="1:21" s="12" customFormat="1" x14ac:dyDescent="0.25">
      <c r="A22" s="211" t="s">
        <v>1122</v>
      </c>
      <c r="B22" s="64">
        <v>17.96</v>
      </c>
      <c r="C22" s="64">
        <v>16.579999999999998</v>
      </c>
      <c r="D22" s="64">
        <v>21.69</v>
      </c>
      <c r="E22" s="64">
        <v>5.12</v>
      </c>
      <c r="F22" s="64">
        <v>3.92</v>
      </c>
      <c r="G22" s="64">
        <v>85.56</v>
      </c>
      <c r="H22" s="64">
        <v>39.51</v>
      </c>
      <c r="I22" s="64">
        <v>4.54</v>
      </c>
      <c r="J22" s="64">
        <v>0.18</v>
      </c>
      <c r="K22" s="64">
        <v>237.9</v>
      </c>
      <c r="L22" s="64">
        <v>17.48</v>
      </c>
      <c r="M22" s="64">
        <v>93.08</v>
      </c>
      <c r="N22" s="64">
        <v>26</v>
      </c>
      <c r="O22" s="64">
        <v>0</v>
      </c>
      <c r="P22" s="64">
        <v>0.82</v>
      </c>
      <c r="Q22" s="64">
        <v>9.64</v>
      </c>
      <c r="R22" s="196"/>
      <c r="S22" s="196"/>
      <c r="T22" s="196"/>
      <c r="U22" s="196"/>
    </row>
    <row r="23" spans="1:21" s="12" customFormat="1" x14ac:dyDescent="0.25">
      <c r="A23" s="211" t="s">
        <v>1123</v>
      </c>
      <c r="B23" s="64">
        <v>17.48</v>
      </c>
      <c r="C23" s="64">
        <v>16.149999999999999</v>
      </c>
      <c r="D23" s="64">
        <v>21.08</v>
      </c>
      <c r="E23" s="64">
        <v>5.12</v>
      </c>
      <c r="F23" s="64">
        <v>3.7</v>
      </c>
      <c r="G23" s="64">
        <v>85.56</v>
      </c>
      <c r="H23" s="64">
        <v>39.51</v>
      </c>
      <c r="I23" s="64">
        <v>4.9000000000000004</v>
      </c>
      <c r="J23" s="64">
        <v>0.41</v>
      </c>
      <c r="K23" s="64">
        <v>308.93</v>
      </c>
      <c r="L23" s="64">
        <v>17.579999999999998</v>
      </c>
      <c r="M23" s="64">
        <v>90.72</v>
      </c>
      <c r="N23" s="64">
        <v>26</v>
      </c>
      <c r="O23" s="64">
        <v>0</v>
      </c>
      <c r="P23" s="64">
        <v>0.85</v>
      </c>
      <c r="Q23" s="64">
        <v>9.6300000000000008</v>
      </c>
      <c r="R23" s="196"/>
      <c r="S23" s="196"/>
      <c r="T23" s="196"/>
      <c r="U23" s="196"/>
    </row>
    <row r="24" spans="1:21" s="12" customFormat="1" x14ac:dyDescent="0.25">
      <c r="A24" s="211" t="s">
        <v>1124</v>
      </c>
      <c r="B24" s="64">
        <v>17.13</v>
      </c>
      <c r="C24" s="64">
        <v>15.92</v>
      </c>
      <c r="D24" s="64">
        <v>20.68</v>
      </c>
      <c r="E24" s="64">
        <v>5.87</v>
      </c>
      <c r="F24" s="64">
        <v>3.26</v>
      </c>
      <c r="G24" s="64">
        <v>86.11</v>
      </c>
      <c r="H24" s="64">
        <v>39.67</v>
      </c>
      <c r="I24" s="64">
        <v>5.6</v>
      </c>
      <c r="J24" s="64">
        <v>0.05</v>
      </c>
      <c r="K24" s="64">
        <v>296.29000000000002</v>
      </c>
      <c r="L24" s="64">
        <v>17.559999999999999</v>
      </c>
      <c r="M24" s="64">
        <v>92.04</v>
      </c>
      <c r="N24" s="64">
        <v>26.1</v>
      </c>
      <c r="O24" s="64">
        <v>0</v>
      </c>
      <c r="P24" s="64">
        <v>0.76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1125</v>
      </c>
      <c r="B25" s="64">
        <v>16.829999999999998</v>
      </c>
      <c r="C25" s="64">
        <v>15.62</v>
      </c>
      <c r="D25" s="64">
        <v>20.28</v>
      </c>
      <c r="E25" s="64">
        <v>5.7</v>
      </c>
      <c r="F25" s="64">
        <v>3.56</v>
      </c>
      <c r="G25" s="64">
        <v>87.73</v>
      </c>
      <c r="H25" s="64">
        <v>40.33</v>
      </c>
      <c r="I25" s="64">
        <v>5.62</v>
      </c>
      <c r="J25" s="64">
        <v>0.17</v>
      </c>
      <c r="K25" s="64">
        <v>67.31</v>
      </c>
      <c r="L25" s="64">
        <v>17.66</v>
      </c>
      <c r="M25" s="64">
        <v>89.3</v>
      </c>
      <c r="N25" s="64">
        <v>26.1</v>
      </c>
      <c r="O25" s="64">
        <v>0</v>
      </c>
      <c r="P25" s="64">
        <v>0.76</v>
      </c>
      <c r="Q25" s="64">
        <v>9.6199999999999992</v>
      </c>
      <c r="R25" s="196"/>
      <c r="S25" s="196"/>
      <c r="T25" s="196"/>
      <c r="U25" s="196"/>
    </row>
    <row r="26" spans="1:21" s="12" customFormat="1" x14ac:dyDescent="0.25">
      <c r="A26" s="211" t="s">
        <v>1126</v>
      </c>
      <c r="B26" s="64">
        <v>16.579999999999998</v>
      </c>
      <c r="C26" s="64">
        <v>15.5</v>
      </c>
      <c r="D26" s="64">
        <v>20.02</v>
      </c>
      <c r="E26" s="64">
        <v>6.5</v>
      </c>
      <c r="F26" s="64">
        <v>3.97</v>
      </c>
      <c r="G26" s="64">
        <v>87.73</v>
      </c>
      <c r="H26" s="64">
        <v>40.33</v>
      </c>
      <c r="I26" s="64">
        <v>4.83</v>
      </c>
      <c r="J26" s="64">
        <v>0.55000000000000004</v>
      </c>
      <c r="K26" s="64">
        <v>302.98</v>
      </c>
      <c r="L26" s="64">
        <v>17.55</v>
      </c>
      <c r="M26" s="64">
        <v>92.06</v>
      </c>
      <c r="N26" s="64">
        <v>26.1</v>
      </c>
      <c r="O26" s="64">
        <v>0</v>
      </c>
      <c r="P26" s="64">
        <v>0.81</v>
      </c>
      <c r="Q26" s="64">
        <v>9.6300000000000008</v>
      </c>
      <c r="R26" s="196"/>
      <c r="S26" s="196"/>
      <c r="T26" s="196"/>
      <c r="U26" s="196"/>
    </row>
    <row r="27" spans="1:21" s="12" customFormat="1" x14ac:dyDescent="0.25">
      <c r="A27" s="211" t="s">
        <v>1127</v>
      </c>
      <c r="B27" s="64">
        <v>16.579999999999998</v>
      </c>
      <c r="C27" s="64">
        <v>16.97</v>
      </c>
      <c r="D27" s="64">
        <v>20.79</v>
      </c>
      <c r="E27" s="64">
        <v>6</v>
      </c>
      <c r="F27" s="64">
        <v>4.57</v>
      </c>
      <c r="G27" s="64">
        <v>87.73</v>
      </c>
      <c r="H27" s="64">
        <v>40.33</v>
      </c>
      <c r="I27" s="64">
        <v>4.96</v>
      </c>
      <c r="J27" s="64">
        <v>0.5</v>
      </c>
      <c r="K27" s="64">
        <v>261.77</v>
      </c>
      <c r="L27" s="64">
        <v>17.37</v>
      </c>
      <c r="M27" s="64">
        <v>92.98</v>
      </c>
      <c r="N27" s="64">
        <v>26.1</v>
      </c>
      <c r="O27" s="64">
        <v>0</v>
      </c>
      <c r="P27" s="64">
        <v>0.86</v>
      </c>
      <c r="Q27" s="64">
        <v>9.64</v>
      </c>
      <c r="R27" s="196"/>
      <c r="S27" s="196"/>
      <c r="T27" s="196"/>
      <c r="U27" s="196"/>
    </row>
    <row r="28" spans="1:21" s="12" customFormat="1" x14ac:dyDescent="0.25">
      <c r="A28" s="211" t="s">
        <v>1128</v>
      </c>
      <c r="B28" s="64">
        <v>16.12</v>
      </c>
      <c r="C28" s="64">
        <v>17.309999999999999</v>
      </c>
      <c r="D28" s="64">
        <v>20.59</v>
      </c>
      <c r="E28" s="64">
        <v>6.16</v>
      </c>
      <c r="F28" s="64">
        <v>4.0999999999999996</v>
      </c>
      <c r="G28" s="64">
        <v>87.32</v>
      </c>
      <c r="H28" s="64">
        <v>38.54</v>
      </c>
      <c r="I28" s="64">
        <v>5.34</v>
      </c>
      <c r="J28" s="64">
        <v>0.11</v>
      </c>
      <c r="K28" s="64">
        <v>178.35</v>
      </c>
      <c r="L28" s="64">
        <v>17.46</v>
      </c>
      <c r="M28" s="64">
        <v>92.42</v>
      </c>
      <c r="N28" s="64">
        <v>25.8</v>
      </c>
      <c r="O28" s="64">
        <v>0</v>
      </c>
      <c r="P28" s="64">
        <v>0.84</v>
      </c>
      <c r="Q28" s="64">
        <v>9.6199999999999992</v>
      </c>
      <c r="R28" s="196"/>
      <c r="S28" s="196"/>
      <c r="T28" s="196"/>
      <c r="U28" s="196"/>
    </row>
    <row r="29" spans="1:21" s="12" customFormat="1" x14ac:dyDescent="0.25">
      <c r="A29" s="211" t="s">
        <v>1129</v>
      </c>
      <c r="B29" s="64">
        <v>16.170000000000002</v>
      </c>
      <c r="C29" s="64">
        <v>17.5</v>
      </c>
      <c r="D29" s="64">
        <v>20.73</v>
      </c>
      <c r="E29" s="64">
        <v>6.63</v>
      </c>
      <c r="F29" s="64">
        <v>3.94</v>
      </c>
      <c r="G29" s="64">
        <v>86.12</v>
      </c>
      <c r="H29" s="64">
        <v>35.11</v>
      </c>
      <c r="I29" s="64">
        <v>5.62</v>
      </c>
      <c r="J29" s="64">
        <v>0.51</v>
      </c>
      <c r="K29" s="64">
        <v>319.33</v>
      </c>
      <c r="L29" s="64">
        <v>17.309999999999999</v>
      </c>
      <c r="M29" s="64">
        <v>95.7</v>
      </c>
      <c r="N29" s="64">
        <v>26.1</v>
      </c>
      <c r="O29" s="64">
        <v>0</v>
      </c>
      <c r="P29" s="64">
        <v>0.82</v>
      </c>
      <c r="Q29" s="64">
        <v>9.6199999999999992</v>
      </c>
      <c r="R29" s="196"/>
      <c r="S29" s="196"/>
      <c r="T29" s="196"/>
      <c r="U29" s="196"/>
    </row>
    <row r="30" spans="1:21" s="12" customFormat="1" x14ac:dyDescent="0.25">
      <c r="A30" s="211" t="s">
        <v>1130</v>
      </c>
      <c r="B30" s="64">
        <v>17.010000000000002</v>
      </c>
      <c r="C30" s="64">
        <v>17.75</v>
      </c>
      <c r="D30" s="64">
        <v>21.54</v>
      </c>
      <c r="E30" s="64">
        <v>5.77</v>
      </c>
      <c r="F30" s="64">
        <v>3.48</v>
      </c>
      <c r="G30" s="64">
        <v>86.12</v>
      </c>
      <c r="H30" s="64">
        <v>35.11</v>
      </c>
      <c r="I30" s="64">
        <v>5.63</v>
      </c>
      <c r="J30" s="64">
        <v>0.1</v>
      </c>
      <c r="K30" s="64">
        <v>226.76</v>
      </c>
      <c r="L30" s="64">
        <v>16.95</v>
      </c>
      <c r="M30" s="64">
        <v>99.4</v>
      </c>
      <c r="N30" s="64">
        <v>26.1</v>
      </c>
      <c r="O30" s="64">
        <v>0</v>
      </c>
      <c r="P30" s="64">
        <v>0.81</v>
      </c>
      <c r="Q30" s="64">
        <v>9.6300000000000008</v>
      </c>
      <c r="R30" s="196"/>
      <c r="S30" s="196"/>
      <c r="T30" s="196"/>
      <c r="U30" s="196"/>
    </row>
    <row r="31" spans="1:21" s="12" customFormat="1" x14ac:dyDescent="0.25">
      <c r="A31" s="211" t="s">
        <v>1131</v>
      </c>
      <c r="B31" s="64">
        <v>17.61</v>
      </c>
      <c r="C31" s="64">
        <v>17.96</v>
      </c>
      <c r="D31" s="64">
        <v>22.13</v>
      </c>
      <c r="E31" s="64">
        <v>6.17</v>
      </c>
      <c r="F31" s="64">
        <v>4.0199999999999996</v>
      </c>
      <c r="G31" s="64">
        <v>86.12</v>
      </c>
      <c r="H31" s="64">
        <v>35.11</v>
      </c>
      <c r="I31" s="64">
        <v>5.53</v>
      </c>
      <c r="J31" s="64">
        <v>0.32</v>
      </c>
      <c r="K31" s="64">
        <v>214.5</v>
      </c>
      <c r="L31" s="64">
        <v>16.809999999999999</v>
      </c>
      <c r="M31" s="64">
        <v>98.79</v>
      </c>
      <c r="N31" s="64">
        <v>26.1</v>
      </c>
      <c r="O31" s="64">
        <v>0</v>
      </c>
      <c r="P31" s="64">
        <v>0.81</v>
      </c>
      <c r="Q31" s="64">
        <v>9.6300000000000008</v>
      </c>
      <c r="R31" s="196"/>
      <c r="S31" s="196"/>
      <c r="T31" s="196"/>
      <c r="U31" s="196"/>
    </row>
    <row r="32" spans="1:21" s="12" customFormat="1" x14ac:dyDescent="0.25">
      <c r="A32" s="211" t="s">
        <v>1132</v>
      </c>
      <c r="B32" s="64">
        <v>17.8</v>
      </c>
      <c r="C32" s="64">
        <v>17.59</v>
      </c>
      <c r="D32" s="64">
        <v>22.09</v>
      </c>
      <c r="E32" s="64">
        <v>6.69</v>
      </c>
      <c r="F32" s="64">
        <v>3.67</v>
      </c>
      <c r="G32" s="64">
        <v>87.14</v>
      </c>
      <c r="H32" s="64">
        <v>35.81</v>
      </c>
      <c r="I32" s="64">
        <v>5.52</v>
      </c>
      <c r="J32" s="64">
        <v>0.23</v>
      </c>
      <c r="K32" s="64">
        <v>207.11</v>
      </c>
      <c r="L32" s="64">
        <v>16.690000000000001</v>
      </c>
      <c r="M32" s="64">
        <v>99.15</v>
      </c>
      <c r="N32" s="64">
        <v>26.1</v>
      </c>
      <c r="O32" s="64">
        <v>0</v>
      </c>
      <c r="P32" s="64">
        <v>0.79</v>
      </c>
      <c r="Q32" s="64">
        <v>9.61</v>
      </c>
      <c r="R32" s="196"/>
      <c r="S32" s="196"/>
      <c r="T32" s="196"/>
      <c r="U32" s="196"/>
    </row>
    <row r="33" spans="1:21" s="12" customFormat="1" x14ac:dyDescent="0.25">
      <c r="A33" s="211" t="s">
        <v>1133</v>
      </c>
      <c r="B33" s="64">
        <v>18.05</v>
      </c>
      <c r="C33" s="64">
        <v>17.57</v>
      </c>
      <c r="D33" s="64">
        <v>22.28</v>
      </c>
      <c r="E33" s="64">
        <v>6.4</v>
      </c>
      <c r="F33" s="64">
        <v>3.75</v>
      </c>
      <c r="G33" s="64">
        <v>90.12</v>
      </c>
      <c r="H33" s="64">
        <v>37.14</v>
      </c>
      <c r="I33" s="64">
        <v>5.51</v>
      </c>
      <c r="J33" s="64">
        <v>0.28999999999999998</v>
      </c>
      <c r="K33" s="64">
        <v>225.41</v>
      </c>
      <c r="L33" s="64">
        <v>16.72</v>
      </c>
      <c r="M33" s="64">
        <v>99.21</v>
      </c>
      <c r="N33" s="64">
        <v>27.3</v>
      </c>
      <c r="O33" s="64">
        <v>0</v>
      </c>
      <c r="P33" s="64">
        <v>0.79</v>
      </c>
      <c r="Q33" s="64">
        <v>9.6199999999999992</v>
      </c>
      <c r="R33" s="196"/>
      <c r="S33" s="196"/>
      <c r="T33" s="196"/>
      <c r="U33" s="196"/>
    </row>
    <row r="34" spans="1:21" s="12" customFormat="1" x14ac:dyDescent="0.25">
      <c r="A34" s="211" t="s">
        <v>1134</v>
      </c>
      <c r="B34" s="64">
        <v>18.920000000000002</v>
      </c>
      <c r="C34" s="64">
        <v>17.670000000000002</v>
      </c>
      <c r="D34" s="64">
        <v>23.03</v>
      </c>
      <c r="E34" s="64">
        <v>6.5</v>
      </c>
      <c r="F34" s="64">
        <v>3.66</v>
      </c>
      <c r="G34" s="64">
        <v>90.12</v>
      </c>
      <c r="H34" s="64">
        <v>37.14</v>
      </c>
      <c r="I34" s="64">
        <v>5.5</v>
      </c>
      <c r="J34" s="64">
        <v>0.11</v>
      </c>
      <c r="K34" s="64">
        <v>257.06</v>
      </c>
      <c r="L34" s="64">
        <v>16.899999999999999</v>
      </c>
      <c r="M34" s="64">
        <v>98.38</v>
      </c>
      <c r="N34" s="64">
        <v>30.5</v>
      </c>
      <c r="O34" s="64">
        <v>0</v>
      </c>
      <c r="P34" s="64">
        <v>0.78</v>
      </c>
      <c r="Q34" s="64">
        <v>9.64</v>
      </c>
      <c r="R34" s="196"/>
      <c r="S34" s="196"/>
      <c r="T34" s="196"/>
      <c r="U34" s="196"/>
    </row>
    <row r="35" spans="1:21" s="12" customFormat="1" x14ac:dyDescent="0.25">
      <c r="A35" s="211" t="s">
        <v>1135</v>
      </c>
      <c r="B35" s="64">
        <v>20.55</v>
      </c>
      <c r="C35" s="64">
        <v>17.79</v>
      </c>
      <c r="D35" s="64">
        <v>24.4</v>
      </c>
      <c r="E35" s="64">
        <v>6.43</v>
      </c>
      <c r="F35" s="64">
        <v>4.0599999999999996</v>
      </c>
      <c r="G35" s="64">
        <v>90.12</v>
      </c>
      <c r="H35" s="64">
        <v>37.14</v>
      </c>
      <c r="I35" s="64">
        <v>5.51</v>
      </c>
      <c r="J35" s="64">
        <v>0.43</v>
      </c>
      <c r="K35" s="64">
        <v>350.23</v>
      </c>
      <c r="L35" s="64">
        <v>17.149999999999999</v>
      </c>
      <c r="M35" s="64">
        <v>99.13</v>
      </c>
      <c r="N35" s="64">
        <v>40.799999999999997</v>
      </c>
      <c r="O35" s="64">
        <v>0</v>
      </c>
      <c r="P35" s="64">
        <v>0.78</v>
      </c>
      <c r="Q35" s="64">
        <v>9.6199999999999992</v>
      </c>
      <c r="R35" s="196"/>
      <c r="S35" s="196"/>
      <c r="T35" s="196"/>
      <c r="U35" s="196"/>
    </row>
    <row r="36" spans="1:21" s="12" customFormat="1" x14ac:dyDescent="0.25">
      <c r="A36" s="211" t="s">
        <v>1136</v>
      </c>
      <c r="B36" s="64">
        <v>22.38</v>
      </c>
      <c r="C36" s="64">
        <v>16.41</v>
      </c>
      <c r="D36" s="64">
        <v>25.14</v>
      </c>
      <c r="E36" s="64">
        <v>6.8</v>
      </c>
      <c r="F36" s="64">
        <v>3.84</v>
      </c>
      <c r="G36" s="64">
        <v>89.59</v>
      </c>
      <c r="H36" s="64">
        <v>38.58</v>
      </c>
      <c r="I36" s="64">
        <v>5.5</v>
      </c>
      <c r="J36" s="64">
        <v>0.52</v>
      </c>
      <c r="K36" s="64">
        <v>124.29</v>
      </c>
      <c r="L36" s="64">
        <v>17.23</v>
      </c>
      <c r="M36" s="64">
        <v>98.33</v>
      </c>
      <c r="N36" s="64">
        <v>59</v>
      </c>
      <c r="O36" s="64">
        <v>0</v>
      </c>
      <c r="P36" s="64">
        <v>0.79</v>
      </c>
      <c r="Q36" s="64">
        <v>9.64</v>
      </c>
      <c r="R36" s="196"/>
      <c r="S36" s="196"/>
      <c r="T36" s="196"/>
      <c r="U36" s="196"/>
    </row>
    <row r="37" spans="1:21" s="12" customFormat="1" x14ac:dyDescent="0.25">
      <c r="A37" s="211" t="s">
        <v>1137</v>
      </c>
      <c r="B37" s="64">
        <v>23.19</v>
      </c>
      <c r="C37" s="64">
        <v>15.71</v>
      </c>
      <c r="D37" s="64">
        <v>25.43</v>
      </c>
      <c r="E37" s="64">
        <v>6.56</v>
      </c>
      <c r="F37" s="64">
        <v>3.57</v>
      </c>
      <c r="G37" s="64">
        <v>88.05</v>
      </c>
      <c r="H37" s="64">
        <v>41.33</v>
      </c>
      <c r="I37" s="64">
        <v>5.15</v>
      </c>
      <c r="J37" s="64">
        <v>0.32</v>
      </c>
      <c r="K37" s="64">
        <v>325.35000000000002</v>
      </c>
      <c r="L37" s="64">
        <v>17.88</v>
      </c>
      <c r="M37" s="64">
        <v>93.63</v>
      </c>
      <c r="N37" s="64">
        <v>79.7</v>
      </c>
      <c r="O37" s="64">
        <v>0</v>
      </c>
      <c r="P37" s="64">
        <v>0.8</v>
      </c>
      <c r="Q37" s="64">
        <v>9.64</v>
      </c>
      <c r="R37" s="196"/>
      <c r="S37" s="196"/>
      <c r="T37" s="196"/>
      <c r="U37" s="196"/>
    </row>
    <row r="38" spans="1:21" s="12" customFormat="1" x14ac:dyDescent="0.25">
      <c r="A38" s="211" t="s">
        <v>1138</v>
      </c>
      <c r="B38" s="64">
        <v>24.23</v>
      </c>
      <c r="C38" s="64">
        <v>15.83</v>
      </c>
      <c r="D38" s="64">
        <v>26.32</v>
      </c>
      <c r="E38" s="64">
        <v>6.38</v>
      </c>
      <c r="F38" s="64">
        <v>3.95</v>
      </c>
      <c r="G38" s="64">
        <v>88.05</v>
      </c>
      <c r="H38" s="64">
        <v>41.33</v>
      </c>
      <c r="I38" s="64">
        <v>5.01</v>
      </c>
      <c r="J38" s="64">
        <v>0.64</v>
      </c>
      <c r="K38" s="64">
        <v>332.05</v>
      </c>
      <c r="L38" s="64">
        <v>18.579999999999998</v>
      </c>
      <c r="M38" s="64">
        <v>91.95</v>
      </c>
      <c r="N38" s="64">
        <v>94.9</v>
      </c>
      <c r="O38" s="64">
        <v>0</v>
      </c>
      <c r="P38" s="64">
        <v>0.88</v>
      </c>
      <c r="Q38" s="64">
        <v>9.6300000000000008</v>
      </c>
      <c r="R38" s="196"/>
      <c r="S38" s="196"/>
      <c r="T38" s="196"/>
      <c r="U38" s="196"/>
    </row>
    <row r="39" spans="1:21" s="12" customFormat="1" x14ac:dyDescent="0.25">
      <c r="A39" s="211" t="s">
        <v>1139</v>
      </c>
      <c r="B39" s="64">
        <v>25.53</v>
      </c>
      <c r="C39" s="64">
        <v>15.8</v>
      </c>
      <c r="D39" s="64">
        <v>27.35</v>
      </c>
      <c r="E39" s="64">
        <v>6.35</v>
      </c>
      <c r="F39" s="64">
        <v>3.94</v>
      </c>
      <c r="G39" s="64">
        <v>88.05</v>
      </c>
      <c r="H39" s="64">
        <v>41.33</v>
      </c>
      <c r="I39" s="64">
        <v>5.21</v>
      </c>
      <c r="J39" s="64">
        <v>0.56000000000000005</v>
      </c>
      <c r="K39" s="64">
        <v>359.2</v>
      </c>
      <c r="L39" s="64">
        <v>19.25</v>
      </c>
      <c r="M39" s="64">
        <v>87.35</v>
      </c>
      <c r="N39" s="64">
        <v>122.8</v>
      </c>
      <c r="O39" s="64">
        <v>0</v>
      </c>
      <c r="P39" s="64">
        <v>0.86</v>
      </c>
      <c r="Q39" s="64">
        <v>9.6199999999999992</v>
      </c>
      <c r="R39" s="196"/>
      <c r="S39" s="196"/>
      <c r="T39" s="196"/>
      <c r="U39" s="196"/>
    </row>
    <row r="40" spans="1:21" s="12" customFormat="1" x14ac:dyDescent="0.25">
      <c r="A40" s="211" t="s">
        <v>1140</v>
      </c>
      <c r="B40" s="64">
        <v>26.33</v>
      </c>
      <c r="C40" s="64">
        <v>16</v>
      </c>
      <c r="D40" s="64">
        <v>28.1</v>
      </c>
      <c r="E40" s="64">
        <v>5.59</v>
      </c>
      <c r="F40" s="64">
        <v>3.67</v>
      </c>
      <c r="G40" s="64">
        <v>89.77</v>
      </c>
      <c r="H40" s="64">
        <v>38.43</v>
      </c>
      <c r="I40" s="64">
        <v>5.26</v>
      </c>
      <c r="J40" s="64">
        <v>0.86</v>
      </c>
      <c r="K40" s="64">
        <v>344.56</v>
      </c>
      <c r="L40" s="64">
        <v>20.11</v>
      </c>
      <c r="M40" s="64">
        <v>83.46</v>
      </c>
      <c r="N40" s="64">
        <v>129.19999999999999</v>
      </c>
      <c r="O40" s="64">
        <v>0</v>
      </c>
      <c r="P40" s="64">
        <v>0.88</v>
      </c>
      <c r="Q40" s="64">
        <v>9.6199999999999992</v>
      </c>
      <c r="R40" s="196"/>
      <c r="S40" s="196"/>
      <c r="T40" s="196"/>
      <c r="U40" s="196"/>
    </row>
    <row r="41" spans="1:21" s="12" customFormat="1" x14ac:dyDescent="0.25">
      <c r="A41" s="211" t="s">
        <v>1141</v>
      </c>
      <c r="B41" s="64">
        <v>27.02</v>
      </c>
      <c r="C41" s="64">
        <v>16.559999999999999</v>
      </c>
      <c r="D41" s="64">
        <v>28.94</v>
      </c>
      <c r="E41" s="64">
        <v>5.51</v>
      </c>
      <c r="F41" s="64">
        <v>3.87</v>
      </c>
      <c r="G41" s="64">
        <v>94.78</v>
      </c>
      <c r="H41" s="64">
        <v>26.86</v>
      </c>
      <c r="I41" s="64">
        <v>5.16</v>
      </c>
      <c r="J41" s="64">
        <v>0.73</v>
      </c>
      <c r="K41" s="64">
        <v>338.13</v>
      </c>
      <c r="L41" s="64">
        <v>20.69</v>
      </c>
      <c r="M41" s="64">
        <v>81.45</v>
      </c>
      <c r="N41" s="64">
        <v>132.6</v>
      </c>
      <c r="O41" s="64">
        <v>0</v>
      </c>
      <c r="P41" s="64">
        <v>0.9</v>
      </c>
      <c r="Q41" s="64">
        <v>9.6199999999999992</v>
      </c>
      <c r="R41" s="196"/>
      <c r="S41" s="196"/>
      <c r="T41" s="196"/>
      <c r="U41" s="196"/>
    </row>
    <row r="42" spans="1:21" s="12" customFormat="1" x14ac:dyDescent="0.25">
      <c r="A42" s="211" t="s">
        <v>1142</v>
      </c>
      <c r="B42" s="64">
        <v>27.55</v>
      </c>
      <c r="C42" s="64">
        <v>16.760000000000002</v>
      </c>
      <c r="D42" s="64">
        <v>29.48</v>
      </c>
      <c r="E42" s="64">
        <v>5.76</v>
      </c>
      <c r="F42" s="64">
        <v>3.99</v>
      </c>
      <c r="G42" s="64">
        <v>94.78</v>
      </c>
      <c r="H42" s="64">
        <v>26.86</v>
      </c>
      <c r="I42" s="64">
        <v>5.15</v>
      </c>
      <c r="J42" s="64">
        <v>0.63</v>
      </c>
      <c r="K42" s="64">
        <v>341.44</v>
      </c>
      <c r="L42" s="64">
        <v>20.83</v>
      </c>
      <c r="M42" s="64">
        <v>80.930000000000007</v>
      </c>
      <c r="N42" s="64">
        <v>94.9</v>
      </c>
      <c r="O42" s="64">
        <v>0</v>
      </c>
      <c r="P42" s="64">
        <v>0.92</v>
      </c>
      <c r="Q42" s="64">
        <v>9.64</v>
      </c>
      <c r="R42" s="196"/>
      <c r="S42" s="196"/>
      <c r="T42" s="196"/>
      <c r="U42" s="196"/>
    </row>
    <row r="43" spans="1:21" s="12" customFormat="1" x14ac:dyDescent="0.25">
      <c r="A43" s="211" t="s">
        <v>1143</v>
      </c>
      <c r="B43" s="64">
        <v>27.89</v>
      </c>
      <c r="C43" s="64">
        <v>17.55</v>
      </c>
      <c r="D43" s="64">
        <v>30.16</v>
      </c>
      <c r="E43" s="64">
        <v>5.71</v>
      </c>
      <c r="F43" s="64">
        <v>3.8</v>
      </c>
      <c r="G43" s="64">
        <v>94.78</v>
      </c>
      <c r="H43" s="64">
        <v>26.86</v>
      </c>
      <c r="I43" s="64">
        <v>5.38</v>
      </c>
      <c r="J43" s="64">
        <v>0.04</v>
      </c>
      <c r="K43" s="64">
        <v>312.25</v>
      </c>
      <c r="L43" s="64">
        <v>20.6</v>
      </c>
      <c r="M43" s="64">
        <v>80.98</v>
      </c>
      <c r="N43" s="64">
        <v>92.9</v>
      </c>
      <c r="O43" s="64">
        <v>0</v>
      </c>
      <c r="P43" s="64">
        <v>0.93</v>
      </c>
      <c r="Q43" s="64">
        <v>9.6199999999999992</v>
      </c>
      <c r="R43" s="196"/>
      <c r="S43" s="196"/>
      <c r="T43" s="196"/>
      <c r="U43" s="196"/>
    </row>
    <row r="44" spans="1:21" s="12" customFormat="1" x14ac:dyDescent="0.25">
      <c r="A44" s="211" t="s">
        <v>1144</v>
      </c>
      <c r="B44" s="64">
        <v>27.33</v>
      </c>
      <c r="C44" s="64">
        <v>19</v>
      </c>
      <c r="D44" s="64">
        <v>30.47</v>
      </c>
      <c r="E44" s="64">
        <v>5.94</v>
      </c>
      <c r="F44" s="64">
        <v>4.0999999999999996</v>
      </c>
      <c r="G44" s="64">
        <v>98.63</v>
      </c>
      <c r="H44" s="64">
        <v>29.74</v>
      </c>
      <c r="I44" s="64">
        <v>5.54</v>
      </c>
      <c r="J44" s="64">
        <v>0.54</v>
      </c>
      <c r="K44" s="64">
        <v>357.49</v>
      </c>
      <c r="L44" s="64">
        <v>20.77</v>
      </c>
      <c r="M44" s="64">
        <v>79.86</v>
      </c>
      <c r="N44" s="64">
        <v>101.5</v>
      </c>
      <c r="O44" s="64">
        <v>0</v>
      </c>
      <c r="P44" s="64">
        <v>0.9</v>
      </c>
      <c r="Q44" s="64">
        <v>9.6300000000000008</v>
      </c>
      <c r="R44" s="196"/>
      <c r="S44" s="196"/>
      <c r="T44" s="196"/>
      <c r="U44" s="196"/>
    </row>
    <row r="45" spans="1:21" s="12" customFormat="1" x14ac:dyDescent="0.25">
      <c r="A45" s="211" t="s">
        <v>1145</v>
      </c>
      <c r="B45" s="64">
        <v>26.72</v>
      </c>
      <c r="C45" s="64">
        <v>20</v>
      </c>
      <c r="D45" s="64">
        <v>30.5</v>
      </c>
      <c r="E45" s="64">
        <v>6.08</v>
      </c>
      <c r="F45" s="64">
        <v>4.28</v>
      </c>
      <c r="G45" s="64">
        <v>109.82</v>
      </c>
      <c r="H45" s="64">
        <v>35.26</v>
      </c>
      <c r="I45" s="64">
        <v>5.83</v>
      </c>
      <c r="J45" s="64">
        <v>1.1499999999999999</v>
      </c>
      <c r="K45" s="64">
        <v>343.25</v>
      </c>
      <c r="L45" s="64">
        <v>21.27</v>
      </c>
      <c r="M45" s="64">
        <v>78.56</v>
      </c>
      <c r="N45" s="64">
        <v>150.1</v>
      </c>
      <c r="O45" s="64">
        <v>0</v>
      </c>
      <c r="P45" s="64">
        <v>0.93</v>
      </c>
      <c r="Q45" s="64">
        <v>9.6300000000000008</v>
      </c>
      <c r="R45" s="196"/>
      <c r="S45" s="196"/>
      <c r="T45" s="196"/>
      <c r="U45" s="196"/>
    </row>
    <row r="46" spans="1:21" s="12" customFormat="1" x14ac:dyDescent="0.25">
      <c r="A46" s="211" t="s">
        <v>1146</v>
      </c>
      <c r="B46" s="64">
        <v>26.12</v>
      </c>
      <c r="C46" s="64">
        <v>21.46</v>
      </c>
      <c r="D46" s="64">
        <v>30.78</v>
      </c>
      <c r="E46" s="64">
        <v>6.05</v>
      </c>
      <c r="F46" s="64">
        <v>4.29</v>
      </c>
      <c r="G46" s="64">
        <v>109.82</v>
      </c>
      <c r="H46" s="64">
        <v>35.26</v>
      </c>
      <c r="I46" s="64">
        <v>5.94</v>
      </c>
      <c r="J46" s="64">
        <v>1.22</v>
      </c>
      <c r="K46" s="64">
        <v>333.85</v>
      </c>
      <c r="L46" s="64">
        <v>22.29</v>
      </c>
      <c r="M46" s="64">
        <v>74.760000000000005</v>
      </c>
      <c r="N46" s="64">
        <v>220.7</v>
      </c>
      <c r="O46" s="64">
        <v>0</v>
      </c>
      <c r="P46" s="64">
        <v>0.96</v>
      </c>
      <c r="Q46" s="64">
        <v>9.6199999999999992</v>
      </c>
      <c r="R46" s="196"/>
      <c r="S46" s="196"/>
      <c r="T46" s="196"/>
      <c r="U46" s="196"/>
    </row>
    <row r="47" spans="1:21" s="12" customFormat="1" x14ac:dyDescent="0.25">
      <c r="A47" s="211" t="s">
        <v>1147</v>
      </c>
      <c r="B47" s="64">
        <v>25.22</v>
      </c>
      <c r="C47" s="64">
        <v>23.11</v>
      </c>
      <c r="D47" s="64">
        <v>30.92</v>
      </c>
      <c r="E47" s="64">
        <v>6.03</v>
      </c>
      <c r="F47" s="64">
        <v>4.41</v>
      </c>
      <c r="G47" s="64">
        <v>109.82</v>
      </c>
      <c r="H47" s="64">
        <v>35.26</v>
      </c>
      <c r="I47" s="64">
        <v>5.99</v>
      </c>
      <c r="J47" s="64">
        <v>0.92</v>
      </c>
      <c r="K47" s="64">
        <v>343.4</v>
      </c>
      <c r="L47" s="64">
        <v>23.42</v>
      </c>
      <c r="M47" s="64">
        <v>69.150000000000006</v>
      </c>
      <c r="N47" s="64">
        <v>330.5</v>
      </c>
      <c r="O47" s="64">
        <v>0</v>
      </c>
      <c r="P47" s="64">
        <v>1</v>
      </c>
      <c r="Q47" s="64">
        <v>9.64</v>
      </c>
      <c r="R47" s="196"/>
      <c r="S47" s="196"/>
      <c r="T47" s="196"/>
      <c r="U47" s="196"/>
    </row>
    <row r="48" spans="1:21" s="12" customFormat="1" x14ac:dyDescent="0.25">
      <c r="A48" s="211" t="s">
        <v>1148</v>
      </c>
      <c r="B48" s="64">
        <v>24</v>
      </c>
      <c r="C48" s="64">
        <v>24.6</v>
      </c>
      <c r="D48" s="64">
        <v>30.72</v>
      </c>
      <c r="E48" s="64">
        <v>6.49</v>
      </c>
      <c r="F48" s="64">
        <v>4.57</v>
      </c>
      <c r="G48" s="64">
        <v>113.77</v>
      </c>
      <c r="H48" s="64">
        <v>40.409999999999997</v>
      </c>
      <c r="I48" s="64">
        <v>6.02</v>
      </c>
      <c r="J48" s="64">
        <v>1.0900000000000001</v>
      </c>
      <c r="K48" s="64">
        <v>336.79</v>
      </c>
      <c r="L48" s="64">
        <v>25.25</v>
      </c>
      <c r="M48" s="64">
        <v>60.29</v>
      </c>
      <c r="N48" s="64">
        <v>430.2</v>
      </c>
      <c r="O48" s="64">
        <v>0</v>
      </c>
      <c r="P48" s="64">
        <v>1.01</v>
      </c>
      <c r="Q48" s="64">
        <v>9.6199999999999992</v>
      </c>
      <c r="R48" s="196"/>
      <c r="S48" s="196"/>
      <c r="T48" s="196"/>
      <c r="U48" s="196"/>
    </row>
    <row r="49" spans="1:21" s="12" customFormat="1" x14ac:dyDescent="0.25">
      <c r="A49" s="211" t="s">
        <v>1149</v>
      </c>
      <c r="B49" s="64">
        <v>22.18</v>
      </c>
      <c r="C49" s="64">
        <v>25.66</v>
      </c>
      <c r="D49" s="64">
        <v>29.82</v>
      </c>
      <c r="E49" s="64">
        <v>5.89</v>
      </c>
      <c r="F49" s="64">
        <v>4.78</v>
      </c>
      <c r="G49" s="64">
        <v>125.26</v>
      </c>
      <c r="H49" s="64">
        <v>50.26</v>
      </c>
      <c r="I49" s="64">
        <v>6.06</v>
      </c>
      <c r="J49" s="64">
        <v>1.1200000000000001</v>
      </c>
      <c r="K49" s="64">
        <v>338.6</v>
      </c>
      <c r="L49" s="64">
        <v>26.75</v>
      </c>
      <c r="M49" s="64">
        <v>54.96</v>
      </c>
      <c r="N49" s="64">
        <v>473</v>
      </c>
      <c r="O49" s="64">
        <v>0</v>
      </c>
      <c r="P49" s="64">
        <v>1.01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1150</v>
      </c>
      <c r="B50" s="64">
        <v>20.22</v>
      </c>
      <c r="C50" s="64">
        <v>26.66</v>
      </c>
      <c r="D50" s="64">
        <v>28.76</v>
      </c>
      <c r="E50" s="64">
        <v>6.27</v>
      </c>
      <c r="F50" s="64">
        <v>4.28</v>
      </c>
      <c r="G50" s="64">
        <v>125.26</v>
      </c>
      <c r="H50" s="64">
        <v>50.26</v>
      </c>
      <c r="I50" s="64">
        <v>6.05</v>
      </c>
      <c r="J50" s="64">
        <v>0.62</v>
      </c>
      <c r="K50" s="64">
        <v>340.61</v>
      </c>
      <c r="L50" s="64">
        <v>27.01</v>
      </c>
      <c r="M50" s="64">
        <v>54.36</v>
      </c>
      <c r="N50" s="64">
        <v>502.9</v>
      </c>
      <c r="O50" s="64">
        <v>0</v>
      </c>
      <c r="P50" s="64">
        <v>1</v>
      </c>
      <c r="Q50" s="64">
        <v>9.64</v>
      </c>
      <c r="R50" s="196"/>
      <c r="S50" s="196"/>
      <c r="T50" s="196"/>
      <c r="U50" s="196"/>
    </row>
    <row r="51" spans="1:21" s="12" customFormat="1" x14ac:dyDescent="0.25">
      <c r="A51" s="211" t="s">
        <v>1151</v>
      </c>
      <c r="B51" s="64">
        <v>18.27</v>
      </c>
      <c r="C51" s="64">
        <v>26.92</v>
      </c>
      <c r="D51" s="64">
        <v>27.34</v>
      </c>
      <c r="E51" s="64">
        <v>6.1</v>
      </c>
      <c r="F51" s="64">
        <v>4.67</v>
      </c>
      <c r="G51" s="64">
        <v>125.26</v>
      </c>
      <c r="H51" s="64">
        <v>50.26</v>
      </c>
      <c r="I51" s="64">
        <v>5.97</v>
      </c>
      <c r="J51" s="64">
        <v>0.59</v>
      </c>
      <c r="K51" s="64">
        <v>111.67</v>
      </c>
      <c r="L51" s="64">
        <v>26.89</v>
      </c>
      <c r="M51" s="64">
        <v>53.38</v>
      </c>
      <c r="N51" s="64">
        <v>531.20000000000005</v>
      </c>
      <c r="O51" s="64">
        <v>0</v>
      </c>
      <c r="P51" s="64">
        <v>1</v>
      </c>
      <c r="Q51" s="64">
        <v>9.6300000000000008</v>
      </c>
      <c r="R51" s="196"/>
      <c r="S51" s="196"/>
      <c r="T51" s="196"/>
      <c r="U51" s="196"/>
    </row>
    <row r="52" spans="1:21" s="12" customFormat="1" x14ac:dyDescent="0.25">
      <c r="A52" s="211" t="s">
        <v>1152</v>
      </c>
      <c r="B52" s="64">
        <v>16.010000000000002</v>
      </c>
      <c r="C52" s="64">
        <v>25.76</v>
      </c>
      <c r="D52" s="64">
        <v>24.92</v>
      </c>
      <c r="E52" s="64">
        <v>5.56</v>
      </c>
      <c r="F52" s="64">
        <v>3.95</v>
      </c>
      <c r="G52" s="64">
        <v>119.48</v>
      </c>
      <c r="H52" s="64">
        <v>48.81</v>
      </c>
      <c r="I52" s="64">
        <v>5.93</v>
      </c>
      <c r="J52" s="64">
        <v>0.39</v>
      </c>
      <c r="K52" s="64">
        <v>326.16000000000003</v>
      </c>
      <c r="L52" s="64">
        <v>26.3</v>
      </c>
      <c r="M52" s="64">
        <v>55.7</v>
      </c>
      <c r="N52" s="64">
        <v>538.79999999999995</v>
      </c>
      <c r="O52" s="64">
        <v>0</v>
      </c>
      <c r="P52" s="64">
        <v>0.9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1153</v>
      </c>
      <c r="B53" s="64">
        <v>14.23</v>
      </c>
      <c r="C53" s="64">
        <v>24.48</v>
      </c>
      <c r="D53" s="64">
        <v>22.82</v>
      </c>
      <c r="E53" s="64">
        <v>5.47</v>
      </c>
      <c r="F53" s="64">
        <v>4.6399999999999997</v>
      </c>
      <c r="G53" s="64">
        <v>102.64</v>
      </c>
      <c r="H53" s="64">
        <v>46.02</v>
      </c>
      <c r="I53" s="64">
        <v>5.92</v>
      </c>
      <c r="J53" s="64">
        <v>0.59</v>
      </c>
      <c r="K53" s="64">
        <v>112.57</v>
      </c>
      <c r="L53" s="64">
        <v>26.2</v>
      </c>
      <c r="M53" s="64">
        <v>55.62</v>
      </c>
      <c r="N53" s="64">
        <v>532</v>
      </c>
      <c r="O53" s="64">
        <v>0</v>
      </c>
      <c r="P53" s="64">
        <v>0.91</v>
      </c>
      <c r="Q53" s="64">
        <v>9.65</v>
      </c>
      <c r="R53" s="196"/>
      <c r="S53" s="196"/>
      <c r="T53" s="196"/>
      <c r="U53" s="196"/>
    </row>
    <row r="54" spans="1:21" s="12" customFormat="1" x14ac:dyDescent="0.25">
      <c r="A54" s="211" t="s">
        <v>1154</v>
      </c>
      <c r="B54" s="64">
        <v>12.79</v>
      </c>
      <c r="C54" s="64">
        <v>23.86</v>
      </c>
      <c r="D54" s="64">
        <v>21.34</v>
      </c>
      <c r="E54" s="64">
        <v>5.35</v>
      </c>
      <c r="F54" s="64">
        <v>4.2</v>
      </c>
      <c r="G54" s="64">
        <v>102.64</v>
      </c>
      <c r="H54" s="64">
        <v>46.02</v>
      </c>
      <c r="I54" s="64">
        <v>5.12</v>
      </c>
      <c r="J54" s="64">
        <v>0.56000000000000005</v>
      </c>
      <c r="K54" s="64">
        <v>97.47</v>
      </c>
      <c r="L54" s="64">
        <v>25.67</v>
      </c>
      <c r="M54" s="64">
        <v>56.85</v>
      </c>
      <c r="N54" s="64">
        <v>553.9</v>
      </c>
      <c r="O54" s="64">
        <v>0</v>
      </c>
      <c r="P54" s="64">
        <v>0.9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1155</v>
      </c>
      <c r="B55" s="64">
        <v>11.33</v>
      </c>
      <c r="C55" s="64">
        <v>23.36</v>
      </c>
      <c r="D55" s="64">
        <v>19.920000000000002</v>
      </c>
      <c r="E55" s="64">
        <v>5.55</v>
      </c>
      <c r="F55" s="64">
        <v>4.6100000000000003</v>
      </c>
      <c r="G55" s="64">
        <v>102.64</v>
      </c>
      <c r="H55" s="64">
        <v>46.02</v>
      </c>
      <c r="I55" s="64">
        <v>5.42</v>
      </c>
      <c r="J55" s="64">
        <v>0.26</v>
      </c>
      <c r="K55" s="64">
        <v>16.22</v>
      </c>
      <c r="L55" s="64">
        <v>26.34</v>
      </c>
      <c r="M55" s="64">
        <v>53.44</v>
      </c>
      <c r="N55" s="64">
        <v>554.5</v>
      </c>
      <c r="O55" s="64">
        <v>0</v>
      </c>
      <c r="P55" s="64">
        <v>0.85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1156</v>
      </c>
      <c r="B56" s="64">
        <v>10.039999999999999</v>
      </c>
      <c r="C56" s="64">
        <v>23.05</v>
      </c>
      <c r="D56" s="64">
        <v>18.72</v>
      </c>
      <c r="E56" s="64">
        <v>5.17</v>
      </c>
      <c r="F56" s="64">
        <v>4.37</v>
      </c>
      <c r="G56" s="64">
        <v>97.31</v>
      </c>
      <c r="H56" s="64">
        <v>46.15</v>
      </c>
      <c r="I56" s="64">
        <v>5.69</v>
      </c>
      <c r="J56" s="64">
        <v>0.61</v>
      </c>
      <c r="K56" s="64">
        <v>346.69</v>
      </c>
      <c r="L56" s="64">
        <v>28.69</v>
      </c>
      <c r="M56" s="64">
        <v>45.4</v>
      </c>
      <c r="N56" s="64">
        <v>556.9</v>
      </c>
      <c r="O56" s="64">
        <v>0</v>
      </c>
      <c r="P56" s="64">
        <v>0.9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1157</v>
      </c>
      <c r="B57" s="64">
        <v>8.92</v>
      </c>
      <c r="C57" s="64">
        <v>22.67</v>
      </c>
      <c r="D57" s="64">
        <v>17.62</v>
      </c>
      <c r="E57" s="64">
        <v>5.28</v>
      </c>
      <c r="F57" s="64">
        <v>4.62</v>
      </c>
      <c r="G57" s="64">
        <v>81.78</v>
      </c>
      <c r="H57" s="64">
        <v>46.66</v>
      </c>
      <c r="I57" s="64">
        <v>6.02</v>
      </c>
      <c r="J57" s="64">
        <v>1.56</v>
      </c>
      <c r="K57" s="64">
        <v>117.51</v>
      </c>
      <c r="L57" s="64">
        <v>26.03</v>
      </c>
      <c r="M57" s="64">
        <v>46.69</v>
      </c>
      <c r="N57" s="64">
        <v>477.5</v>
      </c>
      <c r="O57" s="64">
        <v>0</v>
      </c>
      <c r="P57" s="64">
        <v>0.87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1158</v>
      </c>
      <c r="B58" s="64">
        <v>7.66</v>
      </c>
      <c r="C58" s="64">
        <v>22</v>
      </c>
      <c r="D58" s="64">
        <v>16.260000000000002</v>
      </c>
      <c r="E58" s="64">
        <v>5.64</v>
      </c>
      <c r="F58" s="64">
        <v>4.55</v>
      </c>
      <c r="G58" s="64">
        <v>81.78</v>
      </c>
      <c r="H58" s="64">
        <v>46.66</v>
      </c>
      <c r="I58" s="64">
        <v>6.3</v>
      </c>
      <c r="J58" s="64">
        <v>0.49</v>
      </c>
      <c r="K58" s="64">
        <v>81.2</v>
      </c>
      <c r="L58" s="64">
        <v>24.87</v>
      </c>
      <c r="M58" s="64">
        <v>50.09</v>
      </c>
      <c r="N58" s="64">
        <v>204.3</v>
      </c>
      <c r="O58" s="64">
        <v>0</v>
      </c>
      <c r="P58" s="64">
        <v>0.81</v>
      </c>
      <c r="Q58" s="64">
        <v>9.6300000000000008</v>
      </c>
      <c r="R58" s="196"/>
      <c r="S58" s="196"/>
      <c r="T58" s="196"/>
      <c r="U58" s="196"/>
    </row>
    <row r="59" spans="1:21" s="12" customFormat="1" x14ac:dyDescent="0.25">
      <c r="A59" s="211" t="s">
        <v>1159</v>
      </c>
      <c r="B59" s="64">
        <v>6.7</v>
      </c>
      <c r="C59" s="64">
        <v>22.09</v>
      </c>
      <c r="D59" s="64">
        <v>15.54</v>
      </c>
      <c r="E59" s="64">
        <v>5.89</v>
      </c>
      <c r="F59" s="64">
        <v>4.37</v>
      </c>
      <c r="G59" s="64">
        <v>81.78</v>
      </c>
      <c r="H59" s="64">
        <v>46.66</v>
      </c>
      <c r="I59" s="64">
        <v>6.85</v>
      </c>
      <c r="J59" s="64">
        <v>1.29</v>
      </c>
      <c r="K59" s="64">
        <v>322.41000000000003</v>
      </c>
      <c r="L59" s="64">
        <v>25.46</v>
      </c>
      <c r="M59" s="64">
        <v>57.26</v>
      </c>
      <c r="N59" s="64">
        <v>127.6</v>
      </c>
      <c r="O59" s="64">
        <v>0</v>
      </c>
      <c r="P59" s="64">
        <v>0.9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1160</v>
      </c>
      <c r="B60" s="64">
        <v>6.67</v>
      </c>
      <c r="C60" s="64">
        <v>24.88</v>
      </c>
      <c r="D60" s="64">
        <v>16.97</v>
      </c>
      <c r="E60" s="64">
        <v>5.82</v>
      </c>
      <c r="F60" s="64">
        <v>4.3899999999999997</v>
      </c>
      <c r="G60" s="64">
        <v>87.21</v>
      </c>
      <c r="H60" s="64">
        <v>46.66</v>
      </c>
      <c r="I60" s="64">
        <v>6.73</v>
      </c>
      <c r="J60" s="64">
        <v>1.91</v>
      </c>
      <c r="K60" s="64">
        <v>336.98</v>
      </c>
      <c r="L60" s="64">
        <v>25.47</v>
      </c>
      <c r="M60" s="64">
        <v>56.35</v>
      </c>
      <c r="N60" s="64">
        <v>166.1</v>
      </c>
      <c r="O60" s="64">
        <v>0</v>
      </c>
      <c r="P60" s="64">
        <v>0.9</v>
      </c>
      <c r="Q60" s="64">
        <v>9.6199999999999992</v>
      </c>
      <c r="R60" s="196"/>
      <c r="S60" s="196"/>
      <c r="T60" s="196"/>
      <c r="U60" s="196"/>
    </row>
    <row r="61" spans="1:21" s="12" customFormat="1" x14ac:dyDescent="0.25">
      <c r="A61" s="211" t="s">
        <v>1161</v>
      </c>
      <c r="B61" s="64">
        <v>6.96</v>
      </c>
      <c r="C61" s="64">
        <v>26.5</v>
      </c>
      <c r="D61" s="64">
        <v>18.05</v>
      </c>
      <c r="E61" s="64">
        <v>6.47</v>
      </c>
      <c r="F61" s="64">
        <v>4.33</v>
      </c>
      <c r="G61" s="64">
        <v>103.01</v>
      </c>
      <c r="H61" s="64">
        <v>46.65</v>
      </c>
      <c r="I61" s="64">
        <v>6.97</v>
      </c>
      <c r="J61" s="64">
        <v>1.63</v>
      </c>
      <c r="K61" s="64">
        <v>333.57</v>
      </c>
      <c r="L61" s="64">
        <v>25.8</v>
      </c>
      <c r="M61" s="64">
        <v>54.71</v>
      </c>
      <c r="N61" s="64">
        <v>230.6</v>
      </c>
      <c r="O61" s="64">
        <v>0</v>
      </c>
      <c r="P61" s="64">
        <v>0.9</v>
      </c>
      <c r="Q61" s="64">
        <v>9.6300000000000008</v>
      </c>
      <c r="R61" s="196"/>
      <c r="S61" s="196"/>
      <c r="T61" s="196"/>
      <c r="U61" s="196"/>
    </row>
    <row r="62" spans="1:21" s="12" customFormat="1" x14ac:dyDescent="0.25">
      <c r="A62" s="211" t="s">
        <v>1162</v>
      </c>
      <c r="B62" s="64">
        <v>6.87</v>
      </c>
      <c r="C62" s="64">
        <v>27.51</v>
      </c>
      <c r="D62" s="64">
        <v>18.5</v>
      </c>
      <c r="E62" s="64">
        <v>6.44</v>
      </c>
      <c r="F62" s="64">
        <v>4.57</v>
      </c>
      <c r="G62" s="64">
        <v>103.01</v>
      </c>
      <c r="H62" s="64">
        <v>46.65</v>
      </c>
      <c r="I62" s="64">
        <v>7.14</v>
      </c>
      <c r="J62" s="64">
        <v>1.69</v>
      </c>
      <c r="K62" s="64">
        <v>338.19</v>
      </c>
      <c r="L62" s="64">
        <v>26.69</v>
      </c>
      <c r="M62" s="64">
        <v>47.86</v>
      </c>
      <c r="N62" s="64">
        <v>208.6</v>
      </c>
      <c r="O62" s="64">
        <v>0</v>
      </c>
      <c r="P62" s="64">
        <v>0.92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1163</v>
      </c>
      <c r="B63" s="64">
        <v>6.29</v>
      </c>
      <c r="C63" s="64">
        <v>27.79</v>
      </c>
      <c r="D63" s="64">
        <v>18.190000000000001</v>
      </c>
      <c r="E63" s="64">
        <v>6.5</v>
      </c>
      <c r="F63" s="64">
        <v>5.0199999999999996</v>
      </c>
      <c r="G63" s="64">
        <v>103.01</v>
      </c>
      <c r="H63" s="64">
        <v>46.65</v>
      </c>
      <c r="I63" s="64">
        <v>7.01</v>
      </c>
      <c r="J63" s="64">
        <v>0.41</v>
      </c>
      <c r="K63" s="64">
        <v>35.200000000000003</v>
      </c>
      <c r="L63" s="64">
        <v>25.54</v>
      </c>
      <c r="M63" s="64">
        <v>49.95</v>
      </c>
      <c r="N63" s="64">
        <v>136.80000000000001</v>
      </c>
      <c r="O63" s="64">
        <v>0</v>
      </c>
      <c r="P63" s="64">
        <v>0.92</v>
      </c>
      <c r="Q63" s="64">
        <v>9.6300000000000008</v>
      </c>
      <c r="R63" s="196"/>
      <c r="S63" s="196"/>
      <c r="T63" s="196"/>
      <c r="U63" s="196"/>
    </row>
    <row r="64" spans="1:21" s="12" customFormat="1" x14ac:dyDescent="0.25">
      <c r="A64" s="211" t="s">
        <v>1164</v>
      </c>
      <c r="B64" s="64">
        <v>5.55</v>
      </c>
      <c r="C64" s="64">
        <v>26.73</v>
      </c>
      <c r="D64" s="64">
        <v>17.04</v>
      </c>
      <c r="E64" s="64">
        <v>6.21</v>
      </c>
      <c r="F64" s="64">
        <v>5.12</v>
      </c>
      <c r="G64" s="64">
        <v>105.73</v>
      </c>
      <c r="H64" s="64">
        <v>48.03</v>
      </c>
      <c r="I64" s="64">
        <v>6.8</v>
      </c>
      <c r="J64" s="64">
        <v>1.39</v>
      </c>
      <c r="K64" s="64">
        <v>344.41</v>
      </c>
      <c r="L64" s="64">
        <v>24.9</v>
      </c>
      <c r="M64" s="64">
        <v>51.5</v>
      </c>
      <c r="N64" s="64">
        <v>90.2</v>
      </c>
      <c r="O64" s="64">
        <v>0</v>
      </c>
      <c r="P64" s="64">
        <v>0.91</v>
      </c>
      <c r="Q64" s="64">
        <v>9.6300000000000008</v>
      </c>
      <c r="R64" s="196"/>
      <c r="S64" s="196"/>
      <c r="T64" s="196"/>
      <c r="U64" s="196"/>
    </row>
    <row r="65" spans="1:21" s="12" customFormat="1" x14ac:dyDescent="0.25">
      <c r="A65" s="211" t="s">
        <v>1165</v>
      </c>
      <c r="B65" s="64">
        <v>5.3</v>
      </c>
      <c r="C65" s="64">
        <v>27.82</v>
      </c>
      <c r="D65" s="64">
        <v>17.41</v>
      </c>
      <c r="E65" s="64">
        <v>6.23</v>
      </c>
      <c r="F65" s="64">
        <v>4.63</v>
      </c>
      <c r="G65" s="64">
        <v>113.65</v>
      </c>
      <c r="H65" s="64">
        <v>50.68</v>
      </c>
      <c r="I65" s="64">
        <v>6.06</v>
      </c>
      <c r="J65" s="64">
        <v>0.73</v>
      </c>
      <c r="K65" s="64">
        <v>342.11</v>
      </c>
      <c r="L65" s="64">
        <v>24.89</v>
      </c>
      <c r="M65" s="64">
        <v>50.59</v>
      </c>
      <c r="N65" s="64">
        <v>113.4</v>
      </c>
      <c r="O65" s="64">
        <v>0</v>
      </c>
      <c r="P65" s="64">
        <v>0.92</v>
      </c>
      <c r="Q65" s="64">
        <v>9.61</v>
      </c>
      <c r="R65" s="196"/>
      <c r="S65" s="196"/>
      <c r="T65" s="196"/>
      <c r="U65" s="196"/>
    </row>
    <row r="66" spans="1:21" s="12" customFormat="1" x14ac:dyDescent="0.25">
      <c r="A66" s="211" t="s">
        <v>1166</v>
      </c>
      <c r="B66" s="64">
        <v>5.23</v>
      </c>
      <c r="C66" s="64">
        <v>28.14</v>
      </c>
      <c r="D66" s="64">
        <v>17.52</v>
      </c>
      <c r="E66" s="64">
        <v>5.78</v>
      </c>
      <c r="F66" s="64">
        <v>4.71</v>
      </c>
      <c r="G66" s="64">
        <v>113.65</v>
      </c>
      <c r="H66" s="64">
        <v>50.68</v>
      </c>
      <c r="I66" s="64">
        <v>6.05</v>
      </c>
      <c r="J66" s="64">
        <v>1.23</v>
      </c>
      <c r="K66" s="64">
        <v>342.87</v>
      </c>
      <c r="L66" s="64">
        <v>25.18</v>
      </c>
      <c r="M66" s="64">
        <v>50.41</v>
      </c>
      <c r="N66" s="64">
        <v>113.6</v>
      </c>
      <c r="O66" s="64">
        <v>0</v>
      </c>
      <c r="P66" s="64">
        <v>0.94</v>
      </c>
      <c r="Q66" s="64">
        <v>9.6300000000000008</v>
      </c>
      <c r="R66" s="196"/>
      <c r="S66" s="196"/>
      <c r="T66" s="196"/>
      <c r="U66" s="196"/>
    </row>
    <row r="67" spans="1:21" s="12" customFormat="1" x14ac:dyDescent="0.25">
      <c r="A67" s="211" t="s">
        <v>1167</v>
      </c>
      <c r="B67" s="64">
        <v>5.29</v>
      </c>
      <c r="C67" s="64">
        <v>28.09</v>
      </c>
      <c r="D67" s="64">
        <v>17.54</v>
      </c>
      <c r="E67" s="64">
        <v>5.96</v>
      </c>
      <c r="F67" s="64">
        <v>4.76</v>
      </c>
      <c r="G67" s="64">
        <v>113.65</v>
      </c>
      <c r="H67" s="64">
        <v>50.68</v>
      </c>
      <c r="I67" s="64">
        <v>5.65</v>
      </c>
      <c r="J67" s="64">
        <v>1.1100000000000001</v>
      </c>
      <c r="K67" s="64">
        <v>341.35</v>
      </c>
      <c r="L67" s="64">
        <v>25.26</v>
      </c>
      <c r="M67" s="64">
        <v>48.94</v>
      </c>
      <c r="N67" s="64">
        <v>136</v>
      </c>
      <c r="O67" s="64">
        <v>0</v>
      </c>
      <c r="P67" s="64">
        <v>0.95</v>
      </c>
      <c r="Q67" s="64">
        <v>9.6199999999999992</v>
      </c>
      <c r="R67" s="196"/>
      <c r="S67" s="196"/>
      <c r="T67" s="196"/>
      <c r="U67" s="196"/>
    </row>
    <row r="68" spans="1:21" s="12" customFormat="1" x14ac:dyDescent="0.25">
      <c r="A68" s="211" t="s">
        <v>1168</v>
      </c>
      <c r="B68" s="64">
        <v>5.37</v>
      </c>
      <c r="C68" s="64">
        <v>28.23</v>
      </c>
      <c r="D68" s="64">
        <v>17.68</v>
      </c>
      <c r="E68" s="64">
        <v>5.79</v>
      </c>
      <c r="F68" s="64">
        <v>4.59</v>
      </c>
      <c r="G68" s="64">
        <v>110.99</v>
      </c>
      <c r="H68" s="64">
        <v>49.95</v>
      </c>
      <c r="I68" s="64">
        <v>5.1100000000000003</v>
      </c>
      <c r="J68" s="64">
        <v>1.32</v>
      </c>
      <c r="K68" s="64">
        <v>340.34</v>
      </c>
      <c r="L68" s="64">
        <v>25.6</v>
      </c>
      <c r="M68" s="64">
        <v>46.85</v>
      </c>
      <c r="N68" s="64">
        <v>146.9</v>
      </c>
      <c r="O68" s="64">
        <v>0</v>
      </c>
      <c r="P68" s="64">
        <v>0.94</v>
      </c>
      <c r="Q68" s="64">
        <v>9.6300000000000008</v>
      </c>
      <c r="R68" s="196"/>
      <c r="S68" s="196"/>
      <c r="T68" s="196"/>
      <c r="U68" s="196"/>
    </row>
    <row r="69" spans="1:21" s="12" customFormat="1" x14ac:dyDescent="0.25">
      <c r="A69" s="211" t="s">
        <v>1169</v>
      </c>
      <c r="B69" s="64">
        <v>5.39</v>
      </c>
      <c r="C69" s="64">
        <v>28.61</v>
      </c>
      <c r="D69" s="64">
        <v>17.899999999999999</v>
      </c>
      <c r="E69" s="64">
        <v>6.09</v>
      </c>
      <c r="F69" s="64">
        <v>4.18</v>
      </c>
      <c r="G69" s="64">
        <v>103.25</v>
      </c>
      <c r="H69" s="64">
        <v>48.55</v>
      </c>
      <c r="I69" s="64">
        <v>5.42</v>
      </c>
      <c r="J69" s="64">
        <v>1.26</v>
      </c>
      <c r="K69" s="64">
        <v>342.1</v>
      </c>
      <c r="L69" s="64">
        <v>25.74</v>
      </c>
      <c r="M69" s="64">
        <v>47.46</v>
      </c>
      <c r="N69" s="64">
        <v>137.1</v>
      </c>
      <c r="O69" s="64">
        <v>0</v>
      </c>
      <c r="P69" s="64">
        <v>0.93</v>
      </c>
      <c r="Q69" s="64">
        <v>9.6300000000000008</v>
      </c>
      <c r="R69" s="196"/>
      <c r="S69" s="196"/>
      <c r="T69" s="196"/>
      <c r="U69" s="196"/>
    </row>
    <row r="70" spans="1:21" s="12" customFormat="1" x14ac:dyDescent="0.25">
      <c r="A70" s="211" t="s">
        <v>1170</v>
      </c>
      <c r="B70" s="64">
        <v>5.5</v>
      </c>
      <c r="C70" s="64">
        <v>27.03</v>
      </c>
      <c r="D70" s="64">
        <v>17.16</v>
      </c>
      <c r="E70" s="64">
        <v>5.44</v>
      </c>
      <c r="F70" s="64">
        <v>5.14</v>
      </c>
      <c r="G70" s="64">
        <v>103.25</v>
      </c>
      <c r="H70" s="64">
        <v>48.55</v>
      </c>
      <c r="I70" s="64">
        <v>5.68</v>
      </c>
      <c r="J70" s="64">
        <v>1.0900000000000001</v>
      </c>
      <c r="K70" s="64">
        <v>342.78</v>
      </c>
      <c r="L70" s="64">
        <v>25.55</v>
      </c>
      <c r="M70" s="64">
        <v>44.55</v>
      </c>
      <c r="N70" s="64">
        <v>121.8</v>
      </c>
      <c r="O70" s="64">
        <v>0</v>
      </c>
      <c r="P70" s="64">
        <v>0.85</v>
      </c>
      <c r="Q70" s="64">
        <v>9.6300000000000008</v>
      </c>
      <c r="R70" s="196"/>
      <c r="S70" s="196"/>
      <c r="T70" s="196"/>
      <c r="U70" s="196"/>
    </row>
    <row r="71" spans="1:21" s="12" customFormat="1" x14ac:dyDescent="0.25">
      <c r="A71" s="211" t="s">
        <v>1171</v>
      </c>
      <c r="B71" s="64">
        <v>5.6</v>
      </c>
      <c r="C71" s="64">
        <v>26.82</v>
      </c>
      <c r="D71" s="64">
        <v>17.13</v>
      </c>
      <c r="E71" s="64">
        <v>5.36</v>
      </c>
      <c r="F71" s="64">
        <v>5.52</v>
      </c>
      <c r="G71" s="64">
        <v>103.25</v>
      </c>
      <c r="H71" s="64">
        <v>48.55</v>
      </c>
      <c r="I71" s="64">
        <v>4.4800000000000004</v>
      </c>
      <c r="J71" s="64">
        <v>1</v>
      </c>
      <c r="K71" s="64">
        <v>339.6</v>
      </c>
      <c r="L71" s="64">
        <v>25.26</v>
      </c>
      <c r="M71" s="64">
        <v>44.97</v>
      </c>
      <c r="N71" s="64">
        <v>95.1</v>
      </c>
      <c r="O71" s="64">
        <v>0</v>
      </c>
      <c r="P71" s="64">
        <v>0.86</v>
      </c>
      <c r="Q71" s="64">
        <v>9.6199999999999992</v>
      </c>
      <c r="R71" s="196"/>
      <c r="S71" s="196"/>
      <c r="T71" s="196"/>
      <c r="U71" s="196"/>
    </row>
    <row r="72" spans="1:21" s="12" customFormat="1" x14ac:dyDescent="0.25">
      <c r="A72" s="211" t="s">
        <v>1172</v>
      </c>
      <c r="B72" s="64">
        <v>5.58</v>
      </c>
      <c r="C72" s="64">
        <v>26.88</v>
      </c>
      <c r="D72" s="64">
        <v>17.14</v>
      </c>
      <c r="E72" s="64">
        <v>4.8899999999999997</v>
      </c>
      <c r="F72" s="64">
        <v>5.38</v>
      </c>
      <c r="G72" s="64">
        <v>103.32</v>
      </c>
      <c r="H72" s="64">
        <v>48.77</v>
      </c>
      <c r="I72" s="64">
        <v>3.52</v>
      </c>
      <c r="J72" s="64">
        <v>0.84</v>
      </c>
      <c r="K72" s="64">
        <v>340.3</v>
      </c>
      <c r="L72" s="64">
        <v>24.82</v>
      </c>
      <c r="M72" s="64">
        <v>45.87</v>
      </c>
      <c r="N72" s="64">
        <v>84.7</v>
      </c>
      <c r="O72" s="64">
        <v>0</v>
      </c>
      <c r="P72" s="64">
        <v>0.91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1173</v>
      </c>
      <c r="B73" s="64">
        <v>5.58</v>
      </c>
      <c r="C73" s="64">
        <v>26.84</v>
      </c>
      <c r="D73" s="64">
        <v>17.13</v>
      </c>
      <c r="E73" s="64">
        <v>5.43</v>
      </c>
      <c r="F73" s="64">
        <v>5.12</v>
      </c>
      <c r="G73" s="64">
        <v>103.52</v>
      </c>
      <c r="H73" s="64">
        <v>49.66</v>
      </c>
      <c r="I73" s="64">
        <v>3.41</v>
      </c>
      <c r="J73" s="64">
        <v>1.38</v>
      </c>
      <c r="K73" s="64">
        <v>342.25</v>
      </c>
      <c r="L73" s="64">
        <v>24.73</v>
      </c>
      <c r="M73" s="64">
        <v>46.03</v>
      </c>
      <c r="N73" s="64">
        <v>84.9</v>
      </c>
      <c r="O73" s="64">
        <v>0</v>
      </c>
      <c r="P73" s="64">
        <v>0.87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1174</v>
      </c>
      <c r="B74" s="64">
        <v>5.74</v>
      </c>
      <c r="C74" s="64">
        <v>26.56</v>
      </c>
      <c r="D74" s="64">
        <v>17.100000000000001</v>
      </c>
      <c r="E74" s="64">
        <v>4.92</v>
      </c>
      <c r="F74" s="64">
        <v>5.0199999999999996</v>
      </c>
      <c r="G74" s="64">
        <v>103.52</v>
      </c>
      <c r="H74" s="64">
        <v>49.66</v>
      </c>
      <c r="I74" s="64">
        <v>3.18</v>
      </c>
      <c r="J74" s="64">
        <v>1.1599999999999999</v>
      </c>
      <c r="K74" s="64">
        <v>343.87</v>
      </c>
      <c r="L74" s="64">
        <v>24.63</v>
      </c>
      <c r="M74" s="64">
        <v>46.67</v>
      </c>
      <c r="N74" s="64">
        <v>66.900000000000006</v>
      </c>
      <c r="O74" s="64">
        <v>0</v>
      </c>
      <c r="P74" s="64">
        <v>0.87</v>
      </c>
      <c r="Q74" s="64">
        <v>9.6199999999999992</v>
      </c>
      <c r="R74" s="196"/>
      <c r="S74" s="196"/>
      <c r="T74" s="196"/>
      <c r="U74" s="196"/>
    </row>
    <row r="75" spans="1:21" s="12" customFormat="1" x14ac:dyDescent="0.25">
      <c r="A75" s="211" t="s">
        <v>1175</v>
      </c>
      <c r="B75" s="64">
        <v>6.2</v>
      </c>
      <c r="C75" s="64">
        <v>26.7</v>
      </c>
      <c r="D75" s="64">
        <v>17.54</v>
      </c>
      <c r="E75" s="64">
        <v>5.0199999999999996</v>
      </c>
      <c r="F75" s="64">
        <v>5.04</v>
      </c>
      <c r="G75" s="64">
        <v>103.52</v>
      </c>
      <c r="H75" s="64">
        <v>49.66</v>
      </c>
      <c r="I75" s="64">
        <v>3.47</v>
      </c>
      <c r="J75" s="64">
        <v>1.01</v>
      </c>
      <c r="K75" s="64">
        <v>343.55</v>
      </c>
      <c r="L75" s="64">
        <v>24.26</v>
      </c>
      <c r="M75" s="64">
        <v>46.77</v>
      </c>
      <c r="N75" s="64">
        <v>52.6</v>
      </c>
      <c r="O75" s="64">
        <v>0</v>
      </c>
      <c r="P75" s="64">
        <v>0.96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1176</v>
      </c>
      <c r="B76" s="64">
        <v>6.39</v>
      </c>
      <c r="C76" s="64">
        <v>26.57</v>
      </c>
      <c r="D76" s="64">
        <v>17.63</v>
      </c>
      <c r="E76" s="64">
        <v>5.29</v>
      </c>
      <c r="F76" s="64">
        <v>5.46</v>
      </c>
      <c r="G76" s="64">
        <v>101.51</v>
      </c>
      <c r="H76" s="64">
        <v>47.91</v>
      </c>
      <c r="I76" s="64">
        <v>3.84</v>
      </c>
      <c r="J76" s="64">
        <v>0.31</v>
      </c>
      <c r="K76" s="64">
        <v>9.52</v>
      </c>
      <c r="L76" s="64">
        <v>23.69</v>
      </c>
      <c r="M76" s="64">
        <v>47.15</v>
      </c>
      <c r="N76" s="64">
        <v>40.1</v>
      </c>
      <c r="O76" s="64">
        <v>0</v>
      </c>
      <c r="P76" s="64">
        <v>1.1200000000000001</v>
      </c>
      <c r="Q76" s="64">
        <v>9.64</v>
      </c>
      <c r="R76" s="196"/>
      <c r="S76" s="196"/>
      <c r="T76" s="196"/>
      <c r="U76" s="196"/>
    </row>
    <row r="77" spans="1:21" s="12" customFormat="1" x14ac:dyDescent="0.25">
      <c r="A77" s="211" t="s">
        <v>1177</v>
      </c>
      <c r="B77" s="64">
        <v>6.28</v>
      </c>
      <c r="C77" s="64">
        <v>27.02</v>
      </c>
      <c r="D77" s="64">
        <v>17.78</v>
      </c>
      <c r="E77" s="64">
        <v>4.99</v>
      </c>
      <c r="F77" s="64">
        <v>4.58</v>
      </c>
      <c r="G77" s="64">
        <v>95.66</v>
      </c>
      <c r="H77" s="64">
        <v>44.58</v>
      </c>
      <c r="I77" s="64">
        <v>3.89</v>
      </c>
      <c r="J77" s="64">
        <v>0.37</v>
      </c>
      <c r="K77" s="64">
        <v>91.08</v>
      </c>
      <c r="L77" s="64">
        <v>22.93</v>
      </c>
      <c r="M77" s="64">
        <v>47.97</v>
      </c>
      <c r="N77" s="64">
        <v>32.700000000000003</v>
      </c>
      <c r="O77" s="64">
        <v>0</v>
      </c>
      <c r="P77" s="64">
        <v>0.93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1178</v>
      </c>
      <c r="B78" s="64">
        <v>6.12</v>
      </c>
      <c r="C78" s="64">
        <v>27.48</v>
      </c>
      <c r="D78" s="64">
        <v>17.89</v>
      </c>
      <c r="E78" s="64">
        <v>5.14</v>
      </c>
      <c r="F78" s="64">
        <v>4.59</v>
      </c>
      <c r="G78" s="64">
        <v>95.66</v>
      </c>
      <c r="H78" s="64">
        <v>44.58</v>
      </c>
      <c r="I78" s="64">
        <v>4.8099999999999996</v>
      </c>
      <c r="J78" s="64">
        <v>0.59</v>
      </c>
      <c r="K78" s="64">
        <v>89.24</v>
      </c>
      <c r="L78" s="64">
        <v>22.43</v>
      </c>
      <c r="M78" s="64">
        <v>49.37</v>
      </c>
      <c r="N78" s="64">
        <v>28.1</v>
      </c>
      <c r="O78" s="64">
        <v>0</v>
      </c>
      <c r="P78" s="64">
        <v>0.97</v>
      </c>
      <c r="Q78" s="64">
        <v>9.6300000000000008</v>
      </c>
      <c r="R78" s="196"/>
      <c r="S78" s="196"/>
      <c r="T78" s="196"/>
      <c r="U78" s="196"/>
    </row>
    <row r="79" spans="1:21" s="12" customFormat="1" x14ac:dyDescent="0.25">
      <c r="A79" s="211" t="s">
        <v>1179</v>
      </c>
      <c r="B79" s="64">
        <v>5.86</v>
      </c>
      <c r="C79" s="64">
        <v>27.05</v>
      </c>
      <c r="D79" s="64">
        <v>17.46</v>
      </c>
      <c r="E79" s="64">
        <v>5.18</v>
      </c>
      <c r="F79" s="64">
        <v>4.83</v>
      </c>
      <c r="G79" s="64">
        <v>95.66</v>
      </c>
      <c r="H79" s="64">
        <v>44.58</v>
      </c>
      <c r="I79" s="64">
        <v>4.84</v>
      </c>
      <c r="J79" s="64">
        <v>0.45</v>
      </c>
      <c r="K79" s="64">
        <v>85.02</v>
      </c>
      <c r="L79" s="64">
        <v>22</v>
      </c>
      <c r="M79" s="64">
        <v>51.92</v>
      </c>
      <c r="N79" s="64">
        <v>26.6</v>
      </c>
      <c r="O79" s="64">
        <v>0</v>
      </c>
      <c r="P79" s="64">
        <v>0.9</v>
      </c>
      <c r="Q79" s="64">
        <v>9.6199999999999992</v>
      </c>
      <c r="R79" s="196"/>
      <c r="S79" s="196"/>
      <c r="T79" s="196"/>
      <c r="U79" s="196"/>
    </row>
    <row r="80" spans="1:21" s="12" customFormat="1" x14ac:dyDescent="0.25">
      <c r="A80" s="211" t="s">
        <v>1180</v>
      </c>
      <c r="B80" s="64">
        <v>5.97</v>
      </c>
      <c r="C80" s="64">
        <v>27.98</v>
      </c>
      <c r="D80" s="64">
        <v>18.03</v>
      </c>
      <c r="E80" s="64">
        <v>5.35</v>
      </c>
      <c r="F80" s="64">
        <v>4.0999999999999996</v>
      </c>
      <c r="G80" s="64">
        <v>97.07</v>
      </c>
      <c r="H80" s="64">
        <v>43.85</v>
      </c>
      <c r="I80" s="64">
        <v>4.42</v>
      </c>
      <c r="J80" s="64">
        <v>0.47</v>
      </c>
      <c r="K80" s="64">
        <v>77.42</v>
      </c>
      <c r="L80" s="64">
        <v>21.76</v>
      </c>
      <c r="M80" s="64">
        <v>54.59</v>
      </c>
      <c r="N80" s="64">
        <v>26.3</v>
      </c>
      <c r="O80" s="64">
        <v>0</v>
      </c>
      <c r="P80" s="64">
        <v>1.26</v>
      </c>
      <c r="Q80" s="64">
        <v>9.6199999999999992</v>
      </c>
      <c r="R80" s="196"/>
      <c r="S80" s="196"/>
      <c r="T80" s="196"/>
      <c r="U80" s="196"/>
    </row>
    <row r="81" spans="1:26" s="12" customFormat="1" x14ac:dyDescent="0.25">
      <c r="A81" s="211" t="s">
        <v>1181</v>
      </c>
      <c r="B81" s="64">
        <v>7.58</v>
      </c>
      <c r="C81" s="64">
        <v>28.96</v>
      </c>
      <c r="D81" s="64">
        <v>19.829999999999998</v>
      </c>
      <c r="E81" s="64">
        <v>5.77</v>
      </c>
      <c r="F81" s="64">
        <v>4.08</v>
      </c>
      <c r="G81" s="64">
        <v>101.19</v>
      </c>
      <c r="H81" s="64">
        <v>42.39</v>
      </c>
      <c r="I81" s="64">
        <v>4.74</v>
      </c>
      <c r="J81" s="64">
        <v>0.27</v>
      </c>
      <c r="K81" s="64">
        <v>325.35000000000002</v>
      </c>
      <c r="L81" s="64">
        <v>21.51</v>
      </c>
      <c r="M81" s="64">
        <v>58.15</v>
      </c>
      <c r="N81" s="64">
        <v>26.1</v>
      </c>
      <c r="O81" s="64">
        <v>0</v>
      </c>
      <c r="P81" s="64">
        <v>1.51</v>
      </c>
      <c r="Q81" s="64">
        <v>9.6199999999999992</v>
      </c>
      <c r="R81" s="196"/>
      <c r="S81" s="196"/>
      <c r="T81" s="196"/>
      <c r="U81" s="196"/>
    </row>
    <row r="82" spans="1:26" s="12" customFormat="1" x14ac:dyDescent="0.25">
      <c r="A82" s="211" t="s">
        <v>1182</v>
      </c>
      <c r="B82" s="64">
        <v>10.08</v>
      </c>
      <c r="C82" s="64">
        <v>30.07</v>
      </c>
      <c r="D82" s="64">
        <v>22.41</v>
      </c>
      <c r="E82" s="64">
        <v>5.31</v>
      </c>
      <c r="F82" s="64">
        <v>4.3899999999999997</v>
      </c>
      <c r="G82" s="64">
        <v>101.19</v>
      </c>
      <c r="H82" s="64">
        <v>42.39</v>
      </c>
      <c r="I82" s="64">
        <v>5.45</v>
      </c>
      <c r="J82" s="64">
        <v>0.45</v>
      </c>
      <c r="K82" s="64">
        <v>68.63</v>
      </c>
      <c r="L82" s="64">
        <v>21.28</v>
      </c>
      <c r="M82" s="64">
        <v>57.9</v>
      </c>
      <c r="N82" s="64">
        <v>26.1</v>
      </c>
      <c r="O82" s="64">
        <v>0</v>
      </c>
      <c r="P82" s="64">
        <v>1.28</v>
      </c>
      <c r="Q82" s="64">
        <v>9.6199999999999992</v>
      </c>
      <c r="R82" s="196"/>
      <c r="S82" s="196"/>
      <c r="T82" s="196"/>
      <c r="U82" s="196"/>
    </row>
    <row r="83" spans="1:26" s="12" customFormat="1" x14ac:dyDescent="0.25">
      <c r="A83" s="211" t="s">
        <v>1183</v>
      </c>
      <c r="B83" s="64">
        <v>11.17</v>
      </c>
      <c r="C83" s="64">
        <v>30.47</v>
      </c>
      <c r="D83" s="64">
        <v>23.5</v>
      </c>
      <c r="E83" s="64">
        <v>5.92</v>
      </c>
      <c r="F83" s="64">
        <v>4.51</v>
      </c>
      <c r="G83" s="64">
        <v>101.19</v>
      </c>
      <c r="H83" s="64">
        <v>42.39</v>
      </c>
      <c r="I83" s="64">
        <v>6.49</v>
      </c>
      <c r="J83" s="64">
        <v>0.41</v>
      </c>
      <c r="K83" s="64">
        <v>74.27</v>
      </c>
      <c r="L83" s="64">
        <v>21.18</v>
      </c>
      <c r="M83" s="64">
        <v>58.7</v>
      </c>
      <c r="N83" s="64">
        <v>26.1</v>
      </c>
      <c r="O83" s="64">
        <v>0</v>
      </c>
      <c r="P83" s="64">
        <v>1.22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1184</v>
      </c>
      <c r="B84" s="64">
        <v>11.22</v>
      </c>
      <c r="C84" s="64">
        <v>30.19</v>
      </c>
      <c r="D84" s="64">
        <v>23.4</v>
      </c>
      <c r="E84" s="64">
        <v>5.87</v>
      </c>
      <c r="F84" s="64">
        <v>3.98</v>
      </c>
      <c r="G84" s="64">
        <v>102.18</v>
      </c>
      <c r="H84" s="64">
        <v>37.299999999999997</v>
      </c>
      <c r="I84" s="64">
        <v>6.29</v>
      </c>
      <c r="J84" s="64">
        <v>0.37</v>
      </c>
      <c r="K84" s="64">
        <v>89.99</v>
      </c>
      <c r="L84" s="64">
        <v>21.05</v>
      </c>
      <c r="M84" s="64">
        <v>59.8</v>
      </c>
      <c r="N84" s="64">
        <v>26.1</v>
      </c>
      <c r="O84" s="64">
        <v>0</v>
      </c>
      <c r="P84" s="64">
        <v>1.17</v>
      </c>
      <c r="Q84" s="64">
        <v>9.6199999999999992</v>
      </c>
      <c r="R84" s="196"/>
      <c r="S84" s="196"/>
      <c r="T84" s="196"/>
      <c r="U84" s="196"/>
    </row>
    <row r="85" spans="1:26" s="12" customFormat="1" x14ac:dyDescent="0.25">
      <c r="A85" s="211" t="s">
        <v>1185</v>
      </c>
      <c r="B85" s="64">
        <v>10.75</v>
      </c>
      <c r="C85" s="64">
        <v>29.92</v>
      </c>
      <c r="D85" s="64">
        <v>22.87</v>
      </c>
      <c r="E85" s="64">
        <v>5.55</v>
      </c>
      <c r="F85" s="64">
        <v>4.66</v>
      </c>
      <c r="G85" s="64">
        <v>105.07</v>
      </c>
      <c r="H85" s="64">
        <v>27.55</v>
      </c>
      <c r="I85" s="64">
        <v>5.93</v>
      </c>
      <c r="J85" s="64">
        <v>0.28000000000000003</v>
      </c>
      <c r="K85" s="64">
        <v>77.3</v>
      </c>
      <c r="L85" s="64">
        <v>21.01</v>
      </c>
      <c r="M85" s="64">
        <v>60.19</v>
      </c>
      <c r="N85" s="64">
        <v>26.1</v>
      </c>
      <c r="O85" s="64">
        <v>0</v>
      </c>
      <c r="P85" s="64">
        <v>1.2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1186</v>
      </c>
      <c r="B86" s="64">
        <v>10.47</v>
      </c>
      <c r="C86" s="64">
        <v>28.35</v>
      </c>
      <c r="D86" s="64">
        <v>21.83</v>
      </c>
      <c r="E86" s="64">
        <v>5.65</v>
      </c>
      <c r="F86" s="64">
        <v>4.18</v>
      </c>
      <c r="G86" s="64">
        <v>105.07</v>
      </c>
      <c r="H86" s="64">
        <v>27.55</v>
      </c>
      <c r="I86" s="64">
        <v>5.3</v>
      </c>
      <c r="J86" s="64">
        <v>0.53</v>
      </c>
      <c r="K86" s="64">
        <v>119.59</v>
      </c>
      <c r="L86" s="64">
        <v>20.97</v>
      </c>
      <c r="M86" s="64">
        <v>61.95</v>
      </c>
      <c r="N86" s="64">
        <v>26.1</v>
      </c>
      <c r="O86" s="64">
        <v>0</v>
      </c>
      <c r="P86" s="64">
        <v>1.22</v>
      </c>
      <c r="Q86" s="64">
        <v>9.6300000000000008</v>
      </c>
      <c r="R86" s="196"/>
      <c r="S86" s="196"/>
      <c r="T86" s="196"/>
      <c r="U86" s="196"/>
    </row>
    <row r="87" spans="1:26" s="12" customFormat="1" x14ac:dyDescent="0.25">
      <c r="A87" s="211" t="s">
        <v>1187</v>
      </c>
      <c r="B87" s="64">
        <v>10.28</v>
      </c>
      <c r="C87" s="64">
        <v>26.45</v>
      </c>
      <c r="D87" s="64">
        <v>20.68</v>
      </c>
      <c r="E87" s="64">
        <v>5.12</v>
      </c>
      <c r="F87" s="64">
        <v>4.93</v>
      </c>
      <c r="G87" s="64">
        <v>105.07</v>
      </c>
      <c r="H87" s="64">
        <v>27.55</v>
      </c>
      <c r="I87" s="64">
        <v>5.07</v>
      </c>
      <c r="J87" s="64">
        <v>0.05</v>
      </c>
      <c r="K87" s="64">
        <v>151.72999999999999</v>
      </c>
      <c r="L87" s="64">
        <v>21.05</v>
      </c>
      <c r="M87" s="64">
        <v>62.54</v>
      </c>
      <c r="N87" s="64">
        <v>26.1</v>
      </c>
      <c r="O87" s="64">
        <v>0</v>
      </c>
      <c r="P87" s="64">
        <v>1.19</v>
      </c>
      <c r="Q87" s="64">
        <v>9.64</v>
      </c>
      <c r="R87" s="196"/>
      <c r="S87" s="196"/>
      <c r="T87" s="196"/>
      <c r="U87" s="196"/>
    </row>
    <row r="88" spans="1:26" s="12" customFormat="1" x14ac:dyDescent="0.25">
      <c r="A88" s="211" t="s">
        <v>1188</v>
      </c>
      <c r="B88" s="64">
        <v>10.220000000000001</v>
      </c>
      <c r="C88" s="64">
        <v>25.69</v>
      </c>
      <c r="D88" s="64">
        <v>20.239999999999998</v>
      </c>
      <c r="E88" s="64">
        <v>5.13</v>
      </c>
      <c r="F88" s="64">
        <v>4.9800000000000004</v>
      </c>
      <c r="G88" s="64">
        <v>105.65</v>
      </c>
      <c r="H88" s="64">
        <v>25.35</v>
      </c>
      <c r="I88" s="64">
        <v>4.43</v>
      </c>
      <c r="J88" s="64">
        <v>0.47</v>
      </c>
      <c r="K88" s="64">
        <v>117.53</v>
      </c>
      <c r="L88" s="64">
        <v>21.15</v>
      </c>
      <c r="M88" s="64">
        <v>62.54</v>
      </c>
      <c r="N88" s="64">
        <v>26.1</v>
      </c>
      <c r="O88" s="64">
        <v>0</v>
      </c>
      <c r="P88" s="64">
        <v>1.1399999999999999</v>
      </c>
      <c r="Q88" s="64">
        <v>9.64</v>
      </c>
      <c r="R88" s="196"/>
      <c r="S88" s="196"/>
      <c r="T88" s="196"/>
      <c r="U88" s="196"/>
    </row>
    <row r="89" spans="1:26" s="12" customFormat="1" x14ac:dyDescent="0.25">
      <c r="A89" s="211" t="s">
        <v>1189</v>
      </c>
      <c r="B89" s="64">
        <v>9.99</v>
      </c>
      <c r="C89" s="64">
        <v>24.92</v>
      </c>
      <c r="D89" s="64">
        <v>19.66</v>
      </c>
      <c r="E89" s="64">
        <v>5.82</v>
      </c>
      <c r="F89" s="64">
        <v>4.99</v>
      </c>
      <c r="G89" s="64">
        <v>107.33</v>
      </c>
      <c r="H89" s="64">
        <v>16.53</v>
      </c>
      <c r="I89" s="64">
        <v>4.53</v>
      </c>
      <c r="J89" s="64">
        <v>0.49</v>
      </c>
      <c r="K89" s="64">
        <v>105.1</v>
      </c>
      <c r="L89" s="64">
        <v>21.05</v>
      </c>
      <c r="M89" s="64">
        <v>63.19</v>
      </c>
      <c r="N89" s="64">
        <v>26.2</v>
      </c>
      <c r="O89" s="64">
        <v>0</v>
      </c>
      <c r="P89" s="64">
        <v>1.03</v>
      </c>
      <c r="Q89" s="64">
        <v>9.6199999999999992</v>
      </c>
      <c r="R89" s="196"/>
      <c r="S89" s="196"/>
      <c r="T89" s="196"/>
      <c r="U89" s="196"/>
    </row>
    <row r="90" spans="1:26" s="12" customFormat="1" x14ac:dyDescent="0.25">
      <c r="A90" s="211" t="s">
        <v>1190</v>
      </c>
      <c r="B90" s="64">
        <v>9.66</v>
      </c>
      <c r="C90" s="64">
        <v>24.01</v>
      </c>
      <c r="D90" s="64">
        <v>18.91</v>
      </c>
      <c r="E90" s="64">
        <v>6.34</v>
      </c>
      <c r="F90" s="64">
        <v>4.82</v>
      </c>
      <c r="G90" s="64">
        <v>107.33</v>
      </c>
      <c r="H90" s="64">
        <v>16.53</v>
      </c>
      <c r="I90" s="64">
        <v>3.95</v>
      </c>
      <c r="J90" s="64">
        <v>0.25</v>
      </c>
      <c r="K90" s="64">
        <v>110.17</v>
      </c>
      <c r="L90" s="64">
        <v>21.03</v>
      </c>
      <c r="M90" s="64">
        <v>63.14</v>
      </c>
      <c r="N90" s="64">
        <v>26.1</v>
      </c>
      <c r="O90" s="64">
        <v>0</v>
      </c>
      <c r="P90" s="64">
        <v>1.01</v>
      </c>
      <c r="Q90" s="64">
        <v>9.6199999999999992</v>
      </c>
      <c r="R90" s="196"/>
      <c r="S90" s="196"/>
      <c r="T90" s="196"/>
      <c r="U90" s="196"/>
    </row>
    <row r="91" spans="1:26" s="12" customFormat="1" x14ac:dyDescent="0.25">
      <c r="A91" s="211" t="s">
        <v>1191</v>
      </c>
      <c r="B91" s="64">
        <v>9.31</v>
      </c>
      <c r="C91" s="64">
        <v>23.32</v>
      </c>
      <c r="D91" s="64">
        <v>18.27</v>
      </c>
      <c r="E91" s="64">
        <v>5.76</v>
      </c>
      <c r="F91" s="64">
        <v>4.5999999999999996</v>
      </c>
      <c r="G91" s="64">
        <v>107.33</v>
      </c>
      <c r="H91" s="64">
        <v>16.53</v>
      </c>
      <c r="I91" s="64">
        <v>3.94</v>
      </c>
      <c r="J91" s="64">
        <v>0.37</v>
      </c>
      <c r="K91" s="64">
        <v>117.81</v>
      </c>
      <c r="L91" s="64">
        <v>21.17</v>
      </c>
      <c r="M91" s="64">
        <v>62.41</v>
      </c>
      <c r="N91" s="64">
        <v>26.1</v>
      </c>
      <c r="O91" s="64">
        <v>0</v>
      </c>
      <c r="P91" s="64">
        <v>0.99</v>
      </c>
      <c r="Q91" s="64">
        <v>9.6199999999999992</v>
      </c>
      <c r="R91" s="196"/>
      <c r="S91" s="196"/>
      <c r="T91" s="196"/>
      <c r="U91" s="196"/>
    </row>
    <row r="92" spans="1:26" s="12" customFormat="1" x14ac:dyDescent="0.25">
      <c r="A92" s="211" t="s">
        <v>1192</v>
      </c>
      <c r="B92" s="64">
        <v>9.68</v>
      </c>
      <c r="C92" s="64">
        <v>22.83</v>
      </c>
      <c r="D92" s="64">
        <v>18.309999999999999</v>
      </c>
      <c r="E92" s="64">
        <v>5.9</v>
      </c>
      <c r="F92" s="64">
        <v>4.37</v>
      </c>
      <c r="G92" s="64">
        <v>106.5</v>
      </c>
      <c r="H92" s="64">
        <v>14.44</v>
      </c>
      <c r="I92" s="64">
        <v>3.83</v>
      </c>
      <c r="J92" s="64">
        <v>0.15</v>
      </c>
      <c r="K92" s="64">
        <v>80.98</v>
      </c>
      <c r="L92" s="64">
        <v>21.31</v>
      </c>
      <c r="M92" s="64">
        <v>61.73</v>
      </c>
      <c r="N92" s="64">
        <v>26.1</v>
      </c>
      <c r="O92" s="64">
        <v>0</v>
      </c>
      <c r="P92" s="64">
        <v>1.02</v>
      </c>
      <c r="Q92" s="64">
        <v>9.6199999999999992</v>
      </c>
      <c r="R92" s="196"/>
      <c r="S92" s="196"/>
      <c r="T92" s="196"/>
      <c r="U92" s="196"/>
    </row>
    <row r="93" spans="1:26" s="12" customFormat="1" x14ac:dyDescent="0.25">
      <c r="A93" s="211" t="s">
        <v>1193</v>
      </c>
      <c r="B93" s="64">
        <v>10.34</v>
      </c>
      <c r="C93" s="64">
        <v>22.74</v>
      </c>
      <c r="D93" s="64">
        <v>18.8</v>
      </c>
      <c r="E93" s="64">
        <v>5.86</v>
      </c>
      <c r="F93" s="64">
        <v>4.3600000000000003</v>
      </c>
      <c r="G93" s="64">
        <v>104.08</v>
      </c>
      <c r="H93" s="64">
        <v>10.25</v>
      </c>
      <c r="I93" s="64">
        <v>4.01</v>
      </c>
      <c r="J93" s="64">
        <v>0.08</v>
      </c>
      <c r="K93" s="64">
        <v>322.32</v>
      </c>
      <c r="L93" s="64">
        <v>21.27</v>
      </c>
      <c r="M93" s="64">
        <v>61.5</v>
      </c>
      <c r="N93" s="64">
        <v>26.2</v>
      </c>
      <c r="O93" s="64">
        <v>0</v>
      </c>
      <c r="P93" s="64">
        <v>1.1299999999999999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1194</v>
      </c>
      <c r="B94" s="64">
        <v>10.55</v>
      </c>
      <c r="C94" s="64">
        <v>23.3</v>
      </c>
      <c r="D94" s="64">
        <v>19.260000000000002</v>
      </c>
      <c r="E94" s="64">
        <v>5.73</v>
      </c>
      <c r="F94" s="64">
        <v>3.66</v>
      </c>
      <c r="G94" s="64">
        <v>104.08</v>
      </c>
      <c r="H94" s="64">
        <v>10.25</v>
      </c>
      <c r="I94" s="64">
        <v>3.99</v>
      </c>
      <c r="J94" s="64">
        <v>0.74</v>
      </c>
      <c r="K94" s="64">
        <v>113.4</v>
      </c>
      <c r="L94" s="64">
        <v>21.17</v>
      </c>
      <c r="M94" s="64">
        <v>60.88</v>
      </c>
      <c r="N94" s="64">
        <v>26.3</v>
      </c>
      <c r="O94" s="64">
        <v>0</v>
      </c>
      <c r="P94" s="64">
        <v>1.1000000000000001</v>
      </c>
      <c r="Q94" s="64">
        <v>9.61</v>
      </c>
      <c r="R94" s="196"/>
      <c r="S94" s="196"/>
      <c r="T94" s="196"/>
      <c r="U94" s="196"/>
    </row>
    <row r="95" spans="1:26" s="12" customFormat="1" x14ac:dyDescent="0.25">
      <c r="A95" s="211" t="s">
        <v>1195</v>
      </c>
      <c r="B95" s="64">
        <v>10.039999999999999</v>
      </c>
      <c r="C95" s="64">
        <v>23.31</v>
      </c>
      <c r="D95" s="64">
        <v>18.850000000000001</v>
      </c>
      <c r="E95" s="64">
        <v>5.54</v>
      </c>
      <c r="F95" s="64">
        <v>4.01</v>
      </c>
      <c r="G95" s="64">
        <v>104.08</v>
      </c>
      <c r="H95" s="64">
        <v>10.25</v>
      </c>
      <c r="I95" s="64">
        <v>5.92</v>
      </c>
      <c r="J95" s="64">
        <v>0.79</v>
      </c>
      <c r="K95" s="64">
        <v>113.6</v>
      </c>
      <c r="L95" s="64">
        <v>21.11</v>
      </c>
      <c r="M95" s="64">
        <v>60.57</v>
      </c>
      <c r="N95" s="64">
        <v>26.2</v>
      </c>
      <c r="O95" s="64">
        <v>0</v>
      </c>
      <c r="P95" s="64">
        <v>1.06</v>
      </c>
      <c r="Q95" s="64">
        <v>9.6300000000000008</v>
      </c>
      <c r="R95" s="196"/>
      <c r="S95" s="196"/>
      <c r="T95" s="196"/>
      <c r="U95" s="196"/>
    </row>
    <row r="96" spans="1:26" s="12" customFormat="1" x14ac:dyDescent="0.25">
      <c r="A96" s="211" t="s">
        <v>1196</v>
      </c>
      <c r="B96" s="64">
        <v>9.18</v>
      </c>
      <c r="C96" s="64">
        <v>23.12</v>
      </c>
      <c r="D96" s="64">
        <v>18.059999999999999</v>
      </c>
      <c r="E96" s="64">
        <v>5.93</v>
      </c>
      <c r="F96" s="64">
        <v>4.62</v>
      </c>
      <c r="G96" s="64">
        <v>99.97</v>
      </c>
      <c r="H96" s="64">
        <v>8.98</v>
      </c>
      <c r="I96" s="64">
        <v>6.71</v>
      </c>
      <c r="J96" s="64">
        <v>0.55000000000000004</v>
      </c>
      <c r="K96" s="64">
        <v>104.31</v>
      </c>
      <c r="L96" s="64">
        <v>21.09</v>
      </c>
      <c r="M96" s="64">
        <v>59.92</v>
      </c>
      <c r="N96" s="64">
        <v>26.3</v>
      </c>
      <c r="O96" s="64">
        <v>0</v>
      </c>
      <c r="P96" s="64">
        <v>0.99</v>
      </c>
      <c r="Q96" s="64">
        <v>9.6199999999999992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1197</v>
      </c>
      <c r="B97" s="64">
        <v>8.5</v>
      </c>
      <c r="C97" s="64">
        <v>23.34</v>
      </c>
      <c r="D97" s="64">
        <v>17.63</v>
      </c>
      <c r="E97" s="64">
        <v>5.28</v>
      </c>
      <c r="F97" s="64">
        <v>4.0999999999999996</v>
      </c>
      <c r="G97" s="64">
        <v>87.99</v>
      </c>
      <c r="H97" s="64">
        <v>6.56</v>
      </c>
      <c r="I97" s="64">
        <v>6.6</v>
      </c>
      <c r="J97" s="64">
        <v>0.14000000000000001</v>
      </c>
      <c r="K97" s="64">
        <v>15.27</v>
      </c>
      <c r="L97" s="64">
        <v>21.06</v>
      </c>
      <c r="M97" s="64">
        <v>59.87</v>
      </c>
      <c r="N97" s="64">
        <v>26.3</v>
      </c>
      <c r="O97" s="64">
        <v>0</v>
      </c>
      <c r="P97" s="64">
        <v>1.01</v>
      </c>
      <c r="Q97" s="64">
        <v>9.6199999999999992</v>
      </c>
      <c r="R97" s="196"/>
      <c r="S97" s="196"/>
      <c r="T97" s="196"/>
      <c r="U97" s="196"/>
    </row>
    <row r="98" spans="1:33" s="12" customFormat="1" x14ac:dyDescent="0.25">
      <c r="A98" s="211" t="s">
        <v>1198</v>
      </c>
      <c r="B98" s="64">
        <v>8.76</v>
      </c>
      <c r="C98" s="64">
        <v>23.41</v>
      </c>
      <c r="D98" s="64">
        <v>17.88</v>
      </c>
      <c r="E98" s="64">
        <v>5.5</v>
      </c>
      <c r="F98" s="64">
        <v>4.33</v>
      </c>
      <c r="G98" s="64">
        <v>87.99</v>
      </c>
      <c r="H98" s="64">
        <v>6.56</v>
      </c>
      <c r="I98" s="64">
        <v>6.22</v>
      </c>
      <c r="J98" s="64">
        <v>0.24</v>
      </c>
      <c r="K98" s="64">
        <v>44.76</v>
      </c>
      <c r="L98" s="64">
        <v>21.04</v>
      </c>
      <c r="M98" s="64">
        <v>60.34</v>
      </c>
      <c r="N98" s="64">
        <v>26.4</v>
      </c>
      <c r="O98" s="64">
        <v>0</v>
      </c>
      <c r="P98" s="64">
        <v>1.03</v>
      </c>
      <c r="Q98" s="64">
        <v>9.6199999999999992</v>
      </c>
      <c r="R98" s="196"/>
      <c r="S98" s="196"/>
      <c r="T98" s="196"/>
      <c r="U98" s="196"/>
    </row>
    <row r="99" spans="1:33" s="12" customFormat="1" x14ac:dyDescent="0.25">
      <c r="A99" s="211" t="s">
        <v>1199</v>
      </c>
      <c r="B99" s="64">
        <v>9.6199999999999992</v>
      </c>
      <c r="C99" s="64">
        <v>23.41</v>
      </c>
      <c r="D99" s="64">
        <v>18.57</v>
      </c>
      <c r="E99" s="64">
        <v>5.81</v>
      </c>
      <c r="F99" s="64">
        <v>4.2699999999999996</v>
      </c>
      <c r="G99" s="64">
        <v>87.99</v>
      </c>
      <c r="H99" s="64">
        <v>6.56</v>
      </c>
      <c r="I99" s="64">
        <v>6.09</v>
      </c>
      <c r="J99" s="64">
        <v>0.36</v>
      </c>
      <c r="K99" s="64">
        <v>105.16</v>
      </c>
      <c r="L99" s="64">
        <v>20.88</v>
      </c>
      <c r="M99" s="64">
        <v>60.46</v>
      </c>
      <c r="N99" s="64">
        <v>26.4</v>
      </c>
      <c r="O99" s="64">
        <v>0</v>
      </c>
      <c r="P99" s="64">
        <v>1.02</v>
      </c>
      <c r="Q99" s="64">
        <v>9.6199999999999992</v>
      </c>
      <c r="R99" s="196"/>
      <c r="S99" s="196"/>
      <c r="T99" s="196"/>
      <c r="U99" s="196"/>
    </row>
    <row r="100" spans="1:33" s="12" customFormat="1" x14ac:dyDescent="0.25">
      <c r="A100" s="211" t="s">
        <v>1200</v>
      </c>
      <c r="B100" s="64">
        <v>9.8000000000000007</v>
      </c>
      <c r="C100" s="64">
        <v>24.21</v>
      </c>
      <c r="D100" s="64">
        <v>19.14</v>
      </c>
      <c r="E100" s="64">
        <v>5.95</v>
      </c>
      <c r="F100" s="64">
        <v>3.98</v>
      </c>
      <c r="G100" s="64">
        <v>87.19</v>
      </c>
      <c r="H100" s="64">
        <v>5.79</v>
      </c>
      <c r="I100" s="64">
        <v>6.19</v>
      </c>
      <c r="J100" s="64">
        <v>0.88</v>
      </c>
      <c r="K100" s="64">
        <v>115.19</v>
      </c>
      <c r="L100" s="64">
        <v>20.92</v>
      </c>
      <c r="M100" s="64">
        <v>60.53</v>
      </c>
      <c r="N100" s="64">
        <v>26.1</v>
      </c>
      <c r="O100" s="64">
        <v>0</v>
      </c>
      <c r="P100" s="64">
        <v>0.96</v>
      </c>
      <c r="Q100" s="64">
        <v>9.6199999999999992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1201</v>
      </c>
      <c r="B101" s="64">
        <v>9.23</v>
      </c>
      <c r="C101" s="64">
        <v>23.97</v>
      </c>
      <c r="D101" s="64">
        <v>18.55</v>
      </c>
      <c r="E101" s="64">
        <v>5.35</v>
      </c>
      <c r="F101" s="64">
        <v>4.13</v>
      </c>
      <c r="G101" s="64">
        <v>84.86</v>
      </c>
      <c r="H101" s="64">
        <v>4.33</v>
      </c>
      <c r="I101" s="64">
        <v>6.39</v>
      </c>
      <c r="J101" s="64">
        <v>0.92</v>
      </c>
      <c r="K101" s="64">
        <v>108.4</v>
      </c>
      <c r="L101" s="64">
        <v>20.91</v>
      </c>
      <c r="M101" s="64">
        <v>61.35</v>
      </c>
      <c r="N101" s="64">
        <v>26.2</v>
      </c>
      <c r="O101" s="64">
        <v>0</v>
      </c>
      <c r="P101" s="64">
        <v>0.96</v>
      </c>
      <c r="Q101" s="64">
        <v>9.6300000000000008</v>
      </c>
      <c r="R101" s="196"/>
      <c r="S101" s="196"/>
      <c r="T101" s="196"/>
      <c r="U101" s="196"/>
    </row>
    <row r="102" spans="1:33" s="12" customFormat="1" x14ac:dyDescent="0.25">
      <c r="A102" s="211" t="s">
        <v>1202</v>
      </c>
      <c r="B102" s="64">
        <v>8.49</v>
      </c>
      <c r="C102" s="64">
        <v>23.23</v>
      </c>
      <c r="D102" s="64">
        <v>17.57</v>
      </c>
      <c r="E102" s="64">
        <v>5.58</v>
      </c>
      <c r="F102" s="64">
        <v>4.0199999999999996</v>
      </c>
      <c r="G102" s="64">
        <v>84.86</v>
      </c>
      <c r="H102" s="64">
        <v>4.33</v>
      </c>
      <c r="I102" s="64">
        <v>6.15</v>
      </c>
      <c r="J102" s="64">
        <v>0.46</v>
      </c>
      <c r="K102" s="64">
        <v>104.1</v>
      </c>
      <c r="L102" s="64">
        <v>20.74</v>
      </c>
      <c r="M102" s="64">
        <v>62.41</v>
      </c>
      <c r="N102" s="64">
        <v>26.5</v>
      </c>
      <c r="O102" s="64">
        <v>0</v>
      </c>
      <c r="P102" s="64">
        <v>0.79</v>
      </c>
      <c r="Q102" s="64">
        <v>9.64</v>
      </c>
      <c r="R102" s="196"/>
      <c r="S102" s="196"/>
      <c r="T102" s="196"/>
      <c r="U102" s="196"/>
    </row>
    <row r="103" spans="1:33" s="12" customFormat="1" x14ac:dyDescent="0.25">
      <c r="A103" s="211" t="s">
        <v>1203</v>
      </c>
      <c r="B103" s="64">
        <v>8.0500000000000007</v>
      </c>
      <c r="C103" s="64">
        <v>21.65</v>
      </c>
      <c r="D103" s="64">
        <v>16.39</v>
      </c>
      <c r="E103" s="64">
        <v>5.4</v>
      </c>
      <c r="F103" s="64">
        <v>4.45</v>
      </c>
      <c r="G103" s="64">
        <v>84.86</v>
      </c>
      <c r="H103" s="64">
        <v>4.33</v>
      </c>
      <c r="I103" s="64">
        <v>6.17</v>
      </c>
      <c r="J103" s="64">
        <v>0.93</v>
      </c>
      <c r="K103" s="64">
        <v>111.91</v>
      </c>
      <c r="L103" s="64">
        <v>20.58</v>
      </c>
      <c r="M103" s="64">
        <v>64.099999999999994</v>
      </c>
      <c r="N103" s="64">
        <v>26.5</v>
      </c>
      <c r="O103" s="64">
        <v>0</v>
      </c>
      <c r="P103" s="64">
        <v>0.74</v>
      </c>
      <c r="Q103" s="64">
        <v>9.6300000000000008</v>
      </c>
      <c r="R103" s="196"/>
      <c r="S103" s="196"/>
      <c r="T103" s="196"/>
      <c r="U103" s="196"/>
    </row>
    <row r="104" spans="1:33" s="12" customFormat="1" x14ac:dyDescent="0.25">
      <c r="A104" s="211" t="s">
        <v>1204</v>
      </c>
      <c r="B104" s="64">
        <v>7.61</v>
      </c>
      <c r="C104" s="64">
        <v>20.63</v>
      </c>
      <c r="D104" s="64">
        <v>15.51</v>
      </c>
      <c r="E104" s="64">
        <v>5.37</v>
      </c>
      <c r="F104" s="64">
        <v>4.38</v>
      </c>
      <c r="G104" s="64">
        <v>84.65</v>
      </c>
      <c r="H104" s="64">
        <v>4.05</v>
      </c>
      <c r="I104" s="64">
        <v>4.7699999999999996</v>
      </c>
      <c r="J104" s="64">
        <v>0.67</v>
      </c>
      <c r="K104" s="64">
        <v>114.14</v>
      </c>
      <c r="L104" s="64">
        <v>20.43</v>
      </c>
      <c r="M104" s="64">
        <v>65.650000000000006</v>
      </c>
      <c r="N104" s="64">
        <v>26.5</v>
      </c>
      <c r="O104" s="64">
        <v>0</v>
      </c>
      <c r="P104" s="64">
        <v>0.68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5.23</v>
      </c>
      <c r="C106" s="67">
        <f>MIN(C9:C104)</f>
        <v>15.5</v>
      </c>
      <c r="D106" s="67">
        <f t="shared" ref="D106:Q106" si="0">MIN(D9:D104)</f>
        <v>15.51</v>
      </c>
      <c r="E106" s="67">
        <f t="shared" si="0"/>
        <v>4.8499999999999996</v>
      </c>
      <c r="F106" s="67">
        <f t="shared" si="0"/>
        <v>3.26</v>
      </c>
      <c r="G106" s="67">
        <f t="shared" si="0"/>
        <v>81.78</v>
      </c>
      <c r="H106" s="67">
        <f t="shared" si="0"/>
        <v>4.05</v>
      </c>
      <c r="I106" s="67">
        <f t="shared" si="0"/>
        <v>3.18</v>
      </c>
      <c r="J106" s="67">
        <f t="shared" si="0"/>
        <v>0.04</v>
      </c>
      <c r="K106" s="67">
        <f t="shared" si="0"/>
        <v>9.52</v>
      </c>
      <c r="L106" s="67">
        <f t="shared" si="0"/>
        <v>16.690000000000001</v>
      </c>
      <c r="M106" s="67">
        <f t="shared" si="0"/>
        <v>44.55</v>
      </c>
      <c r="N106" s="67">
        <f t="shared" si="0"/>
        <v>25.6</v>
      </c>
      <c r="O106" s="67">
        <f t="shared" si="0"/>
        <v>0</v>
      </c>
      <c r="P106" s="67">
        <f t="shared" si="0"/>
        <v>0.68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27.89</v>
      </c>
      <c r="C107" s="66">
        <f t="shared" ref="C107:Q107" si="1">MAX(C9:C104)</f>
        <v>30.47</v>
      </c>
      <c r="D107" s="66">
        <f t="shared" si="1"/>
        <v>30.92</v>
      </c>
      <c r="E107" s="66">
        <f t="shared" si="1"/>
        <v>6.8</v>
      </c>
      <c r="F107" s="66">
        <f t="shared" si="1"/>
        <v>5.52</v>
      </c>
      <c r="G107" s="66">
        <f t="shared" si="1"/>
        <v>125.26</v>
      </c>
      <c r="H107" s="66">
        <f t="shared" si="1"/>
        <v>50.68</v>
      </c>
      <c r="I107" s="66">
        <f t="shared" si="1"/>
        <v>7.14</v>
      </c>
      <c r="J107" s="66">
        <f t="shared" si="1"/>
        <v>1.91</v>
      </c>
      <c r="K107" s="66">
        <f t="shared" si="1"/>
        <v>359.29</v>
      </c>
      <c r="L107" s="66">
        <f t="shared" si="1"/>
        <v>28.69</v>
      </c>
      <c r="M107" s="66">
        <f t="shared" si="1"/>
        <v>99.4</v>
      </c>
      <c r="N107" s="66">
        <f t="shared" si="1"/>
        <v>556.9</v>
      </c>
      <c r="O107" s="66">
        <f t="shared" si="1"/>
        <v>0</v>
      </c>
      <c r="P107" s="66">
        <f t="shared" si="1"/>
        <v>1.51</v>
      </c>
      <c r="Q107" s="66">
        <f t="shared" si="1"/>
        <v>9.65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14.167916666666658</v>
      </c>
      <c r="C108" s="67">
        <f t="shared" ref="C108:Q108" si="2">AVERAGE(C9:C104)</f>
        <v>22.656874999999996</v>
      </c>
      <c r="D108" s="67">
        <f t="shared" si="2"/>
        <v>21.822500000000005</v>
      </c>
      <c r="E108" s="67">
        <f t="shared" si="2"/>
        <v>5.7167708333333342</v>
      </c>
      <c r="F108" s="67">
        <f t="shared" si="2"/>
        <v>4.2807291666666663</v>
      </c>
      <c r="G108" s="67">
        <f t="shared" si="2"/>
        <v>97.004583333333343</v>
      </c>
      <c r="H108" s="67">
        <f t="shared" si="2"/>
        <v>36.020729166666662</v>
      </c>
      <c r="I108" s="67">
        <f t="shared" si="2"/>
        <v>5.4851041666666669</v>
      </c>
      <c r="J108" s="67">
        <f t="shared" si="2"/>
        <v>0.61145833333333333</v>
      </c>
      <c r="K108" s="67">
        <f t="shared" si="2"/>
        <v>228.9523958333333</v>
      </c>
      <c r="L108" s="67">
        <f t="shared" si="2"/>
        <v>21.411145833333336</v>
      </c>
      <c r="M108" s="67">
        <f t="shared" si="2"/>
        <v>68.786041666666662</v>
      </c>
      <c r="N108" s="67">
        <f t="shared" si="2"/>
        <v>110.23854166666673</v>
      </c>
      <c r="O108" s="67">
        <f t="shared" si="2"/>
        <v>0</v>
      </c>
      <c r="P108" s="67">
        <f t="shared" si="2"/>
        <v>0.96177083333333302</v>
      </c>
      <c r="Q108" s="67">
        <f t="shared" si="2"/>
        <v>9.6283333333333321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7.2113052934325257</v>
      </c>
      <c r="C109" s="67">
        <f t="shared" ref="C109:Q109" si="3">STDEV(C9:C104)</f>
        <v>4.3267961436172664</v>
      </c>
      <c r="D109" s="67">
        <f t="shared" si="3"/>
        <v>4.4946599894822539</v>
      </c>
      <c r="E109" s="67">
        <f t="shared" si="3"/>
        <v>0.47743943080533197</v>
      </c>
      <c r="F109" s="67">
        <f t="shared" si="3"/>
        <v>0.48489661359633718</v>
      </c>
      <c r="G109" s="67">
        <f t="shared" si="3"/>
        <v>10.572325533816189</v>
      </c>
      <c r="H109" s="67">
        <f t="shared" si="3"/>
        <v>13.70951642164489</v>
      </c>
      <c r="I109" s="67">
        <f t="shared" si="3"/>
        <v>0.96345430590215786</v>
      </c>
      <c r="J109" s="67">
        <f t="shared" si="3"/>
        <v>0.40963135973359394</v>
      </c>
      <c r="K109" s="67">
        <f t="shared" si="3"/>
        <v>114.86228466018534</v>
      </c>
      <c r="L109" s="67">
        <f t="shared" si="3"/>
        <v>3.2627733988422705</v>
      </c>
      <c r="M109" s="67">
        <f t="shared" si="3"/>
        <v>18.070214718041903</v>
      </c>
      <c r="N109" s="67">
        <f t="shared" si="3"/>
        <v>150.78140634343305</v>
      </c>
      <c r="O109" s="67">
        <f t="shared" si="3"/>
        <v>0</v>
      </c>
      <c r="P109" s="67">
        <f t="shared" si="3"/>
        <v>0.15179622623189951</v>
      </c>
      <c r="Q109" s="67">
        <f t="shared" si="3"/>
        <v>9.3658581158174437E-3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1205</v>
      </c>
      <c r="B9" s="64">
        <v>7.24</v>
      </c>
      <c r="C9" s="64">
        <v>20.25</v>
      </c>
      <c r="D9" s="64">
        <v>15.01</v>
      </c>
      <c r="E9" s="64">
        <v>4.9000000000000004</v>
      </c>
      <c r="F9" s="64">
        <v>4.67</v>
      </c>
      <c r="G9" s="64">
        <v>84.06</v>
      </c>
      <c r="H9" s="64">
        <v>2.94</v>
      </c>
      <c r="I9" s="64">
        <v>4.24</v>
      </c>
      <c r="J9" s="64">
        <v>0.62</v>
      </c>
      <c r="K9" s="64">
        <v>120.58</v>
      </c>
      <c r="L9" s="64">
        <v>20.32</v>
      </c>
      <c r="M9" s="64">
        <v>67.02</v>
      </c>
      <c r="N9" s="64">
        <v>26.4</v>
      </c>
      <c r="O9" s="64">
        <v>0</v>
      </c>
      <c r="P9" s="64">
        <v>0.7</v>
      </c>
      <c r="Q9" s="64">
        <v>9.6199999999999992</v>
      </c>
      <c r="R9" s="196"/>
      <c r="S9" s="196"/>
      <c r="T9" s="196"/>
      <c r="U9" s="196"/>
    </row>
    <row r="10" spans="1:21" s="12" customFormat="1" x14ac:dyDescent="0.25">
      <c r="A10" s="211" t="s">
        <v>1206</v>
      </c>
      <c r="B10" s="64">
        <v>6.9</v>
      </c>
      <c r="C10" s="64">
        <v>19.670000000000002</v>
      </c>
      <c r="D10" s="64">
        <v>14.43</v>
      </c>
      <c r="E10" s="64">
        <v>5.21</v>
      </c>
      <c r="F10" s="64">
        <v>3.47</v>
      </c>
      <c r="G10" s="64">
        <v>84.06</v>
      </c>
      <c r="H10" s="64">
        <v>2.94</v>
      </c>
      <c r="I10" s="64">
        <v>3.68</v>
      </c>
      <c r="J10" s="64">
        <v>0.35</v>
      </c>
      <c r="K10" s="64">
        <v>119.6</v>
      </c>
      <c r="L10" s="64">
        <v>20.34</v>
      </c>
      <c r="M10" s="64">
        <v>67.72</v>
      </c>
      <c r="N10" s="64">
        <v>26.2</v>
      </c>
      <c r="O10" s="64">
        <v>0</v>
      </c>
      <c r="P10" s="64">
        <v>0.71</v>
      </c>
      <c r="Q10" s="64">
        <v>9.6199999999999992</v>
      </c>
      <c r="R10" s="196"/>
      <c r="S10" s="196"/>
      <c r="T10" s="196"/>
      <c r="U10" s="196"/>
    </row>
    <row r="11" spans="1:21" s="12" customFormat="1" x14ac:dyDescent="0.25">
      <c r="A11" s="211" t="s">
        <v>1207</v>
      </c>
      <c r="B11" s="64">
        <v>6.63</v>
      </c>
      <c r="C11" s="64">
        <v>19.23</v>
      </c>
      <c r="D11" s="64">
        <v>13.98</v>
      </c>
      <c r="E11" s="64">
        <v>5.08</v>
      </c>
      <c r="F11" s="64">
        <v>4.12</v>
      </c>
      <c r="G11" s="64">
        <v>84.06</v>
      </c>
      <c r="H11" s="64">
        <v>2.94</v>
      </c>
      <c r="I11" s="64">
        <v>3.74</v>
      </c>
      <c r="J11" s="64">
        <v>0.52</v>
      </c>
      <c r="K11" s="64">
        <v>110.28</v>
      </c>
      <c r="L11" s="64">
        <v>20.190000000000001</v>
      </c>
      <c r="M11" s="64">
        <v>68.489999999999995</v>
      </c>
      <c r="N11" s="64">
        <v>26.4</v>
      </c>
      <c r="O11" s="64">
        <v>0</v>
      </c>
      <c r="P11" s="64">
        <v>0.66</v>
      </c>
      <c r="Q11" s="64">
        <v>9.6199999999999992</v>
      </c>
      <c r="R11" s="196"/>
      <c r="S11" s="196"/>
      <c r="T11" s="196"/>
      <c r="U11" s="196"/>
    </row>
    <row r="12" spans="1:21" s="12" customFormat="1" x14ac:dyDescent="0.25">
      <c r="A12" s="211" t="s">
        <v>1208</v>
      </c>
      <c r="B12" s="64">
        <v>6.37</v>
      </c>
      <c r="C12" s="64">
        <v>18.63</v>
      </c>
      <c r="D12" s="64">
        <v>13.46</v>
      </c>
      <c r="E12" s="64">
        <v>5.22</v>
      </c>
      <c r="F12" s="64">
        <v>4.03</v>
      </c>
      <c r="G12" s="64">
        <v>83.66</v>
      </c>
      <c r="H12" s="64">
        <v>41.93</v>
      </c>
      <c r="I12" s="64">
        <v>3.94</v>
      </c>
      <c r="J12" s="64">
        <v>1.39</v>
      </c>
      <c r="K12" s="64">
        <v>113.18</v>
      </c>
      <c r="L12" s="64">
        <v>20.34</v>
      </c>
      <c r="M12" s="64">
        <v>68</v>
      </c>
      <c r="N12" s="64">
        <v>25.9</v>
      </c>
      <c r="O12" s="64">
        <v>0</v>
      </c>
      <c r="P12" s="64">
        <v>0.74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1209</v>
      </c>
      <c r="B13" s="64">
        <v>6.02</v>
      </c>
      <c r="C13" s="64">
        <v>18.23</v>
      </c>
      <c r="D13" s="64">
        <v>12.97</v>
      </c>
      <c r="E13" s="64">
        <v>4.87</v>
      </c>
      <c r="F13" s="64">
        <v>7.31</v>
      </c>
      <c r="G13" s="64">
        <v>82.5</v>
      </c>
      <c r="H13" s="64">
        <v>116.5</v>
      </c>
      <c r="I13" s="64">
        <v>4.58</v>
      </c>
      <c r="J13" s="64">
        <v>1.19</v>
      </c>
      <c r="K13" s="64">
        <v>113.34</v>
      </c>
      <c r="L13" s="64">
        <v>20.350000000000001</v>
      </c>
      <c r="M13" s="64">
        <v>68.540000000000006</v>
      </c>
      <c r="N13" s="64">
        <v>26.2</v>
      </c>
      <c r="O13" s="64">
        <v>0</v>
      </c>
      <c r="P13" s="64">
        <v>0.65</v>
      </c>
      <c r="Q13" s="64">
        <v>9.6199999999999992</v>
      </c>
      <c r="R13" s="196"/>
      <c r="S13" s="196"/>
      <c r="T13" s="196"/>
      <c r="U13" s="196"/>
    </row>
    <row r="14" spans="1:21" s="12" customFormat="1" x14ac:dyDescent="0.25">
      <c r="A14" s="211" t="s">
        <v>1210</v>
      </c>
      <c r="B14" s="64">
        <v>5.61</v>
      </c>
      <c r="C14" s="64">
        <v>18.309999999999999</v>
      </c>
      <c r="D14" s="64">
        <v>12.69</v>
      </c>
      <c r="E14" s="64">
        <v>5.54</v>
      </c>
      <c r="F14" s="64">
        <v>4.49</v>
      </c>
      <c r="G14" s="64">
        <v>82.5</v>
      </c>
      <c r="H14" s="64">
        <v>116.5</v>
      </c>
      <c r="I14" s="64">
        <v>4.8600000000000003</v>
      </c>
      <c r="J14" s="64">
        <v>0.56999999999999995</v>
      </c>
      <c r="K14" s="64">
        <v>98.79</v>
      </c>
      <c r="L14" s="64">
        <v>20.309999999999999</v>
      </c>
      <c r="M14" s="64">
        <v>69.900000000000006</v>
      </c>
      <c r="N14" s="64">
        <v>26.3</v>
      </c>
      <c r="O14" s="64">
        <v>0</v>
      </c>
      <c r="P14" s="64">
        <v>0.77</v>
      </c>
      <c r="Q14" s="64">
        <v>9.61</v>
      </c>
      <c r="R14" s="196"/>
      <c r="S14" s="196"/>
      <c r="T14" s="196"/>
      <c r="U14" s="196"/>
    </row>
    <row r="15" spans="1:21" s="12" customFormat="1" x14ac:dyDescent="0.25">
      <c r="A15" s="211" t="s">
        <v>1211</v>
      </c>
      <c r="B15" s="64">
        <v>5.15</v>
      </c>
      <c r="C15" s="64">
        <v>18.53</v>
      </c>
      <c r="D15" s="64">
        <v>12.43</v>
      </c>
      <c r="E15" s="64">
        <v>5.48</v>
      </c>
      <c r="F15" s="64">
        <v>4.21</v>
      </c>
      <c r="G15" s="64">
        <v>82.5</v>
      </c>
      <c r="H15" s="64">
        <v>116.5</v>
      </c>
      <c r="I15" s="64">
        <v>5.1100000000000003</v>
      </c>
      <c r="J15" s="64">
        <v>1.37</v>
      </c>
      <c r="K15" s="64">
        <v>339.18</v>
      </c>
      <c r="L15" s="64">
        <v>20.010000000000002</v>
      </c>
      <c r="M15" s="64">
        <v>72.33</v>
      </c>
      <c r="N15" s="64">
        <v>26.7</v>
      </c>
      <c r="O15" s="64">
        <v>0</v>
      </c>
      <c r="P15" s="64">
        <v>0.75</v>
      </c>
      <c r="Q15" s="64">
        <v>9.6300000000000008</v>
      </c>
      <c r="R15" s="196"/>
      <c r="S15" s="196"/>
      <c r="T15" s="196"/>
      <c r="U15" s="196"/>
    </row>
    <row r="16" spans="1:21" s="12" customFormat="1" x14ac:dyDescent="0.25">
      <c r="A16" s="211" t="s">
        <v>1212</v>
      </c>
      <c r="B16" s="64">
        <v>4.79</v>
      </c>
      <c r="C16" s="64">
        <v>18.89</v>
      </c>
      <c r="D16" s="64">
        <v>12.34</v>
      </c>
      <c r="E16" s="64">
        <v>5.22</v>
      </c>
      <c r="F16" s="64">
        <v>4.5999999999999996</v>
      </c>
      <c r="G16" s="64">
        <v>81.03</v>
      </c>
      <c r="H16" s="64">
        <v>92.43</v>
      </c>
      <c r="I16" s="64">
        <v>6.31</v>
      </c>
      <c r="J16" s="64">
        <v>0.81</v>
      </c>
      <c r="K16" s="64">
        <v>350.07</v>
      </c>
      <c r="L16" s="64">
        <v>19.63</v>
      </c>
      <c r="M16" s="64">
        <v>73.38</v>
      </c>
      <c r="N16" s="64">
        <v>26.5</v>
      </c>
      <c r="O16" s="64">
        <v>0</v>
      </c>
      <c r="P16" s="64">
        <v>0.73</v>
      </c>
      <c r="Q16" s="64">
        <v>9.6300000000000008</v>
      </c>
      <c r="R16" s="196"/>
      <c r="S16" s="196"/>
      <c r="T16" s="196"/>
      <c r="U16" s="196"/>
    </row>
    <row r="17" spans="1:21" s="12" customFormat="1" x14ac:dyDescent="0.25">
      <c r="A17" s="211" t="s">
        <v>1213</v>
      </c>
      <c r="B17" s="64">
        <v>4.68</v>
      </c>
      <c r="C17" s="64">
        <v>19.190000000000001</v>
      </c>
      <c r="D17" s="64">
        <v>12.4</v>
      </c>
      <c r="E17" s="64">
        <v>5.38</v>
      </c>
      <c r="F17" s="64">
        <v>4.4000000000000004</v>
      </c>
      <c r="G17" s="64">
        <v>76.760000000000005</v>
      </c>
      <c r="H17" s="64">
        <v>44.29</v>
      </c>
      <c r="I17" s="64">
        <v>6.67</v>
      </c>
      <c r="J17" s="64">
        <v>1.06</v>
      </c>
      <c r="K17" s="64">
        <v>337.62</v>
      </c>
      <c r="L17" s="64">
        <v>19.47</v>
      </c>
      <c r="M17" s="64">
        <v>74.180000000000007</v>
      </c>
      <c r="N17" s="64">
        <v>26.2</v>
      </c>
      <c r="O17" s="64">
        <v>0</v>
      </c>
      <c r="P17" s="64">
        <v>0.72</v>
      </c>
      <c r="Q17" s="64">
        <v>9.6199999999999992</v>
      </c>
      <c r="R17" s="196"/>
      <c r="S17" s="196"/>
      <c r="T17" s="196"/>
      <c r="U17" s="196"/>
    </row>
    <row r="18" spans="1:21" s="12" customFormat="1" x14ac:dyDescent="0.25">
      <c r="A18" s="211" t="s">
        <v>1214</v>
      </c>
      <c r="B18" s="64">
        <v>4.76</v>
      </c>
      <c r="C18" s="64">
        <v>19.91</v>
      </c>
      <c r="D18" s="64">
        <v>12.84</v>
      </c>
      <c r="E18" s="64">
        <v>5.61</v>
      </c>
      <c r="F18" s="64">
        <v>4.12</v>
      </c>
      <c r="G18" s="64">
        <v>76.760000000000005</v>
      </c>
      <c r="H18" s="64">
        <v>44.29</v>
      </c>
      <c r="I18" s="64">
        <v>6.42</v>
      </c>
      <c r="J18" s="64">
        <v>1.23</v>
      </c>
      <c r="K18" s="64">
        <v>340.44</v>
      </c>
      <c r="L18" s="64">
        <v>19.420000000000002</v>
      </c>
      <c r="M18" s="64">
        <v>73.790000000000006</v>
      </c>
      <c r="N18" s="64">
        <v>26.3</v>
      </c>
      <c r="O18" s="64">
        <v>0</v>
      </c>
      <c r="P18" s="64">
        <v>0.73</v>
      </c>
      <c r="Q18" s="64">
        <v>9.6300000000000008</v>
      </c>
      <c r="R18" s="196"/>
      <c r="S18" s="196"/>
      <c r="T18" s="196"/>
      <c r="U18" s="196"/>
    </row>
    <row r="19" spans="1:21" s="12" customFormat="1" x14ac:dyDescent="0.25">
      <c r="A19" s="211" t="s">
        <v>1215</v>
      </c>
      <c r="B19" s="64">
        <v>4.88</v>
      </c>
      <c r="C19" s="64">
        <v>20.54</v>
      </c>
      <c r="D19" s="64">
        <v>13.27</v>
      </c>
      <c r="E19" s="64">
        <v>5.5</v>
      </c>
      <c r="F19" s="64">
        <v>4.03</v>
      </c>
      <c r="G19" s="64">
        <v>76.760000000000005</v>
      </c>
      <c r="H19" s="64">
        <v>44.29</v>
      </c>
      <c r="I19" s="64">
        <v>6.29</v>
      </c>
      <c r="J19" s="64">
        <v>0.93</v>
      </c>
      <c r="K19" s="64">
        <v>336.68</v>
      </c>
      <c r="L19" s="64">
        <v>19.29</v>
      </c>
      <c r="M19" s="64">
        <v>74.010000000000005</v>
      </c>
      <c r="N19" s="64">
        <v>26.3</v>
      </c>
      <c r="O19" s="64">
        <v>0</v>
      </c>
      <c r="P19" s="64">
        <v>0.74</v>
      </c>
      <c r="Q19" s="64">
        <v>9.6300000000000008</v>
      </c>
      <c r="R19" s="196"/>
      <c r="S19" s="196"/>
      <c r="T19" s="196"/>
      <c r="U19" s="196"/>
    </row>
    <row r="20" spans="1:21" s="12" customFormat="1" x14ac:dyDescent="0.25">
      <c r="A20" s="211" t="s">
        <v>1216</v>
      </c>
      <c r="B20" s="64">
        <v>5.07</v>
      </c>
      <c r="C20" s="64">
        <v>20.5</v>
      </c>
      <c r="D20" s="64">
        <v>13.4</v>
      </c>
      <c r="E20" s="64">
        <v>5.28</v>
      </c>
      <c r="F20" s="64">
        <v>4.08</v>
      </c>
      <c r="G20" s="64">
        <v>81</v>
      </c>
      <c r="H20" s="64">
        <v>44.61</v>
      </c>
      <c r="I20" s="64">
        <v>6.12</v>
      </c>
      <c r="J20" s="64">
        <v>0.12</v>
      </c>
      <c r="K20" s="64">
        <v>317.94</v>
      </c>
      <c r="L20" s="64">
        <v>19.05</v>
      </c>
      <c r="M20" s="64">
        <v>74.540000000000006</v>
      </c>
      <c r="N20" s="64">
        <v>26.1</v>
      </c>
      <c r="O20" s="64">
        <v>0</v>
      </c>
      <c r="P20" s="64">
        <v>0.73</v>
      </c>
      <c r="Q20" s="64">
        <v>9.6199999999999992</v>
      </c>
      <c r="R20" s="196"/>
      <c r="S20" s="196"/>
      <c r="T20" s="196"/>
      <c r="U20" s="196"/>
    </row>
    <row r="21" spans="1:21" s="12" customFormat="1" x14ac:dyDescent="0.25">
      <c r="A21" s="211" t="s">
        <v>1217</v>
      </c>
      <c r="B21" s="64">
        <v>5.04</v>
      </c>
      <c r="C21" s="64">
        <v>20.29</v>
      </c>
      <c r="D21" s="64">
        <v>13.27</v>
      </c>
      <c r="E21" s="64">
        <v>5.41</v>
      </c>
      <c r="F21" s="64">
        <v>4.2300000000000004</v>
      </c>
      <c r="G21" s="64">
        <v>93.34</v>
      </c>
      <c r="H21" s="64">
        <v>45.26</v>
      </c>
      <c r="I21" s="64">
        <v>5.92</v>
      </c>
      <c r="J21" s="64">
        <v>0.39</v>
      </c>
      <c r="K21" s="64">
        <v>299.58</v>
      </c>
      <c r="L21" s="64">
        <v>18.850000000000001</v>
      </c>
      <c r="M21" s="64">
        <v>76.430000000000007</v>
      </c>
      <c r="N21" s="64">
        <v>26.3</v>
      </c>
      <c r="O21" s="64">
        <v>0</v>
      </c>
      <c r="P21" s="64">
        <v>0.72</v>
      </c>
      <c r="Q21" s="64">
        <v>9.61</v>
      </c>
      <c r="R21" s="196"/>
      <c r="S21" s="196"/>
      <c r="T21" s="196"/>
      <c r="U21" s="196"/>
    </row>
    <row r="22" spans="1:21" s="12" customFormat="1" x14ac:dyDescent="0.25">
      <c r="A22" s="211" t="s">
        <v>1218</v>
      </c>
      <c r="B22" s="64">
        <v>5.0999999999999996</v>
      </c>
      <c r="C22" s="64">
        <v>19.8</v>
      </c>
      <c r="D22" s="64">
        <v>13.06</v>
      </c>
      <c r="E22" s="64">
        <v>5.45</v>
      </c>
      <c r="F22" s="64">
        <v>4.1900000000000004</v>
      </c>
      <c r="G22" s="64">
        <v>93.34</v>
      </c>
      <c r="H22" s="64">
        <v>45.26</v>
      </c>
      <c r="I22" s="64">
        <v>5.78</v>
      </c>
      <c r="J22" s="64">
        <v>0.87</v>
      </c>
      <c r="K22" s="64">
        <v>338.26</v>
      </c>
      <c r="L22" s="64">
        <v>18.82</v>
      </c>
      <c r="M22" s="64">
        <v>76.37</v>
      </c>
      <c r="N22" s="64">
        <v>26.1</v>
      </c>
      <c r="O22" s="64">
        <v>0</v>
      </c>
      <c r="P22" s="64">
        <v>0.71</v>
      </c>
      <c r="Q22" s="64">
        <v>9.6300000000000008</v>
      </c>
      <c r="R22" s="196"/>
      <c r="S22" s="196"/>
      <c r="T22" s="196"/>
      <c r="U22" s="196"/>
    </row>
    <row r="23" spans="1:21" s="12" customFormat="1" x14ac:dyDescent="0.25">
      <c r="A23" s="211" t="s">
        <v>1219</v>
      </c>
      <c r="B23" s="64">
        <v>5.03</v>
      </c>
      <c r="C23" s="64">
        <v>18.190000000000001</v>
      </c>
      <c r="D23" s="64">
        <v>12.16</v>
      </c>
      <c r="E23" s="64">
        <v>5.42</v>
      </c>
      <c r="F23" s="64">
        <v>4.3099999999999996</v>
      </c>
      <c r="G23" s="64">
        <v>93.34</v>
      </c>
      <c r="H23" s="64">
        <v>45.26</v>
      </c>
      <c r="I23" s="64">
        <v>5.43</v>
      </c>
      <c r="J23" s="64">
        <v>0.83</v>
      </c>
      <c r="K23" s="64">
        <v>335.31</v>
      </c>
      <c r="L23" s="64">
        <v>18.66</v>
      </c>
      <c r="M23" s="64">
        <v>76.5</v>
      </c>
      <c r="N23" s="64">
        <v>26.1</v>
      </c>
      <c r="O23" s="64">
        <v>0</v>
      </c>
      <c r="P23" s="64">
        <v>0.62</v>
      </c>
      <c r="Q23" s="64">
        <v>9.6199999999999992</v>
      </c>
      <c r="R23" s="196"/>
      <c r="S23" s="196"/>
      <c r="T23" s="196"/>
      <c r="U23" s="196"/>
    </row>
    <row r="24" spans="1:21" s="12" customFormat="1" x14ac:dyDescent="0.25">
      <c r="A24" s="211" t="s">
        <v>1220</v>
      </c>
      <c r="B24" s="64">
        <v>4.97</v>
      </c>
      <c r="C24" s="64">
        <v>17.329999999999998</v>
      </c>
      <c r="D24" s="64">
        <v>11.67</v>
      </c>
      <c r="E24" s="64">
        <v>4.9000000000000004</v>
      </c>
      <c r="F24" s="64">
        <v>4.5199999999999996</v>
      </c>
      <c r="G24" s="64">
        <v>91.28</v>
      </c>
      <c r="H24" s="64">
        <v>43.52</v>
      </c>
      <c r="I24" s="64">
        <v>5.07</v>
      </c>
      <c r="J24" s="64">
        <v>0.13</v>
      </c>
      <c r="K24" s="64">
        <v>46.94</v>
      </c>
      <c r="L24" s="64">
        <v>18.46</v>
      </c>
      <c r="M24" s="64">
        <v>77</v>
      </c>
      <c r="N24" s="64">
        <v>26.1</v>
      </c>
      <c r="O24" s="64">
        <v>0</v>
      </c>
      <c r="P24" s="64">
        <v>0.59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1221</v>
      </c>
      <c r="B25" s="64">
        <v>5.05</v>
      </c>
      <c r="C25" s="64">
        <v>17.21</v>
      </c>
      <c r="D25" s="64">
        <v>11.66</v>
      </c>
      <c r="E25" s="64">
        <v>5.22</v>
      </c>
      <c r="F25" s="64">
        <v>4.3</v>
      </c>
      <c r="G25" s="64">
        <v>85.28</v>
      </c>
      <c r="H25" s="64">
        <v>35.880000000000003</v>
      </c>
      <c r="I25" s="64">
        <v>3.93</v>
      </c>
      <c r="J25" s="64">
        <v>0.26</v>
      </c>
      <c r="K25" s="64">
        <v>306.42</v>
      </c>
      <c r="L25" s="64">
        <v>18.3</v>
      </c>
      <c r="M25" s="64">
        <v>78.28</v>
      </c>
      <c r="N25" s="64">
        <v>26.1</v>
      </c>
      <c r="O25" s="64">
        <v>0</v>
      </c>
      <c r="P25" s="64">
        <v>0.57999999999999996</v>
      </c>
      <c r="Q25" s="64">
        <v>9.6300000000000008</v>
      </c>
      <c r="R25" s="196"/>
      <c r="S25" s="196"/>
      <c r="T25" s="196"/>
      <c r="U25" s="196"/>
    </row>
    <row r="26" spans="1:21" s="12" customFormat="1" x14ac:dyDescent="0.25">
      <c r="A26" s="211" t="s">
        <v>1222</v>
      </c>
      <c r="B26" s="64">
        <v>5.2</v>
      </c>
      <c r="C26" s="64">
        <v>17</v>
      </c>
      <c r="D26" s="64">
        <v>11.68</v>
      </c>
      <c r="E26" s="64">
        <v>5.83</v>
      </c>
      <c r="F26" s="64">
        <v>4.13</v>
      </c>
      <c r="G26" s="64">
        <v>85.28</v>
      </c>
      <c r="H26" s="64">
        <v>35.880000000000003</v>
      </c>
      <c r="I26" s="64">
        <v>3.21</v>
      </c>
      <c r="J26" s="64">
        <v>0.98</v>
      </c>
      <c r="K26" s="64">
        <v>342.74</v>
      </c>
      <c r="L26" s="64">
        <v>18.420000000000002</v>
      </c>
      <c r="M26" s="64">
        <v>77.23</v>
      </c>
      <c r="N26" s="64">
        <v>26</v>
      </c>
      <c r="O26" s="64">
        <v>0</v>
      </c>
      <c r="P26" s="64">
        <v>0.63</v>
      </c>
      <c r="Q26" s="64">
        <v>9.6300000000000008</v>
      </c>
      <c r="R26" s="196"/>
      <c r="S26" s="196"/>
      <c r="T26" s="196"/>
      <c r="U26" s="196"/>
    </row>
    <row r="27" spans="1:21" s="12" customFormat="1" x14ac:dyDescent="0.25">
      <c r="A27" s="211" t="s">
        <v>1223</v>
      </c>
      <c r="B27" s="64">
        <v>5.54</v>
      </c>
      <c r="C27" s="64">
        <v>16.87</v>
      </c>
      <c r="D27" s="64">
        <v>11.88</v>
      </c>
      <c r="E27" s="64">
        <v>5.87</v>
      </c>
      <c r="F27" s="64">
        <v>3.64</v>
      </c>
      <c r="G27" s="64">
        <v>85.28</v>
      </c>
      <c r="H27" s="64">
        <v>35.880000000000003</v>
      </c>
      <c r="I27" s="64">
        <v>3.74</v>
      </c>
      <c r="J27" s="64">
        <v>1.03</v>
      </c>
      <c r="K27" s="64">
        <v>344.76</v>
      </c>
      <c r="L27" s="64">
        <v>18.420000000000002</v>
      </c>
      <c r="M27" s="64">
        <v>78.34</v>
      </c>
      <c r="N27" s="64">
        <v>26.1</v>
      </c>
      <c r="O27" s="64">
        <v>0</v>
      </c>
      <c r="P27" s="64">
        <v>0.66</v>
      </c>
      <c r="Q27" s="64">
        <v>9.6300000000000008</v>
      </c>
      <c r="R27" s="196"/>
      <c r="S27" s="196"/>
      <c r="T27" s="196"/>
      <c r="U27" s="196"/>
    </row>
    <row r="28" spans="1:21" s="12" customFormat="1" x14ac:dyDescent="0.25">
      <c r="A28" s="211" t="s">
        <v>1224</v>
      </c>
      <c r="B28" s="64">
        <v>6.02</v>
      </c>
      <c r="C28" s="64">
        <v>16.89</v>
      </c>
      <c r="D28" s="64">
        <v>12.27</v>
      </c>
      <c r="E28" s="64">
        <v>6.11</v>
      </c>
      <c r="F28" s="64">
        <v>3.72</v>
      </c>
      <c r="G28" s="64">
        <v>85.46</v>
      </c>
      <c r="H28" s="64">
        <v>40.659999999999997</v>
      </c>
      <c r="I28" s="64">
        <v>4.04</v>
      </c>
      <c r="J28" s="64">
        <v>1.35</v>
      </c>
      <c r="K28" s="64">
        <v>344.89</v>
      </c>
      <c r="L28" s="64">
        <v>18.32</v>
      </c>
      <c r="M28" s="64">
        <v>79.44</v>
      </c>
      <c r="N28" s="64">
        <v>26.1</v>
      </c>
      <c r="O28" s="64">
        <v>0</v>
      </c>
      <c r="P28" s="64">
        <v>0.68</v>
      </c>
      <c r="Q28" s="64">
        <v>9.61</v>
      </c>
      <c r="R28" s="196"/>
      <c r="S28" s="196"/>
      <c r="T28" s="196"/>
      <c r="U28" s="196"/>
    </row>
    <row r="29" spans="1:21" s="12" customFormat="1" x14ac:dyDescent="0.25">
      <c r="A29" s="211" t="s">
        <v>1225</v>
      </c>
      <c r="B29" s="64">
        <v>6.34</v>
      </c>
      <c r="C29" s="64">
        <v>16.87</v>
      </c>
      <c r="D29" s="64">
        <v>12.53</v>
      </c>
      <c r="E29" s="64">
        <v>6</v>
      </c>
      <c r="F29" s="64">
        <v>3.66</v>
      </c>
      <c r="G29" s="64">
        <v>86</v>
      </c>
      <c r="H29" s="64">
        <v>49.8</v>
      </c>
      <c r="I29" s="64">
        <v>4.13</v>
      </c>
      <c r="J29" s="64">
        <v>1.1399999999999999</v>
      </c>
      <c r="K29" s="64">
        <v>344.64</v>
      </c>
      <c r="L29" s="64">
        <v>18.04</v>
      </c>
      <c r="M29" s="64">
        <v>81.61</v>
      </c>
      <c r="N29" s="64">
        <v>26.1</v>
      </c>
      <c r="O29" s="64">
        <v>0</v>
      </c>
      <c r="P29" s="64">
        <v>0.71</v>
      </c>
      <c r="Q29" s="64">
        <v>9.6199999999999992</v>
      </c>
      <c r="R29" s="196"/>
      <c r="S29" s="196"/>
      <c r="T29" s="196"/>
      <c r="U29" s="196"/>
    </row>
    <row r="30" spans="1:21" s="12" customFormat="1" x14ac:dyDescent="0.25">
      <c r="A30" s="211" t="s">
        <v>1226</v>
      </c>
      <c r="B30" s="64">
        <v>6.74</v>
      </c>
      <c r="C30" s="64">
        <v>17.13</v>
      </c>
      <c r="D30" s="64">
        <v>12.98</v>
      </c>
      <c r="E30" s="64">
        <v>6.14</v>
      </c>
      <c r="F30" s="64">
        <v>3.68</v>
      </c>
      <c r="G30" s="64">
        <v>86</v>
      </c>
      <c r="H30" s="64">
        <v>49.8</v>
      </c>
      <c r="I30" s="64">
        <v>4.37</v>
      </c>
      <c r="J30" s="64">
        <v>0.83</v>
      </c>
      <c r="K30" s="64">
        <v>347.51</v>
      </c>
      <c r="L30" s="64">
        <v>17.670000000000002</v>
      </c>
      <c r="M30" s="64">
        <v>84.82</v>
      </c>
      <c r="N30" s="64">
        <v>26.1</v>
      </c>
      <c r="O30" s="64">
        <v>0</v>
      </c>
      <c r="P30" s="64">
        <v>0.83</v>
      </c>
      <c r="Q30" s="64">
        <v>9.61</v>
      </c>
      <c r="R30" s="196"/>
      <c r="S30" s="196"/>
      <c r="T30" s="196"/>
      <c r="U30" s="196"/>
    </row>
    <row r="31" spans="1:21" s="12" customFormat="1" x14ac:dyDescent="0.25">
      <c r="A31" s="211" t="s">
        <v>1227</v>
      </c>
      <c r="B31" s="64">
        <v>7.33</v>
      </c>
      <c r="C31" s="64">
        <v>18.75</v>
      </c>
      <c r="D31" s="64">
        <v>14.3</v>
      </c>
      <c r="E31" s="64">
        <v>6.24</v>
      </c>
      <c r="F31" s="64">
        <v>3.88</v>
      </c>
      <c r="G31" s="64">
        <v>86</v>
      </c>
      <c r="H31" s="64">
        <v>49.8</v>
      </c>
      <c r="I31" s="64">
        <v>4.1500000000000004</v>
      </c>
      <c r="J31" s="64">
        <v>0.56999999999999995</v>
      </c>
      <c r="K31" s="64">
        <v>0.18</v>
      </c>
      <c r="L31" s="64">
        <v>17.37</v>
      </c>
      <c r="M31" s="64">
        <v>87.06</v>
      </c>
      <c r="N31" s="64">
        <v>26</v>
      </c>
      <c r="O31" s="64">
        <v>0</v>
      </c>
      <c r="P31" s="64">
        <v>0.74</v>
      </c>
      <c r="Q31" s="64">
        <v>9.6199999999999992</v>
      </c>
      <c r="R31" s="196"/>
      <c r="S31" s="196"/>
      <c r="T31" s="196"/>
      <c r="U31" s="196"/>
    </row>
    <row r="32" spans="1:21" s="12" customFormat="1" x14ac:dyDescent="0.25">
      <c r="A32" s="211" t="s">
        <v>1228</v>
      </c>
      <c r="B32" s="64">
        <v>8.1300000000000008</v>
      </c>
      <c r="C32" s="64">
        <v>18.78</v>
      </c>
      <c r="D32" s="64">
        <v>14.96</v>
      </c>
      <c r="E32" s="64">
        <v>6.63</v>
      </c>
      <c r="F32" s="64">
        <v>4.1900000000000004</v>
      </c>
      <c r="G32" s="64">
        <v>91.6</v>
      </c>
      <c r="H32" s="64">
        <v>54.51</v>
      </c>
      <c r="I32" s="64">
        <v>4.55</v>
      </c>
      <c r="J32" s="64">
        <v>0.72</v>
      </c>
      <c r="K32" s="64">
        <v>337.76</v>
      </c>
      <c r="L32" s="64">
        <v>17.14</v>
      </c>
      <c r="M32" s="64">
        <v>88.5</v>
      </c>
      <c r="N32" s="64">
        <v>26</v>
      </c>
      <c r="O32" s="64">
        <v>0</v>
      </c>
      <c r="P32" s="64">
        <v>0.77</v>
      </c>
      <c r="Q32" s="64">
        <v>9.64</v>
      </c>
      <c r="R32" s="196"/>
      <c r="S32" s="196"/>
      <c r="T32" s="196"/>
      <c r="U32" s="196"/>
    </row>
    <row r="33" spans="1:21" s="12" customFormat="1" x14ac:dyDescent="0.25">
      <c r="A33" s="211" t="s">
        <v>1229</v>
      </c>
      <c r="B33" s="64">
        <v>9.2899999999999991</v>
      </c>
      <c r="C33" s="64">
        <v>19.14</v>
      </c>
      <c r="D33" s="64">
        <v>16.07</v>
      </c>
      <c r="E33" s="64">
        <v>6.67</v>
      </c>
      <c r="F33" s="64">
        <v>4.2300000000000004</v>
      </c>
      <c r="G33" s="64">
        <v>107.92</v>
      </c>
      <c r="H33" s="64">
        <v>63.51</v>
      </c>
      <c r="I33" s="64">
        <v>4.83</v>
      </c>
      <c r="J33" s="64">
        <v>1</v>
      </c>
      <c r="K33" s="64">
        <v>346.65</v>
      </c>
      <c r="L33" s="64">
        <v>17.2</v>
      </c>
      <c r="M33" s="64">
        <v>88.06</v>
      </c>
      <c r="N33" s="64">
        <v>27.4</v>
      </c>
      <c r="O33" s="64">
        <v>0</v>
      </c>
      <c r="P33" s="64">
        <v>0.8</v>
      </c>
      <c r="Q33" s="64">
        <v>9.6300000000000008</v>
      </c>
      <c r="R33" s="196"/>
      <c r="S33" s="196"/>
      <c r="T33" s="196"/>
      <c r="U33" s="196"/>
    </row>
    <row r="34" spans="1:21" s="12" customFormat="1" x14ac:dyDescent="0.25">
      <c r="A34" s="211" t="s">
        <v>1230</v>
      </c>
      <c r="B34" s="64">
        <v>10.43</v>
      </c>
      <c r="C34" s="64">
        <v>19.53</v>
      </c>
      <c r="D34" s="64">
        <v>17.190000000000001</v>
      </c>
      <c r="E34" s="64">
        <v>7.13</v>
      </c>
      <c r="F34" s="64">
        <v>3.87</v>
      </c>
      <c r="G34" s="64">
        <v>107.92</v>
      </c>
      <c r="H34" s="64">
        <v>63.51</v>
      </c>
      <c r="I34" s="64">
        <v>4.88</v>
      </c>
      <c r="J34" s="64">
        <v>0.45</v>
      </c>
      <c r="K34" s="64">
        <v>8.65</v>
      </c>
      <c r="L34" s="64">
        <v>17</v>
      </c>
      <c r="M34" s="64">
        <v>88.71</v>
      </c>
      <c r="N34" s="64">
        <v>33.200000000000003</v>
      </c>
      <c r="O34" s="64">
        <v>0</v>
      </c>
      <c r="P34" s="64">
        <v>0.83</v>
      </c>
      <c r="Q34" s="64">
        <v>9.6199999999999992</v>
      </c>
      <c r="R34" s="196"/>
      <c r="S34" s="196"/>
      <c r="T34" s="196"/>
      <c r="U34" s="196"/>
    </row>
    <row r="35" spans="1:21" s="12" customFormat="1" x14ac:dyDescent="0.25">
      <c r="A35" s="211" t="s">
        <v>1231</v>
      </c>
      <c r="B35" s="64">
        <v>11.83</v>
      </c>
      <c r="C35" s="64">
        <v>19.87</v>
      </c>
      <c r="D35" s="64">
        <v>18.489999999999998</v>
      </c>
      <c r="E35" s="64">
        <v>7.2</v>
      </c>
      <c r="F35" s="64">
        <v>4.18</v>
      </c>
      <c r="G35" s="64">
        <v>107.92</v>
      </c>
      <c r="H35" s="64">
        <v>63.51</v>
      </c>
      <c r="I35" s="64">
        <v>4.96</v>
      </c>
      <c r="J35" s="64">
        <v>0.83</v>
      </c>
      <c r="K35" s="64">
        <v>342.71</v>
      </c>
      <c r="L35" s="64">
        <v>17.12</v>
      </c>
      <c r="M35" s="64">
        <v>87.36</v>
      </c>
      <c r="N35" s="64">
        <v>45.1</v>
      </c>
      <c r="O35" s="64">
        <v>0</v>
      </c>
      <c r="P35" s="64">
        <v>0.87</v>
      </c>
      <c r="Q35" s="64">
        <v>9.6199999999999992</v>
      </c>
      <c r="R35" s="196"/>
      <c r="S35" s="196"/>
      <c r="T35" s="196"/>
      <c r="U35" s="196"/>
    </row>
    <row r="36" spans="1:21" s="12" customFormat="1" x14ac:dyDescent="0.25">
      <c r="A36" s="211" t="s">
        <v>1232</v>
      </c>
      <c r="B36" s="64">
        <v>13.66</v>
      </c>
      <c r="C36" s="64">
        <v>20.34</v>
      </c>
      <c r="D36" s="64">
        <v>20.2</v>
      </c>
      <c r="E36" s="64">
        <v>7.36</v>
      </c>
      <c r="F36" s="64">
        <v>4</v>
      </c>
      <c r="G36" s="64">
        <v>109.76</v>
      </c>
      <c r="H36" s="64">
        <v>63.3</v>
      </c>
      <c r="I36" s="64">
        <v>4.99</v>
      </c>
      <c r="J36" s="64">
        <v>1.27</v>
      </c>
      <c r="K36" s="64">
        <v>342.65</v>
      </c>
      <c r="L36" s="64">
        <v>17.39</v>
      </c>
      <c r="M36" s="64">
        <v>85.2</v>
      </c>
      <c r="N36" s="64">
        <v>64.3</v>
      </c>
      <c r="O36" s="64">
        <v>0</v>
      </c>
      <c r="P36" s="64">
        <v>0.92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1233</v>
      </c>
      <c r="B37" s="64">
        <v>15.3</v>
      </c>
      <c r="C37" s="64">
        <v>20.95</v>
      </c>
      <c r="D37" s="64">
        <v>21.83</v>
      </c>
      <c r="E37" s="64">
        <v>7.44</v>
      </c>
      <c r="F37" s="64">
        <v>3.69</v>
      </c>
      <c r="G37" s="64">
        <v>115.11</v>
      </c>
      <c r="H37" s="64">
        <v>62.9</v>
      </c>
      <c r="I37" s="64">
        <v>5.03</v>
      </c>
      <c r="J37" s="64">
        <v>1</v>
      </c>
      <c r="K37" s="64">
        <v>343.76</v>
      </c>
      <c r="L37" s="64">
        <v>17.86</v>
      </c>
      <c r="M37" s="64">
        <v>81.61</v>
      </c>
      <c r="N37" s="64">
        <v>78.3</v>
      </c>
      <c r="O37" s="64">
        <v>0</v>
      </c>
      <c r="P37" s="64">
        <v>0.94</v>
      </c>
      <c r="Q37" s="64">
        <v>9.6300000000000008</v>
      </c>
      <c r="R37" s="196"/>
      <c r="S37" s="196"/>
      <c r="T37" s="196"/>
      <c r="U37" s="196"/>
    </row>
    <row r="38" spans="1:21" s="12" customFormat="1" x14ac:dyDescent="0.25">
      <c r="A38" s="211" t="s">
        <v>1234</v>
      </c>
      <c r="B38" s="64">
        <v>16.64</v>
      </c>
      <c r="C38" s="64">
        <v>21.31</v>
      </c>
      <c r="D38" s="64">
        <v>23.1</v>
      </c>
      <c r="E38" s="64">
        <v>7.32</v>
      </c>
      <c r="F38" s="64">
        <v>3.66</v>
      </c>
      <c r="G38" s="64">
        <v>115.11</v>
      </c>
      <c r="H38" s="64">
        <v>62.9</v>
      </c>
      <c r="I38" s="64">
        <v>5.04</v>
      </c>
      <c r="J38" s="64">
        <v>1.17</v>
      </c>
      <c r="K38" s="64">
        <v>338.61</v>
      </c>
      <c r="L38" s="64">
        <v>18.190000000000001</v>
      </c>
      <c r="M38" s="64">
        <v>78.88</v>
      </c>
      <c r="N38" s="64">
        <v>68.599999999999994</v>
      </c>
      <c r="O38" s="64">
        <v>0</v>
      </c>
      <c r="P38" s="64">
        <v>0.98</v>
      </c>
      <c r="Q38" s="64">
        <v>9.6300000000000008</v>
      </c>
      <c r="R38" s="196"/>
      <c r="S38" s="196"/>
      <c r="T38" s="196"/>
      <c r="U38" s="196"/>
    </row>
    <row r="39" spans="1:21" s="12" customFormat="1" x14ac:dyDescent="0.25">
      <c r="A39" s="211" t="s">
        <v>1235</v>
      </c>
      <c r="B39" s="64">
        <v>17.29</v>
      </c>
      <c r="C39" s="64">
        <v>21.8</v>
      </c>
      <c r="D39" s="64">
        <v>23.88</v>
      </c>
      <c r="E39" s="64">
        <v>7.54</v>
      </c>
      <c r="F39" s="64">
        <v>4.4000000000000004</v>
      </c>
      <c r="G39" s="64">
        <v>115.11</v>
      </c>
      <c r="H39" s="64">
        <v>62.9</v>
      </c>
      <c r="I39" s="64">
        <v>5.0199999999999996</v>
      </c>
      <c r="J39" s="64">
        <v>1.3</v>
      </c>
      <c r="K39" s="64">
        <v>338.53</v>
      </c>
      <c r="L39" s="64">
        <v>18.600000000000001</v>
      </c>
      <c r="M39" s="64">
        <v>75.98</v>
      </c>
      <c r="N39" s="64">
        <v>102.9</v>
      </c>
      <c r="O39" s="64">
        <v>0</v>
      </c>
      <c r="P39" s="64">
        <v>0.99</v>
      </c>
      <c r="Q39" s="64">
        <v>9.64</v>
      </c>
      <c r="R39" s="196"/>
      <c r="S39" s="196"/>
      <c r="T39" s="196"/>
      <c r="U39" s="196"/>
    </row>
    <row r="40" spans="1:21" s="12" customFormat="1" x14ac:dyDescent="0.25">
      <c r="A40" s="211" t="s">
        <v>1236</v>
      </c>
      <c r="B40" s="64">
        <v>17.899999999999999</v>
      </c>
      <c r="C40" s="64">
        <v>20.82</v>
      </c>
      <c r="D40" s="64">
        <v>23.86</v>
      </c>
      <c r="E40" s="64">
        <v>5.76</v>
      </c>
      <c r="F40" s="64">
        <v>4.17</v>
      </c>
      <c r="G40" s="64">
        <v>114.55</v>
      </c>
      <c r="H40" s="64">
        <v>59.07</v>
      </c>
      <c r="I40" s="64">
        <v>5.23</v>
      </c>
      <c r="J40" s="64">
        <v>1.25</v>
      </c>
      <c r="K40" s="64">
        <v>336.21</v>
      </c>
      <c r="L40" s="64">
        <v>19.28</v>
      </c>
      <c r="M40" s="64">
        <v>72.069999999999993</v>
      </c>
      <c r="N40" s="64">
        <v>130</v>
      </c>
      <c r="O40" s="64">
        <v>0</v>
      </c>
      <c r="P40" s="64">
        <v>0.97</v>
      </c>
      <c r="Q40" s="64">
        <v>9.6300000000000008</v>
      </c>
      <c r="R40" s="196"/>
      <c r="S40" s="196"/>
      <c r="T40" s="196"/>
      <c r="U40" s="196"/>
    </row>
    <row r="41" spans="1:21" s="12" customFormat="1" x14ac:dyDescent="0.25">
      <c r="A41" s="211" t="s">
        <v>1237</v>
      </c>
      <c r="B41" s="64">
        <v>18.68</v>
      </c>
      <c r="C41" s="64">
        <v>20.66</v>
      </c>
      <c r="D41" s="64">
        <v>24.4</v>
      </c>
      <c r="E41" s="64">
        <v>7.14</v>
      </c>
      <c r="F41" s="64">
        <v>3.99</v>
      </c>
      <c r="G41" s="64">
        <v>112.92</v>
      </c>
      <c r="H41" s="64">
        <v>43.75</v>
      </c>
      <c r="I41" s="64">
        <v>4.76</v>
      </c>
      <c r="J41" s="64">
        <v>0.91</v>
      </c>
      <c r="K41" s="64">
        <v>336.81</v>
      </c>
      <c r="L41" s="64">
        <v>19.89</v>
      </c>
      <c r="M41" s="64">
        <v>70.709999999999994</v>
      </c>
      <c r="N41" s="64">
        <v>166.8</v>
      </c>
      <c r="O41" s="64">
        <v>0</v>
      </c>
      <c r="P41" s="64">
        <v>0.97</v>
      </c>
      <c r="Q41" s="64">
        <v>9.6199999999999992</v>
      </c>
      <c r="R41" s="196"/>
      <c r="S41" s="196"/>
      <c r="T41" s="196"/>
      <c r="U41" s="196"/>
    </row>
    <row r="42" spans="1:21" s="12" customFormat="1" x14ac:dyDescent="0.25">
      <c r="A42" s="211" t="s">
        <v>1238</v>
      </c>
      <c r="B42" s="64">
        <v>20.04</v>
      </c>
      <c r="C42" s="64">
        <v>21.09</v>
      </c>
      <c r="D42" s="64">
        <v>25.72</v>
      </c>
      <c r="E42" s="64">
        <v>6.47</v>
      </c>
      <c r="F42" s="64">
        <v>4.18</v>
      </c>
      <c r="G42" s="64">
        <v>112.92</v>
      </c>
      <c r="H42" s="64">
        <v>43.75</v>
      </c>
      <c r="I42" s="64">
        <v>4.4400000000000004</v>
      </c>
      <c r="J42" s="64">
        <v>0.57999999999999996</v>
      </c>
      <c r="K42" s="64">
        <v>3.57</v>
      </c>
      <c r="L42" s="64">
        <v>20.32</v>
      </c>
      <c r="M42" s="64">
        <v>69.209999999999994</v>
      </c>
      <c r="N42" s="64">
        <v>194.6</v>
      </c>
      <c r="O42" s="64">
        <v>0</v>
      </c>
      <c r="P42" s="64">
        <v>0.96</v>
      </c>
      <c r="Q42" s="64">
        <v>9.6300000000000008</v>
      </c>
      <c r="R42" s="196"/>
      <c r="S42" s="196"/>
      <c r="T42" s="196"/>
      <c r="U42" s="196"/>
    </row>
    <row r="43" spans="1:21" s="12" customFormat="1" x14ac:dyDescent="0.25">
      <c r="A43" s="211" t="s">
        <v>1239</v>
      </c>
      <c r="B43" s="64">
        <v>21.1</v>
      </c>
      <c r="C43" s="64">
        <v>21.15</v>
      </c>
      <c r="D43" s="64">
        <v>26.6</v>
      </c>
      <c r="E43" s="64">
        <v>6.5</v>
      </c>
      <c r="F43" s="64">
        <v>3.85</v>
      </c>
      <c r="G43" s="64">
        <v>112.92</v>
      </c>
      <c r="H43" s="64">
        <v>43.75</v>
      </c>
      <c r="I43" s="64">
        <v>4.59</v>
      </c>
      <c r="J43" s="64">
        <v>0.75</v>
      </c>
      <c r="K43" s="64">
        <v>332.78</v>
      </c>
      <c r="L43" s="64">
        <v>20.7</v>
      </c>
      <c r="M43" s="64">
        <v>67.64</v>
      </c>
      <c r="N43" s="64">
        <v>186.7</v>
      </c>
      <c r="O43" s="64">
        <v>0</v>
      </c>
      <c r="P43" s="64">
        <v>0.9</v>
      </c>
      <c r="Q43" s="64">
        <v>9.64</v>
      </c>
      <c r="R43" s="196"/>
      <c r="S43" s="196"/>
      <c r="T43" s="196"/>
      <c r="U43" s="196"/>
    </row>
    <row r="44" spans="1:21" s="12" customFormat="1" x14ac:dyDescent="0.25">
      <c r="A44" s="211" t="s">
        <v>1240</v>
      </c>
      <c r="B44" s="64">
        <v>21.46</v>
      </c>
      <c r="C44" s="64">
        <v>20.53</v>
      </c>
      <c r="D44" s="64">
        <v>26.56</v>
      </c>
      <c r="E44" s="64">
        <v>6.04</v>
      </c>
      <c r="F44" s="64">
        <v>4.2</v>
      </c>
      <c r="G44" s="64">
        <v>109.29</v>
      </c>
      <c r="H44" s="64">
        <v>36.99</v>
      </c>
      <c r="I44" s="64">
        <v>4.54</v>
      </c>
      <c r="J44" s="64">
        <v>0.46</v>
      </c>
      <c r="K44" s="64">
        <v>105.28</v>
      </c>
      <c r="L44" s="64">
        <v>20.05</v>
      </c>
      <c r="M44" s="64">
        <v>71.680000000000007</v>
      </c>
      <c r="N44" s="64">
        <v>165.8</v>
      </c>
      <c r="O44" s="64">
        <v>0</v>
      </c>
      <c r="P44" s="64">
        <v>0.9</v>
      </c>
      <c r="Q44" s="64">
        <v>9.64</v>
      </c>
      <c r="R44" s="196"/>
      <c r="S44" s="196"/>
      <c r="T44" s="196"/>
      <c r="U44" s="196"/>
    </row>
    <row r="45" spans="1:21" s="12" customFormat="1" x14ac:dyDescent="0.25">
      <c r="A45" s="211" t="s">
        <v>1241</v>
      </c>
      <c r="B45" s="64">
        <v>21.46</v>
      </c>
      <c r="C45" s="64">
        <v>19.91</v>
      </c>
      <c r="D45" s="64">
        <v>26.23</v>
      </c>
      <c r="E45" s="64">
        <v>5.71</v>
      </c>
      <c r="F45" s="64">
        <v>3.7</v>
      </c>
      <c r="G45" s="64">
        <v>98.74</v>
      </c>
      <c r="H45" s="64">
        <v>24.06</v>
      </c>
      <c r="I45" s="64">
        <v>4.55</v>
      </c>
      <c r="J45" s="64">
        <v>0.46</v>
      </c>
      <c r="K45" s="64">
        <v>68.98</v>
      </c>
      <c r="L45" s="64">
        <v>19.62</v>
      </c>
      <c r="M45" s="64">
        <v>74.92</v>
      </c>
      <c r="N45" s="64">
        <v>170.2</v>
      </c>
      <c r="O45" s="64">
        <v>0</v>
      </c>
      <c r="P45" s="64">
        <v>0.92</v>
      </c>
      <c r="Q45" s="64">
        <v>9.6300000000000008</v>
      </c>
      <c r="R45" s="196"/>
      <c r="S45" s="196"/>
      <c r="T45" s="196"/>
      <c r="U45" s="196"/>
    </row>
    <row r="46" spans="1:21" s="12" customFormat="1" x14ac:dyDescent="0.25">
      <c r="A46" s="211" t="s">
        <v>1242</v>
      </c>
      <c r="B46" s="64">
        <v>21.51</v>
      </c>
      <c r="C46" s="64">
        <v>19.899999999999999</v>
      </c>
      <c r="D46" s="64">
        <v>26.27</v>
      </c>
      <c r="E46" s="64">
        <v>5.9</v>
      </c>
      <c r="F46" s="64">
        <v>4.24</v>
      </c>
      <c r="G46" s="64">
        <v>98.74</v>
      </c>
      <c r="H46" s="64">
        <v>24.06</v>
      </c>
      <c r="I46" s="64">
        <v>4.76</v>
      </c>
      <c r="J46" s="64">
        <v>1.01</v>
      </c>
      <c r="K46" s="64">
        <v>355.35</v>
      </c>
      <c r="L46" s="64">
        <v>22.15</v>
      </c>
      <c r="M46" s="64">
        <v>65.66</v>
      </c>
      <c r="N46" s="64">
        <v>415.1</v>
      </c>
      <c r="O46" s="64">
        <v>0</v>
      </c>
      <c r="P46" s="64">
        <v>0.9</v>
      </c>
      <c r="Q46" s="64">
        <v>9.65</v>
      </c>
      <c r="R46" s="196"/>
      <c r="S46" s="196"/>
      <c r="T46" s="196"/>
      <c r="U46" s="196"/>
    </row>
    <row r="47" spans="1:21" s="12" customFormat="1" x14ac:dyDescent="0.25">
      <c r="A47" s="211" t="s">
        <v>1243</v>
      </c>
      <c r="B47" s="64">
        <v>21.36</v>
      </c>
      <c r="C47" s="64">
        <v>20.27</v>
      </c>
      <c r="D47" s="64">
        <v>26.34</v>
      </c>
      <c r="E47" s="64">
        <v>6.18</v>
      </c>
      <c r="F47" s="64">
        <v>3.84</v>
      </c>
      <c r="G47" s="64">
        <v>98.74</v>
      </c>
      <c r="H47" s="64">
        <v>24.06</v>
      </c>
      <c r="I47" s="64">
        <v>5.17</v>
      </c>
      <c r="J47" s="64">
        <v>0.53</v>
      </c>
      <c r="K47" s="64">
        <v>92.51</v>
      </c>
      <c r="L47" s="64">
        <v>22.75</v>
      </c>
      <c r="M47" s="64">
        <v>66.28</v>
      </c>
      <c r="N47" s="64">
        <v>455.9</v>
      </c>
      <c r="O47" s="64">
        <v>0</v>
      </c>
      <c r="P47" s="64">
        <v>0.91</v>
      </c>
      <c r="Q47" s="64">
        <v>9.6199999999999992</v>
      </c>
      <c r="R47" s="196"/>
      <c r="S47" s="196"/>
      <c r="T47" s="196"/>
      <c r="U47" s="196"/>
    </row>
    <row r="48" spans="1:21" s="12" customFormat="1" x14ac:dyDescent="0.25">
      <c r="A48" s="211" t="s">
        <v>1244</v>
      </c>
      <c r="B48" s="64">
        <v>20.77</v>
      </c>
      <c r="C48" s="64">
        <v>21.58</v>
      </c>
      <c r="D48" s="64">
        <v>26.55</v>
      </c>
      <c r="E48" s="64">
        <v>6.1</v>
      </c>
      <c r="F48" s="64">
        <v>4.26</v>
      </c>
      <c r="G48" s="64">
        <v>97.92</v>
      </c>
      <c r="H48" s="64">
        <v>25.86</v>
      </c>
      <c r="I48" s="64">
        <v>5.27</v>
      </c>
      <c r="J48" s="64">
        <v>0.41</v>
      </c>
      <c r="K48" s="64">
        <v>322.64</v>
      </c>
      <c r="L48" s="64">
        <v>25.11</v>
      </c>
      <c r="M48" s="64">
        <v>57.63</v>
      </c>
      <c r="N48" s="64">
        <v>472.5</v>
      </c>
      <c r="O48" s="64">
        <v>0</v>
      </c>
      <c r="P48" s="64">
        <v>0.91</v>
      </c>
      <c r="Q48" s="64">
        <v>9.6199999999999992</v>
      </c>
      <c r="R48" s="196"/>
      <c r="S48" s="196"/>
      <c r="T48" s="196"/>
      <c r="U48" s="196"/>
    </row>
    <row r="49" spans="1:21" s="12" customFormat="1" x14ac:dyDescent="0.25">
      <c r="A49" s="211" t="s">
        <v>1245</v>
      </c>
      <c r="B49" s="64">
        <v>20.149999999999999</v>
      </c>
      <c r="C49" s="64">
        <v>21.82</v>
      </c>
      <c r="D49" s="64">
        <v>26.18</v>
      </c>
      <c r="E49" s="64">
        <v>6.55</v>
      </c>
      <c r="F49" s="64">
        <v>4.2300000000000004</v>
      </c>
      <c r="G49" s="64">
        <v>95.53</v>
      </c>
      <c r="H49" s="64">
        <v>29.32</v>
      </c>
      <c r="I49" s="64">
        <v>5.82</v>
      </c>
      <c r="J49" s="64">
        <v>0.23</v>
      </c>
      <c r="K49" s="64">
        <v>333.49</v>
      </c>
      <c r="L49" s="64">
        <v>25.91</v>
      </c>
      <c r="M49" s="64">
        <v>54.53</v>
      </c>
      <c r="N49" s="64">
        <v>521.5</v>
      </c>
      <c r="O49" s="64">
        <v>0</v>
      </c>
      <c r="P49" s="64">
        <v>0.9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1246</v>
      </c>
      <c r="B50" s="64">
        <v>18.760000000000002</v>
      </c>
      <c r="C50" s="64">
        <v>22.49</v>
      </c>
      <c r="D50" s="64">
        <v>25.42</v>
      </c>
      <c r="E50" s="64">
        <v>6.17</v>
      </c>
      <c r="F50" s="64">
        <v>3.36</v>
      </c>
      <c r="G50" s="64">
        <v>95.53</v>
      </c>
      <c r="H50" s="64">
        <v>29.32</v>
      </c>
      <c r="I50" s="64">
        <v>6.01</v>
      </c>
      <c r="J50" s="64">
        <v>1.58</v>
      </c>
      <c r="K50" s="64">
        <v>114.29</v>
      </c>
      <c r="L50" s="64">
        <v>24.28</v>
      </c>
      <c r="M50" s="64">
        <v>58.94</v>
      </c>
      <c r="N50" s="64">
        <v>551.70000000000005</v>
      </c>
      <c r="O50" s="64">
        <v>0</v>
      </c>
      <c r="P50" s="64">
        <v>0.88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1247</v>
      </c>
      <c r="B51" s="64">
        <v>16.38</v>
      </c>
      <c r="C51" s="64">
        <v>22.91</v>
      </c>
      <c r="D51" s="64">
        <v>23.73</v>
      </c>
      <c r="E51" s="64">
        <v>5.81</v>
      </c>
      <c r="F51" s="64">
        <v>4.5199999999999996</v>
      </c>
      <c r="G51" s="64">
        <v>95.53</v>
      </c>
      <c r="H51" s="64">
        <v>29.32</v>
      </c>
      <c r="I51" s="64">
        <v>5.98</v>
      </c>
      <c r="J51" s="64">
        <v>1.27</v>
      </c>
      <c r="K51" s="64">
        <v>112.95</v>
      </c>
      <c r="L51" s="64">
        <v>23.37</v>
      </c>
      <c r="M51" s="64">
        <v>62.26</v>
      </c>
      <c r="N51" s="64">
        <v>571.9</v>
      </c>
      <c r="O51" s="64">
        <v>0</v>
      </c>
      <c r="P51" s="64">
        <v>0.85</v>
      </c>
      <c r="Q51" s="64">
        <v>9.6199999999999992</v>
      </c>
      <c r="R51" s="196"/>
      <c r="S51" s="196"/>
      <c r="T51" s="196"/>
      <c r="U51" s="196"/>
    </row>
    <row r="52" spans="1:21" s="12" customFormat="1" x14ac:dyDescent="0.25">
      <c r="A52" s="211" t="s">
        <v>1248</v>
      </c>
      <c r="B52" s="64">
        <v>14.05</v>
      </c>
      <c r="C52" s="64">
        <v>22.77</v>
      </c>
      <c r="D52" s="64">
        <v>21.79</v>
      </c>
      <c r="E52" s="64">
        <v>5.76</v>
      </c>
      <c r="F52" s="64">
        <v>4.49</v>
      </c>
      <c r="G52" s="64">
        <v>92.37</v>
      </c>
      <c r="H52" s="64">
        <v>32.75</v>
      </c>
      <c r="I52" s="64">
        <v>6.17</v>
      </c>
      <c r="J52" s="64">
        <v>0.28000000000000003</v>
      </c>
      <c r="K52" s="64">
        <v>46.96</v>
      </c>
      <c r="L52" s="64">
        <v>25.41</v>
      </c>
      <c r="M52" s="64">
        <v>55.61</v>
      </c>
      <c r="N52" s="64">
        <v>587.70000000000005</v>
      </c>
      <c r="O52" s="64">
        <v>0</v>
      </c>
      <c r="P52" s="64">
        <v>0.83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1249</v>
      </c>
      <c r="B53" s="64">
        <v>10.88</v>
      </c>
      <c r="C53" s="64">
        <v>27.84</v>
      </c>
      <c r="D53" s="64">
        <v>21.89</v>
      </c>
      <c r="E53" s="64">
        <v>7.21</v>
      </c>
      <c r="F53" s="64">
        <v>7.81</v>
      </c>
      <c r="G53" s="64">
        <v>83.19</v>
      </c>
      <c r="H53" s="64">
        <v>39.31</v>
      </c>
      <c r="I53" s="64">
        <v>6.65</v>
      </c>
      <c r="J53" s="64">
        <v>0.87</v>
      </c>
      <c r="K53" s="64">
        <v>349.31</v>
      </c>
      <c r="L53" s="64">
        <v>27.71</v>
      </c>
      <c r="M53" s="64">
        <v>49</v>
      </c>
      <c r="N53" s="64">
        <v>598.4</v>
      </c>
      <c r="O53" s="64">
        <v>0</v>
      </c>
      <c r="P53" s="64">
        <v>0.85</v>
      </c>
      <c r="Q53" s="64">
        <v>9.6300000000000008</v>
      </c>
      <c r="R53" s="196"/>
      <c r="S53" s="196"/>
      <c r="T53" s="196"/>
      <c r="U53" s="196"/>
    </row>
    <row r="54" spans="1:21" s="12" customFormat="1" x14ac:dyDescent="0.25">
      <c r="A54" s="211" t="s">
        <v>1250</v>
      </c>
      <c r="B54" s="64">
        <v>6.1</v>
      </c>
      <c r="C54" s="64">
        <v>37.520000000000003</v>
      </c>
      <c r="D54" s="64">
        <v>23.12</v>
      </c>
      <c r="E54" s="64">
        <v>9.25</v>
      </c>
      <c r="F54" s="64">
        <v>14.81</v>
      </c>
      <c r="G54" s="64">
        <v>83.19</v>
      </c>
      <c r="H54" s="64">
        <v>39.31</v>
      </c>
      <c r="I54" s="64">
        <v>7.02</v>
      </c>
      <c r="J54" s="64">
        <v>1.1100000000000001</v>
      </c>
      <c r="K54" s="64">
        <v>119.14</v>
      </c>
      <c r="L54" s="64">
        <v>25.8</v>
      </c>
      <c r="M54" s="64">
        <v>54.49</v>
      </c>
      <c r="N54" s="64">
        <v>600.9</v>
      </c>
      <c r="O54" s="64">
        <v>0</v>
      </c>
      <c r="P54" s="64">
        <v>0.81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1251</v>
      </c>
      <c r="B55" s="64">
        <v>2.4900000000000002</v>
      </c>
      <c r="C55" s="64">
        <v>33.130000000000003</v>
      </c>
      <c r="D55" s="64">
        <v>17.93</v>
      </c>
      <c r="E55" s="64">
        <v>9.4</v>
      </c>
      <c r="F55" s="64">
        <v>15.88</v>
      </c>
      <c r="G55" s="64">
        <v>83.19</v>
      </c>
      <c r="H55" s="64">
        <v>39.31</v>
      </c>
      <c r="I55" s="64">
        <v>6</v>
      </c>
      <c r="J55" s="64">
        <v>1.25</v>
      </c>
      <c r="K55" s="64">
        <v>115.09</v>
      </c>
      <c r="L55" s="64">
        <v>24.92</v>
      </c>
      <c r="M55" s="64">
        <v>55.6</v>
      </c>
      <c r="N55" s="64">
        <v>400.5</v>
      </c>
      <c r="O55" s="64">
        <v>0</v>
      </c>
      <c r="P55" s="64">
        <v>0.66</v>
      </c>
      <c r="Q55" s="64">
        <v>9.65</v>
      </c>
      <c r="R55" s="196"/>
      <c r="S55" s="196"/>
      <c r="T55" s="196"/>
      <c r="U55" s="196"/>
    </row>
    <row r="56" spans="1:21" s="12" customFormat="1" x14ac:dyDescent="0.25">
      <c r="A56" s="211" t="s">
        <v>1252</v>
      </c>
      <c r="B56" s="64">
        <v>1.91</v>
      </c>
      <c r="C56" s="64">
        <v>27.31</v>
      </c>
      <c r="D56" s="64">
        <v>14.42</v>
      </c>
      <c r="E56" s="64">
        <v>6.9</v>
      </c>
      <c r="F56" s="64">
        <v>8.73</v>
      </c>
      <c r="G56" s="64">
        <v>77.260000000000005</v>
      </c>
      <c r="H56" s="64">
        <v>36.96</v>
      </c>
      <c r="I56" s="64">
        <v>4.49</v>
      </c>
      <c r="J56" s="64">
        <v>0.9</v>
      </c>
      <c r="K56" s="64">
        <v>109.96</v>
      </c>
      <c r="L56" s="64">
        <v>24.29</v>
      </c>
      <c r="M56" s="64">
        <v>56.52</v>
      </c>
      <c r="N56" s="64">
        <v>189</v>
      </c>
      <c r="O56" s="64">
        <v>0</v>
      </c>
      <c r="P56" s="64">
        <v>0.6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1253</v>
      </c>
      <c r="B57" s="64">
        <v>1.99</v>
      </c>
      <c r="C57" s="64">
        <v>24.1</v>
      </c>
      <c r="D57" s="64">
        <v>12.81</v>
      </c>
      <c r="E57" s="64">
        <v>6.88</v>
      </c>
      <c r="F57" s="64">
        <v>7.05</v>
      </c>
      <c r="G57" s="64">
        <v>60</v>
      </c>
      <c r="H57" s="64">
        <v>27.53</v>
      </c>
      <c r="I57" s="64">
        <v>4.18</v>
      </c>
      <c r="J57" s="64">
        <v>1.04</v>
      </c>
      <c r="K57" s="64">
        <v>114.79</v>
      </c>
      <c r="L57" s="64">
        <v>23.86</v>
      </c>
      <c r="M57" s="64">
        <v>55.14</v>
      </c>
      <c r="N57" s="64">
        <v>299.39999999999998</v>
      </c>
      <c r="O57" s="64">
        <v>0</v>
      </c>
      <c r="P57" s="64">
        <v>0.56999999999999995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1254</v>
      </c>
      <c r="B58" s="64">
        <v>2.1800000000000002</v>
      </c>
      <c r="C58" s="64">
        <v>22.26</v>
      </c>
      <c r="D58" s="64">
        <v>12</v>
      </c>
      <c r="E58" s="64">
        <v>6.98</v>
      </c>
      <c r="F58" s="64">
        <v>6.09</v>
      </c>
      <c r="G58" s="64">
        <v>60</v>
      </c>
      <c r="H58" s="64">
        <v>27.53</v>
      </c>
      <c r="I58" s="64">
        <v>3.59</v>
      </c>
      <c r="J58" s="64">
        <v>0.9</v>
      </c>
      <c r="K58" s="64">
        <v>341.74</v>
      </c>
      <c r="L58" s="64">
        <v>25.22</v>
      </c>
      <c r="M58" s="64">
        <v>52.96</v>
      </c>
      <c r="N58" s="64">
        <v>311.60000000000002</v>
      </c>
      <c r="O58" s="64">
        <v>0</v>
      </c>
      <c r="P58" s="64">
        <v>0.62</v>
      </c>
      <c r="Q58" s="64">
        <v>9.6199999999999992</v>
      </c>
      <c r="R58" s="196"/>
      <c r="S58" s="196"/>
      <c r="T58" s="196"/>
      <c r="U58" s="196"/>
    </row>
    <row r="59" spans="1:21" s="12" customFormat="1" x14ac:dyDescent="0.25">
      <c r="A59" s="211" t="s">
        <v>1255</v>
      </c>
      <c r="B59" s="64">
        <v>2.8</v>
      </c>
      <c r="C59" s="64">
        <v>21.41</v>
      </c>
      <c r="D59" s="64">
        <v>12.06</v>
      </c>
      <c r="E59" s="64">
        <v>6.82</v>
      </c>
      <c r="F59" s="64">
        <v>5.96</v>
      </c>
      <c r="G59" s="64">
        <v>60</v>
      </c>
      <c r="H59" s="64">
        <v>27.53</v>
      </c>
      <c r="I59" s="64">
        <v>3.37</v>
      </c>
      <c r="J59" s="64">
        <v>1.07</v>
      </c>
      <c r="K59" s="64">
        <v>338.4</v>
      </c>
      <c r="L59" s="64">
        <v>26.85</v>
      </c>
      <c r="M59" s="64">
        <v>46.77</v>
      </c>
      <c r="N59" s="64">
        <v>391.9</v>
      </c>
      <c r="O59" s="64">
        <v>0</v>
      </c>
      <c r="P59" s="64">
        <v>0.65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1256</v>
      </c>
      <c r="B60" s="64">
        <v>3.41</v>
      </c>
      <c r="C60" s="64">
        <v>21.67</v>
      </c>
      <c r="D60" s="64">
        <v>12.68</v>
      </c>
      <c r="E60" s="64">
        <v>6.75</v>
      </c>
      <c r="F60" s="64">
        <v>6.84</v>
      </c>
      <c r="G60" s="64">
        <v>60.52</v>
      </c>
      <c r="H60" s="64">
        <v>20.350000000000001</v>
      </c>
      <c r="I60" s="64">
        <v>3.62</v>
      </c>
      <c r="J60" s="64">
        <v>1.0900000000000001</v>
      </c>
      <c r="K60" s="64">
        <v>339.71</v>
      </c>
      <c r="L60" s="64">
        <v>27.41</v>
      </c>
      <c r="M60" s="64">
        <v>44.78</v>
      </c>
      <c r="N60" s="64">
        <v>352.9</v>
      </c>
      <c r="O60" s="64">
        <v>0</v>
      </c>
      <c r="P60" s="64">
        <v>0.66</v>
      </c>
      <c r="Q60" s="64">
        <v>9.6199999999999992</v>
      </c>
      <c r="R60" s="196"/>
      <c r="S60" s="196"/>
      <c r="T60" s="196"/>
      <c r="U60" s="196"/>
    </row>
    <row r="61" spans="1:21" s="12" customFormat="1" x14ac:dyDescent="0.25">
      <c r="A61" s="211" t="s">
        <v>1257</v>
      </c>
      <c r="B61" s="64">
        <v>3.75</v>
      </c>
      <c r="C61" s="64">
        <v>23.61</v>
      </c>
      <c r="D61" s="64">
        <v>13.97</v>
      </c>
      <c r="E61" s="64">
        <v>6.76</v>
      </c>
      <c r="F61" s="64">
        <v>7.54</v>
      </c>
      <c r="G61" s="64">
        <v>62.03</v>
      </c>
      <c r="H61" s="64">
        <v>6.61</v>
      </c>
      <c r="I61" s="64">
        <v>3.56</v>
      </c>
      <c r="J61" s="64">
        <v>0.46</v>
      </c>
      <c r="K61" s="64">
        <v>14.61</v>
      </c>
      <c r="L61" s="64">
        <v>27.18</v>
      </c>
      <c r="M61" s="64">
        <v>45.49</v>
      </c>
      <c r="N61" s="64">
        <v>387.2</v>
      </c>
      <c r="O61" s="64">
        <v>0</v>
      </c>
      <c r="P61" s="64">
        <v>0.56999999999999995</v>
      </c>
      <c r="Q61" s="64">
        <v>9.6199999999999992</v>
      </c>
      <c r="R61" s="196"/>
      <c r="S61" s="196"/>
      <c r="T61" s="196"/>
      <c r="U61" s="196"/>
    </row>
    <row r="62" spans="1:21" s="12" customFormat="1" x14ac:dyDescent="0.25">
      <c r="A62" s="211" t="s">
        <v>1258</v>
      </c>
      <c r="B62" s="64">
        <v>3.73</v>
      </c>
      <c r="C62" s="64">
        <v>23.95</v>
      </c>
      <c r="D62" s="64">
        <v>14.13</v>
      </c>
      <c r="E62" s="64">
        <v>6.24</v>
      </c>
      <c r="F62" s="64">
        <v>6</v>
      </c>
      <c r="G62" s="64">
        <v>62.03</v>
      </c>
      <c r="H62" s="64">
        <v>6.61</v>
      </c>
      <c r="I62" s="64">
        <v>3.06</v>
      </c>
      <c r="J62" s="64">
        <v>0.86</v>
      </c>
      <c r="K62" s="64">
        <v>109.17</v>
      </c>
      <c r="L62" s="64">
        <v>26.18</v>
      </c>
      <c r="M62" s="64">
        <v>46.85</v>
      </c>
      <c r="N62" s="64">
        <v>436.1</v>
      </c>
      <c r="O62" s="64">
        <v>0</v>
      </c>
      <c r="P62" s="64">
        <v>0.61</v>
      </c>
      <c r="Q62" s="64">
        <v>9.6199999999999992</v>
      </c>
      <c r="R62" s="196"/>
      <c r="S62" s="196"/>
      <c r="T62" s="196"/>
      <c r="U62" s="196"/>
    </row>
    <row r="63" spans="1:21" s="12" customFormat="1" x14ac:dyDescent="0.25">
      <c r="A63" s="211" t="s">
        <v>1259</v>
      </c>
      <c r="B63" s="64">
        <v>3.63</v>
      </c>
      <c r="C63" s="64">
        <v>22.63</v>
      </c>
      <c r="D63" s="64">
        <v>13.36</v>
      </c>
      <c r="E63" s="64">
        <v>6.07</v>
      </c>
      <c r="F63" s="64">
        <v>6.01</v>
      </c>
      <c r="G63" s="64">
        <v>62.03</v>
      </c>
      <c r="H63" s="64">
        <v>6.61</v>
      </c>
      <c r="I63" s="64">
        <v>2.92</v>
      </c>
      <c r="J63" s="64">
        <v>0.8</v>
      </c>
      <c r="K63" s="64">
        <v>113.16</v>
      </c>
      <c r="L63" s="64">
        <v>25.62</v>
      </c>
      <c r="M63" s="64">
        <v>47.87</v>
      </c>
      <c r="N63" s="64">
        <v>414.1</v>
      </c>
      <c r="O63" s="64">
        <v>0</v>
      </c>
      <c r="P63" s="64">
        <v>0.55000000000000004</v>
      </c>
      <c r="Q63" s="64">
        <v>9.6300000000000008</v>
      </c>
      <c r="R63" s="196"/>
      <c r="S63" s="196"/>
      <c r="T63" s="196"/>
      <c r="U63" s="196"/>
    </row>
    <row r="64" spans="1:21" s="12" customFormat="1" x14ac:dyDescent="0.25">
      <c r="A64" s="211" t="s">
        <v>1260</v>
      </c>
      <c r="B64" s="64">
        <v>3.03</v>
      </c>
      <c r="C64" s="64">
        <v>23.72</v>
      </c>
      <c r="D64" s="64">
        <v>13.44</v>
      </c>
      <c r="E64" s="64">
        <v>6.66</v>
      </c>
      <c r="F64" s="64">
        <v>11.78</v>
      </c>
      <c r="G64" s="64">
        <v>66.099999999999994</v>
      </c>
      <c r="H64" s="64">
        <v>4.9800000000000004</v>
      </c>
      <c r="I64" s="64">
        <v>3.51</v>
      </c>
      <c r="J64" s="64">
        <v>0.35</v>
      </c>
      <c r="K64" s="64">
        <v>50.01</v>
      </c>
      <c r="L64" s="64">
        <v>25.59</v>
      </c>
      <c r="M64" s="64">
        <v>47.49</v>
      </c>
      <c r="N64" s="64">
        <v>243.3</v>
      </c>
      <c r="O64" s="64">
        <v>0</v>
      </c>
      <c r="P64" s="64">
        <v>0.56000000000000005</v>
      </c>
      <c r="Q64" s="64">
        <v>9.61</v>
      </c>
      <c r="R64" s="196"/>
      <c r="S64" s="196"/>
      <c r="T64" s="196"/>
      <c r="U64" s="196"/>
    </row>
    <row r="65" spans="1:21" s="12" customFormat="1" x14ac:dyDescent="0.25">
      <c r="A65" s="211" t="s">
        <v>1261</v>
      </c>
      <c r="B65" s="64">
        <v>2.0299999999999998</v>
      </c>
      <c r="C65" s="64">
        <v>28.08</v>
      </c>
      <c r="D65" s="64">
        <v>14.92</v>
      </c>
      <c r="E65" s="64">
        <v>8.16</v>
      </c>
      <c r="F65" s="64">
        <v>15.19</v>
      </c>
      <c r="G65" s="64">
        <v>77.95</v>
      </c>
      <c r="H65" s="64">
        <v>1.72</v>
      </c>
      <c r="I65" s="64">
        <v>3.72</v>
      </c>
      <c r="J65" s="64">
        <v>0.18</v>
      </c>
      <c r="K65" s="64">
        <v>31.24</v>
      </c>
      <c r="L65" s="64">
        <v>26.09</v>
      </c>
      <c r="M65" s="64">
        <v>45.38</v>
      </c>
      <c r="N65" s="64">
        <v>169.8</v>
      </c>
      <c r="O65" s="64">
        <v>0</v>
      </c>
      <c r="P65" s="64">
        <v>0.57999999999999996</v>
      </c>
      <c r="Q65" s="64">
        <v>9.64</v>
      </c>
      <c r="R65" s="196"/>
      <c r="S65" s="196"/>
      <c r="T65" s="196"/>
      <c r="U65" s="196"/>
    </row>
    <row r="66" spans="1:21" s="12" customFormat="1" x14ac:dyDescent="0.25">
      <c r="A66" s="211" t="s">
        <v>1262</v>
      </c>
      <c r="B66" s="64">
        <v>1.88</v>
      </c>
      <c r="C66" s="64">
        <v>26.43</v>
      </c>
      <c r="D66" s="64">
        <v>13.94</v>
      </c>
      <c r="E66" s="64">
        <v>7.19</v>
      </c>
      <c r="F66" s="64">
        <v>9.33</v>
      </c>
      <c r="G66" s="64">
        <v>77.95</v>
      </c>
      <c r="H66" s="64">
        <v>1.72</v>
      </c>
      <c r="I66" s="64">
        <v>3.44</v>
      </c>
      <c r="J66" s="64">
        <v>0.17</v>
      </c>
      <c r="K66" s="64">
        <v>67.819999999999993</v>
      </c>
      <c r="L66" s="64">
        <v>25.6</v>
      </c>
      <c r="M66" s="64">
        <v>45.48</v>
      </c>
      <c r="N66" s="64">
        <v>155.6</v>
      </c>
      <c r="O66" s="64">
        <v>0</v>
      </c>
      <c r="P66" s="64">
        <v>0.54</v>
      </c>
      <c r="Q66" s="64">
        <v>9.6300000000000008</v>
      </c>
      <c r="R66" s="196"/>
      <c r="S66" s="196"/>
      <c r="T66" s="196"/>
      <c r="U66" s="196"/>
    </row>
    <row r="67" spans="1:21" s="12" customFormat="1" x14ac:dyDescent="0.25">
      <c r="A67" s="211" t="s">
        <v>1263</v>
      </c>
      <c r="B67" s="64">
        <v>2.25</v>
      </c>
      <c r="C67" s="64">
        <v>28.29</v>
      </c>
      <c r="D67" s="64">
        <v>15.21</v>
      </c>
      <c r="E67" s="64">
        <v>6.63</v>
      </c>
      <c r="F67" s="64">
        <v>7.41</v>
      </c>
      <c r="G67" s="64">
        <v>77.95</v>
      </c>
      <c r="H67" s="64">
        <v>1.72</v>
      </c>
      <c r="I67" s="64">
        <v>3.25</v>
      </c>
      <c r="J67" s="64">
        <v>0.45</v>
      </c>
      <c r="K67" s="64">
        <v>97.46</v>
      </c>
      <c r="L67" s="64">
        <v>25.7</v>
      </c>
      <c r="M67" s="64">
        <v>45.12</v>
      </c>
      <c r="N67" s="64">
        <v>141.30000000000001</v>
      </c>
      <c r="O67" s="64">
        <v>0</v>
      </c>
      <c r="P67" s="64">
        <v>0.55000000000000004</v>
      </c>
      <c r="Q67" s="64">
        <v>9.6300000000000008</v>
      </c>
      <c r="R67" s="196"/>
      <c r="S67" s="196"/>
      <c r="T67" s="196"/>
      <c r="U67" s="196"/>
    </row>
    <row r="68" spans="1:21" s="12" customFormat="1" x14ac:dyDescent="0.25">
      <c r="A68" s="211" t="s">
        <v>1264</v>
      </c>
      <c r="B68" s="64">
        <v>2.33</v>
      </c>
      <c r="C68" s="64">
        <v>24.77</v>
      </c>
      <c r="D68" s="64">
        <v>13.43</v>
      </c>
      <c r="E68" s="64">
        <v>6.46</v>
      </c>
      <c r="F68" s="64">
        <v>5.95</v>
      </c>
      <c r="G68" s="64">
        <v>70.430000000000007</v>
      </c>
      <c r="H68" s="64">
        <v>1.29</v>
      </c>
      <c r="I68" s="64">
        <v>2.75</v>
      </c>
      <c r="J68" s="64">
        <v>1.3</v>
      </c>
      <c r="K68" s="64">
        <v>111.54</v>
      </c>
      <c r="L68" s="64">
        <v>24.67</v>
      </c>
      <c r="M68" s="64">
        <v>46.67</v>
      </c>
      <c r="N68" s="64">
        <v>149</v>
      </c>
      <c r="O68" s="64">
        <v>0</v>
      </c>
      <c r="P68" s="64">
        <v>0.53</v>
      </c>
      <c r="Q68" s="64">
        <v>9.6300000000000008</v>
      </c>
      <c r="R68" s="196"/>
      <c r="S68" s="196"/>
      <c r="T68" s="196"/>
      <c r="U68" s="196"/>
    </row>
    <row r="69" spans="1:21" s="12" customFormat="1" x14ac:dyDescent="0.25">
      <c r="A69" s="211" t="s">
        <v>1265</v>
      </c>
      <c r="B69" s="64">
        <v>2.44</v>
      </c>
      <c r="C69" s="64">
        <v>24.31</v>
      </c>
      <c r="D69" s="64">
        <v>13.28</v>
      </c>
      <c r="E69" s="64">
        <v>5.96</v>
      </c>
      <c r="F69" s="64">
        <v>6.21</v>
      </c>
      <c r="G69" s="64">
        <v>48.54</v>
      </c>
      <c r="H69" s="64">
        <v>0.48</v>
      </c>
      <c r="I69" s="64">
        <v>3.14</v>
      </c>
      <c r="J69" s="64">
        <v>0.47</v>
      </c>
      <c r="K69" s="64">
        <v>85.83</v>
      </c>
      <c r="L69" s="64">
        <v>24.73</v>
      </c>
      <c r="M69" s="64">
        <v>46.15</v>
      </c>
      <c r="N69" s="64">
        <v>122.5</v>
      </c>
      <c r="O69" s="64">
        <v>0</v>
      </c>
      <c r="P69" s="64">
        <v>0.5</v>
      </c>
      <c r="Q69" s="64">
        <v>9.6300000000000008</v>
      </c>
      <c r="R69" s="196"/>
      <c r="S69" s="196"/>
      <c r="T69" s="196"/>
      <c r="U69" s="196"/>
    </row>
    <row r="70" spans="1:21" s="12" customFormat="1" x14ac:dyDescent="0.25">
      <c r="A70" s="211" t="s">
        <v>1266</v>
      </c>
      <c r="B70" s="64">
        <v>2.74</v>
      </c>
      <c r="C70" s="64">
        <v>22.61</v>
      </c>
      <c r="D70" s="64">
        <v>12.63</v>
      </c>
      <c r="E70" s="64">
        <v>5.85</v>
      </c>
      <c r="F70" s="64">
        <v>4.99</v>
      </c>
      <c r="G70" s="64">
        <v>48.54</v>
      </c>
      <c r="H70" s="64">
        <v>0.48</v>
      </c>
      <c r="I70" s="64">
        <v>3.36</v>
      </c>
      <c r="J70" s="64">
        <v>0.59</v>
      </c>
      <c r="K70" s="64">
        <v>355.57</v>
      </c>
      <c r="L70" s="64">
        <v>25.25</v>
      </c>
      <c r="M70" s="64">
        <v>46.06</v>
      </c>
      <c r="N70" s="64">
        <v>113.8</v>
      </c>
      <c r="O70" s="64">
        <v>0</v>
      </c>
      <c r="P70" s="64">
        <v>0.55000000000000004</v>
      </c>
      <c r="Q70" s="64">
        <v>9.6300000000000008</v>
      </c>
      <c r="R70" s="196"/>
      <c r="S70" s="196"/>
      <c r="T70" s="196"/>
      <c r="U70" s="196"/>
    </row>
    <row r="71" spans="1:21" s="12" customFormat="1" x14ac:dyDescent="0.25">
      <c r="A71" s="211" t="s">
        <v>1267</v>
      </c>
      <c r="B71" s="64">
        <v>3.31</v>
      </c>
      <c r="C71" s="64">
        <v>22.84</v>
      </c>
      <c r="D71" s="64">
        <v>13.21</v>
      </c>
      <c r="E71" s="64">
        <v>5.0599999999999996</v>
      </c>
      <c r="F71" s="64">
        <v>5.46</v>
      </c>
      <c r="G71" s="64">
        <v>48.54</v>
      </c>
      <c r="H71" s="64">
        <v>0.48</v>
      </c>
      <c r="I71" s="64">
        <v>3.34</v>
      </c>
      <c r="J71" s="64">
        <v>0.92</v>
      </c>
      <c r="K71" s="64">
        <v>0.64</v>
      </c>
      <c r="L71" s="64">
        <v>25.31</v>
      </c>
      <c r="M71" s="64">
        <v>46.8</v>
      </c>
      <c r="N71" s="64">
        <v>113.3</v>
      </c>
      <c r="O71" s="64">
        <v>0</v>
      </c>
      <c r="P71" s="64">
        <v>0.56000000000000005</v>
      </c>
      <c r="Q71" s="64">
        <v>9.6300000000000008</v>
      </c>
      <c r="R71" s="196"/>
      <c r="S71" s="196"/>
      <c r="T71" s="196"/>
      <c r="U71" s="196"/>
    </row>
    <row r="72" spans="1:21" s="12" customFormat="1" x14ac:dyDescent="0.25">
      <c r="A72" s="211" t="s">
        <v>1268</v>
      </c>
      <c r="B72" s="64">
        <v>3.73</v>
      </c>
      <c r="C72" s="64">
        <v>23.42</v>
      </c>
      <c r="D72" s="64">
        <v>13.85</v>
      </c>
      <c r="E72" s="64">
        <v>3.77</v>
      </c>
      <c r="F72" s="64">
        <v>4.76</v>
      </c>
      <c r="G72" s="64">
        <v>54.81</v>
      </c>
      <c r="H72" s="64">
        <v>20.69</v>
      </c>
      <c r="I72" s="64">
        <v>3.51</v>
      </c>
      <c r="J72" s="64">
        <v>0.47</v>
      </c>
      <c r="K72" s="64">
        <v>346.81</v>
      </c>
      <c r="L72" s="64">
        <v>25.14</v>
      </c>
      <c r="M72" s="64">
        <v>48.26</v>
      </c>
      <c r="N72" s="64">
        <v>89.4</v>
      </c>
      <c r="O72" s="64">
        <v>0</v>
      </c>
      <c r="P72" s="64">
        <v>0.62</v>
      </c>
      <c r="Q72" s="64">
        <v>9.6300000000000008</v>
      </c>
      <c r="R72" s="196"/>
      <c r="S72" s="196"/>
      <c r="T72" s="196"/>
      <c r="U72" s="196"/>
    </row>
    <row r="73" spans="1:21" s="12" customFormat="1" x14ac:dyDescent="0.25">
      <c r="A73" s="211" t="s">
        <v>1269</v>
      </c>
      <c r="B73" s="64">
        <v>4.26</v>
      </c>
      <c r="C73" s="64">
        <v>24.47</v>
      </c>
      <c r="D73" s="64">
        <v>14.82</v>
      </c>
      <c r="E73" s="64">
        <v>5.52</v>
      </c>
      <c r="F73" s="64">
        <v>3.98</v>
      </c>
      <c r="G73" s="64">
        <v>73.09</v>
      </c>
      <c r="H73" s="64">
        <v>101.52</v>
      </c>
      <c r="I73" s="64">
        <v>3.58</v>
      </c>
      <c r="J73" s="64">
        <v>0.19</v>
      </c>
      <c r="K73" s="64">
        <v>43.42</v>
      </c>
      <c r="L73" s="64">
        <v>24.74</v>
      </c>
      <c r="M73" s="64">
        <v>49.38</v>
      </c>
      <c r="N73" s="64">
        <v>69.900000000000006</v>
      </c>
      <c r="O73" s="64">
        <v>0</v>
      </c>
      <c r="P73" s="64">
        <v>0.71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1270</v>
      </c>
      <c r="B74" s="64">
        <v>4.6900000000000004</v>
      </c>
      <c r="C74" s="64">
        <v>22.71</v>
      </c>
      <c r="D74" s="64">
        <v>14.25</v>
      </c>
      <c r="E74" s="64">
        <v>5.52</v>
      </c>
      <c r="F74" s="64">
        <v>4.99</v>
      </c>
      <c r="G74" s="64">
        <v>73.09</v>
      </c>
      <c r="H74" s="64">
        <v>101.52</v>
      </c>
      <c r="I74" s="64">
        <v>3.6</v>
      </c>
      <c r="J74" s="64">
        <v>0.72</v>
      </c>
      <c r="K74" s="64">
        <v>106.22</v>
      </c>
      <c r="L74" s="64">
        <v>24</v>
      </c>
      <c r="M74" s="64">
        <v>50.57</v>
      </c>
      <c r="N74" s="64">
        <v>59.9</v>
      </c>
      <c r="O74" s="64">
        <v>0</v>
      </c>
      <c r="P74" s="64">
        <v>0.52</v>
      </c>
      <c r="Q74" s="64">
        <v>9.6199999999999992</v>
      </c>
      <c r="R74" s="196"/>
      <c r="S74" s="196"/>
      <c r="T74" s="196"/>
      <c r="U74" s="196"/>
    </row>
    <row r="75" spans="1:21" s="12" customFormat="1" x14ac:dyDescent="0.25">
      <c r="A75" s="211" t="s">
        <v>1271</v>
      </c>
      <c r="B75" s="64">
        <v>4.53</v>
      </c>
      <c r="C75" s="64">
        <v>23.73</v>
      </c>
      <c r="D75" s="64">
        <v>14.65</v>
      </c>
      <c r="E75" s="64">
        <v>5.95</v>
      </c>
      <c r="F75" s="64">
        <v>6.07</v>
      </c>
      <c r="G75" s="64">
        <v>73.09</v>
      </c>
      <c r="H75" s="64">
        <v>101.52</v>
      </c>
      <c r="I75" s="64">
        <v>2.9</v>
      </c>
      <c r="J75" s="64">
        <v>0.47</v>
      </c>
      <c r="K75" s="64">
        <v>16.690000000000001</v>
      </c>
      <c r="L75" s="64">
        <v>23.9</v>
      </c>
      <c r="M75" s="64">
        <v>52.65</v>
      </c>
      <c r="N75" s="64">
        <v>49.9</v>
      </c>
      <c r="O75" s="64">
        <v>0</v>
      </c>
      <c r="P75" s="64">
        <v>0.74</v>
      </c>
      <c r="Q75" s="64">
        <v>9.6300000000000008</v>
      </c>
      <c r="R75" s="196"/>
      <c r="S75" s="196"/>
      <c r="T75" s="196"/>
      <c r="U75" s="196"/>
    </row>
    <row r="76" spans="1:21" s="12" customFormat="1" x14ac:dyDescent="0.25">
      <c r="A76" s="211" t="s">
        <v>1272</v>
      </c>
      <c r="B76" s="64">
        <v>4.5</v>
      </c>
      <c r="C76" s="64">
        <v>24.52</v>
      </c>
      <c r="D76" s="64">
        <v>15.04</v>
      </c>
      <c r="E76" s="64">
        <v>5.84</v>
      </c>
      <c r="F76" s="64">
        <v>6.14</v>
      </c>
      <c r="G76" s="64">
        <v>66.16</v>
      </c>
      <c r="H76" s="64">
        <v>73.819999999999993</v>
      </c>
      <c r="I76" s="64">
        <v>2.5</v>
      </c>
      <c r="J76" s="64">
        <v>0.48</v>
      </c>
      <c r="K76" s="64">
        <v>112.15</v>
      </c>
      <c r="L76" s="64">
        <v>23.34</v>
      </c>
      <c r="M76" s="64">
        <v>53.15</v>
      </c>
      <c r="N76" s="64">
        <v>41.2</v>
      </c>
      <c r="O76" s="64">
        <v>0</v>
      </c>
      <c r="P76" s="64">
        <v>0.6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1273</v>
      </c>
      <c r="B77" s="64">
        <v>6.94</v>
      </c>
      <c r="C77" s="64">
        <v>37.69</v>
      </c>
      <c r="D77" s="64">
        <v>23.88</v>
      </c>
      <c r="E77" s="64">
        <v>7.65</v>
      </c>
      <c r="F77" s="64">
        <v>7.82</v>
      </c>
      <c r="G77" s="64">
        <v>45.96</v>
      </c>
      <c r="H77" s="64">
        <v>20.84</v>
      </c>
      <c r="I77" s="64">
        <v>2.34</v>
      </c>
      <c r="J77" s="64">
        <v>0.71</v>
      </c>
      <c r="K77" s="64">
        <v>342.04</v>
      </c>
      <c r="L77" s="64">
        <v>23.11</v>
      </c>
      <c r="M77" s="64">
        <v>55.71</v>
      </c>
      <c r="N77" s="64">
        <v>33.1</v>
      </c>
      <c r="O77" s="64">
        <v>0</v>
      </c>
      <c r="P77" s="64">
        <v>1.35</v>
      </c>
      <c r="Q77" s="64">
        <v>9.6300000000000008</v>
      </c>
      <c r="R77" s="196"/>
      <c r="S77" s="196"/>
      <c r="T77" s="196"/>
      <c r="U77" s="196"/>
    </row>
    <row r="78" spans="1:21" s="12" customFormat="1" x14ac:dyDescent="0.25">
      <c r="A78" s="211" t="s">
        <v>1274</v>
      </c>
      <c r="B78" s="64">
        <v>8.8800000000000008</v>
      </c>
      <c r="C78" s="64">
        <v>48.23</v>
      </c>
      <c r="D78" s="64">
        <v>30.94</v>
      </c>
      <c r="E78" s="64">
        <v>8.69</v>
      </c>
      <c r="F78" s="64">
        <v>6.08</v>
      </c>
      <c r="G78" s="64">
        <v>45.96</v>
      </c>
      <c r="H78" s="64">
        <v>20.84</v>
      </c>
      <c r="I78" s="64">
        <v>2.82</v>
      </c>
      <c r="J78" s="64">
        <v>0.3</v>
      </c>
      <c r="K78" s="64">
        <v>38.03</v>
      </c>
      <c r="L78" s="64">
        <v>22.71</v>
      </c>
      <c r="M78" s="64">
        <v>57.19</v>
      </c>
      <c r="N78" s="64">
        <v>28.2</v>
      </c>
      <c r="O78" s="64">
        <v>0</v>
      </c>
      <c r="P78" s="64">
        <v>1.21</v>
      </c>
      <c r="Q78" s="64">
        <v>9.6300000000000008</v>
      </c>
      <c r="R78" s="196"/>
      <c r="S78" s="196"/>
      <c r="T78" s="196"/>
      <c r="U78" s="196"/>
    </row>
    <row r="79" spans="1:21" s="12" customFormat="1" x14ac:dyDescent="0.25">
      <c r="A79" s="211" t="s">
        <v>1275</v>
      </c>
      <c r="B79" s="64">
        <v>9.17</v>
      </c>
      <c r="C79" s="64">
        <v>46.01</v>
      </c>
      <c r="D79" s="64">
        <v>30.01</v>
      </c>
      <c r="E79" s="64">
        <v>7.4</v>
      </c>
      <c r="F79" s="64">
        <v>5.21</v>
      </c>
      <c r="G79" s="64">
        <v>45.96</v>
      </c>
      <c r="H79" s="64">
        <v>20.84</v>
      </c>
      <c r="I79" s="64">
        <v>4.17</v>
      </c>
      <c r="J79" s="64">
        <v>0.18</v>
      </c>
      <c r="K79" s="64">
        <v>67.92</v>
      </c>
      <c r="L79" s="64">
        <v>22.31</v>
      </c>
      <c r="M79" s="64">
        <v>58.61</v>
      </c>
      <c r="N79" s="64">
        <v>26.3</v>
      </c>
      <c r="O79" s="64">
        <v>0</v>
      </c>
      <c r="P79" s="64">
        <v>1.0900000000000001</v>
      </c>
      <c r="Q79" s="64">
        <v>9.6199999999999992</v>
      </c>
      <c r="R79" s="196"/>
      <c r="S79" s="196"/>
      <c r="T79" s="196"/>
      <c r="U79" s="196"/>
    </row>
    <row r="80" spans="1:21" s="12" customFormat="1" x14ac:dyDescent="0.25">
      <c r="A80" s="211" t="s">
        <v>1276</v>
      </c>
      <c r="B80" s="64">
        <v>9.2100000000000009</v>
      </c>
      <c r="C80" s="64">
        <v>42.19</v>
      </c>
      <c r="D80" s="64">
        <v>28.05</v>
      </c>
      <c r="E80" s="64">
        <v>7.16</v>
      </c>
      <c r="F80" s="64">
        <v>5.16</v>
      </c>
      <c r="G80" s="64">
        <v>57.51</v>
      </c>
      <c r="H80" s="64">
        <v>26.68</v>
      </c>
      <c r="I80" s="64">
        <v>4.3</v>
      </c>
      <c r="J80" s="64">
        <v>0.47</v>
      </c>
      <c r="K80" s="64">
        <v>97.78</v>
      </c>
      <c r="L80" s="64">
        <v>22.05</v>
      </c>
      <c r="M80" s="64">
        <v>59.62</v>
      </c>
      <c r="N80" s="64">
        <v>26.1</v>
      </c>
      <c r="O80" s="64">
        <v>0</v>
      </c>
      <c r="P80" s="64">
        <v>1.1100000000000001</v>
      </c>
      <c r="Q80" s="64">
        <v>9.6199999999999992</v>
      </c>
      <c r="R80" s="196"/>
      <c r="S80" s="196"/>
      <c r="T80" s="196"/>
      <c r="U80" s="196"/>
    </row>
    <row r="81" spans="1:26" s="12" customFormat="1" x14ac:dyDescent="0.25">
      <c r="A81" s="211" t="s">
        <v>1277</v>
      </c>
      <c r="B81" s="64">
        <v>8.82</v>
      </c>
      <c r="C81" s="64">
        <v>39.15</v>
      </c>
      <c r="D81" s="64">
        <v>26.15</v>
      </c>
      <c r="E81" s="64">
        <v>6.71</v>
      </c>
      <c r="F81" s="64">
        <v>4.8</v>
      </c>
      <c r="G81" s="64">
        <v>91.16</v>
      </c>
      <c r="H81" s="64">
        <v>37.86</v>
      </c>
      <c r="I81" s="64">
        <v>4.0199999999999996</v>
      </c>
      <c r="J81" s="64">
        <v>0.36</v>
      </c>
      <c r="K81" s="64">
        <v>97.52</v>
      </c>
      <c r="L81" s="64">
        <v>21.86</v>
      </c>
      <c r="M81" s="64">
        <v>60.34</v>
      </c>
      <c r="N81" s="64">
        <v>26.1</v>
      </c>
      <c r="O81" s="64">
        <v>0</v>
      </c>
      <c r="P81" s="64">
        <v>0.96</v>
      </c>
      <c r="Q81" s="64">
        <v>9.6300000000000008</v>
      </c>
      <c r="R81" s="196"/>
      <c r="S81" s="196"/>
      <c r="T81" s="196"/>
      <c r="U81" s="196"/>
    </row>
    <row r="82" spans="1:26" s="12" customFormat="1" x14ac:dyDescent="0.25">
      <c r="A82" s="211" t="s">
        <v>1278</v>
      </c>
      <c r="B82" s="64">
        <v>8.15</v>
      </c>
      <c r="C82" s="64">
        <v>36.75</v>
      </c>
      <c r="D82" s="64">
        <v>24.36</v>
      </c>
      <c r="E82" s="64">
        <v>6.73</v>
      </c>
      <c r="F82" s="64">
        <v>4.95</v>
      </c>
      <c r="G82" s="64">
        <v>91.16</v>
      </c>
      <c r="H82" s="64">
        <v>37.86</v>
      </c>
      <c r="I82" s="64">
        <v>4.1500000000000004</v>
      </c>
      <c r="J82" s="64">
        <v>0.65</v>
      </c>
      <c r="K82" s="64">
        <v>108.93</v>
      </c>
      <c r="L82" s="64">
        <v>21.71</v>
      </c>
      <c r="M82" s="64">
        <v>61.76</v>
      </c>
      <c r="N82" s="64">
        <v>25.9</v>
      </c>
      <c r="O82" s="64">
        <v>0</v>
      </c>
      <c r="P82" s="64">
        <v>0.98</v>
      </c>
      <c r="Q82" s="64">
        <v>9.64</v>
      </c>
      <c r="R82" s="196"/>
      <c r="S82" s="196"/>
      <c r="T82" s="196"/>
      <c r="U82" s="196"/>
    </row>
    <row r="83" spans="1:26" s="12" customFormat="1" x14ac:dyDescent="0.25">
      <c r="A83" s="211" t="s">
        <v>1279</v>
      </c>
      <c r="B83" s="64">
        <v>7.51</v>
      </c>
      <c r="C83" s="64">
        <v>34.53</v>
      </c>
      <c r="D83" s="64">
        <v>22.68</v>
      </c>
      <c r="E83" s="64">
        <v>6.28</v>
      </c>
      <c r="F83" s="64">
        <v>4.9400000000000004</v>
      </c>
      <c r="G83" s="64">
        <v>91.16</v>
      </c>
      <c r="H83" s="64">
        <v>37.86</v>
      </c>
      <c r="I83" s="64">
        <v>4.29</v>
      </c>
      <c r="J83" s="64">
        <v>0.16</v>
      </c>
      <c r="K83" s="64">
        <v>60.23</v>
      </c>
      <c r="L83" s="64">
        <v>21.66</v>
      </c>
      <c r="M83" s="64">
        <v>62.37</v>
      </c>
      <c r="N83" s="64">
        <v>26.1</v>
      </c>
      <c r="O83" s="64">
        <v>0</v>
      </c>
      <c r="P83" s="64">
        <v>1.05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1280</v>
      </c>
      <c r="B84" s="64">
        <v>6.94</v>
      </c>
      <c r="C84" s="64">
        <v>32.68</v>
      </c>
      <c r="D84" s="64">
        <v>21.26</v>
      </c>
      <c r="E84" s="64">
        <v>6.23</v>
      </c>
      <c r="F84" s="64">
        <v>4.45</v>
      </c>
      <c r="G84" s="64">
        <v>89.45</v>
      </c>
      <c r="H84" s="64">
        <v>39.03</v>
      </c>
      <c r="I84" s="64">
        <v>4.03</v>
      </c>
      <c r="J84" s="64">
        <v>0.4</v>
      </c>
      <c r="K84" s="64">
        <v>77.59</v>
      </c>
      <c r="L84" s="64">
        <v>21.51</v>
      </c>
      <c r="M84" s="64">
        <v>62.03</v>
      </c>
      <c r="N84" s="64">
        <v>26</v>
      </c>
      <c r="O84" s="64">
        <v>0</v>
      </c>
      <c r="P84" s="64">
        <v>1.03</v>
      </c>
      <c r="Q84" s="64">
        <v>9.6300000000000008</v>
      </c>
      <c r="R84" s="196"/>
      <c r="S84" s="196"/>
      <c r="T84" s="196"/>
      <c r="U84" s="196"/>
    </row>
    <row r="85" spans="1:26" s="12" customFormat="1" x14ac:dyDescent="0.25">
      <c r="A85" s="211" t="s">
        <v>1281</v>
      </c>
      <c r="B85" s="64">
        <v>6.85</v>
      </c>
      <c r="C85" s="64">
        <v>31.67</v>
      </c>
      <c r="D85" s="64">
        <v>20.67</v>
      </c>
      <c r="E85" s="64">
        <v>5.9</v>
      </c>
      <c r="F85" s="64">
        <v>4.26</v>
      </c>
      <c r="G85" s="64">
        <v>84.49</v>
      </c>
      <c r="H85" s="64">
        <v>41.28</v>
      </c>
      <c r="I85" s="64">
        <v>4.3899999999999997</v>
      </c>
      <c r="J85" s="64">
        <v>0.31</v>
      </c>
      <c r="K85" s="64">
        <v>343.59</v>
      </c>
      <c r="L85" s="64">
        <v>21.29</v>
      </c>
      <c r="M85" s="64">
        <v>63.73</v>
      </c>
      <c r="N85" s="64">
        <v>26.1</v>
      </c>
      <c r="O85" s="64">
        <v>0</v>
      </c>
      <c r="P85" s="64">
        <v>1.25</v>
      </c>
      <c r="Q85" s="64">
        <v>9.6300000000000008</v>
      </c>
      <c r="R85" s="196"/>
      <c r="S85" s="196"/>
      <c r="T85" s="196"/>
      <c r="U85" s="196"/>
    </row>
    <row r="86" spans="1:26" s="12" customFormat="1" x14ac:dyDescent="0.25">
      <c r="A86" s="211" t="s">
        <v>1282</v>
      </c>
      <c r="B86" s="64">
        <v>8.09</v>
      </c>
      <c r="C86" s="64">
        <v>31.86</v>
      </c>
      <c r="D86" s="64">
        <v>21.76</v>
      </c>
      <c r="E86" s="64">
        <v>5.84</v>
      </c>
      <c r="F86" s="64">
        <v>4.08</v>
      </c>
      <c r="G86" s="64">
        <v>84.49</v>
      </c>
      <c r="H86" s="64">
        <v>41.28</v>
      </c>
      <c r="I86" s="64">
        <v>4.51</v>
      </c>
      <c r="J86" s="64">
        <v>0.26</v>
      </c>
      <c r="K86" s="64">
        <v>110.8</v>
      </c>
      <c r="L86" s="64">
        <v>21.06</v>
      </c>
      <c r="M86" s="64">
        <v>64.62</v>
      </c>
      <c r="N86" s="64">
        <v>26</v>
      </c>
      <c r="O86" s="64">
        <v>0</v>
      </c>
      <c r="P86" s="64">
        <v>1.2</v>
      </c>
      <c r="Q86" s="64">
        <v>9.6199999999999992</v>
      </c>
      <c r="R86" s="196"/>
      <c r="S86" s="196"/>
      <c r="T86" s="196"/>
      <c r="U86" s="196"/>
    </row>
    <row r="87" spans="1:26" s="12" customFormat="1" x14ac:dyDescent="0.25">
      <c r="A87" s="211" t="s">
        <v>1283</v>
      </c>
      <c r="B87" s="64">
        <v>8.39</v>
      </c>
      <c r="C87" s="64">
        <v>31.22</v>
      </c>
      <c r="D87" s="64">
        <v>21.66</v>
      </c>
      <c r="E87" s="64">
        <v>5.87</v>
      </c>
      <c r="F87" s="64">
        <v>4.03</v>
      </c>
      <c r="G87" s="64">
        <v>84.49</v>
      </c>
      <c r="H87" s="64">
        <v>41.28</v>
      </c>
      <c r="I87" s="64">
        <v>5.26</v>
      </c>
      <c r="J87" s="64">
        <v>0.41</v>
      </c>
      <c r="K87" s="64">
        <v>84.8</v>
      </c>
      <c r="L87" s="64">
        <v>20.93</v>
      </c>
      <c r="M87" s="64">
        <v>65.08</v>
      </c>
      <c r="N87" s="64">
        <v>26.1</v>
      </c>
      <c r="O87" s="64">
        <v>0</v>
      </c>
      <c r="P87" s="64">
        <v>1.07</v>
      </c>
      <c r="Q87" s="64">
        <v>9.6300000000000008</v>
      </c>
      <c r="R87" s="196"/>
      <c r="S87" s="196"/>
      <c r="T87" s="196"/>
      <c r="U87" s="196"/>
    </row>
    <row r="88" spans="1:26" s="12" customFormat="1" x14ac:dyDescent="0.25">
      <c r="A88" s="211" t="s">
        <v>1284</v>
      </c>
      <c r="B88" s="64">
        <v>8.36</v>
      </c>
      <c r="C88" s="64">
        <v>30.33</v>
      </c>
      <c r="D88" s="64">
        <v>21.17</v>
      </c>
      <c r="E88" s="64">
        <v>5.86</v>
      </c>
      <c r="F88" s="64">
        <v>4.3600000000000003</v>
      </c>
      <c r="G88" s="64">
        <v>85.82</v>
      </c>
      <c r="H88" s="64">
        <v>33.520000000000003</v>
      </c>
      <c r="I88" s="64">
        <v>5.27</v>
      </c>
      <c r="J88" s="64">
        <v>0.06</v>
      </c>
      <c r="K88" s="64">
        <v>24.39</v>
      </c>
      <c r="L88" s="64">
        <v>20.72</v>
      </c>
      <c r="M88" s="64">
        <v>66.53</v>
      </c>
      <c r="N88" s="64">
        <v>26</v>
      </c>
      <c r="O88" s="64">
        <v>0</v>
      </c>
      <c r="P88" s="64">
        <v>1.37</v>
      </c>
      <c r="Q88" s="64">
        <v>9.6300000000000008</v>
      </c>
      <c r="R88" s="196"/>
      <c r="S88" s="196"/>
      <c r="T88" s="196"/>
      <c r="U88" s="196"/>
    </row>
    <row r="89" spans="1:26" s="12" customFormat="1" x14ac:dyDescent="0.25">
      <c r="A89" s="211" t="s">
        <v>1285</v>
      </c>
      <c r="B89" s="64">
        <v>8.81</v>
      </c>
      <c r="C89" s="64">
        <v>30.44</v>
      </c>
      <c r="D89" s="64">
        <v>21.59</v>
      </c>
      <c r="E89" s="64">
        <v>6.52</v>
      </c>
      <c r="F89" s="64">
        <v>4.49</v>
      </c>
      <c r="G89" s="64">
        <v>89.71</v>
      </c>
      <c r="H89" s="64">
        <v>2.48</v>
      </c>
      <c r="I89" s="64">
        <v>4.84</v>
      </c>
      <c r="J89" s="64">
        <v>0.17</v>
      </c>
      <c r="K89" s="64">
        <v>339.15</v>
      </c>
      <c r="L89" s="64">
        <v>20.56</v>
      </c>
      <c r="M89" s="64">
        <v>66.73</v>
      </c>
      <c r="N89" s="64">
        <v>26</v>
      </c>
      <c r="O89" s="64">
        <v>0</v>
      </c>
      <c r="P89" s="64">
        <v>1.23</v>
      </c>
      <c r="Q89" s="64">
        <v>9.6199999999999992</v>
      </c>
      <c r="R89" s="196"/>
      <c r="S89" s="196"/>
      <c r="T89" s="196"/>
      <c r="U89" s="196"/>
    </row>
    <row r="90" spans="1:26" s="12" customFormat="1" x14ac:dyDescent="0.25">
      <c r="A90" s="211" t="s">
        <v>1286</v>
      </c>
      <c r="B90" s="64">
        <v>9.14</v>
      </c>
      <c r="C90" s="64">
        <v>29.05</v>
      </c>
      <c r="D90" s="64">
        <v>21.13</v>
      </c>
      <c r="E90" s="64">
        <v>6.79</v>
      </c>
      <c r="F90" s="64">
        <v>4.5</v>
      </c>
      <c r="G90" s="64">
        <v>89.71</v>
      </c>
      <c r="H90" s="64">
        <v>2.48</v>
      </c>
      <c r="I90" s="64">
        <v>5.23</v>
      </c>
      <c r="J90" s="64">
        <v>0.83</v>
      </c>
      <c r="K90" s="64">
        <v>115.39</v>
      </c>
      <c r="L90" s="64">
        <v>20.54</v>
      </c>
      <c r="M90" s="64">
        <v>66.739999999999995</v>
      </c>
      <c r="N90" s="64">
        <v>25.5</v>
      </c>
      <c r="O90" s="64">
        <v>0</v>
      </c>
      <c r="P90" s="64">
        <v>1.05</v>
      </c>
      <c r="Q90" s="64">
        <v>9.61</v>
      </c>
      <c r="R90" s="196"/>
      <c r="S90" s="196"/>
      <c r="T90" s="196"/>
      <c r="U90" s="196"/>
    </row>
    <row r="91" spans="1:26" s="12" customFormat="1" x14ac:dyDescent="0.25">
      <c r="A91" s="211" t="s">
        <v>1287</v>
      </c>
      <c r="B91" s="64">
        <v>9.06</v>
      </c>
      <c r="C91" s="64">
        <v>26.64</v>
      </c>
      <c r="D91" s="64">
        <v>19.809999999999999</v>
      </c>
      <c r="E91" s="64">
        <v>6.88</v>
      </c>
      <c r="F91" s="64">
        <v>4.49</v>
      </c>
      <c r="G91" s="64">
        <v>89.71</v>
      </c>
      <c r="H91" s="64">
        <v>2.48</v>
      </c>
      <c r="I91" s="64">
        <v>5.1100000000000003</v>
      </c>
      <c r="J91" s="64">
        <v>0.72</v>
      </c>
      <c r="K91" s="64">
        <v>112.81</v>
      </c>
      <c r="L91" s="64">
        <v>20.8</v>
      </c>
      <c r="M91" s="64">
        <v>64.86</v>
      </c>
      <c r="N91" s="64">
        <v>25.6</v>
      </c>
      <c r="O91" s="64">
        <v>0</v>
      </c>
      <c r="P91" s="64">
        <v>1.01</v>
      </c>
      <c r="Q91" s="64">
        <v>9.6300000000000008</v>
      </c>
      <c r="R91" s="196"/>
      <c r="S91" s="196"/>
      <c r="T91" s="196"/>
      <c r="U91" s="196"/>
    </row>
    <row r="92" spans="1:26" s="12" customFormat="1" x14ac:dyDescent="0.25">
      <c r="A92" s="211" t="s">
        <v>1288</v>
      </c>
      <c r="B92" s="64">
        <v>8.8699999999999992</v>
      </c>
      <c r="C92" s="64">
        <v>25.97</v>
      </c>
      <c r="D92" s="64">
        <v>19.309999999999999</v>
      </c>
      <c r="E92" s="64">
        <v>6.33</v>
      </c>
      <c r="F92" s="64">
        <v>4.46</v>
      </c>
      <c r="G92" s="64">
        <v>88.6</v>
      </c>
      <c r="H92" s="64">
        <v>37.06</v>
      </c>
      <c r="I92" s="64">
        <v>4.7300000000000004</v>
      </c>
      <c r="J92" s="64">
        <v>0.38</v>
      </c>
      <c r="K92" s="64">
        <v>109.34</v>
      </c>
      <c r="L92" s="64">
        <v>20.54</v>
      </c>
      <c r="M92" s="64">
        <v>66.39</v>
      </c>
      <c r="N92" s="64">
        <v>26</v>
      </c>
      <c r="O92" s="64">
        <v>0</v>
      </c>
      <c r="P92" s="64">
        <v>1.03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1289</v>
      </c>
      <c r="B93" s="64">
        <v>8.76</v>
      </c>
      <c r="C93" s="64">
        <v>25.56</v>
      </c>
      <c r="D93" s="64">
        <v>19.010000000000002</v>
      </c>
      <c r="E93" s="64">
        <v>6.33</v>
      </c>
      <c r="F93" s="64">
        <v>4.32</v>
      </c>
      <c r="G93" s="64">
        <v>85.37</v>
      </c>
      <c r="H93" s="64">
        <v>103.21</v>
      </c>
      <c r="I93" s="64">
        <v>4.6100000000000003</v>
      </c>
      <c r="J93" s="64">
        <v>0.48</v>
      </c>
      <c r="K93" s="64">
        <v>115.1</v>
      </c>
      <c r="L93" s="64">
        <v>20.239999999999998</v>
      </c>
      <c r="M93" s="64">
        <v>68.31</v>
      </c>
      <c r="N93" s="64">
        <v>26.1</v>
      </c>
      <c r="O93" s="64">
        <v>0</v>
      </c>
      <c r="P93" s="64">
        <v>1.02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1290</v>
      </c>
      <c r="B94" s="64">
        <v>8.68</v>
      </c>
      <c r="C94" s="64">
        <v>24.92</v>
      </c>
      <c r="D94" s="64">
        <v>18.61</v>
      </c>
      <c r="E94" s="64">
        <v>6.58</v>
      </c>
      <c r="F94" s="64">
        <v>4.3600000000000003</v>
      </c>
      <c r="G94" s="64">
        <v>85.37</v>
      </c>
      <c r="H94" s="64">
        <v>103.21</v>
      </c>
      <c r="I94" s="64">
        <v>4.3600000000000003</v>
      </c>
      <c r="J94" s="64">
        <v>0.36</v>
      </c>
      <c r="K94" s="64">
        <v>82.89</v>
      </c>
      <c r="L94" s="64">
        <v>20.03</v>
      </c>
      <c r="M94" s="64">
        <v>69.63</v>
      </c>
      <c r="N94" s="64">
        <v>26</v>
      </c>
      <c r="O94" s="64">
        <v>0</v>
      </c>
      <c r="P94" s="64">
        <v>1.04</v>
      </c>
      <c r="Q94" s="64">
        <v>9.6300000000000008</v>
      </c>
      <c r="R94" s="196"/>
      <c r="S94" s="196"/>
      <c r="T94" s="196"/>
      <c r="U94" s="196"/>
    </row>
    <row r="95" spans="1:26" s="12" customFormat="1" x14ac:dyDescent="0.25">
      <c r="A95" s="211" t="s">
        <v>1291</v>
      </c>
      <c r="B95" s="64">
        <v>8.75</v>
      </c>
      <c r="C95" s="64">
        <v>24.31</v>
      </c>
      <c r="D95" s="64">
        <v>18.34</v>
      </c>
      <c r="E95" s="64">
        <v>6.66</v>
      </c>
      <c r="F95" s="64">
        <v>4.09</v>
      </c>
      <c r="G95" s="64">
        <v>85.37</v>
      </c>
      <c r="H95" s="64">
        <v>103.21</v>
      </c>
      <c r="I95" s="64">
        <v>4.05</v>
      </c>
      <c r="J95" s="64">
        <v>0.39</v>
      </c>
      <c r="K95" s="64">
        <v>97.89</v>
      </c>
      <c r="L95" s="64">
        <v>19.79</v>
      </c>
      <c r="M95" s="64">
        <v>71.069999999999993</v>
      </c>
      <c r="N95" s="64">
        <v>26</v>
      </c>
      <c r="O95" s="64">
        <v>0</v>
      </c>
      <c r="P95" s="64">
        <v>1.02</v>
      </c>
      <c r="Q95" s="64">
        <v>9.6300000000000008</v>
      </c>
      <c r="R95" s="196"/>
      <c r="S95" s="196"/>
      <c r="T95" s="196"/>
      <c r="U95" s="196"/>
    </row>
    <row r="96" spans="1:26" s="12" customFormat="1" x14ac:dyDescent="0.25">
      <c r="A96" s="211" t="s">
        <v>1292</v>
      </c>
      <c r="B96" s="64">
        <v>8.68</v>
      </c>
      <c r="C96" s="64">
        <v>23.75</v>
      </c>
      <c r="D96" s="64">
        <v>17.989999999999998</v>
      </c>
      <c r="E96" s="64">
        <v>6.26</v>
      </c>
      <c r="F96" s="64">
        <v>4.04</v>
      </c>
      <c r="G96" s="64">
        <v>83.03</v>
      </c>
      <c r="H96" s="64">
        <v>92.67</v>
      </c>
      <c r="I96" s="64">
        <v>4.2300000000000004</v>
      </c>
      <c r="J96" s="64">
        <v>0.55000000000000004</v>
      </c>
      <c r="K96" s="64">
        <v>104.04</v>
      </c>
      <c r="L96" s="64">
        <v>19.66</v>
      </c>
      <c r="M96" s="64">
        <v>71.69</v>
      </c>
      <c r="N96" s="64">
        <v>25.8</v>
      </c>
      <c r="O96" s="64">
        <v>0</v>
      </c>
      <c r="P96" s="64">
        <v>0.93</v>
      </c>
      <c r="Q96" s="64">
        <v>9.6199999999999992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1293</v>
      </c>
      <c r="B97" s="64">
        <v>8.4700000000000006</v>
      </c>
      <c r="C97" s="64">
        <v>23.53</v>
      </c>
      <c r="D97" s="64">
        <v>17.71</v>
      </c>
      <c r="E97" s="64">
        <v>6.03</v>
      </c>
      <c r="F97" s="64">
        <v>4.03</v>
      </c>
      <c r="G97" s="64">
        <v>76.22</v>
      </c>
      <c r="H97" s="64">
        <v>72.53</v>
      </c>
      <c r="I97" s="64">
        <v>4.51</v>
      </c>
      <c r="J97" s="64">
        <v>0.26</v>
      </c>
      <c r="K97" s="64">
        <v>71.760000000000005</v>
      </c>
      <c r="L97" s="64">
        <v>19.559999999999999</v>
      </c>
      <c r="M97" s="64">
        <v>72.8</v>
      </c>
      <c r="N97" s="64">
        <v>26</v>
      </c>
      <c r="O97" s="64">
        <v>0</v>
      </c>
      <c r="P97" s="64">
        <v>1.03</v>
      </c>
      <c r="Q97" s="64">
        <v>9.6300000000000008</v>
      </c>
      <c r="R97" s="196"/>
      <c r="S97" s="196"/>
      <c r="T97" s="196"/>
      <c r="U97" s="196"/>
    </row>
    <row r="98" spans="1:33" s="12" customFormat="1" x14ac:dyDescent="0.25">
      <c r="A98" s="211" t="s">
        <v>1294</v>
      </c>
      <c r="B98" s="64">
        <v>8.24</v>
      </c>
      <c r="C98" s="64">
        <v>24.29</v>
      </c>
      <c r="D98" s="64">
        <v>17.920000000000002</v>
      </c>
      <c r="E98" s="64">
        <v>6.4</v>
      </c>
      <c r="F98" s="64">
        <v>4.2300000000000004</v>
      </c>
      <c r="G98" s="64">
        <v>76.22</v>
      </c>
      <c r="H98" s="64">
        <v>72.53</v>
      </c>
      <c r="I98" s="64">
        <v>4.13</v>
      </c>
      <c r="J98" s="64">
        <v>0.3</v>
      </c>
      <c r="K98" s="64">
        <v>80.260000000000005</v>
      </c>
      <c r="L98" s="64">
        <v>19.46</v>
      </c>
      <c r="M98" s="64">
        <v>73.349999999999994</v>
      </c>
      <c r="N98" s="64">
        <v>25.9</v>
      </c>
      <c r="O98" s="64">
        <v>0</v>
      </c>
      <c r="P98" s="64">
        <v>1.06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1295</v>
      </c>
      <c r="B99" s="64">
        <v>7.99</v>
      </c>
      <c r="C99" s="64">
        <v>24.57</v>
      </c>
      <c r="D99" s="64">
        <v>17.86</v>
      </c>
      <c r="E99" s="64">
        <v>6.32</v>
      </c>
      <c r="F99" s="64">
        <v>4.83</v>
      </c>
      <c r="G99" s="64">
        <v>76.22</v>
      </c>
      <c r="H99" s="64">
        <v>72.53</v>
      </c>
      <c r="I99" s="64">
        <v>5.43</v>
      </c>
      <c r="J99" s="64">
        <v>0.74</v>
      </c>
      <c r="K99" s="64">
        <v>114.09</v>
      </c>
      <c r="L99" s="64">
        <v>19.39</v>
      </c>
      <c r="M99" s="64">
        <v>73.7</v>
      </c>
      <c r="N99" s="64">
        <v>25.7</v>
      </c>
      <c r="O99" s="64">
        <v>0</v>
      </c>
      <c r="P99" s="64">
        <v>1.06</v>
      </c>
      <c r="Q99" s="64">
        <v>9.6300000000000008</v>
      </c>
      <c r="R99" s="196"/>
      <c r="S99" s="196"/>
      <c r="T99" s="196"/>
      <c r="U99" s="196"/>
    </row>
    <row r="100" spans="1:33" s="12" customFormat="1" x14ac:dyDescent="0.25">
      <c r="A100" s="211" t="s">
        <v>1296</v>
      </c>
      <c r="B100" s="64">
        <v>7.55</v>
      </c>
      <c r="C100" s="64">
        <v>24.6</v>
      </c>
      <c r="D100" s="64">
        <v>17.53</v>
      </c>
      <c r="E100" s="64">
        <v>6.33</v>
      </c>
      <c r="F100" s="64">
        <v>4.51</v>
      </c>
      <c r="G100" s="64">
        <v>75.790000000000006</v>
      </c>
      <c r="H100" s="64">
        <v>63.71</v>
      </c>
      <c r="I100" s="64">
        <v>6.04</v>
      </c>
      <c r="J100" s="64">
        <v>0.54</v>
      </c>
      <c r="K100" s="64">
        <v>137.32</v>
      </c>
      <c r="L100" s="64">
        <v>19.29</v>
      </c>
      <c r="M100" s="64">
        <v>74.12</v>
      </c>
      <c r="N100" s="64">
        <v>25.8</v>
      </c>
      <c r="O100" s="64">
        <v>0</v>
      </c>
      <c r="P100" s="64">
        <v>0.99</v>
      </c>
      <c r="Q100" s="64">
        <v>9.6300000000000008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1297</v>
      </c>
      <c r="B101" s="64">
        <v>7.08</v>
      </c>
      <c r="C101" s="64">
        <v>24.98</v>
      </c>
      <c r="D101" s="64">
        <v>17.350000000000001</v>
      </c>
      <c r="E101" s="64">
        <v>6.63</v>
      </c>
      <c r="F101" s="64">
        <v>4.34</v>
      </c>
      <c r="G101" s="64">
        <v>74.56</v>
      </c>
      <c r="H101" s="64">
        <v>46.84</v>
      </c>
      <c r="I101" s="64">
        <v>5.99</v>
      </c>
      <c r="J101" s="64">
        <v>0.19</v>
      </c>
      <c r="K101" s="64">
        <v>19.12</v>
      </c>
      <c r="L101" s="64">
        <v>19.14</v>
      </c>
      <c r="M101" s="64">
        <v>74.760000000000005</v>
      </c>
      <c r="N101" s="64">
        <v>25.9</v>
      </c>
      <c r="O101" s="64">
        <v>0</v>
      </c>
      <c r="P101" s="64">
        <v>1</v>
      </c>
      <c r="Q101" s="64">
        <v>9.64</v>
      </c>
      <c r="R101" s="196"/>
      <c r="S101" s="196"/>
      <c r="T101" s="196"/>
      <c r="U101" s="196"/>
    </row>
    <row r="102" spans="1:33" s="12" customFormat="1" x14ac:dyDescent="0.25">
      <c r="A102" s="211" t="s">
        <v>1298</v>
      </c>
      <c r="B102" s="64">
        <v>6.9</v>
      </c>
      <c r="C102" s="64">
        <v>25.32</v>
      </c>
      <c r="D102" s="64">
        <v>17.39</v>
      </c>
      <c r="E102" s="64">
        <v>6.18</v>
      </c>
      <c r="F102" s="64">
        <v>4.07</v>
      </c>
      <c r="G102" s="64">
        <v>74.56</v>
      </c>
      <c r="H102" s="64">
        <v>46.84</v>
      </c>
      <c r="I102" s="64">
        <v>5.57</v>
      </c>
      <c r="J102" s="64">
        <v>0.44</v>
      </c>
      <c r="K102" s="64">
        <v>95.33</v>
      </c>
      <c r="L102" s="64">
        <v>19.02</v>
      </c>
      <c r="M102" s="64">
        <v>75.489999999999995</v>
      </c>
      <c r="N102" s="64">
        <v>25.8</v>
      </c>
      <c r="O102" s="64">
        <v>0</v>
      </c>
      <c r="P102" s="64">
        <v>0.99</v>
      </c>
      <c r="Q102" s="64">
        <v>9.64</v>
      </c>
      <c r="R102" s="196"/>
      <c r="S102" s="196"/>
      <c r="T102" s="196"/>
      <c r="U102" s="196"/>
    </row>
    <row r="103" spans="1:33" s="12" customFormat="1" x14ac:dyDescent="0.25">
      <c r="A103" s="211" t="s">
        <v>1299</v>
      </c>
      <c r="B103" s="64">
        <v>6.56</v>
      </c>
      <c r="C103" s="64">
        <v>25.53</v>
      </c>
      <c r="D103" s="64">
        <v>17.22</v>
      </c>
      <c r="E103" s="64">
        <v>6.3</v>
      </c>
      <c r="F103" s="64">
        <v>4.1900000000000004</v>
      </c>
      <c r="G103" s="64">
        <v>74.56</v>
      </c>
      <c r="H103" s="64">
        <v>46.84</v>
      </c>
      <c r="I103" s="64">
        <v>5.6</v>
      </c>
      <c r="J103" s="64">
        <v>0.04</v>
      </c>
      <c r="K103" s="64">
        <v>85.69</v>
      </c>
      <c r="L103" s="64">
        <v>18.940000000000001</v>
      </c>
      <c r="M103" s="64">
        <v>75.95</v>
      </c>
      <c r="N103" s="64">
        <v>25.8</v>
      </c>
      <c r="O103" s="64">
        <v>0</v>
      </c>
      <c r="P103" s="64">
        <v>0.97</v>
      </c>
      <c r="Q103" s="64">
        <v>9.65</v>
      </c>
      <c r="R103" s="196"/>
      <c r="S103" s="196"/>
      <c r="T103" s="196"/>
      <c r="U103" s="196"/>
    </row>
    <row r="104" spans="1:33" s="12" customFormat="1" x14ac:dyDescent="0.25">
      <c r="A104" s="211" t="s">
        <v>1300</v>
      </c>
      <c r="B104" s="64">
        <v>6.28</v>
      </c>
      <c r="C104" s="64">
        <v>25.02</v>
      </c>
      <c r="D104" s="64">
        <v>16.73</v>
      </c>
      <c r="E104" s="64">
        <v>3.88</v>
      </c>
      <c r="F104" s="64">
        <v>4.1500000000000004</v>
      </c>
      <c r="G104" s="64">
        <v>72.67</v>
      </c>
      <c r="H104" s="64">
        <v>43.81</v>
      </c>
      <c r="I104" s="64">
        <v>5.7</v>
      </c>
      <c r="J104" s="64">
        <v>0.1</v>
      </c>
      <c r="K104" s="64">
        <v>40.47</v>
      </c>
      <c r="L104" s="64">
        <v>18.739999999999998</v>
      </c>
      <c r="M104" s="64">
        <v>77.430000000000007</v>
      </c>
      <c r="N104" s="64">
        <v>25.9</v>
      </c>
      <c r="O104" s="64">
        <v>0</v>
      </c>
      <c r="P104" s="64">
        <v>0.95</v>
      </c>
      <c r="Q104" s="64">
        <v>9.64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1.88</v>
      </c>
      <c r="C106" s="67">
        <f>MIN(C9:C104)</f>
        <v>16.87</v>
      </c>
      <c r="D106" s="67">
        <f t="shared" ref="D106:Q106" si="0">MIN(D9:D104)</f>
        <v>11.66</v>
      </c>
      <c r="E106" s="67">
        <f t="shared" si="0"/>
        <v>3.77</v>
      </c>
      <c r="F106" s="67">
        <f t="shared" si="0"/>
        <v>3.36</v>
      </c>
      <c r="G106" s="67">
        <f t="shared" si="0"/>
        <v>45.96</v>
      </c>
      <c r="H106" s="67">
        <f t="shared" si="0"/>
        <v>0.48</v>
      </c>
      <c r="I106" s="67">
        <f t="shared" si="0"/>
        <v>2.34</v>
      </c>
      <c r="J106" s="67">
        <f t="shared" si="0"/>
        <v>0.04</v>
      </c>
      <c r="K106" s="67">
        <f t="shared" si="0"/>
        <v>0.18</v>
      </c>
      <c r="L106" s="67">
        <f t="shared" si="0"/>
        <v>17</v>
      </c>
      <c r="M106" s="67">
        <f t="shared" si="0"/>
        <v>44.78</v>
      </c>
      <c r="N106" s="67">
        <f t="shared" si="0"/>
        <v>25.5</v>
      </c>
      <c r="O106" s="67">
        <f t="shared" si="0"/>
        <v>0</v>
      </c>
      <c r="P106" s="67">
        <f t="shared" si="0"/>
        <v>0.5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21.51</v>
      </c>
      <c r="C107" s="66">
        <f t="shared" ref="C107:Q107" si="1">MAX(C9:C104)</f>
        <v>48.23</v>
      </c>
      <c r="D107" s="66">
        <f t="shared" si="1"/>
        <v>30.94</v>
      </c>
      <c r="E107" s="66">
        <f t="shared" si="1"/>
        <v>9.4</v>
      </c>
      <c r="F107" s="66">
        <f t="shared" si="1"/>
        <v>15.88</v>
      </c>
      <c r="G107" s="66">
        <f t="shared" si="1"/>
        <v>115.11</v>
      </c>
      <c r="H107" s="66">
        <f t="shared" si="1"/>
        <v>116.5</v>
      </c>
      <c r="I107" s="66">
        <f t="shared" si="1"/>
        <v>7.02</v>
      </c>
      <c r="J107" s="66">
        <f t="shared" si="1"/>
        <v>1.58</v>
      </c>
      <c r="K107" s="66">
        <f t="shared" si="1"/>
        <v>355.57</v>
      </c>
      <c r="L107" s="66">
        <f t="shared" si="1"/>
        <v>27.71</v>
      </c>
      <c r="M107" s="66">
        <f t="shared" si="1"/>
        <v>88.71</v>
      </c>
      <c r="N107" s="66">
        <f t="shared" si="1"/>
        <v>600.9</v>
      </c>
      <c r="O107" s="66">
        <f t="shared" si="1"/>
        <v>0</v>
      </c>
      <c r="P107" s="66">
        <f t="shared" si="1"/>
        <v>1.37</v>
      </c>
      <c r="Q107" s="66">
        <f t="shared" si="1"/>
        <v>9.65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8.3163541666666649</v>
      </c>
      <c r="C108" s="67">
        <f t="shared" ref="C108:Q108" si="2">AVERAGE(C9:C104)</f>
        <v>24.186979166666674</v>
      </c>
      <c r="D108" s="67">
        <f t="shared" si="2"/>
        <v>17.92895833333333</v>
      </c>
      <c r="E108" s="67">
        <f t="shared" si="2"/>
        <v>6.2690624999999969</v>
      </c>
      <c r="F108" s="67">
        <f t="shared" si="2"/>
        <v>5.1797916666666639</v>
      </c>
      <c r="G108" s="67">
        <f t="shared" si="2"/>
        <v>82.889166666666668</v>
      </c>
      <c r="H108" s="67">
        <f t="shared" si="2"/>
        <v>42.619375000000026</v>
      </c>
      <c r="I108" s="67">
        <f t="shared" si="2"/>
        <v>4.5735416666666664</v>
      </c>
      <c r="J108" s="67">
        <f t="shared" si="2"/>
        <v>0.66531249999999964</v>
      </c>
      <c r="K108" s="67">
        <f t="shared" si="2"/>
        <v>180.98770833333325</v>
      </c>
      <c r="L108" s="67">
        <f t="shared" si="2"/>
        <v>21.407395833333329</v>
      </c>
      <c r="M108" s="67">
        <f t="shared" si="2"/>
        <v>65.683958333333308</v>
      </c>
      <c r="N108" s="67">
        <f t="shared" si="2"/>
        <v>127.86979166666661</v>
      </c>
      <c r="O108" s="67">
        <f t="shared" si="2"/>
        <v>0</v>
      </c>
      <c r="P108" s="67">
        <f t="shared" si="2"/>
        <v>0.83083333333333342</v>
      </c>
      <c r="Q108" s="67">
        <f t="shared" si="2"/>
        <v>9.6273958333333294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5.4004808986240809</v>
      </c>
      <c r="C109" s="67">
        <f t="shared" ref="C109:Q109" si="3">STDEV(C9:C104)</f>
        <v>6.2912557728613416</v>
      </c>
      <c r="D109" s="67">
        <f t="shared" si="3"/>
        <v>5.1794024201469879</v>
      </c>
      <c r="E109" s="67">
        <f t="shared" si="3"/>
        <v>0.92373051222235947</v>
      </c>
      <c r="F109" s="67">
        <f t="shared" si="3"/>
        <v>2.2889041180013439</v>
      </c>
      <c r="G109" s="67">
        <f t="shared" si="3"/>
        <v>16.803628221414282</v>
      </c>
      <c r="H109" s="67">
        <f t="shared" si="3"/>
        <v>29.584625125490202</v>
      </c>
      <c r="I109" s="67">
        <f t="shared" si="3"/>
        <v>1.0371539795001434</v>
      </c>
      <c r="J109" s="67">
        <f t="shared" si="3"/>
        <v>0.3783452979404992</v>
      </c>
      <c r="K109" s="67">
        <f t="shared" si="3"/>
        <v>129.07601276179273</v>
      </c>
      <c r="L109" s="67">
        <f t="shared" si="3"/>
        <v>2.9087987192370286</v>
      </c>
      <c r="M109" s="67">
        <f t="shared" si="3"/>
        <v>12.194133056875062</v>
      </c>
      <c r="N109" s="67">
        <f t="shared" si="3"/>
        <v>166.36448768310319</v>
      </c>
      <c r="O109" s="67">
        <f t="shared" si="3"/>
        <v>0</v>
      </c>
      <c r="P109" s="67">
        <f t="shared" si="3"/>
        <v>0.20445391536669472</v>
      </c>
      <c r="Q109" s="67">
        <f t="shared" si="3"/>
        <v>8.3659449608354409E-3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1301</v>
      </c>
      <c r="B9" s="64">
        <v>5.99</v>
      </c>
      <c r="C9" s="64">
        <v>25.15</v>
      </c>
      <c r="D9" s="64">
        <v>16.559999999999999</v>
      </c>
      <c r="E9" s="64">
        <v>4.49</v>
      </c>
      <c r="F9" s="64">
        <v>4.2300000000000004</v>
      </c>
      <c r="G9" s="64">
        <v>67.19</v>
      </c>
      <c r="H9" s="64">
        <v>31.7</v>
      </c>
      <c r="I9" s="64">
        <v>5.59</v>
      </c>
      <c r="J9" s="64">
        <v>0.13</v>
      </c>
      <c r="K9" s="64">
        <v>55.33</v>
      </c>
      <c r="L9" s="64">
        <v>18.38</v>
      </c>
      <c r="M9" s="64">
        <v>79.459999999999994</v>
      </c>
      <c r="N9" s="64">
        <v>26</v>
      </c>
      <c r="O9" s="64">
        <v>0</v>
      </c>
      <c r="P9" s="64">
        <v>0.92</v>
      </c>
      <c r="Q9" s="64">
        <v>9.65</v>
      </c>
      <c r="R9" s="196"/>
      <c r="S9" s="196"/>
      <c r="T9" s="196"/>
      <c r="U9" s="196"/>
    </row>
    <row r="10" spans="1:21" s="12" customFormat="1" x14ac:dyDescent="0.25">
      <c r="A10" s="211" t="s">
        <v>1302</v>
      </c>
      <c r="B10" s="64">
        <v>5.68</v>
      </c>
      <c r="C10" s="64">
        <v>24.58</v>
      </c>
      <c r="D10" s="64">
        <v>16.02</v>
      </c>
      <c r="E10" s="64">
        <v>4.66</v>
      </c>
      <c r="F10" s="64">
        <v>4.37</v>
      </c>
      <c r="G10" s="64">
        <v>67.19</v>
      </c>
      <c r="H10" s="64">
        <v>31.7</v>
      </c>
      <c r="I10" s="64">
        <v>5.57</v>
      </c>
      <c r="J10" s="64">
        <v>0.28999999999999998</v>
      </c>
      <c r="K10" s="64">
        <v>12.69</v>
      </c>
      <c r="L10" s="64">
        <v>18.079999999999998</v>
      </c>
      <c r="M10" s="64">
        <v>81.69</v>
      </c>
      <c r="N10" s="64">
        <v>26.1</v>
      </c>
      <c r="O10" s="64">
        <v>0</v>
      </c>
      <c r="P10" s="64">
        <v>0.87</v>
      </c>
      <c r="Q10" s="64">
        <v>9.64</v>
      </c>
      <c r="R10" s="196"/>
      <c r="S10" s="196"/>
      <c r="T10" s="196"/>
      <c r="U10" s="196"/>
    </row>
    <row r="11" spans="1:21" s="12" customFormat="1" x14ac:dyDescent="0.25">
      <c r="A11" s="211" t="s">
        <v>1303</v>
      </c>
      <c r="B11" s="64">
        <v>5.6</v>
      </c>
      <c r="C11" s="64">
        <v>22.63</v>
      </c>
      <c r="D11" s="64">
        <v>14.93</v>
      </c>
      <c r="E11" s="64">
        <v>4.54</v>
      </c>
      <c r="F11" s="64">
        <v>4.8</v>
      </c>
      <c r="G11" s="64">
        <v>67.19</v>
      </c>
      <c r="H11" s="64">
        <v>31.7</v>
      </c>
      <c r="I11" s="64">
        <v>5.1100000000000003</v>
      </c>
      <c r="J11" s="64">
        <v>0.28000000000000003</v>
      </c>
      <c r="K11" s="64">
        <v>335.84</v>
      </c>
      <c r="L11" s="64">
        <v>17.86</v>
      </c>
      <c r="M11" s="64">
        <v>83.76</v>
      </c>
      <c r="N11" s="64">
        <v>26</v>
      </c>
      <c r="O11" s="64">
        <v>0</v>
      </c>
      <c r="P11" s="64">
        <v>0.78</v>
      </c>
      <c r="Q11" s="64">
        <v>9.64</v>
      </c>
      <c r="R11" s="196"/>
      <c r="S11" s="196"/>
      <c r="T11" s="196"/>
      <c r="U11" s="196"/>
    </row>
    <row r="12" spans="1:21" s="12" customFormat="1" x14ac:dyDescent="0.25">
      <c r="A12" s="211" t="s">
        <v>1304</v>
      </c>
      <c r="B12" s="64">
        <v>5.62</v>
      </c>
      <c r="C12" s="64">
        <v>21.06</v>
      </c>
      <c r="D12" s="64">
        <v>14.13</v>
      </c>
      <c r="E12" s="64">
        <v>4.53</v>
      </c>
      <c r="F12" s="64">
        <v>4.7300000000000004</v>
      </c>
      <c r="G12" s="64">
        <v>67.42</v>
      </c>
      <c r="H12" s="64">
        <v>21.69</v>
      </c>
      <c r="I12" s="64">
        <v>4.17</v>
      </c>
      <c r="J12" s="64">
        <v>0.42</v>
      </c>
      <c r="K12" s="64">
        <v>313.06</v>
      </c>
      <c r="L12" s="64">
        <v>17.559999999999999</v>
      </c>
      <c r="M12" s="64">
        <v>85.4</v>
      </c>
      <c r="N12" s="64">
        <v>26.1</v>
      </c>
      <c r="O12" s="64">
        <v>0</v>
      </c>
      <c r="P12" s="64">
        <v>0.77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1305</v>
      </c>
      <c r="B13" s="64">
        <v>5.71</v>
      </c>
      <c r="C13" s="64">
        <v>20.85</v>
      </c>
      <c r="D13" s="64">
        <v>14.1</v>
      </c>
      <c r="E13" s="64">
        <v>4.01</v>
      </c>
      <c r="F13" s="64">
        <v>5.0199999999999996</v>
      </c>
      <c r="G13" s="64">
        <v>68.09</v>
      </c>
      <c r="H13" s="64">
        <v>2.54</v>
      </c>
      <c r="I13" s="64">
        <v>3.63</v>
      </c>
      <c r="J13" s="64">
        <v>0.36</v>
      </c>
      <c r="K13" s="64">
        <v>354.96</v>
      </c>
      <c r="L13" s="64">
        <v>17.43</v>
      </c>
      <c r="M13" s="64">
        <v>85.77</v>
      </c>
      <c r="N13" s="64">
        <v>25.8</v>
      </c>
      <c r="O13" s="64">
        <v>0</v>
      </c>
      <c r="P13" s="64">
        <v>0.72</v>
      </c>
      <c r="Q13" s="64">
        <v>9.6300000000000008</v>
      </c>
      <c r="R13" s="196"/>
      <c r="S13" s="196"/>
      <c r="T13" s="196"/>
      <c r="U13" s="196"/>
    </row>
    <row r="14" spans="1:21" s="12" customFormat="1" x14ac:dyDescent="0.25">
      <c r="A14" s="211" t="s">
        <v>1306</v>
      </c>
      <c r="B14" s="64">
        <v>5.66</v>
      </c>
      <c r="C14" s="64">
        <v>20.440000000000001</v>
      </c>
      <c r="D14" s="64">
        <v>13.84</v>
      </c>
      <c r="E14" s="64">
        <v>4.58</v>
      </c>
      <c r="F14" s="64">
        <v>4.3</v>
      </c>
      <c r="G14" s="64">
        <v>68.09</v>
      </c>
      <c r="H14" s="64">
        <v>2.54</v>
      </c>
      <c r="I14" s="64">
        <v>3.48</v>
      </c>
      <c r="J14" s="64">
        <v>0.26</v>
      </c>
      <c r="K14" s="64">
        <v>349.59</v>
      </c>
      <c r="L14" s="64">
        <v>17.47</v>
      </c>
      <c r="M14" s="64">
        <v>84.54</v>
      </c>
      <c r="N14" s="64">
        <v>25.8</v>
      </c>
      <c r="O14" s="64">
        <v>0</v>
      </c>
      <c r="P14" s="64">
        <v>0.71</v>
      </c>
      <c r="Q14" s="64">
        <v>9.64</v>
      </c>
      <c r="R14" s="196"/>
      <c r="S14" s="196"/>
      <c r="T14" s="196"/>
      <c r="U14" s="196"/>
    </row>
    <row r="15" spans="1:21" s="12" customFormat="1" x14ac:dyDescent="0.25">
      <c r="A15" s="211" t="s">
        <v>1307</v>
      </c>
      <c r="B15" s="64">
        <v>5.53</v>
      </c>
      <c r="C15" s="64">
        <v>19.79</v>
      </c>
      <c r="D15" s="64">
        <v>13.4</v>
      </c>
      <c r="E15" s="64">
        <v>5.01</v>
      </c>
      <c r="F15" s="64">
        <v>4.43</v>
      </c>
      <c r="G15" s="64">
        <v>68.09</v>
      </c>
      <c r="H15" s="64">
        <v>2.54</v>
      </c>
      <c r="I15" s="64">
        <v>3.59</v>
      </c>
      <c r="J15" s="64">
        <v>0.56000000000000005</v>
      </c>
      <c r="K15" s="64">
        <v>302.35000000000002</v>
      </c>
      <c r="L15" s="64">
        <v>17.39</v>
      </c>
      <c r="M15" s="64">
        <v>85.2</v>
      </c>
      <c r="N15" s="64">
        <v>25.9</v>
      </c>
      <c r="O15" s="64">
        <v>0</v>
      </c>
      <c r="P15" s="64">
        <v>0.76</v>
      </c>
      <c r="Q15" s="64">
        <v>9.6199999999999992</v>
      </c>
      <c r="R15" s="196"/>
      <c r="S15" s="196"/>
      <c r="T15" s="196"/>
      <c r="U15" s="196"/>
    </row>
    <row r="16" spans="1:21" s="12" customFormat="1" x14ac:dyDescent="0.25">
      <c r="A16" s="211" t="s">
        <v>1308</v>
      </c>
      <c r="B16" s="64">
        <v>5.45</v>
      </c>
      <c r="C16" s="64">
        <v>19.309999999999999</v>
      </c>
      <c r="D16" s="64">
        <v>13.08</v>
      </c>
      <c r="E16" s="64">
        <v>4.2300000000000004</v>
      </c>
      <c r="F16" s="64">
        <v>4.37</v>
      </c>
      <c r="G16" s="64">
        <v>66.739999999999995</v>
      </c>
      <c r="H16" s="64">
        <v>23.38</v>
      </c>
      <c r="I16" s="64">
        <v>3.8</v>
      </c>
      <c r="J16" s="64">
        <v>0.55000000000000004</v>
      </c>
      <c r="K16" s="64">
        <v>305.05</v>
      </c>
      <c r="L16" s="64">
        <v>17</v>
      </c>
      <c r="M16" s="64">
        <v>88.07</v>
      </c>
      <c r="N16" s="64">
        <v>26</v>
      </c>
      <c r="O16" s="64">
        <v>0</v>
      </c>
      <c r="P16" s="64">
        <v>0.69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1309</v>
      </c>
      <c r="B17" s="64">
        <v>5.38</v>
      </c>
      <c r="C17" s="64">
        <v>18.78</v>
      </c>
      <c r="D17" s="64">
        <v>12.75</v>
      </c>
      <c r="E17" s="64">
        <v>4.47</v>
      </c>
      <c r="F17" s="64">
        <v>4.24</v>
      </c>
      <c r="G17" s="64">
        <v>62.81</v>
      </c>
      <c r="H17" s="64">
        <v>63.27</v>
      </c>
      <c r="I17" s="64">
        <v>3.49</v>
      </c>
      <c r="J17" s="64">
        <v>0.45</v>
      </c>
      <c r="K17" s="64">
        <v>300.56</v>
      </c>
      <c r="L17" s="64">
        <v>16.89</v>
      </c>
      <c r="M17" s="64">
        <v>88.17</v>
      </c>
      <c r="N17" s="64">
        <v>26</v>
      </c>
      <c r="O17" s="64">
        <v>0</v>
      </c>
      <c r="P17" s="64">
        <v>0.72</v>
      </c>
      <c r="Q17" s="64">
        <v>9.6199999999999992</v>
      </c>
      <c r="R17" s="196"/>
      <c r="S17" s="196"/>
      <c r="T17" s="196"/>
      <c r="U17" s="196"/>
    </row>
    <row r="18" spans="1:21" s="12" customFormat="1" x14ac:dyDescent="0.25">
      <c r="A18" s="211" t="s">
        <v>1310</v>
      </c>
      <c r="B18" s="64">
        <v>5.33</v>
      </c>
      <c r="C18" s="64">
        <v>18.690000000000001</v>
      </c>
      <c r="D18" s="64">
        <v>12.66</v>
      </c>
      <c r="E18" s="64">
        <v>4.7</v>
      </c>
      <c r="F18" s="64">
        <v>4</v>
      </c>
      <c r="G18" s="64">
        <v>62.81</v>
      </c>
      <c r="H18" s="64">
        <v>63.27</v>
      </c>
      <c r="I18" s="64">
        <v>3.68</v>
      </c>
      <c r="J18" s="64">
        <v>0.51</v>
      </c>
      <c r="K18" s="64">
        <v>299.45999999999998</v>
      </c>
      <c r="L18" s="64">
        <v>16.809999999999999</v>
      </c>
      <c r="M18" s="64">
        <v>89.13</v>
      </c>
      <c r="N18" s="64">
        <v>26</v>
      </c>
      <c r="O18" s="64">
        <v>0</v>
      </c>
      <c r="P18" s="64">
        <v>0.75</v>
      </c>
      <c r="Q18" s="64">
        <v>9.64</v>
      </c>
      <c r="R18" s="196"/>
      <c r="S18" s="196"/>
      <c r="T18" s="196"/>
      <c r="U18" s="196"/>
    </row>
    <row r="19" spans="1:21" s="12" customFormat="1" x14ac:dyDescent="0.25">
      <c r="A19" s="211" t="s">
        <v>1311</v>
      </c>
      <c r="B19" s="64">
        <v>5.43</v>
      </c>
      <c r="C19" s="64">
        <v>19.239999999999998</v>
      </c>
      <c r="D19" s="64">
        <v>13.03</v>
      </c>
      <c r="E19" s="64">
        <v>4.66</v>
      </c>
      <c r="F19" s="64">
        <v>4.3600000000000003</v>
      </c>
      <c r="G19" s="64">
        <v>62.81</v>
      </c>
      <c r="H19" s="64">
        <v>63.27</v>
      </c>
      <c r="I19" s="64">
        <v>3.64</v>
      </c>
      <c r="J19" s="64">
        <v>0.45</v>
      </c>
      <c r="K19" s="64">
        <v>320.64999999999998</v>
      </c>
      <c r="L19" s="64">
        <v>16.440000000000001</v>
      </c>
      <c r="M19" s="64">
        <v>94.11</v>
      </c>
      <c r="N19" s="64">
        <v>26.1</v>
      </c>
      <c r="O19" s="64">
        <v>0</v>
      </c>
      <c r="P19" s="64">
        <v>0.76</v>
      </c>
      <c r="Q19" s="64">
        <v>9.6199999999999992</v>
      </c>
      <c r="R19" s="196"/>
      <c r="S19" s="196"/>
      <c r="T19" s="196"/>
      <c r="U19" s="196"/>
    </row>
    <row r="20" spans="1:21" s="12" customFormat="1" x14ac:dyDescent="0.25">
      <c r="A20" s="211" t="s">
        <v>1312</v>
      </c>
      <c r="B20" s="64">
        <v>5.63</v>
      </c>
      <c r="C20" s="64">
        <v>19.420000000000002</v>
      </c>
      <c r="D20" s="64">
        <v>13.28</v>
      </c>
      <c r="E20" s="64">
        <v>4.46</v>
      </c>
      <c r="F20" s="64">
        <v>4.18</v>
      </c>
      <c r="G20" s="64">
        <v>61.98</v>
      </c>
      <c r="H20" s="64">
        <v>61.41</v>
      </c>
      <c r="I20" s="64">
        <v>4.4000000000000004</v>
      </c>
      <c r="J20" s="64">
        <v>0.53</v>
      </c>
      <c r="K20" s="64">
        <v>319.11</v>
      </c>
      <c r="L20" s="64">
        <v>16.18</v>
      </c>
      <c r="M20" s="64">
        <v>93.15</v>
      </c>
      <c r="N20" s="64">
        <v>26</v>
      </c>
      <c r="O20" s="64">
        <v>0</v>
      </c>
      <c r="P20" s="64">
        <v>0.75</v>
      </c>
      <c r="Q20" s="64">
        <v>9.6199999999999992</v>
      </c>
      <c r="R20" s="196"/>
      <c r="S20" s="196"/>
      <c r="T20" s="196"/>
      <c r="U20" s="196"/>
    </row>
    <row r="21" spans="1:21" s="12" customFormat="1" x14ac:dyDescent="0.25">
      <c r="A21" s="211" t="s">
        <v>1313</v>
      </c>
      <c r="B21" s="64">
        <v>5.58</v>
      </c>
      <c r="C21" s="64">
        <v>19.850000000000001</v>
      </c>
      <c r="D21" s="64">
        <v>13.47</v>
      </c>
      <c r="E21" s="64">
        <v>4.58</v>
      </c>
      <c r="F21" s="64">
        <v>4.25</v>
      </c>
      <c r="G21" s="64">
        <v>59.56</v>
      </c>
      <c r="H21" s="64">
        <v>57.86</v>
      </c>
      <c r="I21" s="64">
        <v>4.78</v>
      </c>
      <c r="J21" s="64">
        <v>0.38</v>
      </c>
      <c r="K21" s="64">
        <v>295.76</v>
      </c>
      <c r="L21" s="64">
        <v>16.03</v>
      </c>
      <c r="M21" s="64">
        <v>97.33</v>
      </c>
      <c r="N21" s="64">
        <v>25.9</v>
      </c>
      <c r="O21" s="64">
        <v>0</v>
      </c>
      <c r="P21" s="64">
        <v>0.74</v>
      </c>
      <c r="Q21" s="64">
        <v>9.61</v>
      </c>
      <c r="R21" s="196"/>
      <c r="S21" s="196"/>
      <c r="T21" s="196"/>
      <c r="U21" s="196"/>
    </row>
    <row r="22" spans="1:21" s="12" customFormat="1" x14ac:dyDescent="0.25">
      <c r="A22" s="211" t="s">
        <v>1314</v>
      </c>
      <c r="B22" s="64">
        <v>5.68</v>
      </c>
      <c r="C22" s="64">
        <v>19.62</v>
      </c>
      <c r="D22" s="64">
        <v>13.43</v>
      </c>
      <c r="E22" s="64">
        <v>4.93</v>
      </c>
      <c r="F22" s="64">
        <v>4.3</v>
      </c>
      <c r="G22" s="64">
        <v>59.56</v>
      </c>
      <c r="H22" s="64">
        <v>57.86</v>
      </c>
      <c r="I22" s="64">
        <v>4.6900000000000004</v>
      </c>
      <c r="J22" s="64">
        <v>0.43</v>
      </c>
      <c r="K22" s="64">
        <v>346.64</v>
      </c>
      <c r="L22" s="64">
        <v>15.93</v>
      </c>
      <c r="M22" s="64">
        <v>97.86</v>
      </c>
      <c r="N22" s="64">
        <v>25.7</v>
      </c>
      <c r="O22" s="64">
        <v>0</v>
      </c>
      <c r="P22" s="64">
        <v>0.72</v>
      </c>
      <c r="Q22" s="64">
        <v>9.6300000000000008</v>
      </c>
      <c r="R22" s="196"/>
      <c r="S22" s="196"/>
      <c r="T22" s="196"/>
      <c r="U22" s="196"/>
    </row>
    <row r="23" spans="1:21" s="12" customFormat="1" x14ac:dyDescent="0.25">
      <c r="A23" s="211" t="s">
        <v>1315</v>
      </c>
      <c r="B23" s="64">
        <v>5.9</v>
      </c>
      <c r="C23" s="64">
        <v>19.73</v>
      </c>
      <c r="D23" s="64">
        <v>13.66</v>
      </c>
      <c r="E23" s="64">
        <v>4.37</v>
      </c>
      <c r="F23" s="64">
        <v>4.3</v>
      </c>
      <c r="G23" s="64">
        <v>59.56</v>
      </c>
      <c r="H23" s="64">
        <v>57.86</v>
      </c>
      <c r="I23" s="64">
        <v>4.58</v>
      </c>
      <c r="J23" s="64">
        <v>0.33</v>
      </c>
      <c r="K23" s="64">
        <v>327.61</v>
      </c>
      <c r="L23" s="64">
        <v>15.96</v>
      </c>
      <c r="M23" s="64">
        <v>96.08</v>
      </c>
      <c r="N23" s="64">
        <v>25.8</v>
      </c>
      <c r="O23" s="64">
        <v>0</v>
      </c>
      <c r="P23" s="64">
        <v>0.72</v>
      </c>
      <c r="Q23" s="64">
        <v>9.6199999999999992</v>
      </c>
      <c r="R23" s="196"/>
      <c r="S23" s="196"/>
      <c r="T23" s="196"/>
      <c r="U23" s="196"/>
    </row>
    <row r="24" spans="1:21" s="12" customFormat="1" x14ac:dyDescent="0.25">
      <c r="A24" s="211" t="s">
        <v>1316</v>
      </c>
      <c r="B24" s="64">
        <v>6.19</v>
      </c>
      <c r="C24" s="64">
        <v>19.82</v>
      </c>
      <c r="D24" s="64">
        <v>13.94</v>
      </c>
      <c r="E24" s="64">
        <v>4.4000000000000004</v>
      </c>
      <c r="F24" s="64">
        <v>4.25</v>
      </c>
      <c r="G24" s="64">
        <v>61.88</v>
      </c>
      <c r="H24" s="64">
        <v>53.39</v>
      </c>
      <c r="I24" s="64">
        <v>4.26</v>
      </c>
      <c r="J24" s="64">
        <v>0.83</v>
      </c>
      <c r="K24" s="64">
        <v>347.25</v>
      </c>
      <c r="L24" s="64">
        <v>16.02</v>
      </c>
      <c r="M24" s="64">
        <v>93.73</v>
      </c>
      <c r="N24" s="64">
        <v>25.4</v>
      </c>
      <c r="O24" s="64">
        <v>0</v>
      </c>
      <c r="P24" s="64">
        <v>0.72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1317</v>
      </c>
      <c r="B25" s="64">
        <v>6.84</v>
      </c>
      <c r="C25" s="64">
        <v>20.72</v>
      </c>
      <c r="D25" s="64">
        <v>14.93</v>
      </c>
      <c r="E25" s="64">
        <v>4.8600000000000003</v>
      </c>
      <c r="F25" s="64">
        <v>4.01</v>
      </c>
      <c r="G25" s="64">
        <v>68.63</v>
      </c>
      <c r="H25" s="64">
        <v>35.5</v>
      </c>
      <c r="I25" s="64">
        <v>4.13</v>
      </c>
      <c r="J25" s="64">
        <v>1.1499999999999999</v>
      </c>
      <c r="K25" s="64">
        <v>340.74</v>
      </c>
      <c r="L25" s="64">
        <v>16.11</v>
      </c>
      <c r="M25" s="64">
        <v>92.62</v>
      </c>
      <c r="N25" s="64">
        <v>25.4</v>
      </c>
      <c r="O25" s="64">
        <v>0</v>
      </c>
      <c r="P25" s="64">
        <v>0.73</v>
      </c>
      <c r="Q25" s="64">
        <v>9.6199999999999992</v>
      </c>
      <c r="R25" s="196"/>
      <c r="S25" s="196"/>
      <c r="T25" s="196"/>
      <c r="U25" s="196"/>
    </row>
    <row r="26" spans="1:21" s="12" customFormat="1" x14ac:dyDescent="0.25">
      <c r="A26" s="211" t="s">
        <v>1318</v>
      </c>
      <c r="B26" s="64">
        <v>7.63</v>
      </c>
      <c r="C26" s="64">
        <v>21.5</v>
      </c>
      <c r="D26" s="64">
        <v>15.98</v>
      </c>
      <c r="E26" s="64">
        <v>5.34</v>
      </c>
      <c r="F26" s="64">
        <v>4</v>
      </c>
      <c r="G26" s="64">
        <v>68.63</v>
      </c>
      <c r="H26" s="64">
        <v>35.5</v>
      </c>
      <c r="I26" s="64">
        <v>4.18</v>
      </c>
      <c r="J26" s="64">
        <v>0.59</v>
      </c>
      <c r="K26" s="64">
        <v>342.05</v>
      </c>
      <c r="L26" s="64">
        <v>16.13</v>
      </c>
      <c r="M26" s="64">
        <v>92.95</v>
      </c>
      <c r="N26" s="64">
        <v>25.9</v>
      </c>
      <c r="O26" s="64">
        <v>0</v>
      </c>
      <c r="P26" s="64">
        <v>0.74</v>
      </c>
      <c r="Q26" s="64">
        <v>9.6199999999999992</v>
      </c>
      <c r="R26" s="196"/>
      <c r="S26" s="196"/>
      <c r="T26" s="196"/>
      <c r="U26" s="196"/>
    </row>
    <row r="27" spans="1:21" s="12" customFormat="1" x14ac:dyDescent="0.25">
      <c r="A27" s="211" t="s">
        <v>1319</v>
      </c>
      <c r="B27" s="64">
        <v>9.07</v>
      </c>
      <c r="C27" s="64">
        <v>21.33</v>
      </c>
      <c r="D27" s="64">
        <v>17.04</v>
      </c>
      <c r="E27" s="64">
        <v>5.51</v>
      </c>
      <c r="F27" s="64">
        <v>4.07</v>
      </c>
      <c r="G27" s="64">
        <v>68.63</v>
      </c>
      <c r="H27" s="64">
        <v>35.5</v>
      </c>
      <c r="I27" s="64">
        <v>4.22</v>
      </c>
      <c r="J27" s="64">
        <v>0.31</v>
      </c>
      <c r="K27" s="64">
        <v>344.57</v>
      </c>
      <c r="L27" s="64">
        <v>15.83</v>
      </c>
      <c r="M27" s="64">
        <v>95.72</v>
      </c>
      <c r="N27" s="64">
        <v>26.1</v>
      </c>
      <c r="O27" s="64">
        <v>0</v>
      </c>
      <c r="P27" s="64">
        <v>0.77</v>
      </c>
      <c r="Q27" s="64">
        <v>9.6199999999999992</v>
      </c>
      <c r="R27" s="196"/>
      <c r="S27" s="196"/>
      <c r="T27" s="196"/>
      <c r="U27" s="196"/>
    </row>
    <row r="28" spans="1:21" s="12" customFormat="1" x14ac:dyDescent="0.25">
      <c r="A28" s="211" t="s">
        <v>1320</v>
      </c>
      <c r="B28" s="64">
        <v>10.46</v>
      </c>
      <c r="C28" s="64">
        <v>19.93</v>
      </c>
      <c r="D28" s="64">
        <v>17.420000000000002</v>
      </c>
      <c r="E28" s="64">
        <v>5.4</v>
      </c>
      <c r="F28" s="64">
        <v>4.12</v>
      </c>
      <c r="G28" s="64">
        <v>77.55</v>
      </c>
      <c r="H28" s="64">
        <v>25.56</v>
      </c>
      <c r="I28" s="64">
        <v>4.34</v>
      </c>
      <c r="J28" s="64">
        <v>0.48</v>
      </c>
      <c r="K28" s="64">
        <v>358.04</v>
      </c>
      <c r="L28" s="64">
        <v>15.77</v>
      </c>
      <c r="M28" s="64">
        <v>95.81</v>
      </c>
      <c r="N28" s="64">
        <v>25.8</v>
      </c>
      <c r="O28" s="64">
        <v>0</v>
      </c>
      <c r="P28" s="64">
        <v>0.86</v>
      </c>
      <c r="Q28" s="64">
        <v>9.6300000000000008</v>
      </c>
      <c r="R28" s="196"/>
      <c r="S28" s="196"/>
      <c r="T28" s="196"/>
      <c r="U28" s="196"/>
    </row>
    <row r="29" spans="1:21" s="12" customFormat="1" x14ac:dyDescent="0.25">
      <c r="A29" s="211" t="s">
        <v>1321</v>
      </c>
      <c r="B29" s="64">
        <v>11.35</v>
      </c>
      <c r="C29" s="64">
        <v>19.489999999999998</v>
      </c>
      <c r="D29" s="64">
        <v>17.91</v>
      </c>
      <c r="E29" s="64">
        <v>5.07</v>
      </c>
      <c r="F29" s="64">
        <v>4.13</v>
      </c>
      <c r="G29" s="64">
        <v>103.54</v>
      </c>
      <c r="H29" s="64">
        <v>5.68</v>
      </c>
      <c r="I29" s="64">
        <v>4.45</v>
      </c>
      <c r="J29" s="64">
        <v>0.19</v>
      </c>
      <c r="K29" s="64">
        <v>136.19999999999999</v>
      </c>
      <c r="L29" s="64">
        <v>15.71</v>
      </c>
      <c r="M29" s="64">
        <v>95.72</v>
      </c>
      <c r="N29" s="64">
        <v>26</v>
      </c>
      <c r="O29" s="64">
        <v>0</v>
      </c>
      <c r="P29" s="64">
        <v>0.95</v>
      </c>
      <c r="Q29" s="64">
        <v>9.61</v>
      </c>
      <c r="R29" s="196"/>
      <c r="S29" s="196"/>
      <c r="T29" s="196"/>
      <c r="U29" s="196"/>
    </row>
    <row r="30" spans="1:21" s="12" customFormat="1" x14ac:dyDescent="0.25">
      <c r="A30" s="211" t="s">
        <v>1322</v>
      </c>
      <c r="B30" s="64">
        <v>11.87</v>
      </c>
      <c r="C30" s="64">
        <v>19.309999999999999</v>
      </c>
      <c r="D30" s="64">
        <v>18.23</v>
      </c>
      <c r="E30" s="64">
        <v>5.55</v>
      </c>
      <c r="F30" s="64">
        <v>4.08</v>
      </c>
      <c r="G30" s="64">
        <v>103.54</v>
      </c>
      <c r="H30" s="64">
        <v>5.68</v>
      </c>
      <c r="I30" s="64">
        <v>4.55</v>
      </c>
      <c r="J30" s="64">
        <v>0.49</v>
      </c>
      <c r="K30" s="64">
        <v>91.6</v>
      </c>
      <c r="L30" s="64">
        <v>15.69</v>
      </c>
      <c r="M30" s="64">
        <v>94.42</v>
      </c>
      <c r="N30" s="64">
        <v>25.8</v>
      </c>
      <c r="O30" s="64">
        <v>0</v>
      </c>
      <c r="P30" s="64">
        <v>0.94</v>
      </c>
      <c r="Q30" s="64">
        <v>9.61</v>
      </c>
      <c r="R30" s="196"/>
      <c r="S30" s="196"/>
      <c r="T30" s="196"/>
      <c r="U30" s="196"/>
    </row>
    <row r="31" spans="1:21" s="12" customFormat="1" x14ac:dyDescent="0.25">
      <c r="A31" s="211" t="s">
        <v>1323</v>
      </c>
      <c r="B31" s="64">
        <v>12.16</v>
      </c>
      <c r="C31" s="64">
        <v>19.13</v>
      </c>
      <c r="D31" s="64">
        <v>18.37</v>
      </c>
      <c r="E31" s="64">
        <v>5.78</v>
      </c>
      <c r="F31" s="64">
        <v>4.01</v>
      </c>
      <c r="G31" s="64">
        <v>103.54</v>
      </c>
      <c r="H31" s="64">
        <v>5.68</v>
      </c>
      <c r="I31" s="64">
        <v>4.5199999999999996</v>
      </c>
      <c r="J31" s="64">
        <v>0.42</v>
      </c>
      <c r="K31" s="64">
        <v>9.69</v>
      </c>
      <c r="L31" s="64">
        <v>15.85</v>
      </c>
      <c r="M31" s="64">
        <v>92.31</v>
      </c>
      <c r="N31" s="64">
        <v>25.6</v>
      </c>
      <c r="O31" s="64">
        <v>0</v>
      </c>
      <c r="P31" s="64">
        <v>0.96</v>
      </c>
      <c r="Q31" s="64">
        <v>9.6300000000000008</v>
      </c>
      <c r="R31" s="196"/>
      <c r="S31" s="196"/>
      <c r="T31" s="196"/>
      <c r="U31" s="196"/>
    </row>
    <row r="32" spans="1:21" s="12" customFormat="1" x14ac:dyDescent="0.25">
      <c r="A32" s="211" t="s">
        <v>1324</v>
      </c>
      <c r="B32" s="64">
        <v>12.55</v>
      </c>
      <c r="C32" s="64">
        <v>18.940000000000001</v>
      </c>
      <c r="D32" s="64">
        <v>18.579999999999998</v>
      </c>
      <c r="E32" s="64">
        <v>5.8</v>
      </c>
      <c r="F32" s="64">
        <v>4.57</v>
      </c>
      <c r="G32" s="64">
        <v>108.95</v>
      </c>
      <c r="H32" s="64">
        <v>47.78</v>
      </c>
      <c r="I32" s="64">
        <v>4.4800000000000004</v>
      </c>
      <c r="J32" s="64">
        <v>0.41</v>
      </c>
      <c r="K32" s="64">
        <v>322.68</v>
      </c>
      <c r="L32" s="64">
        <v>15.67</v>
      </c>
      <c r="M32" s="64">
        <v>93.54</v>
      </c>
      <c r="N32" s="64">
        <v>26</v>
      </c>
      <c r="O32" s="64">
        <v>0</v>
      </c>
      <c r="P32" s="64">
        <v>0.93</v>
      </c>
      <c r="Q32" s="64">
        <v>9.64</v>
      </c>
      <c r="R32" s="196"/>
      <c r="S32" s="196"/>
      <c r="T32" s="196"/>
      <c r="U32" s="196"/>
    </row>
    <row r="33" spans="1:21" s="12" customFormat="1" x14ac:dyDescent="0.25">
      <c r="A33" s="211" t="s">
        <v>1325</v>
      </c>
      <c r="B33" s="64">
        <v>13.07</v>
      </c>
      <c r="C33" s="64">
        <v>18.809999999999999</v>
      </c>
      <c r="D33" s="64">
        <v>18.93</v>
      </c>
      <c r="E33" s="64">
        <v>5.6</v>
      </c>
      <c r="F33" s="64">
        <v>4.21</v>
      </c>
      <c r="G33" s="64">
        <v>124.73</v>
      </c>
      <c r="H33" s="64">
        <v>128.31</v>
      </c>
      <c r="I33" s="64">
        <v>4.5999999999999996</v>
      </c>
      <c r="J33" s="64">
        <v>0.7</v>
      </c>
      <c r="K33" s="64">
        <v>330.26</v>
      </c>
      <c r="L33" s="64">
        <v>15.55</v>
      </c>
      <c r="M33" s="64">
        <v>94.02</v>
      </c>
      <c r="N33" s="64">
        <v>26.5</v>
      </c>
      <c r="O33" s="64">
        <v>0</v>
      </c>
      <c r="P33" s="64">
        <v>0.97</v>
      </c>
      <c r="Q33" s="64">
        <v>9.65</v>
      </c>
      <c r="R33" s="196"/>
      <c r="S33" s="196"/>
      <c r="T33" s="196"/>
      <c r="U33" s="196"/>
    </row>
    <row r="34" spans="1:21" s="12" customFormat="1" x14ac:dyDescent="0.25">
      <c r="A34" s="211" t="s">
        <v>1326</v>
      </c>
      <c r="B34" s="64">
        <v>13.74</v>
      </c>
      <c r="C34" s="64">
        <v>18.66</v>
      </c>
      <c r="D34" s="64">
        <v>19.39</v>
      </c>
      <c r="E34" s="64">
        <v>5.48</v>
      </c>
      <c r="F34" s="64">
        <v>3.43</v>
      </c>
      <c r="G34" s="64">
        <v>124.73</v>
      </c>
      <c r="H34" s="64">
        <v>128.31</v>
      </c>
      <c r="I34" s="64">
        <v>4.7300000000000004</v>
      </c>
      <c r="J34" s="64">
        <v>0.16</v>
      </c>
      <c r="K34" s="64">
        <v>275.76</v>
      </c>
      <c r="L34" s="64">
        <v>15.63</v>
      </c>
      <c r="M34" s="64">
        <v>93.01</v>
      </c>
      <c r="N34" s="64">
        <v>31.3</v>
      </c>
      <c r="O34" s="64">
        <v>0</v>
      </c>
      <c r="P34" s="64">
        <v>0.97</v>
      </c>
      <c r="Q34" s="64">
        <v>9.64</v>
      </c>
      <c r="R34" s="196"/>
      <c r="S34" s="196"/>
      <c r="T34" s="196"/>
      <c r="U34" s="196"/>
    </row>
    <row r="35" spans="1:21" s="12" customFormat="1" x14ac:dyDescent="0.25">
      <c r="A35" s="211" t="s">
        <v>1327</v>
      </c>
      <c r="B35" s="64">
        <v>14.32</v>
      </c>
      <c r="C35" s="64">
        <v>19.13</v>
      </c>
      <c r="D35" s="64">
        <v>20.11</v>
      </c>
      <c r="E35" s="64">
        <v>5.82</v>
      </c>
      <c r="F35" s="64">
        <v>3.36</v>
      </c>
      <c r="G35" s="64">
        <v>124.73</v>
      </c>
      <c r="H35" s="64">
        <v>128.31</v>
      </c>
      <c r="I35" s="64">
        <v>4.78</v>
      </c>
      <c r="J35" s="64">
        <v>0.35</v>
      </c>
      <c r="K35" s="64">
        <v>125.87</v>
      </c>
      <c r="L35" s="64">
        <v>15.85</v>
      </c>
      <c r="M35" s="64">
        <v>90.55</v>
      </c>
      <c r="N35" s="64">
        <v>44.6</v>
      </c>
      <c r="O35" s="64">
        <v>0</v>
      </c>
      <c r="P35" s="64">
        <v>0.92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1328</v>
      </c>
      <c r="B36" s="64">
        <v>14.74</v>
      </c>
      <c r="C36" s="64">
        <v>19.64</v>
      </c>
      <c r="D36" s="64">
        <v>20.7</v>
      </c>
      <c r="E36" s="64">
        <v>5.93</v>
      </c>
      <c r="F36" s="64">
        <v>4.0599999999999996</v>
      </c>
      <c r="G36" s="64">
        <v>125.41</v>
      </c>
      <c r="H36" s="64">
        <v>113.77</v>
      </c>
      <c r="I36" s="64">
        <v>4.8600000000000003</v>
      </c>
      <c r="J36" s="64">
        <v>0.41</v>
      </c>
      <c r="K36" s="64">
        <v>107.84</v>
      </c>
      <c r="L36" s="64">
        <v>16.23</v>
      </c>
      <c r="M36" s="64">
        <v>88.95</v>
      </c>
      <c r="N36" s="64">
        <v>64</v>
      </c>
      <c r="O36" s="64">
        <v>0</v>
      </c>
      <c r="P36" s="64">
        <v>0.96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1329</v>
      </c>
      <c r="B37" s="64">
        <v>15.64</v>
      </c>
      <c r="C37" s="64">
        <v>19.989999999999998</v>
      </c>
      <c r="D37" s="64">
        <v>21.61</v>
      </c>
      <c r="E37" s="64">
        <v>6.27</v>
      </c>
      <c r="F37" s="64">
        <v>4.71</v>
      </c>
      <c r="G37" s="64">
        <v>127.39</v>
      </c>
      <c r="H37" s="64">
        <v>85.96</v>
      </c>
      <c r="I37" s="64">
        <v>4.84</v>
      </c>
      <c r="J37" s="64">
        <v>1.31</v>
      </c>
      <c r="K37" s="64">
        <v>342.84</v>
      </c>
      <c r="L37" s="64">
        <v>16.920000000000002</v>
      </c>
      <c r="M37" s="64">
        <v>85.39</v>
      </c>
      <c r="N37" s="64">
        <v>89.7</v>
      </c>
      <c r="O37" s="64">
        <v>0</v>
      </c>
      <c r="P37" s="64">
        <v>0.9</v>
      </c>
      <c r="Q37" s="64">
        <v>9.64</v>
      </c>
      <c r="R37" s="196"/>
      <c r="S37" s="196"/>
      <c r="T37" s="196"/>
      <c r="U37" s="196"/>
    </row>
    <row r="38" spans="1:21" s="12" customFormat="1" x14ac:dyDescent="0.25">
      <c r="A38" s="211" t="s">
        <v>1330</v>
      </c>
      <c r="B38" s="64">
        <v>16.8</v>
      </c>
      <c r="C38" s="64">
        <v>20.75</v>
      </c>
      <c r="D38" s="64">
        <v>22.94</v>
      </c>
      <c r="E38" s="64">
        <v>6.76</v>
      </c>
      <c r="F38" s="64">
        <v>4.68</v>
      </c>
      <c r="G38" s="64">
        <v>127.39</v>
      </c>
      <c r="H38" s="64">
        <v>85.96</v>
      </c>
      <c r="I38" s="64">
        <v>4.8499999999999996</v>
      </c>
      <c r="J38" s="64">
        <v>1.1100000000000001</v>
      </c>
      <c r="K38" s="64">
        <v>341.84</v>
      </c>
      <c r="L38" s="64">
        <v>18.010000000000002</v>
      </c>
      <c r="M38" s="64">
        <v>79.89</v>
      </c>
      <c r="N38" s="64">
        <v>148.19999999999999</v>
      </c>
      <c r="O38" s="64">
        <v>0</v>
      </c>
      <c r="P38" s="64">
        <v>1</v>
      </c>
      <c r="Q38" s="64">
        <v>9.6300000000000008</v>
      </c>
      <c r="R38" s="196"/>
      <c r="S38" s="196"/>
      <c r="T38" s="196"/>
      <c r="U38" s="196"/>
    </row>
    <row r="39" spans="1:21" s="12" customFormat="1" x14ac:dyDescent="0.25">
      <c r="A39" s="211" t="s">
        <v>1331</v>
      </c>
      <c r="B39" s="64">
        <v>17.420000000000002</v>
      </c>
      <c r="C39" s="64">
        <v>21.36</v>
      </c>
      <c r="D39" s="64">
        <v>23.75</v>
      </c>
      <c r="E39" s="64">
        <v>6.97</v>
      </c>
      <c r="F39" s="64">
        <v>4.4000000000000004</v>
      </c>
      <c r="G39" s="64">
        <v>127.39</v>
      </c>
      <c r="H39" s="64">
        <v>85.96</v>
      </c>
      <c r="I39" s="64">
        <v>4.97</v>
      </c>
      <c r="J39" s="64">
        <v>0.41</v>
      </c>
      <c r="K39" s="64">
        <v>17.34</v>
      </c>
      <c r="L39" s="64">
        <v>19.48</v>
      </c>
      <c r="M39" s="64">
        <v>72.400000000000006</v>
      </c>
      <c r="N39" s="64">
        <v>201.8</v>
      </c>
      <c r="O39" s="64">
        <v>0</v>
      </c>
      <c r="P39" s="64">
        <v>1.03</v>
      </c>
      <c r="Q39" s="64">
        <v>9.6300000000000008</v>
      </c>
      <c r="R39" s="196"/>
      <c r="S39" s="196"/>
      <c r="T39" s="196"/>
      <c r="U39" s="196"/>
    </row>
    <row r="40" spans="1:21" s="12" customFormat="1" x14ac:dyDescent="0.25">
      <c r="A40" s="211" t="s">
        <v>1332</v>
      </c>
      <c r="B40" s="64">
        <v>17.96</v>
      </c>
      <c r="C40" s="64">
        <v>21.67</v>
      </c>
      <c r="D40" s="64">
        <v>24.35</v>
      </c>
      <c r="E40" s="64">
        <v>6.17</v>
      </c>
      <c r="F40" s="64">
        <v>4.6100000000000003</v>
      </c>
      <c r="G40" s="64">
        <v>129.49</v>
      </c>
      <c r="H40" s="64">
        <v>80.22</v>
      </c>
      <c r="I40" s="64">
        <v>5.01</v>
      </c>
      <c r="J40" s="64">
        <v>0.19</v>
      </c>
      <c r="K40" s="64">
        <v>2.3199999999999998</v>
      </c>
      <c r="L40" s="64">
        <v>20.18</v>
      </c>
      <c r="M40" s="64">
        <v>71.13</v>
      </c>
      <c r="N40" s="64">
        <v>252.3</v>
      </c>
      <c r="O40" s="64">
        <v>0</v>
      </c>
      <c r="P40" s="64">
        <v>1.04</v>
      </c>
      <c r="Q40" s="64">
        <v>9.65</v>
      </c>
      <c r="R40" s="196"/>
      <c r="S40" s="196"/>
      <c r="T40" s="196"/>
      <c r="U40" s="196"/>
    </row>
    <row r="41" spans="1:21" s="12" customFormat="1" x14ac:dyDescent="0.25">
      <c r="A41" s="211" t="s">
        <v>1333</v>
      </c>
      <c r="B41" s="64">
        <v>18.93</v>
      </c>
      <c r="C41" s="64">
        <v>22.52</v>
      </c>
      <c r="D41" s="64">
        <v>25.57</v>
      </c>
      <c r="E41" s="64">
        <v>6.67</v>
      </c>
      <c r="F41" s="64">
        <v>4.41</v>
      </c>
      <c r="G41" s="64">
        <v>135.62</v>
      </c>
      <c r="H41" s="64">
        <v>57.28</v>
      </c>
      <c r="I41" s="64">
        <v>5.08</v>
      </c>
      <c r="J41" s="64">
        <v>0.93</v>
      </c>
      <c r="K41" s="64">
        <v>334.67</v>
      </c>
      <c r="L41" s="64">
        <v>22.77</v>
      </c>
      <c r="M41" s="64">
        <v>59.6</v>
      </c>
      <c r="N41" s="64">
        <v>301.5</v>
      </c>
      <c r="O41" s="64">
        <v>0</v>
      </c>
      <c r="P41" s="64">
        <v>1.05</v>
      </c>
      <c r="Q41" s="64">
        <v>9.6300000000000008</v>
      </c>
      <c r="R41" s="196"/>
      <c r="S41" s="196"/>
      <c r="T41" s="196"/>
      <c r="U41" s="196"/>
    </row>
    <row r="42" spans="1:21" s="12" customFormat="1" x14ac:dyDescent="0.25">
      <c r="A42" s="211" t="s">
        <v>1334</v>
      </c>
      <c r="B42" s="64">
        <v>19.940000000000001</v>
      </c>
      <c r="C42" s="64">
        <v>23.45</v>
      </c>
      <c r="D42" s="64">
        <v>26.86</v>
      </c>
      <c r="E42" s="64">
        <v>6.4</v>
      </c>
      <c r="F42" s="64">
        <v>4.5</v>
      </c>
      <c r="G42" s="64">
        <v>135.62</v>
      </c>
      <c r="H42" s="64">
        <v>57.28</v>
      </c>
      <c r="I42" s="64">
        <v>5.17</v>
      </c>
      <c r="J42" s="64">
        <v>1.27</v>
      </c>
      <c r="K42" s="64">
        <v>334.24</v>
      </c>
      <c r="L42" s="64">
        <v>24.23</v>
      </c>
      <c r="M42" s="64">
        <v>54.1</v>
      </c>
      <c r="N42" s="64">
        <v>347.9</v>
      </c>
      <c r="O42" s="64">
        <v>0</v>
      </c>
      <c r="P42" s="64">
        <v>1.03</v>
      </c>
      <c r="Q42" s="64">
        <v>9.6199999999999992</v>
      </c>
      <c r="R42" s="196"/>
      <c r="S42" s="196"/>
      <c r="T42" s="196"/>
      <c r="U42" s="196"/>
    </row>
    <row r="43" spans="1:21" s="12" customFormat="1" x14ac:dyDescent="0.25">
      <c r="A43" s="211" t="s">
        <v>1335</v>
      </c>
      <c r="B43" s="64">
        <v>20.149999999999999</v>
      </c>
      <c r="C43" s="64">
        <v>24.12</v>
      </c>
      <c r="D43" s="64">
        <v>27.38</v>
      </c>
      <c r="E43" s="64">
        <v>6.31</v>
      </c>
      <c r="F43" s="64">
        <v>4.55</v>
      </c>
      <c r="G43" s="64">
        <v>135.62</v>
      </c>
      <c r="H43" s="64">
        <v>57.28</v>
      </c>
      <c r="I43" s="64">
        <v>5.19</v>
      </c>
      <c r="J43" s="64">
        <v>1.05</v>
      </c>
      <c r="K43" s="64">
        <v>337.79</v>
      </c>
      <c r="L43" s="64">
        <v>24.94</v>
      </c>
      <c r="M43" s="64">
        <v>51.47</v>
      </c>
      <c r="N43" s="64">
        <v>384.5</v>
      </c>
      <c r="O43" s="64">
        <v>0</v>
      </c>
      <c r="P43" s="64">
        <v>1.02</v>
      </c>
      <c r="Q43" s="64">
        <v>9.6300000000000008</v>
      </c>
      <c r="R43" s="196"/>
      <c r="S43" s="196"/>
      <c r="T43" s="196"/>
      <c r="U43" s="196"/>
    </row>
    <row r="44" spans="1:21" s="12" customFormat="1" x14ac:dyDescent="0.25">
      <c r="A44" s="211" t="s">
        <v>1336</v>
      </c>
      <c r="B44" s="64">
        <v>20.2</v>
      </c>
      <c r="C44" s="64">
        <v>23.94</v>
      </c>
      <c r="D44" s="64">
        <v>27.32</v>
      </c>
      <c r="E44" s="64">
        <v>5.93</v>
      </c>
      <c r="F44" s="64">
        <v>4.09</v>
      </c>
      <c r="G44" s="64">
        <v>132.51</v>
      </c>
      <c r="H44" s="64">
        <v>49.92</v>
      </c>
      <c r="I44" s="64">
        <v>5.17</v>
      </c>
      <c r="J44" s="64">
        <v>0.42</v>
      </c>
      <c r="K44" s="64">
        <v>96.4</v>
      </c>
      <c r="L44" s="64">
        <v>23.64</v>
      </c>
      <c r="M44" s="64">
        <v>56.92</v>
      </c>
      <c r="N44" s="64">
        <v>416.8</v>
      </c>
      <c r="O44" s="64">
        <v>0</v>
      </c>
      <c r="P44" s="64">
        <v>0.99</v>
      </c>
      <c r="Q44" s="64">
        <v>9.64</v>
      </c>
      <c r="R44" s="196"/>
      <c r="S44" s="196"/>
      <c r="T44" s="196"/>
      <c r="U44" s="196"/>
    </row>
    <row r="45" spans="1:21" s="12" customFormat="1" x14ac:dyDescent="0.25">
      <c r="A45" s="211" t="s">
        <v>1337</v>
      </c>
      <c r="B45" s="64">
        <v>20.45</v>
      </c>
      <c r="C45" s="64">
        <v>23</v>
      </c>
      <c r="D45" s="64">
        <v>27.04</v>
      </c>
      <c r="E45" s="64">
        <v>6.43</v>
      </c>
      <c r="F45" s="64">
        <v>4.2300000000000004</v>
      </c>
      <c r="G45" s="64">
        <v>123.47</v>
      </c>
      <c r="H45" s="64">
        <v>35.840000000000003</v>
      </c>
      <c r="I45" s="64">
        <v>5.14</v>
      </c>
      <c r="J45" s="64">
        <v>1.1100000000000001</v>
      </c>
      <c r="K45" s="64">
        <v>335.85</v>
      </c>
      <c r="L45" s="64">
        <v>24.96</v>
      </c>
      <c r="M45" s="64">
        <v>53.1</v>
      </c>
      <c r="N45" s="64">
        <v>451.7</v>
      </c>
      <c r="O45" s="64">
        <v>0</v>
      </c>
      <c r="P45" s="64">
        <v>0.98</v>
      </c>
      <c r="Q45" s="64">
        <v>9.64</v>
      </c>
      <c r="R45" s="196"/>
      <c r="S45" s="196"/>
      <c r="T45" s="196"/>
      <c r="U45" s="196"/>
    </row>
    <row r="46" spans="1:21" s="12" customFormat="1" x14ac:dyDescent="0.25">
      <c r="A46" s="211" t="s">
        <v>1338</v>
      </c>
      <c r="B46" s="64">
        <v>21.1</v>
      </c>
      <c r="C46" s="64">
        <v>23.56</v>
      </c>
      <c r="D46" s="64">
        <v>27.85</v>
      </c>
      <c r="E46" s="64">
        <v>5.78</v>
      </c>
      <c r="F46" s="64">
        <v>4.07</v>
      </c>
      <c r="G46" s="64">
        <v>123.47</v>
      </c>
      <c r="H46" s="64">
        <v>35.840000000000003</v>
      </c>
      <c r="I46" s="64">
        <v>5.15</v>
      </c>
      <c r="J46" s="64">
        <v>0.63</v>
      </c>
      <c r="K46" s="64">
        <v>357.99</v>
      </c>
      <c r="L46" s="64">
        <v>26.1</v>
      </c>
      <c r="M46" s="64">
        <v>50.2</v>
      </c>
      <c r="N46" s="64">
        <v>484.8</v>
      </c>
      <c r="O46" s="64">
        <v>0</v>
      </c>
      <c r="P46" s="64">
        <v>0.98</v>
      </c>
      <c r="Q46" s="64">
        <v>9.6300000000000008</v>
      </c>
      <c r="R46" s="196"/>
      <c r="S46" s="196"/>
      <c r="T46" s="196"/>
      <c r="U46" s="196"/>
    </row>
    <row r="47" spans="1:21" s="12" customFormat="1" x14ac:dyDescent="0.25">
      <c r="A47" s="211" t="s">
        <v>1339</v>
      </c>
      <c r="B47" s="64">
        <v>22.19</v>
      </c>
      <c r="C47" s="64">
        <v>24.06</v>
      </c>
      <c r="D47" s="64">
        <v>28.99</v>
      </c>
      <c r="E47" s="64">
        <v>5.61</v>
      </c>
      <c r="F47" s="64">
        <v>4.0999999999999996</v>
      </c>
      <c r="G47" s="64">
        <v>123.47</v>
      </c>
      <c r="H47" s="64">
        <v>35.840000000000003</v>
      </c>
      <c r="I47" s="64">
        <v>5.35</v>
      </c>
      <c r="J47" s="64">
        <v>1.1599999999999999</v>
      </c>
      <c r="K47" s="64">
        <v>340.27</v>
      </c>
      <c r="L47" s="64">
        <v>26.66</v>
      </c>
      <c r="M47" s="64">
        <v>48.72</v>
      </c>
      <c r="N47" s="64">
        <v>519.9</v>
      </c>
      <c r="O47" s="64">
        <v>0</v>
      </c>
      <c r="P47" s="64">
        <v>0.96</v>
      </c>
      <c r="Q47" s="64">
        <v>9.64</v>
      </c>
      <c r="R47" s="196"/>
      <c r="S47" s="196"/>
      <c r="T47" s="196"/>
      <c r="U47" s="196"/>
    </row>
    <row r="48" spans="1:21" s="12" customFormat="1" x14ac:dyDescent="0.25">
      <c r="A48" s="211" t="s">
        <v>1340</v>
      </c>
      <c r="B48" s="64">
        <v>23.42</v>
      </c>
      <c r="C48" s="64">
        <v>24.55</v>
      </c>
      <c r="D48" s="64">
        <v>30.23</v>
      </c>
      <c r="E48" s="64">
        <v>6.14</v>
      </c>
      <c r="F48" s="64">
        <v>3.73</v>
      </c>
      <c r="G48" s="64">
        <v>119.63</v>
      </c>
      <c r="H48" s="64">
        <v>34.979999999999997</v>
      </c>
      <c r="I48" s="64">
        <v>5.32</v>
      </c>
      <c r="J48" s="64">
        <v>1.45</v>
      </c>
      <c r="K48" s="64">
        <v>338.41</v>
      </c>
      <c r="L48" s="64">
        <v>28.19</v>
      </c>
      <c r="M48" s="64">
        <v>44.08</v>
      </c>
      <c r="N48" s="64">
        <v>549.29999999999995</v>
      </c>
      <c r="O48" s="64">
        <v>0</v>
      </c>
      <c r="P48" s="64">
        <v>0.92</v>
      </c>
      <c r="Q48" s="64">
        <v>9.6300000000000008</v>
      </c>
      <c r="R48" s="196"/>
      <c r="S48" s="196"/>
      <c r="T48" s="196"/>
      <c r="U48" s="196"/>
    </row>
    <row r="49" spans="1:21" s="12" customFormat="1" x14ac:dyDescent="0.25">
      <c r="A49" s="211" t="s">
        <v>1341</v>
      </c>
      <c r="B49" s="64">
        <v>24.52</v>
      </c>
      <c r="C49" s="64">
        <v>25.35</v>
      </c>
      <c r="D49" s="64">
        <v>31.53</v>
      </c>
      <c r="E49" s="64">
        <v>6.15</v>
      </c>
      <c r="F49" s="64">
        <v>3.75</v>
      </c>
      <c r="G49" s="64">
        <v>108.44</v>
      </c>
      <c r="H49" s="64">
        <v>33.33</v>
      </c>
      <c r="I49" s="64">
        <v>5.08</v>
      </c>
      <c r="J49" s="64">
        <v>0.87</v>
      </c>
      <c r="K49" s="64">
        <v>334.47</v>
      </c>
      <c r="L49" s="64">
        <v>27.38</v>
      </c>
      <c r="M49" s="64">
        <v>47.02</v>
      </c>
      <c r="N49" s="64">
        <v>580</v>
      </c>
      <c r="O49" s="64">
        <v>0</v>
      </c>
      <c r="P49" s="64">
        <v>0.93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1342</v>
      </c>
      <c r="B50" s="64">
        <v>24.74</v>
      </c>
      <c r="C50" s="64">
        <v>25.51</v>
      </c>
      <c r="D50" s="64">
        <v>31.79</v>
      </c>
      <c r="E50" s="64">
        <v>6.35</v>
      </c>
      <c r="F50" s="64">
        <v>3.76</v>
      </c>
      <c r="G50" s="64">
        <v>108.44</v>
      </c>
      <c r="H50" s="64">
        <v>33.33</v>
      </c>
      <c r="I50" s="64">
        <v>5.14</v>
      </c>
      <c r="J50" s="64">
        <v>0.28999999999999998</v>
      </c>
      <c r="K50" s="64">
        <v>49.17</v>
      </c>
      <c r="L50" s="64">
        <v>26.55</v>
      </c>
      <c r="M50" s="64">
        <v>50.28</v>
      </c>
      <c r="N50" s="64">
        <v>611.6</v>
      </c>
      <c r="O50" s="64">
        <v>0</v>
      </c>
      <c r="P50" s="64">
        <v>0.91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1343</v>
      </c>
      <c r="B51" s="64">
        <v>22.61</v>
      </c>
      <c r="C51" s="64">
        <v>26.91</v>
      </c>
      <c r="D51" s="64">
        <v>30.82</v>
      </c>
      <c r="E51" s="64">
        <v>6.17</v>
      </c>
      <c r="F51" s="64">
        <v>5.41</v>
      </c>
      <c r="G51" s="64">
        <v>108.44</v>
      </c>
      <c r="H51" s="64">
        <v>33.33</v>
      </c>
      <c r="I51" s="64">
        <v>5.21</v>
      </c>
      <c r="J51" s="64">
        <v>0.43</v>
      </c>
      <c r="K51" s="64">
        <v>7.51</v>
      </c>
      <c r="L51" s="64">
        <v>27.08</v>
      </c>
      <c r="M51" s="64">
        <v>48.22</v>
      </c>
      <c r="N51" s="64">
        <v>631.20000000000005</v>
      </c>
      <c r="O51" s="64">
        <v>0</v>
      </c>
      <c r="P51" s="64">
        <v>0.88</v>
      </c>
      <c r="Q51" s="64">
        <v>9.64</v>
      </c>
      <c r="R51" s="196"/>
      <c r="S51" s="196"/>
      <c r="T51" s="196"/>
      <c r="U51" s="196"/>
    </row>
    <row r="52" spans="1:21" s="12" customFormat="1" x14ac:dyDescent="0.25">
      <c r="A52" s="211" t="s">
        <v>1344</v>
      </c>
      <c r="B52" s="64">
        <v>11.87</v>
      </c>
      <c r="C52" s="64">
        <v>38.17</v>
      </c>
      <c r="D52" s="64">
        <v>26.74</v>
      </c>
      <c r="E52" s="64">
        <v>7.49</v>
      </c>
      <c r="F52" s="64">
        <v>8.49</v>
      </c>
      <c r="G52" s="64">
        <v>73.069999999999993</v>
      </c>
      <c r="H52" s="64">
        <v>27.82</v>
      </c>
      <c r="I52" s="64">
        <v>5.42</v>
      </c>
      <c r="J52" s="64">
        <v>0.56999999999999995</v>
      </c>
      <c r="K52" s="64">
        <v>8.06</v>
      </c>
      <c r="L52" s="64">
        <v>28.73</v>
      </c>
      <c r="M52" s="64">
        <v>38.270000000000003</v>
      </c>
      <c r="N52" s="64">
        <v>699.8</v>
      </c>
      <c r="O52" s="64">
        <v>0</v>
      </c>
      <c r="P52" s="64">
        <v>0.83</v>
      </c>
      <c r="Q52" s="64">
        <v>0</v>
      </c>
      <c r="R52" s="196"/>
      <c r="S52" s="196"/>
      <c r="T52" s="196"/>
      <c r="U52" s="196"/>
    </row>
    <row r="53" spans="1:21" s="12" customFormat="1" x14ac:dyDescent="0.25">
      <c r="A53" s="211" t="s">
        <v>1345</v>
      </c>
      <c r="B53" s="64">
        <v>6.74</v>
      </c>
      <c r="C53" s="64">
        <v>42.39</v>
      </c>
      <c r="D53" s="64">
        <v>26.17</v>
      </c>
      <c r="E53" s="64">
        <v>7.14</v>
      </c>
      <c r="F53" s="64">
        <v>6.66</v>
      </c>
      <c r="G53" s="64">
        <v>73.069999999999993</v>
      </c>
      <c r="H53" s="64">
        <v>27.82</v>
      </c>
      <c r="I53" s="64">
        <v>5.32</v>
      </c>
      <c r="J53" s="64">
        <v>0.34</v>
      </c>
      <c r="K53" s="64">
        <v>37.82</v>
      </c>
      <c r="L53" s="64">
        <v>28.42</v>
      </c>
      <c r="M53" s="64">
        <v>37.29</v>
      </c>
      <c r="N53" s="64">
        <v>713.4</v>
      </c>
      <c r="O53" s="64">
        <v>0</v>
      </c>
      <c r="P53" s="64">
        <v>0.78</v>
      </c>
      <c r="Q53" s="64">
        <v>9.6199999999999992</v>
      </c>
      <c r="R53" s="196"/>
      <c r="S53" s="196"/>
      <c r="T53" s="196"/>
      <c r="U53" s="196"/>
    </row>
    <row r="54" spans="1:21" s="12" customFormat="1" x14ac:dyDescent="0.25">
      <c r="A54" s="211" t="s">
        <v>1346</v>
      </c>
      <c r="B54" s="64">
        <v>5.39</v>
      </c>
      <c r="C54" s="64">
        <v>40.549999999999997</v>
      </c>
      <c r="D54" s="64">
        <v>24.13</v>
      </c>
      <c r="E54" s="64">
        <v>6.88</v>
      </c>
      <c r="F54" s="64">
        <v>7.37</v>
      </c>
      <c r="G54" s="64">
        <v>73.069999999999993</v>
      </c>
      <c r="H54" s="64">
        <v>27.82</v>
      </c>
      <c r="I54" s="64">
        <v>4.82</v>
      </c>
      <c r="J54" s="64">
        <v>1.25</v>
      </c>
      <c r="K54" s="64">
        <v>340.16</v>
      </c>
      <c r="L54" s="64">
        <v>28.98</v>
      </c>
      <c r="M54" s="64">
        <v>35.01</v>
      </c>
      <c r="N54" s="64">
        <v>673</v>
      </c>
      <c r="O54" s="64">
        <v>0</v>
      </c>
      <c r="P54" s="64">
        <v>0.74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1347</v>
      </c>
      <c r="B55" s="64">
        <v>4.87</v>
      </c>
      <c r="C55" s="64">
        <v>40.11</v>
      </c>
      <c r="D55" s="64">
        <v>23.48</v>
      </c>
      <c r="E55" s="64">
        <v>6.88</v>
      </c>
      <c r="F55" s="64">
        <v>6.28</v>
      </c>
      <c r="G55" s="64">
        <v>73.069999999999993</v>
      </c>
      <c r="H55" s="64">
        <v>27.82</v>
      </c>
      <c r="I55" s="64">
        <v>4.33</v>
      </c>
      <c r="J55" s="64">
        <v>0.57999999999999996</v>
      </c>
      <c r="K55" s="64">
        <v>122.57</v>
      </c>
      <c r="L55" s="64">
        <v>27.73</v>
      </c>
      <c r="M55" s="64">
        <v>37.97</v>
      </c>
      <c r="N55" s="64">
        <v>642.9</v>
      </c>
      <c r="O55" s="64">
        <v>0</v>
      </c>
      <c r="P55" s="64">
        <v>0.74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1348</v>
      </c>
      <c r="B56" s="64">
        <v>4.21</v>
      </c>
      <c r="C56" s="64">
        <v>36.65</v>
      </c>
      <c r="D56" s="64">
        <v>21.15</v>
      </c>
      <c r="E56" s="64">
        <v>6.34</v>
      </c>
      <c r="F56" s="64">
        <v>11.74</v>
      </c>
      <c r="G56" s="64">
        <v>76.53</v>
      </c>
      <c r="H56" s="64">
        <v>28.02</v>
      </c>
      <c r="I56" s="64">
        <v>4.74</v>
      </c>
      <c r="J56" s="64">
        <v>1.36</v>
      </c>
      <c r="K56" s="64">
        <v>152.46</v>
      </c>
      <c r="L56" s="64">
        <v>25.96</v>
      </c>
      <c r="M56" s="64">
        <v>37.369999999999997</v>
      </c>
      <c r="N56" s="64">
        <v>671.6</v>
      </c>
      <c r="O56" s="64">
        <v>0</v>
      </c>
      <c r="P56" s="64">
        <v>0.68</v>
      </c>
      <c r="Q56" s="64">
        <v>9.6199999999999992</v>
      </c>
      <c r="R56" s="196"/>
      <c r="S56" s="196"/>
      <c r="T56" s="196"/>
      <c r="U56" s="196"/>
    </row>
    <row r="57" spans="1:21" s="12" customFormat="1" x14ac:dyDescent="0.25">
      <c r="A57" s="211" t="s">
        <v>1349</v>
      </c>
      <c r="B57" s="64">
        <v>2.27</v>
      </c>
      <c r="C57" s="64">
        <v>31.27</v>
      </c>
      <c r="D57" s="64">
        <v>16.78</v>
      </c>
      <c r="E57" s="64">
        <v>8.0399999999999991</v>
      </c>
      <c r="F57" s="64">
        <v>24.72</v>
      </c>
      <c r="G57" s="64">
        <v>86.6</v>
      </c>
      <c r="H57" s="64">
        <v>28.91</v>
      </c>
      <c r="I57" s="64">
        <v>5.0999999999999996</v>
      </c>
      <c r="J57" s="64">
        <v>0.25</v>
      </c>
      <c r="K57" s="64">
        <v>76.02</v>
      </c>
      <c r="L57" s="64">
        <v>26.86</v>
      </c>
      <c r="M57" s="64">
        <v>35.72</v>
      </c>
      <c r="N57" s="64">
        <v>659.9</v>
      </c>
      <c r="O57" s="64">
        <v>0</v>
      </c>
      <c r="P57" s="64">
        <v>0.47</v>
      </c>
      <c r="Q57" s="64">
        <v>9.6199999999999992</v>
      </c>
      <c r="R57" s="196"/>
      <c r="S57" s="196"/>
      <c r="T57" s="196"/>
      <c r="U57" s="196"/>
    </row>
    <row r="58" spans="1:21" s="12" customFormat="1" x14ac:dyDescent="0.25">
      <c r="A58" s="211" t="s">
        <v>1350</v>
      </c>
      <c r="B58" s="64">
        <v>1.74</v>
      </c>
      <c r="C58" s="64">
        <v>29.45</v>
      </c>
      <c r="D58" s="64">
        <v>15.4</v>
      </c>
      <c r="E58" s="64">
        <v>6.76</v>
      </c>
      <c r="F58" s="64">
        <v>11.36</v>
      </c>
      <c r="G58" s="64">
        <v>86.6</v>
      </c>
      <c r="H58" s="64">
        <v>28.91</v>
      </c>
      <c r="I58" s="64">
        <v>4.2300000000000004</v>
      </c>
      <c r="J58" s="64">
        <v>0.49</v>
      </c>
      <c r="K58" s="64">
        <v>96.3</v>
      </c>
      <c r="L58" s="64">
        <v>27.03</v>
      </c>
      <c r="M58" s="64">
        <v>37.020000000000003</v>
      </c>
      <c r="N58" s="64">
        <v>629.20000000000005</v>
      </c>
      <c r="O58" s="64">
        <v>0</v>
      </c>
      <c r="P58" s="64">
        <v>0.46</v>
      </c>
      <c r="Q58" s="64">
        <v>9.6300000000000008</v>
      </c>
      <c r="R58" s="196"/>
      <c r="S58" s="196"/>
      <c r="T58" s="196"/>
      <c r="U58" s="196"/>
    </row>
    <row r="59" spans="1:21" s="12" customFormat="1" x14ac:dyDescent="0.25">
      <c r="A59" s="211" t="s">
        <v>1351</v>
      </c>
      <c r="B59" s="64">
        <v>2.0699999999999998</v>
      </c>
      <c r="C59" s="64">
        <v>27.71</v>
      </c>
      <c r="D59" s="64">
        <v>14.76</v>
      </c>
      <c r="E59" s="64">
        <v>5.74</v>
      </c>
      <c r="F59" s="64">
        <v>7.14</v>
      </c>
      <c r="G59" s="64">
        <v>86.6</v>
      </c>
      <c r="H59" s="64">
        <v>28.91</v>
      </c>
      <c r="I59" s="64">
        <v>3.18</v>
      </c>
      <c r="J59" s="64">
        <v>1.51</v>
      </c>
      <c r="K59" s="64">
        <v>122.24</v>
      </c>
      <c r="L59" s="64">
        <v>25.68</v>
      </c>
      <c r="M59" s="64">
        <v>39.03</v>
      </c>
      <c r="N59" s="64">
        <v>596.29999999999995</v>
      </c>
      <c r="O59" s="64">
        <v>0</v>
      </c>
      <c r="P59" s="64">
        <v>0.46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1352</v>
      </c>
      <c r="B60" s="64">
        <v>2.1800000000000002</v>
      </c>
      <c r="C60" s="64">
        <v>24.55</v>
      </c>
      <c r="D60" s="64">
        <v>13.2</v>
      </c>
      <c r="E60" s="64">
        <v>5.57</v>
      </c>
      <c r="F60" s="64">
        <v>5.97</v>
      </c>
      <c r="G60" s="64">
        <v>80.010000000000005</v>
      </c>
      <c r="H60" s="64">
        <v>20.88</v>
      </c>
      <c r="I60" s="64">
        <v>3.09</v>
      </c>
      <c r="J60" s="64">
        <v>1.19</v>
      </c>
      <c r="K60" s="64">
        <v>127.51</v>
      </c>
      <c r="L60" s="64">
        <v>25.4</v>
      </c>
      <c r="M60" s="64">
        <v>37.49</v>
      </c>
      <c r="N60" s="64">
        <v>573.5</v>
      </c>
      <c r="O60" s="64">
        <v>0</v>
      </c>
      <c r="P60" s="64">
        <v>0.42</v>
      </c>
      <c r="Q60" s="64">
        <v>9.6199999999999992</v>
      </c>
      <c r="R60" s="196"/>
      <c r="S60" s="196"/>
      <c r="T60" s="196"/>
      <c r="U60" s="196"/>
    </row>
    <row r="61" spans="1:21" s="12" customFormat="1" x14ac:dyDescent="0.25">
      <c r="A61" s="211" t="s">
        <v>1353</v>
      </c>
      <c r="B61" s="64">
        <v>2.27</v>
      </c>
      <c r="C61" s="64">
        <v>22.24</v>
      </c>
      <c r="D61" s="64">
        <v>12.07</v>
      </c>
      <c r="E61" s="64">
        <v>5.19</v>
      </c>
      <c r="F61" s="64">
        <v>7.81</v>
      </c>
      <c r="G61" s="64">
        <v>60.84</v>
      </c>
      <c r="H61" s="64">
        <v>4.05</v>
      </c>
      <c r="I61" s="64">
        <v>3.67</v>
      </c>
      <c r="J61" s="64">
        <v>0.03</v>
      </c>
      <c r="K61" s="64">
        <v>157.16999999999999</v>
      </c>
      <c r="L61" s="64">
        <v>26.57</v>
      </c>
      <c r="M61" s="64">
        <v>34.83</v>
      </c>
      <c r="N61" s="64">
        <v>457.6</v>
      </c>
      <c r="O61" s="64">
        <v>0</v>
      </c>
      <c r="P61" s="64">
        <v>0.44</v>
      </c>
      <c r="Q61" s="64">
        <v>9.6300000000000008</v>
      </c>
      <c r="R61" s="196"/>
      <c r="S61" s="196"/>
      <c r="T61" s="196"/>
      <c r="U61" s="196"/>
    </row>
    <row r="62" spans="1:21" s="12" customFormat="1" x14ac:dyDescent="0.25">
      <c r="A62" s="211" t="s">
        <v>1354</v>
      </c>
      <c r="B62" s="64">
        <v>2.56</v>
      </c>
      <c r="C62" s="64">
        <v>20.9</v>
      </c>
      <c r="D62" s="64">
        <v>11.59</v>
      </c>
      <c r="E62" s="64">
        <v>5.6</v>
      </c>
      <c r="F62" s="64">
        <v>5.39</v>
      </c>
      <c r="G62" s="64">
        <v>60.84</v>
      </c>
      <c r="H62" s="64">
        <v>4.05</v>
      </c>
      <c r="I62" s="64">
        <v>3.45</v>
      </c>
      <c r="J62" s="64">
        <v>0.79</v>
      </c>
      <c r="K62" s="64">
        <v>327.27</v>
      </c>
      <c r="L62" s="64">
        <v>28.52</v>
      </c>
      <c r="M62" s="64">
        <v>32.43</v>
      </c>
      <c r="N62" s="64">
        <v>543.29999999999995</v>
      </c>
      <c r="O62" s="64">
        <v>0</v>
      </c>
      <c r="P62" s="64">
        <v>0.52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1355</v>
      </c>
      <c r="B63" s="64">
        <v>2.95</v>
      </c>
      <c r="C63" s="64">
        <v>22.44</v>
      </c>
      <c r="D63" s="64">
        <v>12.71</v>
      </c>
      <c r="E63" s="64">
        <v>6.27</v>
      </c>
      <c r="F63" s="64">
        <v>7.29</v>
      </c>
      <c r="G63" s="64">
        <v>60.84</v>
      </c>
      <c r="H63" s="64">
        <v>4.05</v>
      </c>
      <c r="I63" s="64">
        <v>3.03</v>
      </c>
      <c r="J63" s="64">
        <v>0.95</v>
      </c>
      <c r="K63" s="64">
        <v>324.14</v>
      </c>
      <c r="L63" s="64">
        <v>29.2</v>
      </c>
      <c r="M63" s="64">
        <v>30.68</v>
      </c>
      <c r="N63" s="64">
        <v>446</v>
      </c>
      <c r="O63" s="64">
        <v>0</v>
      </c>
      <c r="P63" s="64">
        <v>0.5</v>
      </c>
      <c r="Q63" s="64">
        <v>9.61</v>
      </c>
      <c r="R63" s="196"/>
      <c r="S63" s="196"/>
      <c r="T63" s="196"/>
      <c r="U63" s="196"/>
    </row>
    <row r="64" spans="1:21" s="12" customFormat="1" x14ac:dyDescent="0.25">
      <c r="A64" s="211" t="s">
        <v>1356</v>
      </c>
      <c r="B64" s="64">
        <v>2.96</v>
      </c>
      <c r="C64" s="64">
        <v>26.17</v>
      </c>
      <c r="D64" s="64">
        <v>14.67</v>
      </c>
      <c r="E64" s="64">
        <v>5.95</v>
      </c>
      <c r="F64" s="64">
        <v>7.71</v>
      </c>
      <c r="G64" s="64">
        <v>60.02</v>
      </c>
      <c r="H64" s="64">
        <v>2.91</v>
      </c>
      <c r="I64" s="64">
        <v>3.02</v>
      </c>
      <c r="J64" s="64">
        <v>0.91</v>
      </c>
      <c r="K64" s="64">
        <v>331.17</v>
      </c>
      <c r="L64" s="64">
        <v>28.76</v>
      </c>
      <c r="M64" s="64">
        <v>29.91</v>
      </c>
      <c r="N64" s="64">
        <v>229.5</v>
      </c>
      <c r="O64" s="64">
        <v>0</v>
      </c>
      <c r="P64" s="64">
        <v>0.53</v>
      </c>
      <c r="Q64" s="64">
        <v>9.6300000000000008</v>
      </c>
      <c r="R64" s="196"/>
      <c r="S64" s="196"/>
      <c r="T64" s="196"/>
      <c r="U64" s="196"/>
    </row>
    <row r="65" spans="1:21" s="12" customFormat="1" x14ac:dyDescent="0.25">
      <c r="A65" s="211" t="s">
        <v>1357</v>
      </c>
      <c r="B65" s="64">
        <v>2.67</v>
      </c>
      <c r="C65" s="64">
        <v>29.59</v>
      </c>
      <c r="D65" s="64">
        <v>16.22</v>
      </c>
      <c r="E65" s="64">
        <v>6.31</v>
      </c>
      <c r="F65" s="64">
        <v>9.66</v>
      </c>
      <c r="G65" s="64">
        <v>57.6</v>
      </c>
      <c r="H65" s="64">
        <v>0.65</v>
      </c>
      <c r="I65" s="64">
        <v>2.71</v>
      </c>
      <c r="J65" s="64">
        <v>7.0000000000000007E-2</v>
      </c>
      <c r="K65" s="64">
        <v>64.84</v>
      </c>
      <c r="L65" s="64">
        <v>27.26</v>
      </c>
      <c r="M65" s="64">
        <v>31.12</v>
      </c>
      <c r="N65" s="64">
        <v>125.3</v>
      </c>
      <c r="O65" s="64">
        <v>0</v>
      </c>
      <c r="P65" s="64">
        <v>0.46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1358</v>
      </c>
      <c r="B66" s="64">
        <v>2.29</v>
      </c>
      <c r="C66" s="64">
        <v>28.78</v>
      </c>
      <c r="D66" s="64">
        <v>15.49</v>
      </c>
      <c r="E66" s="64">
        <v>5.67</v>
      </c>
      <c r="F66" s="64">
        <v>7.61</v>
      </c>
      <c r="G66" s="64">
        <v>57.6</v>
      </c>
      <c r="H66" s="64">
        <v>0.65</v>
      </c>
      <c r="I66" s="64">
        <v>2.23</v>
      </c>
      <c r="J66" s="64">
        <v>0.74</v>
      </c>
      <c r="K66" s="64">
        <v>344.47</v>
      </c>
      <c r="L66" s="64">
        <v>26.88</v>
      </c>
      <c r="M66" s="64">
        <v>33.049999999999997</v>
      </c>
      <c r="N66" s="64">
        <v>124</v>
      </c>
      <c r="O66" s="64">
        <v>0</v>
      </c>
      <c r="P66" s="64">
        <v>0.51</v>
      </c>
      <c r="Q66" s="64">
        <v>9.6199999999999992</v>
      </c>
      <c r="R66" s="196"/>
      <c r="S66" s="196"/>
      <c r="T66" s="196"/>
      <c r="U66" s="196"/>
    </row>
    <row r="67" spans="1:21" s="12" customFormat="1" x14ac:dyDescent="0.25">
      <c r="A67" s="211" t="s">
        <v>1359</v>
      </c>
      <c r="B67" s="64">
        <v>2.65</v>
      </c>
      <c r="C67" s="64">
        <v>27.13</v>
      </c>
      <c r="D67" s="64">
        <v>14.92</v>
      </c>
      <c r="E67" s="64">
        <v>5.73</v>
      </c>
      <c r="F67" s="64">
        <v>6.29</v>
      </c>
      <c r="G67" s="64">
        <v>57.6</v>
      </c>
      <c r="H67" s="64">
        <v>0.65</v>
      </c>
      <c r="I67" s="64">
        <v>1.74</v>
      </c>
      <c r="J67" s="64">
        <v>0.91</v>
      </c>
      <c r="K67" s="64">
        <v>346.34</v>
      </c>
      <c r="L67" s="64">
        <v>26.64</v>
      </c>
      <c r="M67" s="64">
        <v>34.369999999999997</v>
      </c>
      <c r="N67" s="64">
        <v>133.30000000000001</v>
      </c>
      <c r="O67" s="64">
        <v>0</v>
      </c>
      <c r="P67" s="64">
        <v>0.53</v>
      </c>
      <c r="Q67" s="64">
        <v>9.6300000000000008</v>
      </c>
      <c r="R67" s="196"/>
      <c r="S67" s="196"/>
      <c r="T67" s="196"/>
      <c r="U67" s="196"/>
    </row>
    <row r="68" spans="1:21" s="12" customFormat="1" x14ac:dyDescent="0.25">
      <c r="A68" s="211" t="s">
        <v>1360</v>
      </c>
      <c r="B68" s="64">
        <v>3.03</v>
      </c>
      <c r="C68" s="64">
        <v>26.32</v>
      </c>
      <c r="D68" s="64">
        <v>14.8</v>
      </c>
      <c r="E68" s="64">
        <v>6.05</v>
      </c>
      <c r="F68" s="64">
        <v>5.94</v>
      </c>
      <c r="G68" s="64">
        <v>55.41</v>
      </c>
      <c r="H68" s="64">
        <v>19.510000000000002</v>
      </c>
      <c r="I68" s="64">
        <v>2.13</v>
      </c>
      <c r="J68" s="64">
        <v>0.44</v>
      </c>
      <c r="K68" s="64">
        <v>351.09</v>
      </c>
      <c r="L68" s="64">
        <v>26.11</v>
      </c>
      <c r="M68" s="64">
        <v>32.83</v>
      </c>
      <c r="N68" s="64">
        <v>144.9</v>
      </c>
      <c r="O68" s="64">
        <v>0</v>
      </c>
      <c r="P68" s="64">
        <v>0.53</v>
      </c>
      <c r="Q68" s="64">
        <v>9.6199999999999992</v>
      </c>
      <c r="R68" s="196"/>
      <c r="S68" s="196"/>
      <c r="T68" s="196"/>
      <c r="U68" s="196"/>
    </row>
    <row r="69" spans="1:21" s="12" customFormat="1" x14ac:dyDescent="0.25">
      <c r="A69" s="211" t="s">
        <v>1361</v>
      </c>
      <c r="B69" s="64">
        <v>2.83</v>
      </c>
      <c r="C69" s="64">
        <v>26.63</v>
      </c>
      <c r="D69" s="64">
        <v>14.81</v>
      </c>
      <c r="E69" s="64">
        <v>6.32</v>
      </c>
      <c r="F69" s="64">
        <v>10.58</v>
      </c>
      <c r="G69" s="64">
        <v>49.03</v>
      </c>
      <c r="H69" s="64">
        <v>55.6</v>
      </c>
      <c r="I69" s="64">
        <v>2.2599999999999998</v>
      </c>
      <c r="J69" s="64">
        <v>0.21</v>
      </c>
      <c r="K69" s="64">
        <v>10.130000000000001</v>
      </c>
      <c r="L69" s="64">
        <v>25.86</v>
      </c>
      <c r="M69" s="64">
        <v>34.799999999999997</v>
      </c>
      <c r="N69" s="64">
        <v>101.8</v>
      </c>
      <c r="O69" s="64">
        <v>0</v>
      </c>
      <c r="P69" s="64">
        <v>0.51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1362</v>
      </c>
      <c r="B70" s="64">
        <v>2.35</v>
      </c>
      <c r="C70" s="64">
        <v>28.56</v>
      </c>
      <c r="D70" s="64">
        <v>15.43</v>
      </c>
      <c r="E70" s="64">
        <v>6.64</v>
      </c>
      <c r="F70" s="64">
        <v>9.82</v>
      </c>
      <c r="G70" s="64">
        <v>49.03</v>
      </c>
      <c r="H70" s="64">
        <v>55.6</v>
      </c>
      <c r="I70" s="64">
        <v>2.64</v>
      </c>
      <c r="J70" s="64">
        <v>0.94</v>
      </c>
      <c r="K70" s="64">
        <v>116.82</v>
      </c>
      <c r="L70" s="64">
        <v>25.43</v>
      </c>
      <c r="M70" s="64">
        <v>36.07</v>
      </c>
      <c r="N70" s="64">
        <v>89.4</v>
      </c>
      <c r="O70" s="64">
        <v>0</v>
      </c>
      <c r="P70" s="64">
        <v>0.54</v>
      </c>
      <c r="Q70" s="64">
        <v>9.6300000000000008</v>
      </c>
      <c r="R70" s="196"/>
      <c r="S70" s="196"/>
      <c r="T70" s="196"/>
      <c r="U70" s="196"/>
    </row>
    <row r="71" spans="1:21" s="12" customFormat="1" x14ac:dyDescent="0.25">
      <c r="A71" s="211" t="s">
        <v>1363</v>
      </c>
      <c r="B71" s="64">
        <v>2.33</v>
      </c>
      <c r="C71" s="64">
        <v>29.92</v>
      </c>
      <c r="D71" s="64">
        <v>16.13</v>
      </c>
      <c r="E71" s="64">
        <v>6.25</v>
      </c>
      <c r="F71" s="64">
        <v>7.52</v>
      </c>
      <c r="G71" s="64">
        <v>49.03</v>
      </c>
      <c r="H71" s="64">
        <v>55.6</v>
      </c>
      <c r="I71" s="64">
        <v>2.75</v>
      </c>
      <c r="J71" s="64">
        <v>0.3</v>
      </c>
      <c r="K71" s="64">
        <v>38.770000000000003</v>
      </c>
      <c r="L71" s="64">
        <v>24.75</v>
      </c>
      <c r="M71" s="64">
        <v>40.590000000000003</v>
      </c>
      <c r="N71" s="64">
        <v>82.3</v>
      </c>
      <c r="O71" s="64">
        <v>0</v>
      </c>
      <c r="P71" s="64">
        <v>0.56000000000000005</v>
      </c>
      <c r="Q71" s="64">
        <v>9.6199999999999992</v>
      </c>
      <c r="R71" s="196"/>
      <c r="S71" s="196"/>
      <c r="T71" s="196"/>
      <c r="U71" s="196"/>
    </row>
    <row r="72" spans="1:21" s="12" customFormat="1" x14ac:dyDescent="0.25">
      <c r="A72" s="211" t="s">
        <v>1364</v>
      </c>
      <c r="B72" s="64">
        <v>2.23</v>
      </c>
      <c r="C72" s="64">
        <v>30.12</v>
      </c>
      <c r="D72" s="64">
        <v>16.149999999999999</v>
      </c>
      <c r="E72" s="64">
        <v>4.68</v>
      </c>
      <c r="F72" s="64">
        <v>6.18</v>
      </c>
      <c r="G72" s="64">
        <v>49.22</v>
      </c>
      <c r="H72" s="64">
        <v>51.58</v>
      </c>
      <c r="I72" s="64">
        <v>3.17</v>
      </c>
      <c r="J72" s="64">
        <v>0.83</v>
      </c>
      <c r="K72" s="64">
        <v>108.61</v>
      </c>
      <c r="L72" s="64">
        <v>24.59</v>
      </c>
      <c r="M72" s="64">
        <v>37.53</v>
      </c>
      <c r="N72" s="64">
        <v>74.3</v>
      </c>
      <c r="O72" s="64">
        <v>0</v>
      </c>
      <c r="P72" s="64">
        <v>0.5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1365</v>
      </c>
      <c r="B73" s="64">
        <v>2.19</v>
      </c>
      <c r="C73" s="64">
        <v>27.76</v>
      </c>
      <c r="D73" s="64">
        <v>14.88</v>
      </c>
      <c r="E73" s="64">
        <v>4.9800000000000004</v>
      </c>
      <c r="F73" s="64">
        <v>5.88</v>
      </c>
      <c r="G73" s="64">
        <v>49.78</v>
      </c>
      <c r="H73" s="64">
        <v>35.5</v>
      </c>
      <c r="I73" s="64">
        <v>3.11</v>
      </c>
      <c r="J73" s="64">
        <v>0.44</v>
      </c>
      <c r="K73" s="64">
        <v>357.98</v>
      </c>
      <c r="L73" s="64">
        <v>24.49</v>
      </c>
      <c r="M73" s="64">
        <v>39.090000000000003</v>
      </c>
      <c r="N73" s="64">
        <v>66</v>
      </c>
      <c r="O73" s="64">
        <v>0</v>
      </c>
      <c r="P73" s="64">
        <v>0.53</v>
      </c>
      <c r="Q73" s="64">
        <v>9.6300000000000008</v>
      </c>
      <c r="R73" s="196"/>
      <c r="S73" s="196"/>
      <c r="T73" s="196"/>
      <c r="U73" s="196"/>
    </row>
    <row r="74" spans="1:21" s="12" customFormat="1" x14ac:dyDescent="0.25">
      <c r="A74" s="211" t="s">
        <v>1366</v>
      </c>
      <c r="B74" s="64">
        <v>2.63</v>
      </c>
      <c r="C74" s="64">
        <v>28.21</v>
      </c>
      <c r="D74" s="64">
        <v>15.47</v>
      </c>
      <c r="E74" s="64">
        <v>5.03</v>
      </c>
      <c r="F74" s="64">
        <v>4.95</v>
      </c>
      <c r="G74" s="64">
        <v>49.78</v>
      </c>
      <c r="H74" s="64">
        <v>35.5</v>
      </c>
      <c r="I74" s="64">
        <v>2.4900000000000002</v>
      </c>
      <c r="J74" s="64">
        <v>0.76</v>
      </c>
      <c r="K74" s="64">
        <v>353.29</v>
      </c>
      <c r="L74" s="64">
        <v>24.64</v>
      </c>
      <c r="M74" s="64">
        <v>39.22</v>
      </c>
      <c r="N74" s="64">
        <v>57.8</v>
      </c>
      <c r="O74" s="64">
        <v>0</v>
      </c>
      <c r="P74" s="64">
        <v>0.62</v>
      </c>
      <c r="Q74" s="64">
        <v>9.6300000000000008</v>
      </c>
      <c r="R74" s="196"/>
      <c r="S74" s="196"/>
      <c r="T74" s="196"/>
      <c r="U74" s="196"/>
    </row>
    <row r="75" spans="1:21" s="12" customFormat="1" x14ac:dyDescent="0.25">
      <c r="A75" s="211" t="s">
        <v>1367</v>
      </c>
      <c r="B75" s="64">
        <v>3.31</v>
      </c>
      <c r="C75" s="64">
        <v>29.24</v>
      </c>
      <c r="D75" s="64">
        <v>16.559999999999999</v>
      </c>
      <c r="E75" s="64">
        <v>5.0599999999999996</v>
      </c>
      <c r="F75" s="64">
        <v>4.8899999999999997</v>
      </c>
      <c r="G75" s="64">
        <v>49.78</v>
      </c>
      <c r="H75" s="64">
        <v>35.5</v>
      </c>
      <c r="I75" s="64">
        <v>3.29</v>
      </c>
      <c r="J75" s="64">
        <v>0.8</v>
      </c>
      <c r="K75" s="64">
        <v>338.49</v>
      </c>
      <c r="L75" s="64">
        <v>24.3</v>
      </c>
      <c r="M75" s="64">
        <v>40.07</v>
      </c>
      <c r="N75" s="64">
        <v>49.3</v>
      </c>
      <c r="O75" s="64">
        <v>0</v>
      </c>
      <c r="P75" s="64">
        <v>0.71</v>
      </c>
      <c r="Q75" s="64">
        <v>9.6300000000000008</v>
      </c>
      <c r="R75" s="196"/>
      <c r="S75" s="196"/>
      <c r="T75" s="196"/>
      <c r="U75" s="196"/>
    </row>
    <row r="76" spans="1:21" s="12" customFormat="1" x14ac:dyDescent="0.25">
      <c r="A76" s="211" t="s">
        <v>1368</v>
      </c>
      <c r="B76" s="64">
        <v>4.12</v>
      </c>
      <c r="C76" s="64">
        <v>30</v>
      </c>
      <c r="D76" s="64">
        <v>17.600000000000001</v>
      </c>
      <c r="E76" s="64">
        <v>5.09</v>
      </c>
      <c r="F76" s="64">
        <v>4.37</v>
      </c>
      <c r="G76" s="64">
        <v>51.7</v>
      </c>
      <c r="H76" s="209" t="s">
        <v>42</v>
      </c>
      <c r="I76" s="64">
        <v>3.86</v>
      </c>
      <c r="J76" s="64">
        <v>1.34</v>
      </c>
      <c r="K76" s="64">
        <v>342.79</v>
      </c>
      <c r="L76" s="64">
        <v>24.04</v>
      </c>
      <c r="M76" s="64">
        <v>42.37</v>
      </c>
      <c r="N76" s="64">
        <v>40.6</v>
      </c>
      <c r="O76" s="64">
        <v>0</v>
      </c>
      <c r="P76" s="64">
        <v>0.62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1369</v>
      </c>
      <c r="B77" s="64">
        <v>4.62</v>
      </c>
      <c r="C77" s="64">
        <v>31.06</v>
      </c>
      <c r="D77" s="64">
        <v>18.559999999999999</v>
      </c>
      <c r="E77" s="64">
        <v>5.61</v>
      </c>
      <c r="F77" s="64">
        <v>4.4800000000000004</v>
      </c>
      <c r="G77" s="64">
        <v>57.32</v>
      </c>
      <c r="H77" s="209" t="s">
        <v>42</v>
      </c>
      <c r="I77" s="64">
        <v>3.54</v>
      </c>
      <c r="J77" s="64">
        <v>1.31</v>
      </c>
      <c r="K77" s="64">
        <v>343.91</v>
      </c>
      <c r="L77" s="64">
        <v>23.59</v>
      </c>
      <c r="M77" s="64">
        <v>45.18</v>
      </c>
      <c r="N77" s="64">
        <v>32.9</v>
      </c>
      <c r="O77" s="64">
        <v>0</v>
      </c>
      <c r="P77" s="64">
        <v>0.77</v>
      </c>
      <c r="Q77" s="64">
        <v>9.6300000000000008</v>
      </c>
      <c r="R77" s="196"/>
      <c r="S77" s="196"/>
      <c r="T77" s="196"/>
      <c r="U77" s="196"/>
    </row>
    <row r="78" spans="1:21" s="12" customFormat="1" x14ac:dyDescent="0.25">
      <c r="A78" s="211" t="s">
        <v>1370</v>
      </c>
      <c r="B78" s="64">
        <v>5.3</v>
      </c>
      <c r="C78" s="64">
        <v>30.68</v>
      </c>
      <c r="D78" s="64">
        <v>18.899999999999999</v>
      </c>
      <c r="E78" s="64">
        <v>5.54</v>
      </c>
      <c r="F78" s="64">
        <v>4.9000000000000004</v>
      </c>
      <c r="G78" s="64">
        <v>57.32</v>
      </c>
      <c r="H78" s="209" t="s">
        <v>42</v>
      </c>
      <c r="I78" s="64">
        <v>3.82</v>
      </c>
      <c r="J78" s="64">
        <v>1.38</v>
      </c>
      <c r="K78" s="64">
        <v>343.61</v>
      </c>
      <c r="L78" s="64">
        <v>23.12</v>
      </c>
      <c r="M78" s="64">
        <v>48.11</v>
      </c>
      <c r="N78" s="64">
        <v>27.9</v>
      </c>
      <c r="O78" s="64">
        <v>0</v>
      </c>
      <c r="P78" s="64">
        <v>0.77</v>
      </c>
      <c r="Q78" s="64">
        <v>9.64</v>
      </c>
      <c r="R78" s="196"/>
      <c r="S78" s="196"/>
      <c r="T78" s="196"/>
      <c r="U78" s="196"/>
    </row>
    <row r="79" spans="1:21" s="12" customFormat="1" x14ac:dyDescent="0.25">
      <c r="A79" s="211" t="s">
        <v>1371</v>
      </c>
      <c r="B79" s="64">
        <v>5.98</v>
      </c>
      <c r="C79" s="64">
        <v>31.26</v>
      </c>
      <c r="D79" s="64">
        <v>19.760000000000002</v>
      </c>
      <c r="E79" s="64">
        <v>5.32</v>
      </c>
      <c r="F79" s="64">
        <v>4.34</v>
      </c>
      <c r="G79" s="64">
        <v>57.32</v>
      </c>
      <c r="H79" s="209" t="s">
        <v>42</v>
      </c>
      <c r="I79" s="64">
        <v>3.71</v>
      </c>
      <c r="J79" s="64">
        <v>1.3</v>
      </c>
      <c r="K79" s="64">
        <v>345.17</v>
      </c>
      <c r="L79" s="64">
        <v>22.78</v>
      </c>
      <c r="M79" s="64">
        <v>48.39</v>
      </c>
      <c r="N79" s="64">
        <v>26.1</v>
      </c>
      <c r="O79" s="64">
        <v>0</v>
      </c>
      <c r="P79" s="64">
        <v>0.87</v>
      </c>
      <c r="Q79" s="64">
        <v>9.64</v>
      </c>
      <c r="R79" s="196"/>
      <c r="S79" s="196"/>
      <c r="T79" s="196"/>
      <c r="U79" s="196"/>
    </row>
    <row r="80" spans="1:21" s="12" customFormat="1" x14ac:dyDescent="0.25">
      <c r="A80" s="211" t="s">
        <v>1372</v>
      </c>
      <c r="B80" s="64">
        <v>6.59</v>
      </c>
      <c r="C80" s="64">
        <v>31.8</v>
      </c>
      <c r="D80" s="64">
        <v>20.52</v>
      </c>
      <c r="E80" s="64">
        <v>5.85</v>
      </c>
      <c r="F80" s="64">
        <v>4.78</v>
      </c>
      <c r="G80" s="64">
        <v>60.77</v>
      </c>
      <c r="H80" s="209" t="s">
        <v>42</v>
      </c>
      <c r="I80" s="64">
        <v>3.81</v>
      </c>
      <c r="J80" s="64">
        <v>1.1299999999999999</v>
      </c>
      <c r="K80" s="64">
        <v>344.75</v>
      </c>
      <c r="L80" s="64">
        <v>22.51</v>
      </c>
      <c r="M80" s="64">
        <v>50.09</v>
      </c>
      <c r="N80" s="64">
        <v>26</v>
      </c>
      <c r="O80" s="64">
        <v>0</v>
      </c>
      <c r="P80" s="64">
        <v>1.07</v>
      </c>
      <c r="Q80" s="64">
        <v>9.6300000000000008</v>
      </c>
      <c r="R80" s="196"/>
      <c r="S80" s="196"/>
      <c r="T80" s="196"/>
      <c r="U80" s="196"/>
    </row>
    <row r="81" spans="1:26" s="12" customFormat="1" x14ac:dyDescent="0.25">
      <c r="A81" s="211" t="s">
        <v>1373</v>
      </c>
      <c r="B81" s="64">
        <v>7.07</v>
      </c>
      <c r="C81" s="64">
        <v>31.74</v>
      </c>
      <c r="D81" s="64">
        <v>20.88</v>
      </c>
      <c r="E81" s="64">
        <v>5.88</v>
      </c>
      <c r="F81" s="64">
        <v>5.2</v>
      </c>
      <c r="G81" s="64">
        <v>70.83</v>
      </c>
      <c r="H81" s="209" t="s">
        <v>42</v>
      </c>
      <c r="I81" s="64">
        <v>4.45</v>
      </c>
      <c r="J81" s="64">
        <v>0.72</v>
      </c>
      <c r="K81" s="64">
        <v>341.57</v>
      </c>
      <c r="L81" s="64">
        <v>22.06</v>
      </c>
      <c r="M81" s="64">
        <v>52.53</v>
      </c>
      <c r="N81" s="64">
        <v>26.1</v>
      </c>
      <c r="O81" s="64">
        <v>0</v>
      </c>
      <c r="P81" s="64">
        <v>1.4</v>
      </c>
      <c r="Q81" s="64">
        <v>9.6300000000000008</v>
      </c>
      <c r="R81" s="196"/>
      <c r="S81" s="196"/>
      <c r="T81" s="196"/>
      <c r="U81" s="196"/>
    </row>
    <row r="82" spans="1:26" s="12" customFormat="1" x14ac:dyDescent="0.25">
      <c r="A82" s="211" t="s">
        <v>1374</v>
      </c>
      <c r="B82" s="64">
        <v>8.06</v>
      </c>
      <c r="C82" s="64">
        <v>31.41</v>
      </c>
      <c r="D82" s="64">
        <v>21.5</v>
      </c>
      <c r="E82" s="64">
        <v>6.13</v>
      </c>
      <c r="F82" s="64">
        <v>4.97</v>
      </c>
      <c r="G82" s="64">
        <v>70.83</v>
      </c>
      <c r="H82" s="209" t="s">
        <v>42</v>
      </c>
      <c r="I82" s="64">
        <v>4.84</v>
      </c>
      <c r="J82" s="64">
        <v>0.78</v>
      </c>
      <c r="K82" s="64">
        <v>345.11</v>
      </c>
      <c r="L82" s="64">
        <v>21.62</v>
      </c>
      <c r="M82" s="64">
        <v>55.05</v>
      </c>
      <c r="N82" s="64">
        <v>26</v>
      </c>
      <c r="O82" s="64">
        <v>0</v>
      </c>
      <c r="P82" s="64">
        <v>1.38</v>
      </c>
      <c r="Q82" s="64">
        <v>9.6199999999999992</v>
      </c>
      <c r="R82" s="196"/>
      <c r="S82" s="196"/>
      <c r="T82" s="196"/>
      <c r="U82" s="196"/>
    </row>
    <row r="83" spans="1:26" s="12" customFormat="1" x14ac:dyDescent="0.25">
      <c r="A83" s="211" t="s">
        <v>1375</v>
      </c>
      <c r="B83" s="64">
        <v>8.9700000000000006</v>
      </c>
      <c r="C83" s="64">
        <v>31.03</v>
      </c>
      <c r="D83" s="64">
        <v>22.03</v>
      </c>
      <c r="E83" s="64">
        <v>5.88</v>
      </c>
      <c r="F83" s="64">
        <v>4.7699999999999996</v>
      </c>
      <c r="G83" s="64">
        <v>70.83</v>
      </c>
      <c r="H83" s="209" t="s">
        <v>42</v>
      </c>
      <c r="I83" s="64">
        <v>5.97</v>
      </c>
      <c r="J83" s="64">
        <v>0.6</v>
      </c>
      <c r="K83" s="64">
        <v>340.96</v>
      </c>
      <c r="L83" s="64">
        <v>21.26</v>
      </c>
      <c r="M83" s="64">
        <v>56.69</v>
      </c>
      <c r="N83" s="64">
        <v>26</v>
      </c>
      <c r="O83" s="64">
        <v>0</v>
      </c>
      <c r="P83" s="64">
        <v>1.64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1376</v>
      </c>
      <c r="B84" s="64">
        <v>10.07</v>
      </c>
      <c r="C84" s="64">
        <v>30.78</v>
      </c>
      <c r="D84" s="64">
        <v>22.78</v>
      </c>
      <c r="E84" s="64">
        <v>5.8</v>
      </c>
      <c r="F84" s="64">
        <v>4.33</v>
      </c>
      <c r="G84" s="64">
        <v>79.61</v>
      </c>
      <c r="H84" s="209" t="s">
        <v>42</v>
      </c>
      <c r="I84" s="64">
        <v>5.98</v>
      </c>
      <c r="J84" s="64">
        <v>0.28999999999999998</v>
      </c>
      <c r="K84" s="64">
        <v>43.02</v>
      </c>
      <c r="L84" s="64">
        <v>21</v>
      </c>
      <c r="M84" s="64">
        <v>58.98</v>
      </c>
      <c r="N84" s="64">
        <v>26.1</v>
      </c>
      <c r="O84" s="64">
        <v>0</v>
      </c>
      <c r="P84" s="64">
        <v>1.68</v>
      </c>
      <c r="Q84" s="64">
        <v>9.64</v>
      </c>
      <c r="R84" s="196"/>
      <c r="S84" s="196"/>
      <c r="T84" s="196"/>
      <c r="U84" s="196"/>
    </row>
    <row r="85" spans="1:26" s="12" customFormat="1" x14ac:dyDescent="0.25">
      <c r="A85" s="211" t="s">
        <v>1377</v>
      </c>
      <c r="B85" s="64">
        <v>11.21</v>
      </c>
      <c r="C85" s="64">
        <v>31.12</v>
      </c>
      <c r="D85" s="64">
        <v>23.87</v>
      </c>
      <c r="E85" s="64">
        <v>6.23</v>
      </c>
      <c r="F85" s="64">
        <v>4.5199999999999996</v>
      </c>
      <c r="G85" s="64">
        <v>105.2</v>
      </c>
      <c r="H85" s="64">
        <v>76.98</v>
      </c>
      <c r="I85" s="64">
        <v>6.8</v>
      </c>
      <c r="J85" s="64">
        <v>0.38</v>
      </c>
      <c r="K85" s="64">
        <v>71.87</v>
      </c>
      <c r="L85" s="64">
        <v>20.86</v>
      </c>
      <c r="M85" s="64">
        <v>58.14</v>
      </c>
      <c r="N85" s="64">
        <v>25.9</v>
      </c>
      <c r="O85" s="64">
        <v>0</v>
      </c>
      <c r="P85" s="64">
        <v>0.85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1378</v>
      </c>
      <c r="B86" s="64">
        <v>12.22</v>
      </c>
      <c r="C86" s="64">
        <v>31.46</v>
      </c>
      <c r="D86" s="64">
        <v>24.86</v>
      </c>
      <c r="E86" s="64">
        <v>6.97</v>
      </c>
      <c r="F86" s="64">
        <v>4.43</v>
      </c>
      <c r="G86" s="64">
        <v>105.2</v>
      </c>
      <c r="H86" s="64">
        <v>76.98</v>
      </c>
      <c r="I86" s="64">
        <v>7.04</v>
      </c>
      <c r="J86" s="64">
        <v>0.54</v>
      </c>
      <c r="K86" s="64">
        <v>345.34</v>
      </c>
      <c r="L86" s="64">
        <v>20.82</v>
      </c>
      <c r="M86" s="64">
        <v>58.19</v>
      </c>
      <c r="N86" s="64">
        <v>25.5</v>
      </c>
      <c r="O86" s="64">
        <v>0</v>
      </c>
      <c r="P86" s="64">
        <v>1.08</v>
      </c>
      <c r="Q86" s="64">
        <v>9.6300000000000008</v>
      </c>
      <c r="R86" s="196"/>
      <c r="S86" s="196"/>
      <c r="T86" s="196"/>
      <c r="U86" s="196"/>
    </row>
    <row r="87" spans="1:26" s="12" customFormat="1" x14ac:dyDescent="0.25">
      <c r="A87" s="211" t="s">
        <v>1379</v>
      </c>
      <c r="B87" s="64">
        <v>13.1</v>
      </c>
      <c r="C87" s="64">
        <v>33.1</v>
      </c>
      <c r="D87" s="64">
        <v>26.42</v>
      </c>
      <c r="E87" s="64">
        <v>6.74</v>
      </c>
      <c r="F87" s="64">
        <v>4.8</v>
      </c>
      <c r="G87" s="64">
        <v>105.2</v>
      </c>
      <c r="H87" s="64">
        <v>76.98</v>
      </c>
      <c r="I87" s="64">
        <v>6.14</v>
      </c>
      <c r="J87" s="64">
        <v>1.01</v>
      </c>
      <c r="K87" s="64">
        <v>339.86</v>
      </c>
      <c r="L87" s="64">
        <v>20.97</v>
      </c>
      <c r="M87" s="64">
        <v>57.08</v>
      </c>
      <c r="N87" s="64">
        <v>25.4</v>
      </c>
      <c r="O87" s="64">
        <v>0</v>
      </c>
      <c r="P87" s="64">
        <v>1.03</v>
      </c>
      <c r="Q87" s="64">
        <v>9.6300000000000008</v>
      </c>
      <c r="R87" s="196"/>
      <c r="S87" s="196"/>
      <c r="T87" s="196"/>
      <c r="U87" s="196"/>
    </row>
    <row r="88" spans="1:26" s="12" customFormat="1" x14ac:dyDescent="0.25">
      <c r="A88" s="211" t="s">
        <v>1380</v>
      </c>
      <c r="B88" s="64">
        <v>13.94</v>
      </c>
      <c r="C88" s="64">
        <v>33.72</v>
      </c>
      <c r="D88" s="64">
        <v>27.42</v>
      </c>
      <c r="E88" s="64">
        <v>7.59</v>
      </c>
      <c r="F88" s="64">
        <v>4.45</v>
      </c>
      <c r="G88" s="64">
        <v>112.45</v>
      </c>
      <c r="H88" s="64">
        <v>78.63</v>
      </c>
      <c r="I88" s="64">
        <v>5.83</v>
      </c>
      <c r="J88" s="64">
        <v>0.92</v>
      </c>
      <c r="K88" s="64">
        <v>341.1</v>
      </c>
      <c r="L88" s="64">
        <v>20.87</v>
      </c>
      <c r="M88" s="64">
        <v>57.6</v>
      </c>
      <c r="N88" s="64">
        <v>25.8</v>
      </c>
      <c r="O88" s="64">
        <v>0</v>
      </c>
      <c r="P88" s="64">
        <v>1.06</v>
      </c>
      <c r="Q88" s="64">
        <v>9.6300000000000008</v>
      </c>
      <c r="R88" s="196"/>
      <c r="S88" s="196"/>
      <c r="T88" s="196"/>
      <c r="U88" s="196"/>
    </row>
    <row r="89" spans="1:26" s="12" customFormat="1" x14ac:dyDescent="0.25">
      <c r="A89" s="211" t="s">
        <v>1381</v>
      </c>
      <c r="B89" s="64">
        <v>13.99</v>
      </c>
      <c r="C89" s="64">
        <v>34.270000000000003</v>
      </c>
      <c r="D89" s="64">
        <v>27.75</v>
      </c>
      <c r="E89" s="64">
        <v>8.15</v>
      </c>
      <c r="F89" s="64">
        <v>4.38</v>
      </c>
      <c r="G89" s="64">
        <v>133.58000000000001</v>
      </c>
      <c r="H89" s="64">
        <v>85.22</v>
      </c>
      <c r="I89" s="64">
        <v>6.1</v>
      </c>
      <c r="J89" s="64">
        <v>0.66</v>
      </c>
      <c r="K89" s="64">
        <v>342.27</v>
      </c>
      <c r="L89" s="64">
        <v>20.58</v>
      </c>
      <c r="M89" s="64">
        <v>59.98</v>
      </c>
      <c r="N89" s="64">
        <v>26</v>
      </c>
      <c r="O89" s="64">
        <v>0</v>
      </c>
      <c r="P89" s="64">
        <v>1.1399999999999999</v>
      </c>
      <c r="Q89" s="64">
        <v>9.6199999999999992</v>
      </c>
      <c r="R89" s="196"/>
      <c r="S89" s="196"/>
      <c r="T89" s="196"/>
      <c r="U89" s="196"/>
    </row>
    <row r="90" spans="1:26" s="12" customFormat="1" x14ac:dyDescent="0.25">
      <c r="A90" s="211" t="s">
        <v>1382</v>
      </c>
      <c r="B90" s="64">
        <v>14.94</v>
      </c>
      <c r="C90" s="64">
        <v>34.130000000000003</v>
      </c>
      <c r="D90" s="64">
        <v>28.44</v>
      </c>
      <c r="E90" s="64">
        <v>8.2899999999999991</v>
      </c>
      <c r="F90" s="64">
        <v>4.43</v>
      </c>
      <c r="G90" s="64">
        <v>133.58000000000001</v>
      </c>
      <c r="H90" s="64">
        <v>85.22</v>
      </c>
      <c r="I90" s="64">
        <v>6.22</v>
      </c>
      <c r="J90" s="64">
        <v>0.39</v>
      </c>
      <c r="K90" s="64">
        <v>3.93</v>
      </c>
      <c r="L90" s="64">
        <v>20.34</v>
      </c>
      <c r="M90" s="64">
        <v>61.37</v>
      </c>
      <c r="N90" s="64">
        <v>26</v>
      </c>
      <c r="O90" s="64">
        <v>0</v>
      </c>
      <c r="P90" s="64">
        <v>1.18</v>
      </c>
      <c r="Q90" s="64">
        <v>9.6300000000000008</v>
      </c>
      <c r="R90" s="196"/>
      <c r="S90" s="196"/>
      <c r="T90" s="196"/>
      <c r="U90" s="196"/>
    </row>
    <row r="91" spans="1:26" s="12" customFormat="1" x14ac:dyDescent="0.25">
      <c r="A91" s="211" t="s">
        <v>1383</v>
      </c>
      <c r="B91" s="64">
        <v>15.93</v>
      </c>
      <c r="C91" s="64">
        <v>34.43</v>
      </c>
      <c r="D91" s="64">
        <v>29.39</v>
      </c>
      <c r="E91" s="64">
        <v>8.68</v>
      </c>
      <c r="F91" s="64">
        <v>4.3</v>
      </c>
      <c r="G91" s="64">
        <v>133.58000000000001</v>
      </c>
      <c r="H91" s="64">
        <v>85.22</v>
      </c>
      <c r="I91" s="64">
        <v>5.97</v>
      </c>
      <c r="J91" s="64">
        <v>0.34</v>
      </c>
      <c r="K91" s="64">
        <v>106.42</v>
      </c>
      <c r="L91" s="64">
        <v>20.11</v>
      </c>
      <c r="M91" s="64">
        <v>61.61</v>
      </c>
      <c r="N91" s="64">
        <v>25.9</v>
      </c>
      <c r="O91" s="64">
        <v>0</v>
      </c>
      <c r="P91" s="64">
        <v>1.1299999999999999</v>
      </c>
      <c r="Q91" s="64">
        <v>9.64</v>
      </c>
      <c r="R91" s="196"/>
      <c r="S91" s="196"/>
      <c r="T91" s="196"/>
      <c r="U91" s="196"/>
    </row>
    <row r="92" spans="1:26" s="12" customFormat="1" x14ac:dyDescent="0.25">
      <c r="A92" s="211" t="s">
        <v>1384</v>
      </c>
      <c r="B92" s="64">
        <v>15.23</v>
      </c>
      <c r="C92" s="64">
        <v>33.74</v>
      </c>
      <c r="D92" s="64">
        <v>28.46</v>
      </c>
      <c r="E92" s="64">
        <v>8.32</v>
      </c>
      <c r="F92" s="64">
        <v>4.67</v>
      </c>
      <c r="G92" s="64">
        <v>140.34</v>
      </c>
      <c r="H92" s="64">
        <v>92.78</v>
      </c>
      <c r="I92" s="64">
        <v>5.93</v>
      </c>
      <c r="J92" s="64">
        <v>0.24</v>
      </c>
      <c r="K92" s="64">
        <v>132.24</v>
      </c>
      <c r="L92" s="64">
        <v>20.02</v>
      </c>
      <c r="M92" s="64">
        <v>61.76</v>
      </c>
      <c r="N92" s="64">
        <v>25.9</v>
      </c>
      <c r="O92" s="64">
        <v>0</v>
      </c>
      <c r="P92" s="64">
        <v>1.1000000000000001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1385</v>
      </c>
      <c r="B93" s="64">
        <v>14.63</v>
      </c>
      <c r="C93" s="64">
        <v>33.83</v>
      </c>
      <c r="D93" s="64">
        <v>28.03</v>
      </c>
      <c r="E93" s="64">
        <v>8.09</v>
      </c>
      <c r="F93" s="64">
        <v>4.84</v>
      </c>
      <c r="G93" s="64">
        <v>160.04</v>
      </c>
      <c r="H93" s="64">
        <v>107.25</v>
      </c>
      <c r="I93" s="64">
        <v>5.76</v>
      </c>
      <c r="J93" s="64">
        <v>0.28999999999999998</v>
      </c>
      <c r="K93" s="64">
        <v>112.01</v>
      </c>
      <c r="L93" s="64">
        <v>19.82</v>
      </c>
      <c r="M93" s="64">
        <v>62.34</v>
      </c>
      <c r="N93" s="64">
        <v>26</v>
      </c>
      <c r="O93" s="64">
        <v>0</v>
      </c>
      <c r="P93" s="64">
        <v>1.08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1386</v>
      </c>
      <c r="B94" s="64">
        <v>13.96</v>
      </c>
      <c r="C94" s="64">
        <v>32.11</v>
      </c>
      <c r="D94" s="64">
        <v>26.59</v>
      </c>
      <c r="E94" s="64">
        <v>8.11</v>
      </c>
      <c r="F94" s="64">
        <v>5.08</v>
      </c>
      <c r="G94" s="64">
        <v>160.04</v>
      </c>
      <c r="H94" s="64">
        <v>107.25</v>
      </c>
      <c r="I94" s="64">
        <v>5.46</v>
      </c>
      <c r="J94" s="64">
        <v>0.19</v>
      </c>
      <c r="K94" s="64">
        <v>98.8</v>
      </c>
      <c r="L94" s="64">
        <v>19.600000000000001</v>
      </c>
      <c r="M94" s="64">
        <v>63.56</v>
      </c>
      <c r="N94" s="64">
        <v>25.9</v>
      </c>
      <c r="O94" s="64">
        <v>0</v>
      </c>
      <c r="P94" s="64">
        <v>1.05</v>
      </c>
      <c r="Q94" s="64">
        <v>9.64</v>
      </c>
      <c r="R94" s="196"/>
      <c r="S94" s="196"/>
      <c r="T94" s="196"/>
      <c r="U94" s="196"/>
    </row>
    <row r="95" spans="1:26" s="12" customFormat="1" x14ac:dyDescent="0.25">
      <c r="A95" s="211" t="s">
        <v>1387</v>
      </c>
      <c r="B95" s="64">
        <v>13.62</v>
      </c>
      <c r="C95" s="64">
        <v>30.52</v>
      </c>
      <c r="D95" s="64">
        <v>25.49</v>
      </c>
      <c r="E95" s="64">
        <v>8.06</v>
      </c>
      <c r="F95" s="64">
        <v>5.27</v>
      </c>
      <c r="G95" s="64">
        <v>160.04</v>
      </c>
      <c r="H95" s="64">
        <v>107.25</v>
      </c>
      <c r="I95" s="64">
        <v>5.04</v>
      </c>
      <c r="J95" s="64">
        <v>0.55000000000000004</v>
      </c>
      <c r="K95" s="64">
        <v>104.66</v>
      </c>
      <c r="L95" s="64">
        <v>19.59</v>
      </c>
      <c r="M95" s="64">
        <v>63.04</v>
      </c>
      <c r="N95" s="64">
        <v>25.7</v>
      </c>
      <c r="O95" s="64">
        <v>0</v>
      </c>
      <c r="P95" s="64">
        <v>0.96</v>
      </c>
      <c r="Q95" s="64">
        <v>9.6199999999999992</v>
      </c>
      <c r="R95" s="196"/>
      <c r="S95" s="196"/>
      <c r="T95" s="196"/>
      <c r="U95" s="196"/>
    </row>
    <row r="96" spans="1:26" s="12" customFormat="1" x14ac:dyDescent="0.25">
      <c r="A96" s="211" t="s">
        <v>1388</v>
      </c>
      <c r="B96" s="64">
        <v>13.11</v>
      </c>
      <c r="C96" s="64">
        <v>29.56</v>
      </c>
      <c r="D96" s="64">
        <v>24.58</v>
      </c>
      <c r="E96" s="64">
        <v>7.87</v>
      </c>
      <c r="F96" s="64">
        <v>5.71</v>
      </c>
      <c r="G96" s="64">
        <v>164.81</v>
      </c>
      <c r="H96" s="64">
        <v>111.77</v>
      </c>
      <c r="I96" s="64">
        <v>4.5999999999999996</v>
      </c>
      <c r="J96" s="64">
        <v>0.35</v>
      </c>
      <c r="K96" s="64">
        <v>96.87</v>
      </c>
      <c r="L96" s="64">
        <v>19.510000000000002</v>
      </c>
      <c r="M96" s="64">
        <v>63.92</v>
      </c>
      <c r="N96" s="64">
        <v>25.7</v>
      </c>
      <c r="O96" s="64">
        <v>0</v>
      </c>
      <c r="P96" s="64">
        <v>0.93</v>
      </c>
      <c r="Q96" s="64">
        <v>9.64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1389</v>
      </c>
      <c r="B97" s="64">
        <v>12.64</v>
      </c>
      <c r="C97" s="64">
        <v>28.53</v>
      </c>
      <c r="D97" s="64">
        <v>23.66</v>
      </c>
      <c r="E97" s="64">
        <v>8.15</v>
      </c>
      <c r="F97" s="64">
        <v>5.13</v>
      </c>
      <c r="G97" s="64">
        <v>178.71</v>
      </c>
      <c r="H97" s="64">
        <v>120.81</v>
      </c>
      <c r="I97" s="64">
        <v>4.53</v>
      </c>
      <c r="J97" s="64">
        <v>0.44</v>
      </c>
      <c r="K97" s="64">
        <v>91.28</v>
      </c>
      <c r="L97" s="64">
        <v>19.55</v>
      </c>
      <c r="M97" s="64">
        <v>64.040000000000006</v>
      </c>
      <c r="N97" s="64">
        <v>25.6</v>
      </c>
      <c r="O97" s="64">
        <v>0</v>
      </c>
      <c r="P97" s="64">
        <v>0.95</v>
      </c>
      <c r="Q97" s="64">
        <v>9.6300000000000008</v>
      </c>
      <c r="R97" s="196"/>
      <c r="S97" s="196"/>
      <c r="T97" s="196"/>
      <c r="U97" s="196"/>
    </row>
    <row r="98" spans="1:33" s="12" customFormat="1" x14ac:dyDescent="0.25">
      <c r="A98" s="211" t="s">
        <v>1390</v>
      </c>
      <c r="B98" s="64">
        <v>12.23</v>
      </c>
      <c r="C98" s="64">
        <v>27.71</v>
      </c>
      <c r="D98" s="64">
        <v>22.91</v>
      </c>
      <c r="E98" s="64">
        <v>8.1199999999999992</v>
      </c>
      <c r="F98" s="64">
        <v>5.0599999999999996</v>
      </c>
      <c r="G98" s="64">
        <v>178.71</v>
      </c>
      <c r="H98" s="64">
        <v>120.81</v>
      </c>
      <c r="I98" s="64">
        <v>3.99</v>
      </c>
      <c r="J98" s="64">
        <v>0.25</v>
      </c>
      <c r="K98" s="64">
        <v>57.85</v>
      </c>
      <c r="L98" s="64">
        <v>19.45</v>
      </c>
      <c r="M98" s="64">
        <v>64.930000000000007</v>
      </c>
      <c r="N98" s="64">
        <v>25.9</v>
      </c>
      <c r="O98" s="64">
        <v>0</v>
      </c>
      <c r="P98" s="64">
        <v>0.95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1391</v>
      </c>
      <c r="B99" s="64">
        <v>12.04</v>
      </c>
      <c r="C99" s="64">
        <v>26.99</v>
      </c>
      <c r="D99" s="64">
        <v>22.38</v>
      </c>
      <c r="E99" s="64">
        <v>8.0399999999999991</v>
      </c>
      <c r="F99" s="64">
        <v>5.41</v>
      </c>
      <c r="G99" s="64">
        <v>178.71</v>
      </c>
      <c r="H99" s="64">
        <v>120.81</v>
      </c>
      <c r="I99" s="64">
        <v>3.98</v>
      </c>
      <c r="J99" s="64">
        <v>0.24</v>
      </c>
      <c r="K99" s="64">
        <v>9.76</v>
      </c>
      <c r="L99" s="64">
        <v>19.25</v>
      </c>
      <c r="M99" s="64">
        <v>64.98</v>
      </c>
      <c r="N99" s="64">
        <v>25.9</v>
      </c>
      <c r="O99" s="64">
        <v>0</v>
      </c>
      <c r="P99" s="64">
        <v>0.97</v>
      </c>
      <c r="Q99" s="64">
        <v>9.64</v>
      </c>
      <c r="R99" s="196"/>
      <c r="S99" s="196"/>
      <c r="T99" s="196"/>
      <c r="U99" s="196"/>
    </row>
    <row r="100" spans="1:33" s="12" customFormat="1" x14ac:dyDescent="0.25">
      <c r="A100" s="211" t="s">
        <v>1392</v>
      </c>
      <c r="B100" s="64">
        <v>12.37</v>
      </c>
      <c r="C100" s="64">
        <v>26.53</v>
      </c>
      <c r="D100" s="64">
        <v>22.41</v>
      </c>
      <c r="E100" s="64">
        <v>8.17</v>
      </c>
      <c r="F100" s="64">
        <v>4.2699999999999996</v>
      </c>
      <c r="G100" s="64">
        <v>189.78</v>
      </c>
      <c r="H100" s="64">
        <v>123.99</v>
      </c>
      <c r="I100" s="64">
        <v>4.45</v>
      </c>
      <c r="J100" s="64">
        <v>0.16</v>
      </c>
      <c r="K100" s="64">
        <v>50.35</v>
      </c>
      <c r="L100" s="64">
        <v>18.97</v>
      </c>
      <c r="M100" s="64">
        <v>70.78</v>
      </c>
      <c r="N100" s="64">
        <v>26</v>
      </c>
      <c r="O100" s="64">
        <v>0</v>
      </c>
      <c r="P100" s="64">
        <v>1.02</v>
      </c>
      <c r="Q100" s="64">
        <v>9.64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1393</v>
      </c>
      <c r="B101" s="64">
        <v>12.7</v>
      </c>
      <c r="C101" s="64">
        <v>26.14</v>
      </c>
      <c r="D101" s="64">
        <v>22.47</v>
      </c>
      <c r="E101" s="64">
        <v>8.07</v>
      </c>
      <c r="F101" s="64">
        <v>4.3099999999999996</v>
      </c>
      <c r="G101" s="64">
        <v>222.02</v>
      </c>
      <c r="H101" s="64">
        <v>130.36000000000001</v>
      </c>
      <c r="I101" s="64">
        <v>4.6500000000000004</v>
      </c>
      <c r="J101" s="64">
        <v>0.06</v>
      </c>
      <c r="K101" s="64">
        <v>293.57</v>
      </c>
      <c r="L101" s="64">
        <v>18.79</v>
      </c>
      <c r="M101" s="64">
        <v>69.099999999999994</v>
      </c>
      <c r="N101" s="64">
        <v>26</v>
      </c>
      <c r="O101" s="64">
        <v>0</v>
      </c>
      <c r="P101" s="64">
        <v>0.96</v>
      </c>
      <c r="Q101" s="64">
        <v>9.6300000000000008</v>
      </c>
      <c r="R101" s="196"/>
      <c r="S101" s="196"/>
      <c r="T101" s="196"/>
      <c r="U101" s="196"/>
    </row>
    <row r="102" spans="1:33" s="12" customFormat="1" x14ac:dyDescent="0.25">
      <c r="A102" s="211" t="s">
        <v>1394</v>
      </c>
      <c r="B102" s="64">
        <v>13.08</v>
      </c>
      <c r="C102" s="64">
        <v>26.83</v>
      </c>
      <c r="D102" s="64">
        <v>23.13</v>
      </c>
      <c r="E102" s="64">
        <v>8.2200000000000006</v>
      </c>
      <c r="F102" s="64">
        <v>4.5599999999999996</v>
      </c>
      <c r="G102" s="64">
        <v>222.02</v>
      </c>
      <c r="H102" s="64">
        <v>130.36000000000001</v>
      </c>
      <c r="I102" s="64">
        <v>4.3099999999999996</v>
      </c>
      <c r="J102" s="64">
        <v>0.25</v>
      </c>
      <c r="K102" s="64">
        <v>30.67</v>
      </c>
      <c r="L102" s="64">
        <v>18.57</v>
      </c>
      <c r="M102" s="64">
        <v>70.22</v>
      </c>
      <c r="N102" s="64">
        <v>25.8</v>
      </c>
      <c r="O102" s="64">
        <v>0</v>
      </c>
      <c r="P102" s="64">
        <v>1.03</v>
      </c>
      <c r="Q102" s="64">
        <v>9.6300000000000008</v>
      </c>
      <c r="R102" s="196"/>
      <c r="S102" s="196"/>
      <c r="T102" s="196"/>
      <c r="U102" s="196"/>
    </row>
    <row r="103" spans="1:33" s="12" customFormat="1" x14ac:dyDescent="0.25">
      <c r="A103" s="211" t="s">
        <v>1395</v>
      </c>
      <c r="B103" s="64">
        <v>13.05</v>
      </c>
      <c r="C103" s="64">
        <v>26.67</v>
      </c>
      <c r="D103" s="64">
        <v>23.02</v>
      </c>
      <c r="E103" s="64">
        <v>8.4499999999999993</v>
      </c>
      <c r="F103" s="64">
        <v>5.35</v>
      </c>
      <c r="G103" s="64">
        <v>222.02</v>
      </c>
      <c r="H103" s="64">
        <v>130.36000000000001</v>
      </c>
      <c r="I103" s="64">
        <v>5.56</v>
      </c>
      <c r="J103" s="64">
        <v>0.33</v>
      </c>
      <c r="K103" s="64">
        <v>73.16</v>
      </c>
      <c r="L103" s="64">
        <v>18.45</v>
      </c>
      <c r="M103" s="64">
        <v>71.12</v>
      </c>
      <c r="N103" s="64">
        <v>25.7</v>
      </c>
      <c r="O103" s="64">
        <v>0</v>
      </c>
      <c r="P103" s="64">
        <v>1.01</v>
      </c>
      <c r="Q103" s="64">
        <v>9.6300000000000008</v>
      </c>
      <c r="R103" s="196"/>
      <c r="S103" s="196"/>
      <c r="T103" s="196"/>
      <c r="U103" s="196"/>
    </row>
    <row r="104" spans="1:33" s="12" customFormat="1" x14ac:dyDescent="0.25">
      <c r="A104" s="211" t="s">
        <v>1396</v>
      </c>
      <c r="B104" s="64">
        <v>12.31</v>
      </c>
      <c r="C104" s="64">
        <v>26.21</v>
      </c>
      <c r="D104" s="64">
        <v>22.19</v>
      </c>
      <c r="E104" s="64">
        <v>7.95</v>
      </c>
      <c r="F104" s="64">
        <v>4.91</v>
      </c>
      <c r="G104" s="64">
        <v>210.39</v>
      </c>
      <c r="H104" s="64">
        <v>125.38</v>
      </c>
      <c r="I104" s="64">
        <v>6.07</v>
      </c>
      <c r="J104" s="64">
        <v>0.51</v>
      </c>
      <c r="K104" s="64">
        <v>110.22</v>
      </c>
      <c r="L104" s="64">
        <v>18.52</v>
      </c>
      <c r="M104" s="64">
        <v>69.430000000000007</v>
      </c>
      <c r="N104" s="64">
        <v>25.4</v>
      </c>
      <c r="O104" s="64">
        <v>0</v>
      </c>
      <c r="P104" s="64">
        <v>0.98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1.74</v>
      </c>
      <c r="C106" s="67">
        <f>MIN(C9:C104)</f>
        <v>18.66</v>
      </c>
      <c r="D106" s="67">
        <f t="shared" ref="D106:Q106" si="0">MIN(D9:D104)</f>
        <v>11.59</v>
      </c>
      <c r="E106" s="67">
        <f t="shared" si="0"/>
        <v>4.01</v>
      </c>
      <c r="F106" s="67">
        <f t="shared" si="0"/>
        <v>3.36</v>
      </c>
      <c r="G106" s="67">
        <f t="shared" si="0"/>
        <v>49.03</v>
      </c>
      <c r="H106" s="67">
        <f t="shared" si="0"/>
        <v>0.65</v>
      </c>
      <c r="I106" s="67">
        <f t="shared" si="0"/>
        <v>1.74</v>
      </c>
      <c r="J106" s="67">
        <f t="shared" si="0"/>
        <v>0.03</v>
      </c>
      <c r="K106" s="67">
        <f t="shared" si="0"/>
        <v>2.3199999999999998</v>
      </c>
      <c r="L106" s="67">
        <f t="shared" si="0"/>
        <v>15.55</v>
      </c>
      <c r="M106" s="67">
        <f t="shared" si="0"/>
        <v>29.91</v>
      </c>
      <c r="N106" s="67">
        <f t="shared" si="0"/>
        <v>25.4</v>
      </c>
      <c r="O106" s="67">
        <f t="shared" si="0"/>
        <v>0</v>
      </c>
      <c r="P106" s="67">
        <f t="shared" si="0"/>
        <v>0.42</v>
      </c>
      <c r="Q106" s="67">
        <f t="shared" si="0"/>
        <v>0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24.74</v>
      </c>
      <c r="C107" s="66">
        <f t="shared" ref="C107:Q107" si="1">MAX(C9:C104)</f>
        <v>42.39</v>
      </c>
      <c r="D107" s="66">
        <f t="shared" si="1"/>
        <v>31.79</v>
      </c>
      <c r="E107" s="66">
        <f t="shared" si="1"/>
        <v>8.68</v>
      </c>
      <c r="F107" s="66">
        <f t="shared" si="1"/>
        <v>24.72</v>
      </c>
      <c r="G107" s="66">
        <f t="shared" si="1"/>
        <v>222.02</v>
      </c>
      <c r="H107" s="66">
        <f t="shared" si="1"/>
        <v>130.36000000000001</v>
      </c>
      <c r="I107" s="66">
        <f t="shared" si="1"/>
        <v>7.04</v>
      </c>
      <c r="J107" s="66">
        <f t="shared" si="1"/>
        <v>1.51</v>
      </c>
      <c r="K107" s="66">
        <f t="shared" si="1"/>
        <v>358.04</v>
      </c>
      <c r="L107" s="66">
        <f t="shared" si="1"/>
        <v>29.2</v>
      </c>
      <c r="M107" s="66">
        <f t="shared" si="1"/>
        <v>97.86</v>
      </c>
      <c r="N107" s="66">
        <f t="shared" si="1"/>
        <v>713.4</v>
      </c>
      <c r="O107" s="66">
        <f t="shared" si="1"/>
        <v>0</v>
      </c>
      <c r="P107" s="66">
        <f t="shared" si="1"/>
        <v>1.68</v>
      </c>
      <c r="Q107" s="66">
        <f t="shared" si="1"/>
        <v>9.65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9.8114583333333361</v>
      </c>
      <c r="C108" s="67">
        <f t="shared" ref="C108:Q108" si="2">AVERAGE(C9:C104)</f>
        <v>26.234479166666663</v>
      </c>
      <c r="D108" s="67">
        <f t="shared" si="2"/>
        <v>20.183437500000007</v>
      </c>
      <c r="E108" s="67">
        <f t="shared" si="2"/>
        <v>6.1334375000000003</v>
      </c>
      <c r="F108" s="67">
        <f t="shared" si="2"/>
        <v>5.4005208333333314</v>
      </c>
      <c r="G108" s="67">
        <f t="shared" si="2"/>
        <v>98.103541666666658</v>
      </c>
      <c r="H108" s="67">
        <f t="shared" si="2"/>
        <v>55.478505747126427</v>
      </c>
      <c r="I108" s="67">
        <f t="shared" si="2"/>
        <v>4.4718750000000007</v>
      </c>
      <c r="J108" s="67">
        <f t="shared" si="2"/>
        <v>0.61104166666666648</v>
      </c>
      <c r="K108" s="67">
        <f t="shared" si="2"/>
        <v>220.82458333333318</v>
      </c>
      <c r="L108" s="67">
        <f t="shared" si="2"/>
        <v>21.395312499999989</v>
      </c>
      <c r="M108" s="67">
        <f t="shared" si="2"/>
        <v>62.582604166666648</v>
      </c>
      <c r="N108" s="67">
        <f t="shared" si="2"/>
        <v>167.88437499999992</v>
      </c>
      <c r="O108" s="67">
        <f t="shared" si="2"/>
        <v>0</v>
      </c>
      <c r="P108" s="67">
        <f t="shared" si="2"/>
        <v>0.85052083333333339</v>
      </c>
      <c r="Q108" s="67">
        <f t="shared" si="2"/>
        <v>9.5287499999999969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6.2147998196438712</v>
      </c>
      <c r="C109" s="67">
        <f t="shared" ref="C109:Q109" si="3">STDEV(C9:C104)</f>
        <v>5.7030851982509079</v>
      </c>
      <c r="D109" s="67">
        <f t="shared" si="3"/>
        <v>5.5531744981207458</v>
      </c>
      <c r="E109" s="67">
        <f t="shared" si="3"/>
        <v>1.2076587424259717</v>
      </c>
      <c r="F109" s="67">
        <f t="shared" si="3"/>
        <v>2.5901145553986091</v>
      </c>
      <c r="G109" s="67">
        <f t="shared" si="3"/>
        <v>44.523698242838094</v>
      </c>
      <c r="H109" s="67">
        <f t="shared" si="3"/>
        <v>39.42046362477754</v>
      </c>
      <c r="I109" s="67">
        <f t="shared" si="3"/>
        <v>1.0742442263725418</v>
      </c>
      <c r="J109" s="67">
        <f t="shared" si="3"/>
        <v>0.3756663670043483</v>
      </c>
      <c r="K109" s="67">
        <f t="shared" si="3"/>
        <v>133.58558889275687</v>
      </c>
      <c r="L109" s="67">
        <f t="shared" si="3"/>
        <v>4.3051203181732269</v>
      </c>
      <c r="M109" s="67">
        <f t="shared" si="3"/>
        <v>21.71332005667891</v>
      </c>
      <c r="N109" s="67">
        <f t="shared" si="3"/>
        <v>225.37406581672872</v>
      </c>
      <c r="O109" s="67">
        <f t="shared" si="3"/>
        <v>0</v>
      </c>
      <c r="P109" s="67">
        <f t="shared" si="3"/>
        <v>0.2423888558827334</v>
      </c>
      <c r="Q109" s="67">
        <f t="shared" si="3"/>
        <v>0.98279970653123605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COUNT(H9:H104)+9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1397</v>
      </c>
      <c r="B9" s="64">
        <v>11.33</v>
      </c>
      <c r="C9" s="64">
        <v>26.69</v>
      </c>
      <c r="D9" s="64">
        <v>21.65</v>
      </c>
      <c r="E9" s="64">
        <v>6.99</v>
      </c>
      <c r="F9" s="64">
        <v>4.71</v>
      </c>
      <c r="G9" s="64">
        <v>176.51</v>
      </c>
      <c r="H9" s="64">
        <v>105.45</v>
      </c>
      <c r="I9" s="64">
        <v>6.03</v>
      </c>
      <c r="J9" s="64">
        <v>0.16</v>
      </c>
      <c r="K9" s="64">
        <v>93.08</v>
      </c>
      <c r="L9" s="64">
        <v>18.52</v>
      </c>
      <c r="M9" s="64">
        <v>69.290000000000006</v>
      </c>
      <c r="N9" s="64">
        <v>25.7</v>
      </c>
      <c r="O9" s="64">
        <v>0</v>
      </c>
      <c r="P9" s="64">
        <v>0.96</v>
      </c>
      <c r="Q9" s="64">
        <v>9.6199999999999992</v>
      </c>
      <c r="R9" s="196"/>
      <c r="S9" s="196"/>
      <c r="T9" s="196"/>
      <c r="U9" s="196"/>
    </row>
    <row r="10" spans="1:21" s="12" customFormat="1" x14ac:dyDescent="0.25">
      <c r="A10" s="211" t="s">
        <v>1398</v>
      </c>
      <c r="B10" s="64">
        <v>10.41</v>
      </c>
      <c r="C10" s="64">
        <v>26.59</v>
      </c>
      <c r="D10" s="64">
        <v>20.87</v>
      </c>
      <c r="E10" s="64">
        <v>6.5</v>
      </c>
      <c r="F10" s="64">
        <v>4.66</v>
      </c>
      <c r="G10" s="64">
        <v>176.51</v>
      </c>
      <c r="H10" s="64">
        <v>105.45</v>
      </c>
      <c r="I10" s="64">
        <v>5.97</v>
      </c>
      <c r="J10" s="64">
        <v>0.2</v>
      </c>
      <c r="K10" s="64">
        <v>352.7</v>
      </c>
      <c r="L10" s="64">
        <v>18.350000000000001</v>
      </c>
      <c r="M10" s="64">
        <v>70.05</v>
      </c>
      <c r="N10" s="64">
        <v>25.8</v>
      </c>
      <c r="O10" s="64">
        <v>0</v>
      </c>
      <c r="P10" s="64">
        <v>0.93</v>
      </c>
      <c r="Q10" s="64">
        <v>9.6199999999999992</v>
      </c>
      <c r="R10" s="196"/>
      <c r="S10" s="196"/>
      <c r="T10" s="196"/>
      <c r="U10" s="196"/>
    </row>
    <row r="11" spans="1:21" s="12" customFormat="1" x14ac:dyDescent="0.25">
      <c r="A11" s="211" t="s">
        <v>1399</v>
      </c>
      <c r="B11" s="64">
        <v>9.57</v>
      </c>
      <c r="C11" s="64">
        <v>26.4</v>
      </c>
      <c r="D11" s="64">
        <v>20.09</v>
      </c>
      <c r="E11" s="64">
        <v>6.46</v>
      </c>
      <c r="F11" s="64">
        <v>4.41</v>
      </c>
      <c r="G11" s="64">
        <v>176.51</v>
      </c>
      <c r="H11" s="64">
        <v>105.45</v>
      </c>
      <c r="I11" s="64">
        <v>5.9</v>
      </c>
      <c r="J11" s="64">
        <v>0.22</v>
      </c>
      <c r="K11" s="64">
        <v>328.77</v>
      </c>
      <c r="L11" s="64">
        <v>18.09</v>
      </c>
      <c r="M11" s="64">
        <v>71.239999999999995</v>
      </c>
      <c r="N11" s="64">
        <v>25.9</v>
      </c>
      <c r="O11" s="64">
        <v>0</v>
      </c>
      <c r="P11" s="64">
        <v>0.9</v>
      </c>
      <c r="Q11" s="64">
        <v>9.6300000000000008</v>
      </c>
      <c r="R11" s="196"/>
      <c r="S11" s="196"/>
      <c r="T11" s="196"/>
      <c r="U11" s="196"/>
    </row>
    <row r="12" spans="1:21" s="12" customFormat="1" x14ac:dyDescent="0.25">
      <c r="A12" s="211" t="s">
        <v>1400</v>
      </c>
      <c r="B12" s="64">
        <v>8.8000000000000007</v>
      </c>
      <c r="C12" s="64">
        <v>25.85</v>
      </c>
      <c r="D12" s="64">
        <v>19.18</v>
      </c>
      <c r="E12" s="64">
        <v>6.59</v>
      </c>
      <c r="F12" s="64">
        <v>4.38</v>
      </c>
      <c r="G12" s="64">
        <v>227.85</v>
      </c>
      <c r="H12" s="64">
        <v>94.24</v>
      </c>
      <c r="I12" s="64">
        <v>5.74</v>
      </c>
      <c r="J12" s="64">
        <v>0.23</v>
      </c>
      <c r="K12" s="64">
        <v>47.11</v>
      </c>
      <c r="L12" s="64">
        <v>18.07</v>
      </c>
      <c r="M12" s="64">
        <v>71.03</v>
      </c>
      <c r="N12" s="64">
        <v>25.7</v>
      </c>
      <c r="O12" s="64">
        <v>0</v>
      </c>
      <c r="P12" s="64">
        <v>0.87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1401</v>
      </c>
      <c r="B13" s="64">
        <v>8.0399999999999991</v>
      </c>
      <c r="C13" s="64">
        <v>26.14</v>
      </c>
      <c r="D13" s="64">
        <v>18.73</v>
      </c>
      <c r="E13" s="64">
        <v>6.4</v>
      </c>
      <c r="F13" s="64">
        <v>4.29</v>
      </c>
      <c r="G13" s="64">
        <v>377.41</v>
      </c>
      <c r="H13" s="64">
        <v>72.8</v>
      </c>
      <c r="I13" s="64">
        <v>5.6</v>
      </c>
      <c r="J13" s="64">
        <v>0.14000000000000001</v>
      </c>
      <c r="K13" s="64">
        <v>45.89</v>
      </c>
      <c r="L13" s="64">
        <v>17.98</v>
      </c>
      <c r="M13" s="64">
        <v>71.459999999999994</v>
      </c>
      <c r="N13" s="64">
        <v>25.7</v>
      </c>
      <c r="O13" s="64">
        <v>0</v>
      </c>
      <c r="P13" s="64">
        <v>0.85</v>
      </c>
      <c r="Q13" s="64">
        <v>9.6300000000000008</v>
      </c>
      <c r="R13" s="196"/>
      <c r="S13" s="196"/>
      <c r="T13" s="196"/>
      <c r="U13" s="196"/>
    </row>
    <row r="14" spans="1:21" s="12" customFormat="1" x14ac:dyDescent="0.25">
      <c r="A14" s="211" t="s">
        <v>1402</v>
      </c>
      <c r="B14" s="64">
        <v>7.3</v>
      </c>
      <c r="C14" s="64">
        <v>25.92</v>
      </c>
      <c r="D14" s="64">
        <v>18.02</v>
      </c>
      <c r="E14" s="64">
        <v>6.01</v>
      </c>
      <c r="F14" s="64">
        <v>4.74</v>
      </c>
      <c r="G14" s="64">
        <v>377.41</v>
      </c>
      <c r="H14" s="64">
        <v>72.8</v>
      </c>
      <c r="I14" s="64">
        <v>5.59</v>
      </c>
      <c r="J14" s="64">
        <v>0.3</v>
      </c>
      <c r="K14" s="64">
        <v>357.22</v>
      </c>
      <c r="L14" s="64">
        <v>17.86</v>
      </c>
      <c r="M14" s="64">
        <v>72.58</v>
      </c>
      <c r="N14" s="64">
        <v>26</v>
      </c>
      <c r="O14" s="64">
        <v>0</v>
      </c>
      <c r="P14" s="64">
        <v>0.81</v>
      </c>
      <c r="Q14" s="64">
        <v>9.6300000000000008</v>
      </c>
      <c r="R14" s="196"/>
      <c r="S14" s="196"/>
      <c r="T14" s="196"/>
      <c r="U14" s="196"/>
    </row>
    <row r="15" spans="1:21" s="12" customFormat="1" x14ac:dyDescent="0.25">
      <c r="A15" s="211" t="s">
        <v>1403</v>
      </c>
      <c r="B15" s="64">
        <v>6.84</v>
      </c>
      <c r="C15" s="64">
        <v>23.89</v>
      </c>
      <c r="D15" s="64">
        <v>16.59</v>
      </c>
      <c r="E15" s="64">
        <v>5.75</v>
      </c>
      <c r="F15" s="64">
        <v>4.5599999999999996</v>
      </c>
      <c r="G15" s="64">
        <v>377.41</v>
      </c>
      <c r="H15" s="64">
        <v>72.8</v>
      </c>
      <c r="I15" s="64">
        <v>5.5</v>
      </c>
      <c r="J15" s="64">
        <v>0.35</v>
      </c>
      <c r="K15" s="64">
        <v>13.75</v>
      </c>
      <c r="L15" s="64">
        <v>17.63</v>
      </c>
      <c r="M15" s="64">
        <v>73.680000000000007</v>
      </c>
      <c r="N15" s="64">
        <v>26</v>
      </c>
      <c r="O15" s="64">
        <v>0</v>
      </c>
      <c r="P15" s="64">
        <v>0.7</v>
      </c>
      <c r="Q15" s="64">
        <v>9.6300000000000008</v>
      </c>
      <c r="R15" s="196"/>
      <c r="S15" s="196"/>
      <c r="T15" s="196"/>
      <c r="U15" s="196"/>
    </row>
    <row r="16" spans="1:21" s="12" customFormat="1" x14ac:dyDescent="0.25">
      <c r="A16" s="211" t="s">
        <v>1404</v>
      </c>
      <c r="B16" s="64">
        <v>6.64</v>
      </c>
      <c r="C16" s="64">
        <v>22.9</v>
      </c>
      <c r="D16" s="64">
        <v>15.91</v>
      </c>
      <c r="E16" s="64">
        <v>5.65</v>
      </c>
      <c r="F16" s="64">
        <v>4.57</v>
      </c>
      <c r="G16" s="64">
        <v>297.89999999999998</v>
      </c>
      <c r="H16" s="64">
        <v>68.84</v>
      </c>
      <c r="I16" s="64">
        <v>4.1500000000000004</v>
      </c>
      <c r="J16" s="64">
        <v>0.15</v>
      </c>
      <c r="K16" s="64">
        <v>128.35</v>
      </c>
      <c r="L16" s="64">
        <v>17.57</v>
      </c>
      <c r="M16" s="64">
        <v>73.69</v>
      </c>
      <c r="N16" s="64">
        <v>25.7</v>
      </c>
      <c r="O16" s="64">
        <v>0</v>
      </c>
      <c r="P16" s="64">
        <v>0.71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1405</v>
      </c>
      <c r="B17" s="64">
        <v>6.52</v>
      </c>
      <c r="C17" s="64">
        <v>22.74</v>
      </c>
      <c r="D17" s="64">
        <v>15.73</v>
      </c>
      <c r="E17" s="64">
        <v>5.71</v>
      </c>
      <c r="F17" s="64">
        <v>4.38</v>
      </c>
      <c r="G17" s="64">
        <v>66.28</v>
      </c>
      <c r="H17" s="64">
        <v>61.26</v>
      </c>
      <c r="I17" s="64">
        <v>3.36</v>
      </c>
      <c r="J17" s="64">
        <v>0.19</v>
      </c>
      <c r="K17" s="64">
        <v>265.41000000000003</v>
      </c>
      <c r="L17" s="64">
        <v>17.45</v>
      </c>
      <c r="M17" s="64">
        <v>75.53</v>
      </c>
      <c r="N17" s="64">
        <v>25.9</v>
      </c>
      <c r="O17" s="64">
        <v>0</v>
      </c>
      <c r="P17" s="64">
        <v>0.69</v>
      </c>
      <c r="Q17" s="64">
        <v>9.6199999999999992</v>
      </c>
      <c r="R17" s="196"/>
      <c r="S17" s="196"/>
      <c r="T17" s="196"/>
      <c r="U17" s="196"/>
    </row>
    <row r="18" spans="1:21" s="12" customFormat="1" x14ac:dyDescent="0.25">
      <c r="A18" s="211" t="s">
        <v>1406</v>
      </c>
      <c r="B18" s="64">
        <v>6.47</v>
      </c>
      <c r="C18" s="64">
        <v>22.18</v>
      </c>
      <c r="D18" s="64">
        <v>15.4</v>
      </c>
      <c r="E18" s="64">
        <v>5.32</v>
      </c>
      <c r="F18" s="64">
        <v>4.1500000000000004</v>
      </c>
      <c r="G18" s="64">
        <v>66.28</v>
      </c>
      <c r="H18" s="64">
        <v>61.26</v>
      </c>
      <c r="I18" s="64">
        <v>3.34</v>
      </c>
      <c r="J18" s="64">
        <v>0.2</v>
      </c>
      <c r="K18" s="64">
        <v>189.35</v>
      </c>
      <c r="L18" s="64">
        <v>17.18</v>
      </c>
      <c r="M18" s="64">
        <v>75.959999999999994</v>
      </c>
      <c r="N18" s="64">
        <v>25.7</v>
      </c>
      <c r="O18" s="64">
        <v>0</v>
      </c>
      <c r="P18" s="64">
        <v>0.69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1407</v>
      </c>
      <c r="B19" s="64">
        <v>6.39</v>
      </c>
      <c r="C19" s="64">
        <v>21.52</v>
      </c>
      <c r="D19" s="64">
        <v>14.99</v>
      </c>
      <c r="E19" s="64">
        <v>5.62</v>
      </c>
      <c r="F19" s="64">
        <v>3.87</v>
      </c>
      <c r="G19" s="64">
        <v>66.28</v>
      </c>
      <c r="H19" s="64">
        <v>61.26</v>
      </c>
      <c r="I19" s="64">
        <v>3.65</v>
      </c>
      <c r="J19" s="64">
        <v>0.56999999999999995</v>
      </c>
      <c r="K19" s="64">
        <v>305.64</v>
      </c>
      <c r="L19" s="64">
        <v>16.84</v>
      </c>
      <c r="M19" s="64">
        <v>79.319999999999993</v>
      </c>
      <c r="N19" s="64">
        <v>26.2</v>
      </c>
      <c r="O19" s="64">
        <v>0</v>
      </c>
      <c r="P19" s="64">
        <v>0.73</v>
      </c>
      <c r="Q19" s="64">
        <v>9.6300000000000008</v>
      </c>
      <c r="R19" s="196"/>
      <c r="S19" s="196"/>
      <c r="T19" s="196"/>
      <c r="U19" s="196"/>
    </row>
    <row r="20" spans="1:21" s="12" customFormat="1" x14ac:dyDescent="0.25">
      <c r="A20" s="211" t="s">
        <v>1408</v>
      </c>
      <c r="B20" s="64">
        <v>6.45</v>
      </c>
      <c r="C20" s="64">
        <v>21.08</v>
      </c>
      <c r="D20" s="64">
        <v>14.82</v>
      </c>
      <c r="E20" s="64">
        <v>5.46</v>
      </c>
      <c r="F20" s="64">
        <v>3.95</v>
      </c>
      <c r="G20" s="64">
        <v>71.55</v>
      </c>
      <c r="H20" s="64">
        <v>53.38</v>
      </c>
      <c r="I20" s="64">
        <v>3.94</v>
      </c>
      <c r="J20" s="64">
        <v>0.18</v>
      </c>
      <c r="K20" s="64">
        <v>327.41000000000003</v>
      </c>
      <c r="L20" s="64">
        <v>16.14</v>
      </c>
      <c r="M20" s="64">
        <v>87.76</v>
      </c>
      <c r="N20" s="64">
        <v>26.2</v>
      </c>
      <c r="O20" s="64">
        <v>0</v>
      </c>
      <c r="P20" s="64">
        <v>0.67</v>
      </c>
      <c r="Q20" s="64">
        <v>9.6300000000000008</v>
      </c>
      <c r="R20" s="196"/>
      <c r="S20" s="196"/>
      <c r="T20" s="196"/>
      <c r="U20" s="196"/>
    </row>
    <row r="21" spans="1:21" s="12" customFormat="1" x14ac:dyDescent="0.25">
      <c r="A21" s="211" t="s">
        <v>1409</v>
      </c>
      <c r="B21" s="64">
        <v>6.75</v>
      </c>
      <c r="C21" s="64">
        <v>20.49</v>
      </c>
      <c r="D21" s="64">
        <v>14.74</v>
      </c>
      <c r="E21" s="64">
        <v>5.76</v>
      </c>
      <c r="F21" s="64">
        <v>3.92</v>
      </c>
      <c r="G21" s="64">
        <v>86.89</v>
      </c>
      <c r="H21" s="64">
        <v>38.29</v>
      </c>
      <c r="I21" s="64">
        <v>3.77</v>
      </c>
      <c r="J21" s="64">
        <v>0.12</v>
      </c>
      <c r="K21" s="64">
        <v>254.72</v>
      </c>
      <c r="L21" s="64">
        <v>15.74</v>
      </c>
      <c r="M21" s="64">
        <v>86.94</v>
      </c>
      <c r="N21" s="64">
        <v>26</v>
      </c>
      <c r="O21" s="64">
        <v>0</v>
      </c>
      <c r="P21" s="64">
        <v>0.7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1410</v>
      </c>
      <c r="B22" s="64">
        <v>6.83</v>
      </c>
      <c r="C22" s="64">
        <v>20.45</v>
      </c>
      <c r="D22" s="64">
        <v>14.78</v>
      </c>
      <c r="E22" s="64">
        <v>5.56</v>
      </c>
      <c r="F22" s="64">
        <v>3.54</v>
      </c>
      <c r="G22" s="64">
        <v>86.89</v>
      </c>
      <c r="H22" s="64">
        <v>38.29</v>
      </c>
      <c r="I22" s="64">
        <v>4.13</v>
      </c>
      <c r="J22" s="64">
        <v>0.57999999999999996</v>
      </c>
      <c r="K22" s="64">
        <v>338.73</v>
      </c>
      <c r="L22" s="64">
        <v>15.62</v>
      </c>
      <c r="M22" s="64">
        <v>90.1</v>
      </c>
      <c r="N22" s="64">
        <v>26</v>
      </c>
      <c r="O22" s="64">
        <v>0</v>
      </c>
      <c r="P22" s="64">
        <v>0.69</v>
      </c>
      <c r="Q22" s="64">
        <v>9.6300000000000008</v>
      </c>
      <c r="R22" s="196"/>
      <c r="S22" s="196"/>
      <c r="T22" s="196"/>
      <c r="U22" s="196"/>
    </row>
    <row r="23" spans="1:21" s="12" customFormat="1" x14ac:dyDescent="0.25">
      <c r="A23" s="211" t="s">
        <v>1411</v>
      </c>
      <c r="B23" s="64">
        <v>6.99</v>
      </c>
      <c r="C23" s="64">
        <v>20.7</v>
      </c>
      <c r="D23" s="64">
        <v>15.04</v>
      </c>
      <c r="E23" s="64">
        <v>5.45</v>
      </c>
      <c r="F23" s="64">
        <v>5.46</v>
      </c>
      <c r="G23" s="64">
        <v>86.89</v>
      </c>
      <c r="H23" s="64">
        <v>38.29</v>
      </c>
      <c r="I23" s="64">
        <v>3.69</v>
      </c>
      <c r="J23" s="64">
        <v>0.25</v>
      </c>
      <c r="K23" s="64">
        <v>326.05</v>
      </c>
      <c r="L23" s="64">
        <v>15.32</v>
      </c>
      <c r="M23" s="64">
        <v>92.3</v>
      </c>
      <c r="N23" s="64">
        <v>26</v>
      </c>
      <c r="O23" s="64">
        <v>0</v>
      </c>
      <c r="P23" s="64">
        <v>0.72</v>
      </c>
      <c r="Q23" s="64">
        <v>9.6300000000000008</v>
      </c>
      <c r="R23" s="196"/>
      <c r="S23" s="196"/>
      <c r="T23" s="196"/>
      <c r="U23" s="196"/>
    </row>
    <row r="24" spans="1:21" s="12" customFormat="1" x14ac:dyDescent="0.25">
      <c r="A24" s="211" t="s">
        <v>1412</v>
      </c>
      <c r="B24" s="64">
        <v>7.31</v>
      </c>
      <c r="C24" s="64">
        <v>20.86</v>
      </c>
      <c r="D24" s="64">
        <v>15.38</v>
      </c>
      <c r="E24" s="64">
        <v>5.03</v>
      </c>
      <c r="F24" s="64">
        <v>4.4000000000000004</v>
      </c>
      <c r="G24" s="64">
        <v>82.27</v>
      </c>
      <c r="H24" s="64">
        <v>38.409999999999997</v>
      </c>
      <c r="I24" s="64">
        <v>4.42</v>
      </c>
      <c r="J24" s="64">
        <v>0.56000000000000005</v>
      </c>
      <c r="K24" s="64">
        <v>309.44</v>
      </c>
      <c r="L24" s="64">
        <v>15.2</v>
      </c>
      <c r="M24" s="64">
        <v>92.62</v>
      </c>
      <c r="N24" s="64">
        <v>25.9</v>
      </c>
      <c r="O24" s="64">
        <v>0</v>
      </c>
      <c r="P24" s="64">
        <v>0.71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1413</v>
      </c>
      <c r="B25" s="64">
        <v>7.4</v>
      </c>
      <c r="C25" s="64">
        <v>21.37</v>
      </c>
      <c r="D25" s="64">
        <v>15.72</v>
      </c>
      <c r="E25" s="64">
        <v>4.33</v>
      </c>
      <c r="F25" s="64">
        <v>4.13</v>
      </c>
      <c r="G25" s="64">
        <v>68.83</v>
      </c>
      <c r="H25" s="64">
        <v>38.96</v>
      </c>
      <c r="I25" s="64">
        <v>4.7699999999999996</v>
      </c>
      <c r="J25" s="64">
        <v>0.5</v>
      </c>
      <c r="K25" s="64">
        <v>303.75</v>
      </c>
      <c r="L25" s="64">
        <v>15.17</v>
      </c>
      <c r="M25" s="64">
        <v>93.56</v>
      </c>
      <c r="N25" s="64">
        <v>26</v>
      </c>
      <c r="O25" s="64">
        <v>0</v>
      </c>
      <c r="P25" s="64">
        <v>0.7</v>
      </c>
      <c r="Q25" s="64">
        <v>9.61</v>
      </c>
      <c r="R25" s="196"/>
      <c r="S25" s="196"/>
      <c r="T25" s="196"/>
      <c r="U25" s="196"/>
    </row>
    <row r="26" spans="1:21" s="12" customFormat="1" x14ac:dyDescent="0.25">
      <c r="A26" s="211" t="s">
        <v>1414</v>
      </c>
      <c r="B26" s="64">
        <v>7.44</v>
      </c>
      <c r="C26" s="64">
        <v>21.45</v>
      </c>
      <c r="D26" s="64">
        <v>15.79</v>
      </c>
      <c r="E26" s="64">
        <v>4.45</v>
      </c>
      <c r="F26" s="64">
        <v>4.1100000000000003</v>
      </c>
      <c r="G26" s="64">
        <v>68.83</v>
      </c>
      <c r="H26" s="64">
        <v>38.96</v>
      </c>
      <c r="I26" s="64">
        <v>4.6900000000000004</v>
      </c>
      <c r="J26" s="64">
        <v>0.43</v>
      </c>
      <c r="K26" s="64">
        <v>354.37</v>
      </c>
      <c r="L26" s="64">
        <v>14.94</v>
      </c>
      <c r="M26" s="64">
        <v>95.75</v>
      </c>
      <c r="N26" s="64">
        <v>25.9</v>
      </c>
      <c r="O26" s="64">
        <v>0</v>
      </c>
      <c r="P26" s="64">
        <v>0.69</v>
      </c>
      <c r="Q26" s="64">
        <v>9.6300000000000008</v>
      </c>
      <c r="R26" s="196"/>
      <c r="S26" s="196"/>
      <c r="T26" s="196"/>
      <c r="U26" s="196"/>
    </row>
    <row r="27" spans="1:21" s="12" customFormat="1" x14ac:dyDescent="0.25">
      <c r="A27" s="211" t="s">
        <v>1415</v>
      </c>
      <c r="B27" s="64">
        <v>8.73</v>
      </c>
      <c r="C27" s="64">
        <v>22.09</v>
      </c>
      <c r="D27" s="64">
        <v>17.170000000000002</v>
      </c>
      <c r="E27" s="64">
        <v>4.72</v>
      </c>
      <c r="F27" s="64">
        <v>4.76</v>
      </c>
      <c r="G27" s="64">
        <v>68.83</v>
      </c>
      <c r="H27" s="64">
        <v>38.96</v>
      </c>
      <c r="I27" s="64">
        <v>4.6399999999999997</v>
      </c>
      <c r="J27" s="64">
        <v>0.26</v>
      </c>
      <c r="K27" s="64">
        <v>1.77</v>
      </c>
      <c r="L27" s="64">
        <v>14.91</v>
      </c>
      <c r="M27" s="64">
        <v>96.6</v>
      </c>
      <c r="N27" s="64">
        <v>25.8</v>
      </c>
      <c r="O27" s="64">
        <v>0</v>
      </c>
      <c r="P27" s="64">
        <v>0.7</v>
      </c>
      <c r="Q27" s="64">
        <v>9.6199999999999992</v>
      </c>
      <c r="R27" s="196"/>
      <c r="S27" s="196"/>
      <c r="T27" s="196"/>
      <c r="U27" s="196"/>
    </row>
    <row r="28" spans="1:21" s="12" customFormat="1" x14ac:dyDescent="0.25">
      <c r="A28" s="211" t="s">
        <v>1416</v>
      </c>
      <c r="B28" s="64">
        <v>10.130000000000001</v>
      </c>
      <c r="C28" s="64">
        <v>22.52</v>
      </c>
      <c r="D28" s="64">
        <v>18.52</v>
      </c>
      <c r="E28" s="64">
        <v>4.95</v>
      </c>
      <c r="F28" s="64">
        <v>4.8099999999999996</v>
      </c>
      <c r="G28" s="64">
        <v>79.680000000000007</v>
      </c>
      <c r="H28" s="64">
        <v>43.29</v>
      </c>
      <c r="I28" s="64">
        <v>4.59</v>
      </c>
      <c r="J28" s="64">
        <v>0.15</v>
      </c>
      <c r="K28" s="64">
        <v>53.65</v>
      </c>
      <c r="L28" s="64">
        <v>15.09</v>
      </c>
      <c r="M28" s="64">
        <v>94.21</v>
      </c>
      <c r="N28" s="64">
        <v>25.6</v>
      </c>
      <c r="O28" s="64">
        <v>0</v>
      </c>
      <c r="P28" s="64">
        <v>0.71</v>
      </c>
      <c r="Q28" s="64">
        <v>9.6199999999999992</v>
      </c>
      <c r="R28" s="196"/>
      <c r="S28" s="196"/>
      <c r="T28" s="196"/>
      <c r="U28" s="196"/>
    </row>
    <row r="29" spans="1:21" s="12" customFormat="1" x14ac:dyDescent="0.25">
      <c r="A29" s="211" t="s">
        <v>1417</v>
      </c>
      <c r="B29" s="64">
        <v>10.53</v>
      </c>
      <c r="C29" s="64">
        <v>23.07</v>
      </c>
      <c r="D29" s="64">
        <v>19.12</v>
      </c>
      <c r="E29" s="64">
        <v>4.82</v>
      </c>
      <c r="F29" s="64">
        <v>4.3499999999999996</v>
      </c>
      <c r="G29" s="64">
        <v>111.27</v>
      </c>
      <c r="H29" s="64">
        <v>51.58</v>
      </c>
      <c r="I29" s="64">
        <v>4.5599999999999996</v>
      </c>
      <c r="J29" s="64">
        <v>0.36</v>
      </c>
      <c r="K29" s="64">
        <v>305.64</v>
      </c>
      <c r="L29" s="64">
        <v>15.23</v>
      </c>
      <c r="M29" s="64">
        <v>92.29</v>
      </c>
      <c r="N29" s="64">
        <v>25.7</v>
      </c>
      <c r="O29" s="64">
        <v>0</v>
      </c>
      <c r="P29" s="64">
        <v>0.7</v>
      </c>
      <c r="Q29" s="64">
        <v>9.6199999999999992</v>
      </c>
      <c r="R29" s="196"/>
      <c r="S29" s="196"/>
      <c r="T29" s="196"/>
      <c r="U29" s="196"/>
    </row>
    <row r="30" spans="1:21" s="12" customFormat="1" x14ac:dyDescent="0.25">
      <c r="A30" s="211" t="s">
        <v>1418</v>
      </c>
      <c r="B30" s="64">
        <v>11.57</v>
      </c>
      <c r="C30" s="64">
        <v>23.33</v>
      </c>
      <c r="D30" s="64">
        <v>20.09</v>
      </c>
      <c r="E30" s="64">
        <v>5.09</v>
      </c>
      <c r="F30" s="64">
        <v>4.22</v>
      </c>
      <c r="G30" s="64">
        <v>111.27</v>
      </c>
      <c r="H30" s="64">
        <v>51.58</v>
      </c>
      <c r="I30" s="64">
        <v>4.32</v>
      </c>
      <c r="J30" s="64">
        <v>0.33</v>
      </c>
      <c r="K30" s="64">
        <v>347.69</v>
      </c>
      <c r="L30" s="64">
        <v>15.04</v>
      </c>
      <c r="M30" s="64">
        <v>94.05</v>
      </c>
      <c r="N30" s="64">
        <v>25.8</v>
      </c>
      <c r="O30" s="64">
        <v>0</v>
      </c>
      <c r="P30" s="64">
        <v>0.71</v>
      </c>
      <c r="Q30" s="64">
        <v>9.6300000000000008</v>
      </c>
      <c r="R30" s="196"/>
      <c r="S30" s="196"/>
      <c r="T30" s="196"/>
      <c r="U30" s="196"/>
    </row>
    <row r="31" spans="1:21" s="12" customFormat="1" x14ac:dyDescent="0.25">
      <c r="A31" s="211" t="s">
        <v>1419</v>
      </c>
      <c r="B31" s="64">
        <v>12.83</v>
      </c>
      <c r="C31" s="64">
        <v>22.61</v>
      </c>
      <c r="D31" s="64">
        <v>20.73</v>
      </c>
      <c r="E31" s="64">
        <v>5.09</v>
      </c>
      <c r="F31" s="64">
        <v>3.63</v>
      </c>
      <c r="G31" s="64">
        <v>111.27</v>
      </c>
      <c r="H31" s="64">
        <v>51.58</v>
      </c>
      <c r="I31" s="64">
        <v>4.1399999999999997</v>
      </c>
      <c r="J31" s="64">
        <v>0.3</v>
      </c>
      <c r="K31" s="64">
        <v>47.86</v>
      </c>
      <c r="L31" s="64">
        <v>15.11</v>
      </c>
      <c r="M31" s="64">
        <v>93</v>
      </c>
      <c r="N31" s="64">
        <v>25.5</v>
      </c>
      <c r="O31" s="64">
        <v>0</v>
      </c>
      <c r="P31" s="64">
        <v>0.74</v>
      </c>
      <c r="Q31" s="64">
        <v>9.6300000000000008</v>
      </c>
      <c r="R31" s="196"/>
      <c r="S31" s="196"/>
      <c r="T31" s="196"/>
      <c r="U31" s="196"/>
    </row>
    <row r="32" spans="1:21" s="12" customFormat="1" x14ac:dyDescent="0.25">
      <c r="A32" s="211" t="s">
        <v>1420</v>
      </c>
      <c r="B32" s="64">
        <v>13.37</v>
      </c>
      <c r="C32" s="64">
        <v>21.89</v>
      </c>
      <c r="D32" s="64">
        <v>20.78</v>
      </c>
      <c r="E32" s="64">
        <v>5.23</v>
      </c>
      <c r="F32" s="64">
        <v>3.69</v>
      </c>
      <c r="G32" s="64">
        <v>112.16</v>
      </c>
      <c r="H32" s="64">
        <v>52.3</v>
      </c>
      <c r="I32" s="64">
        <v>4.0999999999999996</v>
      </c>
      <c r="J32" s="64">
        <v>0.65</v>
      </c>
      <c r="K32" s="64">
        <v>341.03</v>
      </c>
      <c r="L32" s="64">
        <v>15.24</v>
      </c>
      <c r="M32" s="64">
        <v>92.82</v>
      </c>
      <c r="N32" s="64">
        <v>25.4</v>
      </c>
      <c r="O32" s="64">
        <v>0</v>
      </c>
      <c r="P32" s="64">
        <v>0.79</v>
      </c>
      <c r="Q32" s="64">
        <v>9.6300000000000008</v>
      </c>
      <c r="R32" s="196"/>
      <c r="S32" s="196"/>
      <c r="T32" s="196"/>
      <c r="U32" s="196"/>
    </row>
    <row r="33" spans="1:21" s="12" customFormat="1" x14ac:dyDescent="0.25">
      <c r="A33" s="211" t="s">
        <v>1421</v>
      </c>
      <c r="B33" s="64">
        <v>13.94</v>
      </c>
      <c r="C33" s="64">
        <v>21.89</v>
      </c>
      <c r="D33" s="64">
        <v>21.24</v>
      </c>
      <c r="E33" s="64">
        <v>5.01</v>
      </c>
      <c r="F33" s="64">
        <v>3.79</v>
      </c>
      <c r="G33" s="64">
        <v>114.76</v>
      </c>
      <c r="H33" s="64">
        <v>53.67</v>
      </c>
      <c r="I33" s="64">
        <v>4.0999999999999996</v>
      </c>
      <c r="J33" s="64">
        <v>0.19</v>
      </c>
      <c r="K33" s="64">
        <v>34.229999999999997</v>
      </c>
      <c r="L33" s="64">
        <v>15.22</v>
      </c>
      <c r="M33" s="64">
        <v>93.31</v>
      </c>
      <c r="N33" s="64">
        <v>26.8</v>
      </c>
      <c r="O33" s="64">
        <v>0</v>
      </c>
      <c r="P33" s="64">
        <v>0.8</v>
      </c>
      <c r="Q33" s="64">
        <v>9.6199999999999992</v>
      </c>
      <c r="R33" s="196"/>
      <c r="S33" s="196"/>
      <c r="T33" s="196"/>
      <c r="U33" s="196"/>
    </row>
    <row r="34" spans="1:21" s="12" customFormat="1" x14ac:dyDescent="0.25">
      <c r="A34" s="211" t="s">
        <v>1422</v>
      </c>
      <c r="B34" s="64">
        <v>15.07</v>
      </c>
      <c r="C34" s="64">
        <v>21.66</v>
      </c>
      <c r="D34" s="64">
        <v>22.02</v>
      </c>
      <c r="E34" s="64">
        <v>5.27</v>
      </c>
      <c r="F34" s="64">
        <v>3.73</v>
      </c>
      <c r="G34" s="64">
        <v>114.76</v>
      </c>
      <c r="H34" s="64">
        <v>53.67</v>
      </c>
      <c r="I34" s="64">
        <v>4.37</v>
      </c>
      <c r="J34" s="64">
        <v>0.26</v>
      </c>
      <c r="K34" s="64">
        <v>30.3</v>
      </c>
      <c r="L34" s="64">
        <v>15.17</v>
      </c>
      <c r="M34" s="64">
        <v>93.74</v>
      </c>
      <c r="N34" s="64">
        <v>30.4</v>
      </c>
      <c r="O34" s="64">
        <v>0</v>
      </c>
      <c r="P34" s="64">
        <v>0.83</v>
      </c>
      <c r="Q34" s="64">
        <v>9.6300000000000008</v>
      </c>
      <c r="R34" s="196"/>
      <c r="S34" s="196"/>
      <c r="T34" s="196"/>
      <c r="U34" s="196"/>
    </row>
    <row r="35" spans="1:21" s="12" customFormat="1" x14ac:dyDescent="0.25">
      <c r="A35" s="211" t="s">
        <v>1423</v>
      </c>
      <c r="B35" s="64">
        <v>15.94</v>
      </c>
      <c r="C35" s="64">
        <v>21.34</v>
      </c>
      <c r="D35" s="64">
        <v>22.55</v>
      </c>
      <c r="E35" s="64">
        <v>5.05</v>
      </c>
      <c r="F35" s="64">
        <v>3.97</v>
      </c>
      <c r="G35" s="64">
        <v>114.76</v>
      </c>
      <c r="H35" s="64">
        <v>53.67</v>
      </c>
      <c r="I35" s="64">
        <v>4.57</v>
      </c>
      <c r="J35" s="64">
        <v>0.35</v>
      </c>
      <c r="K35" s="64">
        <v>25.17</v>
      </c>
      <c r="L35" s="64">
        <v>15.34</v>
      </c>
      <c r="M35" s="64">
        <v>92.94</v>
      </c>
      <c r="N35" s="64">
        <v>44.5</v>
      </c>
      <c r="O35" s="64">
        <v>0</v>
      </c>
      <c r="P35" s="64">
        <v>0.81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1424</v>
      </c>
      <c r="B36" s="64">
        <v>16.59</v>
      </c>
      <c r="C36" s="64">
        <v>20.95</v>
      </c>
      <c r="D36" s="64">
        <v>22.87</v>
      </c>
      <c r="E36" s="64">
        <v>5.31</v>
      </c>
      <c r="F36" s="64">
        <v>4.25</v>
      </c>
      <c r="G36" s="64">
        <v>115.83</v>
      </c>
      <c r="H36" s="64">
        <v>52.88</v>
      </c>
      <c r="I36" s="64">
        <v>4.68</v>
      </c>
      <c r="J36" s="64">
        <v>0.93</v>
      </c>
      <c r="K36" s="64">
        <v>340.93</v>
      </c>
      <c r="L36" s="64">
        <v>15.96</v>
      </c>
      <c r="M36" s="64">
        <v>90.27</v>
      </c>
      <c r="N36" s="64">
        <v>61.3</v>
      </c>
      <c r="O36" s="64">
        <v>0</v>
      </c>
      <c r="P36" s="64">
        <v>0.9</v>
      </c>
      <c r="Q36" s="64">
        <v>9.6199999999999992</v>
      </c>
      <c r="R36" s="196"/>
      <c r="S36" s="196"/>
      <c r="T36" s="196"/>
      <c r="U36" s="196"/>
    </row>
    <row r="37" spans="1:21" s="12" customFormat="1" x14ac:dyDescent="0.25">
      <c r="A37" s="211" t="s">
        <v>1425</v>
      </c>
      <c r="B37" s="64">
        <v>18.170000000000002</v>
      </c>
      <c r="C37" s="64">
        <v>21.25</v>
      </c>
      <c r="D37" s="64">
        <v>24.3</v>
      </c>
      <c r="E37" s="64">
        <v>5.44</v>
      </c>
      <c r="F37" s="64">
        <v>4.1100000000000003</v>
      </c>
      <c r="G37" s="64">
        <v>118.97</v>
      </c>
      <c r="H37" s="64">
        <v>51.38</v>
      </c>
      <c r="I37" s="64">
        <v>4.67</v>
      </c>
      <c r="J37" s="64">
        <v>1.03</v>
      </c>
      <c r="K37" s="64">
        <v>337.9</v>
      </c>
      <c r="L37" s="64">
        <v>16.649999999999999</v>
      </c>
      <c r="M37" s="64">
        <v>86.18</v>
      </c>
      <c r="N37" s="64">
        <v>87.2</v>
      </c>
      <c r="O37" s="64">
        <v>0</v>
      </c>
      <c r="P37" s="64">
        <v>0.85</v>
      </c>
      <c r="Q37" s="64">
        <v>9.6300000000000008</v>
      </c>
      <c r="R37" s="196"/>
      <c r="S37" s="196"/>
      <c r="T37" s="196"/>
      <c r="U37" s="196"/>
    </row>
    <row r="38" spans="1:21" s="12" customFormat="1" x14ac:dyDescent="0.25">
      <c r="A38" s="211" t="s">
        <v>1426</v>
      </c>
      <c r="B38" s="64">
        <v>20.57</v>
      </c>
      <c r="C38" s="64">
        <v>21.63</v>
      </c>
      <c r="D38" s="64">
        <v>26.42</v>
      </c>
      <c r="E38" s="64">
        <v>6</v>
      </c>
      <c r="F38" s="64">
        <v>3.86</v>
      </c>
      <c r="G38" s="64">
        <v>118.97</v>
      </c>
      <c r="H38" s="64">
        <v>51.38</v>
      </c>
      <c r="I38" s="64">
        <v>4.8899999999999997</v>
      </c>
      <c r="J38" s="64">
        <v>1.06</v>
      </c>
      <c r="K38" s="64">
        <v>336.52</v>
      </c>
      <c r="L38" s="64">
        <v>17.57</v>
      </c>
      <c r="M38" s="64">
        <v>80.2</v>
      </c>
      <c r="N38" s="64">
        <v>152.1</v>
      </c>
      <c r="O38" s="64">
        <v>0</v>
      </c>
      <c r="P38" s="64">
        <v>0.86</v>
      </c>
      <c r="Q38" s="64">
        <v>9.6199999999999992</v>
      </c>
      <c r="R38" s="196"/>
      <c r="S38" s="196"/>
      <c r="T38" s="196"/>
      <c r="U38" s="196"/>
    </row>
    <row r="39" spans="1:21" s="12" customFormat="1" x14ac:dyDescent="0.25">
      <c r="A39" s="211" t="s">
        <v>1427</v>
      </c>
      <c r="B39" s="64">
        <v>21.46</v>
      </c>
      <c r="C39" s="64">
        <v>22.36</v>
      </c>
      <c r="D39" s="64">
        <v>27.51</v>
      </c>
      <c r="E39" s="64">
        <v>6.28</v>
      </c>
      <c r="F39" s="64">
        <v>4.33</v>
      </c>
      <c r="G39" s="64">
        <v>118.97</v>
      </c>
      <c r="H39" s="64">
        <v>51.38</v>
      </c>
      <c r="I39" s="64">
        <v>5.09</v>
      </c>
      <c r="J39" s="64">
        <v>0.67</v>
      </c>
      <c r="K39" s="64">
        <v>337.7</v>
      </c>
      <c r="L39" s="64">
        <v>19.600000000000001</v>
      </c>
      <c r="M39" s="64">
        <v>71.349999999999994</v>
      </c>
      <c r="N39" s="64">
        <v>205.7</v>
      </c>
      <c r="O39" s="64">
        <v>0</v>
      </c>
      <c r="P39" s="64">
        <v>0.85</v>
      </c>
      <c r="Q39" s="64">
        <v>9.6300000000000008</v>
      </c>
      <c r="R39" s="196"/>
      <c r="S39" s="196"/>
      <c r="T39" s="196"/>
      <c r="U39" s="196"/>
    </row>
    <row r="40" spans="1:21" s="12" customFormat="1" x14ac:dyDescent="0.25">
      <c r="A40" s="211" t="s">
        <v>1428</v>
      </c>
      <c r="B40" s="64">
        <v>22.06</v>
      </c>
      <c r="C40" s="64">
        <v>23.47</v>
      </c>
      <c r="D40" s="64">
        <v>28.57</v>
      </c>
      <c r="E40" s="64">
        <v>6.58</v>
      </c>
      <c r="F40" s="64">
        <v>4.0599999999999996</v>
      </c>
      <c r="G40" s="64">
        <v>119.58</v>
      </c>
      <c r="H40" s="64">
        <v>53.94</v>
      </c>
      <c r="I40" s="64">
        <v>5.04</v>
      </c>
      <c r="J40" s="64">
        <v>0.26</v>
      </c>
      <c r="K40" s="64">
        <v>64.959999999999994</v>
      </c>
      <c r="L40" s="64">
        <v>20.28</v>
      </c>
      <c r="M40" s="64">
        <v>69.11</v>
      </c>
      <c r="N40" s="64">
        <v>253.4</v>
      </c>
      <c r="O40" s="64">
        <v>0</v>
      </c>
      <c r="P40" s="64">
        <v>0.87</v>
      </c>
      <c r="Q40" s="64">
        <v>9.64</v>
      </c>
      <c r="R40" s="196"/>
      <c r="S40" s="196"/>
      <c r="T40" s="196"/>
      <c r="U40" s="196"/>
    </row>
    <row r="41" spans="1:21" s="12" customFormat="1" x14ac:dyDescent="0.25">
      <c r="A41" s="211" t="s">
        <v>1429</v>
      </c>
      <c r="B41" s="64">
        <v>22.7</v>
      </c>
      <c r="C41" s="64">
        <v>23.7</v>
      </c>
      <c r="D41" s="64">
        <v>29.21</v>
      </c>
      <c r="E41" s="64">
        <v>6.78</v>
      </c>
      <c r="F41" s="64">
        <v>4.59</v>
      </c>
      <c r="G41" s="64">
        <v>121.35</v>
      </c>
      <c r="H41" s="64">
        <v>64.180000000000007</v>
      </c>
      <c r="I41" s="64">
        <v>5.05</v>
      </c>
      <c r="J41" s="64">
        <v>0.87</v>
      </c>
      <c r="K41" s="64">
        <v>334.88</v>
      </c>
      <c r="L41" s="64">
        <v>22.09</v>
      </c>
      <c r="M41" s="64">
        <v>61.09</v>
      </c>
      <c r="N41" s="64">
        <v>295.5</v>
      </c>
      <c r="O41" s="64">
        <v>0</v>
      </c>
      <c r="P41" s="64">
        <v>0.88</v>
      </c>
      <c r="Q41" s="64">
        <v>9.6300000000000008</v>
      </c>
      <c r="R41" s="196"/>
      <c r="S41" s="196"/>
      <c r="T41" s="196"/>
      <c r="U41" s="196"/>
    </row>
    <row r="42" spans="1:21" s="12" customFormat="1" x14ac:dyDescent="0.25">
      <c r="A42" s="211" t="s">
        <v>1430</v>
      </c>
      <c r="B42" s="64">
        <v>23.26</v>
      </c>
      <c r="C42" s="64">
        <v>24.53</v>
      </c>
      <c r="D42" s="64">
        <v>30.09</v>
      </c>
      <c r="E42" s="64">
        <v>6.89</v>
      </c>
      <c r="F42" s="64">
        <v>4.46</v>
      </c>
      <c r="G42" s="64">
        <v>121.35</v>
      </c>
      <c r="H42" s="64">
        <v>64.180000000000007</v>
      </c>
      <c r="I42" s="64">
        <v>5.12</v>
      </c>
      <c r="J42" s="64">
        <v>0.68</v>
      </c>
      <c r="K42" s="64">
        <v>329.29</v>
      </c>
      <c r="L42" s="64">
        <v>23.44</v>
      </c>
      <c r="M42" s="64">
        <v>54.98</v>
      </c>
      <c r="N42" s="64">
        <v>340.8</v>
      </c>
      <c r="O42" s="64">
        <v>0</v>
      </c>
      <c r="P42" s="64">
        <v>0.89</v>
      </c>
      <c r="Q42" s="64">
        <v>9.64</v>
      </c>
      <c r="R42" s="196"/>
      <c r="S42" s="196"/>
      <c r="T42" s="196"/>
      <c r="U42" s="196"/>
    </row>
    <row r="43" spans="1:21" s="12" customFormat="1" x14ac:dyDescent="0.25">
      <c r="A43" s="211" t="s">
        <v>1431</v>
      </c>
      <c r="B43" s="64">
        <v>23.17</v>
      </c>
      <c r="C43" s="64">
        <v>25.43</v>
      </c>
      <c r="D43" s="64">
        <v>30.5</v>
      </c>
      <c r="E43" s="64">
        <v>6.62</v>
      </c>
      <c r="F43" s="64">
        <v>4.24</v>
      </c>
      <c r="G43" s="64">
        <v>121.35</v>
      </c>
      <c r="H43" s="64">
        <v>64.180000000000007</v>
      </c>
      <c r="I43" s="64">
        <v>5.15</v>
      </c>
      <c r="J43" s="64">
        <v>1.03</v>
      </c>
      <c r="K43" s="64">
        <v>339.12</v>
      </c>
      <c r="L43" s="64">
        <v>24.71</v>
      </c>
      <c r="M43" s="64">
        <v>51.33</v>
      </c>
      <c r="N43" s="64">
        <v>380.2</v>
      </c>
      <c r="O43" s="64">
        <v>0</v>
      </c>
      <c r="P43" s="64">
        <v>0.88</v>
      </c>
      <c r="Q43" s="64">
        <v>9.6199999999999992</v>
      </c>
      <c r="R43" s="196"/>
      <c r="S43" s="196"/>
      <c r="T43" s="196"/>
      <c r="U43" s="196"/>
    </row>
    <row r="44" spans="1:21" s="12" customFormat="1" x14ac:dyDescent="0.25">
      <c r="A44" s="211" t="s">
        <v>1432</v>
      </c>
      <c r="B44" s="64">
        <v>22.75</v>
      </c>
      <c r="C44" s="64">
        <v>26.45</v>
      </c>
      <c r="D44" s="64">
        <v>30.68</v>
      </c>
      <c r="E44" s="64">
        <v>6.54</v>
      </c>
      <c r="F44" s="64">
        <v>3.92</v>
      </c>
      <c r="G44" s="64">
        <v>116.85</v>
      </c>
      <c r="H44" s="64">
        <v>70.77</v>
      </c>
      <c r="I44" s="64">
        <v>5.24</v>
      </c>
      <c r="J44" s="64">
        <v>0.36</v>
      </c>
      <c r="K44" s="64">
        <v>57.18</v>
      </c>
      <c r="L44" s="64">
        <v>25.41</v>
      </c>
      <c r="M44" s="64">
        <v>48.96</v>
      </c>
      <c r="N44" s="64">
        <v>418.9</v>
      </c>
      <c r="O44" s="64">
        <v>0</v>
      </c>
      <c r="P44" s="64">
        <v>0.89</v>
      </c>
      <c r="Q44" s="64">
        <v>9.64</v>
      </c>
      <c r="R44" s="196"/>
      <c r="S44" s="196"/>
      <c r="T44" s="196"/>
      <c r="U44" s="196"/>
    </row>
    <row r="45" spans="1:21" s="12" customFormat="1" x14ac:dyDescent="0.25">
      <c r="A45" s="211" t="s">
        <v>1433</v>
      </c>
      <c r="B45" s="64">
        <v>21.88</v>
      </c>
      <c r="C45" s="64">
        <v>27.26</v>
      </c>
      <c r="D45" s="64">
        <v>30.42</v>
      </c>
      <c r="E45" s="64">
        <v>5.88</v>
      </c>
      <c r="F45" s="64">
        <v>4.2</v>
      </c>
      <c r="G45" s="64">
        <v>103.73</v>
      </c>
      <c r="H45" s="64">
        <v>83.4</v>
      </c>
      <c r="I45" s="64">
        <v>5.3</v>
      </c>
      <c r="J45" s="64">
        <v>0.66</v>
      </c>
      <c r="K45" s="64">
        <v>101.35</v>
      </c>
      <c r="L45" s="64">
        <v>23.22</v>
      </c>
      <c r="M45" s="64">
        <v>55.41</v>
      </c>
      <c r="N45" s="64">
        <v>457.1</v>
      </c>
      <c r="O45" s="64">
        <v>0</v>
      </c>
      <c r="P45" s="64">
        <v>0.87</v>
      </c>
      <c r="Q45" s="64">
        <v>9.64</v>
      </c>
      <c r="R45" s="196"/>
      <c r="S45" s="196"/>
      <c r="T45" s="196"/>
      <c r="U45" s="196"/>
    </row>
    <row r="46" spans="1:21" s="12" customFormat="1" x14ac:dyDescent="0.25">
      <c r="A46" s="211" t="s">
        <v>1434</v>
      </c>
      <c r="B46" s="64">
        <v>20.81</v>
      </c>
      <c r="C46" s="64">
        <v>27.76</v>
      </c>
      <c r="D46" s="64">
        <v>29.81</v>
      </c>
      <c r="E46" s="64">
        <v>6.03</v>
      </c>
      <c r="F46" s="64">
        <v>4.24</v>
      </c>
      <c r="G46" s="64">
        <v>103.73</v>
      </c>
      <c r="H46" s="64">
        <v>83.4</v>
      </c>
      <c r="I46" s="64">
        <v>5.37</v>
      </c>
      <c r="J46" s="64">
        <v>0.51</v>
      </c>
      <c r="K46" s="64">
        <v>95.22</v>
      </c>
      <c r="L46" s="64">
        <v>23.82</v>
      </c>
      <c r="M46" s="64">
        <v>54.15</v>
      </c>
      <c r="N46" s="64">
        <v>487.3</v>
      </c>
      <c r="O46" s="64">
        <v>0</v>
      </c>
      <c r="P46" s="64">
        <v>0.87</v>
      </c>
      <c r="Q46" s="64">
        <v>9.65</v>
      </c>
      <c r="R46" s="196"/>
      <c r="S46" s="196"/>
      <c r="T46" s="196"/>
      <c r="U46" s="196"/>
    </row>
    <row r="47" spans="1:21" s="12" customFormat="1" x14ac:dyDescent="0.25">
      <c r="A47" s="211" t="s">
        <v>1435</v>
      </c>
      <c r="B47" s="64">
        <v>20.5</v>
      </c>
      <c r="C47" s="64">
        <v>27.55</v>
      </c>
      <c r="D47" s="64">
        <v>29.46</v>
      </c>
      <c r="E47" s="64">
        <v>6.19</v>
      </c>
      <c r="F47" s="64">
        <v>3.85</v>
      </c>
      <c r="G47" s="64">
        <v>103.73</v>
      </c>
      <c r="H47" s="64">
        <v>83.4</v>
      </c>
      <c r="I47" s="64">
        <v>5.56</v>
      </c>
      <c r="J47" s="64">
        <v>1.49</v>
      </c>
      <c r="K47" s="64">
        <v>116.58</v>
      </c>
      <c r="L47" s="64">
        <v>23.59</v>
      </c>
      <c r="M47" s="64">
        <v>52.21</v>
      </c>
      <c r="N47" s="64">
        <v>523.20000000000005</v>
      </c>
      <c r="O47" s="64">
        <v>0</v>
      </c>
      <c r="P47" s="64">
        <v>0.85</v>
      </c>
      <c r="Q47" s="64">
        <v>9.6300000000000008</v>
      </c>
      <c r="R47" s="196"/>
      <c r="S47" s="196"/>
      <c r="T47" s="196"/>
      <c r="U47" s="196"/>
    </row>
    <row r="48" spans="1:21" s="12" customFormat="1" x14ac:dyDescent="0.25">
      <c r="A48" s="211" t="s">
        <v>1436</v>
      </c>
      <c r="B48" s="64">
        <v>20.440000000000001</v>
      </c>
      <c r="C48" s="64">
        <v>28.67</v>
      </c>
      <c r="D48" s="64">
        <v>29.99</v>
      </c>
      <c r="E48" s="64">
        <v>5.82</v>
      </c>
      <c r="F48" s="64">
        <v>4.09</v>
      </c>
      <c r="G48" s="64">
        <v>96.56</v>
      </c>
      <c r="H48" s="64">
        <v>72.14</v>
      </c>
      <c r="I48" s="64">
        <v>5.7</v>
      </c>
      <c r="J48" s="64">
        <v>2.04</v>
      </c>
      <c r="K48" s="64">
        <v>119.54</v>
      </c>
      <c r="L48" s="64">
        <v>23.25</v>
      </c>
      <c r="M48" s="64">
        <v>53.06</v>
      </c>
      <c r="N48" s="64">
        <v>550.4</v>
      </c>
      <c r="O48" s="64">
        <v>0</v>
      </c>
      <c r="P48" s="64">
        <v>0.83</v>
      </c>
      <c r="Q48" s="64">
        <v>9.6199999999999992</v>
      </c>
      <c r="R48" s="196"/>
      <c r="S48" s="196"/>
      <c r="T48" s="196"/>
      <c r="U48" s="196"/>
    </row>
    <row r="49" spans="1:21" s="12" customFormat="1" x14ac:dyDescent="0.25">
      <c r="A49" s="211" t="s">
        <v>1437</v>
      </c>
      <c r="B49" s="64">
        <v>19.87</v>
      </c>
      <c r="C49" s="64">
        <v>27.81</v>
      </c>
      <c r="D49" s="64">
        <v>29.09</v>
      </c>
      <c r="E49" s="64">
        <v>5.57</v>
      </c>
      <c r="F49" s="64">
        <v>4.12</v>
      </c>
      <c r="G49" s="64">
        <v>75.680000000000007</v>
      </c>
      <c r="H49" s="64">
        <v>50.59</v>
      </c>
      <c r="I49" s="64">
        <v>5.98</v>
      </c>
      <c r="J49" s="64">
        <v>1.54</v>
      </c>
      <c r="K49" s="64">
        <v>113.99</v>
      </c>
      <c r="L49" s="64">
        <v>23.6</v>
      </c>
      <c r="M49" s="64">
        <v>51.29</v>
      </c>
      <c r="N49" s="64">
        <v>580.4</v>
      </c>
      <c r="O49" s="64">
        <v>0</v>
      </c>
      <c r="P49" s="64">
        <v>0.8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1438</v>
      </c>
      <c r="B50" s="64">
        <v>19.12</v>
      </c>
      <c r="C50" s="64">
        <v>28.35</v>
      </c>
      <c r="D50" s="64">
        <v>28.76</v>
      </c>
      <c r="E50" s="64">
        <v>5.69</v>
      </c>
      <c r="F50" s="64">
        <v>4.09</v>
      </c>
      <c r="G50" s="64">
        <v>75.680000000000007</v>
      </c>
      <c r="H50" s="64">
        <v>50.59</v>
      </c>
      <c r="I50" s="64">
        <v>6.26</v>
      </c>
      <c r="J50" s="64">
        <v>0.82</v>
      </c>
      <c r="K50" s="64">
        <v>348.87</v>
      </c>
      <c r="L50" s="64">
        <v>25.55</v>
      </c>
      <c r="M50" s="64">
        <v>46.79</v>
      </c>
      <c r="N50" s="64">
        <v>610.4</v>
      </c>
      <c r="O50" s="64">
        <v>0</v>
      </c>
      <c r="P50" s="64">
        <v>0.79</v>
      </c>
      <c r="Q50" s="64">
        <v>9.6199999999999992</v>
      </c>
      <c r="R50" s="196"/>
      <c r="S50" s="196"/>
      <c r="T50" s="196"/>
      <c r="U50" s="196"/>
    </row>
    <row r="51" spans="1:21" s="12" customFormat="1" x14ac:dyDescent="0.25">
      <c r="A51" s="211" t="s">
        <v>1439</v>
      </c>
      <c r="B51" s="64">
        <v>19.05</v>
      </c>
      <c r="C51" s="64">
        <v>29.15</v>
      </c>
      <c r="D51" s="64">
        <v>29.13</v>
      </c>
      <c r="E51" s="64">
        <v>5.65</v>
      </c>
      <c r="F51" s="64">
        <v>3.95</v>
      </c>
      <c r="G51" s="64">
        <v>75.680000000000007</v>
      </c>
      <c r="H51" s="64">
        <v>50.59</v>
      </c>
      <c r="I51" s="64">
        <v>6.64</v>
      </c>
      <c r="J51" s="64">
        <v>1.56</v>
      </c>
      <c r="K51" s="64">
        <v>337.42</v>
      </c>
      <c r="L51" s="64">
        <v>28.98</v>
      </c>
      <c r="M51" s="64">
        <v>37.6</v>
      </c>
      <c r="N51" s="64">
        <v>635.6</v>
      </c>
      <c r="O51" s="64">
        <v>0</v>
      </c>
      <c r="P51" s="64">
        <v>0.8</v>
      </c>
      <c r="Q51" s="64">
        <v>9.6300000000000008</v>
      </c>
      <c r="R51" s="196"/>
      <c r="S51" s="196"/>
      <c r="T51" s="196"/>
      <c r="U51" s="196"/>
    </row>
    <row r="52" spans="1:21" s="12" customFormat="1" x14ac:dyDescent="0.25">
      <c r="A52" s="211" t="s">
        <v>1440</v>
      </c>
      <c r="B52" s="64">
        <v>19.07</v>
      </c>
      <c r="C52" s="64">
        <v>29.66</v>
      </c>
      <c r="D52" s="64">
        <v>29.41</v>
      </c>
      <c r="E52" s="64">
        <v>5.82</v>
      </c>
      <c r="F52" s="64">
        <v>4.21</v>
      </c>
      <c r="G52" s="64">
        <v>73.319999999999993</v>
      </c>
      <c r="H52" s="64">
        <v>48.02</v>
      </c>
      <c r="I52" s="64">
        <v>6.6</v>
      </c>
      <c r="J52" s="64">
        <v>0.51</v>
      </c>
      <c r="K52" s="64">
        <v>75.64</v>
      </c>
      <c r="L52" s="64">
        <v>26.96</v>
      </c>
      <c r="M52" s="64">
        <v>40.74</v>
      </c>
      <c r="N52" s="64">
        <v>676.5</v>
      </c>
      <c r="O52" s="64">
        <v>0</v>
      </c>
      <c r="P52" s="64">
        <v>0.77</v>
      </c>
      <c r="Q52" s="64">
        <v>9.6199999999999992</v>
      </c>
      <c r="R52" s="196"/>
      <c r="S52" s="196"/>
      <c r="T52" s="196"/>
      <c r="U52" s="196"/>
    </row>
    <row r="53" spans="1:21" s="12" customFormat="1" x14ac:dyDescent="0.25">
      <c r="A53" s="211" t="s">
        <v>1441</v>
      </c>
      <c r="B53" s="64">
        <v>18.38</v>
      </c>
      <c r="C53" s="64">
        <v>29.48</v>
      </c>
      <c r="D53" s="64">
        <v>28.76</v>
      </c>
      <c r="E53" s="64">
        <v>5.78</v>
      </c>
      <c r="F53" s="64">
        <v>3.93</v>
      </c>
      <c r="G53" s="64">
        <v>66.45</v>
      </c>
      <c r="H53" s="64">
        <v>43.09</v>
      </c>
      <c r="I53" s="64">
        <v>6.12</v>
      </c>
      <c r="J53" s="64">
        <v>0.92</v>
      </c>
      <c r="K53" s="64">
        <v>113.18</v>
      </c>
      <c r="L53" s="64">
        <v>25.84</v>
      </c>
      <c r="M53" s="64">
        <v>41.23</v>
      </c>
      <c r="N53" s="64">
        <v>641.1</v>
      </c>
      <c r="O53" s="64">
        <v>0</v>
      </c>
      <c r="P53" s="64">
        <v>0.76</v>
      </c>
      <c r="Q53" s="64">
        <v>9.6199999999999992</v>
      </c>
      <c r="R53" s="196"/>
      <c r="S53" s="196"/>
      <c r="T53" s="196"/>
      <c r="U53" s="196"/>
    </row>
    <row r="54" spans="1:21" s="12" customFormat="1" x14ac:dyDescent="0.25">
      <c r="A54" s="211" t="s">
        <v>1442</v>
      </c>
      <c r="B54" s="64">
        <v>17.21</v>
      </c>
      <c r="C54" s="64">
        <v>29.19</v>
      </c>
      <c r="D54" s="64">
        <v>27.68</v>
      </c>
      <c r="E54" s="64">
        <v>5.96</v>
      </c>
      <c r="F54" s="64">
        <v>3.91</v>
      </c>
      <c r="G54" s="64">
        <v>66.45</v>
      </c>
      <c r="H54" s="64">
        <v>43.09</v>
      </c>
      <c r="I54" s="64">
        <v>6.24</v>
      </c>
      <c r="J54" s="64">
        <v>0.56999999999999995</v>
      </c>
      <c r="K54" s="64">
        <v>74.84</v>
      </c>
      <c r="L54" s="64">
        <v>25.75</v>
      </c>
      <c r="M54" s="64">
        <v>40.07</v>
      </c>
      <c r="N54" s="64">
        <v>674.1</v>
      </c>
      <c r="O54" s="64">
        <v>0</v>
      </c>
      <c r="P54" s="64">
        <v>0.75</v>
      </c>
      <c r="Q54" s="64">
        <v>9.6199999999999992</v>
      </c>
      <c r="R54" s="196"/>
      <c r="S54" s="196"/>
      <c r="T54" s="196"/>
      <c r="U54" s="196"/>
    </row>
    <row r="55" spans="1:21" s="12" customFormat="1" x14ac:dyDescent="0.25">
      <c r="A55" s="211" t="s">
        <v>1443</v>
      </c>
      <c r="B55" s="64">
        <v>15.77</v>
      </c>
      <c r="C55" s="64">
        <v>28.79</v>
      </c>
      <c r="D55" s="64">
        <v>26.31</v>
      </c>
      <c r="E55" s="64">
        <v>5.79</v>
      </c>
      <c r="F55" s="64">
        <v>4.0199999999999996</v>
      </c>
      <c r="G55" s="64">
        <v>66.45</v>
      </c>
      <c r="H55" s="64">
        <v>43.09</v>
      </c>
      <c r="I55" s="64">
        <v>6.52</v>
      </c>
      <c r="J55" s="64">
        <v>0.18</v>
      </c>
      <c r="K55" s="64">
        <v>79.06</v>
      </c>
      <c r="L55" s="64">
        <v>27.44</v>
      </c>
      <c r="M55" s="64">
        <v>36.950000000000003</v>
      </c>
      <c r="N55" s="64">
        <v>660.7</v>
      </c>
      <c r="O55" s="64">
        <v>0</v>
      </c>
      <c r="P55" s="64">
        <v>0.72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1444</v>
      </c>
      <c r="B56" s="64">
        <v>14.05</v>
      </c>
      <c r="C56" s="64">
        <v>28.78</v>
      </c>
      <c r="D56" s="64">
        <v>24.93</v>
      </c>
      <c r="E56" s="64">
        <v>5.53</v>
      </c>
      <c r="F56" s="64">
        <v>4.12</v>
      </c>
      <c r="G56" s="64">
        <v>64.13</v>
      </c>
      <c r="H56" s="64">
        <v>40.880000000000003</v>
      </c>
      <c r="I56" s="64">
        <v>6.66</v>
      </c>
      <c r="J56" s="64">
        <v>1.27</v>
      </c>
      <c r="K56" s="64">
        <v>118.74</v>
      </c>
      <c r="L56" s="64">
        <v>25.48</v>
      </c>
      <c r="M56" s="64">
        <v>39.380000000000003</v>
      </c>
      <c r="N56" s="64">
        <v>659.7</v>
      </c>
      <c r="O56" s="64">
        <v>0</v>
      </c>
      <c r="P56" s="64">
        <v>0.72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1445</v>
      </c>
      <c r="B57" s="64">
        <v>11.66</v>
      </c>
      <c r="C57" s="64">
        <v>28.75</v>
      </c>
      <c r="D57" s="64">
        <v>23</v>
      </c>
      <c r="E57" s="64">
        <v>5.43</v>
      </c>
      <c r="F57" s="64">
        <v>4.74</v>
      </c>
      <c r="G57" s="64">
        <v>57.37</v>
      </c>
      <c r="H57" s="64">
        <v>32.01</v>
      </c>
      <c r="I57" s="64">
        <v>6.94</v>
      </c>
      <c r="J57" s="64">
        <v>0.61</v>
      </c>
      <c r="K57" s="64">
        <v>19.11</v>
      </c>
      <c r="L57" s="64">
        <v>26.18</v>
      </c>
      <c r="M57" s="64">
        <v>38.450000000000003</v>
      </c>
      <c r="N57" s="64">
        <v>623.29999999999995</v>
      </c>
      <c r="O57" s="64">
        <v>0</v>
      </c>
      <c r="P57" s="64">
        <v>0.69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1446</v>
      </c>
      <c r="B58" s="64">
        <v>9.85</v>
      </c>
      <c r="C58" s="64">
        <v>29.64</v>
      </c>
      <c r="D58" s="64">
        <v>22</v>
      </c>
      <c r="E58" s="64">
        <v>5.27</v>
      </c>
      <c r="F58" s="64">
        <v>5.16</v>
      </c>
      <c r="G58" s="64">
        <v>57.37</v>
      </c>
      <c r="H58" s="64">
        <v>32.01</v>
      </c>
      <c r="I58" s="64">
        <v>7.14</v>
      </c>
      <c r="J58" s="64">
        <v>0.78</v>
      </c>
      <c r="K58" s="64">
        <v>333.67</v>
      </c>
      <c r="L58" s="64">
        <v>28.18</v>
      </c>
      <c r="M58" s="64">
        <v>35.69</v>
      </c>
      <c r="N58" s="64">
        <v>584.20000000000005</v>
      </c>
      <c r="O58" s="64">
        <v>0</v>
      </c>
      <c r="P58" s="64">
        <v>0.68</v>
      </c>
      <c r="Q58" s="64">
        <v>9.6199999999999992</v>
      </c>
      <c r="R58" s="196"/>
      <c r="S58" s="196"/>
      <c r="T58" s="196"/>
      <c r="U58" s="196"/>
    </row>
    <row r="59" spans="1:21" s="12" customFormat="1" x14ac:dyDescent="0.25">
      <c r="A59" s="211" t="s">
        <v>1447</v>
      </c>
      <c r="B59" s="64">
        <v>8.5299999999999994</v>
      </c>
      <c r="C59" s="64">
        <v>31.13</v>
      </c>
      <c r="D59" s="64">
        <v>21.73</v>
      </c>
      <c r="E59" s="64">
        <v>5.44</v>
      </c>
      <c r="F59" s="64">
        <v>4.8</v>
      </c>
      <c r="G59" s="64">
        <v>57.37</v>
      </c>
      <c r="H59" s="64">
        <v>32.01</v>
      </c>
      <c r="I59" s="64">
        <v>7.11</v>
      </c>
      <c r="J59" s="64">
        <v>1.58</v>
      </c>
      <c r="K59" s="64">
        <v>111.66</v>
      </c>
      <c r="L59" s="64">
        <v>26.12</v>
      </c>
      <c r="M59" s="64">
        <v>37.42</v>
      </c>
      <c r="N59" s="64">
        <v>587.79999999999995</v>
      </c>
      <c r="O59" s="64">
        <v>0</v>
      </c>
      <c r="P59" s="64">
        <v>0.66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1448</v>
      </c>
      <c r="B60" s="64">
        <v>7.05</v>
      </c>
      <c r="C60" s="64">
        <v>30.34</v>
      </c>
      <c r="D60" s="64">
        <v>20.13</v>
      </c>
      <c r="E60" s="64">
        <v>5.26</v>
      </c>
      <c r="F60" s="64">
        <v>4.66</v>
      </c>
      <c r="G60" s="64">
        <v>56.72</v>
      </c>
      <c r="H60" s="64">
        <v>29.39</v>
      </c>
      <c r="I60" s="64">
        <v>6.94</v>
      </c>
      <c r="J60" s="64">
        <v>0.68</v>
      </c>
      <c r="K60" s="64">
        <v>356.28</v>
      </c>
      <c r="L60" s="64">
        <v>26.94</v>
      </c>
      <c r="M60" s="64">
        <v>35.270000000000003</v>
      </c>
      <c r="N60" s="64">
        <v>570.20000000000005</v>
      </c>
      <c r="O60" s="64">
        <v>0</v>
      </c>
      <c r="P60" s="64">
        <v>0.65</v>
      </c>
      <c r="Q60" s="64">
        <v>9.6300000000000008</v>
      </c>
      <c r="R60" s="196"/>
      <c r="S60" s="196"/>
      <c r="T60" s="196"/>
      <c r="U60" s="196"/>
    </row>
    <row r="61" spans="1:21" s="12" customFormat="1" x14ac:dyDescent="0.25">
      <c r="A61" s="211" t="s">
        <v>1449</v>
      </c>
      <c r="B61" s="64">
        <v>5.93</v>
      </c>
      <c r="C61" s="64">
        <v>31.31</v>
      </c>
      <c r="D61" s="64">
        <v>19.73</v>
      </c>
      <c r="E61" s="64">
        <v>5.29</v>
      </c>
      <c r="F61" s="64">
        <v>4.8099999999999996</v>
      </c>
      <c r="G61" s="64">
        <v>54.84</v>
      </c>
      <c r="H61" s="64">
        <v>24.38</v>
      </c>
      <c r="I61" s="64">
        <v>6.63</v>
      </c>
      <c r="J61" s="64">
        <v>0.72</v>
      </c>
      <c r="K61" s="64">
        <v>1.54</v>
      </c>
      <c r="L61" s="64">
        <v>27.14</v>
      </c>
      <c r="M61" s="64">
        <v>35.92</v>
      </c>
      <c r="N61" s="64">
        <v>475.1</v>
      </c>
      <c r="O61" s="64">
        <v>0</v>
      </c>
      <c r="P61" s="64">
        <v>0.62</v>
      </c>
      <c r="Q61" s="64">
        <v>9.6300000000000008</v>
      </c>
      <c r="R61" s="196"/>
      <c r="S61" s="196"/>
      <c r="T61" s="196"/>
      <c r="U61" s="196"/>
    </row>
    <row r="62" spans="1:21" s="12" customFormat="1" x14ac:dyDescent="0.25">
      <c r="A62" s="211" t="s">
        <v>1450</v>
      </c>
      <c r="B62" s="64">
        <v>5.19</v>
      </c>
      <c r="C62" s="64">
        <v>30.53</v>
      </c>
      <c r="D62" s="64">
        <v>18.739999999999998</v>
      </c>
      <c r="E62" s="64">
        <v>5.05</v>
      </c>
      <c r="F62" s="64">
        <v>5.0999999999999996</v>
      </c>
      <c r="G62" s="64">
        <v>54.84</v>
      </c>
      <c r="H62" s="64">
        <v>24.38</v>
      </c>
      <c r="I62" s="64">
        <v>6.3</v>
      </c>
      <c r="J62" s="64">
        <v>0.66</v>
      </c>
      <c r="K62" s="64">
        <v>332.28</v>
      </c>
      <c r="L62" s="64">
        <v>28.1</v>
      </c>
      <c r="M62" s="64">
        <v>33.630000000000003</v>
      </c>
      <c r="N62" s="64">
        <v>509.5</v>
      </c>
      <c r="O62" s="64">
        <v>0</v>
      </c>
      <c r="P62" s="64">
        <v>0.62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1451</v>
      </c>
      <c r="B63" s="64">
        <v>4.84</v>
      </c>
      <c r="C63" s="64">
        <v>31.34</v>
      </c>
      <c r="D63" s="64">
        <v>18.88</v>
      </c>
      <c r="E63" s="64">
        <v>5.58</v>
      </c>
      <c r="F63" s="64">
        <v>4.74</v>
      </c>
      <c r="G63" s="64">
        <v>54.84</v>
      </c>
      <c r="H63" s="64">
        <v>24.38</v>
      </c>
      <c r="I63" s="64">
        <v>5.98</v>
      </c>
      <c r="J63" s="64">
        <v>1.03</v>
      </c>
      <c r="K63" s="64">
        <v>347.91</v>
      </c>
      <c r="L63" s="64">
        <v>27.54</v>
      </c>
      <c r="M63" s="64">
        <v>35.630000000000003</v>
      </c>
      <c r="N63" s="64">
        <v>425.9</v>
      </c>
      <c r="O63" s="64">
        <v>0</v>
      </c>
      <c r="P63" s="64">
        <v>0.62</v>
      </c>
      <c r="Q63" s="64">
        <v>9.6300000000000008</v>
      </c>
      <c r="R63" s="196"/>
      <c r="S63" s="196"/>
      <c r="T63" s="196"/>
      <c r="U63" s="196"/>
    </row>
    <row r="64" spans="1:21" s="12" customFormat="1" x14ac:dyDescent="0.25">
      <c r="A64" s="211" t="s">
        <v>1452</v>
      </c>
      <c r="B64" s="64">
        <v>4.78</v>
      </c>
      <c r="C64" s="64">
        <v>31.52</v>
      </c>
      <c r="D64" s="64">
        <v>18.93</v>
      </c>
      <c r="E64" s="64">
        <v>5.34</v>
      </c>
      <c r="F64" s="64">
        <v>4.72</v>
      </c>
      <c r="G64" s="64">
        <v>56.85</v>
      </c>
      <c r="H64" s="64">
        <v>23.57</v>
      </c>
      <c r="I64" s="64">
        <v>5.89</v>
      </c>
      <c r="J64" s="64">
        <v>0.4</v>
      </c>
      <c r="K64" s="64">
        <v>36.42</v>
      </c>
      <c r="L64" s="64">
        <v>26.38</v>
      </c>
      <c r="M64" s="64">
        <v>37.299999999999997</v>
      </c>
      <c r="N64" s="64">
        <v>227.9</v>
      </c>
      <c r="O64" s="64">
        <v>0</v>
      </c>
      <c r="P64" s="64">
        <v>0.61</v>
      </c>
      <c r="Q64" s="64">
        <v>9.6199999999999992</v>
      </c>
      <c r="R64" s="196"/>
      <c r="S64" s="196"/>
      <c r="T64" s="196"/>
      <c r="U64" s="196"/>
    </row>
    <row r="65" spans="1:21" s="12" customFormat="1" x14ac:dyDescent="0.25">
      <c r="A65" s="211" t="s">
        <v>1453</v>
      </c>
      <c r="B65" s="64">
        <v>4.46</v>
      </c>
      <c r="C65" s="64">
        <v>29.73</v>
      </c>
      <c r="D65" s="64">
        <v>17.73</v>
      </c>
      <c r="E65" s="64">
        <v>5.57</v>
      </c>
      <c r="F65" s="64">
        <v>5.24</v>
      </c>
      <c r="G65" s="64">
        <v>62.7</v>
      </c>
      <c r="H65" s="64">
        <v>22.01</v>
      </c>
      <c r="I65" s="64">
        <v>5.98</v>
      </c>
      <c r="J65" s="64">
        <v>0.36</v>
      </c>
      <c r="K65" s="64">
        <v>23.35</v>
      </c>
      <c r="L65" s="64">
        <v>26.5</v>
      </c>
      <c r="M65" s="64">
        <v>36.9</v>
      </c>
      <c r="N65" s="64">
        <v>136.9</v>
      </c>
      <c r="O65" s="64">
        <v>0</v>
      </c>
      <c r="P65" s="64">
        <v>0.59</v>
      </c>
      <c r="Q65" s="64">
        <v>9.64</v>
      </c>
      <c r="R65" s="196"/>
      <c r="S65" s="196"/>
      <c r="T65" s="196"/>
      <c r="U65" s="196"/>
    </row>
    <row r="66" spans="1:21" s="12" customFormat="1" x14ac:dyDescent="0.25">
      <c r="A66" s="211" t="s">
        <v>1454</v>
      </c>
      <c r="B66" s="64">
        <v>4.3</v>
      </c>
      <c r="C66" s="64">
        <v>28.62</v>
      </c>
      <c r="D66" s="64">
        <v>17.03</v>
      </c>
      <c r="E66" s="64">
        <v>5.0199999999999996</v>
      </c>
      <c r="F66" s="64">
        <v>5.81</v>
      </c>
      <c r="G66" s="64">
        <v>62.7</v>
      </c>
      <c r="H66" s="64">
        <v>22.01</v>
      </c>
      <c r="I66" s="64">
        <v>4.8600000000000003</v>
      </c>
      <c r="J66" s="64">
        <v>0.52</v>
      </c>
      <c r="K66" s="64">
        <v>80.33</v>
      </c>
      <c r="L66" s="64">
        <v>25.52</v>
      </c>
      <c r="M66" s="64">
        <v>38.57</v>
      </c>
      <c r="N66" s="64">
        <v>128.80000000000001</v>
      </c>
      <c r="O66" s="64">
        <v>0</v>
      </c>
      <c r="P66" s="64">
        <v>0.52</v>
      </c>
      <c r="Q66" s="64">
        <v>9.6300000000000008</v>
      </c>
      <c r="R66" s="196"/>
      <c r="S66" s="196"/>
      <c r="T66" s="196"/>
      <c r="U66" s="196"/>
    </row>
    <row r="67" spans="1:21" s="12" customFormat="1" x14ac:dyDescent="0.25">
      <c r="A67" s="211" t="s">
        <v>1455</v>
      </c>
      <c r="B67" s="64">
        <v>4.1500000000000004</v>
      </c>
      <c r="C67" s="64">
        <v>27.77</v>
      </c>
      <c r="D67" s="64">
        <v>16.46</v>
      </c>
      <c r="E67" s="64">
        <v>5.0999999999999996</v>
      </c>
      <c r="F67" s="64">
        <v>5.64</v>
      </c>
      <c r="G67" s="64">
        <v>62.7</v>
      </c>
      <c r="H67" s="64">
        <v>22.01</v>
      </c>
      <c r="I67" s="64">
        <v>3.91</v>
      </c>
      <c r="J67" s="64">
        <v>0.4</v>
      </c>
      <c r="K67" s="64">
        <v>62.17</v>
      </c>
      <c r="L67" s="64">
        <v>25.39</v>
      </c>
      <c r="M67" s="64">
        <v>39.35</v>
      </c>
      <c r="N67" s="64">
        <v>134.4</v>
      </c>
      <c r="O67" s="64">
        <v>0</v>
      </c>
      <c r="P67" s="64">
        <v>0.53</v>
      </c>
      <c r="Q67" s="64">
        <v>9.6300000000000008</v>
      </c>
      <c r="R67" s="196"/>
      <c r="S67" s="196"/>
      <c r="T67" s="196"/>
      <c r="U67" s="196"/>
    </row>
    <row r="68" spans="1:21" s="12" customFormat="1" x14ac:dyDescent="0.25">
      <c r="A68" s="211" t="s">
        <v>1456</v>
      </c>
      <c r="B68" s="64">
        <v>4.09</v>
      </c>
      <c r="C68" s="64">
        <v>27.08</v>
      </c>
      <c r="D68" s="64">
        <v>16.05</v>
      </c>
      <c r="E68" s="64">
        <v>4.99</v>
      </c>
      <c r="F68" s="64">
        <v>5.56</v>
      </c>
      <c r="G68" s="64">
        <v>60.04</v>
      </c>
      <c r="H68" s="64">
        <v>22.68</v>
      </c>
      <c r="I68" s="64">
        <v>3.32</v>
      </c>
      <c r="J68" s="64">
        <v>0.4</v>
      </c>
      <c r="K68" s="64">
        <v>31.53</v>
      </c>
      <c r="L68" s="64">
        <v>25.23</v>
      </c>
      <c r="M68" s="64">
        <v>39.29</v>
      </c>
      <c r="N68" s="64">
        <v>150.69999999999999</v>
      </c>
      <c r="O68" s="64">
        <v>0</v>
      </c>
      <c r="P68" s="64">
        <v>0.53</v>
      </c>
      <c r="Q68" s="64">
        <v>9.6199999999999992</v>
      </c>
      <c r="R68" s="196"/>
      <c r="S68" s="196"/>
      <c r="T68" s="196"/>
      <c r="U68" s="196"/>
    </row>
    <row r="69" spans="1:21" s="12" customFormat="1" x14ac:dyDescent="0.25">
      <c r="A69" s="211" t="s">
        <v>1457</v>
      </c>
      <c r="B69" s="64">
        <v>4.04</v>
      </c>
      <c r="C69" s="64">
        <v>26.41</v>
      </c>
      <c r="D69" s="64">
        <v>15.66</v>
      </c>
      <c r="E69" s="64">
        <v>5.13</v>
      </c>
      <c r="F69" s="64">
        <v>5.51</v>
      </c>
      <c r="G69" s="64">
        <v>52.27</v>
      </c>
      <c r="H69" s="64">
        <v>23.95</v>
      </c>
      <c r="I69" s="64">
        <v>3.34</v>
      </c>
      <c r="J69" s="64">
        <v>0.74</v>
      </c>
      <c r="K69" s="64">
        <v>100.41</v>
      </c>
      <c r="L69" s="64">
        <v>25.01</v>
      </c>
      <c r="M69" s="64">
        <v>39.99</v>
      </c>
      <c r="N69" s="64">
        <v>103.9</v>
      </c>
      <c r="O69" s="64">
        <v>0</v>
      </c>
      <c r="P69" s="64">
        <v>0.5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1458</v>
      </c>
      <c r="B70" s="64">
        <v>3.96</v>
      </c>
      <c r="C70" s="64">
        <v>25.6</v>
      </c>
      <c r="D70" s="64">
        <v>15.17</v>
      </c>
      <c r="E70" s="64">
        <v>5.0999999999999996</v>
      </c>
      <c r="F70" s="64">
        <v>5.16</v>
      </c>
      <c r="G70" s="64">
        <v>52.27</v>
      </c>
      <c r="H70" s="64">
        <v>23.95</v>
      </c>
      <c r="I70" s="64">
        <v>2.87</v>
      </c>
      <c r="J70" s="64">
        <v>0.75</v>
      </c>
      <c r="K70" s="64">
        <v>106.57</v>
      </c>
      <c r="L70" s="64">
        <v>24.7</v>
      </c>
      <c r="M70" s="64">
        <v>40.630000000000003</v>
      </c>
      <c r="N70" s="64">
        <v>89.6</v>
      </c>
      <c r="O70" s="64">
        <v>0</v>
      </c>
      <c r="P70" s="64">
        <v>0.52</v>
      </c>
      <c r="Q70" s="64">
        <v>9.6300000000000008</v>
      </c>
      <c r="R70" s="196"/>
      <c r="S70" s="196"/>
      <c r="T70" s="196"/>
      <c r="U70" s="196"/>
    </row>
    <row r="71" spans="1:21" s="12" customFormat="1" x14ac:dyDescent="0.25">
      <c r="A71" s="211" t="s">
        <v>1459</v>
      </c>
      <c r="B71" s="64">
        <v>3.85</v>
      </c>
      <c r="C71" s="64">
        <v>24.78</v>
      </c>
      <c r="D71" s="64">
        <v>14.66</v>
      </c>
      <c r="E71" s="64">
        <v>4.79</v>
      </c>
      <c r="F71" s="64">
        <v>5.16</v>
      </c>
      <c r="G71" s="64">
        <v>52.27</v>
      </c>
      <c r="H71" s="64">
        <v>23.95</v>
      </c>
      <c r="I71" s="64">
        <v>2.7</v>
      </c>
      <c r="J71" s="64">
        <v>1.74</v>
      </c>
      <c r="K71" s="64">
        <v>122.63</v>
      </c>
      <c r="L71" s="64">
        <v>24.43</v>
      </c>
      <c r="M71" s="64">
        <v>41</v>
      </c>
      <c r="N71" s="64">
        <v>81</v>
      </c>
      <c r="O71" s="64">
        <v>0</v>
      </c>
      <c r="P71" s="64">
        <v>0.45</v>
      </c>
      <c r="Q71" s="64">
        <v>9.64</v>
      </c>
      <c r="R71" s="196"/>
      <c r="S71" s="196"/>
      <c r="T71" s="196"/>
      <c r="U71" s="196"/>
    </row>
    <row r="72" spans="1:21" s="12" customFormat="1" x14ac:dyDescent="0.25">
      <c r="A72" s="211" t="s">
        <v>1460</v>
      </c>
      <c r="B72" s="64">
        <v>3.64</v>
      </c>
      <c r="C72" s="64">
        <v>24.29</v>
      </c>
      <c r="D72" s="64">
        <v>14.23</v>
      </c>
      <c r="E72" s="64">
        <v>6.97</v>
      </c>
      <c r="F72" s="64">
        <v>5.14</v>
      </c>
      <c r="G72" s="64">
        <v>48.19</v>
      </c>
      <c r="H72" s="64">
        <v>21.27</v>
      </c>
      <c r="I72" s="64">
        <v>2.92</v>
      </c>
      <c r="J72" s="64">
        <v>0.94</v>
      </c>
      <c r="K72" s="64">
        <v>110.6</v>
      </c>
      <c r="L72" s="64">
        <v>24.2</v>
      </c>
      <c r="M72" s="64">
        <v>41.87</v>
      </c>
      <c r="N72" s="64">
        <v>72.7</v>
      </c>
      <c r="O72" s="64">
        <v>0</v>
      </c>
      <c r="P72" s="64">
        <v>0.54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1461</v>
      </c>
      <c r="B73" s="64">
        <v>3.54</v>
      </c>
      <c r="C73" s="64">
        <v>24.54</v>
      </c>
      <c r="D73" s="64">
        <v>14.28</v>
      </c>
      <c r="E73" s="64">
        <v>6.96</v>
      </c>
      <c r="F73" s="64">
        <v>5.31</v>
      </c>
      <c r="G73" s="64">
        <v>36.299999999999997</v>
      </c>
      <c r="H73" s="64">
        <v>10.54</v>
      </c>
      <c r="I73" s="64">
        <v>3.44</v>
      </c>
      <c r="J73" s="64">
        <v>0.18</v>
      </c>
      <c r="K73" s="64">
        <v>34.74</v>
      </c>
      <c r="L73" s="64">
        <v>24.15</v>
      </c>
      <c r="M73" s="64">
        <v>40.65</v>
      </c>
      <c r="N73" s="64">
        <v>64</v>
      </c>
      <c r="O73" s="64">
        <v>0</v>
      </c>
      <c r="P73" s="64">
        <v>0.6</v>
      </c>
      <c r="Q73" s="64">
        <v>9.6300000000000008</v>
      </c>
      <c r="R73" s="196"/>
      <c r="S73" s="196"/>
      <c r="T73" s="196"/>
      <c r="U73" s="196"/>
    </row>
    <row r="74" spans="1:21" s="12" customFormat="1" x14ac:dyDescent="0.25">
      <c r="A74" s="211" t="s">
        <v>1462</v>
      </c>
      <c r="B74" s="64">
        <v>3.9</v>
      </c>
      <c r="C74" s="64">
        <v>25.63</v>
      </c>
      <c r="D74" s="64">
        <v>15.14</v>
      </c>
      <c r="E74" s="64">
        <v>7.06</v>
      </c>
      <c r="F74" s="64">
        <v>5.04</v>
      </c>
      <c r="G74" s="64">
        <v>36.299999999999997</v>
      </c>
      <c r="H74" s="64">
        <v>10.54</v>
      </c>
      <c r="I74" s="64">
        <v>5.25</v>
      </c>
      <c r="J74" s="64">
        <v>0.77</v>
      </c>
      <c r="K74" s="64">
        <v>114.39</v>
      </c>
      <c r="L74" s="64">
        <v>23.93</v>
      </c>
      <c r="M74" s="64">
        <v>40.869999999999997</v>
      </c>
      <c r="N74" s="64">
        <v>56.9</v>
      </c>
      <c r="O74" s="64">
        <v>0</v>
      </c>
      <c r="P74" s="64">
        <v>0.5</v>
      </c>
      <c r="Q74" s="64">
        <v>9.6199999999999992</v>
      </c>
      <c r="R74" s="196"/>
      <c r="S74" s="196"/>
      <c r="T74" s="196"/>
      <c r="U74" s="196"/>
    </row>
    <row r="75" spans="1:21" s="12" customFormat="1" x14ac:dyDescent="0.25">
      <c r="A75" s="211" t="s">
        <v>1463</v>
      </c>
      <c r="B75" s="64">
        <v>3.67</v>
      </c>
      <c r="C75" s="64">
        <v>25.7</v>
      </c>
      <c r="D75" s="64">
        <v>14.99</v>
      </c>
      <c r="E75" s="64">
        <v>6.93</v>
      </c>
      <c r="F75" s="64">
        <v>5.19</v>
      </c>
      <c r="G75" s="64">
        <v>36.299999999999997</v>
      </c>
      <c r="H75" s="64">
        <v>10.54</v>
      </c>
      <c r="I75" s="64">
        <v>5.12</v>
      </c>
      <c r="J75" s="64">
        <v>0.32</v>
      </c>
      <c r="K75" s="64">
        <v>100.23</v>
      </c>
      <c r="L75" s="64">
        <v>23.68</v>
      </c>
      <c r="M75" s="64">
        <v>41.53</v>
      </c>
      <c r="N75" s="64">
        <v>48.8</v>
      </c>
      <c r="O75" s="64">
        <v>0</v>
      </c>
      <c r="P75" s="64">
        <v>0.52</v>
      </c>
      <c r="Q75" s="64">
        <v>9.61</v>
      </c>
      <c r="R75" s="196"/>
      <c r="S75" s="196"/>
      <c r="T75" s="196"/>
      <c r="U75" s="196"/>
    </row>
    <row r="76" spans="1:21" s="12" customFormat="1" x14ac:dyDescent="0.25">
      <c r="A76" s="211" t="s">
        <v>1464</v>
      </c>
      <c r="B76" s="64">
        <v>3.5</v>
      </c>
      <c r="C76" s="64">
        <v>25.66</v>
      </c>
      <c r="D76" s="64">
        <v>14.83</v>
      </c>
      <c r="E76" s="64">
        <v>7.01</v>
      </c>
      <c r="F76" s="64">
        <v>5.21</v>
      </c>
      <c r="G76" s="64">
        <v>36.86</v>
      </c>
      <c r="H76" s="64">
        <v>14.23</v>
      </c>
      <c r="I76" s="64">
        <v>3.48</v>
      </c>
      <c r="J76" s="64">
        <v>0.69</v>
      </c>
      <c r="K76" s="64">
        <v>109.96</v>
      </c>
      <c r="L76" s="64">
        <v>23.39</v>
      </c>
      <c r="M76" s="64">
        <v>42.75</v>
      </c>
      <c r="N76" s="64">
        <v>40.299999999999997</v>
      </c>
      <c r="O76" s="64">
        <v>0</v>
      </c>
      <c r="P76" s="64">
        <v>0.53</v>
      </c>
      <c r="Q76" s="64">
        <v>9.61</v>
      </c>
      <c r="R76" s="196"/>
      <c r="S76" s="196"/>
      <c r="T76" s="196"/>
      <c r="U76" s="196"/>
    </row>
    <row r="77" spans="1:21" s="12" customFormat="1" x14ac:dyDescent="0.25">
      <c r="A77" s="211" t="s">
        <v>1465</v>
      </c>
      <c r="B77" s="64">
        <v>3.36</v>
      </c>
      <c r="C77" s="64">
        <v>26.38</v>
      </c>
      <c r="D77" s="64">
        <v>15.1</v>
      </c>
      <c r="E77" s="64">
        <v>6.65</v>
      </c>
      <c r="F77" s="64">
        <v>4.97</v>
      </c>
      <c r="G77" s="64">
        <v>38.5</v>
      </c>
      <c r="H77" s="64">
        <v>21.28</v>
      </c>
      <c r="I77" s="64">
        <v>3.52</v>
      </c>
      <c r="J77" s="64">
        <v>0.47</v>
      </c>
      <c r="K77" s="64">
        <v>113.3</v>
      </c>
      <c r="L77" s="64">
        <v>23.04</v>
      </c>
      <c r="M77" s="64">
        <v>42.94</v>
      </c>
      <c r="N77" s="64">
        <v>32.700000000000003</v>
      </c>
      <c r="O77" s="64">
        <v>0</v>
      </c>
      <c r="P77" s="64">
        <v>0.53</v>
      </c>
      <c r="Q77" s="64">
        <v>9.61</v>
      </c>
      <c r="R77" s="196"/>
      <c r="S77" s="196"/>
      <c r="T77" s="196"/>
      <c r="U77" s="196"/>
    </row>
    <row r="78" spans="1:21" s="12" customFormat="1" x14ac:dyDescent="0.25">
      <c r="A78" s="211" t="s">
        <v>1466</v>
      </c>
      <c r="B78" s="64">
        <v>3.14</v>
      </c>
      <c r="C78" s="64">
        <v>26.61</v>
      </c>
      <c r="D78" s="64">
        <v>15.04</v>
      </c>
      <c r="E78" s="64">
        <v>6.73</v>
      </c>
      <c r="F78" s="64">
        <v>5.39</v>
      </c>
      <c r="G78" s="64">
        <v>38.5</v>
      </c>
      <c r="H78" s="64">
        <v>21.28</v>
      </c>
      <c r="I78" s="64">
        <v>4.1900000000000004</v>
      </c>
      <c r="J78" s="64">
        <v>0.41</v>
      </c>
      <c r="K78" s="64">
        <v>92.62</v>
      </c>
      <c r="L78" s="64">
        <v>22.59</v>
      </c>
      <c r="M78" s="64">
        <v>45.4</v>
      </c>
      <c r="N78" s="64">
        <v>28</v>
      </c>
      <c r="O78" s="64">
        <v>0</v>
      </c>
      <c r="P78" s="64">
        <v>0.56000000000000005</v>
      </c>
      <c r="Q78" s="64">
        <v>9.6199999999999992</v>
      </c>
      <c r="R78" s="196"/>
      <c r="S78" s="196"/>
      <c r="T78" s="196"/>
      <c r="U78" s="196"/>
    </row>
    <row r="79" spans="1:21" s="12" customFormat="1" x14ac:dyDescent="0.25">
      <c r="A79" s="211" t="s">
        <v>1467</v>
      </c>
      <c r="B79" s="64">
        <v>2.86</v>
      </c>
      <c r="C79" s="64">
        <v>26.48</v>
      </c>
      <c r="D79" s="64">
        <v>14.75</v>
      </c>
      <c r="E79" s="64">
        <v>7.15</v>
      </c>
      <c r="F79" s="64">
        <v>5.48</v>
      </c>
      <c r="G79" s="64">
        <v>38.5</v>
      </c>
      <c r="H79" s="64">
        <v>21.28</v>
      </c>
      <c r="I79" s="64">
        <v>3.09</v>
      </c>
      <c r="J79" s="64">
        <v>0.62</v>
      </c>
      <c r="K79" s="64">
        <v>103.57</v>
      </c>
      <c r="L79" s="64">
        <v>22.34</v>
      </c>
      <c r="M79" s="64">
        <v>45.76</v>
      </c>
      <c r="N79" s="64">
        <v>26.2</v>
      </c>
      <c r="O79" s="64">
        <v>0</v>
      </c>
      <c r="P79" s="64">
        <v>0.56000000000000005</v>
      </c>
      <c r="Q79" s="64">
        <v>9.6300000000000008</v>
      </c>
      <c r="R79" s="196"/>
      <c r="S79" s="196"/>
      <c r="T79" s="196"/>
      <c r="U79" s="196"/>
    </row>
    <row r="80" spans="1:21" s="12" customFormat="1" x14ac:dyDescent="0.25">
      <c r="A80" s="211" t="s">
        <v>1468</v>
      </c>
      <c r="B80" s="64">
        <v>2.71</v>
      </c>
      <c r="C80" s="64">
        <v>26.23</v>
      </c>
      <c r="D80" s="64">
        <v>14.5</v>
      </c>
      <c r="E80" s="64">
        <v>7.16</v>
      </c>
      <c r="F80" s="64">
        <v>5.61</v>
      </c>
      <c r="G80" s="64">
        <v>43.43</v>
      </c>
      <c r="H80" s="64">
        <v>17.48</v>
      </c>
      <c r="I80" s="64">
        <v>2.65</v>
      </c>
      <c r="J80" s="64">
        <v>1.1200000000000001</v>
      </c>
      <c r="K80" s="64">
        <v>120.89</v>
      </c>
      <c r="L80" s="64">
        <v>22.21</v>
      </c>
      <c r="M80" s="64">
        <v>47.7</v>
      </c>
      <c r="N80" s="64">
        <v>25.7</v>
      </c>
      <c r="O80" s="64">
        <v>0</v>
      </c>
      <c r="P80" s="64">
        <v>0.56999999999999995</v>
      </c>
      <c r="Q80" s="64">
        <v>9.61</v>
      </c>
      <c r="R80" s="196"/>
      <c r="S80" s="196"/>
      <c r="T80" s="196"/>
      <c r="U80" s="196"/>
    </row>
    <row r="81" spans="1:26" s="12" customFormat="1" x14ac:dyDescent="0.25">
      <c r="A81" s="211" t="s">
        <v>1469</v>
      </c>
      <c r="B81" s="64">
        <v>2.64</v>
      </c>
      <c r="C81" s="64">
        <v>26.14</v>
      </c>
      <c r="D81" s="64">
        <v>14.4</v>
      </c>
      <c r="E81" s="64">
        <v>6.83</v>
      </c>
      <c r="F81" s="64">
        <v>4.88</v>
      </c>
      <c r="G81" s="64">
        <v>57.8</v>
      </c>
      <c r="H81" s="64">
        <v>10.210000000000001</v>
      </c>
      <c r="I81" s="64">
        <v>4.16</v>
      </c>
      <c r="J81" s="64">
        <v>1.44</v>
      </c>
      <c r="K81" s="64">
        <v>119.28</v>
      </c>
      <c r="L81" s="64">
        <v>22.21</v>
      </c>
      <c r="M81" s="64">
        <v>48.4</v>
      </c>
      <c r="N81" s="64">
        <v>25.4</v>
      </c>
      <c r="O81" s="64">
        <v>0</v>
      </c>
      <c r="P81" s="64">
        <v>0.55000000000000004</v>
      </c>
      <c r="Q81" s="64">
        <v>9.6199999999999992</v>
      </c>
      <c r="R81" s="196"/>
      <c r="S81" s="196"/>
      <c r="T81" s="196"/>
      <c r="U81" s="196"/>
    </row>
    <row r="82" spans="1:26" s="12" customFormat="1" x14ac:dyDescent="0.25">
      <c r="A82" s="211" t="s">
        <v>1470</v>
      </c>
      <c r="B82" s="64">
        <v>2.69</v>
      </c>
      <c r="C82" s="64">
        <v>24.51</v>
      </c>
      <c r="D82" s="64">
        <v>13.59</v>
      </c>
      <c r="E82" s="64">
        <v>6.68</v>
      </c>
      <c r="F82" s="64">
        <v>5.65</v>
      </c>
      <c r="G82" s="64">
        <v>57.8</v>
      </c>
      <c r="H82" s="64">
        <v>10.210000000000001</v>
      </c>
      <c r="I82" s="64">
        <v>4.93</v>
      </c>
      <c r="J82" s="64">
        <v>0.52</v>
      </c>
      <c r="K82" s="64">
        <v>96.79</v>
      </c>
      <c r="L82" s="64">
        <v>21.8</v>
      </c>
      <c r="M82" s="64">
        <v>51.36</v>
      </c>
      <c r="N82" s="64">
        <v>26.2</v>
      </c>
      <c r="O82" s="64">
        <v>0</v>
      </c>
      <c r="P82" s="64">
        <v>0.57999999999999996</v>
      </c>
      <c r="Q82" s="64">
        <v>9.6199999999999992</v>
      </c>
      <c r="R82" s="196"/>
      <c r="S82" s="196"/>
      <c r="T82" s="196"/>
      <c r="U82" s="196"/>
    </row>
    <row r="83" spans="1:26" s="12" customFormat="1" x14ac:dyDescent="0.25">
      <c r="A83" s="211" t="s">
        <v>1471</v>
      </c>
      <c r="B83" s="64">
        <v>2.84</v>
      </c>
      <c r="C83" s="64">
        <v>24.1</v>
      </c>
      <c r="D83" s="64">
        <v>13.49</v>
      </c>
      <c r="E83" s="64">
        <v>6.69</v>
      </c>
      <c r="F83" s="64">
        <v>5.58</v>
      </c>
      <c r="G83" s="64">
        <v>57.8</v>
      </c>
      <c r="H83" s="64">
        <v>10.210000000000001</v>
      </c>
      <c r="I83" s="64">
        <v>3.91</v>
      </c>
      <c r="J83" s="64">
        <v>0.73</v>
      </c>
      <c r="K83" s="64">
        <v>110.35</v>
      </c>
      <c r="L83" s="64">
        <v>21.5</v>
      </c>
      <c r="M83" s="64">
        <v>52.76</v>
      </c>
      <c r="N83" s="64">
        <v>25.9</v>
      </c>
      <c r="O83" s="64">
        <v>0</v>
      </c>
      <c r="P83" s="64">
        <v>0.66</v>
      </c>
      <c r="Q83" s="64">
        <v>9.61</v>
      </c>
      <c r="R83" s="196"/>
      <c r="S83" s="196"/>
      <c r="T83" s="196"/>
      <c r="U83" s="196"/>
    </row>
    <row r="84" spans="1:26" s="12" customFormat="1" x14ac:dyDescent="0.25">
      <c r="A84" s="211" t="s">
        <v>1472</v>
      </c>
      <c r="B84" s="64">
        <v>3.01</v>
      </c>
      <c r="C84" s="64">
        <v>23.84</v>
      </c>
      <c r="D84" s="64">
        <v>13.49</v>
      </c>
      <c r="E84" s="64">
        <v>6.71</v>
      </c>
      <c r="F84" s="64">
        <v>5.54</v>
      </c>
      <c r="G84" s="64">
        <v>63.97</v>
      </c>
      <c r="H84" s="64">
        <v>22.03</v>
      </c>
      <c r="I84" s="64">
        <v>4.12</v>
      </c>
      <c r="J84" s="64">
        <v>0.38</v>
      </c>
      <c r="K84" s="64">
        <v>89.25</v>
      </c>
      <c r="L84" s="64">
        <v>21.32</v>
      </c>
      <c r="M84" s="64">
        <v>54.2</v>
      </c>
      <c r="N84" s="64">
        <v>26</v>
      </c>
      <c r="O84" s="64">
        <v>0</v>
      </c>
      <c r="P84" s="64">
        <v>0.83</v>
      </c>
      <c r="Q84" s="64">
        <v>9.6199999999999992</v>
      </c>
      <c r="R84" s="196"/>
      <c r="S84" s="196"/>
      <c r="T84" s="196"/>
      <c r="U84" s="196"/>
    </row>
    <row r="85" spans="1:26" s="12" customFormat="1" x14ac:dyDescent="0.25">
      <c r="A85" s="211" t="s">
        <v>1473</v>
      </c>
      <c r="B85" s="64">
        <v>3.22</v>
      </c>
      <c r="C85" s="64">
        <v>23.84</v>
      </c>
      <c r="D85" s="64">
        <v>13.66</v>
      </c>
      <c r="E85" s="64">
        <v>6.64</v>
      </c>
      <c r="F85" s="64">
        <v>6.54</v>
      </c>
      <c r="G85" s="64">
        <v>81.94</v>
      </c>
      <c r="H85" s="64">
        <v>44.64</v>
      </c>
      <c r="I85" s="64">
        <v>4.08</v>
      </c>
      <c r="J85" s="64">
        <v>0.94</v>
      </c>
      <c r="K85" s="64">
        <v>109.9</v>
      </c>
      <c r="L85" s="64">
        <v>21.08</v>
      </c>
      <c r="M85" s="64">
        <v>55.56</v>
      </c>
      <c r="N85" s="64">
        <v>25.7</v>
      </c>
      <c r="O85" s="64">
        <v>0</v>
      </c>
      <c r="P85" s="64">
        <v>0.65</v>
      </c>
      <c r="Q85" s="64">
        <v>9.6300000000000008</v>
      </c>
      <c r="R85" s="196"/>
      <c r="S85" s="196"/>
      <c r="T85" s="196"/>
      <c r="U85" s="196"/>
    </row>
    <row r="86" spans="1:26" s="12" customFormat="1" x14ac:dyDescent="0.25">
      <c r="A86" s="211" t="s">
        <v>1474</v>
      </c>
      <c r="B86" s="64">
        <v>3.34</v>
      </c>
      <c r="C86" s="64">
        <v>23.64</v>
      </c>
      <c r="D86" s="64">
        <v>13.66</v>
      </c>
      <c r="E86" s="64">
        <v>6.86</v>
      </c>
      <c r="F86" s="64">
        <v>5.27</v>
      </c>
      <c r="G86" s="64">
        <v>81.94</v>
      </c>
      <c r="H86" s="64">
        <v>44.64</v>
      </c>
      <c r="I86" s="64">
        <v>4.04</v>
      </c>
      <c r="J86" s="64">
        <v>1.04</v>
      </c>
      <c r="K86" s="64">
        <v>116.75</v>
      </c>
      <c r="L86" s="64">
        <v>21.03</v>
      </c>
      <c r="M86" s="64">
        <v>56.35</v>
      </c>
      <c r="N86" s="64">
        <v>25.7</v>
      </c>
      <c r="O86" s="64">
        <v>0</v>
      </c>
      <c r="P86" s="64">
        <v>0.65</v>
      </c>
      <c r="Q86" s="64">
        <v>9.6300000000000008</v>
      </c>
      <c r="R86" s="196"/>
      <c r="S86" s="196"/>
      <c r="T86" s="196"/>
      <c r="U86" s="196"/>
    </row>
    <row r="87" spans="1:26" s="12" customFormat="1" x14ac:dyDescent="0.25">
      <c r="A87" s="211" t="s">
        <v>1475</v>
      </c>
      <c r="B87" s="64">
        <v>3.41</v>
      </c>
      <c r="C87" s="64">
        <v>23.48</v>
      </c>
      <c r="D87" s="64">
        <v>13.63</v>
      </c>
      <c r="E87" s="64">
        <v>7.38</v>
      </c>
      <c r="F87" s="64">
        <v>5</v>
      </c>
      <c r="G87" s="64">
        <v>81.94</v>
      </c>
      <c r="H87" s="64">
        <v>44.64</v>
      </c>
      <c r="I87" s="64">
        <v>4.03</v>
      </c>
      <c r="J87" s="64">
        <v>1.42</v>
      </c>
      <c r="K87" s="64">
        <v>115.91</v>
      </c>
      <c r="L87" s="64">
        <v>21.2</v>
      </c>
      <c r="M87" s="64">
        <v>55.94</v>
      </c>
      <c r="N87" s="64">
        <v>25.3</v>
      </c>
      <c r="O87" s="64">
        <v>0</v>
      </c>
      <c r="P87" s="64">
        <v>0.61</v>
      </c>
      <c r="Q87" s="64">
        <v>9.64</v>
      </c>
      <c r="R87" s="196"/>
      <c r="S87" s="196"/>
      <c r="T87" s="196"/>
      <c r="U87" s="196"/>
    </row>
    <row r="88" spans="1:26" s="12" customFormat="1" x14ac:dyDescent="0.25">
      <c r="A88" s="211" t="s">
        <v>1476</v>
      </c>
      <c r="B88" s="64">
        <v>3.44</v>
      </c>
      <c r="C88" s="64">
        <v>23.27</v>
      </c>
      <c r="D88" s="64">
        <v>13.54</v>
      </c>
      <c r="E88" s="64">
        <v>5.09</v>
      </c>
      <c r="F88" s="64">
        <v>5.58</v>
      </c>
      <c r="G88" s="64">
        <v>82.21</v>
      </c>
      <c r="H88" s="64">
        <v>45.91</v>
      </c>
      <c r="I88" s="64">
        <v>3.6</v>
      </c>
      <c r="J88" s="64">
        <v>1.08</v>
      </c>
      <c r="K88" s="64">
        <v>122.75</v>
      </c>
      <c r="L88" s="64">
        <v>20.96</v>
      </c>
      <c r="M88" s="64">
        <v>58.18</v>
      </c>
      <c r="N88" s="64">
        <v>25.9</v>
      </c>
      <c r="O88" s="64">
        <v>0</v>
      </c>
      <c r="P88" s="64">
        <v>0.61</v>
      </c>
      <c r="Q88" s="64">
        <v>9.6199999999999992</v>
      </c>
      <c r="R88" s="196"/>
      <c r="S88" s="196"/>
      <c r="T88" s="196"/>
      <c r="U88" s="196"/>
    </row>
    <row r="89" spans="1:26" s="12" customFormat="1" x14ac:dyDescent="0.25">
      <c r="A89" s="211" t="s">
        <v>1477</v>
      </c>
      <c r="B89" s="64">
        <v>3.41</v>
      </c>
      <c r="C89" s="64">
        <v>23.61</v>
      </c>
      <c r="D89" s="64">
        <v>13.69</v>
      </c>
      <c r="E89" s="64">
        <v>5.87</v>
      </c>
      <c r="F89" s="64">
        <v>4.83</v>
      </c>
      <c r="G89" s="64">
        <v>82.98</v>
      </c>
      <c r="H89" s="64">
        <v>51.02</v>
      </c>
      <c r="I89" s="64">
        <v>4.1500000000000004</v>
      </c>
      <c r="J89" s="64">
        <v>1.22</v>
      </c>
      <c r="K89" s="64">
        <v>115.3</v>
      </c>
      <c r="L89" s="64">
        <v>20.88</v>
      </c>
      <c r="M89" s="64">
        <v>58.53</v>
      </c>
      <c r="N89" s="64">
        <v>25.6</v>
      </c>
      <c r="O89" s="64">
        <v>0</v>
      </c>
      <c r="P89" s="64">
        <v>0.61</v>
      </c>
      <c r="Q89" s="64">
        <v>9.6199999999999992</v>
      </c>
      <c r="R89" s="196"/>
      <c r="S89" s="196"/>
      <c r="T89" s="196"/>
      <c r="U89" s="196"/>
    </row>
    <row r="90" spans="1:26" s="12" customFormat="1" x14ac:dyDescent="0.25">
      <c r="A90" s="211" t="s">
        <v>1478</v>
      </c>
      <c r="B90" s="64">
        <v>3.27</v>
      </c>
      <c r="C90" s="64">
        <v>23.87</v>
      </c>
      <c r="D90" s="64">
        <v>13.72</v>
      </c>
      <c r="E90" s="64">
        <v>5.81</v>
      </c>
      <c r="F90" s="64">
        <v>4.8499999999999996</v>
      </c>
      <c r="G90" s="64">
        <v>82.98</v>
      </c>
      <c r="H90" s="64">
        <v>51.02</v>
      </c>
      <c r="I90" s="64">
        <v>4.38</v>
      </c>
      <c r="J90" s="64">
        <v>1.36</v>
      </c>
      <c r="K90" s="64">
        <v>117.32</v>
      </c>
      <c r="L90" s="64">
        <v>20.99</v>
      </c>
      <c r="M90" s="64">
        <v>58.19</v>
      </c>
      <c r="N90" s="64">
        <v>25.5</v>
      </c>
      <c r="O90" s="64">
        <v>0</v>
      </c>
      <c r="P90" s="64">
        <v>0.62</v>
      </c>
      <c r="Q90" s="64">
        <v>9.6300000000000008</v>
      </c>
      <c r="R90" s="196"/>
      <c r="S90" s="196"/>
      <c r="T90" s="196"/>
      <c r="U90" s="196"/>
    </row>
    <row r="91" spans="1:26" s="12" customFormat="1" x14ac:dyDescent="0.25">
      <c r="A91" s="211" t="s">
        <v>1479</v>
      </c>
      <c r="B91" s="64">
        <v>3.15</v>
      </c>
      <c r="C91" s="64">
        <v>24.78</v>
      </c>
      <c r="D91" s="64">
        <v>14.1</v>
      </c>
      <c r="E91" s="64">
        <v>6.41</v>
      </c>
      <c r="F91" s="64">
        <v>4.82</v>
      </c>
      <c r="G91" s="64">
        <v>82.98</v>
      </c>
      <c r="H91" s="64">
        <v>51.02</v>
      </c>
      <c r="I91" s="64">
        <v>6</v>
      </c>
      <c r="J91" s="64">
        <v>1.48</v>
      </c>
      <c r="K91" s="64">
        <v>116.54</v>
      </c>
      <c r="L91" s="64">
        <v>20.87</v>
      </c>
      <c r="M91" s="64">
        <v>58.45</v>
      </c>
      <c r="N91" s="64">
        <v>25.7</v>
      </c>
      <c r="O91" s="64">
        <v>0</v>
      </c>
      <c r="P91" s="64">
        <v>0.62</v>
      </c>
      <c r="Q91" s="64">
        <v>9.6199999999999992</v>
      </c>
      <c r="R91" s="196"/>
      <c r="S91" s="196"/>
      <c r="T91" s="196"/>
      <c r="U91" s="196"/>
    </row>
    <row r="92" spans="1:26" s="12" customFormat="1" x14ac:dyDescent="0.25">
      <c r="A92" s="211" t="s">
        <v>1480</v>
      </c>
      <c r="B92" s="64">
        <v>3.15</v>
      </c>
      <c r="C92" s="64">
        <v>25.96</v>
      </c>
      <c r="D92" s="64">
        <v>14.71</v>
      </c>
      <c r="E92" s="64">
        <v>5.81</v>
      </c>
      <c r="F92" s="64">
        <v>4.59</v>
      </c>
      <c r="G92" s="64">
        <v>80.8</v>
      </c>
      <c r="H92" s="64">
        <v>48.43</v>
      </c>
      <c r="I92" s="64">
        <v>6.65</v>
      </c>
      <c r="J92" s="64">
        <v>1.38</v>
      </c>
      <c r="K92" s="64">
        <v>111.48</v>
      </c>
      <c r="L92" s="64">
        <v>20.79</v>
      </c>
      <c r="M92" s="64">
        <v>58.19</v>
      </c>
      <c r="N92" s="64">
        <v>25.7</v>
      </c>
      <c r="O92" s="64">
        <v>0</v>
      </c>
      <c r="P92" s="64">
        <v>0.63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1481</v>
      </c>
      <c r="B93" s="64">
        <v>3.2</v>
      </c>
      <c r="C93" s="64">
        <v>27.05</v>
      </c>
      <c r="D93" s="64">
        <v>15.32</v>
      </c>
      <c r="E93" s="64">
        <v>5.47</v>
      </c>
      <c r="F93" s="64">
        <v>4.45</v>
      </c>
      <c r="G93" s="64">
        <v>74.459999999999994</v>
      </c>
      <c r="H93" s="64">
        <v>43.49</v>
      </c>
      <c r="I93" s="64">
        <v>6.84</v>
      </c>
      <c r="J93" s="64">
        <v>1.0900000000000001</v>
      </c>
      <c r="K93" s="64">
        <v>116.51</v>
      </c>
      <c r="L93" s="64">
        <v>20.66</v>
      </c>
      <c r="M93" s="64">
        <v>58.87</v>
      </c>
      <c r="N93" s="64">
        <v>25.9</v>
      </c>
      <c r="O93" s="64">
        <v>0</v>
      </c>
      <c r="P93" s="64">
        <v>0.63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1482</v>
      </c>
      <c r="B94" s="64">
        <v>3.27</v>
      </c>
      <c r="C94" s="64">
        <v>27.69</v>
      </c>
      <c r="D94" s="64">
        <v>15.71</v>
      </c>
      <c r="E94" s="64">
        <v>5.63</v>
      </c>
      <c r="F94" s="64">
        <v>4.5199999999999996</v>
      </c>
      <c r="G94" s="64">
        <v>74.459999999999994</v>
      </c>
      <c r="H94" s="64">
        <v>43.49</v>
      </c>
      <c r="I94" s="64">
        <v>6.88</v>
      </c>
      <c r="J94" s="64">
        <v>0.67</v>
      </c>
      <c r="K94" s="64">
        <v>107.32</v>
      </c>
      <c r="L94" s="64">
        <v>20.36</v>
      </c>
      <c r="M94" s="64">
        <v>60.55</v>
      </c>
      <c r="N94" s="64">
        <v>26</v>
      </c>
      <c r="O94" s="64">
        <v>0</v>
      </c>
      <c r="P94" s="64">
        <v>0.63</v>
      </c>
      <c r="Q94" s="64">
        <v>9.61</v>
      </c>
      <c r="R94" s="196"/>
      <c r="S94" s="196"/>
      <c r="T94" s="196"/>
      <c r="U94" s="196"/>
    </row>
    <row r="95" spans="1:26" s="12" customFormat="1" x14ac:dyDescent="0.25">
      <c r="A95" s="211" t="s">
        <v>1483</v>
      </c>
      <c r="B95" s="64">
        <v>3.51</v>
      </c>
      <c r="C95" s="64">
        <v>28.42</v>
      </c>
      <c r="D95" s="64">
        <v>16.29</v>
      </c>
      <c r="E95" s="64">
        <v>5.65</v>
      </c>
      <c r="F95" s="64">
        <v>4.0599999999999996</v>
      </c>
      <c r="G95" s="64">
        <v>74.459999999999994</v>
      </c>
      <c r="H95" s="64">
        <v>43.49</v>
      </c>
      <c r="I95" s="64">
        <v>6.7</v>
      </c>
      <c r="J95" s="64">
        <v>0.5</v>
      </c>
      <c r="K95" s="64">
        <v>92.93</v>
      </c>
      <c r="L95" s="64">
        <v>20.05</v>
      </c>
      <c r="M95" s="64">
        <v>61.62</v>
      </c>
      <c r="N95" s="64">
        <v>26</v>
      </c>
      <c r="O95" s="64">
        <v>0</v>
      </c>
      <c r="P95" s="64">
        <v>0.66</v>
      </c>
      <c r="Q95" s="64">
        <v>9.61</v>
      </c>
      <c r="R95" s="196"/>
      <c r="S95" s="196"/>
      <c r="T95" s="196"/>
      <c r="U95" s="196"/>
    </row>
    <row r="96" spans="1:26" s="12" customFormat="1" x14ac:dyDescent="0.25">
      <c r="A96" s="211" t="s">
        <v>1484</v>
      </c>
      <c r="B96" s="64">
        <v>3.7</v>
      </c>
      <c r="C96" s="64">
        <v>28.78</v>
      </c>
      <c r="D96" s="64">
        <v>16.63</v>
      </c>
      <c r="E96" s="64">
        <v>5.75</v>
      </c>
      <c r="F96" s="64">
        <v>4.37</v>
      </c>
      <c r="G96" s="64">
        <v>77.13</v>
      </c>
      <c r="H96" s="64">
        <v>39.64</v>
      </c>
      <c r="I96" s="64">
        <v>6.27</v>
      </c>
      <c r="J96" s="64">
        <v>1.23</v>
      </c>
      <c r="K96" s="64">
        <v>120.72</v>
      </c>
      <c r="L96" s="64">
        <v>19.920000000000002</v>
      </c>
      <c r="M96" s="64">
        <v>62.16</v>
      </c>
      <c r="N96" s="64">
        <v>25.7</v>
      </c>
      <c r="O96" s="64">
        <v>0</v>
      </c>
      <c r="P96" s="64">
        <v>0.66</v>
      </c>
      <c r="Q96" s="64">
        <v>9.6300000000000008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1485</v>
      </c>
      <c r="B97" s="64">
        <v>3.71</v>
      </c>
      <c r="C97" s="64">
        <v>29.09</v>
      </c>
      <c r="D97" s="64">
        <v>16.8</v>
      </c>
      <c r="E97" s="64">
        <v>6.26</v>
      </c>
      <c r="F97" s="64">
        <v>4.57</v>
      </c>
      <c r="G97" s="64">
        <v>84.91</v>
      </c>
      <c r="H97" s="64">
        <v>32.26</v>
      </c>
      <c r="I97" s="64">
        <v>6.39</v>
      </c>
      <c r="J97" s="64">
        <v>0.66</v>
      </c>
      <c r="K97" s="64">
        <v>125.86</v>
      </c>
      <c r="L97" s="64">
        <v>19.71</v>
      </c>
      <c r="M97" s="64">
        <v>63.67</v>
      </c>
      <c r="N97" s="64">
        <v>25.9</v>
      </c>
      <c r="O97" s="64">
        <v>0</v>
      </c>
      <c r="P97" s="64">
        <v>0.67</v>
      </c>
      <c r="Q97" s="64">
        <v>9.6199999999999992</v>
      </c>
      <c r="R97" s="196"/>
      <c r="S97" s="196"/>
      <c r="T97" s="196"/>
      <c r="U97" s="196"/>
    </row>
    <row r="98" spans="1:33" s="12" customFormat="1" x14ac:dyDescent="0.25">
      <c r="A98" s="211" t="s">
        <v>1486</v>
      </c>
      <c r="B98" s="64">
        <v>3.8</v>
      </c>
      <c r="C98" s="64">
        <v>28.42</v>
      </c>
      <c r="D98" s="64">
        <v>16.52</v>
      </c>
      <c r="E98" s="64">
        <v>5.76</v>
      </c>
      <c r="F98" s="64">
        <v>4.88</v>
      </c>
      <c r="G98" s="64">
        <v>84.91</v>
      </c>
      <c r="H98" s="64">
        <v>32.26</v>
      </c>
      <c r="I98" s="64">
        <v>6.59</v>
      </c>
      <c r="J98" s="64">
        <v>0.31</v>
      </c>
      <c r="K98" s="64">
        <v>111.08</v>
      </c>
      <c r="L98" s="64">
        <v>19.510000000000002</v>
      </c>
      <c r="M98" s="64">
        <v>64.39</v>
      </c>
      <c r="N98" s="64">
        <v>25.9</v>
      </c>
      <c r="O98" s="64">
        <v>0</v>
      </c>
      <c r="P98" s="64">
        <v>0.74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1487</v>
      </c>
      <c r="B99" s="64">
        <v>3.94</v>
      </c>
      <c r="C99" s="64">
        <v>27.08</v>
      </c>
      <c r="D99" s="64">
        <v>15.94</v>
      </c>
      <c r="E99" s="64">
        <v>5.87</v>
      </c>
      <c r="F99" s="64">
        <v>4.76</v>
      </c>
      <c r="G99" s="64">
        <v>84.91</v>
      </c>
      <c r="H99" s="64">
        <v>32.26</v>
      </c>
      <c r="I99" s="64">
        <v>6.22</v>
      </c>
      <c r="J99" s="64">
        <v>0.39</v>
      </c>
      <c r="K99" s="64">
        <v>82.73</v>
      </c>
      <c r="L99" s="64">
        <v>19.36</v>
      </c>
      <c r="M99" s="64">
        <v>65.11</v>
      </c>
      <c r="N99" s="64">
        <v>26.1</v>
      </c>
      <c r="O99" s="64">
        <v>0</v>
      </c>
      <c r="P99" s="64">
        <v>0.73</v>
      </c>
      <c r="Q99" s="64">
        <v>9.6199999999999992</v>
      </c>
      <c r="R99" s="196"/>
      <c r="S99" s="196"/>
      <c r="T99" s="196"/>
      <c r="U99" s="196"/>
    </row>
    <row r="100" spans="1:33" s="12" customFormat="1" x14ac:dyDescent="0.25">
      <c r="A100" s="211" t="s">
        <v>1488</v>
      </c>
      <c r="B100" s="64">
        <v>4.26</v>
      </c>
      <c r="C100" s="64">
        <v>27.03</v>
      </c>
      <c r="D100" s="64">
        <v>16.170000000000002</v>
      </c>
      <c r="E100" s="64">
        <v>5.7</v>
      </c>
      <c r="F100" s="64">
        <v>4.3099999999999996</v>
      </c>
      <c r="G100" s="64">
        <v>84.05</v>
      </c>
      <c r="H100" s="64">
        <v>38.57</v>
      </c>
      <c r="I100" s="64">
        <v>5.26</v>
      </c>
      <c r="J100" s="64">
        <v>0.21</v>
      </c>
      <c r="K100" s="64">
        <v>88.34</v>
      </c>
      <c r="L100" s="64">
        <v>19.25</v>
      </c>
      <c r="M100" s="64">
        <v>65.39</v>
      </c>
      <c r="N100" s="64">
        <v>25.8</v>
      </c>
      <c r="O100" s="64">
        <v>0</v>
      </c>
      <c r="P100" s="64">
        <v>0.76</v>
      </c>
      <c r="Q100" s="64">
        <v>9.6300000000000008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1489</v>
      </c>
      <c r="B101" s="64">
        <v>4.54</v>
      </c>
      <c r="C101" s="64">
        <v>26.69</v>
      </c>
      <c r="D101" s="64">
        <v>16.21</v>
      </c>
      <c r="E101" s="64">
        <v>5.83</v>
      </c>
      <c r="F101" s="64">
        <v>4.59</v>
      </c>
      <c r="G101" s="64">
        <v>81.55</v>
      </c>
      <c r="H101" s="64">
        <v>50.66</v>
      </c>
      <c r="I101" s="64">
        <v>4.92</v>
      </c>
      <c r="J101" s="64">
        <v>0.38</v>
      </c>
      <c r="K101" s="64">
        <v>96.2</v>
      </c>
      <c r="L101" s="64">
        <v>19.09</v>
      </c>
      <c r="M101" s="64">
        <v>65.42</v>
      </c>
      <c r="N101" s="64">
        <v>25.9</v>
      </c>
      <c r="O101" s="64">
        <v>0</v>
      </c>
      <c r="P101" s="64">
        <v>0.66</v>
      </c>
      <c r="Q101" s="64">
        <v>9.6300000000000008</v>
      </c>
      <c r="R101" s="196"/>
      <c r="S101" s="196"/>
      <c r="T101" s="196"/>
      <c r="U101" s="196"/>
    </row>
    <row r="102" spans="1:33" s="12" customFormat="1" x14ac:dyDescent="0.25">
      <c r="A102" s="211" t="s">
        <v>1490</v>
      </c>
      <c r="B102" s="64">
        <v>4.68</v>
      </c>
      <c r="C102" s="64">
        <v>26.2</v>
      </c>
      <c r="D102" s="64">
        <v>16.059999999999999</v>
      </c>
      <c r="E102" s="64">
        <v>5.61</v>
      </c>
      <c r="F102" s="64">
        <v>4.12</v>
      </c>
      <c r="G102" s="64">
        <v>81.55</v>
      </c>
      <c r="H102" s="64">
        <v>50.66</v>
      </c>
      <c r="I102" s="64">
        <v>4.04</v>
      </c>
      <c r="J102" s="64">
        <v>0.28999999999999998</v>
      </c>
      <c r="K102" s="64">
        <v>78.75</v>
      </c>
      <c r="L102" s="64">
        <v>18.98</v>
      </c>
      <c r="M102" s="64">
        <v>66.69</v>
      </c>
      <c r="N102" s="64">
        <v>25.9</v>
      </c>
      <c r="O102" s="64">
        <v>0</v>
      </c>
      <c r="P102" s="64">
        <v>0.66</v>
      </c>
      <c r="Q102" s="64">
        <v>9.64</v>
      </c>
      <c r="R102" s="196"/>
      <c r="S102" s="196"/>
      <c r="T102" s="196"/>
      <c r="U102" s="196"/>
    </row>
    <row r="103" spans="1:33" s="12" customFormat="1" x14ac:dyDescent="0.25">
      <c r="A103" s="211" t="s">
        <v>1491</v>
      </c>
      <c r="B103" s="64">
        <v>4.7699999999999996</v>
      </c>
      <c r="C103" s="64">
        <v>25.48</v>
      </c>
      <c r="D103" s="64">
        <v>15.76</v>
      </c>
      <c r="E103" s="64">
        <v>5.62</v>
      </c>
      <c r="F103" s="64">
        <v>5.0999999999999996</v>
      </c>
      <c r="G103" s="64">
        <v>81.55</v>
      </c>
      <c r="H103" s="64">
        <v>50.66</v>
      </c>
      <c r="I103" s="64">
        <v>4.09</v>
      </c>
      <c r="J103" s="64">
        <v>0.57999999999999996</v>
      </c>
      <c r="K103" s="64">
        <v>107.52</v>
      </c>
      <c r="L103" s="64">
        <v>18.84</v>
      </c>
      <c r="M103" s="64">
        <v>67.599999999999994</v>
      </c>
      <c r="N103" s="64">
        <v>25.8</v>
      </c>
      <c r="O103" s="64">
        <v>0</v>
      </c>
      <c r="P103" s="64">
        <v>0.64</v>
      </c>
      <c r="Q103" s="64">
        <v>9.6300000000000008</v>
      </c>
      <c r="R103" s="196"/>
      <c r="S103" s="196"/>
      <c r="T103" s="196"/>
      <c r="U103" s="196"/>
    </row>
    <row r="104" spans="1:33" s="12" customFormat="1" x14ac:dyDescent="0.25">
      <c r="A104" s="211" t="s">
        <v>1492</v>
      </c>
      <c r="B104" s="64">
        <v>4.72</v>
      </c>
      <c r="C104" s="64">
        <v>24.7</v>
      </c>
      <c r="D104" s="64">
        <v>15.31</v>
      </c>
      <c r="E104" s="64">
        <v>6.15</v>
      </c>
      <c r="F104" s="64">
        <v>4.8899999999999997</v>
      </c>
      <c r="G104" s="64">
        <v>79.45</v>
      </c>
      <c r="H104" s="64">
        <v>45.89</v>
      </c>
      <c r="I104" s="64">
        <v>4.83</v>
      </c>
      <c r="J104" s="64">
        <v>0.35</v>
      </c>
      <c r="K104" s="64">
        <v>104.08</v>
      </c>
      <c r="L104" s="64">
        <v>18.760000000000002</v>
      </c>
      <c r="M104" s="64">
        <v>68.400000000000006</v>
      </c>
      <c r="N104" s="64">
        <v>25.9</v>
      </c>
      <c r="O104" s="64">
        <v>0</v>
      </c>
      <c r="P104" s="64">
        <v>0.61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2.64</v>
      </c>
      <c r="C106" s="67">
        <f>MIN(C9:C104)</f>
        <v>20.45</v>
      </c>
      <c r="D106" s="67">
        <f t="shared" ref="D106:Q106" si="0">MIN(D9:D104)</f>
        <v>13.49</v>
      </c>
      <c r="E106" s="67">
        <f t="shared" si="0"/>
        <v>4.33</v>
      </c>
      <c r="F106" s="67">
        <f t="shared" si="0"/>
        <v>3.54</v>
      </c>
      <c r="G106" s="67">
        <f t="shared" si="0"/>
        <v>36.299999999999997</v>
      </c>
      <c r="H106" s="67">
        <f t="shared" si="0"/>
        <v>10.210000000000001</v>
      </c>
      <c r="I106" s="67">
        <f t="shared" si="0"/>
        <v>2.65</v>
      </c>
      <c r="J106" s="67">
        <f t="shared" si="0"/>
        <v>0.12</v>
      </c>
      <c r="K106" s="67">
        <f t="shared" si="0"/>
        <v>1.54</v>
      </c>
      <c r="L106" s="67">
        <f t="shared" si="0"/>
        <v>14.91</v>
      </c>
      <c r="M106" s="67">
        <f t="shared" si="0"/>
        <v>33.630000000000003</v>
      </c>
      <c r="N106" s="67">
        <f t="shared" si="0"/>
        <v>25.3</v>
      </c>
      <c r="O106" s="67">
        <f t="shared" si="0"/>
        <v>0</v>
      </c>
      <c r="P106" s="67">
        <f t="shared" si="0"/>
        <v>0.45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23.26</v>
      </c>
      <c r="C107" s="66">
        <f t="shared" ref="C107:Q107" si="1">MAX(C9:C104)</f>
        <v>31.52</v>
      </c>
      <c r="D107" s="66">
        <f t="shared" si="1"/>
        <v>30.68</v>
      </c>
      <c r="E107" s="66">
        <f t="shared" si="1"/>
        <v>7.38</v>
      </c>
      <c r="F107" s="66">
        <f t="shared" si="1"/>
        <v>6.54</v>
      </c>
      <c r="G107" s="66">
        <f t="shared" si="1"/>
        <v>377.41</v>
      </c>
      <c r="H107" s="66">
        <f t="shared" si="1"/>
        <v>105.45</v>
      </c>
      <c r="I107" s="66">
        <f t="shared" si="1"/>
        <v>7.14</v>
      </c>
      <c r="J107" s="66">
        <f t="shared" si="1"/>
        <v>2.04</v>
      </c>
      <c r="K107" s="66">
        <f t="shared" si="1"/>
        <v>357.22</v>
      </c>
      <c r="L107" s="66">
        <f t="shared" si="1"/>
        <v>28.98</v>
      </c>
      <c r="M107" s="66">
        <f t="shared" si="1"/>
        <v>96.6</v>
      </c>
      <c r="N107" s="66">
        <f t="shared" si="1"/>
        <v>676.5</v>
      </c>
      <c r="O107" s="66">
        <f t="shared" si="1"/>
        <v>0</v>
      </c>
      <c r="P107" s="66">
        <f t="shared" si="1"/>
        <v>0.96</v>
      </c>
      <c r="Q107" s="66">
        <f t="shared" si="1"/>
        <v>9.65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9.0535416666666659</v>
      </c>
      <c r="C108" s="67">
        <f t="shared" ref="C108:Q108" si="2">AVERAGE(C9:C104)</f>
        <v>25.558125000000004</v>
      </c>
      <c r="D108" s="67">
        <f t="shared" si="2"/>
        <v>19.236562500000009</v>
      </c>
      <c r="E108" s="67">
        <f t="shared" si="2"/>
        <v>5.8487499999999999</v>
      </c>
      <c r="F108" s="67">
        <f t="shared" si="2"/>
        <v>4.6211458333333333</v>
      </c>
      <c r="G108" s="67">
        <f t="shared" si="2"/>
        <v>93.631562499999973</v>
      </c>
      <c r="H108" s="67">
        <f t="shared" si="2"/>
        <v>44.80708333333336</v>
      </c>
      <c r="I108" s="67">
        <f t="shared" si="2"/>
        <v>4.9808333333333321</v>
      </c>
      <c r="J108" s="67">
        <f t="shared" si="2"/>
        <v>0.66333333333333322</v>
      </c>
      <c r="K108" s="67">
        <f t="shared" si="2"/>
        <v>158.76885416666667</v>
      </c>
      <c r="L108" s="67">
        <f t="shared" si="2"/>
        <v>21.054375000000004</v>
      </c>
      <c r="M108" s="67">
        <f t="shared" si="2"/>
        <v>60.819374999999972</v>
      </c>
      <c r="N108" s="67">
        <f t="shared" si="2"/>
        <v>165.80520833333335</v>
      </c>
      <c r="O108" s="67">
        <f t="shared" si="2"/>
        <v>0</v>
      </c>
      <c r="P108" s="67">
        <f t="shared" si="2"/>
        <v>0.70083333333333309</v>
      </c>
      <c r="Q108" s="67">
        <f t="shared" si="2"/>
        <v>9.625729166666666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6.5406912525667753</v>
      </c>
      <c r="C109" s="67">
        <f t="shared" ref="C109:Q109" si="3">STDEV(C9:C104)</f>
        <v>2.9419378906821509</v>
      </c>
      <c r="D109" s="67">
        <f t="shared" si="3"/>
        <v>5.4289762198827605</v>
      </c>
      <c r="E109" s="67">
        <f t="shared" si="3"/>
        <v>0.69745892163512058</v>
      </c>
      <c r="F109" s="67">
        <f t="shared" si="3"/>
        <v>0.59444953712908766</v>
      </c>
      <c r="G109" s="67">
        <f t="shared" si="3"/>
        <v>64.523453725686423</v>
      </c>
      <c r="H109" s="67">
        <f t="shared" si="3"/>
        <v>21.401634021072532</v>
      </c>
      <c r="I109" s="67">
        <f t="shared" si="3"/>
        <v>1.1768366757556152</v>
      </c>
      <c r="J109" s="67">
        <f t="shared" si="3"/>
        <v>0.43473807399681064</v>
      </c>
      <c r="K109" s="67">
        <f t="shared" si="3"/>
        <v>115.32151442010684</v>
      </c>
      <c r="L109" s="67">
        <f t="shared" si="3"/>
        <v>3.989719106983769</v>
      </c>
      <c r="M109" s="67">
        <f t="shared" si="3"/>
        <v>19.259443005144895</v>
      </c>
      <c r="N109" s="67">
        <f t="shared" si="3"/>
        <v>220.82806952101259</v>
      </c>
      <c r="O109" s="67">
        <f t="shared" si="3"/>
        <v>0</v>
      </c>
      <c r="P109" s="67">
        <f t="shared" si="3"/>
        <v>0.1177657502409996</v>
      </c>
      <c r="Q109" s="67">
        <f t="shared" si="3"/>
        <v>8.0452394117883075E-3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1493</v>
      </c>
      <c r="B9" s="64">
        <v>4.6500000000000004</v>
      </c>
      <c r="C9" s="64">
        <v>24.13</v>
      </c>
      <c r="D9" s="64">
        <v>14.95</v>
      </c>
      <c r="E9" s="64">
        <v>4.99</v>
      </c>
      <c r="F9" s="64">
        <v>4.5999999999999996</v>
      </c>
      <c r="G9" s="64">
        <v>73.34</v>
      </c>
      <c r="H9" s="64">
        <v>26.85</v>
      </c>
      <c r="I9" s="64">
        <v>4.75</v>
      </c>
      <c r="J9" s="64">
        <v>0.22</v>
      </c>
      <c r="K9" s="64">
        <v>23.68</v>
      </c>
      <c r="L9" s="64">
        <v>18.559999999999999</v>
      </c>
      <c r="M9" s="64">
        <v>69.62</v>
      </c>
      <c r="N9" s="64">
        <v>26</v>
      </c>
      <c r="O9" s="64">
        <v>0</v>
      </c>
      <c r="P9" s="64">
        <v>0.64</v>
      </c>
      <c r="Q9" s="64">
        <v>9.61</v>
      </c>
      <c r="R9" s="196"/>
      <c r="S9" s="196"/>
      <c r="T9" s="196"/>
      <c r="U9" s="196"/>
    </row>
    <row r="10" spans="1:21" s="12" customFormat="1" x14ac:dyDescent="0.25">
      <c r="A10" s="211" t="s">
        <v>1494</v>
      </c>
      <c r="B10" s="64">
        <v>4.55</v>
      </c>
      <c r="C10" s="64">
        <v>24.3</v>
      </c>
      <c r="D10" s="64">
        <v>14.97</v>
      </c>
      <c r="E10" s="64">
        <v>5.33</v>
      </c>
      <c r="F10" s="64">
        <v>4.13</v>
      </c>
      <c r="G10" s="64">
        <v>73.34</v>
      </c>
      <c r="H10" s="64">
        <v>26.85</v>
      </c>
      <c r="I10" s="64">
        <v>3.41</v>
      </c>
      <c r="J10" s="64">
        <v>0.3</v>
      </c>
      <c r="K10" s="64">
        <v>102.35</v>
      </c>
      <c r="L10" s="64">
        <v>18.399999999999999</v>
      </c>
      <c r="M10" s="64">
        <v>70.58</v>
      </c>
      <c r="N10" s="64">
        <v>25.8</v>
      </c>
      <c r="O10" s="64">
        <v>0</v>
      </c>
      <c r="P10" s="64">
        <v>0.66</v>
      </c>
      <c r="Q10" s="64">
        <v>9.61</v>
      </c>
      <c r="R10" s="196"/>
      <c r="S10" s="196"/>
      <c r="T10" s="196"/>
      <c r="U10" s="196"/>
    </row>
    <row r="11" spans="1:21" s="12" customFormat="1" x14ac:dyDescent="0.25">
      <c r="A11" s="211" t="s">
        <v>1495</v>
      </c>
      <c r="B11" s="64">
        <v>4.43</v>
      </c>
      <c r="C11" s="64">
        <v>24.39</v>
      </c>
      <c r="D11" s="64">
        <v>14.92</v>
      </c>
      <c r="E11" s="64">
        <v>5.19</v>
      </c>
      <c r="F11" s="64">
        <v>3.84</v>
      </c>
      <c r="G11" s="64">
        <v>73.34</v>
      </c>
      <c r="H11" s="64">
        <v>26.85</v>
      </c>
      <c r="I11" s="64">
        <v>5.31</v>
      </c>
      <c r="J11" s="64">
        <v>0.52</v>
      </c>
      <c r="K11" s="64">
        <v>337.2</v>
      </c>
      <c r="L11" s="64">
        <v>18.18</v>
      </c>
      <c r="M11" s="64">
        <v>73.66</v>
      </c>
      <c r="N11" s="64">
        <v>26.1</v>
      </c>
      <c r="O11" s="64">
        <v>0</v>
      </c>
      <c r="P11" s="64">
        <v>0.65</v>
      </c>
      <c r="Q11" s="64">
        <v>9.61</v>
      </c>
      <c r="R11" s="196"/>
      <c r="S11" s="196"/>
      <c r="T11" s="196"/>
      <c r="U11" s="196"/>
    </row>
    <row r="12" spans="1:21" s="12" customFormat="1" x14ac:dyDescent="0.25">
      <c r="A12" s="211" t="s">
        <v>1496</v>
      </c>
      <c r="B12" s="64">
        <v>4.59</v>
      </c>
      <c r="C12" s="64">
        <v>24.47</v>
      </c>
      <c r="D12" s="64">
        <v>15.09</v>
      </c>
      <c r="E12" s="64">
        <v>4.97</v>
      </c>
      <c r="F12" s="64">
        <v>4.3600000000000003</v>
      </c>
      <c r="G12" s="64">
        <v>74.180000000000007</v>
      </c>
      <c r="H12" s="64">
        <v>22.06</v>
      </c>
      <c r="I12" s="64">
        <v>6.01</v>
      </c>
      <c r="J12" s="64">
        <v>0.34</v>
      </c>
      <c r="K12" s="64">
        <v>328.8</v>
      </c>
      <c r="L12" s="64">
        <v>17.88</v>
      </c>
      <c r="M12" s="64">
        <v>74.099999999999994</v>
      </c>
      <c r="N12" s="64">
        <v>25.9</v>
      </c>
      <c r="O12" s="64">
        <v>0</v>
      </c>
      <c r="P12" s="64">
        <v>0.66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1497</v>
      </c>
      <c r="B13" s="64">
        <v>4.51</v>
      </c>
      <c r="C13" s="64">
        <v>24.62</v>
      </c>
      <c r="D13" s="64">
        <v>15.1</v>
      </c>
      <c r="E13" s="64">
        <v>4.8600000000000003</v>
      </c>
      <c r="F13" s="64">
        <v>4.43</v>
      </c>
      <c r="G13" s="64">
        <v>76.61</v>
      </c>
      <c r="H13" s="64">
        <v>12.89</v>
      </c>
      <c r="I13" s="64">
        <v>5.86</v>
      </c>
      <c r="J13" s="64">
        <v>0.3</v>
      </c>
      <c r="K13" s="64">
        <v>347.13</v>
      </c>
      <c r="L13" s="64">
        <v>17.809999999999999</v>
      </c>
      <c r="M13" s="64">
        <v>74.53</v>
      </c>
      <c r="N13" s="64">
        <v>25.8</v>
      </c>
      <c r="O13" s="64">
        <v>0</v>
      </c>
      <c r="P13" s="64">
        <v>0.63</v>
      </c>
      <c r="Q13" s="64">
        <v>9.6199999999999992</v>
      </c>
      <c r="R13" s="196"/>
      <c r="S13" s="196"/>
      <c r="T13" s="196"/>
      <c r="U13" s="196"/>
    </row>
    <row r="14" spans="1:21" s="12" customFormat="1" x14ac:dyDescent="0.25">
      <c r="A14" s="211" t="s">
        <v>1498</v>
      </c>
      <c r="B14" s="64">
        <v>4.28</v>
      </c>
      <c r="C14" s="64">
        <v>24.7</v>
      </c>
      <c r="D14" s="64">
        <v>14.96</v>
      </c>
      <c r="E14" s="64">
        <v>4.87</v>
      </c>
      <c r="F14" s="64">
        <v>4.5199999999999996</v>
      </c>
      <c r="G14" s="64">
        <v>76.61</v>
      </c>
      <c r="H14" s="64">
        <v>12.89</v>
      </c>
      <c r="I14" s="64">
        <v>5.99</v>
      </c>
      <c r="J14" s="64">
        <v>0.22</v>
      </c>
      <c r="K14" s="64">
        <v>351.9</v>
      </c>
      <c r="L14" s="64">
        <v>17.760000000000002</v>
      </c>
      <c r="M14" s="64">
        <v>74.819999999999993</v>
      </c>
      <c r="N14" s="64">
        <v>25.8</v>
      </c>
      <c r="O14" s="64">
        <v>0</v>
      </c>
      <c r="P14" s="64">
        <v>0.64</v>
      </c>
      <c r="Q14" s="64">
        <v>9.6199999999999992</v>
      </c>
      <c r="R14" s="196"/>
      <c r="S14" s="196"/>
      <c r="T14" s="196"/>
      <c r="U14" s="196"/>
    </row>
    <row r="15" spans="1:21" s="12" customFormat="1" x14ac:dyDescent="0.25">
      <c r="A15" s="211" t="s">
        <v>1499</v>
      </c>
      <c r="B15" s="64">
        <v>3.97</v>
      </c>
      <c r="C15" s="64">
        <v>24.51</v>
      </c>
      <c r="D15" s="64">
        <v>14.61</v>
      </c>
      <c r="E15" s="64">
        <v>4.72</v>
      </c>
      <c r="F15" s="64">
        <v>4.53</v>
      </c>
      <c r="G15" s="64">
        <v>76.61</v>
      </c>
      <c r="H15" s="64">
        <v>12.89</v>
      </c>
      <c r="I15" s="64">
        <v>5.89</v>
      </c>
      <c r="J15" s="64">
        <v>0.12</v>
      </c>
      <c r="K15" s="64">
        <v>332.3</v>
      </c>
      <c r="L15" s="64">
        <v>17.71</v>
      </c>
      <c r="M15" s="64">
        <v>75.8</v>
      </c>
      <c r="N15" s="64">
        <v>25.8</v>
      </c>
      <c r="O15" s="64">
        <v>0</v>
      </c>
      <c r="P15" s="64">
        <v>0.63</v>
      </c>
      <c r="Q15" s="64">
        <v>9.61</v>
      </c>
      <c r="R15" s="196"/>
      <c r="S15" s="196"/>
      <c r="T15" s="196"/>
      <c r="U15" s="196"/>
    </row>
    <row r="16" spans="1:21" s="12" customFormat="1" x14ac:dyDescent="0.25">
      <c r="A16" s="211" t="s">
        <v>1500</v>
      </c>
      <c r="B16" s="64">
        <v>3.73</v>
      </c>
      <c r="C16" s="64">
        <v>24.22</v>
      </c>
      <c r="D16" s="64">
        <v>14.27</v>
      </c>
      <c r="E16" s="64">
        <v>4.5999999999999996</v>
      </c>
      <c r="F16" s="64">
        <v>4.3600000000000003</v>
      </c>
      <c r="G16" s="64">
        <v>75.59</v>
      </c>
      <c r="H16" s="64">
        <v>10.68</v>
      </c>
      <c r="I16" s="64">
        <v>5.73</v>
      </c>
      <c r="J16" s="64">
        <v>0.28000000000000003</v>
      </c>
      <c r="K16" s="64">
        <v>359.42</v>
      </c>
      <c r="L16" s="64">
        <v>17.5</v>
      </c>
      <c r="M16" s="64">
        <v>77.28</v>
      </c>
      <c r="N16" s="64">
        <v>25.9</v>
      </c>
      <c r="O16" s="64">
        <v>0</v>
      </c>
      <c r="P16" s="64">
        <v>0.63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1501</v>
      </c>
      <c r="B17" s="64">
        <v>3.57</v>
      </c>
      <c r="C17" s="64">
        <v>24.48</v>
      </c>
      <c r="D17" s="64">
        <v>14.28</v>
      </c>
      <c r="E17" s="64">
        <v>4.4800000000000004</v>
      </c>
      <c r="F17" s="64">
        <v>4.32</v>
      </c>
      <c r="G17" s="64">
        <v>72.64</v>
      </c>
      <c r="H17" s="64">
        <v>6.44</v>
      </c>
      <c r="I17" s="64">
        <v>5.51</v>
      </c>
      <c r="J17" s="64">
        <v>0.16</v>
      </c>
      <c r="K17" s="64">
        <v>355.61</v>
      </c>
      <c r="L17" s="64">
        <v>17.440000000000001</v>
      </c>
      <c r="M17" s="64">
        <v>77.680000000000007</v>
      </c>
      <c r="N17" s="64">
        <v>25.9</v>
      </c>
      <c r="O17" s="64">
        <v>0</v>
      </c>
      <c r="P17" s="64">
        <v>0.61</v>
      </c>
      <c r="Q17" s="64">
        <v>9.6199999999999992</v>
      </c>
      <c r="R17" s="196"/>
      <c r="S17" s="196"/>
      <c r="T17" s="196"/>
      <c r="U17" s="196"/>
    </row>
    <row r="18" spans="1:21" s="12" customFormat="1" x14ac:dyDescent="0.25">
      <c r="A18" s="211" t="s">
        <v>1502</v>
      </c>
      <c r="B18" s="64">
        <v>3.5</v>
      </c>
      <c r="C18" s="64">
        <v>24.15</v>
      </c>
      <c r="D18" s="64">
        <v>14.05</v>
      </c>
      <c r="E18" s="64">
        <v>4.59</v>
      </c>
      <c r="F18" s="64">
        <v>4.0599999999999996</v>
      </c>
      <c r="G18" s="64">
        <v>72.64</v>
      </c>
      <c r="H18" s="64">
        <v>6.44</v>
      </c>
      <c r="I18" s="64">
        <v>5.22</v>
      </c>
      <c r="J18" s="64">
        <v>0.41</v>
      </c>
      <c r="K18" s="64">
        <v>310.63</v>
      </c>
      <c r="L18" s="64">
        <v>17.079999999999998</v>
      </c>
      <c r="M18" s="64">
        <v>81.98</v>
      </c>
      <c r="N18" s="64">
        <v>26.1</v>
      </c>
      <c r="O18" s="64">
        <v>0</v>
      </c>
      <c r="P18" s="64">
        <v>0.59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1503</v>
      </c>
      <c r="B19" s="64">
        <v>3.55</v>
      </c>
      <c r="C19" s="64">
        <v>22.02</v>
      </c>
      <c r="D19" s="64">
        <v>12.97</v>
      </c>
      <c r="E19" s="64">
        <v>4.49</v>
      </c>
      <c r="F19" s="64">
        <v>4.3600000000000003</v>
      </c>
      <c r="G19" s="64">
        <v>72.64</v>
      </c>
      <c r="H19" s="64">
        <v>6.44</v>
      </c>
      <c r="I19" s="64">
        <v>5.0199999999999996</v>
      </c>
      <c r="J19" s="64">
        <v>0.47</v>
      </c>
      <c r="K19" s="64">
        <v>278.82</v>
      </c>
      <c r="L19" s="64">
        <v>16.72</v>
      </c>
      <c r="M19" s="64">
        <v>84.3</v>
      </c>
      <c r="N19" s="64">
        <v>25.9</v>
      </c>
      <c r="O19" s="64">
        <v>0</v>
      </c>
      <c r="P19" s="64">
        <v>0.54</v>
      </c>
      <c r="Q19" s="64">
        <v>9.6199999999999992</v>
      </c>
      <c r="R19" s="196"/>
      <c r="S19" s="196"/>
      <c r="T19" s="196"/>
      <c r="U19" s="196"/>
    </row>
    <row r="20" spans="1:21" s="12" customFormat="1" x14ac:dyDescent="0.25">
      <c r="A20" s="211" t="s">
        <v>1504</v>
      </c>
      <c r="B20" s="64">
        <v>3.75</v>
      </c>
      <c r="C20" s="64">
        <v>21.7</v>
      </c>
      <c r="D20" s="64">
        <v>12.97</v>
      </c>
      <c r="E20" s="64">
        <v>4.5</v>
      </c>
      <c r="F20" s="64">
        <v>4.04</v>
      </c>
      <c r="G20" s="64">
        <v>70</v>
      </c>
      <c r="H20" s="64">
        <v>42.12</v>
      </c>
      <c r="I20" s="64">
        <v>4.08</v>
      </c>
      <c r="J20" s="64">
        <v>0.37</v>
      </c>
      <c r="K20" s="64">
        <v>274.52</v>
      </c>
      <c r="L20" s="64">
        <v>16.45</v>
      </c>
      <c r="M20" s="64">
        <v>86.78</v>
      </c>
      <c r="N20" s="64">
        <v>26.1</v>
      </c>
      <c r="O20" s="64">
        <v>0</v>
      </c>
      <c r="P20" s="64">
        <v>0.55000000000000004</v>
      </c>
      <c r="Q20" s="64">
        <v>9.6300000000000008</v>
      </c>
      <c r="R20" s="196"/>
      <c r="S20" s="196"/>
      <c r="T20" s="196"/>
      <c r="U20" s="196"/>
    </row>
    <row r="21" spans="1:21" s="12" customFormat="1" x14ac:dyDescent="0.25">
      <c r="A21" s="211" t="s">
        <v>1505</v>
      </c>
      <c r="B21" s="64">
        <v>3.99</v>
      </c>
      <c r="C21" s="64">
        <v>21.6</v>
      </c>
      <c r="D21" s="64">
        <v>13.11</v>
      </c>
      <c r="E21" s="64">
        <v>4.54</v>
      </c>
      <c r="F21" s="64">
        <v>3.75</v>
      </c>
      <c r="G21" s="64">
        <v>62.3</v>
      </c>
      <c r="H21" s="209" t="s">
        <v>42</v>
      </c>
      <c r="I21" s="64">
        <v>3.28</v>
      </c>
      <c r="J21" s="64">
        <v>0.39</v>
      </c>
      <c r="K21" s="64">
        <v>289.8</v>
      </c>
      <c r="L21" s="64">
        <v>16.12</v>
      </c>
      <c r="M21" s="64">
        <v>89.02</v>
      </c>
      <c r="N21" s="64">
        <v>26</v>
      </c>
      <c r="O21" s="64">
        <v>0</v>
      </c>
      <c r="P21" s="64">
        <v>0.55000000000000004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1506</v>
      </c>
      <c r="B22" s="64">
        <v>4.24</v>
      </c>
      <c r="C22" s="64">
        <v>21.21</v>
      </c>
      <c r="D22" s="64">
        <v>13.1</v>
      </c>
      <c r="E22" s="64">
        <v>4.6500000000000004</v>
      </c>
      <c r="F22" s="64">
        <v>4</v>
      </c>
      <c r="G22" s="64">
        <v>62.3</v>
      </c>
      <c r="H22" s="209" t="s">
        <v>42</v>
      </c>
      <c r="I22" s="64">
        <v>3.42</v>
      </c>
      <c r="J22" s="64">
        <v>0.43</v>
      </c>
      <c r="K22" s="64">
        <v>272.14</v>
      </c>
      <c r="L22" s="64">
        <v>16.010000000000002</v>
      </c>
      <c r="M22" s="64">
        <v>89.19</v>
      </c>
      <c r="N22" s="64">
        <v>25.9</v>
      </c>
      <c r="O22" s="64">
        <v>0</v>
      </c>
      <c r="P22" s="64">
        <v>0.56000000000000005</v>
      </c>
      <c r="Q22" s="64">
        <v>9.64</v>
      </c>
      <c r="R22" s="196"/>
      <c r="S22" s="196"/>
      <c r="T22" s="196"/>
      <c r="U22" s="196"/>
    </row>
    <row r="23" spans="1:21" s="12" customFormat="1" x14ac:dyDescent="0.25">
      <c r="A23" s="211" t="s">
        <v>1507</v>
      </c>
      <c r="B23" s="64">
        <v>4.59</v>
      </c>
      <c r="C23" s="64">
        <v>21.13</v>
      </c>
      <c r="D23" s="64">
        <v>13.34</v>
      </c>
      <c r="E23" s="64">
        <v>5.1100000000000003</v>
      </c>
      <c r="F23" s="64">
        <v>3.77</v>
      </c>
      <c r="G23" s="64">
        <v>62.3</v>
      </c>
      <c r="H23" s="209" t="s">
        <v>42</v>
      </c>
      <c r="I23" s="64">
        <v>3.8</v>
      </c>
      <c r="J23" s="64">
        <v>0.52</v>
      </c>
      <c r="K23" s="64">
        <v>312.58999999999997</v>
      </c>
      <c r="L23" s="64">
        <v>15.65</v>
      </c>
      <c r="M23" s="64">
        <v>93.16</v>
      </c>
      <c r="N23" s="64">
        <v>26.1</v>
      </c>
      <c r="O23" s="64">
        <v>0</v>
      </c>
      <c r="P23" s="64">
        <v>0.55000000000000004</v>
      </c>
      <c r="Q23" s="64">
        <v>9.65</v>
      </c>
      <c r="R23" s="196"/>
      <c r="S23" s="196"/>
      <c r="T23" s="196"/>
      <c r="U23" s="196"/>
    </row>
    <row r="24" spans="1:21" s="12" customFormat="1" x14ac:dyDescent="0.25">
      <c r="A24" s="211" t="s">
        <v>1508</v>
      </c>
      <c r="B24" s="64">
        <v>4.99</v>
      </c>
      <c r="C24" s="64">
        <v>20.89</v>
      </c>
      <c r="D24" s="64">
        <v>13.53</v>
      </c>
      <c r="E24" s="64">
        <v>4.0199999999999996</v>
      </c>
      <c r="F24" s="64">
        <v>4.1900000000000004</v>
      </c>
      <c r="G24" s="64">
        <v>64.5</v>
      </c>
      <c r="H24" s="209" t="s">
        <v>42</v>
      </c>
      <c r="I24" s="64">
        <v>3.71</v>
      </c>
      <c r="J24" s="64">
        <v>0.13</v>
      </c>
      <c r="K24" s="64">
        <v>303</v>
      </c>
      <c r="L24" s="64">
        <v>15.45</v>
      </c>
      <c r="M24" s="64">
        <v>95.02</v>
      </c>
      <c r="N24" s="64">
        <v>25.8</v>
      </c>
      <c r="O24" s="64">
        <v>0</v>
      </c>
      <c r="P24" s="64">
        <v>0.56000000000000005</v>
      </c>
      <c r="Q24" s="64">
        <v>9.64</v>
      </c>
      <c r="R24" s="196"/>
      <c r="S24" s="196"/>
      <c r="T24" s="196"/>
      <c r="U24" s="196"/>
    </row>
    <row r="25" spans="1:21" s="12" customFormat="1" x14ac:dyDescent="0.25">
      <c r="A25" s="211" t="s">
        <v>1509</v>
      </c>
      <c r="B25" s="64">
        <v>5.77</v>
      </c>
      <c r="C25" s="64">
        <v>20.79</v>
      </c>
      <c r="D25" s="64">
        <v>14.11</v>
      </c>
      <c r="E25" s="64">
        <v>6.62</v>
      </c>
      <c r="F25" s="64">
        <v>3.8</v>
      </c>
      <c r="G25" s="64">
        <v>70.94</v>
      </c>
      <c r="H25" s="64">
        <v>4.25</v>
      </c>
      <c r="I25" s="64">
        <v>3.8</v>
      </c>
      <c r="J25" s="64">
        <v>0.4</v>
      </c>
      <c r="K25" s="64">
        <v>282.54000000000002</v>
      </c>
      <c r="L25" s="64">
        <v>15.47</v>
      </c>
      <c r="M25" s="64">
        <v>95.48</v>
      </c>
      <c r="N25" s="64">
        <v>25.8</v>
      </c>
      <c r="O25" s="64">
        <v>0</v>
      </c>
      <c r="P25" s="64">
        <v>0.66</v>
      </c>
      <c r="Q25" s="64">
        <v>9.6199999999999992</v>
      </c>
      <c r="R25" s="196"/>
      <c r="S25" s="196"/>
      <c r="T25" s="196"/>
      <c r="U25" s="196"/>
    </row>
    <row r="26" spans="1:21" s="12" customFormat="1" x14ac:dyDescent="0.25">
      <c r="A26" s="211" t="s">
        <v>1510</v>
      </c>
      <c r="B26" s="64">
        <v>7.2</v>
      </c>
      <c r="C26" s="64">
        <v>21.05</v>
      </c>
      <c r="D26" s="64">
        <v>15.39</v>
      </c>
      <c r="E26" s="64">
        <v>6.46</v>
      </c>
      <c r="F26" s="64">
        <v>3.55</v>
      </c>
      <c r="G26" s="64">
        <v>70.94</v>
      </c>
      <c r="H26" s="64">
        <v>4.25</v>
      </c>
      <c r="I26" s="64">
        <v>4.22</v>
      </c>
      <c r="J26" s="64">
        <v>0.27</v>
      </c>
      <c r="K26" s="64">
        <v>233.03</v>
      </c>
      <c r="L26" s="64">
        <v>15.26</v>
      </c>
      <c r="M26" s="64">
        <v>96.83</v>
      </c>
      <c r="N26" s="64">
        <v>25.8</v>
      </c>
      <c r="O26" s="64">
        <v>0</v>
      </c>
      <c r="P26" s="64">
        <v>0.57999999999999996</v>
      </c>
      <c r="Q26" s="64">
        <v>9.6199999999999992</v>
      </c>
      <c r="R26" s="196"/>
      <c r="S26" s="196"/>
      <c r="T26" s="196"/>
      <c r="U26" s="196"/>
    </row>
    <row r="27" spans="1:21" s="12" customFormat="1" x14ac:dyDescent="0.25">
      <c r="A27" s="211" t="s">
        <v>1511</v>
      </c>
      <c r="B27" s="64">
        <v>8.1999999999999993</v>
      </c>
      <c r="C27" s="64">
        <v>21.75</v>
      </c>
      <c r="D27" s="64">
        <v>16.559999999999999</v>
      </c>
      <c r="E27" s="64">
        <v>6.81</v>
      </c>
      <c r="F27" s="64">
        <v>3.72</v>
      </c>
      <c r="G27" s="64">
        <v>70.94</v>
      </c>
      <c r="H27" s="64">
        <v>4.25</v>
      </c>
      <c r="I27" s="64">
        <v>5.16</v>
      </c>
      <c r="J27" s="64">
        <v>0.5</v>
      </c>
      <c r="K27" s="64">
        <v>72.19</v>
      </c>
      <c r="L27" s="64">
        <v>15.25</v>
      </c>
      <c r="M27" s="64">
        <v>96.17</v>
      </c>
      <c r="N27" s="64">
        <v>25.7</v>
      </c>
      <c r="O27" s="64">
        <v>0</v>
      </c>
      <c r="P27" s="64">
        <v>0.59</v>
      </c>
      <c r="Q27" s="64">
        <v>9.6199999999999992</v>
      </c>
      <c r="R27" s="196"/>
      <c r="S27" s="196"/>
      <c r="T27" s="196"/>
      <c r="U27" s="196"/>
    </row>
    <row r="28" spans="1:21" s="12" customFormat="1" x14ac:dyDescent="0.25">
      <c r="A28" s="211" t="s">
        <v>1512</v>
      </c>
      <c r="B28" s="64">
        <v>9.01</v>
      </c>
      <c r="C28" s="64">
        <v>21.96</v>
      </c>
      <c r="D28" s="64">
        <v>17.32</v>
      </c>
      <c r="E28" s="64">
        <v>6.97</v>
      </c>
      <c r="F28" s="64">
        <v>4.07</v>
      </c>
      <c r="G28" s="64">
        <v>73.400000000000006</v>
      </c>
      <c r="H28" s="64">
        <v>14.19</v>
      </c>
      <c r="I28" s="64">
        <v>5.0599999999999996</v>
      </c>
      <c r="J28" s="64">
        <v>0.53</v>
      </c>
      <c r="K28" s="64">
        <v>87.2</v>
      </c>
      <c r="L28" s="64">
        <v>15.27</v>
      </c>
      <c r="M28" s="64">
        <v>92.39</v>
      </c>
      <c r="N28" s="64">
        <v>25.7</v>
      </c>
      <c r="O28" s="64">
        <v>0</v>
      </c>
      <c r="P28" s="64">
        <v>0.59</v>
      </c>
      <c r="Q28" s="64">
        <v>9.6199999999999992</v>
      </c>
      <c r="R28" s="196"/>
      <c r="S28" s="196"/>
      <c r="T28" s="196"/>
      <c r="U28" s="196"/>
    </row>
    <row r="29" spans="1:21" s="12" customFormat="1" x14ac:dyDescent="0.25">
      <c r="A29" s="211" t="s">
        <v>1513</v>
      </c>
      <c r="B29" s="64">
        <v>9.02</v>
      </c>
      <c r="C29" s="64">
        <v>22.33</v>
      </c>
      <c r="D29" s="64">
        <v>17.52</v>
      </c>
      <c r="E29" s="64">
        <v>6.99</v>
      </c>
      <c r="F29" s="64">
        <v>3.74</v>
      </c>
      <c r="G29" s="64">
        <v>80.58</v>
      </c>
      <c r="H29" s="64">
        <v>34.090000000000003</v>
      </c>
      <c r="I29" s="64">
        <v>4.7699999999999996</v>
      </c>
      <c r="J29" s="64">
        <v>0.37</v>
      </c>
      <c r="K29" s="64">
        <v>83.35</v>
      </c>
      <c r="L29" s="64">
        <v>15.35</v>
      </c>
      <c r="M29" s="64">
        <v>90.71</v>
      </c>
      <c r="N29" s="64">
        <v>25.7</v>
      </c>
      <c r="O29" s="64">
        <v>0</v>
      </c>
      <c r="P29" s="64">
        <v>0.59</v>
      </c>
      <c r="Q29" s="64">
        <v>9.6300000000000008</v>
      </c>
      <c r="R29" s="196"/>
      <c r="S29" s="196"/>
      <c r="T29" s="196"/>
      <c r="U29" s="196"/>
    </row>
    <row r="30" spans="1:21" s="12" customFormat="1" x14ac:dyDescent="0.25">
      <c r="A30" s="211" t="s">
        <v>1514</v>
      </c>
      <c r="B30" s="64">
        <v>8.69</v>
      </c>
      <c r="C30" s="64">
        <v>23</v>
      </c>
      <c r="D30" s="64">
        <v>17.61</v>
      </c>
      <c r="E30" s="64">
        <v>6.61</v>
      </c>
      <c r="F30" s="64">
        <v>4.1100000000000003</v>
      </c>
      <c r="G30" s="64">
        <v>80.58</v>
      </c>
      <c r="H30" s="64">
        <v>34.090000000000003</v>
      </c>
      <c r="I30" s="64">
        <v>4.79</v>
      </c>
      <c r="J30" s="64">
        <v>0.57999999999999996</v>
      </c>
      <c r="K30" s="64">
        <v>75.790000000000006</v>
      </c>
      <c r="L30" s="64">
        <v>15.33</v>
      </c>
      <c r="M30" s="64">
        <v>90.5</v>
      </c>
      <c r="N30" s="64">
        <v>25.7</v>
      </c>
      <c r="O30" s="64">
        <v>0</v>
      </c>
      <c r="P30" s="64">
        <v>0.59</v>
      </c>
      <c r="Q30" s="64">
        <v>9.6199999999999992</v>
      </c>
      <c r="R30" s="196"/>
      <c r="S30" s="196"/>
      <c r="T30" s="196"/>
      <c r="U30" s="196"/>
    </row>
    <row r="31" spans="1:21" s="12" customFormat="1" x14ac:dyDescent="0.25">
      <c r="A31" s="211" t="s">
        <v>1515</v>
      </c>
      <c r="B31" s="64">
        <v>8.42</v>
      </c>
      <c r="C31" s="64">
        <v>23.27</v>
      </c>
      <c r="D31" s="64">
        <v>17.54</v>
      </c>
      <c r="E31" s="64">
        <v>6.25</v>
      </c>
      <c r="F31" s="64">
        <v>4.3</v>
      </c>
      <c r="G31" s="64">
        <v>80.58</v>
      </c>
      <c r="H31" s="64">
        <v>34.090000000000003</v>
      </c>
      <c r="I31" s="64">
        <v>4.7699999999999996</v>
      </c>
      <c r="J31" s="64">
        <v>0.28999999999999998</v>
      </c>
      <c r="K31" s="64">
        <v>355.41</v>
      </c>
      <c r="L31" s="64">
        <v>15.29</v>
      </c>
      <c r="M31" s="64">
        <v>91.67</v>
      </c>
      <c r="N31" s="64">
        <v>25.6</v>
      </c>
      <c r="O31" s="64">
        <v>0</v>
      </c>
      <c r="P31" s="64">
        <v>0.6</v>
      </c>
      <c r="Q31" s="64">
        <v>9.6300000000000008</v>
      </c>
      <c r="R31" s="196"/>
      <c r="S31" s="196"/>
      <c r="T31" s="196"/>
      <c r="U31" s="196"/>
    </row>
    <row r="32" spans="1:21" s="12" customFormat="1" x14ac:dyDescent="0.25">
      <c r="A32" s="211" t="s">
        <v>1516</v>
      </c>
      <c r="B32" s="64">
        <v>9.02</v>
      </c>
      <c r="C32" s="64">
        <v>24.17</v>
      </c>
      <c r="D32" s="64">
        <v>18.489999999999998</v>
      </c>
      <c r="E32" s="64">
        <v>6.36</v>
      </c>
      <c r="F32" s="64">
        <v>4.1100000000000003</v>
      </c>
      <c r="G32" s="64">
        <v>81.5</v>
      </c>
      <c r="H32" s="64">
        <v>38.979999999999997</v>
      </c>
      <c r="I32" s="64">
        <v>4.6500000000000004</v>
      </c>
      <c r="J32" s="64">
        <v>0.2</v>
      </c>
      <c r="K32" s="64">
        <v>40.46</v>
      </c>
      <c r="L32" s="64">
        <v>15.22</v>
      </c>
      <c r="M32" s="64">
        <v>92.45</v>
      </c>
      <c r="N32" s="64">
        <v>25.9</v>
      </c>
      <c r="O32" s="64">
        <v>0</v>
      </c>
      <c r="P32" s="64">
        <v>0.66</v>
      </c>
      <c r="Q32" s="64">
        <v>9.64</v>
      </c>
      <c r="R32" s="196"/>
      <c r="S32" s="196"/>
      <c r="T32" s="196"/>
      <c r="U32" s="196"/>
    </row>
    <row r="33" spans="1:21" s="12" customFormat="1" x14ac:dyDescent="0.25">
      <c r="A33" s="211" t="s">
        <v>1517</v>
      </c>
      <c r="B33" s="64">
        <v>9.5</v>
      </c>
      <c r="C33" s="64">
        <v>24.92</v>
      </c>
      <c r="D33" s="64">
        <v>19.260000000000002</v>
      </c>
      <c r="E33" s="64">
        <v>6.5</v>
      </c>
      <c r="F33" s="64">
        <v>4.04</v>
      </c>
      <c r="G33" s="64">
        <v>84.17</v>
      </c>
      <c r="H33" s="64">
        <v>48.34</v>
      </c>
      <c r="I33" s="64">
        <v>4.6500000000000004</v>
      </c>
      <c r="J33" s="64">
        <v>0.1</v>
      </c>
      <c r="K33" s="64">
        <v>126.07</v>
      </c>
      <c r="L33" s="64">
        <v>15.05</v>
      </c>
      <c r="M33" s="64">
        <v>92.15</v>
      </c>
      <c r="N33" s="64">
        <v>27.9</v>
      </c>
      <c r="O33" s="64">
        <v>0</v>
      </c>
      <c r="P33" s="64">
        <v>0.69</v>
      </c>
      <c r="Q33" s="64">
        <v>9.64</v>
      </c>
      <c r="R33" s="196"/>
      <c r="S33" s="196"/>
      <c r="T33" s="196"/>
      <c r="U33" s="196"/>
    </row>
    <row r="34" spans="1:21" s="12" customFormat="1" x14ac:dyDescent="0.25">
      <c r="A34" s="211" t="s">
        <v>1518</v>
      </c>
      <c r="B34" s="64">
        <v>9.59</v>
      </c>
      <c r="C34" s="64">
        <v>25.23</v>
      </c>
      <c r="D34" s="64">
        <v>19.5</v>
      </c>
      <c r="E34" s="64">
        <v>6.68</v>
      </c>
      <c r="F34" s="64">
        <v>4.1900000000000004</v>
      </c>
      <c r="G34" s="64">
        <v>84.17</v>
      </c>
      <c r="H34" s="64">
        <v>48.34</v>
      </c>
      <c r="I34" s="64">
        <v>4.66</v>
      </c>
      <c r="J34" s="64">
        <v>0.11</v>
      </c>
      <c r="K34" s="64">
        <v>16.88</v>
      </c>
      <c r="L34" s="64">
        <v>15.01</v>
      </c>
      <c r="M34" s="64">
        <v>92.51</v>
      </c>
      <c r="N34" s="64">
        <v>34.799999999999997</v>
      </c>
      <c r="O34" s="64">
        <v>0</v>
      </c>
      <c r="P34" s="64">
        <v>0.7</v>
      </c>
      <c r="Q34" s="64">
        <v>9.6199999999999992</v>
      </c>
      <c r="R34" s="196"/>
      <c r="S34" s="196"/>
      <c r="T34" s="196"/>
      <c r="U34" s="196"/>
    </row>
    <row r="35" spans="1:21" s="12" customFormat="1" x14ac:dyDescent="0.25">
      <c r="A35" s="211" t="s">
        <v>1519</v>
      </c>
      <c r="B35" s="64">
        <v>10.48</v>
      </c>
      <c r="C35" s="64">
        <v>25.69</v>
      </c>
      <c r="D35" s="64">
        <v>20.45</v>
      </c>
      <c r="E35" s="64">
        <v>6.81</v>
      </c>
      <c r="F35" s="64">
        <v>3.68</v>
      </c>
      <c r="G35" s="64">
        <v>84.17</v>
      </c>
      <c r="H35" s="64">
        <v>48.34</v>
      </c>
      <c r="I35" s="64">
        <v>4.5599999999999996</v>
      </c>
      <c r="J35" s="64">
        <v>0.39</v>
      </c>
      <c r="K35" s="64">
        <v>122.91</v>
      </c>
      <c r="L35" s="64">
        <v>15.23</v>
      </c>
      <c r="M35" s="64">
        <v>90.57</v>
      </c>
      <c r="N35" s="64">
        <v>48</v>
      </c>
      <c r="O35" s="64">
        <v>0</v>
      </c>
      <c r="P35" s="64">
        <v>0.71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1520</v>
      </c>
      <c r="B36" s="64">
        <v>10.84</v>
      </c>
      <c r="C36" s="64">
        <v>23.79</v>
      </c>
      <c r="D36" s="64">
        <v>19.739999999999998</v>
      </c>
      <c r="E36" s="64">
        <v>6.57</v>
      </c>
      <c r="F36" s="64">
        <v>4.12</v>
      </c>
      <c r="G36" s="64">
        <v>83.03</v>
      </c>
      <c r="H36" s="64">
        <v>45.94</v>
      </c>
      <c r="I36" s="64">
        <v>4.5199999999999996</v>
      </c>
      <c r="J36" s="64">
        <v>0.01</v>
      </c>
      <c r="K36" s="64">
        <v>324.87</v>
      </c>
      <c r="L36" s="64">
        <v>15.59</v>
      </c>
      <c r="M36" s="64">
        <v>88.88</v>
      </c>
      <c r="N36" s="64">
        <v>63.3</v>
      </c>
      <c r="O36" s="64">
        <v>0</v>
      </c>
      <c r="P36" s="64">
        <v>0.7</v>
      </c>
      <c r="Q36" s="64">
        <v>9.64</v>
      </c>
      <c r="R36" s="196"/>
      <c r="S36" s="196"/>
      <c r="T36" s="196"/>
      <c r="U36" s="196"/>
    </row>
    <row r="37" spans="1:21" s="12" customFormat="1" x14ac:dyDescent="0.25">
      <c r="A37" s="211" t="s">
        <v>1521</v>
      </c>
      <c r="B37" s="64">
        <v>11.05</v>
      </c>
      <c r="C37" s="64">
        <v>23.58</v>
      </c>
      <c r="D37" s="64">
        <v>19.8</v>
      </c>
      <c r="E37" s="64">
        <v>6.21</v>
      </c>
      <c r="F37" s="64">
        <v>4.04</v>
      </c>
      <c r="G37" s="64">
        <v>79.73</v>
      </c>
      <c r="H37" s="64">
        <v>41.34</v>
      </c>
      <c r="I37" s="64">
        <v>4.68</v>
      </c>
      <c r="J37" s="64">
        <v>0.1</v>
      </c>
      <c r="K37" s="64">
        <v>131.72</v>
      </c>
      <c r="L37" s="64">
        <v>16.09</v>
      </c>
      <c r="M37" s="64">
        <v>86.56</v>
      </c>
      <c r="N37" s="64">
        <v>87</v>
      </c>
      <c r="O37" s="64">
        <v>0</v>
      </c>
      <c r="P37" s="64">
        <v>0.68</v>
      </c>
      <c r="Q37" s="64">
        <v>9.6199999999999992</v>
      </c>
      <c r="R37" s="196"/>
      <c r="S37" s="196"/>
      <c r="T37" s="196"/>
      <c r="U37" s="196"/>
    </row>
    <row r="38" spans="1:21" s="12" customFormat="1" x14ac:dyDescent="0.25">
      <c r="A38" s="211" t="s">
        <v>1522</v>
      </c>
      <c r="B38" s="64">
        <v>11.34</v>
      </c>
      <c r="C38" s="64">
        <v>23.49</v>
      </c>
      <c r="D38" s="64">
        <v>19.989999999999998</v>
      </c>
      <c r="E38" s="64">
        <v>6.19</v>
      </c>
      <c r="F38" s="64">
        <v>3.79</v>
      </c>
      <c r="G38" s="64">
        <v>79.73</v>
      </c>
      <c r="H38" s="64">
        <v>41.34</v>
      </c>
      <c r="I38" s="64">
        <v>4.4800000000000004</v>
      </c>
      <c r="J38" s="64">
        <v>0.54</v>
      </c>
      <c r="K38" s="64">
        <v>102.38</v>
      </c>
      <c r="L38" s="64">
        <v>16.78</v>
      </c>
      <c r="M38" s="64">
        <v>83.82</v>
      </c>
      <c r="N38" s="64">
        <v>154.9</v>
      </c>
      <c r="O38" s="64">
        <v>0</v>
      </c>
      <c r="P38" s="64">
        <v>0.69</v>
      </c>
      <c r="Q38" s="64">
        <v>9.6300000000000008</v>
      </c>
      <c r="R38" s="196"/>
      <c r="S38" s="196"/>
      <c r="T38" s="196"/>
      <c r="U38" s="196"/>
    </row>
    <row r="39" spans="1:21" s="12" customFormat="1" x14ac:dyDescent="0.25">
      <c r="A39" s="211" t="s">
        <v>1523</v>
      </c>
      <c r="B39" s="64">
        <v>11.42</v>
      </c>
      <c r="C39" s="64">
        <v>23.35</v>
      </c>
      <c r="D39" s="64">
        <v>19.989999999999998</v>
      </c>
      <c r="E39" s="64">
        <v>6.15</v>
      </c>
      <c r="F39" s="64">
        <v>3.52</v>
      </c>
      <c r="G39" s="64">
        <v>79.73</v>
      </c>
      <c r="H39" s="64">
        <v>41.34</v>
      </c>
      <c r="I39" s="64">
        <v>4.32</v>
      </c>
      <c r="J39" s="64">
        <v>0.11</v>
      </c>
      <c r="K39" s="64">
        <v>0.83</v>
      </c>
      <c r="L39" s="64">
        <v>18.260000000000002</v>
      </c>
      <c r="M39" s="64">
        <v>78.17</v>
      </c>
      <c r="N39" s="64">
        <v>210.4</v>
      </c>
      <c r="O39" s="64">
        <v>0</v>
      </c>
      <c r="P39" s="64">
        <v>0.7</v>
      </c>
      <c r="Q39" s="64">
        <v>9.6300000000000008</v>
      </c>
      <c r="R39" s="196"/>
      <c r="S39" s="196"/>
      <c r="T39" s="196"/>
      <c r="U39" s="196"/>
    </row>
    <row r="40" spans="1:21" s="12" customFormat="1" x14ac:dyDescent="0.25">
      <c r="A40" s="211" t="s">
        <v>1524</v>
      </c>
      <c r="B40" s="64">
        <v>11.64</v>
      </c>
      <c r="C40" s="64">
        <v>23.42</v>
      </c>
      <c r="D40" s="64">
        <v>20.2</v>
      </c>
      <c r="E40" s="64">
        <v>5.74</v>
      </c>
      <c r="F40" s="64">
        <v>3.71</v>
      </c>
      <c r="G40" s="64">
        <v>82.85</v>
      </c>
      <c r="H40" s="64">
        <v>39.31</v>
      </c>
      <c r="I40" s="64">
        <v>4.22</v>
      </c>
      <c r="J40" s="64">
        <v>0.48</v>
      </c>
      <c r="K40" s="64">
        <v>96.15</v>
      </c>
      <c r="L40" s="64">
        <v>19.38</v>
      </c>
      <c r="M40" s="64">
        <v>73.53</v>
      </c>
      <c r="N40" s="64">
        <v>257.5</v>
      </c>
      <c r="O40" s="64">
        <v>0</v>
      </c>
      <c r="P40" s="64">
        <v>0.7</v>
      </c>
      <c r="Q40" s="64">
        <v>9.6300000000000008</v>
      </c>
      <c r="R40" s="196"/>
      <c r="S40" s="196"/>
      <c r="T40" s="196"/>
      <c r="U40" s="196"/>
    </row>
    <row r="41" spans="1:21" s="12" customFormat="1" x14ac:dyDescent="0.25">
      <c r="A41" s="211" t="s">
        <v>1525</v>
      </c>
      <c r="B41" s="64">
        <v>11.68</v>
      </c>
      <c r="C41" s="64">
        <v>23.54</v>
      </c>
      <c r="D41" s="64">
        <v>20.28</v>
      </c>
      <c r="E41" s="64">
        <v>6.21</v>
      </c>
      <c r="F41" s="64">
        <v>3.26</v>
      </c>
      <c r="G41" s="64">
        <v>91.95</v>
      </c>
      <c r="H41" s="64">
        <v>31.16</v>
      </c>
      <c r="I41" s="64">
        <v>4.42</v>
      </c>
      <c r="J41" s="64">
        <v>0.79</v>
      </c>
      <c r="K41" s="64">
        <v>112.23</v>
      </c>
      <c r="L41" s="64">
        <v>19.38</v>
      </c>
      <c r="M41" s="64">
        <v>73.31</v>
      </c>
      <c r="N41" s="64">
        <v>301.89999999999998</v>
      </c>
      <c r="O41" s="64">
        <v>0</v>
      </c>
      <c r="P41" s="64">
        <v>0.68</v>
      </c>
      <c r="Q41" s="64">
        <v>9.6300000000000008</v>
      </c>
      <c r="R41" s="196"/>
      <c r="S41" s="196"/>
      <c r="T41" s="196"/>
      <c r="U41" s="196"/>
    </row>
    <row r="42" spans="1:21" s="12" customFormat="1" x14ac:dyDescent="0.25">
      <c r="A42" s="211" t="s">
        <v>1526</v>
      </c>
      <c r="B42" s="64">
        <v>11.49</v>
      </c>
      <c r="C42" s="64">
        <v>23.22</v>
      </c>
      <c r="D42" s="64">
        <v>19.97</v>
      </c>
      <c r="E42" s="64">
        <v>5.91</v>
      </c>
      <c r="F42" s="64">
        <v>4.1500000000000004</v>
      </c>
      <c r="G42" s="64">
        <v>91.95</v>
      </c>
      <c r="H42" s="64">
        <v>31.16</v>
      </c>
      <c r="I42" s="64">
        <v>4.46</v>
      </c>
      <c r="J42" s="64">
        <v>0.67</v>
      </c>
      <c r="K42" s="64">
        <v>95.99</v>
      </c>
      <c r="L42" s="64">
        <v>20.34</v>
      </c>
      <c r="M42" s="64">
        <v>70.37</v>
      </c>
      <c r="N42" s="64">
        <v>344.5</v>
      </c>
      <c r="O42" s="64">
        <v>0</v>
      </c>
      <c r="P42" s="64">
        <v>0.7</v>
      </c>
      <c r="Q42" s="64">
        <v>9.6199999999999992</v>
      </c>
      <c r="R42" s="196"/>
      <c r="S42" s="196"/>
      <c r="T42" s="196"/>
      <c r="U42" s="196"/>
    </row>
    <row r="43" spans="1:21" s="12" customFormat="1" x14ac:dyDescent="0.25">
      <c r="A43" s="211" t="s">
        <v>1527</v>
      </c>
      <c r="B43" s="64">
        <v>11.47</v>
      </c>
      <c r="C43" s="64">
        <v>24.02</v>
      </c>
      <c r="D43" s="64">
        <v>20.37</v>
      </c>
      <c r="E43" s="64">
        <v>6.29</v>
      </c>
      <c r="F43" s="64">
        <v>3.82</v>
      </c>
      <c r="G43" s="64">
        <v>91.95</v>
      </c>
      <c r="H43" s="64">
        <v>31.16</v>
      </c>
      <c r="I43" s="64">
        <v>4.7300000000000004</v>
      </c>
      <c r="J43" s="64">
        <v>0.22</v>
      </c>
      <c r="K43" s="64">
        <v>30</v>
      </c>
      <c r="L43" s="64">
        <v>21.62</v>
      </c>
      <c r="M43" s="64">
        <v>64.97</v>
      </c>
      <c r="N43" s="64">
        <v>383.4</v>
      </c>
      <c r="O43" s="64">
        <v>0</v>
      </c>
      <c r="P43" s="64">
        <v>0.72</v>
      </c>
      <c r="Q43" s="64">
        <v>9.6300000000000008</v>
      </c>
      <c r="R43" s="196"/>
      <c r="S43" s="196"/>
      <c r="T43" s="196"/>
      <c r="U43" s="196"/>
    </row>
    <row r="44" spans="1:21" s="12" customFormat="1" x14ac:dyDescent="0.25">
      <c r="A44" s="211" t="s">
        <v>1528</v>
      </c>
      <c r="B44" s="64">
        <v>11.39</v>
      </c>
      <c r="C44" s="64">
        <v>24.82</v>
      </c>
      <c r="D44" s="64">
        <v>20.72</v>
      </c>
      <c r="E44" s="64">
        <v>6.25</v>
      </c>
      <c r="F44" s="64">
        <v>4.25</v>
      </c>
      <c r="G44" s="64">
        <v>90.7</v>
      </c>
      <c r="H44" s="209" t="s">
        <v>42</v>
      </c>
      <c r="I44" s="64">
        <v>5.1100000000000003</v>
      </c>
      <c r="J44" s="64">
        <v>0.64</v>
      </c>
      <c r="K44" s="64">
        <v>315.58</v>
      </c>
      <c r="L44" s="64">
        <v>23.65</v>
      </c>
      <c r="M44" s="64">
        <v>57.48</v>
      </c>
      <c r="N44" s="64">
        <v>423.4</v>
      </c>
      <c r="O44" s="64">
        <v>0</v>
      </c>
      <c r="P44" s="64">
        <v>0.71</v>
      </c>
      <c r="Q44" s="64">
        <v>9.6300000000000008</v>
      </c>
      <c r="R44" s="196"/>
      <c r="S44" s="196"/>
      <c r="T44" s="196"/>
      <c r="U44" s="196"/>
    </row>
    <row r="45" spans="1:21" s="12" customFormat="1" x14ac:dyDescent="0.25">
      <c r="A45" s="211" t="s">
        <v>1529</v>
      </c>
      <c r="B45" s="64">
        <v>11.13</v>
      </c>
      <c r="C45" s="64">
        <v>25.76</v>
      </c>
      <c r="D45" s="64">
        <v>21.01</v>
      </c>
      <c r="E45" s="64">
        <v>6.07</v>
      </c>
      <c r="F45" s="64">
        <v>4.34</v>
      </c>
      <c r="G45" s="64">
        <v>87.07</v>
      </c>
      <c r="H45" s="209" t="s">
        <v>42</v>
      </c>
      <c r="I45" s="64">
        <v>5.37</v>
      </c>
      <c r="J45" s="64">
        <v>0.69</v>
      </c>
      <c r="K45" s="64">
        <v>105.25</v>
      </c>
      <c r="L45" s="64">
        <v>23.68</v>
      </c>
      <c r="M45" s="64">
        <v>57.44</v>
      </c>
      <c r="N45" s="64">
        <v>460.9</v>
      </c>
      <c r="O45" s="64">
        <v>0</v>
      </c>
      <c r="P45" s="64">
        <v>0.71</v>
      </c>
      <c r="Q45" s="64">
        <v>9.6300000000000008</v>
      </c>
      <c r="R45" s="196"/>
      <c r="S45" s="196"/>
      <c r="T45" s="196"/>
      <c r="U45" s="196"/>
    </row>
    <row r="46" spans="1:21" s="12" customFormat="1" x14ac:dyDescent="0.25">
      <c r="A46" s="211" t="s">
        <v>1530</v>
      </c>
      <c r="B46" s="64">
        <v>10.31</v>
      </c>
      <c r="C46" s="64">
        <v>26.6</v>
      </c>
      <c r="D46" s="64">
        <v>20.79</v>
      </c>
      <c r="E46" s="64">
        <v>5.91</v>
      </c>
      <c r="F46" s="64">
        <v>4.3600000000000003</v>
      </c>
      <c r="G46" s="64">
        <v>87.07</v>
      </c>
      <c r="H46" s="209" t="s">
        <v>42</v>
      </c>
      <c r="I46" s="64">
        <v>5.42</v>
      </c>
      <c r="J46" s="64">
        <v>1.39</v>
      </c>
      <c r="K46" s="64">
        <v>109.09</v>
      </c>
      <c r="L46" s="64">
        <v>22.12</v>
      </c>
      <c r="M46" s="64">
        <v>61.63</v>
      </c>
      <c r="N46" s="64">
        <v>488.3</v>
      </c>
      <c r="O46" s="64">
        <v>0</v>
      </c>
      <c r="P46" s="64">
        <v>0.72</v>
      </c>
      <c r="Q46" s="64">
        <v>9.6300000000000008</v>
      </c>
      <c r="R46" s="196"/>
      <c r="S46" s="196"/>
      <c r="T46" s="196"/>
      <c r="U46" s="196"/>
    </row>
    <row r="47" spans="1:21" s="12" customFormat="1" x14ac:dyDescent="0.25">
      <c r="A47" s="211" t="s">
        <v>1531</v>
      </c>
      <c r="B47" s="64">
        <v>9.34</v>
      </c>
      <c r="C47" s="64">
        <v>27.62</v>
      </c>
      <c r="D47" s="64">
        <v>20.55</v>
      </c>
      <c r="E47" s="64">
        <v>6.12</v>
      </c>
      <c r="F47" s="64">
        <v>3.95</v>
      </c>
      <c r="G47" s="64">
        <v>87.07</v>
      </c>
      <c r="H47" s="209" t="s">
        <v>42</v>
      </c>
      <c r="I47" s="64">
        <v>5.46</v>
      </c>
      <c r="J47" s="64">
        <v>0.56000000000000005</v>
      </c>
      <c r="K47" s="64">
        <v>321.23</v>
      </c>
      <c r="L47" s="64">
        <v>24.5</v>
      </c>
      <c r="M47" s="64">
        <v>53.63</v>
      </c>
      <c r="N47" s="64">
        <v>505</v>
      </c>
      <c r="O47" s="64">
        <v>0</v>
      </c>
      <c r="P47" s="64">
        <v>0.72</v>
      </c>
      <c r="Q47" s="64">
        <v>9.64</v>
      </c>
      <c r="R47" s="196"/>
      <c r="S47" s="196"/>
      <c r="T47" s="196"/>
      <c r="U47" s="196"/>
    </row>
    <row r="48" spans="1:21" s="12" customFormat="1" x14ac:dyDescent="0.25">
      <c r="A48" s="211" t="s">
        <v>1532</v>
      </c>
      <c r="B48" s="64">
        <v>9</v>
      </c>
      <c r="C48" s="64">
        <v>28.74</v>
      </c>
      <c r="D48" s="64">
        <v>20.86</v>
      </c>
      <c r="E48" s="64">
        <v>6.21</v>
      </c>
      <c r="F48" s="64">
        <v>4.22</v>
      </c>
      <c r="G48" s="64">
        <v>86.8</v>
      </c>
      <c r="H48" s="209" t="s">
        <v>42</v>
      </c>
      <c r="I48" s="64">
        <v>5.73</v>
      </c>
      <c r="J48" s="64">
        <v>0.38</v>
      </c>
      <c r="K48" s="64">
        <v>57.17</v>
      </c>
      <c r="L48" s="64">
        <v>25.51</v>
      </c>
      <c r="M48" s="64">
        <v>51.04</v>
      </c>
      <c r="N48" s="64">
        <v>540.1</v>
      </c>
      <c r="O48" s="64">
        <v>0</v>
      </c>
      <c r="P48" s="64">
        <v>0.72</v>
      </c>
      <c r="Q48" s="64">
        <v>9.6199999999999992</v>
      </c>
      <c r="R48" s="196"/>
      <c r="S48" s="196"/>
      <c r="T48" s="196"/>
      <c r="U48" s="196"/>
    </row>
    <row r="49" spans="1:21" s="12" customFormat="1" x14ac:dyDescent="0.25">
      <c r="A49" s="211" t="s">
        <v>1533</v>
      </c>
      <c r="B49" s="64">
        <v>8.2899999999999991</v>
      </c>
      <c r="C49" s="64">
        <v>29.36</v>
      </c>
      <c r="D49" s="64">
        <v>20.61</v>
      </c>
      <c r="E49" s="64">
        <v>5.9</v>
      </c>
      <c r="F49" s="64">
        <v>4.3099999999999996</v>
      </c>
      <c r="G49" s="64">
        <v>86.02</v>
      </c>
      <c r="H49" s="209" t="s">
        <v>42</v>
      </c>
      <c r="I49" s="64">
        <v>5.81</v>
      </c>
      <c r="J49" s="64">
        <v>0.67</v>
      </c>
      <c r="K49" s="64">
        <v>89.29</v>
      </c>
      <c r="L49" s="64">
        <v>24.26</v>
      </c>
      <c r="M49" s="64">
        <v>52.82</v>
      </c>
      <c r="N49" s="64">
        <v>575.79999999999995</v>
      </c>
      <c r="O49" s="64">
        <v>0</v>
      </c>
      <c r="P49" s="64">
        <v>0.72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1534</v>
      </c>
      <c r="B50" s="64">
        <v>7.31</v>
      </c>
      <c r="C50" s="64">
        <v>30.49</v>
      </c>
      <c r="D50" s="64">
        <v>20.420000000000002</v>
      </c>
      <c r="E50" s="64">
        <v>6.04</v>
      </c>
      <c r="F50" s="64">
        <v>4.5199999999999996</v>
      </c>
      <c r="G50" s="64">
        <v>86.02</v>
      </c>
      <c r="H50" s="209" t="s">
        <v>42</v>
      </c>
      <c r="I50" s="64">
        <v>5.76</v>
      </c>
      <c r="J50" s="64">
        <v>0.51</v>
      </c>
      <c r="K50" s="64">
        <v>354.71</v>
      </c>
      <c r="L50" s="64">
        <v>25.67</v>
      </c>
      <c r="M50" s="64">
        <v>48.78</v>
      </c>
      <c r="N50" s="64">
        <v>601.5</v>
      </c>
      <c r="O50" s="64">
        <v>0</v>
      </c>
      <c r="P50" s="64">
        <v>0.72</v>
      </c>
      <c r="Q50" s="64">
        <v>9.64</v>
      </c>
      <c r="R50" s="196"/>
      <c r="S50" s="196"/>
      <c r="T50" s="196"/>
      <c r="U50" s="196"/>
    </row>
    <row r="51" spans="1:21" s="12" customFormat="1" x14ac:dyDescent="0.25">
      <c r="A51" s="211" t="s">
        <v>1535</v>
      </c>
      <c r="B51" s="64">
        <v>6.55</v>
      </c>
      <c r="C51" s="64">
        <v>31.78</v>
      </c>
      <c r="D51" s="64">
        <v>20.48</v>
      </c>
      <c r="E51" s="64">
        <v>5.55</v>
      </c>
      <c r="F51" s="64">
        <v>4.5199999999999996</v>
      </c>
      <c r="G51" s="64">
        <v>86.02</v>
      </c>
      <c r="H51" s="209" t="s">
        <v>42</v>
      </c>
      <c r="I51" s="64">
        <v>6</v>
      </c>
      <c r="J51" s="64">
        <v>0.38</v>
      </c>
      <c r="K51" s="64">
        <v>30.12</v>
      </c>
      <c r="L51" s="64">
        <v>25.98</v>
      </c>
      <c r="M51" s="64">
        <v>47.5</v>
      </c>
      <c r="N51" s="64">
        <v>630.4</v>
      </c>
      <c r="O51" s="64">
        <v>0</v>
      </c>
      <c r="P51" s="64">
        <v>0.73</v>
      </c>
      <c r="Q51" s="64">
        <v>9.6300000000000008</v>
      </c>
      <c r="R51" s="196"/>
      <c r="S51" s="196"/>
      <c r="T51" s="196"/>
      <c r="U51" s="196"/>
    </row>
    <row r="52" spans="1:21" s="12" customFormat="1" x14ac:dyDescent="0.25">
      <c r="A52" s="211" t="s">
        <v>1536</v>
      </c>
      <c r="B52" s="64">
        <v>5.86</v>
      </c>
      <c r="C52" s="64">
        <v>30.94</v>
      </c>
      <c r="D52" s="64">
        <v>19.489999999999998</v>
      </c>
      <c r="E52" s="64">
        <v>6.54</v>
      </c>
      <c r="F52" s="64">
        <v>4.4800000000000004</v>
      </c>
      <c r="G52" s="64">
        <v>85.21</v>
      </c>
      <c r="H52" s="209" t="s">
        <v>42</v>
      </c>
      <c r="I52" s="64">
        <v>6.17</v>
      </c>
      <c r="J52" s="64">
        <v>0.83</v>
      </c>
      <c r="K52" s="64">
        <v>105.82</v>
      </c>
      <c r="L52" s="64">
        <v>25.55</v>
      </c>
      <c r="M52" s="64">
        <v>46.53</v>
      </c>
      <c r="N52" s="64">
        <v>645</v>
      </c>
      <c r="O52" s="64">
        <v>0</v>
      </c>
      <c r="P52" s="64">
        <v>0.71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1537</v>
      </c>
      <c r="B53" s="64">
        <v>5.28</v>
      </c>
      <c r="C53" s="64">
        <v>28.79</v>
      </c>
      <c r="D53" s="64">
        <v>17.899999999999999</v>
      </c>
      <c r="E53" s="64">
        <v>5.68</v>
      </c>
      <c r="F53" s="64">
        <v>5.01</v>
      </c>
      <c r="G53" s="64">
        <v>82.83</v>
      </c>
      <c r="H53" s="64">
        <v>71.569999999999993</v>
      </c>
      <c r="I53" s="64">
        <v>6.11</v>
      </c>
      <c r="J53" s="64">
        <v>0.63</v>
      </c>
      <c r="K53" s="64">
        <v>117</v>
      </c>
      <c r="L53" s="64">
        <v>24.93</v>
      </c>
      <c r="M53" s="64">
        <v>44.93</v>
      </c>
      <c r="N53" s="64">
        <v>633.5</v>
      </c>
      <c r="O53" s="64">
        <v>0</v>
      </c>
      <c r="P53" s="64">
        <v>0.7</v>
      </c>
      <c r="Q53" s="64">
        <v>9.6300000000000008</v>
      </c>
      <c r="R53" s="196"/>
      <c r="S53" s="196"/>
      <c r="T53" s="196"/>
      <c r="U53" s="196"/>
    </row>
    <row r="54" spans="1:21" s="12" customFormat="1" x14ac:dyDescent="0.25">
      <c r="A54" s="211" t="s">
        <v>1538</v>
      </c>
      <c r="B54" s="64">
        <v>5.03</v>
      </c>
      <c r="C54" s="64">
        <v>28.43</v>
      </c>
      <c r="D54" s="64">
        <v>17.510000000000002</v>
      </c>
      <c r="E54" s="64">
        <v>5.96</v>
      </c>
      <c r="F54" s="64">
        <v>4.8099999999999996</v>
      </c>
      <c r="G54" s="64">
        <v>82.83</v>
      </c>
      <c r="H54" s="64">
        <v>71.569999999999993</v>
      </c>
      <c r="I54" s="64">
        <v>5.95</v>
      </c>
      <c r="J54" s="64">
        <v>0.48</v>
      </c>
      <c r="K54" s="64">
        <v>333.71</v>
      </c>
      <c r="L54" s="64">
        <v>26.75</v>
      </c>
      <c r="M54" s="64">
        <v>37.71</v>
      </c>
      <c r="N54" s="64">
        <v>643.20000000000005</v>
      </c>
      <c r="O54" s="64">
        <v>0</v>
      </c>
      <c r="P54" s="64">
        <v>0.69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1539</v>
      </c>
      <c r="B55" s="64">
        <v>4.78</v>
      </c>
      <c r="C55" s="64">
        <v>28.3</v>
      </c>
      <c r="D55" s="64">
        <v>17.239999999999998</v>
      </c>
      <c r="E55" s="64">
        <v>5.83</v>
      </c>
      <c r="F55" s="64">
        <v>5.05</v>
      </c>
      <c r="G55" s="64">
        <v>82.83</v>
      </c>
      <c r="H55" s="64">
        <v>71.569999999999993</v>
      </c>
      <c r="I55" s="64">
        <v>5.85</v>
      </c>
      <c r="J55" s="64">
        <v>0.77</v>
      </c>
      <c r="K55" s="64">
        <v>86</v>
      </c>
      <c r="L55" s="64">
        <v>25.87</v>
      </c>
      <c r="M55" s="64">
        <v>39.93</v>
      </c>
      <c r="N55" s="64">
        <v>628.1</v>
      </c>
      <c r="O55" s="64">
        <v>0</v>
      </c>
      <c r="P55" s="64">
        <v>0.68</v>
      </c>
      <c r="Q55" s="64">
        <v>9.6300000000000008</v>
      </c>
      <c r="R55" s="196"/>
      <c r="S55" s="196"/>
      <c r="T55" s="196"/>
      <c r="U55" s="196"/>
    </row>
    <row r="56" spans="1:21" s="12" customFormat="1" x14ac:dyDescent="0.25">
      <c r="A56" s="211" t="s">
        <v>1540</v>
      </c>
      <c r="B56" s="64">
        <v>4.42</v>
      </c>
      <c r="C56" s="64">
        <v>27.75</v>
      </c>
      <c r="D56" s="64">
        <v>16.66</v>
      </c>
      <c r="E56" s="64">
        <v>6.17</v>
      </c>
      <c r="F56" s="64">
        <v>4.8899999999999997</v>
      </c>
      <c r="G56" s="64">
        <v>81.11</v>
      </c>
      <c r="H56" s="64">
        <v>67.23</v>
      </c>
      <c r="I56" s="64">
        <v>5.94</v>
      </c>
      <c r="J56" s="64">
        <v>0.96</v>
      </c>
      <c r="K56" s="64">
        <v>90.64</v>
      </c>
      <c r="L56" s="64">
        <v>25.75</v>
      </c>
      <c r="M56" s="64">
        <v>39.47</v>
      </c>
      <c r="N56" s="64">
        <v>611.20000000000005</v>
      </c>
      <c r="O56" s="64">
        <v>0</v>
      </c>
      <c r="P56" s="64">
        <v>0.68</v>
      </c>
      <c r="Q56" s="64">
        <v>9.64</v>
      </c>
      <c r="R56" s="196"/>
      <c r="S56" s="196"/>
      <c r="T56" s="196"/>
      <c r="U56" s="196"/>
    </row>
    <row r="57" spans="1:21" s="12" customFormat="1" x14ac:dyDescent="0.25">
      <c r="A57" s="211" t="s">
        <v>1541</v>
      </c>
      <c r="B57" s="64">
        <v>4.1100000000000003</v>
      </c>
      <c r="C57" s="64">
        <v>27.32</v>
      </c>
      <c r="D57" s="64">
        <v>16.2</v>
      </c>
      <c r="E57" s="64">
        <v>5.56</v>
      </c>
      <c r="F57" s="64">
        <v>4.8</v>
      </c>
      <c r="G57" s="64">
        <v>76.09</v>
      </c>
      <c r="H57" s="64">
        <v>49.89</v>
      </c>
      <c r="I57" s="64">
        <v>5.81</v>
      </c>
      <c r="J57" s="64">
        <v>0.97</v>
      </c>
      <c r="K57" s="64">
        <v>104.44</v>
      </c>
      <c r="L57" s="64">
        <v>25.28</v>
      </c>
      <c r="M57" s="64">
        <v>39.549999999999997</v>
      </c>
      <c r="N57" s="64">
        <v>608.9</v>
      </c>
      <c r="O57" s="64">
        <v>0</v>
      </c>
      <c r="P57" s="64">
        <v>0.64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1542</v>
      </c>
      <c r="B58" s="64">
        <v>3.91</v>
      </c>
      <c r="C58" s="64">
        <v>26.59</v>
      </c>
      <c r="D58" s="64">
        <v>15.65</v>
      </c>
      <c r="E58" s="64">
        <v>4.97</v>
      </c>
      <c r="F58" s="64">
        <v>4.8899999999999997</v>
      </c>
      <c r="G58" s="64">
        <v>76.09</v>
      </c>
      <c r="H58" s="64">
        <v>49.89</v>
      </c>
      <c r="I58" s="64">
        <v>5.58</v>
      </c>
      <c r="J58" s="64">
        <v>0.89</v>
      </c>
      <c r="K58" s="64">
        <v>97.46</v>
      </c>
      <c r="L58" s="64">
        <v>25.76</v>
      </c>
      <c r="M58" s="64">
        <v>37.72</v>
      </c>
      <c r="N58" s="64">
        <v>582.79999999999995</v>
      </c>
      <c r="O58" s="64">
        <v>0</v>
      </c>
      <c r="P58" s="64">
        <v>0.63</v>
      </c>
      <c r="Q58" s="64">
        <v>9.6199999999999992</v>
      </c>
      <c r="R58" s="196"/>
      <c r="S58" s="196"/>
      <c r="T58" s="196"/>
      <c r="U58" s="196"/>
    </row>
    <row r="59" spans="1:21" s="12" customFormat="1" x14ac:dyDescent="0.25">
      <c r="A59" s="211" t="s">
        <v>1543</v>
      </c>
      <c r="B59" s="64">
        <v>3.69</v>
      </c>
      <c r="C59" s="64">
        <v>25.93</v>
      </c>
      <c r="D59" s="64">
        <v>15.13</v>
      </c>
      <c r="E59" s="64">
        <v>5.58</v>
      </c>
      <c r="F59" s="64">
        <v>5.04</v>
      </c>
      <c r="G59" s="64">
        <v>76.09</v>
      </c>
      <c r="H59" s="64">
        <v>49.89</v>
      </c>
      <c r="I59" s="64">
        <v>6.51</v>
      </c>
      <c r="J59" s="64">
        <v>0.97</v>
      </c>
      <c r="K59" s="64">
        <v>117.81</v>
      </c>
      <c r="L59" s="64">
        <v>25.14</v>
      </c>
      <c r="M59" s="64">
        <v>38.450000000000003</v>
      </c>
      <c r="N59" s="64">
        <v>563.1</v>
      </c>
      <c r="O59" s="64">
        <v>0</v>
      </c>
      <c r="P59" s="64">
        <v>0.62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1544</v>
      </c>
      <c r="B60" s="64">
        <v>3.36</v>
      </c>
      <c r="C60" s="64">
        <v>26.04</v>
      </c>
      <c r="D60" s="64">
        <v>14.93</v>
      </c>
      <c r="E60" s="64">
        <v>5.3</v>
      </c>
      <c r="F60" s="64">
        <v>5</v>
      </c>
      <c r="G60" s="64">
        <v>74.099999999999994</v>
      </c>
      <c r="H60" s="209" t="s">
        <v>42</v>
      </c>
      <c r="I60" s="64">
        <v>6.71</v>
      </c>
      <c r="J60" s="64">
        <v>0.37</v>
      </c>
      <c r="K60" s="64">
        <v>28.9</v>
      </c>
      <c r="L60" s="64">
        <v>26.11</v>
      </c>
      <c r="M60" s="64">
        <v>37.9</v>
      </c>
      <c r="N60" s="64">
        <v>524.5</v>
      </c>
      <c r="O60" s="64">
        <v>0</v>
      </c>
      <c r="P60" s="64">
        <v>0.63</v>
      </c>
      <c r="Q60" s="64">
        <v>9.6199999999999992</v>
      </c>
      <c r="R60" s="196"/>
      <c r="S60" s="196"/>
      <c r="T60" s="196"/>
      <c r="U60" s="196"/>
    </row>
    <row r="61" spans="1:21" s="12" customFormat="1" x14ac:dyDescent="0.25">
      <c r="A61" s="211" t="s">
        <v>1545</v>
      </c>
      <c r="B61" s="64">
        <v>3.24</v>
      </c>
      <c r="C61" s="64">
        <v>26.36</v>
      </c>
      <c r="D61" s="64">
        <v>14.99</v>
      </c>
      <c r="E61" s="64">
        <v>5.56</v>
      </c>
      <c r="F61" s="64">
        <v>5.22</v>
      </c>
      <c r="G61" s="64">
        <v>68.290000000000006</v>
      </c>
      <c r="H61" s="209" t="s">
        <v>42</v>
      </c>
      <c r="I61" s="64">
        <v>7.24</v>
      </c>
      <c r="J61" s="64">
        <v>0.51</v>
      </c>
      <c r="K61" s="64">
        <v>358.67</v>
      </c>
      <c r="L61" s="64">
        <v>26.7</v>
      </c>
      <c r="M61" s="64">
        <v>36.159999999999997</v>
      </c>
      <c r="N61" s="64">
        <v>444.3</v>
      </c>
      <c r="O61" s="64">
        <v>0</v>
      </c>
      <c r="P61" s="64">
        <v>0.6</v>
      </c>
      <c r="Q61" s="64">
        <v>9.64</v>
      </c>
      <c r="R61" s="196"/>
      <c r="S61" s="196"/>
      <c r="T61" s="196"/>
      <c r="U61" s="196"/>
    </row>
    <row r="62" spans="1:21" s="12" customFormat="1" x14ac:dyDescent="0.25">
      <c r="A62" s="211" t="s">
        <v>1546</v>
      </c>
      <c r="B62" s="64">
        <v>3.09</v>
      </c>
      <c r="C62" s="64">
        <v>26.4</v>
      </c>
      <c r="D62" s="64">
        <v>14.9</v>
      </c>
      <c r="E62" s="64">
        <v>5.73</v>
      </c>
      <c r="F62" s="64">
        <v>4.9000000000000004</v>
      </c>
      <c r="G62" s="64">
        <v>68.290000000000006</v>
      </c>
      <c r="H62" s="209" t="s">
        <v>42</v>
      </c>
      <c r="I62" s="64">
        <v>6.66</v>
      </c>
      <c r="J62" s="64">
        <v>0.31</v>
      </c>
      <c r="K62" s="64">
        <v>92.18</v>
      </c>
      <c r="L62" s="64">
        <v>27.26</v>
      </c>
      <c r="M62" s="64">
        <v>35.04</v>
      </c>
      <c r="N62" s="64">
        <v>472.9</v>
      </c>
      <c r="O62" s="64">
        <v>0</v>
      </c>
      <c r="P62" s="64">
        <v>0.62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1547</v>
      </c>
      <c r="B63" s="64">
        <v>2.81</v>
      </c>
      <c r="C63" s="64">
        <v>27.29</v>
      </c>
      <c r="D63" s="64">
        <v>15.14</v>
      </c>
      <c r="E63" s="64">
        <v>5.33</v>
      </c>
      <c r="F63" s="64">
        <v>5.77</v>
      </c>
      <c r="G63" s="64">
        <v>68.290000000000006</v>
      </c>
      <c r="H63" s="209" t="s">
        <v>42</v>
      </c>
      <c r="I63" s="64">
        <v>6.79</v>
      </c>
      <c r="J63" s="64">
        <v>0.59</v>
      </c>
      <c r="K63" s="64">
        <v>112.13</v>
      </c>
      <c r="L63" s="64">
        <v>25.92</v>
      </c>
      <c r="M63" s="64">
        <v>36.71</v>
      </c>
      <c r="N63" s="64">
        <v>464.2</v>
      </c>
      <c r="O63" s="64">
        <v>0</v>
      </c>
      <c r="P63" s="64">
        <v>0.6</v>
      </c>
      <c r="Q63" s="64">
        <v>9.6199999999999992</v>
      </c>
      <c r="R63" s="196"/>
      <c r="S63" s="196"/>
      <c r="T63" s="196"/>
      <c r="U63" s="196"/>
    </row>
    <row r="64" spans="1:21" s="12" customFormat="1" x14ac:dyDescent="0.25">
      <c r="A64" s="211" t="s">
        <v>1548</v>
      </c>
      <c r="B64" s="64">
        <v>2.61</v>
      </c>
      <c r="C64" s="64">
        <v>27.31</v>
      </c>
      <c r="D64" s="64">
        <v>14.98</v>
      </c>
      <c r="E64" s="64">
        <v>5.09</v>
      </c>
      <c r="F64" s="64">
        <v>6.1</v>
      </c>
      <c r="G64" s="64">
        <v>68.55</v>
      </c>
      <c r="H64" s="209" t="s">
        <v>42</v>
      </c>
      <c r="I64" s="64">
        <v>6.44</v>
      </c>
      <c r="J64" s="64">
        <v>1.04</v>
      </c>
      <c r="K64" s="64">
        <v>342</v>
      </c>
      <c r="L64" s="64">
        <v>25.98</v>
      </c>
      <c r="M64" s="64">
        <v>37.049999999999997</v>
      </c>
      <c r="N64" s="64">
        <v>223.1</v>
      </c>
      <c r="O64" s="64">
        <v>0</v>
      </c>
      <c r="P64" s="64">
        <v>0.6</v>
      </c>
      <c r="Q64" s="64">
        <v>9.6300000000000008</v>
      </c>
      <c r="R64" s="196"/>
      <c r="S64" s="196"/>
      <c r="T64" s="196"/>
      <c r="U64" s="196"/>
    </row>
    <row r="65" spans="1:21" s="12" customFormat="1" x14ac:dyDescent="0.25">
      <c r="A65" s="211" t="s">
        <v>1549</v>
      </c>
      <c r="B65" s="64">
        <v>2.69</v>
      </c>
      <c r="C65" s="64">
        <v>28.33</v>
      </c>
      <c r="D65" s="64">
        <v>15.58</v>
      </c>
      <c r="E65" s="64">
        <v>5.48</v>
      </c>
      <c r="F65" s="64">
        <v>6</v>
      </c>
      <c r="G65" s="64">
        <v>69.319999999999993</v>
      </c>
      <c r="H65" s="209" t="s">
        <v>42</v>
      </c>
      <c r="I65" s="64">
        <v>5.9</v>
      </c>
      <c r="J65" s="64">
        <v>0.81</v>
      </c>
      <c r="K65" s="64">
        <v>334.79</v>
      </c>
      <c r="L65" s="64">
        <v>26.4</v>
      </c>
      <c r="M65" s="64">
        <v>34.49</v>
      </c>
      <c r="N65" s="64">
        <v>139.5</v>
      </c>
      <c r="O65" s="64">
        <v>0</v>
      </c>
      <c r="P65" s="64">
        <v>0.6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1550</v>
      </c>
      <c r="B66" s="64">
        <v>2.66</v>
      </c>
      <c r="C66" s="64">
        <v>29.04</v>
      </c>
      <c r="D66" s="64">
        <v>15.93</v>
      </c>
      <c r="E66" s="64">
        <v>5.78</v>
      </c>
      <c r="F66" s="64">
        <v>5.31</v>
      </c>
      <c r="G66" s="64">
        <v>69.319999999999993</v>
      </c>
      <c r="H66" s="209" t="s">
        <v>42</v>
      </c>
      <c r="I66" s="64">
        <v>5.71</v>
      </c>
      <c r="J66" s="64">
        <v>0.8</v>
      </c>
      <c r="K66" s="64">
        <v>120.27</v>
      </c>
      <c r="L66" s="64">
        <v>25.62</v>
      </c>
      <c r="M66" s="64">
        <v>36.42</v>
      </c>
      <c r="N66" s="64">
        <v>132.69999999999999</v>
      </c>
      <c r="O66" s="64">
        <v>0</v>
      </c>
      <c r="P66" s="64">
        <v>0.59</v>
      </c>
      <c r="Q66" s="64">
        <v>9.6300000000000008</v>
      </c>
      <c r="R66" s="196"/>
      <c r="S66" s="196"/>
      <c r="T66" s="196"/>
      <c r="U66" s="196"/>
    </row>
    <row r="67" spans="1:21" s="12" customFormat="1" x14ac:dyDescent="0.25">
      <c r="A67" s="211" t="s">
        <v>1551</v>
      </c>
      <c r="B67" s="64">
        <v>2.61</v>
      </c>
      <c r="C67" s="64">
        <v>28.87</v>
      </c>
      <c r="D67" s="64">
        <v>15.8</v>
      </c>
      <c r="E67" s="64">
        <v>5.52</v>
      </c>
      <c r="F67" s="64">
        <v>5.81</v>
      </c>
      <c r="G67" s="64">
        <v>69.319999999999993</v>
      </c>
      <c r="H67" s="209" t="s">
        <v>42</v>
      </c>
      <c r="I67" s="64">
        <v>5.28</v>
      </c>
      <c r="J67" s="64">
        <v>1.64</v>
      </c>
      <c r="K67" s="64">
        <v>112.1</v>
      </c>
      <c r="L67" s="64">
        <v>24.88</v>
      </c>
      <c r="M67" s="64">
        <v>37.86</v>
      </c>
      <c r="N67" s="64">
        <v>133.80000000000001</v>
      </c>
      <c r="O67" s="64">
        <v>0</v>
      </c>
      <c r="P67" s="64">
        <v>0.59</v>
      </c>
      <c r="Q67" s="64">
        <v>9.6199999999999992</v>
      </c>
      <c r="R67" s="196"/>
      <c r="S67" s="196"/>
      <c r="T67" s="196"/>
      <c r="U67" s="196"/>
    </row>
    <row r="68" spans="1:21" s="12" customFormat="1" x14ac:dyDescent="0.25">
      <c r="A68" s="211" t="s">
        <v>1552</v>
      </c>
      <c r="B68" s="64">
        <v>2.39</v>
      </c>
      <c r="C68" s="64">
        <v>28.4</v>
      </c>
      <c r="D68" s="64">
        <v>15.37</v>
      </c>
      <c r="E68" s="64">
        <v>5.75</v>
      </c>
      <c r="F68" s="64">
        <v>6.4</v>
      </c>
      <c r="G68" s="64">
        <v>68.11</v>
      </c>
      <c r="H68" s="64">
        <v>58.47</v>
      </c>
      <c r="I68" s="64">
        <v>5.47</v>
      </c>
      <c r="J68" s="64">
        <v>0.5</v>
      </c>
      <c r="K68" s="64">
        <v>34.1</v>
      </c>
      <c r="L68" s="64">
        <v>24.89</v>
      </c>
      <c r="M68" s="64">
        <v>36.520000000000003</v>
      </c>
      <c r="N68" s="64">
        <v>156.1</v>
      </c>
      <c r="O68" s="64">
        <v>0</v>
      </c>
      <c r="P68" s="64">
        <v>0.57999999999999996</v>
      </c>
      <c r="Q68" s="64">
        <v>9.61</v>
      </c>
      <c r="R68" s="196"/>
      <c r="S68" s="196"/>
      <c r="T68" s="196"/>
      <c r="U68" s="196"/>
    </row>
    <row r="69" spans="1:21" s="12" customFormat="1" x14ac:dyDescent="0.25">
      <c r="A69" s="211" t="s">
        <v>1553</v>
      </c>
      <c r="B69" s="64">
        <v>2.4700000000000002</v>
      </c>
      <c r="C69" s="64">
        <v>27.32</v>
      </c>
      <c r="D69" s="64">
        <v>14.88</v>
      </c>
      <c r="E69" s="64">
        <v>5.39</v>
      </c>
      <c r="F69" s="64">
        <v>7.08</v>
      </c>
      <c r="G69" s="64">
        <v>64.569999999999993</v>
      </c>
      <c r="H69" s="64">
        <v>27.82</v>
      </c>
      <c r="I69" s="64">
        <v>5.66</v>
      </c>
      <c r="J69" s="64">
        <v>0.28999999999999998</v>
      </c>
      <c r="K69" s="64">
        <v>354.2</v>
      </c>
      <c r="L69" s="64">
        <v>25.17</v>
      </c>
      <c r="M69" s="64">
        <v>35.4</v>
      </c>
      <c r="N69" s="64">
        <v>101.4</v>
      </c>
      <c r="O69" s="64">
        <v>0</v>
      </c>
      <c r="P69" s="64">
        <v>0.61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1554</v>
      </c>
      <c r="B70" s="64">
        <v>2.98</v>
      </c>
      <c r="C70" s="64">
        <v>27.4</v>
      </c>
      <c r="D70" s="64">
        <v>15.33</v>
      </c>
      <c r="E70" s="64">
        <v>5.12</v>
      </c>
      <c r="F70" s="64">
        <v>5.66</v>
      </c>
      <c r="G70" s="64">
        <v>64.569999999999993</v>
      </c>
      <c r="H70" s="64">
        <v>27.82</v>
      </c>
      <c r="I70" s="64">
        <v>4.41</v>
      </c>
      <c r="J70" s="64">
        <v>0.44</v>
      </c>
      <c r="K70" s="64">
        <v>336.27</v>
      </c>
      <c r="L70" s="64">
        <v>25.03</v>
      </c>
      <c r="M70" s="64">
        <v>36.479999999999997</v>
      </c>
      <c r="N70" s="64">
        <v>87.7</v>
      </c>
      <c r="O70" s="64">
        <v>0</v>
      </c>
      <c r="P70" s="64">
        <v>0.67</v>
      </c>
      <c r="Q70" s="64">
        <v>9.6300000000000008</v>
      </c>
      <c r="R70" s="196"/>
      <c r="S70" s="196"/>
      <c r="T70" s="196"/>
      <c r="U70" s="196"/>
    </row>
    <row r="71" spans="1:21" s="12" customFormat="1" x14ac:dyDescent="0.25">
      <c r="A71" s="211" t="s">
        <v>1555</v>
      </c>
      <c r="B71" s="64">
        <v>3.42</v>
      </c>
      <c r="C71" s="64">
        <v>28.07</v>
      </c>
      <c r="D71" s="64">
        <v>16.03</v>
      </c>
      <c r="E71" s="64">
        <v>5.25</v>
      </c>
      <c r="F71" s="64">
        <v>6.31</v>
      </c>
      <c r="G71" s="64">
        <v>64.569999999999993</v>
      </c>
      <c r="H71" s="64">
        <v>27.82</v>
      </c>
      <c r="I71" s="64">
        <v>3.54</v>
      </c>
      <c r="J71" s="64">
        <v>0.6</v>
      </c>
      <c r="K71" s="64">
        <v>110.87</v>
      </c>
      <c r="L71" s="64">
        <v>24.57</v>
      </c>
      <c r="M71" s="64">
        <v>36.54</v>
      </c>
      <c r="N71" s="64">
        <v>80.400000000000006</v>
      </c>
      <c r="O71" s="64">
        <v>0</v>
      </c>
      <c r="P71" s="64">
        <v>0.56999999999999995</v>
      </c>
      <c r="Q71" s="64">
        <v>9.6300000000000008</v>
      </c>
      <c r="R71" s="196"/>
      <c r="S71" s="196"/>
      <c r="T71" s="196"/>
      <c r="U71" s="196"/>
    </row>
    <row r="72" spans="1:21" s="12" customFormat="1" x14ac:dyDescent="0.25">
      <c r="A72" s="211" t="s">
        <v>1556</v>
      </c>
      <c r="B72" s="64">
        <v>3.51</v>
      </c>
      <c r="C72" s="64">
        <v>27.93</v>
      </c>
      <c r="D72" s="64">
        <v>16.03</v>
      </c>
      <c r="E72" s="64">
        <v>5.84</v>
      </c>
      <c r="F72" s="64">
        <v>6.55</v>
      </c>
      <c r="G72" s="64">
        <v>64.53</v>
      </c>
      <c r="H72" s="64">
        <v>30.28</v>
      </c>
      <c r="I72" s="64">
        <v>3.13</v>
      </c>
      <c r="J72" s="64">
        <v>0.46</v>
      </c>
      <c r="K72" s="64">
        <v>0.57999999999999996</v>
      </c>
      <c r="L72" s="64">
        <v>24.36</v>
      </c>
      <c r="M72" s="64">
        <v>37.29</v>
      </c>
      <c r="N72" s="64">
        <v>72.7</v>
      </c>
      <c r="O72" s="64">
        <v>0</v>
      </c>
      <c r="P72" s="64">
        <v>0.63</v>
      </c>
      <c r="Q72" s="64">
        <v>9.6300000000000008</v>
      </c>
      <c r="R72" s="196"/>
      <c r="S72" s="196"/>
      <c r="T72" s="196"/>
      <c r="U72" s="196"/>
    </row>
    <row r="73" spans="1:21" s="12" customFormat="1" x14ac:dyDescent="0.25">
      <c r="A73" s="211" t="s">
        <v>1557</v>
      </c>
      <c r="B73" s="64">
        <v>3.51</v>
      </c>
      <c r="C73" s="64">
        <v>27.83</v>
      </c>
      <c r="D73" s="64">
        <v>15.98</v>
      </c>
      <c r="E73" s="64">
        <v>5.66</v>
      </c>
      <c r="F73" s="64">
        <v>6.28</v>
      </c>
      <c r="G73" s="64">
        <v>64.400000000000006</v>
      </c>
      <c r="H73" s="64">
        <v>40.1</v>
      </c>
      <c r="I73" s="64">
        <v>2.8</v>
      </c>
      <c r="J73" s="64">
        <v>0.56999999999999995</v>
      </c>
      <c r="K73" s="64">
        <v>109.51</v>
      </c>
      <c r="L73" s="64">
        <v>24.04</v>
      </c>
      <c r="M73" s="64">
        <v>38.11</v>
      </c>
      <c r="N73" s="64">
        <v>64</v>
      </c>
      <c r="O73" s="64">
        <v>0</v>
      </c>
      <c r="P73" s="64">
        <v>0.56999999999999995</v>
      </c>
      <c r="Q73" s="64">
        <v>9.6300000000000008</v>
      </c>
      <c r="R73" s="196"/>
      <c r="S73" s="196"/>
      <c r="T73" s="196"/>
      <c r="U73" s="196"/>
    </row>
    <row r="74" spans="1:21" s="12" customFormat="1" x14ac:dyDescent="0.25">
      <c r="A74" s="211" t="s">
        <v>1558</v>
      </c>
      <c r="B74" s="64">
        <v>3.53</v>
      </c>
      <c r="C74" s="64">
        <v>27.67</v>
      </c>
      <c r="D74" s="64">
        <v>15.91</v>
      </c>
      <c r="E74" s="64">
        <v>6.14</v>
      </c>
      <c r="F74" s="64">
        <v>6.9</v>
      </c>
      <c r="G74" s="64">
        <v>64.400000000000006</v>
      </c>
      <c r="H74" s="64">
        <v>40.1</v>
      </c>
      <c r="I74" s="64">
        <v>2.4300000000000002</v>
      </c>
      <c r="J74" s="64">
        <v>0.28000000000000003</v>
      </c>
      <c r="K74" s="64">
        <v>60.74</v>
      </c>
      <c r="L74" s="64">
        <v>23.79</v>
      </c>
      <c r="M74" s="64">
        <v>38.880000000000003</v>
      </c>
      <c r="N74" s="64">
        <v>55.3</v>
      </c>
      <c r="O74" s="64">
        <v>0</v>
      </c>
      <c r="P74" s="64">
        <v>0.66</v>
      </c>
      <c r="Q74" s="64">
        <v>9.6300000000000008</v>
      </c>
      <c r="R74" s="196"/>
      <c r="S74" s="196"/>
      <c r="T74" s="196"/>
      <c r="U74" s="196"/>
    </row>
    <row r="75" spans="1:21" s="12" customFormat="1" x14ac:dyDescent="0.25">
      <c r="A75" s="211" t="s">
        <v>1559</v>
      </c>
      <c r="B75" s="64">
        <v>3.47</v>
      </c>
      <c r="C75" s="64">
        <v>27.66</v>
      </c>
      <c r="D75" s="64">
        <v>15.86</v>
      </c>
      <c r="E75" s="64">
        <v>5.97</v>
      </c>
      <c r="F75" s="64">
        <v>8.06</v>
      </c>
      <c r="G75" s="64">
        <v>64.400000000000006</v>
      </c>
      <c r="H75" s="64">
        <v>40.1</v>
      </c>
      <c r="I75" s="64">
        <v>2.57</v>
      </c>
      <c r="J75" s="64">
        <v>0.51</v>
      </c>
      <c r="K75" s="64">
        <v>110.53</v>
      </c>
      <c r="L75" s="64">
        <v>23.43</v>
      </c>
      <c r="M75" s="64">
        <v>40.19</v>
      </c>
      <c r="N75" s="64">
        <v>48</v>
      </c>
      <c r="O75" s="64">
        <v>0</v>
      </c>
      <c r="P75" s="64">
        <v>0.55000000000000004</v>
      </c>
      <c r="Q75" s="64">
        <v>9.6300000000000008</v>
      </c>
      <c r="R75" s="196"/>
      <c r="S75" s="196"/>
      <c r="T75" s="196"/>
      <c r="U75" s="196"/>
    </row>
    <row r="76" spans="1:21" s="12" customFormat="1" x14ac:dyDescent="0.25">
      <c r="A76" s="211" t="s">
        <v>1560</v>
      </c>
      <c r="B76" s="64">
        <v>3.34</v>
      </c>
      <c r="C76" s="64">
        <v>27.39</v>
      </c>
      <c r="D76" s="64">
        <v>15.61</v>
      </c>
      <c r="E76" s="64">
        <v>5.84</v>
      </c>
      <c r="F76" s="64">
        <v>6.17</v>
      </c>
      <c r="G76" s="64">
        <v>63.99</v>
      </c>
      <c r="H76" s="209" t="s">
        <v>42</v>
      </c>
      <c r="I76" s="64">
        <v>2.2599999999999998</v>
      </c>
      <c r="J76" s="64">
        <v>0.67</v>
      </c>
      <c r="K76" s="64">
        <v>110.27</v>
      </c>
      <c r="L76" s="64">
        <v>23.08</v>
      </c>
      <c r="M76" s="64">
        <v>41.49</v>
      </c>
      <c r="N76" s="64">
        <v>40.1</v>
      </c>
      <c r="O76" s="64">
        <v>0</v>
      </c>
      <c r="P76" s="64">
        <v>0.57999999999999996</v>
      </c>
      <c r="Q76" s="64">
        <v>9.6199999999999992</v>
      </c>
      <c r="R76" s="196"/>
      <c r="S76" s="196"/>
      <c r="T76" s="196"/>
      <c r="U76" s="196"/>
    </row>
    <row r="77" spans="1:21" s="12" customFormat="1" x14ac:dyDescent="0.25">
      <c r="A77" s="211" t="s">
        <v>1561</v>
      </c>
      <c r="B77" s="64">
        <v>3.11</v>
      </c>
      <c r="C77" s="64">
        <v>27.38</v>
      </c>
      <c r="D77" s="64">
        <v>15.43</v>
      </c>
      <c r="E77" s="64">
        <v>5.85</v>
      </c>
      <c r="F77" s="64">
        <v>4.88</v>
      </c>
      <c r="G77" s="64">
        <v>62.78</v>
      </c>
      <c r="H77" s="209" t="s">
        <v>42</v>
      </c>
      <c r="I77" s="64">
        <v>2.5</v>
      </c>
      <c r="J77" s="64">
        <v>0.85</v>
      </c>
      <c r="K77" s="64">
        <v>112.21</v>
      </c>
      <c r="L77" s="64">
        <v>22.76</v>
      </c>
      <c r="M77" s="64">
        <v>42.71</v>
      </c>
      <c r="N77" s="64">
        <v>32.6</v>
      </c>
      <c r="O77" s="64">
        <v>0</v>
      </c>
      <c r="P77" s="64">
        <v>0.59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1562</v>
      </c>
      <c r="B78" s="64">
        <v>2.81</v>
      </c>
      <c r="C78" s="64">
        <v>27.17</v>
      </c>
      <c r="D78" s="64">
        <v>15.08</v>
      </c>
      <c r="E78" s="64">
        <v>6.22</v>
      </c>
      <c r="F78" s="64">
        <v>6.06</v>
      </c>
      <c r="G78" s="64">
        <v>62.78</v>
      </c>
      <c r="H78" s="209" t="s">
        <v>42</v>
      </c>
      <c r="I78" s="64">
        <v>4.54</v>
      </c>
      <c r="J78" s="64">
        <v>0.82</v>
      </c>
      <c r="K78" s="64">
        <v>107.25</v>
      </c>
      <c r="L78" s="64">
        <v>22.49</v>
      </c>
      <c r="M78" s="64">
        <v>43.45</v>
      </c>
      <c r="N78" s="64">
        <v>27.8</v>
      </c>
      <c r="O78" s="64">
        <v>0</v>
      </c>
      <c r="P78" s="64">
        <v>0.59</v>
      </c>
      <c r="Q78" s="64">
        <v>9.6300000000000008</v>
      </c>
      <c r="R78" s="196"/>
      <c r="S78" s="196"/>
      <c r="T78" s="196"/>
      <c r="U78" s="196"/>
    </row>
    <row r="79" spans="1:21" s="12" customFormat="1" x14ac:dyDescent="0.25">
      <c r="A79" s="211" t="s">
        <v>1563</v>
      </c>
      <c r="B79" s="64">
        <v>2.61</v>
      </c>
      <c r="C79" s="64">
        <v>26.91</v>
      </c>
      <c r="D79" s="64">
        <v>14.76</v>
      </c>
      <c r="E79" s="64">
        <v>5.83</v>
      </c>
      <c r="F79" s="64">
        <v>6.31</v>
      </c>
      <c r="G79" s="64">
        <v>62.78</v>
      </c>
      <c r="H79" s="209" t="s">
        <v>42</v>
      </c>
      <c r="I79" s="64">
        <v>4.68</v>
      </c>
      <c r="J79" s="64">
        <v>0.59</v>
      </c>
      <c r="K79" s="64">
        <v>115.66</v>
      </c>
      <c r="L79" s="64">
        <v>21.96</v>
      </c>
      <c r="M79" s="64">
        <v>45.35</v>
      </c>
      <c r="N79" s="64">
        <v>26.1</v>
      </c>
      <c r="O79" s="64">
        <v>0</v>
      </c>
      <c r="P79" s="64">
        <v>0.6</v>
      </c>
      <c r="Q79" s="64">
        <v>0</v>
      </c>
      <c r="R79" s="196"/>
      <c r="S79" s="196"/>
      <c r="T79" s="196"/>
      <c r="U79" s="196"/>
    </row>
    <row r="80" spans="1:21" s="12" customFormat="1" x14ac:dyDescent="0.25">
      <c r="A80" s="211" t="s">
        <v>1564</v>
      </c>
      <c r="B80" s="64">
        <v>2.5</v>
      </c>
      <c r="C80" s="64">
        <v>27.21</v>
      </c>
      <c r="D80" s="64">
        <v>14.84</v>
      </c>
      <c r="E80" s="64">
        <v>5.53</v>
      </c>
      <c r="F80" s="64">
        <v>5.77</v>
      </c>
      <c r="G80" s="64">
        <v>62.26</v>
      </c>
      <c r="H80" s="209" t="s">
        <v>42</v>
      </c>
      <c r="I80" s="64">
        <v>4.5199999999999996</v>
      </c>
      <c r="J80" s="64">
        <v>0.61</v>
      </c>
      <c r="K80" s="64">
        <v>113.18</v>
      </c>
      <c r="L80" s="64">
        <v>21.74</v>
      </c>
      <c r="M80" s="64">
        <v>46.53</v>
      </c>
      <c r="N80" s="64">
        <v>26</v>
      </c>
      <c r="O80" s="64">
        <v>0</v>
      </c>
      <c r="P80" s="64">
        <v>0.62</v>
      </c>
      <c r="Q80" s="64">
        <v>9.6199999999999992</v>
      </c>
      <c r="R80" s="196"/>
      <c r="S80" s="196"/>
      <c r="T80" s="196"/>
      <c r="U80" s="196"/>
    </row>
    <row r="81" spans="1:26" s="12" customFormat="1" x14ac:dyDescent="0.25">
      <c r="A81" s="211" t="s">
        <v>1565</v>
      </c>
      <c r="B81" s="64">
        <v>2.46</v>
      </c>
      <c r="C81" s="64">
        <v>27.23</v>
      </c>
      <c r="D81" s="64">
        <v>14.82</v>
      </c>
      <c r="E81" s="64">
        <v>5.91</v>
      </c>
      <c r="F81" s="64">
        <v>5.51</v>
      </c>
      <c r="G81" s="64">
        <v>60.77</v>
      </c>
      <c r="H81" s="209" t="s">
        <v>42</v>
      </c>
      <c r="I81" s="64">
        <v>4.3499999999999996</v>
      </c>
      <c r="J81" s="64">
        <v>0.28999999999999998</v>
      </c>
      <c r="K81" s="64">
        <v>99.22</v>
      </c>
      <c r="L81" s="64">
        <v>21.51</v>
      </c>
      <c r="M81" s="64">
        <v>47.05</v>
      </c>
      <c r="N81" s="64">
        <v>25.9</v>
      </c>
      <c r="O81" s="64">
        <v>0</v>
      </c>
      <c r="P81" s="64">
        <v>0.63</v>
      </c>
      <c r="Q81" s="64">
        <v>9.6300000000000008</v>
      </c>
      <c r="R81" s="196"/>
      <c r="S81" s="196"/>
      <c r="T81" s="196"/>
      <c r="U81" s="196"/>
    </row>
    <row r="82" spans="1:26" s="12" customFormat="1" x14ac:dyDescent="0.25">
      <c r="A82" s="211" t="s">
        <v>1566</v>
      </c>
      <c r="B82" s="64">
        <v>2.4700000000000002</v>
      </c>
      <c r="C82" s="64">
        <v>27.79</v>
      </c>
      <c r="D82" s="64">
        <v>15.12</v>
      </c>
      <c r="E82" s="64">
        <v>5.95</v>
      </c>
      <c r="F82" s="64">
        <v>5.33</v>
      </c>
      <c r="G82" s="64">
        <v>60.77</v>
      </c>
      <c r="H82" s="209" t="s">
        <v>42</v>
      </c>
      <c r="I82" s="64">
        <v>4.3</v>
      </c>
      <c r="J82" s="64">
        <v>0.3</v>
      </c>
      <c r="K82" s="64">
        <v>86.21</v>
      </c>
      <c r="L82" s="64">
        <v>21.3</v>
      </c>
      <c r="M82" s="64">
        <v>47.81</v>
      </c>
      <c r="N82" s="64">
        <v>25.9</v>
      </c>
      <c r="O82" s="64">
        <v>0</v>
      </c>
      <c r="P82" s="64">
        <v>0.7</v>
      </c>
      <c r="Q82" s="64">
        <v>9.6300000000000008</v>
      </c>
      <c r="R82" s="196"/>
      <c r="S82" s="196"/>
      <c r="T82" s="196"/>
      <c r="U82" s="196"/>
    </row>
    <row r="83" spans="1:26" s="12" customFormat="1" x14ac:dyDescent="0.25">
      <c r="A83" s="211" t="s">
        <v>1567</v>
      </c>
      <c r="B83" s="64">
        <v>2.5099999999999998</v>
      </c>
      <c r="C83" s="64">
        <v>28.65</v>
      </c>
      <c r="D83" s="64">
        <v>15.61</v>
      </c>
      <c r="E83" s="64">
        <v>5.88</v>
      </c>
      <c r="F83" s="64">
        <v>5.2</v>
      </c>
      <c r="G83" s="64">
        <v>60.77</v>
      </c>
      <c r="H83" s="209" t="s">
        <v>42</v>
      </c>
      <c r="I83" s="64">
        <v>4.79</v>
      </c>
      <c r="J83" s="64">
        <v>0.57999999999999996</v>
      </c>
      <c r="K83" s="64">
        <v>111.93</v>
      </c>
      <c r="L83" s="64">
        <v>21.02</v>
      </c>
      <c r="M83" s="64">
        <v>49.31</v>
      </c>
      <c r="N83" s="64">
        <v>25.8</v>
      </c>
      <c r="O83" s="64">
        <v>0</v>
      </c>
      <c r="P83" s="64">
        <v>0.69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1568</v>
      </c>
      <c r="B84" s="64">
        <v>2.58</v>
      </c>
      <c r="C84" s="64">
        <v>29.08</v>
      </c>
      <c r="D84" s="64">
        <v>15.89</v>
      </c>
      <c r="E84" s="64">
        <v>5.89</v>
      </c>
      <c r="F84" s="64">
        <v>5.21</v>
      </c>
      <c r="G84" s="64">
        <v>60.65</v>
      </c>
      <c r="H84" s="209" t="s">
        <v>42</v>
      </c>
      <c r="I84" s="64">
        <v>4.8600000000000003</v>
      </c>
      <c r="J84" s="64">
        <v>0.44</v>
      </c>
      <c r="K84" s="64">
        <v>107.82</v>
      </c>
      <c r="L84" s="64">
        <v>20.96</v>
      </c>
      <c r="M84" s="64">
        <v>49.72</v>
      </c>
      <c r="N84" s="64">
        <v>25.8</v>
      </c>
      <c r="O84" s="64">
        <v>0</v>
      </c>
      <c r="P84" s="64">
        <v>0.69</v>
      </c>
      <c r="Q84" s="64">
        <v>9.6199999999999992</v>
      </c>
      <c r="R84" s="196"/>
      <c r="S84" s="196"/>
      <c r="T84" s="196"/>
      <c r="U84" s="196"/>
    </row>
    <row r="85" spans="1:26" s="12" customFormat="1" x14ac:dyDescent="0.25">
      <c r="A85" s="211" t="s">
        <v>1569</v>
      </c>
      <c r="B85" s="64">
        <v>2.71</v>
      </c>
      <c r="C85" s="64">
        <v>29.5</v>
      </c>
      <c r="D85" s="64">
        <v>16.21</v>
      </c>
      <c r="E85" s="64">
        <v>6.2</v>
      </c>
      <c r="F85" s="64">
        <v>5.1100000000000003</v>
      </c>
      <c r="G85" s="64">
        <v>60.31</v>
      </c>
      <c r="H85" s="209" t="s">
        <v>42</v>
      </c>
      <c r="I85" s="64">
        <v>4.99</v>
      </c>
      <c r="J85" s="64">
        <v>0.7</v>
      </c>
      <c r="K85" s="64">
        <v>114.92</v>
      </c>
      <c r="L85" s="64">
        <v>20.77</v>
      </c>
      <c r="M85" s="64">
        <v>50.89</v>
      </c>
      <c r="N85" s="64">
        <v>25.5</v>
      </c>
      <c r="O85" s="64">
        <v>0</v>
      </c>
      <c r="P85" s="64">
        <v>0.64</v>
      </c>
      <c r="Q85" s="64">
        <v>9.61</v>
      </c>
      <c r="R85" s="196"/>
      <c r="S85" s="196"/>
      <c r="T85" s="196"/>
      <c r="U85" s="196"/>
    </row>
    <row r="86" spans="1:26" s="12" customFormat="1" x14ac:dyDescent="0.25">
      <c r="A86" s="211" t="s">
        <v>1570</v>
      </c>
      <c r="B86" s="64">
        <v>2.97</v>
      </c>
      <c r="C86" s="64">
        <v>28.12</v>
      </c>
      <c r="D86" s="64">
        <v>15.7</v>
      </c>
      <c r="E86" s="64">
        <v>5.3</v>
      </c>
      <c r="F86" s="64">
        <v>4.9000000000000004</v>
      </c>
      <c r="G86" s="64">
        <v>60.31</v>
      </c>
      <c r="H86" s="209" t="s">
        <v>42</v>
      </c>
      <c r="I86" s="64">
        <v>4.9400000000000004</v>
      </c>
      <c r="J86" s="64">
        <v>0.2</v>
      </c>
      <c r="K86" s="64">
        <v>354.34</v>
      </c>
      <c r="L86" s="64">
        <v>20.61</v>
      </c>
      <c r="M86" s="64">
        <v>51.89</v>
      </c>
      <c r="N86" s="64">
        <v>25.9</v>
      </c>
      <c r="O86" s="64">
        <v>0</v>
      </c>
      <c r="P86" s="64">
        <v>0.94</v>
      </c>
      <c r="Q86" s="64">
        <v>9.6199999999999992</v>
      </c>
      <c r="R86" s="196"/>
      <c r="S86" s="196"/>
      <c r="T86" s="196"/>
      <c r="U86" s="196"/>
    </row>
    <row r="87" spans="1:26" s="12" customFormat="1" x14ac:dyDescent="0.25">
      <c r="A87" s="211" t="s">
        <v>1571</v>
      </c>
      <c r="B87" s="64">
        <v>3.51</v>
      </c>
      <c r="C87" s="64">
        <v>28.37</v>
      </c>
      <c r="D87" s="64">
        <v>16.260000000000002</v>
      </c>
      <c r="E87" s="64">
        <v>5.52</v>
      </c>
      <c r="F87" s="64">
        <v>5.17</v>
      </c>
      <c r="G87" s="64">
        <v>60.31</v>
      </c>
      <c r="H87" s="209" t="s">
        <v>42</v>
      </c>
      <c r="I87" s="64">
        <v>4.3499999999999996</v>
      </c>
      <c r="J87" s="64">
        <v>1.26</v>
      </c>
      <c r="K87" s="64">
        <v>121.63</v>
      </c>
      <c r="L87" s="64">
        <v>20.6</v>
      </c>
      <c r="M87" s="64">
        <v>52.36</v>
      </c>
      <c r="N87" s="64">
        <v>25.2</v>
      </c>
      <c r="O87" s="64">
        <v>0</v>
      </c>
      <c r="P87" s="64">
        <v>0.72</v>
      </c>
      <c r="Q87" s="64">
        <v>9.6199999999999992</v>
      </c>
      <c r="R87" s="196"/>
      <c r="S87" s="196"/>
      <c r="T87" s="196"/>
      <c r="U87" s="196"/>
    </row>
    <row r="88" spans="1:26" s="12" customFormat="1" x14ac:dyDescent="0.25">
      <c r="A88" s="211" t="s">
        <v>1572</v>
      </c>
      <c r="B88" s="64">
        <v>3.67</v>
      </c>
      <c r="C88" s="64">
        <v>28.12</v>
      </c>
      <c r="D88" s="64">
        <v>16.260000000000002</v>
      </c>
      <c r="E88" s="64">
        <v>4.87</v>
      </c>
      <c r="F88" s="64">
        <v>5.03</v>
      </c>
      <c r="G88" s="64">
        <v>61.95</v>
      </c>
      <c r="H88" s="209" t="s">
        <v>42</v>
      </c>
      <c r="I88" s="64">
        <v>4.68</v>
      </c>
      <c r="J88" s="64">
        <v>0.56999999999999995</v>
      </c>
      <c r="K88" s="64">
        <v>108.72</v>
      </c>
      <c r="L88" s="64">
        <v>20.440000000000001</v>
      </c>
      <c r="M88" s="64">
        <v>53.55</v>
      </c>
      <c r="N88" s="64">
        <v>25.9</v>
      </c>
      <c r="O88" s="64">
        <v>0</v>
      </c>
      <c r="P88" s="64">
        <v>0.76</v>
      </c>
      <c r="Q88" s="64">
        <v>9.6199999999999992</v>
      </c>
      <c r="R88" s="196"/>
      <c r="S88" s="196"/>
      <c r="T88" s="196"/>
      <c r="U88" s="196"/>
    </row>
    <row r="89" spans="1:26" s="12" customFormat="1" x14ac:dyDescent="0.25">
      <c r="A89" s="211" t="s">
        <v>1573</v>
      </c>
      <c r="B89" s="64">
        <v>3.89</v>
      </c>
      <c r="C89" s="64">
        <v>28.09</v>
      </c>
      <c r="D89" s="64">
        <v>16.420000000000002</v>
      </c>
      <c r="E89" s="64">
        <v>5.1100000000000003</v>
      </c>
      <c r="F89" s="64">
        <v>4.92</v>
      </c>
      <c r="G89" s="64">
        <v>66.73</v>
      </c>
      <c r="H89" s="209" t="s">
        <v>42</v>
      </c>
      <c r="I89" s="64">
        <v>4.87</v>
      </c>
      <c r="J89" s="64">
        <v>0.59</v>
      </c>
      <c r="K89" s="64">
        <v>351.71</v>
      </c>
      <c r="L89" s="64">
        <v>20.09</v>
      </c>
      <c r="M89" s="64">
        <v>56.4</v>
      </c>
      <c r="N89" s="64">
        <v>26</v>
      </c>
      <c r="O89" s="64">
        <v>0</v>
      </c>
      <c r="P89" s="64">
        <v>0.94</v>
      </c>
      <c r="Q89" s="64">
        <v>9.6300000000000008</v>
      </c>
      <c r="R89" s="196"/>
      <c r="S89" s="196"/>
      <c r="T89" s="196"/>
      <c r="U89" s="196"/>
    </row>
    <row r="90" spans="1:26" s="12" customFormat="1" x14ac:dyDescent="0.25">
      <c r="A90" s="211" t="s">
        <v>1574</v>
      </c>
      <c r="B90" s="64">
        <v>4.3899999999999997</v>
      </c>
      <c r="C90" s="64">
        <v>28.42</v>
      </c>
      <c r="D90" s="64">
        <v>16.989999999999998</v>
      </c>
      <c r="E90" s="64">
        <v>5.08</v>
      </c>
      <c r="F90" s="64">
        <v>4.24</v>
      </c>
      <c r="G90" s="64">
        <v>66.73</v>
      </c>
      <c r="H90" s="209" t="s">
        <v>42</v>
      </c>
      <c r="I90" s="64">
        <v>4.49</v>
      </c>
      <c r="J90" s="64">
        <v>0.22</v>
      </c>
      <c r="K90" s="64">
        <v>330.74</v>
      </c>
      <c r="L90" s="64">
        <v>19.510000000000002</v>
      </c>
      <c r="M90" s="64">
        <v>59.07</v>
      </c>
      <c r="N90" s="64">
        <v>26.1</v>
      </c>
      <c r="O90" s="64">
        <v>0</v>
      </c>
      <c r="P90" s="64">
        <v>1.08</v>
      </c>
      <c r="Q90" s="64">
        <v>9.6300000000000008</v>
      </c>
      <c r="R90" s="196"/>
      <c r="S90" s="196"/>
      <c r="T90" s="196"/>
      <c r="U90" s="196"/>
    </row>
    <row r="91" spans="1:26" s="12" customFormat="1" x14ac:dyDescent="0.25">
      <c r="A91" s="211" t="s">
        <v>1575</v>
      </c>
      <c r="B91" s="64">
        <v>5.01</v>
      </c>
      <c r="C91" s="64">
        <v>28.56</v>
      </c>
      <c r="D91" s="64">
        <v>17.559999999999999</v>
      </c>
      <c r="E91" s="64">
        <v>5.64</v>
      </c>
      <c r="F91" s="64">
        <v>4.24</v>
      </c>
      <c r="G91" s="64">
        <v>66.73</v>
      </c>
      <c r="H91" s="209" t="s">
        <v>42</v>
      </c>
      <c r="I91" s="64">
        <v>4.88</v>
      </c>
      <c r="J91" s="64">
        <v>0.36</v>
      </c>
      <c r="K91" s="64">
        <v>101</v>
      </c>
      <c r="L91" s="64">
        <v>19.149999999999999</v>
      </c>
      <c r="M91" s="64">
        <v>60.06</v>
      </c>
      <c r="N91" s="64">
        <v>26.1</v>
      </c>
      <c r="O91" s="64">
        <v>0</v>
      </c>
      <c r="P91" s="64">
        <v>0.99</v>
      </c>
      <c r="Q91" s="64">
        <v>9.6300000000000008</v>
      </c>
      <c r="R91" s="196"/>
      <c r="S91" s="196"/>
      <c r="T91" s="196"/>
      <c r="U91" s="196"/>
    </row>
    <row r="92" spans="1:26" s="12" customFormat="1" x14ac:dyDescent="0.25">
      <c r="A92" s="211" t="s">
        <v>1576</v>
      </c>
      <c r="B92" s="64">
        <v>5.45</v>
      </c>
      <c r="C92" s="64">
        <v>28.56</v>
      </c>
      <c r="D92" s="64">
        <v>17.920000000000002</v>
      </c>
      <c r="E92" s="64">
        <v>5.47</v>
      </c>
      <c r="F92" s="64">
        <v>4.25</v>
      </c>
      <c r="G92" s="64">
        <v>68.5</v>
      </c>
      <c r="H92" s="64">
        <v>19.8</v>
      </c>
      <c r="I92" s="64">
        <v>5.44</v>
      </c>
      <c r="J92" s="64">
        <v>0.34</v>
      </c>
      <c r="K92" s="64">
        <v>105.94</v>
      </c>
      <c r="L92" s="64">
        <v>19.02</v>
      </c>
      <c r="M92" s="64">
        <v>60.36</v>
      </c>
      <c r="N92" s="64">
        <v>25.8</v>
      </c>
      <c r="O92" s="64">
        <v>0</v>
      </c>
      <c r="P92" s="64">
        <v>0.97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1577</v>
      </c>
      <c r="B93" s="64">
        <v>5.76</v>
      </c>
      <c r="C93" s="64">
        <v>28.95</v>
      </c>
      <c r="D93" s="64">
        <v>18.37</v>
      </c>
      <c r="E93" s="64">
        <v>5.61</v>
      </c>
      <c r="F93" s="64">
        <v>3.88</v>
      </c>
      <c r="G93" s="64">
        <v>73.66</v>
      </c>
      <c r="H93" s="64">
        <v>57.68</v>
      </c>
      <c r="I93" s="64">
        <v>5.87</v>
      </c>
      <c r="J93" s="64">
        <v>0.18</v>
      </c>
      <c r="K93" s="64">
        <v>94.57</v>
      </c>
      <c r="L93" s="64">
        <v>18.93</v>
      </c>
      <c r="M93" s="64">
        <v>60.87</v>
      </c>
      <c r="N93" s="64">
        <v>25.8</v>
      </c>
      <c r="O93" s="64">
        <v>0</v>
      </c>
      <c r="P93" s="64">
        <v>0.83</v>
      </c>
      <c r="Q93" s="64">
        <v>9.64</v>
      </c>
      <c r="R93" s="196"/>
      <c r="S93" s="196"/>
      <c r="T93" s="196"/>
      <c r="U93" s="196"/>
    </row>
    <row r="94" spans="1:26" s="12" customFormat="1" x14ac:dyDescent="0.25">
      <c r="A94" s="211" t="s">
        <v>1578</v>
      </c>
      <c r="B94" s="64">
        <v>5.69</v>
      </c>
      <c r="C94" s="64">
        <v>29.37</v>
      </c>
      <c r="D94" s="64">
        <v>18.53</v>
      </c>
      <c r="E94" s="64">
        <v>5.54</v>
      </c>
      <c r="F94" s="64">
        <v>4.1100000000000003</v>
      </c>
      <c r="G94" s="64">
        <v>73.66</v>
      </c>
      <c r="H94" s="64">
        <v>57.68</v>
      </c>
      <c r="I94" s="64">
        <v>5.12</v>
      </c>
      <c r="J94" s="64">
        <v>0.2</v>
      </c>
      <c r="K94" s="64">
        <v>179.27</v>
      </c>
      <c r="L94" s="64">
        <v>18.91</v>
      </c>
      <c r="M94" s="64">
        <v>62.22</v>
      </c>
      <c r="N94" s="64">
        <v>25.8</v>
      </c>
      <c r="O94" s="64">
        <v>0</v>
      </c>
      <c r="P94" s="64">
        <v>0.85</v>
      </c>
      <c r="Q94" s="64">
        <v>9.6199999999999992</v>
      </c>
      <c r="R94" s="196"/>
      <c r="S94" s="196"/>
      <c r="T94" s="196"/>
      <c r="U94" s="196"/>
    </row>
    <row r="95" spans="1:26" s="12" customFormat="1" x14ac:dyDescent="0.25">
      <c r="A95" s="211" t="s">
        <v>1579</v>
      </c>
      <c r="B95" s="64">
        <v>5.39</v>
      </c>
      <c r="C95" s="64">
        <v>29.72</v>
      </c>
      <c r="D95" s="64">
        <v>18.47</v>
      </c>
      <c r="E95" s="64">
        <v>5.58</v>
      </c>
      <c r="F95" s="64">
        <v>4.3</v>
      </c>
      <c r="G95" s="64">
        <v>73.66</v>
      </c>
      <c r="H95" s="64">
        <v>57.68</v>
      </c>
      <c r="I95" s="64">
        <v>5.91</v>
      </c>
      <c r="J95" s="64">
        <v>0.31</v>
      </c>
      <c r="K95" s="64">
        <v>73.97</v>
      </c>
      <c r="L95" s="64">
        <v>18.88</v>
      </c>
      <c r="M95" s="64">
        <v>62.58</v>
      </c>
      <c r="N95" s="64">
        <v>25.6</v>
      </c>
      <c r="O95" s="64">
        <v>0</v>
      </c>
      <c r="P95" s="64">
        <v>0.86</v>
      </c>
      <c r="Q95" s="64">
        <v>9.6300000000000008</v>
      </c>
      <c r="R95" s="196"/>
      <c r="S95" s="196"/>
      <c r="T95" s="196"/>
      <c r="U95" s="196"/>
    </row>
    <row r="96" spans="1:26" s="12" customFormat="1" x14ac:dyDescent="0.25">
      <c r="A96" s="211" t="s">
        <v>1580</v>
      </c>
      <c r="B96" s="64">
        <v>5.36</v>
      </c>
      <c r="C96" s="64">
        <v>30.51</v>
      </c>
      <c r="D96" s="64">
        <v>18.86</v>
      </c>
      <c r="E96" s="64">
        <v>5.12</v>
      </c>
      <c r="F96" s="64">
        <v>4.5</v>
      </c>
      <c r="G96" s="64">
        <v>75.5</v>
      </c>
      <c r="H96" s="64">
        <v>39.07</v>
      </c>
      <c r="I96" s="64">
        <v>6.21</v>
      </c>
      <c r="J96" s="64">
        <v>0.13</v>
      </c>
      <c r="K96" s="64">
        <v>5.98</v>
      </c>
      <c r="L96" s="64">
        <v>18.77</v>
      </c>
      <c r="M96" s="64">
        <v>62.48</v>
      </c>
      <c r="N96" s="64">
        <v>25.8</v>
      </c>
      <c r="O96" s="64">
        <v>0</v>
      </c>
      <c r="P96" s="64">
        <v>0.91</v>
      </c>
      <c r="Q96" s="64">
        <v>9.64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1581</v>
      </c>
      <c r="B97" s="64">
        <v>5.8</v>
      </c>
      <c r="C97" s="64">
        <v>31.48</v>
      </c>
      <c r="D97" s="64">
        <v>19.73</v>
      </c>
      <c r="E97" s="64">
        <v>5.35</v>
      </c>
      <c r="F97" s="64">
        <v>4.1900000000000004</v>
      </c>
      <c r="G97" s="64">
        <v>80.87</v>
      </c>
      <c r="H97" s="64">
        <v>3.46</v>
      </c>
      <c r="I97" s="64">
        <v>6.22</v>
      </c>
      <c r="J97" s="64">
        <v>0.27</v>
      </c>
      <c r="K97" s="64">
        <v>5.24</v>
      </c>
      <c r="L97" s="64">
        <v>18.649999999999999</v>
      </c>
      <c r="M97" s="64">
        <v>63.14</v>
      </c>
      <c r="N97" s="64">
        <v>25.8</v>
      </c>
      <c r="O97" s="64">
        <v>0</v>
      </c>
      <c r="P97" s="64">
        <v>0.9</v>
      </c>
      <c r="Q97" s="64">
        <v>9.6300000000000008</v>
      </c>
      <c r="R97" s="196"/>
      <c r="S97" s="196"/>
      <c r="T97" s="196"/>
      <c r="U97" s="196"/>
    </row>
    <row r="98" spans="1:33" s="12" customFormat="1" x14ac:dyDescent="0.25">
      <c r="A98" s="211" t="s">
        <v>1582</v>
      </c>
      <c r="B98" s="64">
        <v>6.69</v>
      </c>
      <c r="C98" s="64">
        <v>32.54</v>
      </c>
      <c r="D98" s="64">
        <v>20.99</v>
      </c>
      <c r="E98" s="64">
        <v>5.48</v>
      </c>
      <c r="F98" s="64">
        <v>3.86</v>
      </c>
      <c r="G98" s="64">
        <v>80.87</v>
      </c>
      <c r="H98" s="64">
        <v>3.46</v>
      </c>
      <c r="I98" s="64">
        <v>6.04</v>
      </c>
      <c r="J98" s="64">
        <v>0.56000000000000005</v>
      </c>
      <c r="K98" s="64">
        <v>335.61</v>
      </c>
      <c r="L98" s="64">
        <v>18.440000000000001</v>
      </c>
      <c r="M98" s="64">
        <v>65.239999999999995</v>
      </c>
      <c r="N98" s="64">
        <v>25.8</v>
      </c>
      <c r="O98" s="64">
        <v>0</v>
      </c>
      <c r="P98" s="64">
        <v>0.93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1583</v>
      </c>
      <c r="B99" s="64">
        <v>8.9600000000000009</v>
      </c>
      <c r="C99" s="64">
        <v>33.380000000000003</v>
      </c>
      <c r="D99" s="64">
        <v>23.25</v>
      </c>
      <c r="E99" s="64">
        <v>5.35</v>
      </c>
      <c r="F99" s="64">
        <v>3.8</v>
      </c>
      <c r="G99" s="64">
        <v>80.87</v>
      </c>
      <c r="H99" s="64">
        <v>3.46</v>
      </c>
      <c r="I99" s="64">
        <v>6.02</v>
      </c>
      <c r="J99" s="64">
        <v>0.14000000000000001</v>
      </c>
      <c r="K99" s="64">
        <v>347.44</v>
      </c>
      <c r="L99" s="64">
        <v>18.16</v>
      </c>
      <c r="M99" s="64">
        <v>65.25</v>
      </c>
      <c r="N99" s="64">
        <v>26.1</v>
      </c>
      <c r="O99" s="64">
        <v>0</v>
      </c>
      <c r="P99" s="64">
        <v>0.93</v>
      </c>
      <c r="Q99" s="64">
        <v>9.64</v>
      </c>
      <c r="R99" s="196"/>
      <c r="S99" s="196"/>
      <c r="T99" s="196"/>
      <c r="U99" s="196"/>
    </row>
    <row r="100" spans="1:33" s="12" customFormat="1" x14ac:dyDescent="0.25">
      <c r="A100" s="211" t="s">
        <v>1584</v>
      </c>
      <c r="B100" s="64">
        <v>11.18</v>
      </c>
      <c r="C100" s="64">
        <v>34.619999999999997</v>
      </c>
      <c r="D100" s="64">
        <v>25.68</v>
      </c>
      <c r="E100" s="64">
        <v>5.33</v>
      </c>
      <c r="F100" s="64">
        <v>3.62</v>
      </c>
      <c r="G100" s="64">
        <v>80.16</v>
      </c>
      <c r="H100" s="64">
        <v>3.36</v>
      </c>
      <c r="I100" s="64">
        <v>6.02</v>
      </c>
      <c r="J100" s="64">
        <v>0.49</v>
      </c>
      <c r="K100" s="64">
        <v>331.64</v>
      </c>
      <c r="L100" s="64">
        <v>17.78</v>
      </c>
      <c r="M100" s="64">
        <v>69.760000000000005</v>
      </c>
      <c r="N100" s="64">
        <v>26</v>
      </c>
      <c r="O100" s="64">
        <v>0</v>
      </c>
      <c r="P100" s="64">
        <v>0.95</v>
      </c>
      <c r="Q100" s="64">
        <v>9.6199999999999992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1585</v>
      </c>
      <c r="B101" s="64">
        <v>15.34</v>
      </c>
      <c r="C101" s="64">
        <v>35.020000000000003</v>
      </c>
      <c r="D101" s="64">
        <v>29.22</v>
      </c>
      <c r="E101" s="64">
        <v>5.51</v>
      </c>
      <c r="F101" s="64">
        <v>3.58</v>
      </c>
      <c r="G101" s="64">
        <v>78.099999999999994</v>
      </c>
      <c r="H101" s="64">
        <v>3.18</v>
      </c>
      <c r="I101" s="64">
        <v>6.05</v>
      </c>
      <c r="J101" s="64">
        <v>0.56000000000000005</v>
      </c>
      <c r="K101" s="64">
        <v>317.38</v>
      </c>
      <c r="L101" s="64">
        <v>17.510000000000002</v>
      </c>
      <c r="M101" s="64">
        <v>72.08</v>
      </c>
      <c r="N101" s="64">
        <v>25.9</v>
      </c>
      <c r="O101" s="64">
        <v>0</v>
      </c>
      <c r="P101" s="64">
        <v>0.97</v>
      </c>
      <c r="Q101" s="64">
        <v>9.6300000000000008</v>
      </c>
      <c r="R101" s="196"/>
      <c r="S101" s="196"/>
      <c r="T101" s="196"/>
      <c r="U101" s="196"/>
    </row>
    <row r="102" spans="1:33" s="12" customFormat="1" x14ac:dyDescent="0.25">
      <c r="A102" s="211" t="s">
        <v>1586</v>
      </c>
      <c r="B102" s="64">
        <v>20.29</v>
      </c>
      <c r="C102" s="64">
        <v>34.54</v>
      </c>
      <c r="D102" s="64">
        <v>32.94</v>
      </c>
      <c r="E102" s="64">
        <v>5.51</v>
      </c>
      <c r="F102" s="64">
        <v>3.8</v>
      </c>
      <c r="G102" s="64">
        <v>78.099999999999994</v>
      </c>
      <c r="H102" s="64">
        <v>3.18</v>
      </c>
      <c r="I102" s="64">
        <v>6.07</v>
      </c>
      <c r="J102" s="64">
        <v>0.59</v>
      </c>
      <c r="K102" s="64">
        <v>332.38</v>
      </c>
      <c r="L102" s="64">
        <v>17.21</v>
      </c>
      <c r="M102" s="64">
        <v>74.53</v>
      </c>
      <c r="N102" s="64">
        <v>26</v>
      </c>
      <c r="O102" s="64">
        <v>0</v>
      </c>
      <c r="P102" s="64">
        <v>1.1499999999999999</v>
      </c>
      <c r="Q102" s="64">
        <v>9.64</v>
      </c>
      <c r="R102" s="196"/>
      <c r="S102" s="196"/>
      <c r="T102" s="196"/>
      <c r="U102" s="196"/>
    </row>
    <row r="103" spans="1:33" s="12" customFormat="1" x14ac:dyDescent="0.25">
      <c r="A103" s="211" t="s">
        <v>1587</v>
      </c>
      <c r="B103" s="64">
        <v>24.96</v>
      </c>
      <c r="C103" s="64">
        <v>33.049999999999997</v>
      </c>
      <c r="D103" s="64">
        <v>35.9</v>
      </c>
      <c r="E103" s="64">
        <v>5.36</v>
      </c>
      <c r="F103" s="64">
        <v>3.91</v>
      </c>
      <c r="G103" s="64">
        <v>78.099999999999994</v>
      </c>
      <c r="H103" s="64">
        <v>3.18</v>
      </c>
      <c r="I103" s="64">
        <v>6.09</v>
      </c>
      <c r="J103" s="64">
        <v>0.37</v>
      </c>
      <c r="K103" s="64">
        <v>299.10000000000002</v>
      </c>
      <c r="L103" s="64">
        <v>16.82</v>
      </c>
      <c r="M103" s="64">
        <v>76.69</v>
      </c>
      <c r="N103" s="64">
        <v>26.1</v>
      </c>
      <c r="O103" s="64">
        <v>0</v>
      </c>
      <c r="P103" s="64">
        <v>1.1200000000000001</v>
      </c>
      <c r="Q103" s="64">
        <v>9.64</v>
      </c>
      <c r="R103" s="196"/>
      <c r="S103" s="196"/>
      <c r="T103" s="196"/>
      <c r="U103" s="196"/>
    </row>
    <row r="104" spans="1:33" s="12" customFormat="1" x14ac:dyDescent="0.25">
      <c r="A104" s="211" t="s">
        <v>1588</v>
      </c>
      <c r="B104" s="64">
        <v>28.01</v>
      </c>
      <c r="C104" s="64">
        <v>32.549999999999997</v>
      </c>
      <c r="D104" s="64">
        <v>38.090000000000003</v>
      </c>
      <c r="E104" s="64">
        <v>7.02</v>
      </c>
      <c r="F104" s="64">
        <v>3.18</v>
      </c>
      <c r="G104" s="64">
        <v>77.650000000000006</v>
      </c>
      <c r="H104" s="64">
        <v>25.25</v>
      </c>
      <c r="I104" s="64">
        <v>5.67</v>
      </c>
      <c r="J104" s="64">
        <v>0.3</v>
      </c>
      <c r="K104" s="64">
        <v>336.02</v>
      </c>
      <c r="L104" s="64">
        <v>16.71</v>
      </c>
      <c r="M104" s="64">
        <v>78.7</v>
      </c>
      <c r="N104" s="64">
        <v>25.7</v>
      </c>
      <c r="O104" s="64">
        <v>0</v>
      </c>
      <c r="P104" s="64">
        <v>1.08</v>
      </c>
      <c r="Q104" s="64">
        <v>9.65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2.39</v>
      </c>
      <c r="C106" s="67">
        <f>MIN(C9:C104)</f>
        <v>20.79</v>
      </c>
      <c r="D106" s="67">
        <f t="shared" ref="D106:Q106" si="0">MIN(D9:D104)</f>
        <v>12.97</v>
      </c>
      <c r="E106" s="67">
        <f t="shared" si="0"/>
        <v>4.0199999999999996</v>
      </c>
      <c r="F106" s="67">
        <f t="shared" si="0"/>
        <v>3.18</v>
      </c>
      <c r="G106" s="67">
        <f t="shared" si="0"/>
        <v>60.31</v>
      </c>
      <c r="H106" s="67">
        <f t="shared" si="0"/>
        <v>3.18</v>
      </c>
      <c r="I106" s="67">
        <f t="shared" si="0"/>
        <v>2.2599999999999998</v>
      </c>
      <c r="J106" s="67">
        <f t="shared" si="0"/>
        <v>0.01</v>
      </c>
      <c r="K106" s="67">
        <f t="shared" si="0"/>
        <v>0.57999999999999996</v>
      </c>
      <c r="L106" s="67">
        <f t="shared" si="0"/>
        <v>15.01</v>
      </c>
      <c r="M106" s="67">
        <f t="shared" si="0"/>
        <v>34.49</v>
      </c>
      <c r="N106" s="67">
        <f t="shared" si="0"/>
        <v>25.2</v>
      </c>
      <c r="O106" s="67">
        <f t="shared" si="0"/>
        <v>0</v>
      </c>
      <c r="P106" s="67">
        <f t="shared" si="0"/>
        <v>0.54</v>
      </c>
      <c r="Q106" s="67">
        <f t="shared" si="0"/>
        <v>0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28.01</v>
      </c>
      <c r="C107" s="66">
        <f t="shared" ref="C107:Q107" si="1">MAX(C9:C104)</f>
        <v>35.020000000000003</v>
      </c>
      <c r="D107" s="66">
        <f t="shared" si="1"/>
        <v>38.090000000000003</v>
      </c>
      <c r="E107" s="66">
        <f t="shared" si="1"/>
        <v>7.02</v>
      </c>
      <c r="F107" s="66">
        <f t="shared" si="1"/>
        <v>8.06</v>
      </c>
      <c r="G107" s="66">
        <f t="shared" si="1"/>
        <v>91.95</v>
      </c>
      <c r="H107" s="66">
        <f t="shared" si="1"/>
        <v>71.569999999999993</v>
      </c>
      <c r="I107" s="66">
        <f t="shared" si="1"/>
        <v>7.24</v>
      </c>
      <c r="J107" s="66">
        <f t="shared" si="1"/>
        <v>1.64</v>
      </c>
      <c r="K107" s="66">
        <f t="shared" si="1"/>
        <v>359.42</v>
      </c>
      <c r="L107" s="66">
        <f t="shared" si="1"/>
        <v>27.26</v>
      </c>
      <c r="M107" s="66">
        <f t="shared" si="1"/>
        <v>96.83</v>
      </c>
      <c r="N107" s="66">
        <f t="shared" si="1"/>
        <v>645</v>
      </c>
      <c r="O107" s="66">
        <f t="shared" si="1"/>
        <v>0</v>
      </c>
      <c r="P107" s="66">
        <f t="shared" si="1"/>
        <v>1.1499999999999999</v>
      </c>
      <c r="Q107" s="66">
        <f t="shared" si="1"/>
        <v>9.65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6.3634374999999999</v>
      </c>
      <c r="C108" s="67">
        <f t="shared" ref="C108:Q108" si="2">AVERAGE(C9:C104)</f>
        <v>26.755312500000002</v>
      </c>
      <c r="D108" s="67">
        <f t="shared" si="2"/>
        <v>17.704999999999995</v>
      </c>
      <c r="E108" s="67">
        <f t="shared" si="2"/>
        <v>5.670208333333334</v>
      </c>
      <c r="F108" s="67">
        <f t="shared" si="2"/>
        <v>4.6541666666666668</v>
      </c>
      <c r="G108" s="67">
        <f t="shared" si="2"/>
        <v>73.927395833333307</v>
      </c>
      <c r="H108" s="67">
        <f t="shared" si="2"/>
        <v>31.08338983050848</v>
      </c>
      <c r="I108" s="67">
        <f t="shared" si="2"/>
        <v>5.0412500000000016</v>
      </c>
      <c r="J108" s="67">
        <f t="shared" si="2"/>
        <v>0.48718750000000016</v>
      </c>
      <c r="K108" s="67">
        <f t="shared" si="2"/>
        <v>179.52499999999995</v>
      </c>
      <c r="L108" s="67">
        <f t="shared" si="2"/>
        <v>20.502291666666668</v>
      </c>
      <c r="M108" s="67">
        <f t="shared" si="2"/>
        <v>61.934895833333343</v>
      </c>
      <c r="N108" s="67">
        <f t="shared" si="2"/>
        <v>163.01145833333331</v>
      </c>
      <c r="O108" s="67">
        <f t="shared" si="2"/>
        <v>0</v>
      </c>
      <c r="P108" s="67">
        <f t="shared" si="2"/>
        <v>0.69958333333333333</v>
      </c>
      <c r="Q108" s="67">
        <f t="shared" si="2"/>
        <v>9.5269791666666652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4.5208159086898405</v>
      </c>
      <c r="C109" s="67">
        <f t="shared" ref="C109:Q109" si="3">STDEV(C9:C104)</f>
        <v>3.2882722877155461</v>
      </c>
      <c r="D109" s="67">
        <f t="shared" si="3"/>
        <v>4.2985216552964811</v>
      </c>
      <c r="E109" s="67">
        <f t="shared" si="3"/>
        <v>0.63394500702333767</v>
      </c>
      <c r="F109" s="67">
        <f t="shared" si="3"/>
        <v>0.92653703498186357</v>
      </c>
      <c r="G109" s="67">
        <f t="shared" si="3"/>
        <v>8.8436743072205566</v>
      </c>
      <c r="H109" s="67">
        <f t="shared" si="3"/>
        <v>20.16012611227055</v>
      </c>
      <c r="I109" s="67">
        <f t="shared" si="3"/>
        <v>1.0381443465195572</v>
      </c>
      <c r="J109" s="67">
        <f t="shared" si="3"/>
        <v>0.28514337344755597</v>
      </c>
      <c r="K109" s="67">
        <f t="shared" si="3"/>
        <v>121.14721379596944</v>
      </c>
      <c r="L109" s="67">
        <f t="shared" si="3"/>
        <v>3.8319599160541369</v>
      </c>
      <c r="M109" s="67">
        <f t="shared" si="3"/>
        <v>19.889706673754205</v>
      </c>
      <c r="N109" s="67">
        <f t="shared" si="3"/>
        <v>214.41040178508209</v>
      </c>
      <c r="O109" s="67">
        <f t="shared" si="3"/>
        <v>0</v>
      </c>
      <c r="P109" s="67">
        <f t="shared" si="3"/>
        <v>0.13902606091677527</v>
      </c>
      <c r="Q109" s="67">
        <f t="shared" si="3"/>
        <v>0.98261639973849935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COUNT(H9:H104)+37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1589</v>
      </c>
      <c r="B9" s="64">
        <v>30.14</v>
      </c>
      <c r="C9" s="64">
        <v>31.65</v>
      </c>
      <c r="D9" s="64">
        <v>39.33</v>
      </c>
      <c r="E9" s="64">
        <v>7.11</v>
      </c>
      <c r="F9" s="64">
        <v>3.69</v>
      </c>
      <c r="G9" s="64">
        <v>76.349999999999994</v>
      </c>
      <c r="H9" s="64">
        <v>113.51</v>
      </c>
      <c r="I9" s="64">
        <v>5.58</v>
      </c>
      <c r="J9" s="64">
        <v>0.15</v>
      </c>
      <c r="K9" s="64">
        <v>256.07</v>
      </c>
      <c r="L9" s="64">
        <v>16.93</v>
      </c>
      <c r="M9" s="64">
        <v>74.12</v>
      </c>
      <c r="N9" s="64">
        <v>25.6</v>
      </c>
      <c r="O9" s="64">
        <v>0</v>
      </c>
      <c r="P9" s="64">
        <v>0.94</v>
      </c>
      <c r="Q9" s="64">
        <v>9.64</v>
      </c>
      <c r="R9" s="196"/>
      <c r="S9" s="196"/>
      <c r="T9" s="196"/>
      <c r="U9" s="196"/>
    </row>
    <row r="10" spans="1:21" s="12" customFormat="1" x14ac:dyDescent="0.25">
      <c r="A10" s="211" t="s">
        <v>1590</v>
      </c>
      <c r="B10" s="64">
        <v>29.96</v>
      </c>
      <c r="C10" s="64">
        <v>30.5</v>
      </c>
      <c r="D10" s="64">
        <v>38.58</v>
      </c>
      <c r="E10" s="64">
        <v>6.81</v>
      </c>
      <c r="F10" s="64">
        <v>3.91</v>
      </c>
      <c r="G10" s="64">
        <v>76.349999999999994</v>
      </c>
      <c r="H10" s="64">
        <v>113.51</v>
      </c>
      <c r="I10" s="64">
        <v>5.85</v>
      </c>
      <c r="J10" s="64">
        <v>0.6</v>
      </c>
      <c r="K10" s="64">
        <v>294.51</v>
      </c>
      <c r="L10" s="64">
        <v>17.21</v>
      </c>
      <c r="M10" s="64">
        <v>72.08</v>
      </c>
      <c r="N10" s="64">
        <v>25.6</v>
      </c>
      <c r="O10" s="64">
        <v>0</v>
      </c>
      <c r="P10" s="64">
        <v>0.92</v>
      </c>
      <c r="Q10" s="64">
        <v>9.64</v>
      </c>
      <c r="R10" s="196"/>
      <c r="S10" s="196"/>
      <c r="T10" s="196"/>
      <c r="U10" s="196"/>
    </row>
    <row r="11" spans="1:21" s="12" customFormat="1" x14ac:dyDescent="0.25">
      <c r="A11" s="211" t="s">
        <v>1591</v>
      </c>
      <c r="B11" s="64">
        <v>29.22</v>
      </c>
      <c r="C11" s="64">
        <v>29.57</v>
      </c>
      <c r="D11" s="64">
        <v>37.51</v>
      </c>
      <c r="E11" s="64">
        <v>6.93</v>
      </c>
      <c r="F11" s="64">
        <v>4.1500000000000004</v>
      </c>
      <c r="G11" s="64">
        <v>76.349999999999994</v>
      </c>
      <c r="H11" s="64">
        <v>113.51</v>
      </c>
      <c r="I11" s="64">
        <v>5.65</v>
      </c>
      <c r="J11" s="64">
        <v>0.43</v>
      </c>
      <c r="K11" s="64">
        <v>294.66000000000003</v>
      </c>
      <c r="L11" s="64">
        <v>16.89</v>
      </c>
      <c r="M11" s="64">
        <v>74.28</v>
      </c>
      <c r="N11" s="64">
        <v>26</v>
      </c>
      <c r="O11" s="64">
        <v>0</v>
      </c>
      <c r="P11" s="64">
        <v>0.91</v>
      </c>
      <c r="Q11" s="64">
        <v>9.64</v>
      </c>
      <c r="R11" s="196"/>
      <c r="S11" s="196"/>
      <c r="T11" s="196"/>
      <c r="U11" s="196"/>
    </row>
    <row r="12" spans="1:21" s="12" customFormat="1" x14ac:dyDescent="0.25">
      <c r="A12" s="211" t="s">
        <v>1592</v>
      </c>
      <c r="B12" s="64">
        <v>28.42</v>
      </c>
      <c r="C12" s="64">
        <v>28.93</v>
      </c>
      <c r="D12" s="64">
        <v>36.53</v>
      </c>
      <c r="E12" s="64">
        <v>6.76</v>
      </c>
      <c r="F12" s="64">
        <v>3.86</v>
      </c>
      <c r="G12" s="64">
        <v>75.06</v>
      </c>
      <c r="H12" s="64">
        <v>91.18</v>
      </c>
      <c r="I12" s="64">
        <v>5.0599999999999996</v>
      </c>
      <c r="J12" s="64">
        <v>0.55000000000000004</v>
      </c>
      <c r="K12" s="64">
        <v>322.70999999999998</v>
      </c>
      <c r="L12" s="64">
        <v>16.66</v>
      </c>
      <c r="M12" s="64">
        <v>78.44</v>
      </c>
      <c r="N12" s="64">
        <v>26</v>
      </c>
      <c r="O12" s="64">
        <v>0</v>
      </c>
      <c r="P12" s="64">
        <v>0.88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1593</v>
      </c>
      <c r="B13" s="64">
        <v>27.73</v>
      </c>
      <c r="C13" s="64">
        <v>28.49</v>
      </c>
      <c r="D13" s="64">
        <v>35.74</v>
      </c>
      <c r="E13" s="64">
        <v>6.62</v>
      </c>
      <c r="F13" s="64">
        <v>3.8</v>
      </c>
      <c r="G13" s="64">
        <v>71.319999999999993</v>
      </c>
      <c r="H13" s="64">
        <v>48.45</v>
      </c>
      <c r="I13" s="64">
        <v>4.4400000000000004</v>
      </c>
      <c r="J13" s="64">
        <v>0.64</v>
      </c>
      <c r="K13" s="64">
        <v>331.05</v>
      </c>
      <c r="L13" s="64">
        <v>16.23</v>
      </c>
      <c r="M13" s="64">
        <v>81.099999999999994</v>
      </c>
      <c r="N13" s="64">
        <v>26</v>
      </c>
      <c r="O13" s="64">
        <v>0</v>
      </c>
      <c r="P13" s="64">
        <v>0.9</v>
      </c>
      <c r="Q13" s="64">
        <v>9.6300000000000008</v>
      </c>
      <c r="R13" s="196"/>
      <c r="S13" s="196"/>
      <c r="T13" s="196"/>
      <c r="U13" s="196"/>
    </row>
    <row r="14" spans="1:21" s="12" customFormat="1" x14ac:dyDescent="0.25">
      <c r="A14" s="211" t="s">
        <v>1594</v>
      </c>
      <c r="B14" s="64">
        <v>26.68</v>
      </c>
      <c r="C14" s="64">
        <v>28.77</v>
      </c>
      <c r="D14" s="64">
        <v>35.049999999999997</v>
      </c>
      <c r="E14" s="64">
        <v>6.9</v>
      </c>
      <c r="F14" s="64">
        <v>3.74</v>
      </c>
      <c r="G14" s="64">
        <v>71.319999999999993</v>
      </c>
      <c r="H14" s="64">
        <v>48.45</v>
      </c>
      <c r="I14" s="64">
        <v>4.71</v>
      </c>
      <c r="J14" s="64">
        <v>0.03</v>
      </c>
      <c r="K14" s="64">
        <v>49.73</v>
      </c>
      <c r="L14" s="64">
        <v>15.91</v>
      </c>
      <c r="M14" s="64">
        <v>80.239999999999995</v>
      </c>
      <c r="N14" s="64">
        <v>26.1</v>
      </c>
      <c r="O14" s="64">
        <v>0</v>
      </c>
      <c r="P14" s="64">
        <v>0.96</v>
      </c>
      <c r="Q14" s="64">
        <v>9.6300000000000008</v>
      </c>
      <c r="R14" s="196"/>
      <c r="S14" s="196"/>
      <c r="T14" s="196"/>
      <c r="U14" s="196"/>
    </row>
    <row r="15" spans="1:21" s="12" customFormat="1" x14ac:dyDescent="0.25">
      <c r="A15" s="211" t="s">
        <v>1595</v>
      </c>
      <c r="B15" s="64">
        <v>24.98</v>
      </c>
      <c r="C15" s="64">
        <v>28.91</v>
      </c>
      <c r="D15" s="64">
        <v>33.76</v>
      </c>
      <c r="E15" s="64">
        <v>6.9</v>
      </c>
      <c r="F15" s="64">
        <v>3.72</v>
      </c>
      <c r="G15" s="64">
        <v>71.319999999999993</v>
      </c>
      <c r="H15" s="64">
        <v>48.45</v>
      </c>
      <c r="I15" s="64">
        <v>5.78</v>
      </c>
      <c r="J15" s="64">
        <v>0.36</v>
      </c>
      <c r="K15" s="64">
        <v>320.10000000000002</v>
      </c>
      <c r="L15" s="64">
        <v>15.82</v>
      </c>
      <c r="M15" s="64">
        <v>82.42</v>
      </c>
      <c r="N15" s="64">
        <v>25.8</v>
      </c>
      <c r="O15" s="64">
        <v>0</v>
      </c>
      <c r="P15" s="64">
        <v>0.93</v>
      </c>
      <c r="Q15" s="64">
        <v>9.64</v>
      </c>
      <c r="R15" s="196"/>
      <c r="S15" s="196"/>
      <c r="T15" s="196"/>
      <c r="U15" s="196"/>
    </row>
    <row r="16" spans="1:21" s="12" customFormat="1" x14ac:dyDescent="0.25">
      <c r="A16" s="211" t="s">
        <v>1596</v>
      </c>
      <c r="B16" s="64">
        <v>23.52</v>
      </c>
      <c r="C16" s="64">
        <v>28.72</v>
      </c>
      <c r="D16" s="64">
        <v>32.49</v>
      </c>
      <c r="E16" s="64">
        <v>6.61</v>
      </c>
      <c r="F16" s="64">
        <v>3.61</v>
      </c>
      <c r="G16" s="64">
        <v>72</v>
      </c>
      <c r="H16" s="64">
        <v>41.27</v>
      </c>
      <c r="I16" s="64">
        <v>6.21</v>
      </c>
      <c r="J16" s="64">
        <v>0.36</v>
      </c>
      <c r="K16" s="64">
        <v>348.84</v>
      </c>
      <c r="L16" s="64">
        <v>15.73</v>
      </c>
      <c r="M16" s="64">
        <v>84.72</v>
      </c>
      <c r="N16" s="64">
        <v>26</v>
      </c>
      <c r="O16" s="64">
        <v>0</v>
      </c>
      <c r="P16" s="64">
        <v>0.9</v>
      </c>
      <c r="Q16" s="64">
        <v>9.6199999999999992</v>
      </c>
      <c r="R16" s="196"/>
      <c r="S16" s="196"/>
      <c r="T16" s="196"/>
      <c r="U16" s="196"/>
    </row>
    <row r="17" spans="1:21" s="12" customFormat="1" x14ac:dyDescent="0.25">
      <c r="A17" s="211" t="s">
        <v>1597</v>
      </c>
      <c r="B17" s="64">
        <v>22.86</v>
      </c>
      <c r="C17" s="64">
        <v>29.29</v>
      </c>
      <c r="D17" s="64">
        <v>32.26</v>
      </c>
      <c r="E17" s="64">
        <v>6.54</v>
      </c>
      <c r="F17" s="64">
        <v>3.58</v>
      </c>
      <c r="G17" s="64">
        <v>73.959999999999994</v>
      </c>
      <c r="H17" s="64">
        <v>27.53</v>
      </c>
      <c r="I17" s="64">
        <v>6.14</v>
      </c>
      <c r="J17" s="64">
        <v>0.3</v>
      </c>
      <c r="K17" s="64">
        <v>297.16000000000003</v>
      </c>
      <c r="L17" s="64">
        <v>15.49</v>
      </c>
      <c r="M17" s="64">
        <v>85.25</v>
      </c>
      <c r="N17" s="64">
        <v>25.8</v>
      </c>
      <c r="O17" s="64">
        <v>0</v>
      </c>
      <c r="P17" s="64">
        <v>0.88</v>
      </c>
      <c r="Q17" s="64">
        <v>9.6199999999999992</v>
      </c>
      <c r="R17" s="196"/>
      <c r="S17" s="196"/>
      <c r="T17" s="196"/>
      <c r="U17" s="196"/>
    </row>
    <row r="18" spans="1:21" s="12" customFormat="1" x14ac:dyDescent="0.25">
      <c r="A18" s="211" t="s">
        <v>1598</v>
      </c>
      <c r="B18" s="64">
        <v>22.38</v>
      </c>
      <c r="C18" s="64">
        <v>29.87</v>
      </c>
      <c r="D18" s="64">
        <v>32.18</v>
      </c>
      <c r="E18" s="64">
        <v>6.39</v>
      </c>
      <c r="F18" s="64">
        <v>3.53</v>
      </c>
      <c r="G18" s="64">
        <v>73.959999999999994</v>
      </c>
      <c r="H18" s="64">
        <v>27.53</v>
      </c>
      <c r="I18" s="64">
        <v>6</v>
      </c>
      <c r="J18" s="64">
        <v>0.42</v>
      </c>
      <c r="K18" s="64">
        <v>301.16000000000003</v>
      </c>
      <c r="L18" s="64">
        <v>15.67</v>
      </c>
      <c r="M18" s="64">
        <v>84.42</v>
      </c>
      <c r="N18" s="64">
        <v>25.9</v>
      </c>
      <c r="O18" s="64">
        <v>0</v>
      </c>
      <c r="P18" s="64">
        <v>0.86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1599</v>
      </c>
      <c r="B19" s="64">
        <v>21.3</v>
      </c>
      <c r="C19" s="64">
        <v>29.92</v>
      </c>
      <c r="D19" s="64">
        <v>31.34</v>
      </c>
      <c r="E19" s="64">
        <v>6.71</v>
      </c>
      <c r="F19" s="64">
        <v>3.51</v>
      </c>
      <c r="G19" s="64">
        <v>73.959999999999994</v>
      </c>
      <c r="H19" s="64">
        <v>27.53</v>
      </c>
      <c r="I19" s="64">
        <v>5.86</v>
      </c>
      <c r="J19" s="64">
        <v>0.37</v>
      </c>
      <c r="K19" s="64">
        <v>307.77999999999997</v>
      </c>
      <c r="L19" s="64">
        <v>15.37</v>
      </c>
      <c r="M19" s="64">
        <v>88.4</v>
      </c>
      <c r="N19" s="64">
        <v>26</v>
      </c>
      <c r="O19" s="64">
        <v>0</v>
      </c>
      <c r="P19" s="64">
        <v>0.84</v>
      </c>
      <c r="Q19" s="64">
        <v>9.64</v>
      </c>
      <c r="R19" s="196"/>
      <c r="S19" s="196"/>
      <c r="T19" s="196"/>
      <c r="U19" s="196"/>
    </row>
    <row r="20" spans="1:21" s="12" customFormat="1" x14ac:dyDescent="0.25">
      <c r="A20" s="211" t="s">
        <v>1600</v>
      </c>
      <c r="B20" s="64">
        <v>20.149999999999999</v>
      </c>
      <c r="C20" s="64">
        <v>29.63</v>
      </c>
      <c r="D20" s="64">
        <v>30.26</v>
      </c>
      <c r="E20" s="64">
        <v>6.65</v>
      </c>
      <c r="F20" s="64">
        <v>3.72</v>
      </c>
      <c r="G20" s="64">
        <v>72.459999999999994</v>
      </c>
      <c r="H20" s="64">
        <v>30.91</v>
      </c>
      <c r="I20" s="64">
        <v>5.72</v>
      </c>
      <c r="J20" s="64">
        <v>0.26</v>
      </c>
      <c r="K20" s="64">
        <v>294.91000000000003</v>
      </c>
      <c r="L20" s="64">
        <v>15.31</v>
      </c>
      <c r="M20" s="64">
        <v>87.34</v>
      </c>
      <c r="N20" s="64">
        <v>25.8</v>
      </c>
      <c r="O20" s="64">
        <v>0</v>
      </c>
      <c r="P20" s="64">
        <v>0.83</v>
      </c>
      <c r="Q20" s="64">
        <v>9.6300000000000008</v>
      </c>
      <c r="R20" s="196"/>
      <c r="S20" s="196"/>
      <c r="T20" s="196"/>
      <c r="U20" s="196"/>
    </row>
    <row r="21" spans="1:21" s="12" customFormat="1" x14ac:dyDescent="0.25">
      <c r="A21" s="211" t="s">
        <v>1601</v>
      </c>
      <c r="B21" s="64">
        <v>19.190000000000001</v>
      </c>
      <c r="C21" s="64">
        <v>29.62</v>
      </c>
      <c r="D21" s="64">
        <v>29.48</v>
      </c>
      <c r="E21" s="64">
        <v>6.56</v>
      </c>
      <c r="F21" s="64">
        <v>3.71</v>
      </c>
      <c r="G21" s="64">
        <v>68.09</v>
      </c>
      <c r="H21" s="64">
        <v>37.36</v>
      </c>
      <c r="I21" s="64">
        <v>5.58</v>
      </c>
      <c r="J21" s="64">
        <v>0.46</v>
      </c>
      <c r="K21" s="64">
        <v>314.38</v>
      </c>
      <c r="L21" s="64">
        <v>15.17</v>
      </c>
      <c r="M21" s="64">
        <v>89.31</v>
      </c>
      <c r="N21" s="64">
        <v>25.8</v>
      </c>
      <c r="O21" s="64">
        <v>0</v>
      </c>
      <c r="P21" s="64">
        <v>0.8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1602</v>
      </c>
      <c r="B22" s="64">
        <v>19.760000000000002</v>
      </c>
      <c r="C22" s="64">
        <v>29.96</v>
      </c>
      <c r="D22" s="64">
        <v>30.12</v>
      </c>
      <c r="E22" s="64">
        <v>6.82</v>
      </c>
      <c r="F22" s="64">
        <v>3.96</v>
      </c>
      <c r="G22" s="64">
        <v>68.09</v>
      </c>
      <c r="H22" s="64">
        <v>37.36</v>
      </c>
      <c r="I22" s="64">
        <v>5.46</v>
      </c>
      <c r="J22" s="64">
        <v>0.48</v>
      </c>
      <c r="K22" s="64">
        <v>304.88</v>
      </c>
      <c r="L22" s="64">
        <v>14.95</v>
      </c>
      <c r="M22" s="64">
        <v>92.2</v>
      </c>
      <c r="N22" s="64">
        <v>25.4</v>
      </c>
      <c r="O22" s="64">
        <v>0</v>
      </c>
      <c r="P22" s="64">
        <v>0.79</v>
      </c>
      <c r="Q22" s="64">
        <v>9.6300000000000008</v>
      </c>
      <c r="R22" s="196"/>
      <c r="S22" s="196"/>
      <c r="T22" s="196"/>
      <c r="U22" s="196"/>
    </row>
    <row r="23" spans="1:21" s="12" customFormat="1" x14ac:dyDescent="0.25">
      <c r="A23" s="211" t="s">
        <v>1603</v>
      </c>
      <c r="B23" s="64">
        <v>19.649999999999999</v>
      </c>
      <c r="C23" s="64">
        <v>28.45</v>
      </c>
      <c r="D23" s="64">
        <v>29.25</v>
      </c>
      <c r="E23" s="64">
        <v>6.48</v>
      </c>
      <c r="F23" s="64">
        <v>3.85</v>
      </c>
      <c r="G23" s="64">
        <v>68.09</v>
      </c>
      <c r="H23" s="64">
        <v>37.36</v>
      </c>
      <c r="I23" s="64">
        <v>5.33</v>
      </c>
      <c r="J23" s="64">
        <v>0.37</v>
      </c>
      <c r="K23" s="64">
        <v>1.36</v>
      </c>
      <c r="L23" s="64">
        <v>15.24</v>
      </c>
      <c r="M23" s="64">
        <v>87.52</v>
      </c>
      <c r="N23" s="64">
        <v>25.3</v>
      </c>
      <c r="O23" s="64">
        <v>0</v>
      </c>
      <c r="P23" s="64">
        <v>0.76</v>
      </c>
      <c r="Q23" s="64">
        <v>9.6300000000000008</v>
      </c>
      <c r="R23" s="196"/>
      <c r="S23" s="196"/>
      <c r="T23" s="196"/>
      <c r="U23" s="196"/>
    </row>
    <row r="24" spans="1:21" s="12" customFormat="1" x14ac:dyDescent="0.25">
      <c r="A24" s="211" t="s">
        <v>1604</v>
      </c>
      <c r="B24" s="64">
        <v>19.13</v>
      </c>
      <c r="C24" s="64">
        <v>27.96</v>
      </c>
      <c r="D24" s="64">
        <v>28.57</v>
      </c>
      <c r="E24" s="64">
        <v>5.71</v>
      </c>
      <c r="F24" s="64">
        <v>3.85</v>
      </c>
      <c r="G24" s="64">
        <v>69.27</v>
      </c>
      <c r="H24" s="64">
        <v>37.28</v>
      </c>
      <c r="I24" s="64">
        <v>5.14</v>
      </c>
      <c r="J24" s="64">
        <v>1.1399999999999999</v>
      </c>
      <c r="K24" s="64">
        <v>341</v>
      </c>
      <c r="L24" s="64">
        <v>15.29</v>
      </c>
      <c r="M24" s="64">
        <v>84.37</v>
      </c>
      <c r="N24" s="64">
        <v>25.1</v>
      </c>
      <c r="O24" s="64">
        <v>0</v>
      </c>
      <c r="P24" s="64">
        <v>0.74</v>
      </c>
      <c r="Q24" s="64">
        <v>9.6199999999999992</v>
      </c>
      <c r="R24" s="196"/>
      <c r="S24" s="196"/>
      <c r="T24" s="196"/>
      <c r="U24" s="196"/>
    </row>
    <row r="25" spans="1:21" s="12" customFormat="1" x14ac:dyDescent="0.25">
      <c r="A25" s="211" t="s">
        <v>1605</v>
      </c>
      <c r="B25" s="64">
        <v>18.510000000000002</v>
      </c>
      <c r="C25" s="64">
        <v>27.62</v>
      </c>
      <c r="D25" s="64">
        <v>27.9</v>
      </c>
      <c r="E25" s="64">
        <v>5.57</v>
      </c>
      <c r="F25" s="64">
        <v>3.47</v>
      </c>
      <c r="G25" s="64">
        <v>72.72</v>
      </c>
      <c r="H25" s="64">
        <v>36.97</v>
      </c>
      <c r="I25" s="64">
        <v>4.8600000000000003</v>
      </c>
      <c r="J25" s="64">
        <v>1.1100000000000001</v>
      </c>
      <c r="K25" s="64">
        <v>342.1</v>
      </c>
      <c r="L25" s="64">
        <v>15.3</v>
      </c>
      <c r="M25" s="64">
        <v>80.849999999999994</v>
      </c>
      <c r="N25" s="64">
        <v>25.5</v>
      </c>
      <c r="O25" s="64">
        <v>0</v>
      </c>
      <c r="P25" s="64">
        <v>0.76</v>
      </c>
      <c r="Q25" s="64">
        <v>9.64</v>
      </c>
      <c r="R25" s="196"/>
      <c r="S25" s="196"/>
      <c r="T25" s="196"/>
      <c r="U25" s="196"/>
    </row>
    <row r="26" spans="1:21" s="12" customFormat="1" x14ac:dyDescent="0.25">
      <c r="A26" s="211" t="s">
        <v>1606</v>
      </c>
      <c r="B26" s="64">
        <v>18.16</v>
      </c>
      <c r="C26" s="64">
        <v>27.22</v>
      </c>
      <c r="D26" s="64">
        <v>27.4</v>
      </c>
      <c r="E26" s="64">
        <v>5.82</v>
      </c>
      <c r="F26" s="64">
        <v>3.29</v>
      </c>
      <c r="G26" s="64">
        <v>72.72</v>
      </c>
      <c r="H26" s="64">
        <v>36.97</v>
      </c>
      <c r="I26" s="64">
        <v>4.58</v>
      </c>
      <c r="J26" s="64">
        <v>0.96</v>
      </c>
      <c r="K26" s="64">
        <v>344.46</v>
      </c>
      <c r="L26" s="64">
        <v>15.17</v>
      </c>
      <c r="M26" s="64">
        <v>82.29</v>
      </c>
      <c r="N26" s="64">
        <v>25.9</v>
      </c>
      <c r="O26" s="64">
        <v>0</v>
      </c>
      <c r="P26" s="64">
        <v>0.78</v>
      </c>
      <c r="Q26" s="64">
        <v>9.6300000000000008</v>
      </c>
      <c r="R26" s="196"/>
      <c r="S26" s="196"/>
      <c r="T26" s="196"/>
      <c r="U26" s="196"/>
    </row>
    <row r="27" spans="1:21" s="12" customFormat="1" x14ac:dyDescent="0.25">
      <c r="A27" s="211" t="s">
        <v>1607</v>
      </c>
      <c r="B27" s="64">
        <v>18.079999999999998</v>
      </c>
      <c r="C27" s="64">
        <v>26.72</v>
      </c>
      <c r="D27" s="64">
        <v>27.08</v>
      </c>
      <c r="E27" s="64">
        <v>6.14</v>
      </c>
      <c r="F27" s="64">
        <v>3.68</v>
      </c>
      <c r="G27" s="64">
        <v>72.72</v>
      </c>
      <c r="H27" s="64">
        <v>36.97</v>
      </c>
      <c r="I27" s="64">
        <v>4.5</v>
      </c>
      <c r="J27" s="64">
        <v>0.81</v>
      </c>
      <c r="K27" s="64">
        <v>339.52</v>
      </c>
      <c r="L27" s="64">
        <v>15.17</v>
      </c>
      <c r="M27" s="64">
        <v>81.22</v>
      </c>
      <c r="N27" s="64">
        <v>25.5</v>
      </c>
      <c r="O27" s="64">
        <v>0</v>
      </c>
      <c r="P27" s="64">
        <v>0.83</v>
      </c>
      <c r="Q27" s="64">
        <v>9.6300000000000008</v>
      </c>
      <c r="R27" s="196"/>
      <c r="S27" s="196"/>
      <c r="T27" s="196"/>
      <c r="U27" s="196"/>
    </row>
    <row r="28" spans="1:21" s="12" customFormat="1" x14ac:dyDescent="0.25">
      <c r="A28" s="211" t="s">
        <v>1608</v>
      </c>
      <c r="B28" s="64">
        <v>18.3</v>
      </c>
      <c r="C28" s="64">
        <v>26.02</v>
      </c>
      <c r="D28" s="64">
        <v>26.89</v>
      </c>
      <c r="E28" s="64">
        <v>6.43</v>
      </c>
      <c r="F28" s="64">
        <v>3.72</v>
      </c>
      <c r="G28" s="64">
        <v>79.69</v>
      </c>
      <c r="H28" s="64">
        <v>25.55</v>
      </c>
      <c r="I28" s="64">
        <v>4.3600000000000003</v>
      </c>
      <c r="J28" s="64">
        <v>0.14000000000000001</v>
      </c>
      <c r="K28" s="64">
        <v>180.22</v>
      </c>
      <c r="L28" s="64">
        <v>15.13</v>
      </c>
      <c r="M28" s="64">
        <v>79.760000000000005</v>
      </c>
      <c r="N28" s="64">
        <v>26</v>
      </c>
      <c r="O28" s="64">
        <v>0</v>
      </c>
      <c r="P28" s="64">
        <v>0.86</v>
      </c>
      <c r="Q28" s="64">
        <v>9.6300000000000008</v>
      </c>
      <c r="R28" s="196"/>
      <c r="S28" s="196"/>
      <c r="T28" s="196"/>
      <c r="U28" s="196"/>
    </row>
    <row r="29" spans="1:21" s="12" customFormat="1" x14ac:dyDescent="0.25">
      <c r="A29" s="211" t="s">
        <v>1609</v>
      </c>
      <c r="B29" s="64">
        <v>18.510000000000002</v>
      </c>
      <c r="C29" s="64">
        <v>25.51</v>
      </c>
      <c r="D29" s="64">
        <v>26.8</v>
      </c>
      <c r="E29" s="64">
        <v>6.52</v>
      </c>
      <c r="F29" s="64">
        <v>4.1500000000000004</v>
      </c>
      <c r="G29" s="64">
        <v>100.01</v>
      </c>
      <c r="H29" s="64">
        <v>3.7</v>
      </c>
      <c r="I29" s="64">
        <v>4.57</v>
      </c>
      <c r="J29" s="64">
        <v>0.57999999999999996</v>
      </c>
      <c r="K29" s="64">
        <v>342.63</v>
      </c>
      <c r="L29" s="64">
        <v>14.96</v>
      </c>
      <c r="M29" s="64">
        <v>80.28</v>
      </c>
      <c r="N29" s="64">
        <v>25.6</v>
      </c>
      <c r="O29" s="64">
        <v>0</v>
      </c>
      <c r="P29" s="64">
        <v>0.9</v>
      </c>
      <c r="Q29" s="64">
        <v>9.64</v>
      </c>
      <c r="R29" s="196"/>
      <c r="S29" s="196"/>
      <c r="T29" s="196"/>
      <c r="U29" s="196"/>
    </row>
    <row r="30" spans="1:21" s="12" customFormat="1" x14ac:dyDescent="0.25">
      <c r="A30" s="211" t="s">
        <v>1610</v>
      </c>
      <c r="B30" s="64">
        <v>18.850000000000001</v>
      </c>
      <c r="C30" s="64">
        <v>25.3</v>
      </c>
      <c r="D30" s="64">
        <v>26.96</v>
      </c>
      <c r="E30" s="64">
        <v>6.65</v>
      </c>
      <c r="F30" s="64">
        <v>3.93</v>
      </c>
      <c r="G30" s="64">
        <v>100.01</v>
      </c>
      <c r="H30" s="64">
        <v>3.7</v>
      </c>
      <c r="I30" s="64">
        <v>4.66</v>
      </c>
      <c r="J30" s="64">
        <v>0.91</v>
      </c>
      <c r="K30" s="64">
        <v>344.43</v>
      </c>
      <c r="L30" s="64">
        <v>14.98</v>
      </c>
      <c r="M30" s="64">
        <v>78.28</v>
      </c>
      <c r="N30" s="64">
        <v>25.5</v>
      </c>
      <c r="O30" s="64">
        <v>0</v>
      </c>
      <c r="P30" s="64">
        <v>0.88</v>
      </c>
      <c r="Q30" s="64">
        <v>9.6199999999999992</v>
      </c>
      <c r="R30" s="196"/>
      <c r="S30" s="196"/>
      <c r="T30" s="196"/>
      <c r="U30" s="196"/>
    </row>
    <row r="31" spans="1:21" s="12" customFormat="1" x14ac:dyDescent="0.25">
      <c r="A31" s="211" t="s">
        <v>1611</v>
      </c>
      <c r="B31" s="64">
        <v>18.73</v>
      </c>
      <c r="C31" s="64">
        <v>26.13</v>
      </c>
      <c r="D31" s="64">
        <v>27.3</v>
      </c>
      <c r="E31" s="64">
        <v>6.71</v>
      </c>
      <c r="F31" s="64">
        <v>3.73</v>
      </c>
      <c r="G31" s="64">
        <v>100.01</v>
      </c>
      <c r="H31" s="64">
        <v>3.7</v>
      </c>
      <c r="I31" s="64">
        <v>4.83</v>
      </c>
      <c r="J31" s="64">
        <v>0.64</v>
      </c>
      <c r="K31" s="64">
        <v>352.24</v>
      </c>
      <c r="L31" s="64">
        <v>14.88</v>
      </c>
      <c r="M31" s="64">
        <v>78.180000000000007</v>
      </c>
      <c r="N31" s="64">
        <v>25.9</v>
      </c>
      <c r="O31" s="64">
        <v>0</v>
      </c>
      <c r="P31" s="64">
        <v>0.88</v>
      </c>
      <c r="Q31" s="64">
        <v>9.6300000000000008</v>
      </c>
      <c r="R31" s="196"/>
      <c r="S31" s="196"/>
      <c r="T31" s="196"/>
      <c r="U31" s="196"/>
    </row>
    <row r="32" spans="1:21" s="12" customFormat="1" x14ac:dyDescent="0.25">
      <c r="A32" s="211" t="s">
        <v>1612</v>
      </c>
      <c r="B32" s="64">
        <v>18.79</v>
      </c>
      <c r="C32" s="64">
        <v>26.48</v>
      </c>
      <c r="D32" s="64">
        <v>27.53</v>
      </c>
      <c r="E32" s="64">
        <v>6.59</v>
      </c>
      <c r="F32" s="64">
        <v>4.21</v>
      </c>
      <c r="G32" s="64">
        <v>103.37</v>
      </c>
      <c r="H32" s="64">
        <v>2.58</v>
      </c>
      <c r="I32" s="64">
        <v>4.91</v>
      </c>
      <c r="J32" s="64">
        <v>0.61</v>
      </c>
      <c r="K32" s="64">
        <v>339.24</v>
      </c>
      <c r="L32" s="64">
        <v>14.75</v>
      </c>
      <c r="M32" s="64">
        <v>78.13</v>
      </c>
      <c r="N32" s="64">
        <v>25.8</v>
      </c>
      <c r="O32" s="64">
        <v>0</v>
      </c>
      <c r="P32" s="64">
        <v>0.88</v>
      </c>
      <c r="Q32" s="64">
        <v>9.64</v>
      </c>
      <c r="R32" s="196"/>
      <c r="S32" s="196"/>
      <c r="T32" s="196"/>
      <c r="U32" s="196"/>
    </row>
    <row r="33" spans="1:21" s="12" customFormat="1" x14ac:dyDescent="0.25">
      <c r="A33" s="211" t="s">
        <v>1613</v>
      </c>
      <c r="B33" s="64">
        <v>18.739999999999998</v>
      </c>
      <c r="C33" s="64">
        <v>26.74</v>
      </c>
      <c r="D33" s="64">
        <v>27.62</v>
      </c>
      <c r="E33" s="64">
        <v>6.59</v>
      </c>
      <c r="F33" s="64">
        <v>4.2</v>
      </c>
      <c r="G33" s="64">
        <v>113.17</v>
      </c>
      <c r="H33" s="64">
        <v>0.44</v>
      </c>
      <c r="I33" s="64">
        <v>4.88</v>
      </c>
      <c r="J33" s="64">
        <v>0.39</v>
      </c>
      <c r="K33" s="64">
        <v>331.33</v>
      </c>
      <c r="L33" s="64">
        <v>14.53</v>
      </c>
      <c r="M33" s="64">
        <v>79.31</v>
      </c>
      <c r="N33" s="64">
        <v>27.4</v>
      </c>
      <c r="O33" s="64">
        <v>0</v>
      </c>
      <c r="P33" s="64">
        <v>0.88</v>
      </c>
      <c r="Q33" s="64">
        <v>9.6300000000000008</v>
      </c>
      <c r="R33" s="196"/>
      <c r="S33" s="196"/>
      <c r="T33" s="196"/>
      <c r="U33" s="196"/>
    </row>
    <row r="34" spans="1:21" s="12" customFormat="1" x14ac:dyDescent="0.25">
      <c r="A34" s="211" t="s">
        <v>1614</v>
      </c>
      <c r="B34" s="64">
        <v>18.87</v>
      </c>
      <c r="C34" s="64">
        <v>27.2</v>
      </c>
      <c r="D34" s="64">
        <v>27.96</v>
      </c>
      <c r="E34" s="64">
        <v>6.74</v>
      </c>
      <c r="F34" s="64">
        <v>4.1100000000000003</v>
      </c>
      <c r="G34" s="64">
        <v>113.17</v>
      </c>
      <c r="H34" s="64">
        <v>0.44</v>
      </c>
      <c r="I34" s="64">
        <v>4.82</v>
      </c>
      <c r="J34" s="64">
        <v>0.71</v>
      </c>
      <c r="K34" s="64">
        <v>339.73</v>
      </c>
      <c r="L34" s="64">
        <v>14.46</v>
      </c>
      <c r="M34" s="64">
        <v>79.3</v>
      </c>
      <c r="N34" s="64">
        <v>32.799999999999997</v>
      </c>
      <c r="O34" s="64">
        <v>0</v>
      </c>
      <c r="P34" s="64">
        <v>0.88</v>
      </c>
      <c r="Q34" s="64">
        <v>9.6300000000000008</v>
      </c>
      <c r="R34" s="196"/>
      <c r="S34" s="196"/>
      <c r="T34" s="196"/>
      <c r="U34" s="196"/>
    </row>
    <row r="35" spans="1:21" s="12" customFormat="1" x14ac:dyDescent="0.25">
      <c r="A35" s="211" t="s">
        <v>1615</v>
      </c>
      <c r="B35" s="64">
        <v>18.98</v>
      </c>
      <c r="C35" s="64">
        <v>27.82</v>
      </c>
      <c r="D35" s="64">
        <v>28.38</v>
      </c>
      <c r="E35" s="64">
        <v>6.22</v>
      </c>
      <c r="F35" s="64">
        <v>3.72</v>
      </c>
      <c r="G35" s="64">
        <v>113.17</v>
      </c>
      <c r="H35" s="64">
        <v>0.44</v>
      </c>
      <c r="I35" s="64">
        <v>4.75</v>
      </c>
      <c r="J35" s="64">
        <v>0.53</v>
      </c>
      <c r="K35" s="64">
        <v>334.52</v>
      </c>
      <c r="L35" s="64">
        <v>14.84</v>
      </c>
      <c r="M35" s="64">
        <v>76.27</v>
      </c>
      <c r="N35" s="64">
        <v>45.3</v>
      </c>
      <c r="O35" s="64">
        <v>0</v>
      </c>
      <c r="P35" s="64">
        <v>0.88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1616</v>
      </c>
      <c r="B36" s="64">
        <v>19.170000000000002</v>
      </c>
      <c r="C36" s="64">
        <v>28.63</v>
      </c>
      <c r="D36" s="64">
        <v>28.95</v>
      </c>
      <c r="E36" s="64">
        <v>6.21</v>
      </c>
      <c r="F36" s="64">
        <v>3.9</v>
      </c>
      <c r="G36" s="64">
        <v>108.77</v>
      </c>
      <c r="H36" s="64">
        <v>0.31</v>
      </c>
      <c r="I36" s="64">
        <v>4.6500000000000004</v>
      </c>
      <c r="J36" s="64">
        <v>0.16</v>
      </c>
      <c r="K36" s="64">
        <v>160.84</v>
      </c>
      <c r="L36" s="64">
        <v>15.09</v>
      </c>
      <c r="M36" s="64">
        <v>74.61</v>
      </c>
      <c r="N36" s="64">
        <v>61.2</v>
      </c>
      <c r="O36" s="64">
        <v>0</v>
      </c>
      <c r="P36" s="64">
        <v>0.88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1617</v>
      </c>
      <c r="B37" s="64">
        <v>18.53</v>
      </c>
      <c r="C37" s="64">
        <v>29.1</v>
      </c>
      <c r="D37" s="64">
        <v>28.69</v>
      </c>
      <c r="E37" s="64">
        <v>6.63</v>
      </c>
      <c r="F37" s="64">
        <v>3.89</v>
      </c>
      <c r="G37" s="64">
        <v>95.94</v>
      </c>
      <c r="H37" s="64">
        <v>0.06</v>
      </c>
      <c r="I37" s="64">
        <v>4.54</v>
      </c>
      <c r="J37" s="64">
        <v>0.44</v>
      </c>
      <c r="K37" s="64">
        <v>125.84</v>
      </c>
      <c r="L37" s="64">
        <v>15.54</v>
      </c>
      <c r="M37" s="64">
        <v>73.33</v>
      </c>
      <c r="N37" s="64">
        <v>82</v>
      </c>
      <c r="O37" s="64">
        <v>0</v>
      </c>
      <c r="P37" s="64">
        <v>0.77</v>
      </c>
      <c r="Q37" s="64">
        <v>9.64</v>
      </c>
      <c r="R37" s="196"/>
      <c r="S37" s="196"/>
      <c r="T37" s="196"/>
      <c r="U37" s="196"/>
    </row>
    <row r="38" spans="1:21" s="12" customFormat="1" x14ac:dyDescent="0.25">
      <c r="A38" s="211" t="s">
        <v>1618</v>
      </c>
      <c r="B38" s="64">
        <v>17.8</v>
      </c>
      <c r="C38" s="64">
        <v>29.57</v>
      </c>
      <c r="D38" s="64">
        <v>28.35</v>
      </c>
      <c r="E38" s="64">
        <v>6.5</v>
      </c>
      <c r="F38" s="64">
        <v>4.09</v>
      </c>
      <c r="G38" s="64">
        <v>95.94</v>
      </c>
      <c r="H38" s="64">
        <v>0.06</v>
      </c>
      <c r="I38" s="64">
        <v>4.4800000000000004</v>
      </c>
      <c r="J38" s="64">
        <v>0.41</v>
      </c>
      <c r="K38" s="64">
        <v>111.78</v>
      </c>
      <c r="L38" s="64">
        <v>16.48</v>
      </c>
      <c r="M38" s="64">
        <v>70.16</v>
      </c>
      <c r="N38" s="64">
        <v>148.69999999999999</v>
      </c>
      <c r="O38" s="64">
        <v>0</v>
      </c>
      <c r="P38" s="64">
        <v>0.81</v>
      </c>
      <c r="Q38" s="64">
        <v>9.65</v>
      </c>
      <c r="R38" s="196"/>
      <c r="S38" s="196"/>
      <c r="T38" s="196"/>
      <c r="U38" s="196"/>
    </row>
    <row r="39" spans="1:21" s="12" customFormat="1" x14ac:dyDescent="0.25">
      <c r="A39" s="211" t="s">
        <v>1619</v>
      </c>
      <c r="B39" s="64">
        <v>17.29</v>
      </c>
      <c r="C39" s="64">
        <v>29.59</v>
      </c>
      <c r="D39" s="64">
        <v>27.95</v>
      </c>
      <c r="E39" s="64">
        <v>5.73</v>
      </c>
      <c r="F39" s="64">
        <v>3.77</v>
      </c>
      <c r="G39" s="64">
        <v>95.94</v>
      </c>
      <c r="H39" s="64">
        <v>0.06</v>
      </c>
      <c r="I39" s="64">
        <v>4.4400000000000004</v>
      </c>
      <c r="J39" s="64">
        <v>0.99</v>
      </c>
      <c r="K39" s="64">
        <v>123.96</v>
      </c>
      <c r="L39" s="64">
        <v>17.850000000000001</v>
      </c>
      <c r="M39" s="64">
        <v>64.77</v>
      </c>
      <c r="N39" s="64">
        <v>206.5</v>
      </c>
      <c r="O39" s="64">
        <v>0</v>
      </c>
      <c r="P39" s="64">
        <v>0.81</v>
      </c>
      <c r="Q39" s="64">
        <v>9.6300000000000008</v>
      </c>
      <c r="R39" s="196"/>
      <c r="S39" s="196"/>
      <c r="T39" s="196"/>
      <c r="U39" s="196"/>
    </row>
    <row r="40" spans="1:21" s="12" customFormat="1" x14ac:dyDescent="0.25">
      <c r="A40" s="211" t="s">
        <v>1620</v>
      </c>
      <c r="B40" s="64">
        <v>16.649999999999999</v>
      </c>
      <c r="C40" s="64">
        <v>28.14</v>
      </c>
      <c r="D40" s="64">
        <v>26.67</v>
      </c>
      <c r="E40" s="64">
        <v>6.92</v>
      </c>
      <c r="F40" s="64">
        <v>3.92</v>
      </c>
      <c r="G40" s="64">
        <v>94.5</v>
      </c>
      <c r="H40" s="64">
        <v>22.28</v>
      </c>
      <c r="I40" s="64">
        <v>4.41</v>
      </c>
      <c r="J40" s="64">
        <v>0.41</v>
      </c>
      <c r="K40" s="64">
        <v>93.98</v>
      </c>
      <c r="L40" s="64">
        <v>19.350000000000001</v>
      </c>
      <c r="M40" s="64">
        <v>59.98</v>
      </c>
      <c r="N40" s="64">
        <v>253</v>
      </c>
      <c r="O40" s="64">
        <v>0</v>
      </c>
      <c r="P40" s="64">
        <v>0.8</v>
      </c>
      <c r="Q40" s="64">
        <v>9.64</v>
      </c>
      <c r="R40" s="196"/>
      <c r="S40" s="196"/>
      <c r="T40" s="196"/>
      <c r="U40" s="196"/>
    </row>
    <row r="41" spans="1:21" s="12" customFormat="1" x14ac:dyDescent="0.25">
      <c r="A41" s="211" t="s">
        <v>1621</v>
      </c>
      <c r="B41" s="64">
        <v>16.28</v>
      </c>
      <c r="C41" s="64">
        <v>28.23</v>
      </c>
      <c r="D41" s="64">
        <v>26.43</v>
      </c>
      <c r="E41" s="64">
        <v>5.79</v>
      </c>
      <c r="F41" s="64">
        <v>3.61</v>
      </c>
      <c r="G41" s="64">
        <v>90.31</v>
      </c>
      <c r="H41" s="209" t="s">
        <v>42</v>
      </c>
      <c r="I41" s="64">
        <v>4.42</v>
      </c>
      <c r="J41" s="64">
        <v>0.53</v>
      </c>
      <c r="K41" s="64">
        <v>116.49</v>
      </c>
      <c r="L41" s="64">
        <v>19.760000000000002</v>
      </c>
      <c r="M41" s="64">
        <v>58.78</v>
      </c>
      <c r="N41" s="64">
        <v>295</v>
      </c>
      <c r="O41" s="64">
        <v>0</v>
      </c>
      <c r="P41" s="64">
        <v>0.8</v>
      </c>
      <c r="Q41" s="64">
        <v>9.64</v>
      </c>
      <c r="R41" s="196"/>
      <c r="S41" s="196"/>
      <c r="T41" s="196"/>
      <c r="U41" s="196"/>
    </row>
    <row r="42" spans="1:21" s="12" customFormat="1" x14ac:dyDescent="0.25">
      <c r="A42" s="211" t="s">
        <v>1622</v>
      </c>
      <c r="B42" s="64">
        <v>15.84</v>
      </c>
      <c r="C42" s="64">
        <v>28.12</v>
      </c>
      <c r="D42" s="64">
        <v>26.02</v>
      </c>
      <c r="E42" s="64">
        <v>5.97</v>
      </c>
      <c r="F42" s="64">
        <v>3.65</v>
      </c>
      <c r="G42" s="64">
        <v>90.31</v>
      </c>
      <c r="H42" s="209" t="s">
        <v>42</v>
      </c>
      <c r="I42" s="64">
        <v>4.5199999999999996</v>
      </c>
      <c r="J42" s="64">
        <v>0.73</v>
      </c>
      <c r="K42" s="64">
        <v>105.47</v>
      </c>
      <c r="L42" s="64">
        <v>20.85</v>
      </c>
      <c r="M42" s="64">
        <v>54.71</v>
      </c>
      <c r="N42" s="64">
        <v>340.7</v>
      </c>
      <c r="O42" s="64">
        <v>0</v>
      </c>
      <c r="P42" s="64">
        <v>0.78</v>
      </c>
      <c r="Q42" s="64">
        <v>9.64</v>
      </c>
      <c r="R42" s="196"/>
      <c r="S42" s="196"/>
      <c r="T42" s="196"/>
      <c r="U42" s="196"/>
    </row>
    <row r="43" spans="1:21" s="12" customFormat="1" x14ac:dyDescent="0.25">
      <c r="A43" s="211" t="s">
        <v>1623</v>
      </c>
      <c r="B43" s="64">
        <v>15.08</v>
      </c>
      <c r="C43" s="64">
        <v>27.79</v>
      </c>
      <c r="D43" s="64">
        <v>25.24</v>
      </c>
      <c r="E43" s="64">
        <v>6.3</v>
      </c>
      <c r="F43" s="64">
        <v>4.2300000000000004</v>
      </c>
      <c r="G43" s="64">
        <v>90.31</v>
      </c>
      <c r="H43" s="209" t="s">
        <v>42</v>
      </c>
      <c r="I43" s="64">
        <v>4.49</v>
      </c>
      <c r="J43" s="64">
        <v>1.24</v>
      </c>
      <c r="K43" s="64">
        <v>119.44</v>
      </c>
      <c r="L43" s="64">
        <v>20.58</v>
      </c>
      <c r="M43" s="64">
        <v>55.28</v>
      </c>
      <c r="N43" s="64">
        <v>384.8</v>
      </c>
      <c r="O43" s="64">
        <v>0</v>
      </c>
      <c r="P43" s="64">
        <v>0.74</v>
      </c>
      <c r="Q43" s="64">
        <v>9.6300000000000008</v>
      </c>
      <c r="R43" s="196"/>
      <c r="S43" s="196"/>
      <c r="T43" s="196"/>
      <c r="U43" s="196"/>
    </row>
    <row r="44" spans="1:21" s="12" customFormat="1" x14ac:dyDescent="0.25">
      <c r="A44" s="211" t="s">
        <v>1624</v>
      </c>
      <c r="B44" s="64">
        <v>14.18</v>
      </c>
      <c r="C44" s="64">
        <v>27.45</v>
      </c>
      <c r="D44" s="64">
        <v>24.34</v>
      </c>
      <c r="E44" s="64">
        <v>6.08</v>
      </c>
      <c r="F44" s="64">
        <v>3.59</v>
      </c>
      <c r="G44" s="64">
        <v>89.41</v>
      </c>
      <c r="H44" s="64">
        <v>73.239999999999995</v>
      </c>
      <c r="I44" s="64">
        <v>4.58</v>
      </c>
      <c r="J44" s="64">
        <v>0.98</v>
      </c>
      <c r="K44" s="64">
        <v>109.84</v>
      </c>
      <c r="L44" s="64">
        <v>21.93</v>
      </c>
      <c r="M44" s="64">
        <v>52.22</v>
      </c>
      <c r="N44" s="64">
        <v>420.2</v>
      </c>
      <c r="O44" s="64">
        <v>0</v>
      </c>
      <c r="P44" s="64">
        <v>0.77</v>
      </c>
      <c r="Q44" s="64">
        <v>9.61</v>
      </c>
      <c r="R44" s="196"/>
      <c r="S44" s="196"/>
      <c r="T44" s="196"/>
      <c r="U44" s="196"/>
    </row>
    <row r="45" spans="1:21" s="12" customFormat="1" x14ac:dyDescent="0.25">
      <c r="A45" s="211" t="s">
        <v>1625</v>
      </c>
      <c r="B45" s="64">
        <v>13.23</v>
      </c>
      <c r="C45" s="64">
        <v>27.18</v>
      </c>
      <c r="D45" s="64">
        <v>23.43</v>
      </c>
      <c r="E45" s="64">
        <v>6.05</v>
      </c>
      <c r="F45" s="64">
        <v>3.7</v>
      </c>
      <c r="G45" s="64">
        <v>86.81</v>
      </c>
      <c r="H45" s="64">
        <v>0.72</v>
      </c>
      <c r="I45" s="64">
        <v>4.8</v>
      </c>
      <c r="J45" s="64">
        <v>0.88</v>
      </c>
      <c r="K45" s="64">
        <v>113.14</v>
      </c>
      <c r="L45" s="64">
        <v>21.84</v>
      </c>
      <c r="M45" s="64">
        <v>52.56</v>
      </c>
      <c r="N45" s="64">
        <v>455.5</v>
      </c>
      <c r="O45" s="64">
        <v>0</v>
      </c>
      <c r="P45" s="64">
        <v>0.74</v>
      </c>
      <c r="Q45" s="64">
        <v>9.6300000000000008</v>
      </c>
      <c r="R45" s="196"/>
      <c r="S45" s="196"/>
      <c r="T45" s="196"/>
      <c r="U45" s="196"/>
    </row>
    <row r="46" spans="1:21" s="12" customFormat="1" x14ac:dyDescent="0.25">
      <c r="A46" s="211" t="s">
        <v>1626</v>
      </c>
      <c r="B46" s="64">
        <v>12.39</v>
      </c>
      <c r="C46" s="64">
        <v>27.01</v>
      </c>
      <c r="D46" s="64">
        <v>22.67</v>
      </c>
      <c r="E46" s="64">
        <v>5.86</v>
      </c>
      <c r="F46" s="64">
        <v>4.0199999999999996</v>
      </c>
      <c r="G46" s="64">
        <v>86.81</v>
      </c>
      <c r="H46" s="64">
        <v>0.72</v>
      </c>
      <c r="I46" s="64">
        <v>5.18</v>
      </c>
      <c r="J46" s="64">
        <v>1.67</v>
      </c>
      <c r="K46" s="64">
        <v>117.98</v>
      </c>
      <c r="L46" s="64">
        <v>21.8</v>
      </c>
      <c r="M46" s="64">
        <v>52.75</v>
      </c>
      <c r="N46" s="64">
        <v>483.6</v>
      </c>
      <c r="O46" s="64">
        <v>0</v>
      </c>
      <c r="P46" s="64">
        <v>0.75</v>
      </c>
      <c r="Q46" s="64">
        <v>9.6300000000000008</v>
      </c>
      <c r="R46" s="196"/>
      <c r="S46" s="196"/>
      <c r="T46" s="196"/>
      <c r="U46" s="196"/>
    </row>
    <row r="47" spans="1:21" s="12" customFormat="1" x14ac:dyDescent="0.25">
      <c r="A47" s="211" t="s">
        <v>1627</v>
      </c>
      <c r="B47" s="64">
        <v>11.72</v>
      </c>
      <c r="C47" s="64">
        <v>28.03</v>
      </c>
      <c r="D47" s="64">
        <v>22.66</v>
      </c>
      <c r="E47" s="64">
        <v>5.84</v>
      </c>
      <c r="F47" s="64">
        <v>4.49</v>
      </c>
      <c r="G47" s="64">
        <v>86.81</v>
      </c>
      <c r="H47" s="64">
        <v>0.72</v>
      </c>
      <c r="I47" s="64">
        <v>5.53</v>
      </c>
      <c r="J47" s="64">
        <v>0.66</v>
      </c>
      <c r="K47" s="64">
        <v>348.05</v>
      </c>
      <c r="L47" s="64">
        <v>24.39</v>
      </c>
      <c r="M47" s="64">
        <v>44.89</v>
      </c>
      <c r="N47" s="64">
        <v>499.5</v>
      </c>
      <c r="O47" s="64">
        <v>0</v>
      </c>
      <c r="P47" s="64">
        <v>0.74</v>
      </c>
      <c r="Q47" s="64">
        <v>9.6199999999999992</v>
      </c>
      <c r="R47" s="196"/>
      <c r="S47" s="196"/>
      <c r="T47" s="196"/>
      <c r="U47" s="196"/>
    </row>
    <row r="48" spans="1:21" s="12" customFormat="1" x14ac:dyDescent="0.25">
      <c r="A48" s="211" t="s">
        <v>1628</v>
      </c>
      <c r="B48" s="64">
        <v>11.88</v>
      </c>
      <c r="C48" s="64">
        <v>29.94</v>
      </c>
      <c r="D48" s="64">
        <v>23.79</v>
      </c>
      <c r="E48" s="64">
        <v>6.29</v>
      </c>
      <c r="F48" s="64">
        <v>3.83</v>
      </c>
      <c r="G48" s="64">
        <v>85.46</v>
      </c>
      <c r="H48" s="64">
        <v>13.08</v>
      </c>
      <c r="I48" s="64">
        <v>5.91</v>
      </c>
      <c r="J48" s="64">
        <v>0.41</v>
      </c>
      <c r="K48" s="64">
        <v>354.37</v>
      </c>
      <c r="L48" s="64">
        <v>25.55</v>
      </c>
      <c r="M48" s="64">
        <v>40.35</v>
      </c>
      <c r="N48" s="64">
        <v>546.70000000000005</v>
      </c>
      <c r="O48" s="64">
        <v>0</v>
      </c>
      <c r="P48" s="64">
        <v>0.75</v>
      </c>
      <c r="Q48" s="64">
        <v>9.6300000000000008</v>
      </c>
      <c r="R48" s="196"/>
      <c r="S48" s="196"/>
      <c r="T48" s="196"/>
      <c r="U48" s="196"/>
    </row>
    <row r="49" spans="1:21" s="12" customFormat="1" x14ac:dyDescent="0.25">
      <c r="A49" s="211" t="s">
        <v>1629</v>
      </c>
      <c r="B49" s="64">
        <v>11.51</v>
      </c>
      <c r="C49" s="64">
        <v>31.53</v>
      </c>
      <c r="D49" s="64">
        <v>24.33</v>
      </c>
      <c r="E49" s="64">
        <v>6.01</v>
      </c>
      <c r="F49" s="64">
        <v>4.0599999999999996</v>
      </c>
      <c r="G49" s="64">
        <v>81.53</v>
      </c>
      <c r="H49" s="64">
        <v>36.72</v>
      </c>
      <c r="I49" s="64">
        <v>6.26</v>
      </c>
      <c r="J49" s="64">
        <v>0.72</v>
      </c>
      <c r="K49" s="64">
        <v>103.54</v>
      </c>
      <c r="L49" s="64">
        <v>24.5</v>
      </c>
      <c r="M49" s="64">
        <v>41.25</v>
      </c>
      <c r="N49" s="64">
        <v>593</v>
      </c>
      <c r="O49" s="64">
        <v>0</v>
      </c>
      <c r="P49" s="64">
        <v>0.74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1630</v>
      </c>
      <c r="B50" s="64">
        <v>11.12</v>
      </c>
      <c r="C50" s="64">
        <v>32.82</v>
      </c>
      <c r="D50" s="64">
        <v>24.69</v>
      </c>
      <c r="E50" s="64">
        <v>6.14</v>
      </c>
      <c r="F50" s="64">
        <v>4.07</v>
      </c>
      <c r="G50" s="64">
        <v>81.53</v>
      </c>
      <c r="H50" s="64">
        <v>36.72</v>
      </c>
      <c r="I50" s="64">
        <v>6.34</v>
      </c>
      <c r="J50" s="64">
        <v>1.33</v>
      </c>
      <c r="K50" s="64">
        <v>119.68</v>
      </c>
      <c r="L50" s="64">
        <v>24.25</v>
      </c>
      <c r="M50" s="64">
        <v>40.729999999999997</v>
      </c>
      <c r="N50" s="64">
        <v>630.79999999999995</v>
      </c>
      <c r="O50" s="64">
        <v>0</v>
      </c>
      <c r="P50" s="64">
        <v>0.72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1631</v>
      </c>
      <c r="B51" s="64">
        <v>10.23</v>
      </c>
      <c r="C51" s="64">
        <v>33.869999999999997</v>
      </c>
      <c r="D51" s="64">
        <v>24.53</v>
      </c>
      <c r="E51" s="64">
        <v>6.28</v>
      </c>
      <c r="F51" s="64">
        <v>4.4000000000000004</v>
      </c>
      <c r="G51" s="64">
        <v>81.53</v>
      </c>
      <c r="H51" s="64">
        <v>36.72</v>
      </c>
      <c r="I51" s="64">
        <v>6.31</v>
      </c>
      <c r="J51" s="64">
        <v>1.32</v>
      </c>
      <c r="K51" s="64">
        <v>112.97</v>
      </c>
      <c r="L51" s="64">
        <v>23.75</v>
      </c>
      <c r="M51" s="64">
        <v>41.08</v>
      </c>
      <c r="N51" s="64">
        <v>658.3</v>
      </c>
      <c r="O51" s="64">
        <v>0</v>
      </c>
      <c r="P51" s="64">
        <v>0.71</v>
      </c>
      <c r="Q51" s="64">
        <v>9.65</v>
      </c>
      <c r="R51" s="196"/>
      <c r="S51" s="196"/>
      <c r="T51" s="196"/>
      <c r="U51" s="196"/>
    </row>
    <row r="52" spans="1:21" s="12" customFormat="1" x14ac:dyDescent="0.25">
      <c r="A52" s="211" t="s">
        <v>1632</v>
      </c>
      <c r="B52" s="64">
        <v>9.42</v>
      </c>
      <c r="C52" s="64">
        <v>34.86</v>
      </c>
      <c r="D52" s="64">
        <v>24.39</v>
      </c>
      <c r="E52" s="64">
        <v>6.24</v>
      </c>
      <c r="F52" s="64">
        <v>4.03</v>
      </c>
      <c r="G52" s="64">
        <v>78.790000000000006</v>
      </c>
      <c r="H52" s="64">
        <v>24.62</v>
      </c>
      <c r="I52" s="64">
        <v>6.43</v>
      </c>
      <c r="J52" s="64">
        <v>0.17</v>
      </c>
      <c r="K52" s="64">
        <v>55.22</v>
      </c>
      <c r="L52" s="64">
        <v>25.65</v>
      </c>
      <c r="M52" s="64">
        <v>36.43</v>
      </c>
      <c r="N52" s="64">
        <v>657.3</v>
      </c>
      <c r="O52" s="64">
        <v>0</v>
      </c>
      <c r="P52" s="64">
        <v>0.7</v>
      </c>
      <c r="Q52" s="64">
        <v>9.6300000000000008</v>
      </c>
      <c r="R52" s="196"/>
      <c r="S52" s="196"/>
      <c r="T52" s="196"/>
      <c r="U52" s="196"/>
    </row>
    <row r="53" spans="1:21" s="12" customFormat="1" x14ac:dyDescent="0.25">
      <c r="A53" s="211" t="s">
        <v>1633</v>
      </c>
      <c r="B53" s="64">
        <v>8.73</v>
      </c>
      <c r="C53" s="64">
        <v>35.54</v>
      </c>
      <c r="D53" s="64">
        <v>24.2</v>
      </c>
      <c r="E53" s="64">
        <v>6.11</v>
      </c>
      <c r="F53" s="64">
        <v>4.09</v>
      </c>
      <c r="G53" s="64">
        <v>70.790000000000006</v>
      </c>
      <c r="H53" s="64">
        <v>12.47</v>
      </c>
      <c r="I53" s="64">
        <v>6.59</v>
      </c>
      <c r="J53" s="64">
        <v>1.42</v>
      </c>
      <c r="K53" s="64">
        <v>117.76</v>
      </c>
      <c r="L53" s="64">
        <v>24.61</v>
      </c>
      <c r="M53" s="64">
        <v>37.950000000000003</v>
      </c>
      <c r="N53" s="64">
        <v>701.4</v>
      </c>
      <c r="O53" s="64">
        <v>0</v>
      </c>
      <c r="P53" s="64">
        <v>0.69</v>
      </c>
      <c r="Q53" s="64">
        <v>9.64</v>
      </c>
      <c r="R53" s="196"/>
      <c r="S53" s="196"/>
      <c r="T53" s="196"/>
      <c r="U53" s="196"/>
    </row>
    <row r="54" spans="1:21" s="12" customFormat="1" x14ac:dyDescent="0.25">
      <c r="A54" s="211" t="s">
        <v>1634</v>
      </c>
      <c r="B54" s="64">
        <v>7.86</v>
      </c>
      <c r="C54" s="64">
        <v>35.950000000000003</v>
      </c>
      <c r="D54" s="64">
        <v>23.71</v>
      </c>
      <c r="E54" s="64">
        <v>5.82</v>
      </c>
      <c r="F54" s="64">
        <v>4.1500000000000004</v>
      </c>
      <c r="G54" s="64">
        <v>70.790000000000006</v>
      </c>
      <c r="H54" s="64">
        <v>12.47</v>
      </c>
      <c r="I54" s="64">
        <v>6.57</v>
      </c>
      <c r="J54" s="64">
        <v>1.39</v>
      </c>
      <c r="K54" s="64">
        <v>339.02</v>
      </c>
      <c r="L54" s="64">
        <v>27.64</v>
      </c>
      <c r="M54" s="64">
        <v>32.26</v>
      </c>
      <c r="N54" s="64">
        <v>662.5</v>
      </c>
      <c r="O54" s="64">
        <v>0</v>
      </c>
      <c r="P54" s="64">
        <v>0.67</v>
      </c>
      <c r="Q54" s="64">
        <v>9.64</v>
      </c>
      <c r="R54" s="196"/>
      <c r="S54" s="196"/>
      <c r="T54" s="196"/>
      <c r="U54" s="196"/>
    </row>
    <row r="55" spans="1:21" s="12" customFormat="1" x14ac:dyDescent="0.25">
      <c r="A55" s="211" t="s">
        <v>1635</v>
      </c>
      <c r="B55" s="64">
        <v>7.27</v>
      </c>
      <c r="C55" s="64">
        <v>36.81</v>
      </c>
      <c r="D55" s="64">
        <v>23.68</v>
      </c>
      <c r="E55" s="64">
        <v>6.17</v>
      </c>
      <c r="F55" s="64">
        <v>4.63</v>
      </c>
      <c r="G55" s="64">
        <v>70.790000000000006</v>
      </c>
      <c r="H55" s="64">
        <v>15.47</v>
      </c>
      <c r="I55" s="64">
        <v>6.97</v>
      </c>
      <c r="J55" s="64">
        <v>1.53</v>
      </c>
      <c r="K55" s="64">
        <v>335.63</v>
      </c>
      <c r="L55" s="64">
        <v>29.47</v>
      </c>
      <c r="M55" s="64">
        <v>28.52</v>
      </c>
      <c r="N55" s="64">
        <v>657.2</v>
      </c>
      <c r="O55" s="64">
        <v>0</v>
      </c>
      <c r="P55" s="64">
        <v>0.66</v>
      </c>
      <c r="Q55" s="64">
        <v>9.64</v>
      </c>
      <c r="R55" s="196"/>
      <c r="S55" s="196"/>
      <c r="T55" s="196"/>
      <c r="U55" s="196"/>
    </row>
    <row r="56" spans="1:21" s="12" customFormat="1" x14ac:dyDescent="0.25">
      <c r="A56" s="211" t="s">
        <v>1636</v>
      </c>
      <c r="B56" s="64">
        <v>6.82</v>
      </c>
      <c r="C56" s="64">
        <v>36.83</v>
      </c>
      <c r="D56" s="64">
        <v>23.34</v>
      </c>
      <c r="E56" s="64">
        <v>5.77</v>
      </c>
      <c r="F56" s="64">
        <v>4.3099999999999996</v>
      </c>
      <c r="G56" s="64">
        <v>70.59</v>
      </c>
      <c r="H56" s="64">
        <v>15.19</v>
      </c>
      <c r="I56" s="64">
        <v>7.06</v>
      </c>
      <c r="J56" s="64">
        <v>1.34</v>
      </c>
      <c r="K56" s="64">
        <v>340.02</v>
      </c>
      <c r="L56" s="64">
        <v>29.71</v>
      </c>
      <c r="M56" s="64">
        <v>29.32</v>
      </c>
      <c r="N56" s="64">
        <v>642.29999999999995</v>
      </c>
      <c r="O56" s="64">
        <v>0</v>
      </c>
      <c r="P56" s="64">
        <v>0.65</v>
      </c>
      <c r="Q56" s="64">
        <v>9.6199999999999992</v>
      </c>
      <c r="R56" s="196"/>
      <c r="S56" s="196"/>
      <c r="T56" s="196"/>
      <c r="U56" s="196"/>
    </row>
    <row r="57" spans="1:21" s="12" customFormat="1" x14ac:dyDescent="0.25">
      <c r="A57" s="211" t="s">
        <v>1637</v>
      </c>
      <c r="B57" s="64">
        <v>6.54</v>
      </c>
      <c r="C57" s="64">
        <v>35.729999999999997</v>
      </c>
      <c r="D57" s="64">
        <v>22.54</v>
      </c>
      <c r="E57" s="64">
        <v>5.26</v>
      </c>
      <c r="F57" s="64">
        <v>4.88</v>
      </c>
      <c r="G57" s="64">
        <v>69.98</v>
      </c>
      <c r="H57" s="64">
        <v>14.09</v>
      </c>
      <c r="I57" s="64">
        <v>6.8</v>
      </c>
      <c r="J57" s="64">
        <v>0.73</v>
      </c>
      <c r="K57" s="64">
        <v>349.04</v>
      </c>
      <c r="L57" s="64">
        <v>28</v>
      </c>
      <c r="M57" s="64">
        <v>31.99</v>
      </c>
      <c r="N57" s="64">
        <v>612.20000000000005</v>
      </c>
      <c r="O57" s="64">
        <v>0</v>
      </c>
      <c r="P57" s="64">
        <v>0.64</v>
      </c>
      <c r="Q57" s="64">
        <v>9.6199999999999992</v>
      </c>
      <c r="R57" s="196"/>
      <c r="S57" s="196"/>
      <c r="T57" s="196"/>
      <c r="U57" s="196"/>
    </row>
    <row r="58" spans="1:21" s="12" customFormat="1" x14ac:dyDescent="0.25">
      <c r="A58" s="211" t="s">
        <v>1638</v>
      </c>
      <c r="B58" s="64">
        <v>6.38</v>
      </c>
      <c r="C58" s="64">
        <v>35.549999999999997</v>
      </c>
      <c r="D58" s="64">
        <v>22.31</v>
      </c>
      <c r="E58" s="64">
        <v>5.7</v>
      </c>
      <c r="F58" s="64">
        <v>4.74</v>
      </c>
      <c r="G58" s="64">
        <v>69.98</v>
      </c>
      <c r="H58" s="64">
        <v>16.09</v>
      </c>
      <c r="I58" s="64">
        <v>5.44</v>
      </c>
      <c r="J58" s="64">
        <v>1.63</v>
      </c>
      <c r="K58" s="64">
        <v>336.45</v>
      </c>
      <c r="L58" s="64">
        <v>29.14</v>
      </c>
      <c r="M58" s="64">
        <v>28.9</v>
      </c>
      <c r="N58" s="64">
        <v>596.4</v>
      </c>
      <c r="O58" s="64">
        <v>0</v>
      </c>
      <c r="P58" s="64">
        <v>0.66</v>
      </c>
      <c r="Q58" s="64">
        <v>9.6300000000000008</v>
      </c>
      <c r="R58" s="196"/>
      <c r="S58" s="196"/>
      <c r="T58" s="196"/>
      <c r="U58" s="196"/>
    </row>
    <row r="59" spans="1:21" s="12" customFormat="1" x14ac:dyDescent="0.25">
      <c r="A59" s="211" t="s">
        <v>1639</v>
      </c>
      <c r="B59" s="64">
        <v>6.04</v>
      </c>
      <c r="C59" s="64">
        <v>35.450000000000003</v>
      </c>
      <c r="D59" s="64">
        <v>21.99</v>
      </c>
      <c r="E59" s="64">
        <v>5.57</v>
      </c>
      <c r="F59" s="64">
        <v>4.8099999999999996</v>
      </c>
      <c r="G59" s="64">
        <v>69.98</v>
      </c>
      <c r="H59" s="64">
        <v>16.09</v>
      </c>
      <c r="I59" s="64">
        <v>5</v>
      </c>
      <c r="J59" s="64">
        <v>1.0900000000000001</v>
      </c>
      <c r="K59" s="64">
        <v>333.77</v>
      </c>
      <c r="L59" s="64">
        <v>29.04</v>
      </c>
      <c r="M59" s="64">
        <v>28.79</v>
      </c>
      <c r="N59" s="64">
        <v>577.20000000000005</v>
      </c>
      <c r="O59" s="64">
        <v>0</v>
      </c>
      <c r="P59" s="64">
        <v>0.63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1640</v>
      </c>
      <c r="B60" s="64">
        <v>5.59</v>
      </c>
      <c r="C60" s="64">
        <v>34.700000000000003</v>
      </c>
      <c r="D60" s="64">
        <v>21.24</v>
      </c>
      <c r="E60" s="64">
        <v>5.49</v>
      </c>
      <c r="F60" s="64">
        <v>5.18</v>
      </c>
      <c r="G60" s="64">
        <v>70.709999999999994</v>
      </c>
      <c r="H60" s="64">
        <v>12.06</v>
      </c>
      <c r="I60" s="64">
        <v>5.57</v>
      </c>
      <c r="J60" s="64">
        <v>0.38</v>
      </c>
      <c r="K60" s="64">
        <v>64.760000000000005</v>
      </c>
      <c r="L60" s="64">
        <v>26.76</v>
      </c>
      <c r="M60" s="64">
        <v>32.35</v>
      </c>
      <c r="N60" s="64">
        <v>556.4</v>
      </c>
      <c r="O60" s="64">
        <v>0</v>
      </c>
      <c r="P60" s="64">
        <v>0.56999999999999995</v>
      </c>
      <c r="Q60" s="64">
        <v>9.6300000000000008</v>
      </c>
      <c r="R60" s="196"/>
      <c r="S60" s="196"/>
      <c r="T60" s="196"/>
      <c r="U60" s="196"/>
    </row>
    <row r="61" spans="1:21" s="12" customFormat="1" x14ac:dyDescent="0.25">
      <c r="A61" s="211" t="s">
        <v>1641</v>
      </c>
      <c r="B61" s="64">
        <v>5.18</v>
      </c>
      <c r="C61" s="64">
        <v>33.92</v>
      </c>
      <c r="D61" s="64">
        <v>20.5</v>
      </c>
      <c r="E61" s="64">
        <v>5.33</v>
      </c>
      <c r="F61" s="64">
        <v>7.41</v>
      </c>
      <c r="G61" s="64">
        <v>72.819999999999993</v>
      </c>
      <c r="H61" s="64">
        <v>13.01</v>
      </c>
      <c r="I61" s="64">
        <v>4.3899999999999997</v>
      </c>
      <c r="J61" s="64">
        <v>0.52</v>
      </c>
      <c r="K61" s="64">
        <v>349.78</v>
      </c>
      <c r="L61" s="64">
        <v>27.88</v>
      </c>
      <c r="M61" s="64">
        <v>30.36</v>
      </c>
      <c r="N61" s="64">
        <v>507.4</v>
      </c>
      <c r="O61" s="64">
        <v>0</v>
      </c>
      <c r="P61" s="64">
        <v>0.63</v>
      </c>
      <c r="Q61" s="64">
        <v>9.64</v>
      </c>
      <c r="R61" s="196"/>
      <c r="S61" s="196"/>
      <c r="T61" s="196"/>
      <c r="U61" s="196"/>
    </row>
    <row r="62" spans="1:21" s="12" customFormat="1" x14ac:dyDescent="0.25">
      <c r="A62" s="211" t="s">
        <v>1642</v>
      </c>
      <c r="B62" s="64">
        <v>4.9000000000000004</v>
      </c>
      <c r="C62" s="64">
        <v>33.36</v>
      </c>
      <c r="D62" s="64">
        <v>19.98</v>
      </c>
      <c r="E62" s="64">
        <v>5.25</v>
      </c>
      <c r="F62" s="64">
        <v>5.32</v>
      </c>
      <c r="G62" s="64">
        <v>72.819999999999993</v>
      </c>
      <c r="H62" s="64">
        <v>13.01</v>
      </c>
      <c r="I62" s="64">
        <v>4.3</v>
      </c>
      <c r="J62" s="64">
        <v>1.31</v>
      </c>
      <c r="K62" s="64">
        <v>340.86</v>
      </c>
      <c r="L62" s="64">
        <v>28.05</v>
      </c>
      <c r="M62" s="64">
        <v>29.88</v>
      </c>
      <c r="N62" s="64">
        <v>500.8</v>
      </c>
      <c r="O62" s="64">
        <v>0</v>
      </c>
      <c r="P62" s="64">
        <v>0.67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1643</v>
      </c>
      <c r="B63" s="64">
        <v>4.7</v>
      </c>
      <c r="C63" s="64">
        <v>33.22</v>
      </c>
      <c r="D63" s="64">
        <v>19.75</v>
      </c>
      <c r="E63" s="64">
        <v>6.36</v>
      </c>
      <c r="F63" s="64">
        <v>4.49</v>
      </c>
      <c r="G63" s="64">
        <v>72.819999999999993</v>
      </c>
      <c r="H63" s="64">
        <v>14.01</v>
      </c>
      <c r="I63" s="64">
        <v>3.92</v>
      </c>
      <c r="J63" s="64">
        <v>0.78</v>
      </c>
      <c r="K63" s="64">
        <v>339.49</v>
      </c>
      <c r="L63" s="64">
        <v>27.09</v>
      </c>
      <c r="M63" s="64">
        <v>31.39</v>
      </c>
      <c r="N63" s="64">
        <v>457.6</v>
      </c>
      <c r="O63" s="64">
        <v>0</v>
      </c>
      <c r="P63" s="64">
        <v>0.63</v>
      </c>
      <c r="Q63" s="64">
        <v>9.64</v>
      </c>
      <c r="R63" s="196"/>
      <c r="S63" s="196"/>
      <c r="T63" s="196"/>
      <c r="U63" s="196"/>
    </row>
    <row r="64" spans="1:21" s="12" customFormat="1" x14ac:dyDescent="0.25">
      <c r="A64" s="211" t="s">
        <v>1644</v>
      </c>
      <c r="B64" s="64">
        <v>4.5599999999999996</v>
      </c>
      <c r="C64" s="64">
        <v>33.5</v>
      </c>
      <c r="D64" s="64">
        <v>19.78</v>
      </c>
      <c r="E64" s="64">
        <v>6.03</v>
      </c>
      <c r="F64" s="64">
        <v>4.33</v>
      </c>
      <c r="G64" s="64">
        <v>71.430000000000007</v>
      </c>
      <c r="H64" s="64">
        <v>20.010000000000002</v>
      </c>
      <c r="I64" s="64">
        <v>4.2699999999999996</v>
      </c>
      <c r="J64" s="64">
        <v>0.7</v>
      </c>
      <c r="K64" s="64">
        <v>118.14</v>
      </c>
      <c r="L64" s="64">
        <v>25.4</v>
      </c>
      <c r="M64" s="64">
        <v>33.130000000000003</v>
      </c>
      <c r="N64" s="64">
        <v>255.3</v>
      </c>
      <c r="O64" s="64">
        <v>0</v>
      </c>
      <c r="P64" s="64">
        <v>0.68</v>
      </c>
      <c r="Q64" s="64">
        <v>9.64</v>
      </c>
      <c r="R64" s="196"/>
      <c r="S64" s="196"/>
      <c r="T64" s="196"/>
      <c r="U64" s="196"/>
    </row>
    <row r="65" spans="1:21" s="12" customFormat="1" x14ac:dyDescent="0.25">
      <c r="A65" s="211" t="s">
        <v>1645</v>
      </c>
      <c r="B65" s="64">
        <v>4.33</v>
      </c>
      <c r="C65" s="64">
        <v>33.69</v>
      </c>
      <c r="D65" s="64">
        <v>19.690000000000001</v>
      </c>
      <c r="E65" s="64">
        <v>5.96</v>
      </c>
      <c r="F65" s="64">
        <v>4.95</v>
      </c>
      <c r="G65" s="64">
        <v>67.38</v>
      </c>
      <c r="H65" s="64">
        <v>20</v>
      </c>
      <c r="I65" s="64">
        <v>5.0199999999999996</v>
      </c>
      <c r="J65" s="64">
        <v>0.38</v>
      </c>
      <c r="K65" s="64">
        <v>75.72</v>
      </c>
      <c r="L65" s="64">
        <v>25.53</v>
      </c>
      <c r="M65" s="64">
        <v>33.83</v>
      </c>
      <c r="N65" s="64">
        <v>135.5</v>
      </c>
      <c r="O65" s="64">
        <v>0</v>
      </c>
      <c r="P65" s="64">
        <v>0.66</v>
      </c>
      <c r="Q65" s="64">
        <v>9.6300000000000008</v>
      </c>
      <c r="R65" s="196"/>
      <c r="S65" s="196"/>
      <c r="T65" s="196"/>
      <c r="U65" s="196"/>
    </row>
    <row r="66" spans="1:21" s="12" customFormat="1" x14ac:dyDescent="0.25">
      <c r="A66" s="211" t="s">
        <v>1646</v>
      </c>
      <c r="B66" s="64">
        <v>4.17</v>
      </c>
      <c r="C66" s="64">
        <v>34.26</v>
      </c>
      <c r="D66" s="64">
        <v>19.87</v>
      </c>
      <c r="E66" s="64">
        <v>6.08</v>
      </c>
      <c r="F66" s="64">
        <v>4.83</v>
      </c>
      <c r="G66" s="64">
        <v>67.38</v>
      </c>
      <c r="H66" s="64">
        <v>21</v>
      </c>
      <c r="I66" s="64">
        <v>5.63</v>
      </c>
      <c r="J66" s="64">
        <v>0.63</v>
      </c>
      <c r="K66" s="64">
        <v>103.99</v>
      </c>
      <c r="L66" s="64">
        <v>24.89</v>
      </c>
      <c r="M66" s="64">
        <v>34.299999999999997</v>
      </c>
      <c r="N66" s="64">
        <v>124.6</v>
      </c>
      <c r="O66" s="64">
        <v>0</v>
      </c>
      <c r="P66" s="64">
        <v>0.62</v>
      </c>
      <c r="Q66" s="64">
        <v>9.6199999999999992</v>
      </c>
      <c r="R66" s="196"/>
      <c r="S66" s="196"/>
      <c r="T66" s="196"/>
      <c r="U66" s="196"/>
    </row>
    <row r="67" spans="1:21" s="12" customFormat="1" x14ac:dyDescent="0.25">
      <c r="A67" s="211" t="s">
        <v>1647</v>
      </c>
      <c r="B67" s="64">
        <v>4.05</v>
      </c>
      <c r="C67" s="64">
        <v>34.770000000000003</v>
      </c>
      <c r="D67" s="64">
        <v>20.04</v>
      </c>
      <c r="E67" s="64">
        <v>5.9</v>
      </c>
      <c r="F67" s="64">
        <v>5.1100000000000003</v>
      </c>
      <c r="G67" s="64">
        <v>67.38</v>
      </c>
      <c r="H67" s="64">
        <v>24.23</v>
      </c>
      <c r="I67" s="64">
        <v>5.53</v>
      </c>
      <c r="J67" s="64">
        <v>0.39</v>
      </c>
      <c r="K67" s="64">
        <v>10.58</v>
      </c>
      <c r="L67" s="64">
        <v>25.14</v>
      </c>
      <c r="M67" s="64">
        <v>33.35</v>
      </c>
      <c r="N67" s="64">
        <v>120.1</v>
      </c>
      <c r="O67" s="64">
        <v>0</v>
      </c>
      <c r="P67" s="64">
        <v>0.67</v>
      </c>
      <c r="Q67" s="64">
        <v>9.6300000000000008</v>
      </c>
      <c r="R67" s="196"/>
      <c r="S67" s="196"/>
      <c r="T67" s="196"/>
      <c r="U67" s="196"/>
    </row>
    <row r="68" spans="1:21" s="12" customFormat="1" x14ac:dyDescent="0.25">
      <c r="A68" s="211" t="s">
        <v>1648</v>
      </c>
      <c r="B68" s="64">
        <v>4.0599999999999996</v>
      </c>
      <c r="C68" s="64">
        <v>35.54</v>
      </c>
      <c r="D68" s="64">
        <v>20.45</v>
      </c>
      <c r="E68" s="64">
        <v>5.69</v>
      </c>
      <c r="F68" s="64">
        <v>5.09</v>
      </c>
      <c r="G68" s="64">
        <v>69.13</v>
      </c>
      <c r="H68" s="64">
        <v>21.65</v>
      </c>
      <c r="I68" s="64">
        <v>4.7699999999999996</v>
      </c>
      <c r="J68" s="64">
        <v>0.79</v>
      </c>
      <c r="K68" s="64">
        <v>107.86</v>
      </c>
      <c r="L68" s="64">
        <v>24.7</v>
      </c>
      <c r="M68" s="64">
        <v>34.01</v>
      </c>
      <c r="N68" s="64">
        <v>161.1</v>
      </c>
      <c r="O68" s="64">
        <v>0</v>
      </c>
      <c r="P68" s="64">
        <v>0.66</v>
      </c>
      <c r="Q68" s="64">
        <v>9.6199999999999992</v>
      </c>
      <c r="R68" s="196"/>
      <c r="S68" s="196"/>
      <c r="T68" s="196"/>
      <c r="U68" s="196"/>
    </row>
    <row r="69" spans="1:21" s="12" customFormat="1" x14ac:dyDescent="0.25">
      <c r="A69" s="211" t="s">
        <v>1649</v>
      </c>
      <c r="B69" s="64">
        <v>3.98</v>
      </c>
      <c r="C69" s="64">
        <v>36.36</v>
      </c>
      <c r="D69" s="64">
        <v>20.81</v>
      </c>
      <c r="E69" s="64">
        <v>5.93</v>
      </c>
      <c r="F69" s="64">
        <v>5.03</v>
      </c>
      <c r="G69" s="64">
        <v>74.23</v>
      </c>
      <c r="H69" s="64">
        <v>22.32</v>
      </c>
      <c r="I69" s="64">
        <v>4.6900000000000004</v>
      </c>
      <c r="J69" s="64">
        <v>1.82</v>
      </c>
      <c r="K69" s="64">
        <v>338.68</v>
      </c>
      <c r="L69" s="64">
        <v>25.04</v>
      </c>
      <c r="M69" s="64">
        <v>33.729999999999997</v>
      </c>
      <c r="N69" s="64">
        <v>100.8</v>
      </c>
      <c r="O69" s="64">
        <v>0</v>
      </c>
      <c r="P69" s="64">
        <v>0.67</v>
      </c>
      <c r="Q69" s="64">
        <v>9.6199999999999992</v>
      </c>
      <c r="R69" s="196"/>
      <c r="S69" s="196"/>
      <c r="T69" s="196"/>
      <c r="U69" s="196"/>
    </row>
    <row r="70" spans="1:21" s="12" customFormat="1" x14ac:dyDescent="0.25">
      <c r="A70" s="211" t="s">
        <v>1650</v>
      </c>
      <c r="B70" s="64">
        <v>3.96</v>
      </c>
      <c r="C70" s="64">
        <v>37.880000000000003</v>
      </c>
      <c r="D70" s="64">
        <v>21.59</v>
      </c>
      <c r="E70" s="64">
        <v>6.09</v>
      </c>
      <c r="F70" s="64">
        <v>5.4</v>
      </c>
      <c r="G70" s="64">
        <v>74.23</v>
      </c>
      <c r="H70" s="64">
        <v>24.1</v>
      </c>
      <c r="I70" s="64">
        <v>5.21</v>
      </c>
      <c r="J70" s="64">
        <v>0.67</v>
      </c>
      <c r="K70" s="64">
        <v>344.17</v>
      </c>
      <c r="L70" s="64">
        <v>24.79</v>
      </c>
      <c r="M70" s="64">
        <v>33.590000000000003</v>
      </c>
      <c r="N70" s="64">
        <v>86</v>
      </c>
      <c r="O70" s="64">
        <v>0</v>
      </c>
      <c r="P70" s="64">
        <v>0.71</v>
      </c>
      <c r="Q70" s="64">
        <v>9.61</v>
      </c>
      <c r="R70" s="196"/>
      <c r="S70" s="196"/>
      <c r="T70" s="196"/>
      <c r="U70" s="196"/>
    </row>
    <row r="71" spans="1:21" s="12" customFormat="1" x14ac:dyDescent="0.25">
      <c r="A71" s="211" t="s">
        <v>1651</v>
      </c>
      <c r="B71" s="64">
        <v>4.0599999999999996</v>
      </c>
      <c r="C71" s="64">
        <v>39.46</v>
      </c>
      <c r="D71" s="64">
        <v>22.49</v>
      </c>
      <c r="E71" s="64">
        <v>5.98</v>
      </c>
      <c r="F71" s="64">
        <v>5.09</v>
      </c>
      <c r="G71" s="64">
        <v>74.23</v>
      </c>
      <c r="H71" s="64">
        <v>21.18</v>
      </c>
      <c r="I71" s="64">
        <v>5.57</v>
      </c>
      <c r="J71" s="64">
        <v>1.19</v>
      </c>
      <c r="K71" s="64">
        <v>341.19</v>
      </c>
      <c r="L71" s="64">
        <v>24.81</v>
      </c>
      <c r="M71" s="64">
        <v>33.270000000000003</v>
      </c>
      <c r="N71" s="64">
        <v>76</v>
      </c>
      <c r="O71" s="64">
        <v>0</v>
      </c>
      <c r="P71" s="64">
        <v>0.73</v>
      </c>
      <c r="Q71" s="64">
        <v>9.61</v>
      </c>
      <c r="R71" s="196"/>
      <c r="S71" s="196"/>
      <c r="T71" s="196"/>
      <c r="U71" s="196"/>
    </row>
    <row r="72" spans="1:21" s="12" customFormat="1" x14ac:dyDescent="0.25">
      <c r="A72" s="211" t="s">
        <v>1652</v>
      </c>
      <c r="B72" s="64">
        <v>4.17</v>
      </c>
      <c r="C72" s="64">
        <v>40.700000000000003</v>
      </c>
      <c r="D72" s="64">
        <v>23.23</v>
      </c>
      <c r="E72" s="64">
        <v>6.11</v>
      </c>
      <c r="F72" s="64">
        <v>5.76</v>
      </c>
      <c r="G72" s="64">
        <v>74.59</v>
      </c>
      <c r="H72" s="64">
        <v>10.08</v>
      </c>
      <c r="I72" s="64">
        <v>4.9000000000000004</v>
      </c>
      <c r="J72" s="64">
        <v>0.45</v>
      </c>
      <c r="K72" s="64">
        <v>350.15</v>
      </c>
      <c r="L72" s="64">
        <v>24.41</v>
      </c>
      <c r="M72" s="64">
        <v>33.96</v>
      </c>
      <c r="N72" s="64">
        <v>70.099999999999994</v>
      </c>
      <c r="O72" s="64">
        <v>0</v>
      </c>
      <c r="P72" s="64">
        <v>0.72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1653</v>
      </c>
      <c r="B73" s="64">
        <v>4.13</v>
      </c>
      <c r="C73" s="64">
        <v>39.82</v>
      </c>
      <c r="D73" s="64">
        <v>22.74</v>
      </c>
      <c r="E73" s="64">
        <v>5.39</v>
      </c>
      <c r="F73" s="64">
        <v>5.52</v>
      </c>
      <c r="G73" s="64">
        <v>75.64</v>
      </c>
      <c r="H73" s="64">
        <v>54.43</v>
      </c>
      <c r="I73" s="64">
        <v>3.63</v>
      </c>
      <c r="J73" s="64">
        <v>1.02</v>
      </c>
      <c r="K73" s="64">
        <v>341.33</v>
      </c>
      <c r="L73" s="64">
        <v>24.08</v>
      </c>
      <c r="M73" s="64">
        <v>34.869999999999997</v>
      </c>
      <c r="N73" s="64">
        <v>67.099999999999994</v>
      </c>
      <c r="O73" s="64">
        <v>0</v>
      </c>
      <c r="P73" s="64">
        <v>0.77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1654</v>
      </c>
      <c r="B74" s="64">
        <v>4.34</v>
      </c>
      <c r="C74" s="64">
        <v>39.5</v>
      </c>
      <c r="D74" s="64">
        <v>22.74</v>
      </c>
      <c r="E74" s="64">
        <v>5.39</v>
      </c>
      <c r="F74" s="64">
        <v>5.47</v>
      </c>
      <c r="G74" s="64">
        <v>75.64</v>
      </c>
      <c r="H74" s="64">
        <v>54.43</v>
      </c>
      <c r="I74" s="64">
        <v>3.95</v>
      </c>
      <c r="J74" s="64">
        <v>1.54</v>
      </c>
      <c r="K74" s="64">
        <v>341.73</v>
      </c>
      <c r="L74" s="64">
        <v>23.96</v>
      </c>
      <c r="M74" s="64">
        <v>34.57</v>
      </c>
      <c r="N74" s="64">
        <v>59.6</v>
      </c>
      <c r="O74" s="64">
        <v>0</v>
      </c>
      <c r="P74" s="64">
        <v>0.75</v>
      </c>
      <c r="Q74" s="64">
        <v>9.6300000000000008</v>
      </c>
      <c r="R74" s="196"/>
      <c r="S74" s="196"/>
      <c r="T74" s="196"/>
      <c r="U74" s="196"/>
    </row>
    <row r="75" spans="1:21" s="12" customFormat="1" x14ac:dyDescent="0.25">
      <c r="A75" s="211" t="s">
        <v>1655</v>
      </c>
      <c r="B75" s="64">
        <v>4.7</v>
      </c>
      <c r="C75" s="64">
        <v>40.130000000000003</v>
      </c>
      <c r="D75" s="64">
        <v>23.36</v>
      </c>
      <c r="E75" s="64">
        <v>5.77</v>
      </c>
      <c r="F75" s="64">
        <v>5.45</v>
      </c>
      <c r="G75" s="64">
        <v>75.64</v>
      </c>
      <c r="H75" s="64">
        <v>54.43</v>
      </c>
      <c r="I75" s="64">
        <v>3.97</v>
      </c>
      <c r="J75" s="64">
        <v>1.27</v>
      </c>
      <c r="K75" s="64">
        <v>344.05</v>
      </c>
      <c r="L75" s="64">
        <v>23.62</v>
      </c>
      <c r="M75" s="64">
        <v>35.46</v>
      </c>
      <c r="N75" s="64">
        <v>50.4</v>
      </c>
      <c r="O75" s="64">
        <v>0</v>
      </c>
      <c r="P75" s="64">
        <v>0.86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1656</v>
      </c>
      <c r="B76" s="64">
        <v>5.0999999999999996</v>
      </c>
      <c r="C76" s="64">
        <v>40.64</v>
      </c>
      <c r="D76" s="64">
        <v>23.94</v>
      </c>
      <c r="E76" s="64">
        <v>5.66</v>
      </c>
      <c r="F76" s="64">
        <v>5.57</v>
      </c>
      <c r="G76" s="64">
        <v>76.83</v>
      </c>
      <c r="H76" s="64">
        <v>38.729999999999997</v>
      </c>
      <c r="I76" s="64">
        <v>4.0199999999999996</v>
      </c>
      <c r="J76" s="64">
        <v>1.1200000000000001</v>
      </c>
      <c r="K76" s="64">
        <v>346.53</v>
      </c>
      <c r="L76" s="64">
        <v>23.25</v>
      </c>
      <c r="M76" s="64">
        <v>36.11</v>
      </c>
      <c r="N76" s="64">
        <v>43.1</v>
      </c>
      <c r="O76" s="64">
        <v>0</v>
      </c>
      <c r="P76" s="64">
        <v>0.91</v>
      </c>
      <c r="Q76" s="64">
        <v>9.6199999999999992</v>
      </c>
      <c r="R76" s="196"/>
      <c r="S76" s="196"/>
      <c r="T76" s="196"/>
      <c r="U76" s="196"/>
    </row>
    <row r="77" spans="1:21" s="12" customFormat="1" x14ac:dyDescent="0.25">
      <c r="A77" s="211" t="s">
        <v>1657</v>
      </c>
      <c r="B77" s="64">
        <v>5.47</v>
      </c>
      <c r="C77" s="64">
        <v>40.65</v>
      </c>
      <c r="D77" s="64">
        <v>24.25</v>
      </c>
      <c r="E77" s="64">
        <v>5.92</v>
      </c>
      <c r="F77" s="64">
        <v>5.2</v>
      </c>
      <c r="G77" s="64">
        <v>80.31</v>
      </c>
      <c r="H77" s="64">
        <v>8.7100000000000009</v>
      </c>
      <c r="I77" s="64">
        <v>4.04</v>
      </c>
      <c r="J77" s="64">
        <v>1.24</v>
      </c>
      <c r="K77" s="64">
        <v>346.49</v>
      </c>
      <c r="L77" s="64">
        <v>22.72</v>
      </c>
      <c r="M77" s="64">
        <v>36.44</v>
      </c>
      <c r="N77" s="64">
        <v>34.200000000000003</v>
      </c>
      <c r="O77" s="64">
        <v>0</v>
      </c>
      <c r="P77" s="64">
        <v>0.83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1658</v>
      </c>
      <c r="B78" s="64">
        <v>5.88</v>
      </c>
      <c r="C78" s="64">
        <v>40.630000000000003</v>
      </c>
      <c r="D78" s="64">
        <v>24.57</v>
      </c>
      <c r="E78" s="64">
        <v>6.23</v>
      </c>
      <c r="F78" s="64">
        <v>4.97</v>
      </c>
      <c r="G78" s="64">
        <v>80.31</v>
      </c>
      <c r="H78" s="64">
        <v>8.7100000000000009</v>
      </c>
      <c r="I78" s="64">
        <v>3.98</v>
      </c>
      <c r="J78" s="64">
        <v>0.93</v>
      </c>
      <c r="K78" s="64">
        <v>342.81</v>
      </c>
      <c r="L78" s="64">
        <v>22</v>
      </c>
      <c r="M78" s="64">
        <v>41.71</v>
      </c>
      <c r="N78" s="64">
        <v>27.5</v>
      </c>
      <c r="O78" s="64">
        <v>0</v>
      </c>
      <c r="P78" s="64">
        <v>1.0900000000000001</v>
      </c>
      <c r="Q78" s="64">
        <v>9.6300000000000008</v>
      </c>
      <c r="R78" s="196"/>
      <c r="S78" s="196"/>
      <c r="T78" s="196"/>
      <c r="U78" s="196"/>
    </row>
    <row r="79" spans="1:21" s="12" customFormat="1" x14ac:dyDescent="0.25">
      <c r="A79" s="211" t="s">
        <v>1659</v>
      </c>
      <c r="B79" s="64">
        <v>6.73</v>
      </c>
      <c r="C79" s="64">
        <v>40.53</v>
      </c>
      <c r="D79" s="64">
        <v>25.19</v>
      </c>
      <c r="E79" s="64">
        <v>5.95</v>
      </c>
      <c r="F79" s="64">
        <v>4.59</v>
      </c>
      <c r="G79" s="64">
        <v>80.31</v>
      </c>
      <c r="H79" s="64">
        <v>8.7100000000000009</v>
      </c>
      <c r="I79" s="64">
        <v>4.28</v>
      </c>
      <c r="J79" s="64">
        <v>0.76</v>
      </c>
      <c r="K79" s="64">
        <v>344.28</v>
      </c>
      <c r="L79" s="64">
        <v>21.39</v>
      </c>
      <c r="M79" s="64">
        <v>41.67</v>
      </c>
      <c r="N79" s="64">
        <v>26.3</v>
      </c>
      <c r="O79" s="64">
        <v>0</v>
      </c>
      <c r="P79" s="64">
        <v>1.28</v>
      </c>
      <c r="Q79" s="64">
        <v>9.64</v>
      </c>
      <c r="R79" s="196"/>
      <c r="S79" s="196"/>
      <c r="T79" s="196"/>
      <c r="U79" s="196"/>
    </row>
    <row r="80" spans="1:21" s="12" customFormat="1" x14ac:dyDescent="0.25">
      <c r="A80" s="211" t="s">
        <v>1660</v>
      </c>
      <c r="B80" s="64">
        <v>8.1300000000000008</v>
      </c>
      <c r="C80" s="64">
        <v>40.770000000000003</v>
      </c>
      <c r="D80" s="64">
        <v>26.44</v>
      </c>
      <c r="E80" s="64">
        <v>5.72</v>
      </c>
      <c r="F80" s="64">
        <v>4.07</v>
      </c>
      <c r="G80" s="64">
        <v>81.89</v>
      </c>
      <c r="H80" s="64">
        <v>6.26</v>
      </c>
      <c r="I80" s="64">
        <v>4.67</v>
      </c>
      <c r="J80" s="64">
        <v>0.62</v>
      </c>
      <c r="K80" s="64">
        <v>347.34</v>
      </c>
      <c r="L80" s="64">
        <v>21.01</v>
      </c>
      <c r="M80" s="64">
        <v>42.46</v>
      </c>
      <c r="N80" s="64">
        <v>26.1</v>
      </c>
      <c r="O80" s="64">
        <v>0</v>
      </c>
      <c r="P80" s="64">
        <v>1.1200000000000001</v>
      </c>
      <c r="Q80" s="64">
        <v>9.64</v>
      </c>
      <c r="R80" s="196"/>
      <c r="S80" s="196"/>
      <c r="T80" s="196"/>
      <c r="U80" s="196"/>
    </row>
    <row r="81" spans="1:26" s="12" customFormat="1" x14ac:dyDescent="0.25">
      <c r="A81" s="211" t="s">
        <v>1661</v>
      </c>
      <c r="B81" s="64">
        <v>9.27</v>
      </c>
      <c r="C81" s="64">
        <v>41.19</v>
      </c>
      <c r="D81" s="64">
        <v>27.58</v>
      </c>
      <c r="E81" s="64">
        <v>5.63</v>
      </c>
      <c r="F81" s="64">
        <v>3.65</v>
      </c>
      <c r="G81" s="64">
        <v>86.5</v>
      </c>
      <c r="H81" s="64">
        <v>1.57</v>
      </c>
      <c r="I81" s="64">
        <v>5.18</v>
      </c>
      <c r="J81" s="64">
        <v>0.57999999999999996</v>
      </c>
      <c r="K81" s="64">
        <v>8.61</v>
      </c>
      <c r="L81" s="64">
        <v>20.52</v>
      </c>
      <c r="M81" s="64">
        <v>44.35</v>
      </c>
      <c r="N81" s="64">
        <v>26.1</v>
      </c>
      <c r="O81" s="64">
        <v>0</v>
      </c>
      <c r="P81" s="64">
        <v>0.92</v>
      </c>
      <c r="Q81" s="64">
        <v>9.64</v>
      </c>
      <c r="R81" s="196"/>
      <c r="S81" s="196"/>
      <c r="T81" s="196"/>
      <c r="U81" s="196"/>
    </row>
    <row r="82" spans="1:26" s="12" customFormat="1" x14ac:dyDescent="0.25">
      <c r="A82" s="211" t="s">
        <v>1662</v>
      </c>
      <c r="B82" s="64">
        <v>11.52</v>
      </c>
      <c r="C82" s="64">
        <v>42.74</v>
      </c>
      <c r="D82" s="64">
        <v>30.19</v>
      </c>
      <c r="E82" s="64">
        <v>6.15</v>
      </c>
      <c r="F82" s="64">
        <v>3.88</v>
      </c>
      <c r="G82" s="64">
        <v>86.5</v>
      </c>
      <c r="H82" s="64">
        <v>1.57</v>
      </c>
      <c r="I82" s="64">
        <v>6</v>
      </c>
      <c r="J82" s="64">
        <v>0.8</v>
      </c>
      <c r="K82" s="64">
        <v>345.8</v>
      </c>
      <c r="L82" s="64">
        <v>20.3</v>
      </c>
      <c r="M82" s="64">
        <v>46.03</v>
      </c>
      <c r="N82" s="64">
        <v>25.6</v>
      </c>
      <c r="O82" s="64">
        <v>0</v>
      </c>
      <c r="P82" s="64">
        <v>1.18</v>
      </c>
      <c r="Q82" s="64">
        <v>9.6300000000000008</v>
      </c>
      <c r="R82" s="196"/>
      <c r="S82" s="196"/>
      <c r="T82" s="196"/>
      <c r="U82" s="196"/>
    </row>
    <row r="83" spans="1:26" s="12" customFormat="1" x14ac:dyDescent="0.25">
      <c r="A83" s="211" t="s">
        <v>1663</v>
      </c>
      <c r="B83" s="64">
        <v>13.19</v>
      </c>
      <c r="C83" s="64">
        <v>44.32</v>
      </c>
      <c r="D83" s="64">
        <v>32.36</v>
      </c>
      <c r="E83" s="64">
        <v>6.74</v>
      </c>
      <c r="F83" s="64">
        <v>4.13</v>
      </c>
      <c r="G83" s="64">
        <v>86.5</v>
      </c>
      <c r="H83" s="64">
        <v>1.57</v>
      </c>
      <c r="I83" s="64">
        <v>6.61</v>
      </c>
      <c r="J83" s="64">
        <v>0.55000000000000004</v>
      </c>
      <c r="K83" s="64">
        <v>337.33</v>
      </c>
      <c r="L83" s="64">
        <v>20.29</v>
      </c>
      <c r="M83" s="64">
        <v>45.94</v>
      </c>
      <c r="N83" s="64">
        <v>25.6</v>
      </c>
      <c r="O83" s="64">
        <v>0</v>
      </c>
      <c r="P83" s="64">
        <v>1.22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1664</v>
      </c>
      <c r="B84" s="64">
        <v>13.97</v>
      </c>
      <c r="C84" s="64">
        <v>45.37</v>
      </c>
      <c r="D84" s="64">
        <v>33.53</v>
      </c>
      <c r="E84" s="64">
        <v>6.67</v>
      </c>
      <c r="F84" s="64">
        <v>4.33</v>
      </c>
      <c r="G84" s="64">
        <v>90.97</v>
      </c>
      <c r="H84" s="64">
        <v>1.1399999999999999</v>
      </c>
      <c r="I84" s="64">
        <v>6.85</v>
      </c>
      <c r="J84" s="64">
        <v>0.46</v>
      </c>
      <c r="K84" s="64">
        <v>337.59</v>
      </c>
      <c r="L84" s="64">
        <v>20.12</v>
      </c>
      <c r="M84" s="64">
        <v>45.48</v>
      </c>
      <c r="N84" s="64">
        <v>25.5</v>
      </c>
      <c r="O84" s="64">
        <v>0</v>
      </c>
      <c r="P84" s="64">
        <v>1.25</v>
      </c>
      <c r="Q84" s="64">
        <v>9.6199999999999992</v>
      </c>
      <c r="R84" s="196"/>
      <c r="S84" s="196"/>
      <c r="T84" s="196"/>
      <c r="U84" s="196"/>
    </row>
    <row r="85" spans="1:26" s="12" customFormat="1" x14ac:dyDescent="0.25">
      <c r="A85" s="211" t="s">
        <v>1665</v>
      </c>
      <c r="B85" s="64">
        <v>14.57</v>
      </c>
      <c r="C85" s="64">
        <v>46.11</v>
      </c>
      <c r="D85" s="64">
        <v>34.4</v>
      </c>
      <c r="E85" s="64">
        <v>6.72</v>
      </c>
      <c r="F85" s="64">
        <v>4.25</v>
      </c>
      <c r="G85" s="64">
        <v>103.99</v>
      </c>
      <c r="H85" s="64">
        <v>0.31</v>
      </c>
      <c r="I85" s="64">
        <v>6.92</v>
      </c>
      <c r="J85" s="64">
        <v>0.59</v>
      </c>
      <c r="K85" s="64">
        <v>338.43</v>
      </c>
      <c r="L85" s="64">
        <v>20.07</v>
      </c>
      <c r="M85" s="64">
        <v>44.74</v>
      </c>
      <c r="N85" s="64">
        <v>25.6</v>
      </c>
      <c r="O85" s="64">
        <v>0</v>
      </c>
      <c r="P85" s="64">
        <v>1.1000000000000001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1666</v>
      </c>
      <c r="B86" s="64">
        <v>14.61</v>
      </c>
      <c r="C86" s="64">
        <v>46.66</v>
      </c>
      <c r="D86" s="64">
        <v>34.71</v>
      </c>
      <c r="E86" s="64">
        <v>6.49</v>
      </c>
      <c r="F86" s="64">
        <v>4.24</v>
      </c>
      <c r="G86" s="64">
        <v>103.99</v>
      </c>
      <c r="H86" s="64">
        <v>0.31</v>
      </c>
      <c r="I86" s="64">
        <v>6.77</v>
      </c>
      <c r="J86" s="64">
        <v>0.1</v>
      </c>
      <c r="K86" s="64">
        <v>347.91</v>
      </c>
      <c r="L86" s="64">
        <v>19.899999999999999</v>
      </c>
      <c r="M86" s="64">
        <v>44.18</v>
      </c>
      <c r="N86" s="64">
        <v>25.9</v>
      </c>
      <c r="O86" s="64">
        <v>0</v>
      </c>
      <c r="P86" s="64">
        <v>1.1399999999999999</v>
      </c>
      <c r="Q86" s="64">
        <v>9.64</v>
      </c>
      <c r="R86" s="196"/>
      <c r="S86" s="196"/>
      <c r="T86" s="196"/>
      <c r="U86" s="196"/>
    </row>
    <row r="87" spans="1:26" s="12" customFormat="1" x14ac:dyDescent="0.25">
      <c r="A87" s="211" t="s">
        <v>1667</v>
      </c>
      <c r="B87" s="64">
        <v>13.54</v>
      </c>
      <c r="C87" s="64">
        <v>46.35</v>
      </c>
      <c r="D87" s="64">
        <v>33.700000000000003</v>
      </c>
      <c r="E87" s="64">
        <v>6.62</v>
      </c>
      <c r="F87" s="64">
        <v>4.38</v>
      </c>
      <c r="G87" s="64">
        <v>103.99</v>
      </c>
      <c r="H87" s="64">
        <v>0.31</v>
      </c>
      <c r="I87" s="64">
        <v>6.8</v>
      </c>
      <c r="J87" s="64">
        <v>0.05</v>
      </c>
      <c r="K87" s="64">
        <v>73.2</v>
      </c>
      <c r="L87" s="64">
        <v>19.559999999999999</v>
      </c>
      <c r="M87" s="64">
        <v>44.46</v>
      </c>
      <c r="N87" s="64">
        <v>25.7</v>
      </c>
      <c r="O87" s="64">
        <v>0</v>
      </c>
      <c r="P87" s="64">
        <v>1.1200000000000001</v>
      </c>
      <c r="Q87" s="64">
        <v>9.6300000000000008</v>
      </c>
      <c r="R87" s="196"/>
      <c r="S87" s="196"/>
      <c r="T87" s="196"/>
      <c r="U87" s="196"/>
    </row>
    <row r="88" spans="1:26" s="12" customFormat="1" x14ac:dyDescent="0.25">
      <c r="A88" s="211" t="s">
        <v>1668</v>
      </c>
      <c r="B88" s="64">
        <v>12.12</v>
      </c>
      <c r="C88" s="64">
        <v>45.68</v>
      </c>
      <c r="D88" s="64">
        <v>32.200000000000003</v>
      </c>
      <c r="E88" s="64">
        <v>6.24</v>
      </c>
      <c r="F88" s="64">
        <v>4.21</v>
      </c>
      <c r="G88" s="64">
        <v>105.25</v>
      </c>
      <c r="H88" s="64">
        <v>0.26</v>
      </c>
      <c r="I88" s="64">
        <v>6.84</v>
      </c>
      <c r="J88" s="64">
        <v>0.19</v>
      </c>
      <c r="K88" s="64">
        <v>64.569999999999993</v>
      </c>
      <c r="L88" s="64">
        <v>19.489999999999998</v>
      </c>
      <c r="M88" s="64">
        <v>44.44</v>
      </c>
      <c r="N88" s="64">
        <v>25.7</v>
      </c>
      <c r="O88" s="64">
        <v>0</v>
      </c>
      <c r="P88" s="64">
        <v>1.1200000000000001</v>
      </c>
      <c r="Q88" s="64">
        <v>9.6300000000000008</v>
      </c>
      <c r="R88" s="196"/>
      <c r="S88" s="196"/>
      <c r="T88" s="196"/>
      <c r="U88" s="196"/>
    </row>
    <row r="89" spans="1:26" s="12" customFormat="1" x14ac:dyDescent="0.25">
      <c r="A89" s="211" t="s">
        <v>1669</v>
      </c>
      <c r="B89" s="64">
        <v>10.79</v>
      </c>
      <c r="C89" s="64">
        <v>44.56</v>
      </c>
      <c r="D89" s="64">
        <v>30.56</v>
      </c>
      <c r="E89" s="64">
        <v>6.11</v>
      </c>
      <c r="F89" s="64">
        <v>4.1500000000000004</v>
      </c>
      <c r="G89" s="64">
        <v>108.94</v>
      </c>
      <c r="H89" s="64">
        <v>7.0000000000000007E-2</v>
      </c>
      <c r="I89" s="64">
        <v>6.86</v>
      </c>
      <c r="J89" s="64">
        <v>0.5</v>
      </c>
      <c r="K89" s="64">
        <v>111.02</v>
      </c>
      <c r="L89" s="64">
        <v>19.43</v>
      </c>
      <c r="M89" s="64">
        <v>44.47</v>
      </c>
      <c r="N89" s="64">
        <v>25.6</v>
      </c>
      <c r="O89" s="64">
        <v>0</v>
      </c>
      <c r="P89" s="64">
        <v>1.01</v>
      </c>
      <c r="Q89" s="64">
        <v>9.65</v>
      </c>
      <c r="R89" s="196"/>
      <c r="S89" s="196"/>
      <c r="T89" s="196"/>
      <c r="U89" s="196"/>
    </row>
    <row r="90" spans="1:26" s="12" customFormat="1" x14ac:dyDescent="0.25">
      <c r="A90" s="211" t="s">
        <v>1670</v>
      </c>
      <c r="B90" s="64">
        <v>9.61</v>
      </c>
      <c r="C90" s="64">
        <v>41.51</v>
      </c>
      <c r="D90" s="64">
        <v>28.02</v>
      </c>
      <c r="E90" s="64">
        <v>6.06</v>
      </c>
      <c r="F90" s="64">
        <v>5.01</v>
      </c>
      <c r="G90" s="64">
        <v>108.94</v>
      </c>
      <c r="H90" s="64">
        <v>7.0000000000000007E-2</v>
      </c>
      <c r="I90" s="64">
        <v>6.64</v>
      </c>
      <c r="J90" s="64">
        <v>0.41</v>
      </c>
      <c r="K90" s="64">
        <v>91.55</v>
      </c>
      <c r="L90" s="64">
        <v>19.38</v>
      </c>
      <c r="M90" s="64">
        <v>45.54</v>
      </c>
      <c r="N90" s="64">
        <v>25.8</v>
      </c>
      <c r="O90" s="64">
        <v>0</v>
      </c>
      <c r="P90" s="64">
        <v>0.98</v>
      </c>
      <c r="Q90" s="64">
        <v>9.64</v>
      </c>
      <c r="R90" s="196"/>
      <c r="S90" s="196"/>
      <c r="T90" s="196"/>
      <c r="U90" s="196"/>
    </row>
    <row r="91" spans="1:26" s="12" customFormat="1" x14ac:dyDescent="0.25">
      <c r="A91" s="211" t="s">
        <v>1671</v>
      </c>
      <c r="B91" s="64">
        <v>8.94</v>
      </c>
      <c r="C91" s="64">
        <v>39.869999999999997</v>
      </c>
      <c r="D91" s="64">
        <v>26.62</v>
      </c>
      <c r="E91" s="64">
        <v>5.5</v>
      </c>
      <c r="F91" s="64">
        <v>5.2</v>
      </c>
      <c r="G91" s="64">
        <v>108.94</v>
      </c>
      <c r="H91" s="64">
        <v>7.0000000000000007E-2</v>
      </c>
      <c r="I91" s="64">
        <v>5.31</v>
      </c>
      <c r="J91" s="64">
        <v>0.2</v>
      </c>
      <c r="K91" s="64">
        <v>87.78</v>
      </c>
      <c r="L91" s="64">
        <v>18.95</v>
      </c>
      <c r="M91" s="64">
        <v>47.46</v>
      </c>
      <c r="N91" s="64">
        <v>25.9</v>
      </c>
      <c r="O91" s="64">
        <v>0</v>
      </c>
      <c r="P91" s="64">
        <v>1.01</v>
      </c>
      <c r="Q91" s="64">
        <v>9.6300000000000008</v>
      </c>
      <c r="R91" s="196"/>
      <c r="S91" s="196"/>
      <c r="T91" s="196"/>
      <c r="U91" s="196"/>
    </row>
    <row r="92" spans="1:26" s="12" customFormat="1" x14ac:dyDescent="0.25">
      <c r="A92" s="211" t="s">
        <v>1672</v>
      </c>
      <c r="B92" s="64">
        <v>8.5</v>
      </c>
      <c r="C92" s="64">
        <v>38.630000000000003</v>
      </c>
      <c r="D92" s="64">
        <v>25.62</v>
      </c>
      <c r="E92" s="64">
        <v>5.57</v>
      </c>
      <c r="F92" s="64">
        <v>4.87</v>
      </c>
      <c r="G92" s="64">
        <v>106.12</v>
      </c>
      <c r="H92" s="64">
        <v>0.05</v>
      </c>
      <c r="I92" s="64">
        <v>4.67</v>
      </c>
      <c r="J92" s="64">
        <v>0.21</v>
      </c>
      <c r="K92" s="64">
        <v>18.09</v>
      </c>
      <c r="L92" s="64">
        <v>18.850000000000001</v>
      </c>
      <c r="M92" s="64">
        <v>48.33</v>
      </c>
      <c r="N92" s="64">
        <v>25.7</v>
      </c>
      <c r="O92" s="64">
        <v>0</v>
      </c>
      <c r="P92" s="64">
        <v>1.1000000000000001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1673</v>
      </c>
      <c r="B93" s="64">
        <v>8.36</v>
      </c>
      <c r="C93" s="64">
        <v>37.65</v>
      </c>
      <c r="D93" s="64">
        <v>25</v>
      </c>
      <c r="E93" s="64">
        <v>5.26</v>
      </c>
      <c r="F93" s="64">
        <v>4.57</v>
      </c>
      <c r="G93" s="64">
        <v>97.91</v>
      </c>
      <c r="H93" s="64">
        <v>0.02</v>
      </c>
      <c r="I93" s="64">
        <v>4.95</v>
      </c>
      <c r="J93" s="64">
        <v>0.48</v>
      </c>
      <c r="K93" s="64">
        <v>349.53</v>
      </c>
      <c r="L93" s="64">
        <v>18.71</v>
      </c>
      <c r="M93" s="64">
        <v>49.23</v>
      </c>
      <c r="N93" s="64">
        <v>25.8</v>
      </c>
      <c r="O93" s="64">
        <v>0</v>
      </c>
      <c r="P93" s="64">
        <v>1.08</v>
      </c>
      <c r="Q93" s="64">
        <v>9.6300000000000008</v>
      </c>
      <c r="R93" s="196"/>
      <c r="S93" s="196"/>
      <c r="T93" s="196"/>
      <c r="U93" s="196"/>
    </row>
    <row r="94" spans="1:26" s="12" customFormat="1" x14ac:dyDescent="0.25">
      <c r="A94" s="211" t="s">
        <v>1674</v>
      </c>
      <c r="B94" s="64">
        <v>9.39</v>
      </c>
      <c r="C94" s="64">
        <v>37.270000000000003</v>
      </c>
      <c r="D94" s="64">
        <v>25.63</v>
      </c>
      <c r="E94" s="64">
        <v>5.48</v>
      </c>
      <c r="F94" s="64">
        <v>3.92</v>
      </c>
      <c r="G94" s="64">
        <v>97.91</v>
      </c>
      <c r="H94" s="64">
        <v>0.02</v>
      </c>
      <c r="I94" s="64">
        <v>5.05</v>
      </c>
      <c r="J94" s="64">
        <v>0.13</v>
      </c>
      <c r="K94" s="64">
        <v>350.43</v>
      </c>
      <c r="L94" s="64">
        <v>18.53</v>
      </c>
      <c r="M94" s="64">
        <v>49.18</v>
      </c>
      <c r="N94" s="64">
        <v>25.7</v>
      </c>
      <c r="O94" s="64">
        <v>0</v>
      </c>
      <c r="P94" s="64">
        <v>1.22</v>
      </c>
      <c r="Q94" s="64">
        <v>9.6300000000000008</v>
      </c>
      <c r="R94" s="196"/>
      <c r="S94" s="196"/>
      <c r="T94" s="196"/>
      <c r="U94" s="196"/>
    </row>
    <row r="95" spans="1:26" s="12" customFormat="1" x14ac:dyDescent="0.25">
      <c r="A95" s="211" t="s">
        <v>1675</v>
      </c>
      <c r="B95" s="64">
        <v>10.95</v>
      </c>
      <c r="C95" s="64">
        <v>37.19</v>
      </c>
      <c r="D95" s="64">
        <v>26.84</v>
      </c>
      <c r="E95" s="64">
        <v>5.4</v>
      </c>
      <c r="F95" s="64">
        <v>4.2699999999999996</v>
      </c>
      <c r="G95" s="64">
        <v>97.91</v>
      </c>
      <c r="H95" s="64">
        <v>0.02</v>
      </c>
      <c r="I95" s="64">
        <v>5.17</v>
      </c>
      <c r="J95" s="64">
        <v>0.38</v>
      </c>
      <c r="K95" s="64">
        <v>8.3699999999999992</v>
      </c>
      <c r="L95" s="64">
        <v>18.2</v>
      </c>
      <c r="M95" s="64">
        <v>51.1</v>
      </c>
      <c r="N95" s="64">
        <v>25.7</v>
      </c>
      <c r="O95" s="64">
        <v>0</v>
      </c>
      <c r="P95" s="64">
        <v>1.18</v>
      </c>
      <c r="Q95" s="64">
        <v>9.6300000000000008</v>
      </c>
      <c r="R95" s="196"/>
      <c r="S95" s="196"/>
      <c r="T95" s="196"/>
      <c r="U95" s="196"/>
    </row>
    <row r="96" spans="1:26" s="12" customFormat="1" x14ac:dyDescent="0.25">
      <c r="A96" s="211" t="s">
        <v>1676</v>
      </c>
      <c r="B96" s="64">
        <v>11.69</v>
      </c>
      <c r="C96" s="64">
        <v>36.89</v>
      </c>
      <c r="D96" s="64">
        <v>27.27</v>
      </c>
      <c r="E96" s="64">
        <v>5.95</v>
      </c>
      <c r="F96" s="64">
        <v>3.88</v>
      </c>
      <c r="G96" s="64">
        <v>97.88</v>
      </c>
      <c r="H96" s="64">
        <v>0.01</v>
      </c>
      <c r="I96" s="64">
        <v>5.21</v>
      </c>
      <c r="J96" s="64">
        <v>0.16</v>
      </c>
      <c r="K96" s="64">
        <v>353.68</v>
      </c>
      <c r="L96" s="64">
        <v>18.13</v>
      </c>
      <c r="M96" s="64">
        <v>50.91</v>
      </c>
      <c r="N96" s="64">
        <v>25.6</v>
      </c>
      <c r="O96" s="64">
        <v>0</v>
      </c>
      <c r="P96" s="64">
        <v>1.07</v>
      </c>
      <c r="Q96" s="64">
        <v>9.6300000000000008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1677</v>
      </c>
      <c r="B97" s="64">
        <v>11.91</v>
      </c>
      <c r="C97" s="64">
        <v>36.479999999999997</v>
      </c>
      <c r="D97" s="64">
        <v>27.24</v>
      </c>
      <c r="E97" s="64">
        <v>5.99</v>
      </c>
      <c r="F97" s="64">
        <v>4.2699999999999996</v>
      </c>
      <c r="G97" s="64">
        <v>97.81</v>
      </c>
      <c r="H97" s="209" t="s">
        <v>42</v>
      </c>
      <c r="I97" s="64">
        <v>5.13</v>
      </c>
      <c r="J97" s="64">
        <v>0.24</v>
      </c>
      <c r="K97" s="64">
        <v>55.71</v>
      </c>
      <c r="L97" s="64">
        <v>17.899999999999999</v>
      </c>
      <c r="M97" s="64">
        <v>51.95</v>
      </c>
      <c r="N97" s="64">
        <v>25.8</v>
      </c>
      <c r="O97" s="64">
        <v>0</v>
      </c>
      <c r="P97" s="64">
        <v>1.1200000000000001</v>
      </c>
      <c r="Q97" s="64">
        <v>9.64</v>
      </c>
      <c r="R97" s="196"/>
      <c r="S97" s="196"/>
      <c r="T97" s="196"/>
      <c r="U97" s="196"/>
    </row>
    <row r="98" spans="1:33" s="12" customFormat="1" x14ac:dyDescent="0.25">
      <c r="A98" s="211" t="s">
        <v>1678</v>
      </c>
      <c r="B98" s="64">
        <v>11.81</v>
      </c>
      <c r="C98" s="64">
        <v>37.14</v>
      </c>
      <c r="D98" s="64">
        <v>27.5</v>
      </c>
      <c r="E98" s="64">
        <v>6.13</v>
      </c>
      <c r="F98" s="64">
        <v>4.1500000000000004</v>
      </c>
      <c r="G98" s="64">
        <v>97.81</v>
      </c>
      <c r="H98" s="209" t="s">
        <v>42</v>
      </c>
      <c r="I98" s="64">
        <v>5.24</v>
      </c>
      <c r="J98" s="64">
        <v>0.45</v>
      </c>
      <c r="K98" s="64">
        <v>81.760000000000005</v>
      </c>
      <c r="L98" s="64">
        <v>17.989999999999998</v>
      </c>
      <c r="M98" s="64">
        <v>52.99</v>
      </c>
      <c r="N98" s="64">
        <v>25.5</v>
      </c>
      <c r="O98" s="64">
        <v>0</v>
      </c>
      <c r="P98" s="64">
        <v>1.1100000000000001</v>
      </c>
      <c r="Q98" s="64">
        <v>9.6300000000000008</v>
      </c>
      <c r="R98" s="196"/>
      <c r="S98" s="196"/>
      <c r="T98" s="196"/>
      <c r="U98" s="196"/>
    </row>
    <row r="99" spans="1:33" s="12" customFormat="1" x14ac:dyDescent="0.25">
      <c r="A99" s="211" t="s">
        <v>1679</v>
      </c>
      <c r="B99" s="64">
        <v>12.02</v>
      </c>
      <c r="C99" s="64">
        <v>37.79</v>
      </c>
      <c r="D99" s="64">
        <v>28</v>
      </c>
      <c r="E99" s="64">
        <v>6.16</v>
      </c>
      <c r="F99" s="64">
        <v>4.1500000000000004</v>
      </c>
      <c r="G99" s="64">
        <v>97.81</v>
      </c>
      <c r="H99" s="209" t="s">
        <v>42</v>
      </c>
      <c r="I99" s="64">
        <v>6.43</v>
      </c>
      <c r="J99" s="64">
        <v>0.26</v>
      </c>
      <c r="K99" s="64">
        <v>86.74</v>
      </c>
      <c r="L99" s="64">
        <v>17.899999999999999</v>
      </c>
      <c r="M99" s="64">
        <v>52.14</v>
      </c>
      <c r="N99" s="64">
        <v>25.5</v>
      </c>
      <c r="O99" s="64">
        <v>0</v>
      </c>
      <c r="P99" s="64">
        <v>1.0900000000000001</v>
      </c>
      <c r="Q99" s="64">
        <v>9.6300000000000008</v>
      </c>
      <c r="R99" s="196"/>
      <c r="S99" s="196"/>
      <c r="T99" s="196"/>
      <c r="U99" s="196"/>
    </row>
    <row r="100" spans="1:33" s="12" customFormat="1" x14ac:dyDescent="0.25">
      <c r="A100" s="211" t="s">
        <v>1680</v>
      </c>
      <c r="B100" s="64">
        <v>11.84</v>
      </c>
      <c r="C100" s="64">
        <v>38.43</v>
      </c>
      <c r="D100" s="64">
        <v>28.2</v>
      </c>
      <c r="E100" s="64">
        <v>5.79</v>
      </c>
      <c r="F100" s="64">
        <v>4.22</v>
      </c>
      <c r="G100" s="64">
        <v>98.24</v>
      </c>
      <c r="H100" s="209" t="s">
        <v>42</v>
      </c>
      <c r="I100" s="64">
        <v>6.86</v>
      </c>
      <c r="J100" s="64">
        <v>0.43</v>
      </c>
      <c r="K100" s="64">
        <v>113.68</v>
      </c>
      <c r="L100" s="64">
        <v>17.809999999999999</v>
      </c>
      <c r="M100" s="64">
        <v>52</v>
      </c>
      <c r="N100" s="64">
        <v>25.6</v>
      </c>
      <c r="O100" s="64">
        <v>0</v>
      </c>
      <c r="P100" s="64">
        <v>1.08</v>
      </c>
      <c r="Q100" s="64">
        <v>9.6199999999999992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1681</v>
      </c>
      <c r="B101" s="64">
        <v>11.28</v>
      </c>
      <c r="C101" s="64">
        <v>38.78</v>
      </c>
      <c r="D101" s="64">
        <v>27.93</v>
      </c>
      <c r="E101" s="64">
        <v>5.57</v>
      </c>
      <c r="F101" s="64">
        <v>4.25</v>
      </c>
      <c r="G101" s="64">
        <v>99.49</v>
      </c>
      <c r="H101" s="209" t="s">
        <v>42</v>
      </c>
      <c r="I101" s="64">
        <v>6.71</v>
      </c>
      <c r="J101" s="64">
        <v>1.1599999999999999</v>
      </c>
      <c r="K101" s="64">
        <v>112.3</v>
      </c>
      <c r="L101" s="64">
        <v>18.18</v>
      </c>
      <c r="M101" s="64">
        <v>49.7</v>
      </c>
      <c r="N101" s="64">
        <v>25</v>
      </c>
      <c r="O101" s="64">
        <v>0</v>
      </c>
      <c r="P101" s="64">
        <v>1.06</v>
      </c>
      <c r="Q101" s="64">
        <v>9.61</v>
      </c>
      <c r="R101" s="196"/>
      <c r="S101" s="196"/>
      <c r="T101" s="196"/>
      <c r="U101" s="196"/>
    </row>
    <row r="102" spans="1:33" s="12" customFormat="1" x14ac:dyDescent="0.25">
      <c r="A102" s="211" t="s">
        <v>1682</v>
      </c>
      <c r="B102" s="64">
        <v>10.19</v>
      </c>
      <c r="C102" s="64">
        <v>38.79</v>
      </c>
      <c r="D102" s="64">
        <v>27.06</v>
      </c>
      <c r="E102" s="64">
        <v>5.5</v>
      </c>
      <c r="F102" s="64">
        <v>4.08</v>
      </c>
      <c r="G102" s="64">
        <v>99.49</v>
      </c>
      <c r="H102" s="209" t="s">
        <v>42</v>
      </c>
      <c r="I102" s="64">
        <v>6.77</v>
      </c>
      <c r="J102" s="64">
        <v>0.78</v>
      </c>
      <c r="K102" s="64">
        <v>115.82</v>
      </c>
      <c r="L102" s="64">
        <v>18.07</v>
      </c>
      <c r="M102" s="64">
        <v>50.72</v>
      </c>
      <c r="N102" s="64">
        <v>25.8</v>
      </c>
      <c r="O102" s="64">
        <v>0</v>
      </c>
      <c r="P102" s="64">
        <v>1.04</v>
      </c>
      <c r="Q102" s="64">
        <v>9.6300000000000008</v>
      </c>
      <c r="R102" s="196"/>
      <c r="S102" s="196"/>
      <c r="T102" s="196"/>
      <c r="U102" s="196"/>
    </row>
    <row r="103" spans="1:33" s="12" customFormat="1" x14ac:dyDescent="0.25">
      <c r="A103" s="211" t="s">
        <v>1683</v>
      </c>
      <c r="B103" s="64">
        <v>8.91</v>
      </c>
      <c r="C103" s="64">
        <v>38.79</v>
      </c>
      <c r="D103" s="64">
        <v>26.04</v>
      </c>
      <c r="E103" s="64">
        <v>5.27</v>
      </c>
      <c r="F103" s="64">
        <v>4.25</v>
      </c>
      <c r="G103" s="64">
        <v>99.49</v>
      </c>
      <c r="H103" s="209" t="s">
        <v>42</v>
      </c>
      <c r="I103" s="64">
        <v>7.04</v>
      </c>
      <c r="J103" s="64">
        <v>0.31</v>
      </c>
      <c r="K103" s="64">
        <v>96.11</v>
      </c>
      <c r="L103" s="64">
        <v>17.86</v>
      </c>
      <c r="M103" s="64">
        <v>51.39</v>
      </c>
      <c r="N103" s="64">
        <v>25.9</v>
      </c>
      <c r="O103" s="64">
        <v>0</v>
      </c>
      <c r="P103" s="64">
        <v>1</v>
      </c>
      <c r="Q103" s="64">
        <v>9.6300000000000008</v>
      </c>
      <c r="R103" s="196"/>
      <c r="S103" s="196"/>
      <c r="T103" s="196"/>
      <c r="U103" s="196"/>
    </row>
    <row r="104" spans="1:33" s="12" customFormat="1" x14ac:dyDescent="0.25">
      <c r="A104" s="211" t="s">
        <v>1684</v>
      </c>
      <c r="B104" s="64">
        <v>7.85</v>
      </c>
      <c r="C104" s="64">
        <v>38.58</v>
      </c>
      <c r="D104" s="64">
        <v>25.07</v>
      </c>
      <c r="E104" s="64">
        <v>5.73</v>
      </c>
      <c r="F104" s="64">
        <v>4.21</v>
      </c>
      <c r="G104" s="64">
        <v>99.15</v>
      </c>
      <c r="H104" s="209" t="s">
        <v>42</v>
      </c>
      <c r="I104" s="64">
        <v>7.2</v>
      </c>
      <c r="J104" s="64">
        <v>0.34</v>
      </c>
      <c r="K104" s="64">
        <v>103.44</v>
      </c>
      <c r="L104" s="64">
        <v>17.61</v>
      </c>
      <c r="M104" s="64">
        <v>52.58</v>
      </c>
      <c r="N104" s="64">
        <v>26</v>
      </c>
      <c r="O104" s="64">
        <v>0</v>
      </c>
      <c r="P104" s="64">
        <v>0.98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3.96</v>
      </c>
      <c r="C106" s="67">
        <f>MIN(C9:C104)</f>
        <v>25.3</v>
      </c>
      <c r="D106" s="67">
        <f t="shared" ref="D106:Q106" si="0">MIN(D9:D104)</f>
        <v>19.690000000000001</v>
      </c>
      <c r="E106" s="67">
        <f t="shared" si="0"/>
        <v>5.25</v>
      </c>
      <c r="F106" s="67">
        <f t="shared" si="0"/>
        <v>3.29</v>
      </c>
      <c r="G106" s="67">
        <f t="shared" si="0"/>
        <v>67.38</v>
      </c>
      <c r="H106" s="67">
        <f t="shared" si="0"/>
        <v>0.01</v>
      </c>
      <c r="I106" s="67">
        <f t="shared" si="0"/>
        <v>3.63</v>
      </c>
      <c r="J106" s="67">
        <f t="shared" si="0"/>
        <v>0.03</v>
      </c>
      <c r="K106" s="67">
        <f t="shared" si="0"/>
        <v>1.36</v>
      </c>
      <c r="L106" s="67">
        <f t="shared" si="0"/>
        <v>14.46</v>
      </c>
      <c r="M106" s="67">
        <f t="shared" si="0"/>
        <v>28.52</v>
      </c>
      <c r="N106" s="67">
        <f t="shared" si="0"/>
        <v>25</v>
      </c>
      <c r="O106" s="67">
        <f t="shared" si="0"/>
        <v>0</v>
      </c>
      <c r="P106" s="67">
        <f t="shared" si="0"/>
        <v>0.56999999999999995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30.14</v>
      </c>
      <c r="C107" s="66">
        <f t="shared" ref="C107:Q107" si="1">MAX(C9:C104)</f>
        <v>46.66</v>
      </c>
      <c r="D107" s="66">
        <f t="shared" si="1"/>
        <v>39.33</v>
      </c>
      <c r="E107" s="66">
        <f t="shared" si="1"/>
        <v>7.11</v>
      </c>
      <c r="F107" s="66">
        <f t="shared" si="1"/>
        <v>7.41</v>
      </c>
      <c r="G107" s="66">
        <f t="shared" si="1"/>
        <v>113.17</v>
      </c>
      <c r="H107" s="66">
        <f t="shared" si="1"/>
        <v>113.51</v>
      </c>
      <c r="I107" s="66">
        <f t="shared" si="1"/>
        <v>7.2</v>
      </c>
      <c r="J107" s="66">
        <f t="shared" si="1"/>
        <v>1.82</v>
      </c>
      <c r="K107" s="66">
        <f t="shared" si="1"/>
        <v>354.37</v>
      </c>
      <c r="L107" s="66">
        <f t="shared" si="1"/>
        <v>29.71</v>
      </c>
      <c r="M107" s="66">
        <f t="shared" si="1"/>
        <v>92.2</v>
      </c>
      <c r="N107" s="66">
        <f t="shared" si="1"/>
        <v>701.4</v>
      </c>
      <c r="O107" s="66">
        <f t="shared" si="1"/>
        <v>0</v>
      </c>
      <c r="P107" s="66">
        <f t="shared" si="1"/>
        <v>1.28</v>
      </c>
      <c r="Q107" s="66">
        <f t="shared" si="1"/>
        <v>9.65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13.026770833333325</v>
      </c>
      <c r="C108" s="67">
        <f t="shared" ref="C108:Q108" si="2">AVERAGE(C9:C104)</f>
        <v>34.140833333333326</v>
      </c>
      <c r="D108" s="67">
        <f t="shared" si="2"/>
        <v>26.907187499999992</v>
      </c>
      <c r="E108" s="67">
        <f t="shared" si="2"/>
        <v>6.111250000000001</v>
      </c>
      <c r="F108" s="67">
        <f t="shared" si="2"/>
        <v>4.2980208333333314</v>
      </c>
      <c r="G108" s="67">
        <f t="shared" si="2"/>
        <v>84.891249999999999</v>
      </c>
      <c r="H108" s="67">
        <f t="shared" si="2"/>
        <v>21.870470588235285</v>
      </c>
      <c r="I108" s="67">
        <f t="shared" si="2"/>
        <v>5.3694791666666655</v>
      </c>
      <c r="J108" s="67">
        <f t="shared" si="2"/>
        <v>0.67458333333333353</v>
      </c>
      <c r="K108" s="67">
        <f t="shared" si="2"/>
        <v>230.67062499999997</v>
      </c>
      <c r="L108" s="67">
        <f t="shared" si="2"/>
        <v>20.26125</v>
      </c>
      <c r="M108" s="67">
        <f t="shared" si="2"/>
        <v>54.389999999999993</v>
      </c>
      <c r="N108" s="67">
        <f t="shared" si="2"/>
        <v>166.58333333333337</v>
      </c>
      <c r="O108" s="67">
        <f t="shared" si="2"/>
        <v>0</v>
      </c>
      <c r="P108" s="67">
        <f t="shared" si="2"/>
        <v>0.86739583333333348</v>
      </c>
      <c r="Q108" s="67">
        <f t="shared" si="2"/>
        <v>9.6301041666666638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6.9364593569117003</v>
      </c>
      <c r="C109" s="67">
        <f t="shared" ref="C109:Q109" si="3">STDEV(C9:C104)</f>
        <v>5.8097896812492946</v>
      </c>
      <c r="D109" s="67">
        <f t="shared" si="3"/>
        <v>4.5116958424744036</v>
      </c>
      <c r="E109" s="67">
        <f t="shared" si="3"/>
        <v>0.46789843702284484</v>
      </c>
      <c r="F109" s="67">
        <f t="shared" si="3"/>
        <v>0.65240223271048647</v>
      </c>
      <c r="G109" s="67">
        <f t="shared" si="3"/>
        <v>13.76119549962665</v>
      </c>
      <c r="H109" s="67">
        <f t="shared" si="3"/>
        <v>25.84654609447858</v>
      </c>
      <c r="I109" s="67">
        <f t="shared" si="3"/>
        <v>0.93345241447420135</v>
      </c>
      <c r="J109" s="67">
        <f t="shared" si="3"/>
        <v>0.41684255936533793</v>
      </c>
      <c r="K109" s="67">
        <f t="shared" si="3"/>
        <v>124.46137087307568</v>
      </c>
      <c r="L109" s="67">
        <f t="shared" si="3"/>
        <v>4.3823080316438743</v>
      </c>
      <c r="M109" s="67">
        <f t="shared" si="3"/>
        <v>19.483357864706203</v>
      </c>
      <c r="N109" s="67">
        <f t="shared" si="3"/>
        <v>222.25962138509459</v>
      </c>
      <c r="O109" s="67">
        <f t="shared" si="3"/>
        <v>0</v>
      </c>
      <c r="P109" s="67">
        <f t="shared" si="3"/>
        <v>0.17298156148571076</v>
      </c>
      <c r="Q109" s="67">
        <f t="shared" si="3"/>
        <v>8.7653374350839929E-3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1685</v>
      </c>
      <c r="B9" s="64">
        <v>7.05</v>
      </c>
      <c r="C9" s="64">
        <v>38.21</v>
      </c>
      <c r="D9" s="64">
        <v>24.24</v>
      </c>
      <c r="E9" s="64">
        <v>5.39</v>
      </c>
      <c r="F9" s="64">
        <v>4.0199999999999996</v>
      </c>
      <c r="G9" s="64">
        <v>98.15</v>
      </c>
      <c r="H9" s="64">
        <v>28.1</v>
      </c>
      <c r="I9" s="64">
        <v>7.08</v>
      </c>
      <c r="J9" s="64">
        <v>0.48</v>
      </c>
      <c r="K9" s="64">
        <v>284.7</v>
      </c>
      <c r="L9" s="64">
        <v>17.16</v>
      </c>
      <c r="M9" s="64">
        <v>57.87</v>
      </c>
      <c r="N9" s="64">
        <v>26.2</v>
      </c>
      <c r="O9" s="64">
        <v>0</v>
      </c>
      <c r="P9" s="64">
        <v>0.95</v>
      </c>
      <c r="Q9" s="64">
        <v>9.6300000000000008</v>
      </c>
      <c r="R9" s="196"/>
      <c r="S9" s="196"/>
      <c r="T9" s="196"/>
      <c r="U9" s="196"/>
    </row>
    <row r="10" spans="1:21" s="12" customFormat="1" x14ac:dyDescent="0.25">
      <c r="A10" s="211" t="s">
        <v>1686</v>
      </c>
      <c r="B10" s="64">
        <v>6.75</v>
      </c>
      <c r="C10" s="64">
        <v>37.22</v>
      </c>
      <c r="D10" s="64">
        <v>23.48</v>
      </c>
      <c r="E10" s="64">
        <v>5.96</v>
      </c>
      <c r="F10" s="64">
        <v>3.95</v>
      </c>
      <c r="G10" s="64">
        <v>98.15</v>
      </c>
      <c r="H10" s="64">
        <v>28.1</v>
      </c>
      <c r="I10" s="64">
        <v>6.98</v>
      </c>
      <c r="J10" s="64">
        <v>0.36</v>
      </c>
      <c r="K10" s="64">
        <v>286.98</v>
      </c>
      <c r="L10" s="64">
        <v>16.21</v>
      </c>
      <c r="M10" s="64">
        <v>61.4</v>
      </c>
      <c r="N10" s="64">
        <v>26.3</v>
      </c>
      <c r="O10" s="64">
        <v>0</v>
      </c>
      <c r="P10" s="64">
        <v>0.92</v>
      </c>
      <c r="Q10" s="64">
        <v>9.6199999999999992</v>
      </c>
      <c r="R10" s="196"/>
      <c r="S10" s="196"/>
      <c r="T10" s="196"/>
      <c r="U10" s="196"/>
    </row>
    <row r="11" spans="1:21" s="12" customFormat="1" x14ac:dyDescent="0.25">
      <c r="A11" s="211" t="s">
        <v>1687</v>
      </c>
      <c r="B11" s="64">
        <v>6.74</v>
      </c>
      <c r="C11" s="64">
        <v>35.450000000000003</v>
      </c>
      <c r="D11" s="64">
        <v>22.56</v>
      </c>
      <c r="E11" s="64">
        <v>5.31</v>
      </c>
      <c r="F11" s="64">
        <v>3.86</v>
      </c>
      <c r="G11" s="64">
        <v>98.15</v>
      </c>
      <c r="H11" s="64">
        <v>28.1</v>
      </c>
      <c r="I11" s="64">
        <v>6.87</v>
      </c>
      <c r="J11" s="64">
        <v>0.25</v>
      </c>
      <c r="K11" s="64">
        <v>241.37</v>
      </c>
      <c r="L11" s="64">
        <v>16.010000000000002</v>
      </c>
      <c r="M11" s="64">
        <v>62.86</v>
      </c>
      <c r="N11" s="64">
        <v>25.6</v>
      </c>
      <c r="O11" s="64">
        <v>0</v>
      </c>
      <c r="P11" s="64">
        <v>0.88</v>
      </c>
      <c r="Q11" s="64">
        <v>9.6300000000000008</v>
      </c>
      <c r="R11" s="196"/>
      <c r="S11" s="196"/>
      <c r="T11" s="196"/>
      <c r="U11" s="196"/>
    </row>
    <row r="12" spans="1:21" s="12" customFormat="1" x14ac:dyDescent="0.25">
      <c r="A12" s="211" t="s">
        <v>1688</v>
      </c>
      <c r="B12" s="64">
        <v>6.85</v>
      </c>
      <c r="C12" s="64">
        <v>34.799999999999997</v>
      </c>
      <c r="D12" s="64">
        <v>22.3</v>
      </c>
      <c r="E12" s="64">
        <v>5.59</v>
      </c>
      <c r="F12" s="64">
        <v>3.76</v>
      </c>
      <c r="G12" s="64">
        <v>97.91</v>
      </c>
      <c r="H12" s="64">
        <v>43.71</v>
      </c>
      <c r="I12" s="64">
        <v>5.86</v>
      </c>
      <c r="J12" s="64">
        <v>0.47</v>
      </c>
      <c r="K12" s="64">
        <v>341.57</v>
      </c>
      <c r="L12" s="64">
        <v>15.56</v>
      </c>
      <c r="M12" s="64">
        <v>68.739999999999995</v>
      </c>
      <c r="N12" s="64">
        <v>26.2</v>
      </c>
      <c r="O12" s="64">
        <v>0</v>
      </c>
      <c r="P12" s="64">
        <v>0.84</v>
      </c>
      <c r="Q12" s="64">
        <v>9.6199999999999992</v>
      </c>
      <c r="R12" s="196"/>
      <c r="S12" s="196"/>
      <c r="T12" s="196"/>
      <c r="U12" s="196"/>
    </row>
    <row r="13" spans="1:21" s="12" customFormat="1" x14ac:dyDescent="0.25">
      <c r="A13" s="211" t="s">
        <v>1689</v>
      </c>
      <c r="B13" s="64">
        <v>7.02</v>
      </c>
      <c r="C13" s="64">
        <v>34.200000000000003</v>
      </c>
      <c r="D13" s="64">
        <v>22.12</v>
      </c>
      <c r="E13" s="64">
        <v>5.57</v>
      </c>
      <c r="F13" s="64">
        <v>3.71</v>
      </c>
      <c r="G13" s="64">
        <v>97.22</v>
      </c>
      <c r="H13" s="64">
        <v>73.569999999999993</v>
      </c>
      <c r="I13" s="64">
        <v>5.53</v>
      </c>
      <c r="J13" s="64">
        <v>0.12</v>
      </c>
      <c r="K13" s="64">
        <v>345.22</v>
      </c>
      <c r="L13" s="64">
        <v>15.19</v>
      </c>
      <c r="M13" s="64">
        <v>71.45</v>
      </c>
      <c r="N13" s="64">
        <v>26</v>
      </c>
      <c r="O13" s="64">
        <v>0</v>
      </c>
      <c r="P13" s="64">
        <v>0.79</v>
      </c>
      <c r="Q13" s="64">
        <v>9.6199999999999992</v>
      </c>
      <c r="R13" s="196"/>
      <c r="S13" s="196"/>
      <c r="T13" s="196"/>
      <c r="U13" s="196"/>
    </row>
    <row r="14" spans="1:21" s="12" customFormat="1" x14ac:dyDescent="0.25">
      <c r="A14" s="211" t="s">
        <v>1690</v>
      </c>
      <c r="B14" s="64">
        <v>7.29</v>
      </c>
      <c r="C14" s="64">
        <v>33.369999999999997</v>
      </c>
      <c r="D14" s="64">
        <v>21.91</v>
      </c>
      <c r="E14" s="64">
        <v>5.51</v>
      </c>
      <c r="F14" s="64">
        <v>3.45</v>
      </c>
      <c r="G14" s="64">
        <v>97.22</v>
      </c>
      <c r="H14" s="64">
        <v>73.569999999999993</v>
      </c>
      <c r="I14" s="64">
        <v>5.0199999999999996</v>
      </c>
      <c r="J14" s="64">
        <v>0.57999999999999996</v>
      </c>
      <c r="K14" s="64">
        <v>318.57</v>
      </c>
      <c r="L14" s="64">
        <v>14.83</v>
      </c>
      <c r="M14" s="64">
        <v>77.680000000000007</v>
      </c>
      <c r="N14" s="64">
        <v>25.9</v>
      </c>
      <c r="O14" s="64">
        <v>0</v>
      </c>
      <c r="P14" s="64">
        <v>0.83</v>
      </c>
      <c r="Q14" s="64">
        <v>9.6300000000000008</v>
      </c>
      <c r="R14" s="196"/>
      <c r="S14" s="196"/>
      <c r="T14" s="196"/>
      <c r="U14" s="196"/>
    </row>
    <row r="15" spans="1:21" s="12" customFormat="1" x14ac:dyDescent="0.25">
      <c r="A15" s="211" t="s">
        <v>1691</v>
      </c>
      <c r="B15" s="64">
        <v>7.49</v>
      </c>
      <c r="C15" s="64">
        <v>32.380000000000003</v>
      </c>
      <c r="D15" s="64">
        <v>21.54</v>
      </c>
      <c r="E15" s="64">
        <v>6.03</v>
      </c>
      <c r="F15" s="64">
        <v>3.68</v>
      </c>
      <c r="G15" s="64">
        <v>97.22</v>
      </c>
      <c r="H15" s="64">
        <v>73.569999999999993</v>
      </c>
      <c r="I15" s="64">
        <v>5.21</v>
      </c>
      <c r="J15" s="64">
        <v>0.64</v>
      </c>
      <c r="K15" s="64">
        <v>329.27</v>
      </c>
      <c r="L15" s="64">
        <v>14.82</v>
      </c>
      <c r="M15" s="64">
        <v>78.12</v>
      </c>
      <c r="N15" s="64">
        <v>24.9</v>
      </c>
      <c r="O15" s="64">
        <v>0</v>
      </c>
      <c r="P15" s="64">
        <v>0.86</v>
      </c>
      <c r="Q15" s="64">
        <v>9.6199999999999992</v>
      </c>
      <c r="R15" s="196"/>
      <c r="S15" s="196"/>
      <c r="T15" s="196"/>
      <c r="U15" s="196"/>
    </row>
    <row r="16" spans="1:21" s="12" customFormat="1" x14ac:dyDescent="0.25">
      <c r="A16" s="211" t="s">
        <v>1692</v>
      </c>
      <c r="B16" s="64">
        <v>7.53</v>
      </c>
      <c r="C16" s="64">
        <v>31.87</v>
      </c>
      <c r="D16" s="64">
        <v>21.31</v>
      </c>
      <c r="E16" s="64">
        <v>5.82</v>
      </c>
      <c r="F16" s="64">
        <v>3.43</v>
      </c>
      <c r="G16" s="64">
        <v>96.46</v>
      </c>
      <c r="H16" s="64">
        <v>69.22</v>
      </c>
      <c r="I16" s="64">
        <v>5.64</v>
      </c>
      <c r="J16" s="64">
        <v>1.1299999999999999</v>
      </c>
      <c r="K16" s="64">
        <v>325.76</v>
      </c>
      <c r="L16" s="64">
        <v>14.91</v>
      </c>
      <c r="M16" s="64">
        <v>75.89</v>
      </c>
      <c r="N16" s="64">
        <v>25.2</v>
      </c>
      <c r="O16" s="64">
        <v>0</v>
      </c>
      <c r="P16" s="64">
        <v>0.86</v>
      </c>
      <c r="Q16" s="64">
        <v>9.64</v>
      </c>
      <c r="R16" s="196"/>
      <c r="S16" s="196"/>
      <c r="T16" s="196"/>
      <c r="U16" s="196"/>
    </row>
    <row r="17" spans="1:21" s="12" customFormat="1" x14ac:dyDescent="0.25">
      <c r="A17" s="211" t="s">
        <v>1693</v>
      </c>
      <c r="B17" s="64">
        <v>7.52</v>
      </c>
      <c r="C17" s="64">
        <v>31.13</v>
      </c>
      <c r="D17" s="64">
        <v>20.92</v>
      </c>
      <c r="E17" s="64">
        <v>5.97</v>
      </c>
      <c r="F17" s="64">
        <v>4.09</v>
      </c>
      <c r="G17" s="64">
        <v>94.24</v>
      </c>
      <c r="H17" s="64">
        <v>60.92</v>
      </c>
      <c r="I17" s="64">
        <v>5.61</v>
      </c>
      <c r="J17" s="64">
        <v>1.1399999999999999</v>
      </c>
      <c r="K17" s="64">
        <v>329.22</v>
      </c>
      <c r="L17" s="64">
        <v>14.79</v>
      </c>
      <c r="M17" s="64">
        <v>74.44</v>
      </c>
      <c r="N17" s="64">
        <v>25.5</v>
      </c>
      <c r="O17" s="64">
        <v>0</v>
      </c>
      <c r="P17" s="64">
        <v>0.86</v>
      </c>
      <c r="Q17" s="64">
        <v>9.6300000000000008</v>
      </c>
      <c r="R17" s="196"/>
      <c r="S17" s="196"/>
      <c r="T17" s="196"/>
      <c r="U17" s="196"/>
    </row>
    <row r="18" spans="1:21" s="12" customFormat="1" x14ac:dyDescent="0.25">
      <c r="A18" s="211" t="s">
        <v>1694</v>
      </c>
      <c r="B18" s="64">
        <v>7.32</v>
      </c>
      <c r="C18" s="64">
        <v>31.12</v>
      </c>
      <c r="D18" s="64">
        <v>20.75</v>
      </c>
      <c r="E18" s="64">
        <v>6.06</v>
      </c>
      <c r="F18" s="64">
        <v>3.92</v>
      </c>
      <c r="G18" s="64">
        <v>94.24</v>
      </c>
      <c r="H18" s="64">
        <v>60.92</v>
      </c>
      <c r="I18" s="64">
        <v>5.71</v>
      </c>
      <c r="J18" s="64">
        <v>0.91</v>
      </c>
      <c r="K18" s="64">
        <v>324.68</v>
      </c>
      <c r="L18" s="64">
        <v>14.56</v>
      </c>
      <c r="M18" s="64">
        <v>74.319999999999993</v>
      </c>
      <c r="N18" s="64">
        <v>25.7</v>
      </c>
      <c r="O18" s="64">
        <v>0</v>
      </c>
      <c r="P18" s="64">
        <v>0.86</v>
      </c>
      <c r="Q18" s="64">
        <v>9.6199999999999992</v>
      </c>
      <c r="R18" s="196"/>
      <c r="S18" s="196"/>
      <c r="T18" s="196"/>
      <c r="U18" s="196"/>
    </row>
    <row r="19" spans="1:21" s="12" customFormat="1" x14ac:dyDescent="0.25">
      <c r="A19" s="211" t="s">
        <v>1695</v>
      </c>
      <c r="B19" s="64">
        <v>6.96</v>
      </c>
      <c r="C19" s="64">
        <v>31.08</v>
      </c>
      <c r="D19" s="64">
        <v>20.45</v>
      </c>
      <c r="E19" s="64">
        <v>6.74</v>
      </c>
      <c r="F19" s="64">
        <v>4.05</v>
      </c>
      <c r="G19" s="64">
        <v>94.24</v>
      </c>
      <c r="H19" s="64">
        <v>60.92</v>
      </c>
      <c r="I19" s="64">
        <v>5.86</v>
      </c>
      <c r="J19" s="64">
        <v>0.74</v>
      </c>
      <c r="K19" s="64">
        <v>342.32</v>
      </c>
      <c r="L19" s="64">
        <v>14.34</v>
      </c>
      <c r="M19" s="64">
        <v>75.260000000000005</v>
      </c>
      <c r="N19" s="64">
        <v>25.6</v>
      </c>
      <c r="O19" s="64">
        <v>0</v>
      </c>
      <c r="P19" s="64">
        <v>0.86</v>
      </c>
      <c r="Q19" s="64">
        <v>9.6300000000000008</v>
      </c>
      <c r="R19" s="196"/>
      <c r="S19" s="196"/>
      <c r="T19" s="196"/>
      <c r="U19" s="196"/>
    </row>
    <row r="20" spans="1:21" s="12" customFormat="1" x14ac:dyDescent="0.25">
      <c r="A20" s="211" t="s">
        <v>1696</v>
      </c>
      <c r="B20" s="64">
        <v>6.69</v>
      </c>
      <c r="C20" s="64">
        <v>31.16</v>
      </c>
      <c r="D20" s="64">
        <v>20.260000000000002</v>
      </c>
      <c r="E20" s="64">
        <v>6.9</v>
      </c>
      <c r="F20" s="64">
        <v>4.3</v>
      </c>
      <c r="G20" s="64">
        <v>98.97</v>
      </c>
      <c r="H20" s="64">
        <v>66.28</v>
      </c>
      <c r="I20" s="64">
        <v>5.86</v>
      </c>
      <c r="J20" s="64">
        <v>0.22</v>
      </c>
      <c r="K20" s="64">
        <v>341.77</v>
      </c>
      <c r="L20" s="64">
        <v>14.23</v>
      </c>
      <c r="M20" s="64">
        <v>75.67</v>
      </c>
      <c r="N20" s="64">
        <v>25.9</v>
      </c>
      <c r="O20" s="64">
        <v>0</v>
      </c>
      <c r="P20" s="64">
        <v>0.87</v>
      </c>
      <c r="Q20" s="64">
        <v>9.61</v>
      </c>
      <c r="R20" s="196"/>
      <c r="S20" s="196"/>
      <c r="T20" s="196"/>
      <c r="U20" s="196"/>
    </row>
    <row r="21" spans="1:21" s="12" customFormat="1" x14ac:dyDescent="0.25">
      <c r="A21" s="211" t="s">
        <v>1697</v>
      </c>
      <c r="B21" s="64">
        <v>6.6</v>
      </c>
      <c r="C21" s="64">
        <v>31.47</v>
      </c>
      <c r="D21" s="64">
        <v>20.36</v>
      </c>
      <c r="E21" s="64">
        <v>6.6</v>
      </c>
      <c r="F21" s="64">
        <v>4.3</v>
      </c>
      <c r="G21" s="64">
        <v>112.75</v>
      </c>
      <c r="H21" s="64">
        <v>77.010000000000005</v>
      </c>
      <c r="I21" s="64">
        <v>5.75</v>
      </c>
      <c r="J21" s="64">
        <v>0.71</v>
      </c>
      <c r="K21" s="64">
        <v>341.32</v>
      </c>
      <c r="L21" s="64">
        <v>14.36</v>
      </c>
      <c r="M21" s="64">
        <v>73.739999999999995</v>
      </c>
      <c r="N21" s="64">
        <v>25.3</v>
      </c>
      <c r="O21" s="64">
        <v>0</v>
      </c>
      <c r="P21" s="64">
        <v>0.88</v>
      </c>
      <c r="Q21" s="64">
        <v>9.6300000000000008</v>
      </c>
      <c r="R21" s="196"/>
      <c r="S21" s="196"/>
      <c r="T21" s="196"/>
      <c r="U21" s="196"/>
    </row>
    <row r="22" spans="1:21" s="12" customFormat="1" x14ac:dyDescent="0.25">
      <c r="A22" s="211" t="s">
        <v>1698</v>
      </c>
      <c r="B22" s="64">
        <v>6.53</v>
      </c>
      <c r="C22" s="64">
        <v>31.94</v>
      </c>
      <c r="D22" s="64">
        <v>20.55</v>
      </c>
      <c r="E22" s="64">
        <v>6.9</v>
      </c>
      <c r="F22" s="64">
        <v>4.1500000000000004</v>
      </c>
      <c r="G22" s="64">
        <v>112.75</v>
      </c>
      <c r="H22" s="64">
        <v>77.010000000000005</v>
      </c>
      <c r="I22" s="64">
        <v>5.68</v>
      </c>
      <c r="J22" s="64">
        <v>0.86</v>
      </c>
      <c r="K22" s="64">
        <v>330.31</v>
      </c>
      <c r="L22" s="64">
        <v>14.34</v>
      </c>
      <c r="M22" s="64">
        <v>73.17</v>
      </c>
      <c r="N22" s="64">
        <v>25.2</v>
      </c>
      <c r="O22" s="64">
        <v>0</v>
      </c>
      <c r="P22" s="64">
        <v>0.88</v>
      </c>
      <c r="Q22" s="64">
        <v>9.6199999999999992</v>
      </c>
      <c r="R22" s="196"/>
      <c r="S22" s="196"/>
      <c r="T22" s="196"/>
      <c r="U22" s="196"/>
    </row>
    <row r="23" spans="1:21" s="12" customFormat="1" x14ac:dyDescent="0.25">
      <c r="A23" s="211" t="s">
        <v>1699</v>
      </c>
      <c r="B23" s="64">
        <v>6.37</v>
      </c>
      <c r="C23" s="64">
        <v>32.43</v>
      </c>
      <c r="D23" s="64">
        <v>20.67</v>
      </c>
      <c r="E23" s="64">
        <v>7.11</v>
      </c>
      <c r="F23" s="64">
        <v>4.46</v>
      </c>
      <c r="G23" s="64">
        <v>112.75</v>
      </c>
      <c r="H23" s="64">
        <v>77.010000000000005</v>
      </c>
      <c r="I23" s="64">
        <v>5.64</v>
      </c>
      <c r="J23" s="64">
        <v>0.68</v>
      </c>
      <c r="K23" s="64">
        <v>332.08</v>
      </c>
      <c r="L23" s="64">
        <v>14.45</v>
      </c>
      <c r="M23" s="64">
        <v>72</v>
      </c>
      <c r="N23" s="64">
        <v>25.7</v>
      </c>
      <c r="O23" s="64">
        <v>0</v>
      </c>
      <c r="P23" s="64">
        <v>0.87</v>
      </c>
      <c r="Q23" s="64">
        <v>9.6199999999999992</v>
      </c>
      <c r="R23" s="196"/>
      <c r="S23" s="196"/>
      <c r="T23" s="196"/>
      <c r="U23" s="196"/>
    </row>
    <row r="24" spans="1:21" s="12" customFormat="1" x14ac:dyDescent="0.25">
      <c r="A24" s="211" t="s">
        <v>1700</v>
      </c>
      <c r="B24" s="64">
        <v>6.25</v>
      </c>
      <c r="C24" s="64">
        <v>32.979999999999997</v>
      </c>
      <c r="D24" s="64">
        <v>20.86</v>
      </c>
      <c r="E24" s="64">
        <v>5.81</v>
      </c>
      <c r="F24" s="64">
        <v>4.7</v>
      </c>
      <c r="G24" s="64">
        <v>116.87</v>
      </c>
      <c r="H24" s="64">
        <v>76.58</v>
      </c>
      <c r="I24" s="64">
        <v>5.57</v>
      </c>
      <c r="J24" s="64">
        <v>0.32</v>
      </c>
      <c r="K24" s="64">
        <v>312.75</v>
      </c>
      <c r="L24" s="64">
        <v>14.22</v>
      </c>
      <c r="M24" s="64">
        <v>73.680000000000007</v>
      </c>
      <c r="N24" s="64">
        <v>26</v>
      </c>
      <c r="O24" s="64">
        <v>0</v>
      </c>
      <c r="P24" s="64">
        <v>0.86</v>
      </c>
      <c r="Q24" s="64">
        <v>9.64</v>
      </c>
      <c r="R24" s="196"/>
      <c r="S24" s="196"/>
      <c r="T24" s="196"/>
      <c r="U24" s="196"/>
    </row>
    <row r="25" spans="1:21" s="12" customFormat="1" x14ac:dyDescent="0.25">
      <c r="A25" s="211" t="s">
        <v>1701</v>
      </c>
      <c r="B25" s="64">
        <v>6.33</v>
      </c>
      <c r="C25" s="64">
        <v>33.54</v>
      </c>
      <c r="D25" s="64">
        <v>21.22</v>
      </c>
      <c r="E25" s="64">
        <v>6.4</v>
      </c>
      <c r="F25" s="64">
        <v>4.1500000000000004</v>
      </c>
      <c r="G25" s="64">
        <v>128.86000000000001</v>
      </c>
      <c r="H25" s="64">
        <v>74.69</v>
      </c>
      <c r="I25" s="64">
        <v>5.45</v>
      </c>
      <c r="J25" s="64">
        <v>0.44</v>
      </c>
      <c r="K25" s="64">
        <v>151.32</v>
      </c>
      <c r="L25" s="64">
        <v>14.12</v>
      </c>
      <c r="M25" s="64">
        <v>74.239999999999995</v>
      </c>
      <c r="N25" s="64">
        <v>25.7</v>
      </c>
      <c r="O25" s="64">
        <v>0</v>
      </c>
      <c r="P25" s="64">
        <v>0.86</v>
      </c>
      <c r="Q25" s="64">
        <v>9.64</v>
      </c>
      <c r="R25" s="196"/>
      <c r="S25" s="196"/>
      <c r="T25" s="196"/>
      <c r="U25" s="196"/>
    </row>
    <row r="26" spans="1:21" s="12" customFormat="1" x14ac:dyDescent="0.25">
      <c r="A26" s="211" t="s">
        <v>1702</v>
      </c>
      <c r="B26" s="64">
        <v>6.42</v>
      </c>
      <c r="C26" s="64">
        <v>33.79</v>
      </c>
      <c r="D26" s="64">
        <v>21.43</v>
      </c>
      <c r="E26" s="64">
        <v>6.58</v>
      </c>
      <c r="F26" s="64">
        <v>4.07</v>
      </c>
      <c r="G26" s="64">
        <v>128.86000000000001</v>
      </c>
      <c r="H26" s="64">
        <v>74.69</v>
      </c>
      <c r="I26" s="64">
        <v>5.34</v>
      </c>
      <c r="J26" s="64">
        <v>0.45</v>
      </c>
      <c r="K26" s="64">
        <v>183.18</v>
      </c>
      <c r="L26" s="64">
        <v>14.01</v>
      </c>
      <c r="M26" s="64">
        <v>75.510000000000005</v>
      </c>
      <c r="N26" s="64">
        <v>25.8</v>
      </c>
      <c r="O26" s="64">
        <v>0</v>
      </c>
      <c r="P26" s="64">
        <v>0.88</v>
      </c>
      <c r="Q26" s="64">
        <v>9.6300000000000008</v>
      </c>
      <c r="R26" s="196"/>
      <c r="S26" s="196"/>
      <c r="T26" s="196"/>
      <c r="U26" s="196"/>
    </row>
    <row r="27" spans="1:21" s="12" customFormat="1" x14ac:dyDescent="0.25">
      <c r="A27" s="211" t="s">
        <v>1703</v>
      </c>
      <c r="B27" s="64">
        <v>6.59</v>
      </c>
      <c r="C27" s="64">
        <v>32.53</v>
      </c>
      <c r="D27" s="64">
        <v>20.9</v>
      </c>
      <c r="E27" s="64">
        <v>6.71</v>
      </c>
      <c r="F27" s="64">
        <v>4.29</v>
      </c>
      <c r="G27" s="64">
        <v>128.86000000000001</v>
      </c>
      <c r="H27" s="64">
        <v>74.69</v>
      </c>
      <c r="I27" s="64">
        <v>5.29</v>
      </c>
      <c r="J27" s="64">
        <v>0.37</v>
      </c>
      <c r="K27" s="64">
        <v>265.22000000000003</v>
      </c>
      <c r="L27" s="64">
        <v>13.86</v>
      </c>
      <c r="M27" s="64">
        <v>76.95</v>
      </c>
      <c r="N27" s="64">
        <v>26</v>
      </c>
      <c r="O27" s="64">
        <v>0</v>
      </c>
      <c r="P27" s="64">
        <v>0.9</v>
      </c>
      <c r="Q27" s="64">
        <v>9.6199999999999992</v>
      </c>
      <c r="R27" s="196"/>
      <c r="S27" s="196"/>
      <c r="T27" s="196"/>
      <c r="U27" s="196"/>
    </row>
    <row r="28" spans="1:21" s="12" customFormat="1" x14ac:dyDescent="0.25">
      <c r="A28" s="211" t="s">
        <v>1704</v>
      </c>
      <c r="B28" s="64">
        <v>6.92</v>
      </c>
      <c r="C28" s="64">
        <v>32.020000000000003</v>
      </c>
      <c r="D28" s="64">
        <v>20.91</v>
      </c>
      <c r="E28" s="64">
        <v>6.24</v>
      </c>
      <c r="F28" s="64">
        <v>4.25</v>
      </c>
      <c r="G28" s="64">
        <v>134.77000000000001</v>
      </c>
      <c r="H28" s="64">
        <v>51.61</v>
      </c>
      <c r="I28" s="64">
        <v>5.3</v>
      </c>
      <c r="J28" s="64">
        <v>0.6</v>
      </c>
      <c r="K28" s="64">
        <v>164.35</v>
      </c>
      <c r="L28" s="64">
        <v>13.81</v>
      </c>
      <c r="M28" s="64">
        <v>77.69</v>
      </c>
      <c r="N28" s="64">
        <v>25.3</v>
      </c>
      <c r="O28" s="64">
        <v>0</v>
      </c>
      <c r="P28" s="64">
        <v>0.96</v>
      </c>
      <c r="Q28" s="64">
        <v>9.6300000000000008</v>
      </c>
      <c r="R28" s="196"/>
      <c r="S28" s="196"/>
      <c r="T28" s="196"/>
      <c r="U28" s="196"/>
    </row>
    <row r="29" spans="1:21" s="12" customFormat="1" x14ac:dyDescent="0.25">
      <c r="A29" s="211" t="s">
        <v>1705</v>
      </c>
      <c r="B29" s="64">
        <v>7.3</v>
      </c>
      <c r="C29" s="64">
        <v>31.97</v>
      </c>
      <c r="D29" s="64">
        <v>21.18</v>
      </c>
      <c r="E29" s="64">
        <v>6.47</v>
      </c>
      <c r="F29" s="64">
        <v>4.07</v>
      </c>
      <c r="G29" s="64">
        <v>151.99</v>
      </c>
      <c r="H29" s="64">
        <v>7.47</v>
      </c>
      <c r="I29" s="64">
        <v>5.39</v>
      </c>
      <c r="J29" s="64">
        <v>0.28000000000000003</v>
      </c>
      <c r="K29" s="64">
        <v>193.87</v>
      </c>
      <c r="L29" s="64">
        <v>13.86</v>
      </c>
      <c r="M29" s="64">
        <v>77.56</v>
      </c>
      <c r="N29" s="64">
        <v>25.7</v>
      </c>
      <c r="O29" s="64">
        <v>0</v>
      </c>
      <c r="P29" s="64">
        <v>1.03</v>
      </c>
      <c r="Q29" s="64">
        <v>9.6300000000000008</v>
      </c>
      <c r="R29" s="196"/>
      <c r="S29" s="196"/>
      <c r="T29" s="196"/>
      <c r="U29" s="196"/>
    </row>
    <row r="30" spans="1:21" s="12" customFormat="1" x14ac:dyDescent="0.25">
      <c r="A30" s="211" t="s">
        <v>1706</v>
      </c>
      <c r="B30" s="64">
        <v>7.7</v>
      </c>
      <c r="C30" s="64">
        <v>31.51</v>
      </c>
      <c r="D30" s="64">
        <v>21.26</v>
      </c>
      <c r="E30" s="64">
        <v>6.49</v>
      </c>
      <c r="F30" s="64">
        <v>4.0599999999999996</v>
      </c>
      <c r="G30" s="64">
        <v>151.99</v>
      </c>
      <c r="H30" s="64">
        <v>7.47</v>
      </c>
      <c r="I30" s="64">
        <v>5.47</v>
      </c>
      <c r="J30" s="64">
        <v>0.46</v>
      </c>
      <c r="K30" s="64">
        <v>327.52</v>
      </c>
      <c r="L30" s="64">
        <v>13.78</v>
      </c>
      <c r="M30" s="64">
        <v>79.790000000000006</v>
      </c>
      <c r="N30" s="64">
        <v>25.9</v>
      </c>
      <c r="O30" s="64">
        <v>0</v>
      </c>
      <c r="P30" s="64">
        <v>1.06</v>
      </c>
      <c r="Q30" s="64">
        <v>9.6300000000000008</v>
      </c>
      <c r="R30" s="196"/>
      <c r="S30" s="196"/>
      <c r="T30" s="196"/>
      <c r="U30" s="196"/>
    </row>
    <row r="31" spans="1:21" s="12" customFormat="1" x14ac:dyDescent="0.25">
      <c r="A31" s="211" t="s">
        <v>1707</v>
      </c>
      <c r="B31" s="64">
        <v>9.15</v>
      </c>
      <c r="C31" s="64">
        <v>31.18</v>
      </c>
      <c r="D31" s="64">
        <v>22.25</v>
      </c>
      <c r="E31" s="64">
        <v>6.42</v>
      </c>
      <c r="F31" s="64">
        <v>3.88</v>
      </c>
      <c r="G31" s="64">
        <v>151.99</v>
      </c>
      <c r="H31" s="64">
        <v>7.47</v>
      </c>
      <c r="I31" s="64">
        <v>5.46</v>
      </c>
      <c r="J31" s="64">
        <v>0.45</v>
      </c>
      <c r="K31" s="64">
        <v>338.04</v>
      </c>
      <c r="L31" s="64">
        <v>13.26</v>
      </c>
      <c r="M31" s="64">
        <v>83.98</v>
      </c>
      <c r="N31" s="64">
        <v>26</v>
      </c>
      <c r="O31" s="64">
        <v>0</v>
      </c>
      <c r="P31" s="64">
        <v>1.1299999999999999</v>
      </c>
      <c r="Q31" s="64">
        <v>9.6300000000000008</v>
      </c>
      <c r="R31" s="196"/>
      <c r="S31" s="196"/>
      <c r="T31" s="196"/>
      <c r="U31" s="196"/>
    </row>
    <row r="32" spans="1:21" s="12" customFormat="1" x14ac:dyDescent="0.25">
      <c r="A32" s="211" t="s">
        <v>1708</v>
      </c>
      <c r="B32" s="64">
        <v>10.57</v>
      </c>
      <c r="C32" s="64">
        <v>30.75</v>
      </c>
      <c r="D32" s="64">
        <v>23.17</v>
      </c>
      <c r="E32" s="64">
        <v>6.39</v>
      </c>
      <c r="F32" s="64">
        <v>4.04</v>
      </c>
      <c r="G32" s="64">
        <v>154.83000000000001</v>
      </c>
      <c r="H32" s="64">
        <v>63.12</v>
      </c>
      <c r="I32" s="64">
        <v>5.62</v>
      </c>
      <c r="J32" s="64">
        <v>0.5</v>
      </c>
      <c r="K32" s="64">
        <v>311.77999999999997</v>
      </c>
      <c r="L32" s="64">
        <v>12.92</v>
      </c>
      <c r="M32" s="64">
        <v>85.17</v>
      </c>
      <c r="N32" s="64">
        <v>26</v>
      </c>
      <c r="O32" s="64">
        <v>0</v>
      </c>
      <c r="P32" s="64">
        <v>1.1499999999999999</v>
      </c>
      <c r="Q32" s="64">
        <v>9.64</v>
      </c>
      <c r="R32" s="196"/>
      <c r="S32" s="196"/>
      <c r="T32" s="196"/>
      <c r="U32" s="196"/>
    </row>
    <row r="33" spans="1:21" s="12" customFormat="1" x14ac:dyDescent="0.25">
      <c r="A33" s="211" t="s">
        <v>1709</v>
      </c>
      <c r="B33" s="64">
        <v>11.6</v>
      </c>
      <c r="C33" s="64">
        <v>30.52</v>
      </c>
      <c r="D33" s="64">
        <v>23.87</v>
      </c>
      <c r="E33" s="64">
        <v>6.45</v>
      </c>
      <c r="F33" s="64">
        <v>4.12</v>
      </c>
      <c r="G33" s="64">
        <v>163.08000000000001</v>
      </c>
      <c r="H33" s="64">
        <v>130.57</v>
      </c>
      <c r="I33" s="64">
        <v>5.82</v>
      </c>
      <c r="J33" s="64">
        <v>0.39</v>
      </c>
      <c r="K33" s="64">
        <v>339.49</v>
      </c>
      <c r="L33" s="64">
        <v>13.1</v>
      </c>
      <c r="M33" s="64">
        <v>83.41</v>
      </c>
      <c r="N33" s="64">
        <v>27</v>
      </c>
      <c r="O33" s="64">
        <v>0</v>
      </c>
      <c r="P33" s="64">
        <v>1.24</v>
      </c>
      <c r="Q33" s="64">
        <v>9.65</v>
      </c>
      <c r="R33" s="196"/>
      <c r="S33" s="196"/>
      <c r="T33" s="196"/>
      <c r="U33" s="196"/>
    </row>
    <row r="34" spans="1:21" s="12" customFormat="1" x14ac:dyDescent="0.25">
      <c r="A34" s="211" t="s">
        <v>1710</v>
      </c>
      <c r="B34" s="64">
        <v>13.01</v>
      </c>
      <c r="C34" s="64">
        <v>30.13</v>
      </c>
      <c r="D34" s="64">
        <v>24.8</v>
      </c>
      <c r="E34" s="64">
        <v>6.33</v>
      </c>
      <c r="F34" s="64">
        <v>3.71</v>
      </c>
      <c r="G34" s="64">
        <v>163.08000000000001</v>
      </c>
      <c r="H34" s="64">
        <v>130.57</v>
      </c>
      <c r="I34" s="64">
        <v>5.6</v>
      </c>
      <c r="J34" s="64">
        <v>0.15</v>
      </c>
      <c r="K34" s="64">
        <v>115.67</v>
      </c>
      <c r="L34" s="64">
        <v>13.35</v>
      </c>
      <c r="M34" s="64">
        <v>80.3</v>
      </c>
      <c r="N34" s="64">
        <v>32.5</v>
      </c>
      <c r="O34" s="64">
        <v>0</v>
      </c>
      <c r="P34" s="64">
        <v>1.1399999999999999</v>
      </c>
      <c r="Q34" s="64">
        <v>9.64</v>
      </c>
      <c r="R34" s="196"/>
      <c r="S34" s="196"/>
      <c r="T34" s="196"/>
      <c r="U34" s="196"/>
    </row>
    <row r="35" spans="1:21" s="12" customFormat="1" x14ac:dyDescent="0.25">
      <c r="A35" s="211" t="s">
        <v>1711</v>
      </c>
      <c r="B35" s="64">
        <v>13.42</v>
      </c>
      <c r="C35" s="64">
        <v>29.79</v>
      </c>
      <c r="D35" s="64">
        <v>24.95</v>
      </c>
      <c r="E35" s="64">
        <v>6.49</v>
      </c>
      <c r="F35" s="64">
        <v>4</v>
      </c>
      <c r="G35" s="64">
        <v>163.08000000000001</v>
      </c>
      <c r="H35" s="64">
        <v>130.57</v>
      </c>
      <c r="I35" s="64">
        <v>5.46</v>
      </c>
      <c r="J35" s="64">
        <v>0.43</v>
      </c>
      <c r="K35" s="64">
        <v>69.790000000000006</v>
      </c>
      <c r="L35" s="64">
        <v>13.68</v>
      </c>
      <c r="M35" s="64">
        <v>77.349999999999994</v>
      </c>
      <c r="N35" s="64">
        <v>45.1</v>
      </c>
      <c r="O35" s="64">
        <v>0</v>
      </c>
      <c r="P35" s="64">
        <v>1.1200000000000001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1712</v>
      </c>
      <c r="B36" s="64">
        <v>13.19</v>
      </c>
      <c r="C36" s="64">
        <v>29.95</v>
      </c>
      <c r="D36" s="64">
        <v>24.85</v>
      </c>
      <c r="E36" s="64">
        <v>6.27</v>
      </c>
      <c r="F36" s="64">
        <v>4.17</v>
      </c>
      <c r="G36" s="64">
        <v>157.25</v>
      </c>
      <c r="H36" s="64">
        <v>130.57</v>
      </c>
      <c r="I36" s="64">
        <v>5.35</v>
      </c>
      <c r="J36" s="64">
        <v>0.36</v>
      </c>
      <c r="K36" s="64">
        <v>103.04</v>
      </c>
      <c r="L36" s="64">
        <v>14.05</v>
      </c>
      <c r="M36" s="64">
        <v>76.03</v>
      </c>
      <c r="N36" s="64">
        <v>60.6</v>
      </c>
      <c r="O36" s="64">
        <v>0</v>
      </c>
      <c r="P36" s="64">
        <v>1.1100000000000001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1713</v>
      </c>
      <c r="B37" s="64">
        <v>12.85</v>
      </c>
      <c r="C37" s="64">
        <v>30.49</v>
      </c>
      <c r="D37" s="64">
        <v>24.86</v>
      </c>
      <c r="E37" s="64">
        <v>6.4</v>
      </c>
      <c r="F37" s="64">
        <v>4.3</v>
      </c>
      <c r="G37" s="64">
        <v>140.27000000000001</v>
      </c>
      <c r="H37" s="64">
        <v>126.1</v>
      </c>
      <c r="I37" s="64">
        <v>5.4</v>
      </c>
      <c r="J37" s="64">
        <v>7.0000000000000007E-2</v>
      </c>
      <c r="K37" s="64">
        <v>3.2</v>
      </c>
      <c r="L37" s="64">
        <v>14.62</v>
      </c>
      <c r="M37" s="64">
        <v>74.11</v>
      </c>
      <c r="N37" s="64">
        <v>79</v>
      </c>
      <c r="O37" s="64">
        <v>0</v>
      </c>
      <c r="P37" s="64">
        <v>0.99</v>
      </c>
      <c r="Q37" s="64">
        <v>9.6300000000000008</v>
      </c>
      <c r="R37" s="196"/>
      <c r="S37" s="196"/>
      <c r="T37" s="196"/>
      <c r="U37" s="196"/>
    </row>
    <row r="38" spans="1:21" s="12" customFormat="1" x14ac:dyDescent="0.25">
      <c r="A38" s="211" t="s">
        <v>1714</v>
      </c>
      <c r="B38" s="64">
        <v>13.71</v>
      </c>
      <c r="C38" s="64">
        <v>31.56</v>
      </c>
      <c r="D38" s="64">
        <v>26.11</v>
      </c>
      <c r="E38" s="64">
        <v>6.05</v>
      </c>
      <c r="F38" s="64">
        <v>4.38</v>
      </c>
      <c r="G38" s="64">
        <v>140.27000000000001</v>
      </c>
      <c r="H38" s="64">
        <v>126.1</v>
      </c>
      <c r="I38" s="64">
        <v>5.64</v>
      </c>
      <c r="J38" s="64">
        <v>0.27</v>
      </c>
      <c r="K38" s="64">
        <v>295.33</v>
      </c>
      <c r="L38" s="64">
        <v>15.65</v>
      </c>
      <c r="M38" s="64">
        <v>68.709999999999994</v>
      </c>
      <c r="N38" s="64">
        <v>149.6</v>
      </c>
      <c r="O38" s="64">
        <v>0</v>
      </c>
      <c r="P38" s="64">
        <v>1.03</v>
      </c>
      <c r="Q38" s="64">
        <v>9.64</v>
      </c>
      <c r="R38" s="196"/>
      <c r="S38" s="196"/>
      <c r="T38" s="196"/>
      <c r="U38" s="196"/>
    </row>
    <row r="39" spans="1:21" s="12" customFormat="1" x14ac:dyDescent="0.25">
      <c r="A39" s="211" t="s">
        <v>1715</v>
      </c>
      <c r="B39" s="64">
        <v>15.45</v>
      </c>
      <c r="C39" s="64">
        <v>33.07</v>
      </c>
      <c r="D39" s="64">
        <v>28.3</v>
      </c>
      <c r="E39" s="64">
        <v>6.34</v>
      </c>
      <c r="F39" s="64">
        <v>4.2699999999999996</v>
      </c>
      <c r="G39" s="64">
        <v>140.27000000000001</v>
      </c>
      <c r="H39" s="64">
        <v>126.1</v>
      </c>
      <c r="I39" s="64">
        <v>5.42</v>
      </c>
      <c r="J39" s="64">
        <v>0.64</v>
      </c>
      <c r="K39" s="64">
        <v>331.47</v>
      </c>
      <c r="L39" s="64">
        <v>17.89</v>
      </c>
      <c r="M39" s="64">
        <v>59.96</v>
      </c>
      <c r="N39" s="64">
        <v>212.8</v>
      </c>
      <c r="O39" s="64">
        <v>0</v>
      </c>
      <c r="P39" s="64">
        <v>1.03</v>
      </c>
      <c r="Q39" s="64">
        <v>9.6300000000000008</v>
      </c>
      <c r="R39" s="196"/>
      <c r="S39" s="196"/>
      <c r="T39" s="196"/>
      <c r="U39" s="196"/>
    </row>
    <row r="40" spans="1:21" s="12" customFormat="1" x14ac:dyDescent="0.25">
      <c r="A40" s="211" t="s">
        <v>1716</v>
      </c>
      <c r="B40" s="64">
        <v>16.63</v>
      </c>
      <c r="C40" s="64">
        <v>34.130000000000003</v>
      </c>
      <c r="D40" s="64">
        <v>29.79</v>
      </c>
      <c r="E40" s="64">
        <v>4.26</v>
      </c>
      <c r="F40" s="64">
        <v>4.2699999999999996</v>
      </c>
      <c r="G40" s="64">
        <v>133.53</v>
      </c>
      <c r="H40" s="64">
        <v>104.43</v>
      </c>
      <c r="I40" s="64">
        <v>5.22</v>
      </c>
      <c r="J40" s="64">
        <v>0.64</v>
      </c>
      <c r="K40" s="64">
        <v>329.12</v>
      </c>
      <c r="L40" s="64">
        <v>19.899999999999999</v>
      </c>
      <c r="M40" s="64">
        <v>51.27</v>
      </c>
      <c r="N40" s="64">
        <v>260.7</v>
      </c>
      <c r="O40" s="64">
        <v>0</v>
      </c>
      <c r="P40" s="64">
        <v>1.01</v>
      </c>
      <c r="Q40" s="64">
        <v>9.64</v>
      </c>
      <c r="R40" s="196"/>
      <c r="S40" s="196"/>
      <c r="T40" s="196"/>
      <c r="U40" s="196"/>
    </row>
    <row r="41" spans="1:21" s="12" customFormat="1" x14ac:dyDescent="0.25">
      <c r="A41" s="211" t="s">
        <v>1717</v>
      </c>
      <c r="B41" s="64">
        <v>17.28</v>
      </c>
      <c r="C41" s="64">
        <v>35.659999999999997</v>
      </c>
      <c r="D41" s="64">
        <v>31.11</v>
      </c>
      <c r="E41" s="64">
        <v>5.07</v>
      </c>
      <c r="F41" s="64">
        <v>3.95</v>
      </c>
      <c r="G41" s="64">
        <v>113.91</v>
      </c>
      <c r="H41" s="64">
        <v>17.78</v>
      </c>
      <c r="I41" s="64">
        <v>5.15</v>
      </c>
      <c r="J41" s="64">
        <v>0.86</v>
      </c>
      <c r="K41" s="64">
        <v>341.33</v>
      </c>
      <c r="L41" s="64">
        <v>22.17</v>
      </c>
      <c r="M41" s="64">
        <v>43.88</v>
      </c>
      <c r="N41" s="64">
        <v>304.3</v>
      </c>
      <c r="O41" s="64">
        <v>0</v>
      </c>
      <c r="P41" s="64">
        <v>1</v>
      </c>
      <c r="Q41" s="64">
        <v>9.64</v>
      </c>
      <c r="R41" s="196"/>
      <c r="S41" s="196"/>
      <c r="T41" s="196"/>
      <c r="U41" s="196"/>
    </row>
    <row r="42" spans="1:21" s="12" customFormat="1" x14ac:dyDescent="0.25">
      <c r="A42" s="211" t="s">
        <v>1718</v>
      </c>
      <c r="B42" s="64">
        <v>17.690000000000001</v>
      </c>
      <c r="C42" s="64">
        <v>36.96</v>
      </c>
      <c r="D42" s="64">
        <v>32.119999999999997</v>
      </c>
      <c r="E42" s="64">
        <v>5.42</v>
      </c>
      <c r="F42" s="64">
        <v>3.83</v>
      </c>
      <c r="G42" s="64">
        <v>113.91</v>
      </c>
      <c r="H42" s="64">
        <v>17.78</v>
      </c>
      <c r="I42" s="64">
        <v>5.12</v>
      </c>
      <c r="J42" s="64">
        <v>0.92</v>
      </c>
      <c r="K42" s="64">
        <v>101.77</v>
      </c>
      <c r="L42" s="64">
        <v>21.25</v>
      </c>
      <c r="M42" s="64">
        <v>45.8</v>
      </c>
      <c r="N42" s="64">
        <v>350.1</v>
      </c>
      <c r="O42" s="64">
        <v>0</v>
      </c>
      <c r="P42" s="64">
        <v>0.99</v>
      </c>
      <c r="Q42" s="64">
        <v>9.64</v>
      </c>
      <c r="R42" s="196"/>
      <c r="S42" s="196"/>
      <c r="T42" s="196"/>
      <c r="U42" s="196"/>
    </row>
    <row r="43" spans="1:21" s="12" customFormat="1" x14ac:dyDescent="0.25">
      <c r="A43" s="211" t="s">
        <v>1719</v>
      </c>
      <c r="B43" s="64">
        <v>17.149999999999999</v>
      </c>
      <c r="C43" s="64">
        <v>37.32</v>
      </c>
      <c r="D43" s="64">
        <v>31.88</v>
      </c>
      <c r="E43" s="64">
        <v>5.17</v>
      </c>
      <c r="F43" s="64">
        <v>3.77</v>
      </c>
      <c r="G43" s="64">
        <v>113.91</v>
      </c>
      <c r="H43" s="64">
        <v>17.78</v>
      </c>
      <c r="I43" s="64">
        <v>5.0599999999999996</v>
      </c>
      <c r="J43" s="64">
        <v>0.37</v>
      </c>
      <c r="K43" s="64">
        <v>83.46</v>
      </c>
      <c r="L43" s="64">
        <v>20.92</v>
      </c>
      <c r="M43" s="64">
        <v>49.07</v>
      </c>
      <c r="N43" s="64">
        <v>387.9</v>
      </c>
      <c r="O43" s="64">
        <v>0</v>
      </c>
      <c r="P43" s="64">
        <v>0.95</v>
      </c>
      <c r="Q43" s="64">
        <v>9.65</v>
      </c>
      <c r="R43" s="196"/>
      <c r="S43" s="196"/>
      <c r="T43" s="196"/>
      <c r="U43" s="196"/>
    </row>
    <row r="44" spans="1:21" s="12" customFormat="1" x14ac:dyDescent="0.25">
      <c r="A44" s="211" t="s">
        <v>1720</v>
      </c>
      <c r="B44" s="64">
        <v>16.7</v>
      </c>
      <c r="C44" s="64">
        <v>35.92</v>
      </c>
      <c r="D44" s="64">
        <v>30.78</v>
      </c>
      <c r="E44" s="64">
        <v>5.12</v>
      </c>
      <c r="F44" s="64">
        <v>3.79</v>
      </c>
      <c r="G44" s="64">
        <v>112.08</v>
      </c>
      <c r="H44" s="64">
        <v>66.31</v>
      </c>
      <c r="I44" s="64">
        <v>5.12</v>
      </c>
      <c r="J44" s="64">
        <v>0.76</v>
      </c>
      <c r="K44" s="64">
        <v>341.77</v>
      </c>
      <c r="L44" s="64">
        <v>24.44</v>
      </c>
      <c r="M44" s="64">
        <v>39.72</v>
      </c>
      <c r="N44" s="64">
        <v>422.1</v>
      </c>
      <c r="O44" s="64">
        <v>0</v>
      </c>
      <c r="P44" s="64">
        <v>0.92</v>
      </c>
      <c r="Q44" s="64">
        <v>9.64</v>
      </c>
      <c r="R44" s="196"/>
      <c r="S44" s="196"/>
      <c r="T44" s="196"/>
      <c r="U44" s="196"/>
    </row>
    <row r="45" spans="1:21" s="12" customFormat="1" x14ac:dyDescent="0.25">
      <c r="A45" s="211" t="s">
        <v>1721</v>
      </c>
      <c r="B45" s="64">
        <v>16.64</v>
      </c>
      <c r="C45" s="64">
        <v>36.04</v>
      </c>
      <c r="D45" s="64">
        <v>30.8</v>
      </c>
      <c r="E45" s="64">
        <v>4.8600000000000003</v>
      </c>
      <c r="F45" s="64">
        <v>3.75</v>
      </c>
      <c r="G45" s="64">
        <v>106.75</v>
      </c>
      <c r="H45" s="209" t="s">
        <v>42</v>
      </c>
      <c r="I45" s="64">
        <v>5.1100000000000003</v>
      </c>
      <c r="J45" s="64">
        <v>1.0900000000000001</v>
      </c>
      <c r="K45" s="64">
        <v>110.8</v>
      </c>
      <c r="L45" s="64">
        <v>22.62</v>
      </c>
      <c r="M45" s="64">
        <v>43.72</v>
      </c>
      <c r="N45" s="64">
        <v>466.1</v>
      </c>
      <c r="O45" s="64">
        <v>0</v>
      </c>
      <c r="P45" s="64">
        <v>0.92</v>
      </c>
      <c r="Q45" s="64">
        <v>9.66</v>
      </c>
      <c r="R45" s="196"/>
      <c r="S45" s="196"/>
      <c r="T45" s="196"/>
      <c r="U45" s="196"/>
    </row>
    <row r="46" spans="1:21" s="12" customFormat="1" x14ac:dyDescent="0.25">
      <c r="A46" s="211" t="s">
        <v>1722</v>
      </c>
      <c r="B46" s="64">
        <v>15.92</v>
      </c>
      <c r="C46" s="64">
        <v>35.549999999999997</v>
      </c>
      <c r="D46" s="64">
        <v>29.96</v>
      </c>
      <c r="E46" s="64">
        <v>4.74</v>
      </c>
      <c r="F46" s="64">
        <v>4.07</v>
      </c>
      <c r="G46" s="64">
        <v>106.75</v>
      </c>
      <c r="H46" s="209" t="s">
        <v>42</v>
      </c>
      <c r="I46" s="64">
        <v>5.16</v>
      </c>
      <c r="J46" s="64">
        <v>1.65</v>
      </c>
      <c r="K46" s="64">
        <v>114.48</v>
      </c>
      <c r="L46" s="64">
        <v>20.93</v>
      </c>
      <c r="M46" s="64">
        <v>47.57</v>
      </c>
      <c r="N46" s="64">
        <v>493.6</v>
      </c>
      <c r="O46" s="64">
        <v>0</v>
      </c>
      <c r="P46" s="64">
        <v>0.9</v>
      </c>
      <c r="Q46" s="64">
        <v>9.64</v>
      </c>
      <c r="R46" s="196"/>
      <c r="S46" s="196"/>
      <c r="T46" s="196"/>
      <c r="U46" s="196"/>
    </row>
    <row r="47" spans="1:21" s="12" customFormat="1" x14ac:dyDescent="0.25">
      <c r="A47" s="211" t="s">
        <v>1723</v>
      </c>
      <c r="B47" s="64">
        <v>14.66</v>
      </c>
      <c r="C47" s="64">
        <v>35.020000000000003</v>
      </c>
      <c r="D47" s="64">
        <v>28.68</v>
      </c>
      <c r="E47" s="64">
        <v>4.74</v>
      </c>
      <c r="F47" s="64">
        <v>4.07</v>
      </c>
      <c r="G47" s="64">
        <v>106.75</v>
      </c>
      <c r="H47" s="209" t="s">
        <v>42</v>
      </c>
      <c r="I47" s="64">
        <v>5.66</v>
      </c>
      <c r="J47" s="64">
        <v>0.59</v>
      </c>
      <c r="K47" s="64">
        <v>106.77</v>
      </c>
      <c r="L47" s="64">
        <v>22.39</v>
      </c>
      <c r="M47" s="64">
        <v>44.31</v>
      </c>
      <c r="N47" s="64">
        <v>516.79999999999995</v>
      </c>
      <c r="O47" s="64">
        <v>0</v>
      </c>
      <c r="P47" s="64">
        <v>0.87</v>
      </c>
      <c r="Q47" s="64">
        <v>9.6300000000000008</v>
      </c>
      <c r="R47" s="196"/>
      <c r="S47" s="196"/>
      <c r="T47" s="196"/>
      <c r="U47" s="196"/>
    </row>
    <row r="48" spans="1:21" s="12" customFormat="1" x14ac:dyDescent="0.25">
      <c r="A48" s="211" t="s">
        <v>1724</v>
      </c>
      <c r="B48" s="64">
        <v>13.54</v>
      </c>
      <c r="C48" s="64">
        <v>34.68</v>
      </c>
      <c r="D48" s="64">
        <v>27.6</v>
      </c>
      <c r="E48" s="64">
        <v>4.38</v>
      </c>
      <c r="F48" s="64">
        <v>4.24</v>
      </c>
      <c r="G48" s="64">
        <v>104.05</v>
      </c>
      <c r="H48" s="209" t="s">
        <v>42</v>
      </c>
      <c r="I48" s="64">
        <v>6.24</v>
      </c>
      <c r="J48" s="64">
        <v>0.27</v>
      </c>
      <c r="K48" s="64">
        <v>12.44</v>
      </c>
      <c r="L48" s="64">
        <v>24.72</v>
      </c>
      <c r="M48" s="64">
        <v>39.01</v>
      </c>
      <c r="N48" s="64">
        <v>549.70000000000005</v>
      </c>
      <c r="O48" s="64">
        <v>0</v>
      </c>
      <c r="P48" s="64">
        <v>0.83</v>
      </c>
      <c r="Q48" s="64">
        <v>9.64</v>
      </c>
      <c r="R48" s="196"/>
      <c r="S48" s="196"/>
      <c r="T48" s="196"/>
      <c r="U48" s="196"/>
    </row>
    <row r="49" spans="1:21" s="12" customFormat="1" x14ac:dyDescent="0.25">
      <c r="A49" s="211" t="s">
        <v>1725</v>
      </c>
      <c r="B49" s="64">
        <v>12.71</v>
      </c>
      <c r="C49" s="64">
        <v>34.619999999999997</v>
      </c>
      <c r="D49" s="64">
        <v>26.91</v>
      </c>
      <c r="E49" s="64">
        <v>4.6100000000000003</v>
      </c>
      <c r="F49" s="64">
        <v>3.59</v>
      </c>
      <c r="G49" s="64">
        <v>96.18</v>
      </c>
      <c r="H49" s="209" t="s">
        <v>42</v>
      </c>
      <c r="I49" s="64">
        <v>6.17</v>
      </c>
      <c r="J49" s="64">
        <v>1.59</v>
      </c>
      <c r="K49" s="64">
        <v>109.64</v>
      </c>
      <c r="L49" s="64">
        <v>23.61</v>
      </c>
      <c r="M49" s="64">
        <v>39.01</v>
      </c>
      <c r="N49" s="64">
        <v>601.79999999999995</v>
      </c>
      <c r="O49" s="64">
        <v>0</v>
      </c>
      <c r="P49" s="64">
        <v>0.85</v>
      </c>
      <c r="Q49" s="64">
        <v>9.64</v>
      </c>
      <c r="R49" s="196"/>
      <c r="S49" s="196"/>
      <c r="T49" s="196"/>
      <c r="U49" s="196"/>
    </row>
    <row r="50" spans="1:21" s="12" customFormat="1" x14ac:dyDescent="0.25">
      <c r="A50" s="211" t="s">
        <v>1726</v>
      </c>
      <c r="B50" s="64">
        <v>11.34</v>
      </c>
      <c r="C50" s="64">
        <v>34.119999999999997</v>
      </c>
      <c r="D50" s="64">
        <v>25.54</v>
      </c>
      <c r="E50" s="64">
        <v>4.59</v>
      </c>
      <c r="F50" s="64">
        <v>3.63</v>
      </c>
      <c r="G50" s="64">
        <v>96.18</v>
      </c>
      <c r="H50" s="209" t="s">
        <v>42</v>
      </c>
      <c r="I50" s="64">
        <v>5.59</v>
      </c>
      <c r="J50" s="64">
        <v>0.96</v>
      </c>
      <c r="K50" s="64">
        <v>108.49</v>
      </c>
      <c r="L50" s="64">
        <v>22.83</v>
      </c>
      <c r="M50" s="64">
        <v>41.1</v>
      </c>
      <c r="N50" s="64">
        <v>629.79999999999995</v>
      </c>
      <c r="O50" s="64">
        <v>0</v>
      </c>
      <c r="P50" s="64">
        <v>0.81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1727</v>
      </c>
      <c r="B51" s="64">
        <v>9.85</v>
      </c>
      <c r="C51" s="64">
        <v>34.19</v>
      </c>
      <c r="D51" s="64">
        <v>24.39</v>
      </c>
      <c r="E51" s="64">
        <v>4.5599999999999996</v>
      </c>
      <c r="F51" s="64">
        <v>3.95</v>
      </c>
      <c r="G51" s="64">
        <v>96.18</v>
      </c>
      <c r="H51" s="209" t="s">
        <v>42</v>
      </c>
      <c r="I51" s="64">
        <v>6.48</v>
      </c>
      <c r="J51" s="64">
        <v>1.04</v>
      </c>
      <c r="K51" s="64">
        <v>117.42</v>
      </c>
      <c r="L51" s="64">
        <v>24.18</v>
      </c>
      <c r="M51" s="64">
        <v>38.03</v>
      </c>
      <c r="N51" s="64">
        <v>655.29999999999995</v>
      </c>
      <c r="O51" s="64">
        <v>0</v>
      </c>
      <c r="P51" s="64">
        <v>0.8</v>
      </c>
      <c r="Q51" s="64">
        <v>9.64</v>
      </c>
      <c r="R51" s="196"/>
      <c r="S51" s="196"/>
      <c r="T51" s="196"/>
      <c r="U51" s="196"/>
    </row>
    <row r="52" spans="1:21" s="12" customFormat="1" x14ac:dyDescent="0.25">
      <c r="A52" s="211" t="s">
        <v>1728</v>
      </c>
      <c r="B52" s="64">
        <v>8.4600000000000009</v>
      </c>
      <c r="C52" s="64">
        <v>34.72</v>
      </c>
      <c r="D52" s="64">
        <v>23.55</v>
      </c>
      <c r="E52" s="64">
        <v>4.66</v>
      </c>
      <c r="F52" s="64">
        <v>4.6399999999999997</v>
      </c>
      <c r="G52" s="64">
        <v>93.46</v>
      </c>
      <c r="H52" s="209" t="s">
        <v>42</v>
      </c>
      <c r="I52" s="64">
        <v>7.04</v>
      </c>
      <c r="J52" s="64">
        <v>0.69</v>
      </c>
      <c r="K52" s="64">
        <v>89.58</v>
      </c>
      <c r="L52" s="64">
        <v>25.23</v>
      </c>
      <c r="M52" s="64">
        <v>35.15</v>
      </c>
      <c r="N52" s="64">
        <v>661.5</v>
      </c>
      <c r="O52" s="64">
        <v>0</v>
      </c>
      <c r="P52" s="64">
        <v>0.79</v>
      </c>
      <c r="Q52" s="64">
        <v>9.64</v>
      </c>
      <c r="R52" s="196"/>
      <c r="S52" s="196"/>
      <c r="T52" s="196"/>
      <c r="U52" s="196"/>
    </row>
    <row r="53" spans="1:21" s="12" customFormat="1" x14ac:dyDescent="0.25">
      <c r="A53" s="211" t="s">
        <v>1729</v>
      </c>
      <c r="B53" s="64">
        <v>7</v>
      </c>
      <c r="C53" s="64">
        <v>35.54</v>
      </c>
      <c r="D53" s="64">
        <v>22.8</v>
      </c>
      <c r="E53" s="64">
        <v>4.49</v>
      </c>
      <c r="F53" s="64">
        <v>5.0599999999999996</v>
      </c>
      <c r="G53" s="64">
        <v>85.53</v>
      </c>
      <c r="H53" s="209" t="s">
        <v>42</v>
      </c>
      <c r="I53" s="64">
        <v>7.53</v>
      </c>
      <c r="J53" s="64">
        <v>0.71</v>
      </c>
      <c r="K53" s="64">
        <v>36.049999999999997</v>
      </c>
      <c r="L53" s="64">
        <v>24.77</v>
      </c>
      <c r="M53" s="64">
        <v>32.61</v>
      </c>
      <c r="N53" s="64">
        <v>683</v>
      </c>
      <c r="O53" s="64">
        <v>0</v>
      </c>
      <c r="P53" s="64">
        <v>0.76</v>
      </c>
      <c r="Q53" s="64">
        <v>9.6300000000000008</v>
      </c>
      <c r="R53" s="196"/>
      <c r="S53" s="196"/>
      <c r="T53" s="196"/>
      <c r="U53" s="196"/>
    </row>
    <row r="54" spans="1:21" s="12" customFormat="1" x14ac:dyDescent="0.25">
      <c r="A54" s="211" t="s">
        <v>1730</v>
      </c>
      <c r="B54" s="64">
        <v>5.72</v>
      </c>
      <c r="C54" s="64">
        <v>36.47</v>
      </c>
      <c r="D54" s="64">
        <v>22.26</v>
      </c>
      <c r="E54" s="64">
        <v>4.67</v>
      </c>
      <c r="F54" s="64">
        <v>5.2</v>
      </c>
      <c r="G54" s="64">
        <v>85.53</v>
      </c>
      <c r="H54" s="209" t="s">
        <v>42</v>
      </c>
      <c r="I54" s="64">
        <v>7.65</v>
      </c>
      <c r="J54" s="64">
        <v>0.62</v>
      </c>
      <c r="K54" s="64">
        <v>356.34</v>
      </c>
      <c r="L54" s="64">
        <v>26.74</v>
      </c>
      <c r="M54" s="64">
        <v>27.64</v>
      </c>
      <c r="N54" s="64">
        <v>679.6</v>
      </c>
      <c r="O54" s="64">
        <v>0</v>
      </c>
      <c r="P54" s="64">
        <v>0.73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1731</v>
      </c>
      <c r="B55" s="64">
        <v>5.05</v>
      </c>
      <c r="C55" s="64">
        <v>37.520000000000003</v>
      </c>
      <c r="D55" s="64">
        <v>22.28</v>
      </c>
      <c r="E55" s="64">
        <v>4.91</v>
      </c>
      <c r="F55" s="64">
        <v>5.03</v>
      </c>
      <c r="G55" s="64">
        <v>85.53</v>
      </c>
      <c r="H55" s="209" t="s">
        <v>42</v>
      </c>
      <c r="I55" s="64">
        <v>7.62</v>
      </c>
      <c r="J55" s="64">
        <v>1.22</v>
      </c>
      <c r="K55" s="64">
        <v>334.51</v>
      </c>
      <c r="L55" s="64">
        <v>28.44</v>
      </c>
      <c r="M55" s="64">
        <v>27.46</v>
      </c>
      <c r="N55" s="64">
        <v>663.8</v>
      </c>
      <c r="O55" s="64">
        <v>0</v>
      </c>
      <c r="P55" s="64">
        <v>0.72</v>
      </c>
      <c r="Q55" s="64">
        <v>9.64</v>
      </c>
      <c r="R55" s="196"/>
      <c r="S55" s="196"/>
      <c r="T55" s="196"/>
      <c r="U55" s="196"/>
    </row>
    <row r="56" spans="1:21" s="12" customFormat="1" x14ac:dyDescent="0.25">
      <c r="A56" s="211" t="s">
        <v>1732</v>
      </c>
      <c r="B56" s="64">
        <v>4.42</v>
      </c>
      <c r="C56" s="64">
        <v>38.19</v>
      </c>
      <c r="D56" s="64">
        <v>22.12</v>
      </c>
      <c r="E56" s="64">
        <v>6.13</v>
      </c>
      <c r="F56" s="64">
        <v>5.28</v>
      </c>
      <c r="G56" s="64">
        <v>82.55</v>
      </c>
      <c r="H56" s="64">
        <v>61.75</v>
      </c>
      <c r="I56" s="64">
        <v>7.48</v>
      </c>
      <c r="J56" s="64">
        <v>0.48</v>
      </c>
      <c r="K56" s="64">
        <v>38.42</v>
      </c>
      <c r="L56" s="64">
        <v>27.53</v>
      </c>
      <c r="M56" s="64">
        <v>28.46</v>
      </c>
      <c r="N56" s="64">
        <v>649.79999999999995</v>
      </c>
      <c r="O56" s="64">
        <v>0</v>
      </c>
      <c r="P56" s="64">
        <v>0.7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1733</v>
      </c>
      <c r="B57" s="64">
        <v>3.75</v>
      </c>
      <c r="C57" s="64">
        <v>37.65</v>
      </c>
      <c r="D57" s="64">
        <v>21.3</v>
      </c>
      <c r="E57" s="64">
        <v>5.24</v>
      </c>
      <c r="F57" s="64">
        <v>5.36</v>
      </c>
      <c r="G57" s="64">
        <v>73.87</v>
      </c>
      <c r="H57" s="209" t="s">
        <v>42</v>
      </c>
      <c r="I57" s="64">
        <v>7.19</v>
      </c>
      <c r="J57" s="64">
        <v>1.3</v>
      </c>
      <c r="K57" s="64">
        <v>117.74</v>
      </c>
      <c r="L57" s="64">
        <v>24.54</v>
      </c>
      <c r="M57" s="64">
        <v>32.86</v>
      </c>
      <c r="N57" s="64">
        <v>632.4</v>
      </c>
      <c r="O57" s="64">
        <v>0</v>
      </c>
      <c r="P57" s="64">
        <v>0.67</v>
      </c>
      <c r="Q57" s="64">
        <v>9.64</v>
      </c>
      <c r="R57" s="196"/>
      <c r="S57" s="196"/>
      <c r="T57" s="196"/>
      <c r="U57" s="196"/>
    </row>
    <row r="58" spans="1:21" s="12" customFormat="1" x14ac:dyDescent="0.25">
      <c r="A58" s="211" t="s">
        <v>1734</v>
      </c>
      <c r="B58" s="64">
        <v>3.18</v>
      </c>
      <c r="C58" s="64">
        <v>36.44</v>
      </c>
      <c r="D58" s="64">
        <v>20.21</v>
      </c>
      <c r="E58" s="64">
        <v>5.1100000000000003</v>
      </c>
      <c r="F58" s="64">
        <v>5.8</v>
      </c>
      <c r="G58" s="64">
        <v>73.87</v>
      </c>
      <c r="H58" s="209" t="s">
        <v>42</v>
      </c>
      <c r="I58" s="64">
        <v>7.03</v>
      </c>
      <c r="J58" s="64">
        <v>0.92</v>
      </c>
      <c r="K58" s="64">
        <v>109.49</v>
      </c>
      <c r="L58" s="64">
        <v>24.32</v>
      </c>
      <c r="M58" s="64">
        <v>32.72</v>
      </c>
      <c r="N58" s="64">
        <v>617.6</v>
      </c>
      <c r="O58" s="64">
        <v>0</v>
      </c>
      <c r="P58" s="64">
        <v>0.64</v>
      </c>
      <c r="Q58" s="64">
        <v>9.6199999999999992</v>
      </c>
      <c r="R58" s="196"/>
      <c r="S58" s="196"/>
      <c r="T58" s="196"/>
      <c r="U58" s="196"/>
    </row>
    <row r="59" spans="1:21" s="12" customFormat="1" x14ac:dyDescent="0.25">
      <c r="A59" s="211" t="s">
        <v>1735</v>
      </c>
      <c r="B59" s="64">
        <v>2.96</v>
      </c>
      <c r="C59" s="64">
        <v>35.950000000000003</v>
      </c>
      <c r="D59" s="64">
        <v>19.78</v>
      </c>
      <c r="E59" s="64">
        <v>4.91</v>
      </c>
      <c r="F59" s="64">
        <v>6.01</v>
      </c>
      <c r="G59" s="64">
        <v>73.87</v>
      </c>
      <c r="H59" s="209" t="s">
        <v>42</v>
      </c>
      <c r="I59" s="64">
        <v>7.08</v>
      </c>
      <c r="J59" s="64">
        <v>0.99</v>
      </c>
      <c r="K59" s="64">
        <v>351.41</v>
      </c>
      <c r="L59" s="64">
        <v>27.51</v>
      </c>
      <c r="M59" s="64">
        <v>27.59</v>
      </c>
      <c r="N59" s="64">
        <v>592.4</v>
      </c>
      <c r="O59" s="64">
        <v>0</v>
      </c>
      <c r="P59" s="64">
        <v>0.62</v>
      </c>
      <c r="Q59" s="64">
        <v>9.65</v>
      </c>
      <c r="R59" s="196"/>
      <c r="S59" s="196"/>
      <c r="T59" s="196"/>
      <c r="U59" s="196"/>
    </row>
    <row r="60" spans="1:21" s="12" customFormat="1" x14ac:dyDescent="0.25">
      <c r="A60" s="211" t="s">
        <v>1736</v>
      </c>
      <c r="B60" s="64">
        <v>2.93</v>
      </c>
      <c r="C60" s="64">
        <v>35.58</v>
      </c>
      <c r="D60" s="64">
        <v>19.57</v>
      </c>
      <c r="E60" s="64">
        <v>4.76</v>
      </c>
      <c r="F60" s="64">
        <v>5.66</v>
      </c>
      <c r="G60" s="64">
        <v>71.52</v>
      </c>
      <c r="H60" s="209" t="s">
        <v>42</v>
      </c>
      <c r="I60" s="64">
        <v>6.97</v>
      </c>
      <c r="J60" s="64">
        <v>1.4</v>
      </c>
      <c r="K60" s="64">
        <v>123.85</v>
      </c>
      <c r="L60" s="64">
        <v>25.19</v>
      </c>
      <c r="M60" s="64">
        <v>30.7</v>
      </c>
      <c r="N60" s="64">
        <v>574.6</v>
      </c>
      <c r="O60" s="64">
        <v>0</v>
      </c>
      <c r="P60" s="64">
        <v>0.57999999999999996</v>
      </c>
      <c r="Q60" s="64">
        <v>9.65</v>
      </c>
      <c r="R60" s="196"/>
      <c r="S60" s="196"/>
      <c r="T60" s="196"/>
      <c r="U60" s="196"/>
    </row>
    <row r="61" spans="1:21" s="12" customFormat="1" x14ac:dyDescent="0.25">
      <c r="A61" s="211" t="s">
        <v>1737</v>
      </c>
      <c r="B61" s="64">
        <v>2.89</v>
      </c>
      <c r="C61" s="64">
        <v>33.44</v>
      </c>
      <c r="D61" s="64">
        <v>18.420000000000002</v>
      </c>
      <c r="E61" s="64">
        <v>4.67</v>
      </c>
      <c r="F61" s="64">
        <v>7.83</v>
      </c>
      <c r="G61" s="64">
        <v>64.67</v>
      </c>
      <c r="H61" s="209" t="s">
        <v>42</v>
      </c>
      <c r="I61" s="64">
        <v>6.84</v>
      </c>
      <c r="J61" s="64">
        <v>1.1499999999999999</v>
      </c>
      <c r="K61" s="64">
        <v>112.66</v>
      </c>
      <c r="L61" s="64">
        <v>24.34</v>
      </c>
      <c r="M61" s="64">
        <v>32.15</v>
      </c>
      <c r="N61" s="64">
        <v>540.29999999999995</v>
      </c>
      <c r="O61" s="64">
        <v>0</v>
      </c>
      <c r="P61" s="64">
        <v>0.57999999999999996</v>
      </c>
      <c r="Q61" s="64">
        <v>9.64</v>
      </c>
      <c r="R61" s="196"/>
      <c r="S61" s="196"/>
      <c r="T61" s="196"/>
      <c r="U61" s="196"/>
    </row>
    <row r="62" spans="1:21" s="12" customFormat="1" x14ac:dyDescent="0.25">
      <c r="A62" s="211" t="s">
        <v>1738</v>
      </c>
      <c r="B62" s="64">
        <v>2.97</v>
      </c>
      <c r="C62" s="64">
        <v>32.4</v>
      </c>
      <c r="D62" s="64">
        <v>17.93</v>
      </c>
      <c r="E62" s="64">
        <v>4.26</v>
      </c>
      <c r="F62" s="64">
        <v>5.54</v>
      </c>
      <c r="G62" s="64">
        <v>64.67</v>
      </c>
      <c r="H62" s="209" t="s">
        <v>42</v>
      </c>
      <c r="I62" s="64">
        <v>5.55</v>
      </c>
      <c r="J62" s="64">
        <v>1.34</v>
      </c>
      <c r="K62" s="64">
        <v>333.01</v>
      </c>
      <c r="L62" s="64">
        <v>26.38</v>
      </c>
      <c r="M62" s="64">
        <v>29.82</v>
      </c>
      <c r="N62" s="64">
        <v>506.6</v>
      </c>
      <c r="O62" s="64">
        <v>0</v>
      </c>
      <c r="P62" s="64">
        <v>0.64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1739</v>
      </c>
      <c r="B63" s="64">
        <v>3.17</v>
      </c>
      <c r="C63" s="64">
        <v>32.21</v>
      </c>
      <c r="D63" s="64">
        <v>17.989999999999998</v>
      </c>
      <c r="E63" s="64">
        <v>4.8600000000000003</v>
      </c>
      <c r="F63" s="64">
        <v>5.6</v>
      </c>
      <c r="G63" s="64">
        <v>64.67</v>
      </c>
      <c r="H63" s="209" t="s">
        <v>42</v>
      </c>
      <c r="I63" s="64">
        <v>4.58</v>
      </c>
      <c r="J63" s="64">
        <v>0.48</v>
      </c>
      <c r="K63" s="64">
        <v>100.47</v>
      </c>
      <c r="L63" s="64">
        <v>26.14</v>
      </c>
      <c r="M63" s="64">
        <v>29.93</v>
      </c>
      <c r="N63" s="64">
        <v>489.8</v>
      </c>
      <c r="O63" s="64">
        <v>0</v>
      </c>
      <c r="P63" s="64">
        <v>0.64</v>
      </c>
      <c r="Q63" s="64">
        <v>9.64</v>
      </c>
      <c r="R63" s="196"/>
      <c r="S63" s="196"/>
      <c r="T63" s="196"/>
      <c r="U63" s="196"/>
    </row>
    <row r="64" spans="1:21" s="12" customFormat="1" x14ac:dyDescent="0.25">
      <c r="A64" s="211" t="s">
        <v>1740</v>
      </c>
      <c r="B64" s="64">
        <v>3.31</v>
      </c>
      <c r="C64" s="64">
        <v>31.86</v>
      </c>
      <c r="D64" s="64">
        <v>17.93</v>
      </c>
      <c r="E64" s="64">
        <v>5</v>
      </c>
      <c r="F64" s="64">
        <v>5.61</v>
      </c>
      <c r="G64" s="64">
        <v>63.03</v>
      </c>
      <c r="H64" s="209" t="s">
        <v>42</v>
      </c>
      <c r="I64" s="64">
        <v>4.4000000000000004</v>
      </c>
      <c r="J64" s="64">
        <v>0.81</v>
      </c>
      <c r="K64" s="64">
        <v>124.54</v>
      </c>
      <c r="L64" s="64">
        <v>24.72</v>
      </c>
      <c r="M64" s="64">
        <v>31.38</v>
      </c>
      <c r="N64" s="64">
        <v>311.3</v>
      </c>
      <c r="O64" s="64">
        <v>0</v>
      </c>
      <c r="P64" s="64">
        <v>0.56999999999999995</v>
      </c>
      <c r="Q64" s="64">
        <v>9.6300000000000008</v>
      </c>
      <c r="R64" s="196"/>
      <c r="S64" s="196"/>
      <c r="T64" s="196"/>
      <c r="U64" s="196"/>
    </row>
    <row r="65" spans="1:21" s="12" customFormat="1" x14ac:dyDescent="0.25">
      <c r="A65" s="211" t="s">
        <v>1741</v>
      </c>
      <c r="B65" s="64">
        <v>3.34</v>
      </c>
      <c r="C65" s="64">
        <v>31.4</v>
      </c>
      <c r="D65" s="64">
        <v>17.71</v>
      </c>
      <c r="E65" s="64">
        <v>5.0199999999999996</v>
      </c>
      <c r="F65" s="64">
        <v>6.27</v>
      </c>
      <c r="G65" s="64">
        <v>58.26</v>
      </c>
      <c r="H65" s="209" t="s">
        <v>42</v>
      </c>
      <c r="I65" s="64">
        <v>4.49</v>
      </c>
      <c r="J65" s="64">
        <v>0.91</v>
      </c>
      <c r="K65" s="64">
        <v>340.89</v>
      </c>
      <c r="L65" s="64">
        <v>24.93</v>
      </c>
      <c r="M65" s="64">
        <v>30.35</v>
      </c>
      <c r="N65" s="64">
        <v>129.5</v>
      </c>
      <c r="O65" s="64">
        <v>0</v>
      </c>
      <c r="P65" s="64">
        <v>0.56999999999999995</v>
      </c>
      <c r="Q65" s="64">
        <v>9.6300000000000008</v>
      </c>
      <c r="R65" s="196"/>
      <c r="S65" s="196"/>
      <c r="T65" s="196"/>
      <c r="U65" s="196"/>
    </row>
    <row r="66" spans="1:21" s="12" customFormat="1" x14ac:dyDescent="0.25">
      <c r="A66" s="211" t="s">
        <v>1742</v>
      </c>
      <c r="B66" s="64">
        <v>3.46</v>
      </c>
      <c r="C66" s="64">
        <v>31.36</v>
      </c>
      <c r="D66" s="64">
        <v>17.78</v>
      </c>
      <c r="E66" s="64">
        <v>4.8099999999999996</v>
      </c>
      <c r="F66" s="64">
        <v>5.92</v>
      </c>
      <c r="G66" s="64">
        <v>58.26</v>
      </c>
      <c r="H66" s="209" t="s">
        <v>42</v>
      </c>
      <c r="I66" s="64">
        <v>3.85</v>
      </c>
      <c r="J66" s="64">
        <v>1.4</v>
      </c>
      <c r="K66" s="64">
        <v>341.58</v>
      </c>
      <c r="L66" s="64">
        <v>25.52</v>
      </c>
      <c r="M66" s="64">
        <v>29.46</v>
      </c>
      <c r="N66" s="64">
        <v>122.4</v>
      </c>
      <c r="O66" s="64">
        <v>0</v>
      </c>
      <c r="P66" s="64">
        <v>0.63</v>
      </c>
      <c r="Q66" s="64">
        <v>9.61</v>
      </c>
      <c r="R66" s="196"/>
      <c r="S66" s="196"/>
      <c r="T66" s="196"/>
      <c r="U66" s="196"/>
    </row>
    <row r="67" spans="1:21" s="12" customFormat="1" x14ac:dyDescent="0.25">
      <c r="A67" s="211" t="s">
        <v>1743</v>
      </c>
      <c r="B67" s="64">
        <v>3.58</v>
      </c>
      <c r="C67" s="64">
        <v>31.98</v>
      </c>
      <c r="D67" s="64">
        <v>18.2</v>
      </c>
      <c r="E67" s="64">
        <v>4.54</v>
      </c>
      <c r="F67" s="64">
        <v>6.66</v>
      </c>
      <c r="G67" s="64">
        <v>58.26</v>
      </c>
      <c r="H67" s="209" t="s">
        <v>42</v>
      </c>
      <c r="I67" s="64">
        <v>3.77</v>
      </c>
      <c r="J67" s="64">
        <v>0.53</v>
      </c>
      <c r="K67" s="64">
        <v>11.84</v>
      </c>
      <c r="L67" s="64">
        <v>24.87</v>
      </c>
      <c r="M67" s="64">
        <v>29.89</v>
      </c>
      <c r="N67" s="64">
        <v>118.8</v>
      </c>
      <c r="O67" s="64">
        <v>0</v>
      </c>
      <c r="P67" s="64">
        <v>0.56000000000000005</v>
      </c>
      <c r="Q67" s="64">
        <v>9.6199999999999992</v>
      </c>
      <c r="R67" s="196"/>
      <c r="S67" s="196"/>
      <c r="T67" s="196"/>
      <c r="U67" s="196"/>
    </row>
    <row r="68" spans="1:21" s="12" customFormat="1" x14ac:dyDescent="0.25">
      <c r="A68" s="211" t="s">
        <v>1744</v>
      </c>
      <c r="B68" s="64">
        <v>3.56</v>
      </c>
      <c r="C68" s="64">
        <v>32.75</v>
      </c>
      <c r="D68" s="64">
        <v>18.59</v>
      </c>
      <c r="E68" s="64">
        <v>4.8600000000000003</v>
      </c>
      <c r="F68" s="64">
        <v>5.16</v>
      </c>
      <c r="G68" s="64">
        <v>57.09</v>
      </c>
      <c r="H68" s="209" t="s">
        <v>42</v>
      </c>
      <c r="I68" s="64">
        <v>4.28</v>
      </c>
      <c r="J68" s="64">
        <v>0.36</v>
      </c>
      <c r="K68" s="64">
        <v>91.04</v>
      </c>
      <c r="L68" s="64">
        <v>24.7</v>
      </c>
      <c r="M68" s="64">
        <v>30.84</v>
      </c>
      <c r="N68" s="64">
        <v>140.1</v>
      </c>
      <c r="O68" s="64">
        <v>0</v>
      </c>
      <c r="P68" s="64">
        <v>0.63</v>
      </c>
      <c r="Q68" s="64">
        <v>9.6300000000000008</v>
      </c>
      <c r="R68" s="196"/>
      <c r="S68" s="196"/>
      <c r="T68" s="196"/>
      <c r="U68" s="196"/>
    </row>
    <row r="69" spans="1:21" s="12" customFormat="1" x14ac:dyDescent="0.25">
      <c r="A69" s="211" t="s">
        <v>1745</v>
      </c>
      <c r="B69" s="64">
        <v>3.24</v>
      </c>
      <c r="C69" s="64">
        <v>33.26</v>
      </c>
      <c r="D69" s="64">
        <v>18.600000000000001</v>
      </c>
      <c r="E69" s="64">
        <v>5.27</v>
      </c>
      <c r="F69" s="64">
        <v>5.81</v>
      </c>
      <c r="G69" s="64">
        <v>53.67</v>
      </c>
      <c r="H69" s="209" t="s">
        <v>42</v>
      </c>
      <c r="I69" s="64">
        <v>4.84</v>
      </c>
      <c r="J69" s="64">
        <v>0.98</v>
      </c>
      <c r="K69" s="64">
        <v>108.66</v>
      </c>
      <c r="L69" s="64">
        <v>23.72</v>
      </c>
      <c r="M69" s="64">
        <v>32.369999999999997</v>
      </c>
      <c r="N69" s="64">
        <v>97.5</v>
      </c>
      <c r="O69" s="64">
        <v>0</v>
      </c>
      <c r="P69" s="64">
        <v>0.6</v>
      </c>
      <c r="Q69" s="64">
        <v>9.6300000000000008</v>
      </c>
      <c r="R69" s="196"/>
      <c r="S69" s="196"/>
      <c r="T69" s="196"/>
      <c r="U69" s="196"/>
    </row>
    <row r="70" spans="1:21" s="12" customFormat="1" x14ac:dyDescent="0.25">
      <c r="A70" s="211" t="s">
        <v>1746</v>
      </c>
      <c r="B70" s="64">
        <v>3.07</v>
      </c>
      <c r="C70" s="64">
        <v>33.85</v>
      </c>
      <c r="D70" s="64">
        <v>18.77</v>
      </c>
      <c r="E70" s="64">
        <v>5.22</v>
      </c>
      <c r="F70" s="64">
        <v>6.38</v>
      </c>
      <c r="G70" s="64">
        <v>53.67</v>
      </c>
      <c r="H70" s="209" t="s">
        <v>42</v>
      </c>
      <c r="I70" s="64">
        <v>5.37</v>
      </c>
      <c r="J70" s="64">
        <v>1.34</v>
      </c>
      <c r="K70" s="64">
        <v>339.39</v>
      </c>
      <c r="L70" s="64">
        <v>23.73</v>
      </c>
      <c r="M70" s="64">
        <v>32.32</v>
      </c>
      <c r="N70" s="64">
        <v>84.9</v>
      </c>
      <c r="O70" s="64">
        <v>0</v>
      </c>
      <c r="P70" s="64">
        <v>0.62</v>
      </c>
      <c r="Q70" s="64">
        <v>9.6300000000000008</v>
      </c>
      <c r="R70" s="196"/>
      <c r="S70" s="196"/>
      <c r="T70" s="196"/>
      <c r="U70" s="196"/>
    </row>
    <row r="71" spans="1:21" s="12" customFormat="1" x14ac:dyDescent="0.25">
      <c r="A71" s="211" t="s">
        <v>1747</v>
      </c>
      <c r="B71" s="64">
        <v>3.29</v>
      </c>
      <c r="C71" s="64">
        <v>35.5</v>
      </c>
      <c r="D71" s="64">
        <v>19.809999999999999</v>
      </c>
      <c r="E71" s="64">
        <v>5.48</v>
      </c>
      <c r="F71" s="64">
        <v>5.64</v>
      </c>
      <c r="G71" s="64">
        <v>53.67</v>
      </c>
      <c r="H71" s="209" t="s">
        <v>42</v>
      </c>
      <c r="I71" s="64">
        <v>5.52</v>
      </c>
      <c r="J71" s="64">
        <v>0.72</v>
      </c>
      <c r="K71" s="64">
        <v>11.97</v>
      </c>
      <c r="L71" s="64">
        <v>23.89</v>
      </c>
      <c r="M71" s="64">
        <v>32.06</v>
      </c>
      <c r="N71" s="64">
        <v>84.9</v>
      </c>
      <c r="O71" s="64">
        <v>0</v>
      </c>
      <c r="P71" s="64">
        <v>0.64</v>
      </c>
      <c r="Q71" s="64">
        <v>9.6300000000000008</v>
      </c>
      <c r="R71" s="196"/>
      <c r="S71" s="196"/>
      <c r="T71" s="196"/>
      <c r="U71" s="196"/>
    </row>
    <row r="72" spans="1:21" s="12" customFormat="1" x14ac:dyDescent="0.25">
      <c r="A72" s="211" t="s">
        <v>1748</v>
      </c>
      <c r="B72" s="64">
        <v>3.52</v>
      </c>
      <c r="C72" s="64">
        <v>37.020000000000003</v>
      </c>
      <c r="D72" s="64">
        <v>20.78</v>
      </c>
      <c r="E72" s="64">
        <v>4.18</v>
      </c>
      <c r="F72" s="64">
        <v>5.62</v>
      </c>
      <c r="G72" s="64">
        <v>55.41</v>
      </c>
      <c r="H72" s="209" t="s">
        <v>42</v>
      </c>
      <c r="I72" s="64">
        <v>5.57</v>
      </c>
      <c r="J72" s="64">
        <v>0.48</v>
      </c>
      <c r="K72" s="64">
        <v>94.63</v>
      </c>
      <c r="L72" s="64">
        <v>23.25</v>
      </c>
      <c r="M72" s="64">
        <v>33.15</v>
      </c>
      <c r="N72" s="64">
        <v>79.099999999999994</v>
      </c>
      <c r="O72" s="64">
        <v>0</v>
      </c>
      <c r="P72" s="64">
        <v>0.61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1749</v>
      </c>
      <c r="B73" s="64">
        <v>3.48</v>
      </c>
      <c r="C73" s="64">
        <v>37.729999999999997</v>
      </c>
      <c r="D73" s="64">
        <v>21.12</v>
      </c>
      <c r="E73" s="64">
        <v>4.9400000000000004</v>
      </c>
      <c r="F73" s="64">
        <v>5.43</v>
      </c>
      <c r="G73" s="64">
        <v>60.45</v>
      </c>
      <c r="H73" s="209" t="s">
        <v>42</v>
      </c>
      <c r="I73" s="64">
        <v>5.86</v>
      </c>
      <c r="J73" s="64">
        <v>1.07</v>
      </c>
      <c r="K73" s="64">
        <v>346.13</v>
      </c>
      <c r="L73" s="64">
        <v>23.13</v>
      </c>
      <c r="M73" s="64">
        <v>34.83</v>
      </c>
      <c r="N73" s="64">
        <v>61.5</v>
      </c>
      <c r="O73" s="64">
        <v>0</v>
      </c>
      <c r="P73" s="64">
        <v>0.66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1750</v>
      </c>
      <c r="B74" s="64">
        <v>3.92</v>
      </c>
      <c r="C74" s="64">
        <v>39.270000000000003</v>
      </c>
      <c r="D74" s="64">
        <v>22.28</v>
      </c>
      <c r="E74" s="64">
        <v>5.24</v>
      </c>
      <c r="F74" s="64">
        <v>5.28</v>
      </c>
      <c r="G74" s="64">
        <v>60.45</v>
      </c>
      <c r="H74" s="209" t="s">
        <v>42</v>
      </c>
      <c r="I74" s="64">
        <v>4.4400000000000004</v>
      </c>
      <c r="J74" s="64">
        <v>1.49</v>
      </c>
      <c r="K74" s="64">
        <v>339.87</v>
      </c>
      <c r="L74" s="64">
        <v>23.04</v>
      </c>
      <c r="M74" s="64">
        <v>35.76</v>
      </c>
      <c r="N74" s="64">
        <v>53.6</v>
      </c>
      <c r="O74" s="64">
        <v>0</v>
      </c>
      <c r="P74" s="64">
        <v>0.67</v>
      </c>
      <c r="Q74" s="64">
        <v>9.6300000000000008</v>
      </c>
      <c r="R74" s="196"/>
      <c r="S74" s="196"/>
      <c r="T74" s="196"/>
      <c r="U74" s="196"/>
    </row>
    <row r="75" spans="1:21" s="12" customFormat="1" x14ac:dyDescent="0.25">
      <c r="A75" s="211" t="s">
        <v>1751</v>
      </c>
      <c r="B75" s="64">
        <v>4.9800000000000004</v>
      </c>
      <c r="C75" s="64">
        <v>41.4</v>
      </c>
      <c r="D75" s="64">
        <v>24.24</v>
      </c>
      <c r="E75" s="64">
        <v>5.16</v>
      </c>
      <c r="F75" s="64">
        <v>4.5599999999999996</v>
      </c>
      <c r="G75" s="64">
        <v>60.45</v>
      </c>
      <c r="H75" s="209" t="s">
        <v>42</v>
      </c>
      <c r="I75" s="64">
        <v>5.2</v>
      </c>
      <c r="J75" s="64">
        <v>1.1100000000000001</v>
      </c>
      <c r="K75" s="64">
        <v>344.56</v>
      </c>
      <c r="L75" s="64">
        <v>22.63</v>
      </c>
      <c r="M75" s="64">
        <v>37.06</v>
      </c>
      <c r="N75" s="64">
        <v>48.7</v>
      </c>
      <c r="O75" s="64">
        <v>0</v>
      </c>
      <c r="P75" s="64">
        <v>0.71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1752</v>
      </c>
      <c r="B76" s="64">
        <v>5.78</v>
      </c>
      <c r="C76" s="64">
        <v>43.27</v>
      </c>
      <c r="D76" s="64">
        <v>25.87</v>
      </c>
      <c r="E76" s="64">
        <v>4.91</v>
      </c>
      <c r="F76" s="64">
        <v>4.46</v>
      </c>
      <c r="G76" s="64">
        <v>60.73</v>
      </c>
      <c r="H76" s="209" t="s">
        <v>42</v>
      </c>
      <c r="I76" s="64">
        <v>5.7</v>
      </c>
      <c r="J76" s="64">
        <v>1.1299999999999999</v>
      </c>
      <c r="K76" s="64">
        <v>344.91</v>
      </c>
      <c r="L76" s="64">
        <v>22.4</v>
      </c>
      <c r="M76" s="64">
        <v>37.51</v>
      </c>
      <c r="N76" s="64">
        <v>43.9</v>
      </c>
      <c r="O76" s="64">
        <v>0</v>
      </c>
      <c r="P76" s="64">
        <v>0.79</v>
      </c>
      <c r="Q76" s="64">
        <v>9.6199999999999992</v>
      </c>
      <c r="R76" s="196"/>
      <c r="S76" s="196"/>
      <c r="T76" s="196"/>
      <c r="U76" s="196"/>
    </row>
    <row r="77" spans="1:21" s="12" customFormat="1" x14ac:dyDescent="0.25">
      <c r="A77" s="211" t="s">
        <v>1753</v>
      </c>
      <c r="B77" s="64">
        <v>6.5</v>
      </c>
      <c r="C77" s="64">
        <v>43.85</v>
      </c>
      <c r="D77" s="64">
        <v>26.74</v>
      </c>
      <c r="E77" s="64">
        <v>4.8899999999999997</v>
      </c>
      <c r="F77" s="64">
        <v>4.21</v>
      </c>
      <c r="G77" s="64">
        <v>61.52</v>
      </c>
      <c r="H77" s="209" t="s">
        <v>42</v>
      </c>
      <c r="I77" s="64">
        <v>4.93</v>
      </c>
      <c r="J77" s="64">
        <v>0.77</v>
      </c>
      <c r="K77" s="64">
        <v>337.79</v>
      </c>
      <c r="L77" s="64">
        <v>21.96</v>
      </c>
      <c r="M77" s="64">
        <v>39.61</v>
      </c>
      <c r="N77" s="64">
        <v>34.5</v>
      </c>
      <c r="O77" s="64">
        <v>0</v>
      </c>
      <c r="P77" s="64">
        <v>1.08</v>
      </c>
      <c r="Q77" s="64">
        <v>9.6300000000000008</v>
      </c>
      <c r="R77" s="196"/>
      <c r="S77" s="196"/>
      <c r="T77" s="196"/>
      <c r="U77" s="196"/>
    </row>
    <row r="78" spans="1:21" s="12" customFormat="1" x14ac:dyDescent="0.25">
      <c r="A78" s="211" t="s">
        <v>1754</v>
      </c>
      <c r="B78" s="64">
        <v>8.52</v>
      </c>
      <c r="C78" s="64">
        <v>44.28</v>
      </c>
      <c r="D78" s="64">
        <v>28.59</v>
      </c>
      <c r="E78" s="64">
        <v>4.62</v>
      </c>
      <c r="F78" s="64">
        <v>4.3</v>
      </c>
      <c r="G78" s="64">
        <v>61.52</v>
      </c>
      <c r="H78" s="209" t="s">
        <v>42</v>
      </c>
      <c r="I78" s="64">
        <v>4.7300000000000004</v>
      </c>
      <c r="J78" s="64">
        <v>0.83</v>
      </c>
      <c r="K78" s="64">
        <v>342.29</v>
      </c>
      <c r="L78" s="64">
        <v>21.29</v>
      </c>
      <c r="M78" s="64">
        <v>40.82</v>
      </c>
      <c r="N78" s="64">
        <v>28.4</v>
      </c>
      <c r="O78" s="64">
        <v>0</v>
      </c>
      <c r="P78" s="64">
        <v>1.1100000000000001</v>
      </c>
      <c r="Q78" s="64">
        <v>9.6300000000000008</v>
      </c>
      <c r="R78" s="196"/>
      <c r="S78" s="196"/>
      <c r="T78" s="196"/>
      <c r="U78" s="196"/>
    </row>
    <row r="79" spans="1:21" s="12" customFormat="1" x14ac:dyDescent="0.25">
      <c r="A79" s="211" t="s">
        <v>1755</v>
      </c>
      <c r="B79" s="64">
        <v>10.29</v>
      </c>
      <c r="C79" s="64">
        <v>44.7</v>
      </c>
      <c r="D79" s="64">
        <v>30.23</v>
      </c>
      <c r="E79" s="64">
        <v>4.92</v>
      </c>
      <c r="F79" s="64">
        <v>4.49</v>
      </c>
      <c r="G79" s="64">
        <v>61.52</v>
      </c>
      <c r="H79" s="209" t="s">
        <v>42</v>
      </c>
      <c r="I79" s="64">
        <v>4.63</v>
      </c>
      <c r="J79" s="64">
        <v>0.74</v>
      </c>
      <c r="K79" s="64">
        <v>341.58</v>
      </c>
      <c r="L79" s="64">
        <v>20.88</v>
      </c>
      <c r="M79" s="64">
        <v>42.21</v>
      </c>
      <c r="N79" s="64">
        <v>26.3</v>
      </c>
      <c r="O79" s="64">
        <v>0</v>
      </c>
      <c r="P79" s="64">
        <v>1.39</v>
      </c>
      <c r="Q79" s="64">
        <v>9.6300000000000008</v>
      </c>
      <c r="R79" s="196"/>
      <c r="S79" s="196"/>
      <c r="T79" s="196"/>
      <c r="U79" s="196"/>
    </row>
    <row r="80" spans="1:21" s="12" customFormat="1" x14ac:dyDescent="0.25">
      <c r="A80" s="211" t="s">
        <v>1756</v>
      </c>
      <c r="B80" s="64">
        <v>11.86</v>
      </c>
      <c r="C80" s="64">
        <v>44.69</v>
      </c>
      <c r="D80" s="64">
        <v>31.48</v>
      </c>
      <c r="E80" s="64">
        <v>4.93</v>
      </c>
      <c r="F80" s="64">
        <v>4.41</v>
      </c>
      <c r="G80" s="64">
        <v>65.290000000000006</v>
      </c>
      <c r="H80" s="209" t="s">
        <v>42</v>
      </c>
      <c r="I80" s="64">
        <v>5.12</v>
      </c>
      <c r="J80" s="64">
        <v>0.31</v>
      </c>
      <c r="K80" s="64">
        <v>60.99</v>
      </c>
      <c r="L80" s="64">
        <v>20.34</v>
      </c>
      <c r="M80" s="64">
        <v>43.32</v>
      </c>
      <c r="N80" s="64">
        <v>26.2</v>
      </c>
      <c r="O80" s="64">
        <v>0</v>
      </c>
      <c r="P80" s="64">
        <v>1.29</v>
      </c>
      <c r="Q80" s="64">
        <v>9.6199999999999992</v>
      </c>
      <c r="R80" s="196"/>
      <c r="S80" s="196"/>
      <c r="T80" s="196"/>
      <c r="U80" s="196"/>
    </row>
    <row r="81" spans="1:26" s="12" customFormat="1" x14ac:dyDescent="0.25">
      <c r="A81" s="211" t="s">
        <v>1757</v>
      </c>
      <c r="B81" s="64">
        <v>12.33</v>
      </c>
      <c r="C81" s="64">
        <v>44.02</v>
      </c>
      <c r="D81" s="64">
        <v>31.51</v>
      </c>
      <c r="E81" s="64">
        <v>4.7699999999999996</v>
      </c>
      <c r="F81" s="64">
        <v>4.8499999999999996</v>
      </c>
      <c r="G81" s="64">
        <v>76.290000000000006</v>
      </c>
      <c r="H81" s="209" t="s">
        <v>42</v>
      </c>
      <c r="I81" s="64">
        <v>5.86</v>
      </c>
      <c r="J81" s="64">
        <v>0.56000000000000005</v>
      </c>
      <c r="K81" s="64">
        <v>88.43</v>
      </c>
      <c r="L81" s="64">
        <v>20.25</v>
      </c>
      <c r="M81" s="64">
        <v>43.94</v>
      </c>
      <c r="N81" s="64">
        <v>25.8</v>
      </c>
      <c r="O81" s="64">
        <v>0</v>
      </c>
      <c r="P81" s="64">
        <v>1.25</v>
      </c>
      <c r="Q81" s="64">
        <v>9.6300000000000008</v>
      </c>
      <c r="R81" s="196"/>
      <c r="S81" s="196"/>
      <c r="T81" s="196"/>
      <c r="U81" s="196"/>
    </row>
    <row r="82" spans="1:26" s="12" customFormat="1" x14ac:dyDescent="0.25">
      <c r="A82" s="211" t="s">
        <v>1758</v>
      </c>
      <c r="B82" s="64">
        <v>12.61</v>
      </c>
      <c r="C82" s="64">
        <v>43.47</v>
      </c>
      <c r="D82" s="64">
        <v>31.45</v>
      </c>
      <c r="E82" s="64">
        <v>5.46</v>
      </c>
      <c r="F82" s="64">
        <v>4.37</v>
      </c>
      <c r="G82" s="64">
        <v>76.290000000000006</v>
      </c>
      <c r="H82" s="209" t="s">
        <v>42</v>
      </c>
      <c r="I82" s="64">
        <v>5.84</v>
      </c>
      <c r="J82" s="64">
        <v>0.35</v>
      </c>
      <c r="K82" s="64">
        <v>33.299999999999997</v>
      </c>
      <c r="L82" s="64">
        <v>20.02</v>
      </c>
      <c r="M82" s="64">
        <v>44.74</v>
      </c>
      <c r="N82" s="64">
        <v>26</v>
      </c>
      <c r="O82" s="64">
        <v>0</v>
      </c>
      <c r="P82" s="64">
        <v>1.62</v>
      </c>
      <c r="Q82" s="64">
        <v>9.6300000000000008</v>
      </c>
      <c r="R82" s="196"/>
      <c r="S82" s="196"/>
      <c r="T82" s="196"/>
      <c r="U82" s="196"/>
    </row>
    <row r="83" spans="1:26" s="12" customFormat="1" x14ac:dyDescent="0.25">
      <c r="A83" s="211" t="s">
        <v>1759</v>
      </c>
      <c r="B83" s="64">
        <v>13.03</v>
      </c>
      <c r="C83" s="64">
        <v>43.03</v>
      </c>
      <c r="D83" s="64">
        <v>31.56</v>
      </c>
      <c r="E83" s="64">
        <v>5.71</v>
      </c>
      <c r="F83" s="64">
        <v>4.7699999999999996</v>
      </c>
      <c r="G83" s="64">
        <v>76.290000000000006</v>
      </c>
      <c r="H83" s="209" t="s">
        <v>42</v>
      </c>
      <c r="I83" s="64">
        <v>5.97</v>
      </c>
      <c r="J83" s="64">
        <v>0.46</v>
      </c>
      <c r="K83" s="64">
        <v>65.650000000000006</v>
      </c>
      <c r="L83" s="64">
        <v>19.809999999999999</v>
      </c>
      <c r="M83" s="64">
        <v>44.94</v>
      </c>
      <c r="N83" s="64">
        <v>25.8</v>
      </c>
      <c r="O83" s="64">
        <v>0</v>
      </c>
      <c r="P83" s="64">
        <v>1.35</v>
      </c>
      <c r="Q83" s="64">
        <v>9.6300000000000008</v>
      </c>
      <c r="R83" s="196"/>
      <c r="S83" s="196"/>
      <c r="T83" s="196"/>
      <c r="U83" s="196"/>
    </row>
    <row r="84" spans="1:26" s="12" customFormat="1" x14ac:dyDescent="0.25">
      <c r="A84" s="211" t="s">
        <v>1760</v>
      </c>
      <c r="B84" s="64">
        <v>12.99</v>
      </c>
      <c r="C84" s="64">
        <v>42.06</v>
      </c>
      <c r="D84" s="64">
        <v>31.01</v>
      </c>
      <c r="E84" s="64">
        <v>5.61</v>
      </c>
      <c r="F84" s="64">
        <v>4.8</v>
      </c>
      <c r="G84" s="64">
        <v>82.15</v>
      </c>
      <c r="H84" s="209" t="s">
        <v>42</v>
      </c>
      <c r="I84" s="64">
        <v>6.21</v>
      </c>
      <c r="J84" s="64">
        <v>0.3</v>
      </c>
      <c r="K84" s="64">
        <v>23.08</v>
      </c>
      <c r="L84" s="64">
        <v>19.600000000000001</v>
      </c>
      <c r="M84" s="64">
        <v>46.48</v>
      </c>
      <c r="N84" s="64">
        <v>25.7</v>
      </c>
      <c r="O84" s="64">
        <v>0</v>
      </c>
      <c r="P84" s="64">
        <v>1.28</v>
      </c>
      <c r="Q84" s="64">
        <v>9.64</v>
      </c>
      <c r="R84" s="196"/>
      <c r="S84" s="196"/>
      <c r="T84" s="196"/>
      <c r="U84" s="196"/>
    </row>
    <row r="85" spans="1:26" s="12" customFormat="1" x14ac:dyDescent="0.25">
      <c r="A85" s="211" t="s">
        <v>1761</v>
      </c>
      <c r="B85" s="64">
        <v>13.37</v>
      </c>
      <c r="C85" s="64">
        <v>41.58</v>
      </c>
      <c r="D85" s="64">
        <v>31.07</v>
      </c>
      <c r="E85" s="64">
        <v>6.19</v>
      </c>
      <c r="F85" s="64">
        <v>3.8</v>
      </c>
      <c r="G85" s="64">
        <v>99.23</v>
      </c>
      <c r="H85" s="64">
        <v>50.59</v>
      </c>
      <c r="I85" s="64">
        <v>6.61</v>
      </c>
      <c r="J85" s="64">
        <v>0.28999999999999998</v>
      </c>
      <c r="K85" s="64">
        <v>76.23</v>
      </c>
      <c r="L85" s="64">
        <v>19.34</v>
      </c>
      <c r="M85" s="64">
        <v>46.83</v>
      </c>
      <c r="N85" s="64">
        <v>25.9</v>
      </c>
      <c r="O85" s="64">
        <v>0</v>
      </c>
      <c r="P85" s="64">
        <v>0.98</v>
      </c>
      <c r="Q85" s="64">
        <v>9.64</v>
      </c>
      <c r="R85" s="196"/>
      <c r="S85" s="196"/>
      <c r="T85" s="196"/>
      <c r="U85" s="196"/>
    </row>
    <row r="86" spans="1:26" s="12" customFormat="1" x14ac:dyDescent="0.25">
      <c r="A86" s="211" t="s">
        <v>1762</v>
      </c>
      <c r="B86" s="64">
        <v>13.42</v>
      </c>
      <c r="C86" s="64">
        <v>42.65</v>
      </c>
      <c r="D86" s="64">
        <v>31.67</v>
      </c>
      <c r="E86" s="64">
        <v>5.92</v>
      </c>
      <c r="F86" s="64">
        <v>4.32</v>
      </c>
      <c r="G86" s="64">
        <v>99.23</v>
      </c>
      <c r="H86" s="64">
        <v>50.59</v>
      </c>
      <c r="I86" s="64">
        <v>7.21</v>
      </c>
      <c r="J86" s="64">
        <v>0.21</v>
      </c>
      <c r="K86" s="64">
        <v>60.92</v>
      </c>
      <c r="L86" s="64">
        <v>19.190000000000001</v>
      </c>
      <c r="M86" s="64">
        <v>46.7</v>
      </c>
      <c r="N86" s="64">
        <v>25.7</v>
      </c>
      <c r="O86" s="64">
        <v>0</v>
      </c>
      <c r="P86" s="64">
        <v>1.0900000000000001</v>
      </c>
      <c r="Q86" s="64">
        <v>9.64</v>
      </c>
      <c r="R86" s="196"/>
      <c r="S86" s="196"/>
      <c r="T86" s="196"/>
      <c r="U86" s="196"/>
    </row>
    <row r="87" spans="1:26" s="12" customFormat="1" x14ac:dyDescent="0.25">
      <c r="A87" s="211" t="s">
        <v>1763</v>
      </c>
      <c r="B87" s="64">
        <v>12.65</v>
      </c>
      <c r="C87" s="64">
        <v>43.53</v>
      </c>
      <c r="D87" s="64">
        <v>31.51</v>
      </c>
      <c r="E87" s="64">
        <v>5.83</v>
      </c>
      <c r="F87" s="64">
        <v>4.2300000000000004</v>
      </c>
      <c r="G87" s="64">
        <v>99.23</v>
      </c>
      <c r="H87" s="64">
        <v>50.59</v>
      </c>
      <c r="I87" s="64">
        <v>7.47</v>
      </c>
      <c r="J87" s="64">
        <v>0.25</v>
      </c>
      <c r="K87" s="64">
        <v>284.36</v>
      </c>
      <c r="L87" s="64">
        <v>19.059999999999999</v>
      </c>
      <c r="M87" s="64">
        <v>48.85</v>
      </c>
      <c r="N87" s="64">
        <v>25.7</v>
      </c>
      <c r="O87" s="64">
        <v>0</v>
      </c>
      <c r="P87" s="64">
        <v>1.08</v>
      </c>
      <c r="Q87" s="64">
        <v>9.6300000000000008</v>
      </c>
      <c r="R87" s="196"/>
      <c r="S87" s="196"/>
      <c r="T87" s="196"/>
      <c r="U87" s="196"/>
    </row>
    <row r="88" spans="1:26" s="12" customFormat="1" x14ac:dyDescent="0.25">
      <c r="A88" s="211" t="s">
        <v>1764</v>
      </c>
      <c r="B88" s="64">
        <v>13.62</v>
      </c>
      <c r="C88" s="64">
        <v>44.43</v>
      </c>
      <c r="D88" s="64">
        <v>32.76</v>
      </c>
      <c r="E88" s="64">
        <v>7.8</v>
      </c>
      <c r="F88" s="64">
        <v>4.3</v>
      </c>
      <c r="G88" s="64">
        <v>99.23</v>
      </c>
      <c r="H88" s="64">
        <v>53.19</v>
      </c>
      <c r="I88" s="64">
        <v>7.27</v>
      </c>
      <c r="J88" s="64">
        <v>0.56000000000000005</v>
      </c>
      <c r="K88" s="64">
        <v>331.04</v>
      </c>
      <c r="L88" s="64">
        <v>18.53</v>
      </c>
      <c r="M88" s="64">
        <v>58.3</v>
      </c>
      <c r="N88" s="64">
        <v>26.2</v>
      </c>
      <c r="O88" s="64">
        <v>0</v>
      </c>
      <c r="P88" s="64">
        <v>1.23</v>
      </c>
      <c r="Q88" s="64">
        <v>9.6300000000000008</v>
      </c>
      <c r="R88" s="196"/>
      <c r="S88" s="196"/>
      <c r="T88" s="196"/>
      <c r="U88" s="196"/>
    </row>
    <row r="89" spans="1:26" s="12" customFormat="1" x14ac:dyDescent="0.25">
      <c r="A89" s="211" t="s">
        <v>1765</v>
      </c>
      <c r="B89" s="64">
        <v>16.55</v>
      </c>
      <c r="C89" s="64">
        <v>45.21</v>
      </c>
      <c r="D89" s="64">
        <v>35.520000000000003</v>
      </c>
      <c r="E89" s="64">
        <v>7.43</v>
      </c>
      <c r="F89" s="64">
        <v>3.96</v>
      </c>
      <c r="G89" s="64">
        <v>99.21</v>
      </c>
      <c r="H89" s="64">
        <v>63.59</v>
      </c>
      <c r="I89" s="64">
        <v>7.38</v>
      </c>
      <c r="J89" s="64">
        <v>0.56000000000000005</v>
      </c>
      <c r="K89" s="64">
        <v>306.01</v>
      </c>
      <c r="L89" s="64">
        <v>17.940000000000001</v>
      </c>
      <c r="M89" s="64">
        <v>57.08</v>
      </c>
      <c r="N89" s="64">
        <v>25.9</v>
      </c>
      <c r="O89" s="64">
        <v>0</v>
      </c>
      <c r="P89" s="64">
        <v>1.33</v>
      </c>
      <c r="Q89" s="64">
        <v>9.6300000000000008</v>
      </c>
      <c r="R89" s="196"/>
      <c r="S89" s="196"/>
      <c r="T89" s="196"/>
      <c r="U89" s="196"/>
    </row>
    <row r="90" spans="1:26" s="12" customFormat="1" x14ac:dyDescent="0.25">
      <c r="A90" s="211" t="s">
        <v>1766</v>
      </c>
      <c r="B90" s="64">
        <v>18.55</v>
      </c>
      <c r="C90" s="64">
        <v>46.41</v>
      </c>
      <c r="D90" s="64">
        <v>37.75</v>
      </c>
      <c r="E90" s="64">
        <v>7.89</v>
      </c>
      <c r="F90" s="64">
        <v>4.1900000000000004</v>
      </c>
      <c r="G90" s="64">
        <v>99.21</v>
      </c>
      <c r="H90" s="64">
        <v>63.59</v>
      </c>
      <c r="I90" s="64">
        <v>7.79</v>
      </c>
      <c r="J90" s="64">
        <v>0.54</v>
      </c>
      <c r="K90" s="64">
        <v>320.38</v>
      </c>
      <c r="L90" s="64">
        <v>17.690000000000001</v>
      </c>
      <c r="M90" s="64">
        <v>59.52</v>
      </c>
      <c r="N90" s="64">
        <v>26.1</v>
      </c>
      <c r="O90" s="64">
        <v>0</v>
      </c>
      <c r="P90" s="64">
        <v>1.41</v>
      </c>
      <c r="Q90" s="64">
        <v>9.6300000000000008</v>
      </c>
      <c r="R90" s="196"/>
      <c r="S90" s="196"/>
      <c r="T90" s="196"/>
      <c r="U90" s="196"/>
    </row>
    <row r="91" spans="1:26" s="12" customFormat="1" x14ac:dyDescent="0.25">
      <c r="A91" s="211" t="s">
        <v>1767</v>
      </c>
      <c r="B91" s="64">
        <v>21.1</v>
      </c>
      <c r="C91" s="64">
        <v>47.47</v>
      </c>
      <c r="D91" s="64">
        <v>40.35</v>
      </c>
      <c r="E91" s="64">
        <v>8.36</v>
      </c>
      <c r="F91" s="64">
        <v>4.01</v>
      </c>
      <c r="G91" s="64">
        <v>99.21</v>
      </c>
      <c r="H91" s="64">
        <v>63.59</v>
      </c>
      <c r="I91" s="64">
        <v>7.91</v>
      </c>
      <c r="J91" s="64">
        <v>0.54</v>
      </c>
      <c r="K91" s="64">
        <v>315.18</v>
      </c>
      <c r="L91" s="64">
        <v>17.27</v>
      </c>
      <c r="M91" s="64">
        <v>60.68</v>
      </c>
      <c r="N91" s="64">
        <v>25.8</v>
      </c>
      <c r="O91" s="64">
        <v>0</v>
      </c>
      <c r="P91" s="64">
        <v>1.45</v>
      </c>
      <c r="Q91" s="64">
        <v>9.6300000000000008</v>
      </c>
      <c r="R91" s="196"/>
      <c r="S91" s="196"/>
      <c r="T91" s="196"/>
      <c r="U91" s="196"/>
    </row>
    <row r="92" spans="1:26" s="12" customFormat="1" x14ac:dyDescent="0.25">
      <c r="A92" s="211" t="s">
        <v>1768</v>
      </c>
      <c r="B92" s="64">
        <v>24.32</v>
      </c>
      <c r="C92" s="64">
        <v>48.42</v>
      </c>
      <c r="D92" s="64">
        <v>43.43</v>
      </c>
      <c r="E92" s="64">
        <v>8.41</v>
      </c>
      <c r="F92" s="64">
        <v>4.17</v>
      </c>
      <c r="G92" s="64">
        <v>102.05</v>
      </c>
      <c r="H92" s="64">
        <v>57.87</v>
      </c>
      <c r="I92" s="64">
        <v>8.25</v>
      </c>
      <c r="J92" s="64">
        <v>0.43</v>
      </c>
      <c r="K92" s="64">
        <v>313.8</v>
      </c>
      <c r="L92" s="64">
        <v>17.32</v>
      </c>
      <c r="M92" s="64">
        <v>56.59</v>
      </c>
      <c r="N92" s="64">
        <v>25.6</v>
      </c>
      <c r="O92" s="64">
        <v>0</v>
      </c>
      <c r="P92" s="64">
        <v>1.51</v>
      </c>
      <c r="Q92" s="64">
        <v>9.6300000000000008</v>
      </c>
      <c r="R92" s="196"/>
      <c r="S92" s="196"/>
      <c r="T92" s="196"/>
      <c r="U92" s="196"/>
    </row>
    <row r="93" spans="1:26" s="12" customFormat="1" x14ac:dyDescent="0.25">
      <c r="A93" s="211" t="s">
        <v>1769</v>
      </c>
      <c r="B93" s="64">
        <v>26.36</v>
      </c>
      <c r="C93" s="64">
        <v>49.19</v>
      </c>
      <c r="D93" s="64">
        <v>45.46</v>
      </c>
      <c r="E93" s="64">
        <v>8.52</v>
      </c>
      <c r="F93" s="64">
        <v>4.29</v>
      </c>
      <c r="G93" s="64">
        <v>110.33</v>
      </c>
      <c r="H93" s="64">
        <v>46.93</v>
      </c>
      <c r="I93" s="64">
        <v>8.44</v>
      </c>
      <c r="J93" s="64">
        <v>0.15</v>
      </c>
      <c r="K93" s="64">
        <v>248.76</v>
      </c>
      <c r="L93" s="64">
        <v>17.75</v>
      </c>
      <c r="M93" s="64">
        <v>54.61</v>
      </c>
      <c r="N93" s="64">
        <v>25.2</v>
      </c>
      <c r="O93" s="64">
        <v>0</v>
      </c>
      <c r="P93" s="64">
        <v>1.49</v>
      </c>
      <c r="Q93" s="64">
        <v>9.64</v>
      </c>
      <c r="R93" s="196"/>
      <c r="S93" s="196"/>
      <c r="T93" s="196"/>
      <c r="U93" s="196"/>
    </row>
    <row r="94" spans="1:26" s="12" customFormat="1" x14ac:dyDescent="0.25">
      <c r="A94" s="211" t="s">
        <v>1770</v>
      </c>
      <c r="B94" s="64">
        <v>26.21</v>
      </c>
      <c r="C94" s="64">
        <v>47.76</v>
      </c>
      <c r="D94" s="64">
        <v>44.6</v>
      </c>
      <c r="E94" s="64">
        <v>8.1</v>
      </c>
      <c r="F94" s="64">
        <v>4.75</v>
      </c>
      <c r="G94" s="64">
        <v>110.33</v>
      </c>
      <c r="H94" s="64">
        <v>46.93</v>
      </c>
      <c r="I94" s="64">
        <v>7.8</v>
      </c>
      <c r="J94" s="64">
        <v>0.24</v>
      </c>
      <c r="K94" s="64">
        <v>318.33999999999997</v>
      </c>
      <c r="L94" s="64">
        <v>17.82</v>
      </c>
      <c r="M94" s="64">
        <v>54.99</v>
      </c>
      <c r="N94" s="64">
        <v>25.5</v>
      </c>
      <c r="O94" s="64">
        <v>0</v>
      </c>
      <c r="P94" s="64">
        <v>1.49</v>
      </c>
      <c r="Q94" s="64">
        <v>9.6199999999999992</v>
      </c>
      <c r="R94" s="196"/>
      <c r="S94" s="196"/>
      <c r="T94" s="196"/>
      <c r="U94" s="196"/>
    </row>
    <row r="95" spans="1:26" s="12" customFormat="1" x14ac:dyDescent="0.25">
      <c r="A95" s="211" t="s">
        <v>1771</v>
      </c>
      <c r="B95" s="64">
        <v>27.02</v>
      </c>
      <c r="C95" s="64">
        <v>46.79</v>
      </c>
      <c r="D95" s="64">
        <v>44.74</v>
      </c>
      <c r="E95" s="64">
        <v>7.58</v>
      </c>
      <c r="F95" s="64">
        <v>4.62</v>
      </c>
      <c r="G95" s="64">
        <v>110.33</v>
      </c>
      <c r="H95" s="64">
        <v>46.93</v>
      </c>
      <c r="I95" s="64">
        <v>6.86</v>
      </c>
      <c r="J95" s="64">
        <v>0.49</v>
      </c>
      <c r="K95" s="64">
        <v>320.06</v>
      </c>
      <c r="L95" s="64">
        <v>17.440000000000001</v>
      </c>
      <c r="M95" s="64">
        <v>60.46</v>
      </c>
      <c r="N95" s="64">
        <v>25.8</v>
      </c>
      <c r="O95" s="64">
        <v>0</v>
      </c>
      <c r="P95" s="64">
        <v>1.58</v>
      </c>
      <c r="Q95" s="64">
        <v>9.64</v>
      </c>
      <c r="R95" s="196"/>
      <c r="S95" s="196"/>
      <c r="T95" s="196"/>
      <c r="U95" s="196"/>
    </row>
    <row r="96" spans="1:26" s="12" customFormat="1" x14ac:dyDescent="0.25">
      <c r="A96" s="211" t="s">
        <v>1772</v>
      </c>
      <c r="B96" s="64">
        <v>28.02</v>
      </c>
      <c r="C96" s="64">
        <v>45.77</v>
      </c>
      <c r="D96" s="64">
        <v>45.01</v>
      </c>
      <c r="E96" s="64">
        <v>7.34</v>
      </c>
      <c r="F96" s="64">
        <v>4.68</v>
      </c>
      <c r="G96" s="64">
        <v>109.81</v>
      </c>
      <c r="H96" s="64">
        <v>49.54</v>
      </c>
      <c r="I96" s="64">
        <v>6.82</v>
      </c>
      <c r="J96" s="64">
        <v>0.6</v>
      </c>
      <c r="K96" s="64">
        <v>323.87</v>
      </c>
      <c r="L96" s="64">
        <v>17.05</v>
      </c>
      <c r="M96" s="64">
        <v>63.66</v>
      </c>
      <c r="N96" s="64">
        <v>26</v>
      </c>
      <c r="O96" s="64">
        <v>0</v>
      </c>
      <c r="P96" s="64">
        <v>1.69</v>
      </c>
      <c r="Q96" s="64">
        <v>9.6199999999999992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1773</v>
      </c>
      <c r="B97" s="64">
        <v>29.2</v>
      </c>
      <c r="C97" s="64">
        <v>44.66</v>
      </c>
      <c r="D97" s="64">
        <v>45.37</v>
      </c>
      <c r="E97" s="64">
        <v>7.62</v>
      </c>
      <c r="F97" s="64">
        <v>3.92</v>
      </c>
      <c r="G97" s="64">
        <v>108.29</v>
      </c>
      <c r="H97" s="64">
        <v>54.54</v>
      </c>
      <c r="I97" s="64">
        <v>6.84</v>
      </c>
      <c r="J97" s="64">
        <v>0.35</v>
      </c>
      <c r="K97" s="64">
        <v>300.77999999999997</v>
      </c>
      <c r="L97" s="64">
        <v>16.510000000000002</v>
      </c>
      <c r="M97" s="64">
        <v>63.43</v>
      </c>
      <c r="N97" s="64">
        <v>25.8</v>
      </c>
      <c r="O97" s="64">
        <v>0</v>
      </c>
      <c r="P97" s="64">
        <v>1.54</v>
      </c>
      <c r="Q97" s="64">
        <v>9.6300000000000008</v>
      </c>
      <c r="R97" s="196"/>
      <c r="S97" s="196"/>
      <c r="T97" s="196"/>
      <c r="U97" s="196"/>
    </row>
    <row r="98" spans="1:33" s="12" customFormat="1" x14ac:dyDescent="0.25">
      <c r="A98" s="211" t="s">
        <v>1774</v>
      </c>
      <c r="B98" s="64">
        <v>29.89</v>
      </c>
      <c r="C98" s="64">
        <v>43.49</v>
      </c>
      <c r="D98" s="64">
        <v>45.31</v>
      </c>
      <c r="E98" s="64">
        <v>7.52</v>
      </c>
      <c r="F98" s="64">
        <v>3.83</v>
      </c>
      <c r="G98" s="64">
        <v>108.29</v>
      </c>
      <c r="H98" s="64">
        <v>54.54</v>
      </c>
      <c r="I98" s="64">
        <v>6.92</v>
      </c>
      <c r="J98" s="64">
        <v>0.61</v>
      </c>
      <c r="K98" s="64">
        <v>317.77</v>
      </c>
      <c r="L98" s="64">
        <v>16.670000000000002</v>
      </c>
      <c r="M98" s="64">
        <v>61.9</v>
      </c>
      <c r="N98" s="64">
        <v>25.6</v>
      </c>
      <c r="O98" s="64">
        <v>0</v>
      </c>
      <c r="P98" s="64">
        <v>1.49</v>
      </c>
      <c r="Q98" s="64">
        <v>9.6199999999999992</v>
      </c>
      <c r="R98" s="196"/>
      <c r="S98" s="196"/>
      <c r="T98" s="196"/>
      <c r="U98" s="196"/>
    </row>
    <row r="99" spans="1:33" s="12" customFormat="1" x14ac:dyDescent="0.25">
      <c r="A99" s="211" t="s">
        <v>1775</v>
      </c>
      <c r="B99" s="64">
        <v>30.35</v>
      </c>
      <c r="C99" s="64">
        <v>42.3</v>
      </c>
      <c r="D99" s="64">
        <v>45.06</v>
      </c>
      <c r="E99" s="64">
        <v>7.43</v>
      </c>
      <c r="F99" s="64">
        <v>3.62</v>
      </c>
      <c r="G99" s="64">
        <v>108.29</v>
      </c>
      <c r="H99" s="64">
        <v>54.54</v>
      </c>
      <c r="I99" s="64">
        <v>6.5</v>
      </c>
      <c r="J99" s="64">
        <v>0.45</v>
      </c>
      <c r="K99" s="64">
        <v>120.72</v>
      </c>
      <c r="L99" s="64">
        <v>17.25</v>
      </c>
      <c r="M99" s="64">
        <v>55.07</v>
      </c>
      <c r="N99" s="64">
        <v>24.6</v>
      </c>
      <c r="O99" s="64">
        <v>0</v>
      </c>
      <c r="P99" s="64">
        <v>1.39</v>
      </c>
      <c r="Q99" s="64">
        <v>9.6300000000000008</v>
      </c>
      <c r="R99" s="196"/>
      <c r="S99" s="196"/>
      <c r="T99" s="196"/>
      <c r="U99" s="196"/>
    </row>
    <row r="100" spans="1:33" s="12" customFormat="1" x14ac:dyDescent="0.25">
      <c r="A100" s="211" t="s">
        <v>1776</v>
      </c>
      <c r="B100" s="64">
        <v>29.65</v>
      </c>
      <c r="C100" s="64">
        <v>41.32</v>
      </c>
      <c r="D100" s="64">
        <v>43.99</v>
      </c>
      <c r="E100" s="64">
        <v>7.3</v>
      </c>
      <c r="F100" s="64">
        <v>4.3499999999999996</v>
      </c>
      <c r="G100" s="64">
        <v>105.96</v>
      </c>
      <c r="H100" s="64">
        <v>48.36</v>
      </c>
      <c r="I100" s="64">
        <v>6.57</v>
      </c>
      <c r="J100" s="64">
        <v>1.06</v>
      </c>
      <c r="K100" s="64">
        <v>118.72</v>
      </c>
      <c r="L100" s="64">
        <v>17.73</v>
      </c>
      <c r="M100" s="64">
        <v>52.8</v>
      </c>
      <c r="N100" s="64">
        <v>24.9</v>
      </c>
      <c r="O100" s="64">
        <v>0</v>
      </c>
      <c r="P100" s="64">
        <v>1.33</v>
      </c>
      <c r="Q100" s="64">
        <v>9.64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1777</v>
      </c>
      <c r="B101" s="64">
        <v>28.42</v>
      </c>
      <c r="C101" s="64">
        <v>40.450000000000003</v>
      </c>
      <c r="D101" s="64">
        <v>42.55</v>
      </c>
      <c r="E101" s="64">
        <v>7.09</v>
      </c>
      <c r="F101" s="64">
        <v>3.8</v>
      </c>
      <c r="G101" s="64">
        <v>99.17</v>
      </c>
      <c r="H101" s="64">
        <v>36.53</v>
      </c>
      <c r="I101" s="64">
        <v>6.59</v>
      </c>
      <c r="J101" s="64">
        <v>0.87</v>
      </c>
      <c r="K101" s="64">
        <v>112.43</v>
      </c>
      <c r="L101" s="64">
        <v>17.71</v>
      </c>
      <c r="M101" s="64">
        <v>53.16</v>
      </c>
      <c r="N101" s="64">
        <v>25.3</v>
      </c>
      <c r="O101" s="64">
        <v>0</v>
      </c>
      <c r="P101" s="64">
        <v>1.41</v>
      </c>
      <c r="Q101" s="64">
        <v>9.64</v>
      </c>
      <c r="R101" s="196"/>
      <c r="S101" s="196"/>
      <c r="T101" s="196"/>
      <c r="U101" s="196"/>
    </row>
    <row r="102" spans="1:33" s="12" customFormat="1" x14ac:dyDescent="0.25">
      <c r="A102" s="211" t="s">
        <v>1778</v>
      </c>
      <c r="B102" s="64">
        <v>26.58</v>
      </c>
      <c r="C102" s="64">
        <v>40.79</v>
      </c>
      <c r="D102" s="64">
        <v>41.25</v>
      </c>
      <c r="E102" s="64">
        <v>7.37</v>
      </c>
      <c r="F102" s="64">
        <v>3.91</v>
      </c>
      <c r="G102" s="64">
        <v>99.17</v>
      </c>
      <c r="H102" s="64">
        <v>36.53</v>
      </c>
      <c r="I102" s="64">
        <v>6.12</v>
      </c>
      <c r="J102" s="64">
        <v>0.25</v>
      </c>
      <c r="K102" s="64">
        <v>180.39</v>
      </c>
      <c r="L102" s="64">
        <v>17.649999999999999</v>
      </c>
      <c r="M102" s="64">
        <v>52.93</v>
      </c>
      <c r="N102" s="64">
        <v>25.8</v>
      </c>
      <c r="O102" s="64">
        <v>0</v>
      </c>
      <c r="P102" s="64">
        <v>1.45</v>
      </c>
      <c r="Q102" s="64">
        <v>9.6199999999999992</v>
      </c>
      <c r="R102" s="196"/>
      <c r="S102" s="196"/>
      <c r="T102" s="196"/>
      <c r="U102" s="196"/>
    </row>
    <row r="103" spans="1:33" s="12" customFormat="1" x14ac:dyDescent="0.25">
      <c r="A103" s="211" t="s">
        <v>1779</v>
      </c>
      <c r="B103" s="64">
        <v>24.67</v>
      </c>
      <c r="C103" s="64">
        <v>41.35</v>
      </c>
      <c r="D103" s="64">
        <v>40.01</v>
      </c>
      <c r="E103" s="64">
        <v>7.3</v>
      </c>
      <c r="F103" s="64">
        <v>4.08</v>
      </c>
      <c r="G103" s="64">
        <v>99.17</v>
      </c>
      <c r="H103" s="64">
        <v>36.53</v>
      </c>
      <c r="I103" s="64">
        <v>7.67</v>
      </c>
      <c r="J103" s="64">
        <v>0.05</v>
      </c>
      <c r="K103" s="64">
        <v>153.6</v>
      </c>
      <c r="L103" s="64">
        <v>17.53</v>
      </c>
      <c r="M103" s="64">
        <v>52.58</v>
      </c>
      <c r="N103" s="64">
        <v>25.6</v>
      </c>
      <c r="O103" s="64">
        <v>0</v>
      </c>
      <c r="P103" s="64">
        <v>1.41</v>
      </c>
      <c r="Q103" s="64">
        <v>9.64</v>
      </c>
      <c r="R103" s="196"/>
      <c r="S103" s="196"/>
      <c r="T103" s="196"/>
      <c r="U103" s="196"/>
    </row>
    <row r="104" spans="1:33" s="12" customFormat="1" x14ac:dyDescent="0.25">
      <c r="A104" s="211" t="s">
        <v>1780</v>
      </c>
      <c r="B104" s="64">
        <v>22.4</v>
      </c>
      <c r="C104" s="64">
        <v>42.01</v>
      </c>
      <c r="D104" s="64">
        <v>38.54</v>
      </c>
      <c r="E104" s="64">
        <v>6.5</v>
      </c>
      <c r="F104" s="64">
        <v>3.84</v>
      </c>
      <c r="G104" s="64">
        <v>98.04</v>
      </c>
      <c r="H104" s="64">
        <v>37.9</v>
      </c>
      <c r="I104" s="64">
        <v>8.35</v>
      </c>
      <c r="J104" s="64">
        <v>0.61</v>
      </c>
      <c r="K104" s="64">
        <v>275.93</v>
      </c>
      <c r="L104" s="64">
        <v>16.93</v>
      </c>
      <c r="M104" s="64">
        <v>55.87</v>
      </c>
      <c r="N104" s="64">
        <v>26.1</v>
      </c>
      <c r="O104" s="64">
        <v>0</v>
      </c>
      <c r="P104" s="64">
        <v>1.35</v>
      </c>
      <c r="Q104" s="64">
        <v>9.6300000000000008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2.89</v>
      </c>
      <c r="C106" s="67">
        <f>MIN(C9:C104)</f>
        <v>29.79</v>
      </c>
      <c r="D106" s="67">
        <f t="shared" ref="D106:Q106" si="0">MIN(D9:D104)</f>
        <v>17.71</v>
      </c>
      <c r="E106" s="67">
        <f t="shared" si="0"/>
        <v>4.18</v>
      </c>
      <c r="F106" s="67">
        <f t="shared" si="0"/>
        <v>3.43</v>
      </c>
      <c r="G106" s="67">
        <f t="shared" si="0"/>
        <v>53.67</v>
      </c>
      <c r="H106" s="67">
        <f t="shared" si="0"/>
        <v>7.47</v>
      </c>
      <c r="I106" s="67">
        <f t="shared" si="0"/>
        <v>3.77</v>
      </c>
      <c r="J106" s="67">
        <f t="shared" si="0"/>
        <v>0.05</v>
      </c>
      <c r="K106" s="67">
        <f t="shared" si="0"/>
        <v>3.2</v>
      </c>
      <c r="L106" s="67">
        <f t="shared" si="0"/>
        <v>12.92</v>
      </c>
      <c r="M106" s="67">
        <f t="shared" si="0"/>
        <v>27.46</v>
      </c>
      <c r="N106" s="67">
        <f t="shared" si="0"/>
        <v>24.6</v>
      </c>
      <c r="O106" s="67">
        <f t="shared" si="0"/>
        <v>0</v>
      </c>
      <c r="P106" s="67">
        <f t="shared" si="0"/>
        <v>0.56000000000000005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30.35</v>
      </c>
      <c r="C107" s="66">
        <f t="shared" ref="C107:Q107" si="1">MAX(C9:C104)</f>
        <v>49.19</v>
      </c>
      <c r="D107" s="66">
        <f t="shared" si="1"/>
        <v>45.46</v>
      </c>
      <c r="E107" s="66">
        <f t="shared" si="1"/>
        <v>8.52</v>
      </c>
      <c r="F107" s="66">
        <f t="shared" si="1"/>
        <v>7.83</v>
      </c>
      <c r="G107" s="66">
        <f t="shared" si="1"/>
        <v>163.08000000000001</v>
      </c>
      <c r="H107" s="66">
        <f t="shared" si="1"/>
        <v>130.57</v>
      </c>
      <c r="I107" s="66">
        <f t="shared" si="1"/>
        <v>8.44</v>
      </c>
      <c r="J107" s="66">
        <f t="shared" si="1"/>
        <v>1.65</v>
      </c>
      <c r="K107" s="66">
        <f t="shared" si="1"/>
        <v>356.34</v>
      </c>
      <c r="L107" s="66">
        <f t="shared" si="1"/>
        <v>28.44</v>
      </c>
      <c r="M107" s="66">
        <f t="shared" si="1"/>
        <v>85.17</v>
      </c>
      <c r="N107" s="66">
        <f t="shared" si="1"/>
        <v>683</v>
      </c>
      <c r="O107" s="66">
        <f t="shared" si="1"/>
        <v>0</v>
      </c>
      <c r="P107" s="66">
        <f t="shared" si="1"/>
        <v>1.69</v>
      </c>
      <c r="Q107" s="66">
        <f t="shared" si="1"/>
        <v>9.66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11.424895833333332</v>
      </c>
      <c r="C108" s="67">
        <f t="shared" ref="C108:Q108" si="2">AVERAGE(C9:C104)</f>
        <v>36.981875000000002</v>
      </c>
      <c r="D108" s="67">
        <f t="shared" si="2"/>
        <v>27.107395833333324</v>
      </c>
      <c r="E108" s="67">
        <f t="shared" si="2"/>
        <v>5.8596875000000006</v>
      </c>
      <c r="F108" s="67">
        <f t="shared" si="2"/>
        <v>4.4914583333333349</v>
      </c>
      <c r="G108" s="67">
        <f t="shared" si="2"/>
        <v>98.069895833333348</v>
      </c>
      <c r="H108" s="67">
        <f t="shared" si="2"/>
        <v>61.852807017543881</v>
      </c>
      <c r="I108" s="67">
        <f t="shared" si="2"/>
        <v>6.0048958333333333</v>
      </c>
      <c r="J108" s="67">
        <f t="shared" si="2"/>
        <v>0.65906250000000011</v>
      </c>
      <c r="K108" s="67">
        <f t="shared" si="2"/>
        <v>221.19364583333333</v>
      </c>
      <c r="L108" s="67">
        <f t="shared" si="2"/>
        <v>19.396770833333338</v>
      </c>
      <c r="M108" s="67">
        <f t="shared" si="2"/>
        <v>52.871666666666691</v>
      </c>
      <c r="N108" s="67">
        <f t="shared" si="2"/>
        <v>169.39374999999998</v>
      </c>
      <c r="O108" s="67">
        <f t="shared" si="2"/>
        <v>0</v>
      </c>
      <c r="P108" s="67">
        <f t="shared" si="2"/>
        <v>0.98697916666666652</v>
      </c>
      <c r="Q108" s="67">
        <f t="shared" si="2"/>
        <v>9.6315624999999958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7.7063222158366971</v>
      </c>
      <c r="C109" s="67">
        <f t="shared" ref="C109:Q109" si="3">STDEV(C9:C104)</f>
        <v>5.3256887496261296</v>
      </c>
      <c r="D109" s="67">
        <f t="shared" si="3"/>
        <v>8.1292787593322497</v>
      </c>
      <c r="E109" s="67">
        <f t="shared" si="3"/>
        <v>1.0945380694732847</v>
      </c>
      <c r="F109" s="67">
        <f t="shared" si="3"/>
        <v>0.79628212293019873</v>
      </c>
      <c r="G109" s="67">
        <f t="shared" si="3"/>
        <v>28.380292402143048</v>
      </c>
      <c r="H109" s="67">
        <f t="shared" si="3"/>
        <v>32.095326025672819</v>
      </c>
      <c r="I109" s="67">
        <f t="shared" si="3"/>
        <v>1.0440024145885203</v>
      </c>
      <c r="J109" s="67">
        <f t="shared" si="3"/>
        <v>0.36685025806465715</v>
      </c>
      <c r="K109" s="67">
        <f t="shared" si="3"/>
        <v>119.29312348929066</v>
      </c>
      <c r="L109" s="67">
        <f t="shared" si="3"/>
        <v>4.3389723485712937</v>
      </c>
      <c r="M109" s="67">
        <f t="shared" si="3"/>
        <v>17.546810336424507</v>
      </c>
      <c r="N109" s="67">
        <f t="shared" si="3"/>
        <v>226.53594059570094</v>
      </c>
      <c r="O109" s="67">
        <f t="shared" si="3"/>
        <v>0</v>
      </c>
      <c r="P109" s="67">
        <f t="shared" si="3"/>
        <v>0.2941754571023969</v>
      </c>
      <c r="Q109" s="67">
        <f t="shared" si="3"/>
        <v>8.9828052118305825E-3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COUNT(H9:H104)+39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1781</v>
      </c>
      <c r="B9" s="64">
        <v>20.34</v>
      </c>
      <c r="C9" s="64">
        <v>42.15</v>
      </c>
      <c r="D9" s="64">
        <v>36.96</v>
      </c>
      <c r="E9" s="64">
        <v>5.66</v>
      </c>
      <c r="F9" s="64">
        <v>3.86</v>
      </c>
      <c r="G9" s="64">
        <v>94.76</v>
      </c>
      <c r="H9" s="64">
        <v>43.36</v>
      </c>
      <c r="I9" s="64">
        <v>8.17</v>
      </c>
      <c r="J9" s="64">
        <v>0.55000000000000004</v>
      </c>
      <c r="K9" s="64">
        <v>259.64999999999998</v>
      </c>
      <c r="L9" s="64">
        <v>16.510000000000002</v>
      </c>
      <c r="M9" s="64">
        <v>58.08</v>
      </c>
      <c r="N9" s="64">
        <v>25.9</v>
      </c>
      <c r="O9" s="64">
        <v>0</v>
      </c>
      <c r="P9" s="64">
        <v>1.31</v>
      </c>
      <c r="Q9" s="64">
        <v>9.6300000000000008</v>
      </c>
      <c r="R9" s="196"/>
      <c r="S9" s="196"/>
      <c r="T9" s="196"/>
      <c r="U9" s="196"/>
    </row>
    <row r="10" spans="1:21" s="12" customFormat="1" x14ac:dyDescent="0.25">
      <c r="A10" s="211" t="s">
        <v>1782</v>
      </c>
      <c r="B10" s="64">
        <v>18.54</v>
      </c>
      <c r="C10" s="64">
        <v>42.49</v>
      </c>
      <c r="D10" s="64">
        <v>35.69</v>
      </c>
      <c r="E10" s="64">
        <v>5.4</v>
      </c>
      <c r="F10" s="64">
        <v>4.17</v>
      </c>
      <c r="G10" s="64">
        <v>94.76</v>
      </c>
      <c r="H10" s="64">
        <v>43.36</v>
      </c>
      <c r="I10" s="64">
        <v>8</v>
      </c>
      <c r="J10" s="64">
        <v>0.41</v>
      </c>
      <c r="K10" s="64">
        <v>274.3</v>
      </c>
      <c r="L10" s="64">
        <v>16.53</v>
      </c>
      <c r="M10" s="64">
        <v>59.82</v>
      </c>
      <c r="N10" s="64">
        <v>25.8</v>
      </c>
      <c r="O10" s="64">
        <v>0</v>
      </c>
      <c r="P10" s="64">
        <v>1.25</v>
      </c>
      <c r="Q10" s="64">
        <v>9.65</v>
      </c>
      <c r="R10" s="196"/>
      <c r="S10" s="196"/>
      <c r="T10" s="196"/>
      <c r="U10" s="196"/>
    </row>
    <row r="11" spans="1:21" s="12" customFormat="1" x14ac:dyDescent="0.25">
      <c r="A11" s="211" t="s">
        <v>1783</v>
      </c>
      <c r="B11" s="64">
        <v>17.36</v>
      </c>
      <c r="C11" s="64">
        <v>42.78</v>
      </c>
      <c r="D11" s="64">
        <v>34.9</v>
      </c>
      <c r="E11" s="64">
        <v>5.52</v>
      </c>
      <c r="F11" s="64">
        <v>4.09</v>
      </c>
      <c r="G11" s="64">
        <v>94.76</v>
      </c>
      <c r="H11" s="64">
        <v>43.36</v>
      </c>
      <c r="I11" s="64">
        <v>7.63</v>
      </c>
      <c r="J11" s="64">
        <v>0.35</v>
      </c>
      <c r="K11" s="64">
        <v>330.82</v>
      </c>
      <c r="L11" s="64">
        <v>15.79</v>
      </c>
      <c r="M11" s="64">
        <v>64.650000000000006</v>
      </c>
      <c r="N11" s="64">
        <v>26.3</v>
      </c>
      <c r="O11" s="64">
        <v>0</v>
      </c>
      <c r="P11" s="64">
        <v>1.23</v>
      </c>
      <c r="Q11" s="64">
        <v>9.64</v>
      </c>
      <c r="R11" s="196"/>
      <c r="S11" s="196"/>
      <c r="T11" s="196"/>
      <c r="U11" s="196"/>
    </row>
    <row r="12" spans="1:21" s="12" customFormat="1" x14ac:dyDescent="0.25">
      <c r="A12" s="211" t="s">
        <v>1784</v>
      </c>
      <c r="B12" s="64">
        <v>15.97</v>
      </c>
      <c r="C12" s="64">
        <v>43.01</v>
      </c>
      <c r="D12" s="64">
        <v>33.9</v>
      </c>
      <c r="E12" s="64">
        <v>5.61</v>
      </c>
      <c r="F12" s="64">
        <v>3.77</v>
      </c>
      <c r="G12" s="64">
        <v>93.38</v>
      </c>
      <c r="H12" s="64">
        <v>38.450000000000003</v>
      </c>
      <c r="I12" s="64">
        <v>7.51</v>
      </c>
      <c r="J12" s="64">
        <v>0.37</v>
      </c>
      <c r="K12" s="64">
        <v>217.28</v>
      </c>
      <c r="L12" s="64">
        <v>15.41</v>
      </c>
      <c r="M12" s="64">
        <v>67.709999999999994</v>
      </c>
      <c r="N12" s="64">
        <v>25.9</v>
      </c>
      <c r="O12" s="64">
        <v>0</v>
      </c>
      <c r="P12" s="64">
        <v>1.19</v>
      </c>
      <c r="Q12" s="64">
        <v>9.6300000000000008</v>
      </c>
      <c r="R12" s="196"/>
      <c r="S12" s="196"/>
      <c r="T12" s="196"/>
      <c r="U12" s="196"/>
    </row>
    <row r="13" spans="1:21" s="12" customFormat="1" x14ac:dyDescent="0.25">
      <c r="A13" s="211" t="s">
        <v>1785</v>
      </c>
      <c r="B13" s="64">
        <v>14.85</v>
      </c>
      <c r="C13" s="64">
        <v>42.58</v>
      </c>
      <c r="D13" s="64">
        <v>32.78</v>
      </c>
      <c r="E13" s="64">
        <v>5.64</v>
      </c>
      <c r="F13" s="64">
        <v>3.72</v>
      </c>
      <c r="G13" s="64">
        <v>89.36</v>
      </c>
      <c r="H13" s="64">
        <v>29.07</v>
      </c>
      <c r="I13" s="64">
        <v>7.37</v>
      </c>
      <c r="J13" s="64">
        <v>0.25</v>
      </c>
      <c r="K13" s="64">
        <v>240.96</v>
      </c>
      <c r="L13" s="64">
        <v>15.03</v>
      </c>
      <c r="M13" s="64">
        <v>74.19</v>
      </c>
      <c r="N13" s="64">
        <v>26.2</v>
      </c>
      <c r="O13" s="64">
        <v>0</v>
      </c>
      <c r="P13" s="64">
        <v>1.1000000000000001</v>
      </c>
      <c r="Q13" s="64">
        <v>9.64</v>
      </c>
      <c r="R13" s="196"/>
      <c r="S13" s="196"/>
      <c r="T13" s="196"/>
      <c r="U13" s="196"/>
    </row>
    <row r="14" spans="1:21" s="12" customFormat="1" x14ac:dyDescent="0.25">
      <c r="A14" s="211" t="s">
        <v>1786</v>
      </c>
      <c r="B14" s="64">
        <v>14.15</v>
      </c>
      <c r="C14" s="64">
        <v>41.15</v>
      </c>
      <c r="D14" s="64">
        <v>31.47</v>
      </c>
      <c r="E14" s="64">
        <v>5.71</v>
      </c>
      <c r="F14" s="64">
        <v>3.78</v>
      </c>
      <c r="G14" s="64">
        <v>89.36</v>
      </c>
      <c r="H14" s="64">
        <v>29.07</v>
      </c>
      <c r="I14" s="64">
        <v>7.18</v>
      </c>
      <c r="J14" s="64">
        <v>0.28000000000000003</v>
      </c>
      <c r="K14" s="64">
        <v>233.36</v>
      </c>
      <c r="L14" s="64">
        <v>14.53</v>
      </c>
      <c r="M14" s="64">
        <v>75.22</v>
      </c>
      <c r="N14" s="64">
        <v>26</v>
      </c>
      <c r="O14" s="64">
        <v>0</v>
      </c>
      <c r="P14" s="64">
        <v>1.1100000000000001</v>
      </c>
      <c r="Q14" s="64">
        <v>9.6300000000000008</v>
      </c>
      <c r="R14" s="196"/>
      <c r="S14" s="196"/>
      <c r="T14" s="196"/>
      <c r="U14" s="196"/>
    </row>
    <row r="15" spans="1:21" s="12" customFormat="1" x14ac:dyDescent="0.25">
      <c r="A15" s="211" t="s">
        <v>1787</v>
      </c>
      <c r="B15" s="64">
        <v>13.56</v>
      </c>
      <c r="C15" s="64">
        <v>38.81</v>
      </c>
      <c r="D15" s="64">
        <v>29.77</v>
      </c>
      <c r="E15" s="64">
        <v>5.03</v>
      </c>
      <c r="F15" s="64">
        <v>3.19</v>
      </c>
      <c r="G15" s="64">
        <v>89.36</v>
      </c>
      <c r="H15" s="64">
        <v>29.07</v>
      </c>
      <c r="I15" s="64">
        <v>7.02</v>
      </c>
      <c r="J15" s="64">
        <v>0.32</v>
      </c>
      <c r="K15" s="64">
        <v>259.33</v>
      </c>
      <c r="L15" s="64">
        <v>14.29</v>
      </c>
      <c r="M15" s="64">
        <v>77.28</v>
      </c>
      <c r="N15" s="64">
        <v>26.1</v>
      </c>
      <c r="O15" s="64">
        <v>0</v>
      </c>
      <c r="P15" s="64">
        <v>1.06</v>
      </c>
      <c r="Q15" s="64">
        <v>9.64</v>
      </c>
      <c r="R15" s="196"/>
      <c r="S15" s="196"/>
      <c r="T15" s="196"/>
      <c r="U15" s="196"/>
    </row>
    <row r="16" spans="1:21" s="12" customFormat="1" x14ac:dyDescent="0.25">
      <c r="A16" s="211" t="s">
        <v>1788</v>
      </c>
      <c r="B16" s="64">
        <v>13.07</v>
      </c>
      <c r="C16" s="64">
        <v>37.74</v>
      </c>
      <c r="D16" s="64">
        <v>28.82</v>
      </c>
      <c r="E16" s="64">
        <v>4.8499999999999996</v>
      </c>
      <c r="F16" s="64">
        <v>3.61</v>
      </c>
      <c r="G16" s="64">
        <v>89.89</v>
      </c>
      <c r="H16" s="64">
        <v>31.42</v>
      </c>
      <c r="I16" s="64">
        <v>6.32</v>
      </c>
      <c r="J16" s="64">
        <v>0.26</v>
      </c>
      <c r="K16" s="64">
        <v>267.57</v>
      </c>
      <c r="L16" s="64">
        <v>14.08</v>
      </c>
      <c r="M16" s="64">
        <v>81.16</v>
      </c>
      <c r="N16" s="64">
        <v>26</v>
      </c>
      <c r="O16" s="64">
        <v>0</v>
      </c>
      <c r="P16" s="64">
        <v>1.05</v>
      </c>
      <c r="Q16" s="64">
        <v>9.6300000000000008</v>
      </c>
      <c r="R16" s="196"/>
      <c r="S16" s="196"/>
      <c r="T16" s="196"/>
      <c r="U16" s="196"/>
    </row>
    <row r="17" spans="1:21" s="12" customFormat="1" x14ac:dyDescent="0.25">
      <c r="A17" s="211" t="s">
        <v>1789</v>
      </c>
      <c r="B17" s="64">
        <v>12.62</v>
      </c>
      <c r="C17" s="64">
        <v>36.43</v>
      </c>
      <c r="D17" s="64">
        <v>27.78</v>
      </c>
      <c r="E17" s="64">
        <v>5.6</v>
      </c>
      <c r="F17" s="64">
        <v>4.0199999999999996</v>
      </c>
      <c r="G17" s="64">
        <v>91.42</v>
      </c>
      <c r="H17" s="64">
        <v>35.92</v>
      </c>
      <c r="I17" s="64">
        <v>5.94</v>
      </c>
      <c r="J17" s="64">
        <v>0.86</v>
      </c>
      <c r="K17" s="64">
        <v>326.66000000000003</v>
      </c>
      <c r="L17" s="64">
        <v>13.89</v>
      </c>
      <c r="M17" s="64">
        <v>82.18</v>
      </c>
      <c r="N17" s="64">
        <v>25.4</v>
      </c>
      <c r="O17" s="64">
        <v>0</v>
      </c>
      <c r="P17" s="64">
        <v>1.04</v>
      </c>
      <c r="Q17" s="64">
        <v>9.6300000000000008</v>
      </c>
      <c r="R17" s="196"/>
      <c r="S17" s="196"/>
      <c r="T17" s="196"/>
      <c r="U17" s="196"/>
    </row>
    <row r="18" spans="1:21" s="12" customFormat="1" x14ac:dyDescent="0.25">
      <c r="A18" s="211" t="s">
        <v>1790</v>
      </c>
      <c r="B18" s="64">
        <v>11.95</v>
      </c>
      <c r="C18" s="64">
        <v>35.21</v>
      </c>
      <c r="D18" s="64">
        <v>26.6</v>
      </c>
      <c r="E18" s="64">
        <v>5.26</v>
      </c>
      <c r="F18" s="64">
        <v>3.53</v>
      </c>
      <c r="G18" s="64">
        <v>91.42</v>
      </c>
      <c r="H18" s="64">
        <v>35.92</v>
      </c>
      <c r="I18" s="64">
        <v>6.12</v>
      </c>
      <c r="J18" s="64">
        <v>0.96</v>
      </c>
      <c r="K18" s="64">
        <v>332.77</v>
      </c>
      <c r="L18" s="64">
        <v>14</v>
      </c>
      <c r="M18" s="64">
        <v>82.4</v>
      </c>
      <c r="N18" s="64">
        <v>25.1</v>
      </c>
      <c r="O18" s="64">
        <v>0</v>
      </c>
      <c r="P18" s="64">
        <v>1.01</v>
      </c>
      <c r="Q18" s="64">
        <v>9.65</v>
      </c>
      <c r="R18" s="196"/>
      <c r="S18" s="196"/>
      <c r="T18" s="196"/>
      <c r="U18" s="196"/>
    </row>
    <row r="19" spans="1:21" s="12" customFormat="1" x14ac:dyDescent="0.25">
      <c r="A19" s="211" t="s">
        <v>1791</v>
      </c>
      <c r="B19" s="64">
        <v>11.56</v>
      </c>
      <c r="C19" s="64">
        <v>34.69</v>
      </c>
      <c r="D19" s="64">
        <v>26.02</v>
      </c>
      <c r="E19" s="64">
        <v>6.2</v>
      </c>
      <c r="F19" s="64">
        <v>3.42</v>
      </c>
      <c r="G19" s="64">
        <v>91.42</v>
      </c>
      <c r="H19" s="64">
        <v>35.92</v>
      </c>
      <c r="I19" s="64">
        <v>6.11</v>
      </c>
      <c r="J19" s="64">
        <v>0.21</v>
      </c>
      <c r="K19" s="64">
        <v>335.17</v>
      </c>
      <c r="L19" s="64">
        <v>14.01</v>
      </c>
      <c r="M19" s="64">
        <v>80.11</v>
      </c>
      <c r="N19" s="64">
        <v>25.6</v>
      </c>
      <c r="O19" s="64">
        <v>0</v>
      </c>
      <c r="P19" s="64">
        <v>0.99</v>
      </c>
      <c r="Q19" s="64">
        <v>9.65</v>
      </c>
      <c r="R19" s="196"/>
      <c r="S19" s="196"/>
      <c r="T19" s="196"/>
      <c r="U19" s="196"/>
    </row>
    <row r="20" spans="1:21" s="12" customFormat="1" x14ac:dyDescent="0.25">
      <c r="A20" s="211" t="s">
        <v>1792</v>
      </c>
      <c r="B20" s="64">
        <v>11.39</v>
      </c>
      <c r="C20" s="64">
        <v>34.01</v>
      </c>
      <c r="D20" s="64">
        <v>25.53</v>
      </c>
      <c r="E20" s="64">
        <v>6.16</v>
      </c>
      <c r="F20" s="64">
        <v>3.8</v>
      </c>
      <c r="G20" s="64">
        <v>90.79</v>
      </c>
      <c r="H20" s="64">
        <v>39.229999999999997</v>
      </c>
      <c r="I20" s="64">
        <v>6.02</v>
      </c>
      <c r="J20" s="64">
        <v>7.0000000000000007E-2</v>
      </c>
      <c r="K20" s="64">
        <v>309.95</v>
      </c>
      <c r="L20" s="64">
        <v>13.83</v>
      </c>
      <c r="M20" s="64">
        <v>78.84</v>
      </c>
      <c r="N20" s="64">
        <v>25.9</v>
      </c>
      <c r="O20" s="64">
        <v>0</v>
      </c>
      <c r="P20" s="64">
        <v>0.99</v>
      </c>
      <c r="Q20" s="64">
        <v>9.6199999999999992</v>
      </c>
      <c r="R20" s="196"/>
      <c r="S20" s="196"/>
      <c r="T20" s="196"/>
      <c r="U20" s="196"/>
    </row>
    <row r="21" spans="1:21" s="12" customFormat="1" x14ac:dyDescent="0.25">
      <c r="A21" s="211" t="s">
        <v>1793</v>
      </c>
      <c r="B21" s="64">
        <v>11.47</v>
      </c>
      <c r="C21" s="64">
        <v>33.659999999999997</v>
      </c>
      <c r="D21" s="64">
        <v>25.41</v>
      </c>
      <c r="E21" s="64">
        <v>6.04</v>
      </c>
      <c r="F21" s="64">
        <v>3.63</v>
      </c>
      <c r="G21" s="64">
        <v>88.96</v>
      </c>
      <c r="H21" s="64">
        <v>45.86</v>
      </c>
      <c r="I21" s="64">
        <v>5.93</v>
      </c>
      <c r="J21" s="64">
        <v>0.15</v>
      </c>
      <c r="K21" s="64">
        <v>307.85000000000002</v>
      </c>
      <c r="L21" s="64">
        <v>13.69</v>
      </c>
      <c r="M21" s="64">
        <v>79.290000000000006</v>
      </c>
      <c r="N21" s="64">
        <v>25.9</v>
      </c>
      <c r="O21" s="64">
        <v>0</v>
      </c>
      <c r="P21" s="64">
        <v>0.99</v>
      </c>
      <c r="Q21" s="64">
        <v>9.6199999999999992</v>
      </c>
      <c r="R21" s="196"/>
      <c r="S21" s="196"/>
      <c r="T21" s="196"/>
      <c r="U21" s="196"/>
    </row>
    <row r="22" spans="1:21" s="12" customFormat="1" x14ac:dyDescent="0.25">
      <c r="A22" s="211" t="s">
        <v>1794</v>
      </c>
      <c r="B22" s="64">
        <v>12.17</v>
      </c>
      <c r="C22" s="64">
        <v>32.520000000000003</v>
      </c>
      <c r="D22" s="64">
        <v>25.37</v>
      </c>
      <c r="E22" s="64">
        <v>6.58</v>
      </c>
      <c r="F22" s="64">
        <v>3.9</v>
      </c>
      <c r="G22" s="64">
        <v>88.96</v>
      </c>
      <c r="H22" s="64">
        <v>45.86</v>
      </c>
      <c r="I22" s="64">
        <v>5.81</v>
      </c>
      <c r="J22" s="64">
        <v>0.24</v>
      </c>
      <c r="K22" s="64">
        <v>304.31</v>
      </c>
      <c r="L22" s="64">
        <v>13.5</v>
      </c>
      <c r="M22" s="64">
        <v>79.44</v>
      </c>
      <c r="N22" s="64">
        <v>25.8</v>
      </c>
      <c r="O22" s="64">
        <v>0</v>
      </c>
      <c r="P22" s="64">
        <v>0.99</v>
      </c>
      <c r="Q22" s="64">
        <v>9.6199999999999992</v>
      </c>
      <c r="R22" s="196"/>
      <c r="S22" s="196"/>
      <c r="T22" s="196"/>
      <c r="U22" s="196"/>
    </row>
    <row r="23" spans="1:21" s="12" customFormat="1" x14ac:dyDescent="0.25">
      <c r="A23" s="211" t="s">
        <v>1795</v>
      </c>
      <c r="B23" s="64">
        <v>12.52</v>
      </c>
      <c r="C23" s="64">
        <v>32.76</v>
      </c>
      <c r="D23" s="64">
        <v>25.78</v>
      </c>
      <c r="E23" s="64">
        <v>6.57</v>
      </c>
      <c r="F23" s="64">
        <v>4.0199999999999996</v>
      </c>
      <c r="G23" s="64">
        <v>88.96</v>
      </c>
      <c r="H23" s="64">
        <v>45.86</v>
      </c>
      <c r="I23" s="64">
        <v>5.92</v>
      </c>
      <c r="J23" s="64">
        <v>0.53</v>
      </c>
      <c r="K23" s="64">
        <v>292.72000000000003</v>
      </c>
      <c r="L23" s="64">
        <v>13.41</v>
      </c>
      <c r="M23" s="64">
        <v>78.45</v>
      </c>
      <c r="N23" s="64">
        <v>25.9</v>
      </c>
      <c r="O23" s="64">
        <v>0</v>
      </c>
      <c r="P23" s="64">
        <v>0.99</v>
      </c>
      <c r="Q23" s="64">
        <v>9.6300000000000008</v>
      </c>
      <c r="R23" s="196"/>
      <c r="S23" s="196"/>
      <c r="T23" s="196"/>
      <c r="U23" s="196"/>
    </row>
    <row r="24" spans="1:21" s="12" customFormat="1" x14ac:dyDescent="0.25">
      <c r="A24" s="211" t="s">
        <v>1796</v>
      </c>
      <c r="B24" s="64">
        <v>12.5</v>
      </c>
      <c r="C24" s="64">
        <v>33.340000000000003</v>
      </c>
      <c r="D24" s="64">
        <v>26.07</v>
      </c>
      <c r="E24" s="64">
        <v>6.07</v>
      </c>
      <c r="F24" s="64">
        <v>4.26</v>
      </c>
      <c r="G24" s="64">
        <v>95.02</v>
      </c>
      <c r="H24" s="64">
        <v>49.89</v>
      </c>
      <c r="I24" s="64">
        <v>6.03</v>
      </c>
      <c r="J24" s="64">
        <v>0.53</v>
      </c>
      <c r="K24" s="64">
        <v>301.39999999999998</v>
      </c>
      <c r="L24" s="64">
        <v>13.24</v>
      </c>
      <c r="M24" s="64">
        <v>81.36</v>
      </c>
      <c r="N24" s="64">
        <v>25.9</v>
      </c>
      <c r="O24" s="64">
        <v>0</v>
      </c>
      <c r="P24" s="64">
        <v>0.98</v>
      </c>
      <c r="Q24" s="64">
        <v>9.6300000000000008</v>
      </c>
      <c r="R24" s="196"/>
      <c r="S24" s="196"/>
      <c r="T24" s="196"/>
      <c r="U24" s="196"/>
    </row>
    <row r="25" spans="1:21" s="12" customFormat="1" x14ac:dyDescent="0.25">
      <c r="A25" s="211" t="s">
        <v>1797</v>
      </c>
      <c r="B25" s="64">
        <v>12.58</v>
      </c>
      <c r="C25" s="64">
        <v>33.72</v>
      </c>
      <c r="D25" s="64">
        <v>26.33</v>
      </c>
      <c r="E25" s="64">
        <v>5.81</v>
      </c>
      <c r="F25" s="64">
        <v>4.32</v>
      </c>
      <c r="G25" s="64">
        <v>112.67</v>
      </c>
      <c r="H25" s="64">
        <v>67.62</v>
      </c>
      <c r="I25" s="64">
        <v>6.02</v>
      </c>
      <c r="J25" s="64">
        <v>0.32</v>
      </c>
      <c r="K25" s="64">
        <v>230.63</v>
      </c>
      <c r="L25" s="64">
        <v>13.07</v>
      </c>
      <c r="M25" s="64">
        <v>82.06</v>
      </c>
      <c r="N25" s="64">
        <v>25.8</v>
      </c>
      <c r="O25" s="64">
        <v>0</v>
      </c>
      <c r="P25" s="64">
        <v>0.98</v>
      </c>
      <c r="Q25" s="64">
        <v>9.66</v>
      </c>
      <c r="R25" s="196"/>
      <c r="S25" s="196"/>
      <c r="T25" s="196"/>
      <c r="U25" s="196"/>
    </row>
    <row r="26" spans="1:21" s="12" customFormat="1" x14ac:dyDescent="0.25">
      <c r="A26" s="211" t="s">
        <v>1798</v>
      </c>
      <c r="B26" s="64">
        <v>13.22</v>
      </c>
      <c r="C26" s="64">
        <v>34.1</v>
      </c>
      <c r="D26" s="64">
        <v>27.04</v>
      </c>
      <c r="E26" s="64">
        <v>5.7</v>
      </c>
      <c r="F26" s="64">
        <v>4.3099999999999996</v>
      </c>
      <c r="G26" s="64">
        <v>112.67</v>
      </c>
      <c r="H26" s="64">
        <v>67.62</v>
      </c>
      <c r="I26" s="64">
        <v>5.99</v>
      </c>
      <c r="J26" s="64">
        <v>0.56000000000000005</v>
      </c>
      <c r="K26" s="64">
        <v>325.45999999999998</v>
      </c>
      <c r="L26" s="64">
        <v>13</v>
      </c>
      <c r="M26" s="64">
        <v>85.77</v>
      </c>
      <c r="N26" s="64">
        <v>25.8</v>
      </c>
      <c r="O26" s="64">
        <v>0</v>
      </c>
      <c r="P26" s="64">
        <v>0.97</v>
      </c>
      <c r="Q26" s="64">
        <v>9.65</v>
      </c>
      <c r="R26" s="196"/>
      <c r="S26" s="196"/>
      <c r="T26" s="196"/>
      <c r="U26" s="196"/>
    </row>
    <row r="27" spans="1:21" s="12" customFormat="1" x14ac:dyDescent="0.25">
      <c r="A27" s="211" t="s">
        <v>1799</v>
      </c>
      <c r="B27" s="64">
        <v>16.36</v>
      </c>
      <c r="C27" s="64">
        <v>34.69</v>
      </c>
      <c r="D27" s="64">
        <v>29.87</v>
      </c>
      <c r="E27" s="64">
        <v>5.67</v>
      </c>
      <c r="F27" s="64">
        <v>4.28</v>
      </c>
      <c r="G27" s="64">
        <v>112.67</v>
      </c>
      <c r="H27" s="64">
        <v>67.62</v>
      </c>
      <c r="I27" s="64">
        <v>5.93</v>
      </c>
      <c r="J27" s="64">
        <v>0.5</v>
      </c>
      <c r="K27" s="64">
        <v>323.29000000000002</v>
      </c>
      <c r="L27" s="64">
        <v>12.92</v>
      </c>
      <c r="M27" s="64">
        <v>88.52</v>
      </c>
      <c r="N27" s="64">
        <v>25.8</v>
      </c>
      <c r="O27" s="64">
        <v>0</v>
      </c>
      <c r="P27" s="64">
        <v>0.99</v>
      </c>
      <c r="Q27" s="64">
        <v>9.65</v>
      </c>
      <c r="R27" s="196"/>
      <c r="S27" s="196"/>
      <c r="T27" s="196"/>
      <c r="U27" s="196"/>
    </row>
    <row r="28" spans="1:21" s="12" customFormat="1" x14ac:dyDescent="0.25">
      <c r="A28" s="211" t="s">
        <v>1800</v>
      </c>
      <c r="B28" s="64">
        <v>19.989999999999998</v>
      </c>
      <c r="C28" s="64">
        <v>35.090000000000003</v>
      </c>
      <c r="D28" s="64">
        <v>32.99</v>
      </c>
      <c r="E28" s="64">
        <v>6.7</v>
      </c>
      <c r="F28" s="64">
        <v>4.29</v>
      </c>
      <c r="G28" s="64">
        <v>116.79</v>
      </c>
      <c r="H28" s="64">
        <v>49.05</v>
      </c>
      <c r="I28" s="64">
        <v>5.88</v>
      </c>
      <c r="J28" s="64">
        <v>0.49</v>
      </c>
      <c r="K28" s="64">
        <v>312.68</v>
      </c>
      <c r="L28" s="64">
        <v>12.9</v>
      </c>
      <c r="M28" s="64">
        <v>87.35</v>
      </c>
      <c r="N28" s="64">
        <v>25.8</v>
      </c>
      <c r="O28" s="64">
        <v>0</v>
      </c>
      <c r="P28" s="64">
        <v>1</v>
      </c>
      <c r="Q28" s="64">
        <v>9.66</v>
      </c>
      <c r="R28" s="196"/>
      <c r="S28" s="196"/>
      <c r="T28" s="196"/>
      <c r="U28" s="196"/>
    </row>
    <row r="29" spans="1:21" s="12" customFormat="1" x14ac:dyDescent="0.25">
      <c r="A29" s="211" t="s">
        <v>1801</v>
      </c>
      <c r="B29" s="64">
        <v>23.59</v>
      </c>
      <c r="C29" s="64">
        <v>35.31</v>
      </c>
      <c r="D29" s="64">
        <v>35.99</v>
      </c>
      <c r="E29" s="64">
        <v>6.56</v>
      </c>
      <c r="F29" s="64">
        <v>4.1500000000000004</v>
      </c>
      <c r="G29" s="64">
        <v>128.77000000000001</v>
      </c>
      <c r="H29" s="64">
        <v>13.52</v>
      </c>
      <c r="I29" s="64">
        <v>5.86</v>
      </c>
      <c r="J29" s="64">
        <v>0.3</v>
      </c>
      <c r="K29" s="64">
        <v>323.51</v>
      </c>
      <c r="L29" s="64">
        <v>12.92</v>
      </c>
      <c r="M29" s="64">
        <v>88.03</v>
      </c>
      <c r="N29" s="64">
        <v>25.7</v>
      </c>
      <c r="O29" s="64">
        <v>0</v>
      </c>
      <c r="P29" s="64">
        <v>1.01</v>
      </c>
      <c r="Q29" s="64">
        <v>9.6300000000000008</v>
      </c>
      <c r="R29" s="196"/>
      <c r="S29" s="196"/>
      <c r="T29" s="196"/>
      <c r="U29" s="196"/>
    </row>
    <row r="30" spans="1:21" s="12" customFormat="1" x14ac:dyDescent="0.25">
      <c r="A30" s="211" t="s">
        <v>1802</v>
      </c>
      <c r="B30" s="64">
        <v>26.53</v>
      </c>
      <c r="C30" s="64">
        <v>35.35</v>
      </c>
      <c r="D30" s="64">
        <v>38.369999999999997</v>
      </c>
      <c r="E30" s="64">
        <v>6.28</v>
      </c>
      <c r="F30" s="64">
        <v>4.13</v>
      </c>
      <c r="G30" s="64">
        <v>128.77000000000001</v>
      </c>
      <c r="H30" s="64">
        <v>13.52</v>
      </c>
      <c r="I30" s="64">
        <v>5.88</v>
      </c>
      <c r="J30" s="64">
        <v>0.16</v>
      </c>
      <c r="K30" s="64">
        <v>261.79000000000002</v>
      </c>
      <c r="L30" s="64">
        <v>12.9</v>
      </c>
      <c r="M30" s="64">
        <v>88.17</v>
      </c>
      <c r="N30" s="64">
        <v>25.7</v>
      </c>
      <c r="O30" s="64">
        <v>0</v>
      </c>
      <c r="P30" s="64">
        <v>1.03</v>
      </c>
      <c r="Q30" s="64">
        <v>9.6300000000000008</v>
      </c>
      <c r="R30" s="196"/>
      <c r="S30" s="196"/>
      <c r="T30" s="196"/>
      <c r="U30" s="196"/>
    </row>
    <row r="31" spans="1:21" s="12" customFormat="1" x14ac:dyDescent="0.25">
      <c r="A31" s="211" t="s">
        <v>1803</v>
      </c>
      <c r="B31" s="64">
        <v>27.9</v>
      </c>
      <c r="C31" s="64">
        <v>34.17</v>
      </c>
      <c r="D31" s="64">
        <v>38.85</v>
      </c>
      <c r="E31" s="64">
        <v>7.43</v>
      </c>
      <c r="F31" s="64">
        <v>4.49</v>
      </c>
      <c r="G31" s="64">
        <v>128.77000000000001</v>
      </c>
      <c r="H31" s="64">
        <v>13.52</v>
      </c>
      <c r="I31" s="64">
        <v>5.92</v>
      </c>
      <c r="J31" s="64">
        <v>0.17</v>
      </c>
      <c r="K31" s="64">
        <v>316.44</v>
      </c>
      <c r="L31" s="64">
        <v>12.91</v>
      </c>
      <c r="M31" s="64">
        <v>87.18</v>
      </c>
      <c r="N31" s="64">
        <v>25.7</v>
      </c>
      <c r="O31" s="64">
        <v>0</v>
      </c>
      <c r="P31" s="64">
        <v>1.04</v>
      </c>
      <c r="Q31" s="64">
        <v>9.6199999999999992</v>
      </c>
      <c r="R31" s="196"/>
      <c r="S31" s="196"/>
      <c r="T31" s="196"/>
      <c r="U31" s="196"/>
    </row>
    <row r="32" spans="1:21" s="12" customFormat="1" x14ac:dyDescent="0.25">
      <c r="A32" s="211" t="s">
        <v>1804</v>
      </c>
      <c r="B32" s="64">
        <v>28.35</v>
      </c>
      <c r="C32" s="64">
        <v>33.43</v>
      </c>
      <c r="D32" s="64">
        <v>38.82</v>
      </c>
      <c r="E32" s="64">
        <v>6.9</v>
      </c>
      <c r="F32" s="64">
        <v>3.95</v>
      </c>
      <c r="G32" s="64">
        <v>135.88</v>
      </c>
      <c r="H32" s="64">
        <v>47.67</v>
      </c>
      <c r="I32" s="64">
        <v>5.99</v>
      </c>
      <c r="J32" s="64">
        <v>0.42</v>
      </c>
      <c r="K32" s="64">
        <v>102.79</v>
      </c>
      <c r="L32" s="64">
        <v>13.18</v>
      </c>
      <c r="M32" s="64">
        <v>84.15</v>
      </c>
      <c r="N32" s="64">
        <v>25.3</v>
      </c>
      <c r="O32" s="64">
        <v>0</v>
      </c>
      <c r="P32" s="64">
        <v>1.06</v>
      </c>
      <c r="Q32" s="64">
        <v>9.64</v>
      </c>
      <c r="R32" s="196"/>
      <c r="S32" s="196"/>
      <c r="T32" s="196"/>
      <c r="U32" s="196"/>
    </row>
    <row r="33" spans="1:21" s="12" customFormat="1" x14ac:dyDescent="0.25">
      <c r="A33" s="211" t="s">
        <v>1805</v>
      </c>
      <c r="B33" s="64">
        <v>28.64</v>
      </c>
      <c r="C33" s="64">
        <v>33.46</v>
      </c>
      <c r="D33" s="64">
        <v>39.07</v>
      </c>
      <c r="E33" s="64">
        <v>6.79</v>
      </c>
      <c r="F33" s="64">
        <v>3.32</v>
      </c>
      <c r="G33" s="64">
        <v>156.6</v>
      </c>
      <c r="H33" s="64">
        <v>112.99</v>
      </c>
      <c r="I33" s="64">
        <v>6.12</v>
      </c>
      <c r="J33" s="64">
        <v>0.34</v>
      </c>
      <c r="K33" s="64">
        <v>47.15</v>
      </c>
      <c r="L33" s="64">
        <v>13.31</v>
      </c>
      <c r="M33" s="64">
        <v>83.49</v>
      </c>
      <c r="N33" s="64">
        <v>26.9</v>
      </c>
      <c r="O33" s="64">
        <v>0</v>
      </c>
      <c r="P33" s="64">
        <v>1.1100000000000001</v>
      </c>
      <c r="Q33" s="64">
        <v>9.65</v>
      </c>
      <c r="R33" s="196"/>
      <c r="S33" s="196"/>
      <c r="T33" s="196"/>
      <c r="U33" s="196"/>
    </row>
    <row r="34" spans="1:21" s="12" customFormat="1" x14ac:dyDescent="0.25">
      <c r="A34" s="211" t="s">
        <v>1806</v>
      </c>
      <c r="B34" s="64">
        <v>28.66</v>
      </c>
      <c r="C34" s="64">
        <v>33.15</v>
      </c>
      <c r="D34" s="64">
        <v>38.93</v>
      </c>
      <c r="E34" s="64">
        <v>6.97</v>
      </c>
      <c r="F34" s="64">
        <v>3.59</v>
      </c>
      <c r="G34" s="64">
        <v>156.6</v>
      </c>
      <c r="H34" s="64">
        <v>112.99</v>
      </c>
      <c r="I34" s="64">
        <v>6.24</v>
      </c>
      <c r="J34" s="64">
        <v>0.1</v>
      </c>
      <c r="K34" s="64">
        <v>96.77</v>
      </c>
      <c r="L34" s="64">
        <v>13.29</v>
      </c>
      <c r="M34" s="64">
        <v>84.68</v>
      </c>
      <c r="N34" s="64">
        <v>31.4</v>
      </c>
      <c r="O34" s="64">
        <v>0</v>
      </c>
      <c r="P34" s="64">
        <v>1.1299999999999999</v>
      </c>
      <c r="Q34" s="64">
        <v>9.64</v>
      </c>
      <c r="R34" s="196"/>
      <c r="S34" s="196"/>
      <c r="T34" s="196"/>
      <c r="U34" s="196"/>
    </row>
    <row r="35" spans="1:21" s="12" customFormat="1" x14ac:dyDescent="0.25">
      <c r="A35" s="211" t="s">
        <v>1807</v>
      </c>
      <c r="B35" s="64">
        <v>28.48</v>
      </c>
      <c r="C35" s="64">
        <v>32.6</v>
      </c>
      <c r="D35" s="64">
        <v>38.49</v>
      </c>
      <c r="E35" s="64">
        <v>6.43</v>
      </c>
      <c r="F35" s="64">
        <v>4.09</v>
      </c>
      <c r="G35" s="64">
        <v>156.6</v>
      </c>
      <c r="H35" s="64">
        <v>112.99</v>
      </c>
      <c r="I35" s="64">
        <v>6.32</v>
      </c>
      <c r="J35" s="64">
        <v>0.11</v>
      </c>
      <c r="K35" s="64">
        <v>49.88</v>
      </c>
      <c r="L35" s="64">
        <v>13.58</v>
      </c>
      <c r="M35" s="64">
        <v>83.26</v>
      </c>
      <c r="N35" s="64">
        <v>43.4</v>
      </c>
      <c r="O35" s="64">
        <v>0</v>
      </c>
      <c r="P35" s="64">
        <v>1.1599999999999999</v>
      </c>
      <c r="Q35" s="64">
        <v>9.64</v>
      </c>
      <c r="R35" s="196"/>
      <c r="S35" s="196"/>
      <c r="T35" s="196"/>
      <c r="U35" s="196"/>
    </row>
    <row r="36" spans="1:21" s="12" customFormat="1" x14ac:dyDescent="0.25">
      <c r="A36" s="211" t="s">
        <v>1808</v>
      </c>
      <c r="B36" s="64">
        <v>28.34</v>
      </c>
      <c r="C36" s="64">
        <v>32.08</v>
      </c>
      <c r="D36" s="64">
        <v>38.11</v>
      </c>
      <c r="E36" s="64">
        <v>6.23</v>
      </c>
      <c r="F36" s="64">
        <v>4.51</v>
      </c>
      <c r="G36" s="64">
        <v>159.65</v>
      </c>
      <c r="H36" s="64">
        <v>104.04</v>
      </c>
      <c r="I36" s="64">
        <v>6.35</v>
      </c>
      <c r="J36" s="64">
        <v>0.45</v>
      </c>
      <c r="K36" s="64">
        <v>121.02</v>
      </c>
      <c r="L36" s="64">
        <v>13.92</v>
      </c>
      <c r="M36" s="64">
        <v>81.180000000000007</v>
      </c>
      <c r="N36" s="64">
        <v>59.7</v>
      </c>
      <c r="O36" s="64">
        <v>0</v>
      </c>
      <c r="P36" s="64">
        <v>1.21</v>
      </c>
      <c r="Q36" s="64">
        <v>9.6300000000000008</v>
      </c>
      <c r="R36" s="196"/>
      <c r="S36" s="196"/>
      <c r="T36" s="196"/>
      <c r="U36" s="196"/>
    </row>
    <row r="37" spans="1:21" s="12" customFormat="1" x14ac:dyDescent="0.25">
      <c r="A37" s="211" t="s">
        <v>1809</v>
      </c>
      <c r="B37" s="64">
        <v>28.44</v>
      </c>
      <c r="C37" s="64">
        <v>31.9</v>
      </c>
      <c r="D37" s="64">
        <v>38.1</v>
      </c>
      <c r="E37" s="64">
        <v>6.62</v>
      </c>
      <c r="F37" s="64">
        <v>4.21</v>
      </c>
      <c r="G37" s="64">
        <v>168.55</v>
      </c>
      <c r="H37" s="64">
        <v>86.91</v>
      </c>
      <c r="I37" s="64">
        <v>6.27</v>
      </c>
      <c r="J37" s="64">
        <v>0.45</v>
      </c>
      <c r="K37" s="64">
        <v>103.15</v>
      </c>
      <c r="L37" s="64">
        <v>14.47</v>
      </c>
      <c r="M37" s="64">
        <v>79.099999999999994</v>
      </c>
      <c r="N37" s="64">
        <v>78.900000000000006</v>
      </c>
      <c r="O37" s="64">
        <v>0</v>
      </c>
      <c r="P37" s="64">
        <v>1.1499999999999999</v>
      </c>
      <c r="Q37" s="64">
        <v>9.6300000000000008</v>
      </c>
      <c r="R37" s="196"/>
      <c r="S37" s="196"/>
      <c r="T37" s="196"/>
      <c r="U37" s="196"/>
    </row>
    <row r="38" spans="1:21" s="12" customFormat="1" x14ac:dyDescent="0.25">
      <c r="A38" s="211" t="s">
        <v>1810</v>
      </c>
      <c r="B38" s="64">
        <v>28.89</v>
      </c>
      <c r="C38" s="64">
        <v>31.66</v>
      </c>
      <c r="D38" s="64">
        <v>38.33</v>
      </c>
      <c r="E38" s="64">
        <v>6.87</v>
      </c>
      <c r="F38" s="64">
        <v>3.22</v>
      </c>
      <c r="G38" s="64">
        <v>168.55</v>
      </c>
      <c r="H38" s="64">
        <v>86.91</v>
      </c>
      <c r="I38" s="64">
        <v>6.05</v>
      </c>
      <c r="J38" s="64">
        <v>0.85</v>
      </c>
      <c r="K38" s="64">
        <v>114.85</v>
      </c>
      <c r="L38" s="64">
        <v>15.17</v>
      </c>
      <c r="M38" s="64">
        <v>73.91</v>
      </c>
      <c r="N38" s="64">
        <v>120.3</v>
      </c>
      <c r="O38" s="64">
        <v>0</v>
      </c>
      <c r="P38" s="64">
        <v>1.17</v>
      </c>
      <c r="Q38" s="64">
        <v>9.64</v>
      </c>
      <c r="R38" s="196"/>
      <c r="S38" s="196"/>
      <c r="T38" s="196"/>
      <c r="U38" s="196"/>
    </row>
    <row r="39" spans="1:21" s="12" customFormat="1" x14ac:dyDescent="0.25">
      <c r="A39" s="211" t="s">
        <v>1811</v>
      </c>
      <c r="B39" s="64">
        <v>28.34</v>
      </c>
      <c r="C39" s="64">
        <v>31.52</v>
      </c>
      <c r="D39" s="64">
        <v>37.82</v>
      </c>
      <c r="E39" s="64">
        <v>6.32</v>
      </c>
      <c r="F39" s="64">
        <v>3.84</v>
      </c>
      <c r="G39" s="64">
        <v>168.55</v>
      </c>
      <c r="H39" s="64">
        <v>86.91</v>
      </c>
      <c r="I39" s="64">
        <v>6.13</v>
      </c>
      <c r="J39" s="64">
        <v>0.31</v>
      </c>
      <c r="K39" s="64">
        <v>99.1</v>
      </c>
      <c r="L39" s="64">
        <v>16.46</v>
      </c>
      <c r="M39" s="64">
        <v>70.099999999999994</v>
      </c>
      <c r="N39" s="64">
        <v>166.7</v>
      </c>
      <c r="O39" s="64">
        <v>0</v>
      </c>
      <c r="P39" s="64">
        <v>1.18</v>
      </c>
      <c r="Q39" s="64">
        <v>9.64</v>
      </c>
      <c r="R39" s="196"/>
      <c r="S39" s="196"/>
      <c r="T39" s="196"/>
      <c r="U39" s="196"/>
    </row>
    <row r="40" spans="1:21" s="12" customFormat="1" x14ac:dyDescent="0.25">
      <c r="A40" s="211" t="s">
        <v>1812</v>
      </c>
      <c r="B40" s="64">
        <v>28.33</v>
      </c>
      <c r="C40" s="64">
        <v>32.880000000000003</v>
      </c>
      <c r="D40" s="64">
        <v>38.520000000000003</v>
      </c>
      <c r="E40" s="64">
        <v>6.06</v>
      </c>
      <c r="F40" s="64">
        <v>4.0199999999999996</v>
      </c>
      <c r="G40" s="64">
        <v>165.14</v>
      </c>
      <c r="H40" s="64">
        <v>85.4</v>
      </c>
      <c r="I40" s="64">
        <v>6.15</v>
      </c>
      <c r="J40" s="64">
        <v>0.24</v>
      </c>
      <c r="K40" s="64">
        <v>357.77</v>
      </c>
      <c r="L40" s="64">
        <v>18.23</v>
      </c>
      <c r="M40" s="64">
        <v>63.85</v>
      </c>
      <c r="N40" s="64">
        <v>205.4</v>
      </c>
      <c r="O40" s="64">
        <v>0</v>
      </c>
      <c r="P40" s="64">
        <v>1.18</v>
      </c>
      <c r="Q40" s="64">
        <v>9.64</v>
      </c>
      <c r="R40" s="196"/>
      <c r="S40" s="196"/>
      <c r="T40" s="196"/>
      <c r="U40" s="196"/>
    </row>
    <row r="41" spans="1:21" s="12" customFormat="1" x14ac:dyDescent="0.25">
      <c r="A41" s="211" t="s">
        <v>1813</v>
      </c>
      <c r="B41" s="64">
        <v>29.23</v>
      </c>
      <c r="C41" s="64">
        <v>34.590000000000003</v>
      </c>
      <c r="D41" s="64">
        <v>40.14</v>
      </c>
      <c r="E41" s="64">
        <v>6.8</v>
      </c>
      <c r="F41" s="64">
        <v>4.3499999999999996</v>
      </c>
      <c r="G41" s="64">
        <v>155.22</v>
      </c>
      <c r="H41" s="64">
        <v>79.349999999999994</v>
      </c>
      <c r="I41" s="64">
        <v>6.25</v>
      </c>
      <c r="J41" s="64">
        <v>0.84</v>
      </c>
      <c r="K41" s="64">
        <v>121.72</v>
      </c>
      <c r="L41" s="64">
        <v>19.100000000000001</v>
      </c>
      <c r="M41" s="64">
        <v>58.51</v>
      </c>
      <c r="N41" s="64">
        <v>248.2</v>
      </c>
      <c r="O41" s="64">
        <v>0</v>
      </c>
      <c r="P41" s="64">
        <v>1.19</v>
      </c>
      <c r="Q41" s="64">
        <v>9.64</v>
      </c>
      <c r="R41" s="196"/>
      <c r="S41" s="196"/>
      <c r="T41" s="196"/>
      <c r="U41" s="196"/>
    </row>
    <row r="42" spans="1:21" s="12" customFormat="1" x14ac:dyDescent="0.25">
      <c r="A42" s="211" t="s">
        <v>1814</v>
      </c>
      <c r="B42" s="64">
        <v>27.96</v>
      </c>
      <c r="C42" s="64">
        <v>35.76</v>
      </c>
      <c r="D42" s="64">
        <v>39.729999999999997</v>
      </c>
      <c r="E42" s="64">
        <v>6.6</v>
      </c>
      <c r="F42" s="64">
        <v>4.2699999999999996</v>
      </c>
      <c r="G42" s="64">
        <v>155.22</v>
      </c>
      <c r="H42" s="64">
        <v>79.349999999999994</v>
      </c>
      <c r="I42" s="64">
        <v>6.29</v>
      </c>
      <c r="J42" s="64">
        <v>1.01</v>
      </c>
      <c r="K42" s="64">
        <v>116.05</v>
      </c>
      <c r="L42" s="64">
        <v>18.95</v>
      </c>
      <c r="M42" s="64">
        <v>58.63</v>
      </c>
      <c r="N42" s="64">
        <v>290.10000000000002</v>
      </c>
      <c r="O42" s="64">
        <v>0</v>
      </c>
      <c r="P42" s="64">
        <v>1.17</v>
      </c>
      <c r="Q42" s="64">
        <v>9.65</v>
      </c>
      <c r="R42" s="196"/>
      <c r="S42" s="196"/>
      <c r="T42" s="196"/>
      <c r="U42" s="196"/>
    </row>
    <row r="43" spans="1:21" s="12" customFormat="1" x14ac:dyDescent="0.25">
      <c r="A43" s="211" t="s">
        <v>1815</v>
      </c>
      <c r="B43" s="64">
        <v>25.63</v>
      </c>
      <c r="C43" s="64">
        <v>36.89</v>
      </c>
      <c r="D43" s="64">
        <v>38.450000000000003</v>
      </c>
      <c r="E43" s="64">
        <v>5.87</v>
      </c>
      <c r="F43" s="64">
        <v>4.1399999999999997</v>
      </c>
      <c r="G43" s="64">
        <v>155.22</v>
      </c>
      <c r="H43" s="64">
        <v>79.349999999999994</v>
      </c>
      <c r="I43" s="64">
        <v>6.27</v>
      </c>
      <c r="J43" s="64">
        <v>1.27</v>
      </c>
      <c r="K43" s="64">
        <v>117.22</v>
      </c>
      <c r="L43" s="64">
        <v>19.12</v>
      </c>
      <c r="M43" s="64">
        <v>56.81</v>
      </c>
      <c r="N43" s="64">
        <v>331.3</v>
      </c>
      <c r="O43" s="64">
        <v>0</v>
      </c>
      <c r="P43" s="64">
        <v>1.1499999999999999</v>
      </c>
      <c r="Q43" s="64">
        <v>9.65</v>
      </c>
      <c r="R43" s="196"/>
      <c r="S43" s="196"/>
      <c r="T43" s="196"/>
      <c r="U43" s="196"/>
    </row>
    <row r="44" spans="1:21" s="12" customFormat="1" x14ac:dyDescent="0.25">
      <c r="A44" s="211" t="s">
        <v>1816</v>
      </c>
      <c r="B44" s="64">
        <v>22.7</v>
      </c>
      <c r="C44" s="64">
        <v>37.76</v>
      </c>
      <c r="D44" s="64">
        <v>36.549999999999997</v>
      </c>
      <c r="E44" s="64">
        <v>5.85</v>
      </c>
      <c r="F44" s="64">
        <v>4.25</v>
      </c>
      <c r="G44" s="64">
        <v>148.69999999999999</v>
      </c>
      <c r="H44" s="64">
        <v>52.11</v>
      </c>
      <c r="I44" s="64">
        <v>6.33</v>
      </c>
      <c r="J44" s="64">
        <v>1.26</v>
      </c>
      <c r="K44" s="64">
        <v>114.33</v>
      </c>
      <c r="L44" s="64">
        <v>19.32</v>
      </c>
      <c r="M44" s="64">
        <v>54.3</v>
      </c>
      <c r="N44" s="64">
        <v>370.8</v>
      </c>
      <c r="O44" s="64">
        <v>0</v>
      </c>
      <c r="P44" s="64">
        <v>1.1200000000000001</v>
      </c>
      <c r="Q44" s="64">
        <v>9.65</v>
      </c>
      <c r="R44" s="196"/>
      <c r="S44" s="196"/>
      <c r="T44" s="196"/>
      <c r="U44" s="196"/>
    </row>
    <row r="45" spans="1:21" s="12" customFormat="1" x14ac:dyDescent="0.25">
      <c r="A45" s="211" t="s">
        <v>1817</v>
      </c>
      <c r="B45" s="64">
        <v>20.329999999999998</v>
      </c>
      <c r="C45" s="64">
        <v>39.24</v>
      </c>
      <c r="D45" s="64">
        <v>35.43</v>
      </c>
      <c r="E45" s="64">
        <v>6.13</v>
      </c>
      <c r="F45" s="64">
        <v>4.09</v>
      </c>
      <c r="G45" s="64">
        <v>129.71</v>
      </c>
      <c r="H45" s="209" t="s">
        <v>42</v>
      </c>
      <c r="I45" s="64">
        <v>6.48</v>
      </c>
      <c r="J45" s="64">
        <v>0.43</v>
      </c>
      <c r="K45" s="64">
        <v>335.59</v>
      </c>
      <c r="L45" s="64">
        <v>21.64</v>
      </c>
      <c r="M45" s="64">
        <v>47.85</v>
      </c>
      <c r="N45" s="64">
        <v>400.1</v>
      </c>
      <c r="O45" s="64">
        <v>0</v>
      </c>
      <c r="P45" s="64">
        <v>1.1100000000000001</v>
      </c>
      <c r="Q45" s="64">
        <v>9.67</v>
      </c>
      <c r="R45" s="196"/>
      <c r="S45" s="196"/>
      <c r="T45" s="196"/>
      <c r="U45" s="196"/>
    </row>
    <row r="46" spans="1:21" s="12" customFormat="1" x14ac:dyDescent="0.25">
      <c r="A46" s="211" t="s">
        <v>1818</v>
      </c>
      <c r="B46" s="64">
        <v>19.23</v>
      </c>
      <c r="C46" s="64">
        <v>41.26</v>
      </c>
      <c r="D46" s="64">
        <v>35.6</v>
      </c>
      <c r="E46" s="64">
        <v>5.87</v>
      </c>
      <c r="F46" s="64">
        <v>3.98</v>
      </c>
      <c r="G46" s="64">
        <v>129.71</v>
      </c>
      <c r="H46" s="209" t="s">
        <v>42</v>
      </c>
      <c r="I46" s="64">
        <v>6.71</v>
      </c>
      <c r="J46" s="64">
        <v>0.33</v>
      </c>
      <c r="K46" s="64">
        <v>57.44</v>
      </c>
      <c r="L46" s="64">
        <v>23.06</v>
      </c>
      <c r="M46" s="64">
        <v>44.9</v>
      </c>
      <c r="N46" s="64">
        <v>432.4</v>
      </c>
      <c r="O46" s="64">
        <v>0</v>
      </c>
      <c r="P46" s="64">
        <v>1.0900000000000001</v>
      </c>
      <c r="Q46" s="64">
        <v>9.65</v>
      </c>
      <c r="R46" s="196"/>
      <c r="S46" s="196"/>
      <c r="T46" s="196"/>
      <c r="U46" s="196"/>
    </row>
    <row r="47" spans="1:21" s="12" customFormat="1" x14ac:dyDescent="0.25">
      <c r="A47" s="211" t="s">
        <v>1819</v>
      </c>
      <c r="B47" s="64">
        <v>17.91</v>
      </c>
      <c r="C47" s="64">
        <v>42.81</v>
      </c>
      <c r="D47" s="64">
        <v>35.36</v>
      </c>
      <c r="E47" s="64">
        <v>5.61</v>
      </c>
      <c r="F47" s="64">
        <v>3.88</v>
      </c>
      <c r="G47" s="64">
        <v>129.71</v>
      </c>
      <c r="H47" s="209" t="s">
        <v>42</v>
      </c>
      <c r="I47" s="64">
        <v>6.79</v>
      </c>
      <c r="J47" s="64">
        <v>0.38</v>
      </c>
      <c r="K47" s="64">
        <v>8.5500000000000007</v>
      </c>
      <c r="L47" s="64">
        <v>22.89</v>
      </c>
      <c r="M47" s="64">
        <v>45.31</v>
      </c>
      <c r="N47" s="64">
        <v>459.5</v>
      </c>
      <c r="O47" s="64">
        <v>0</v>
      </c>
      <c r="P47" s="64">
        <v>1.08</v>
      </c>
      <c r="Q47" s="64">
        <v>9.65</v>
      </c>
      <c r="R47" s="196"/>
      <c r="S47" s="196"/>
      <c r="T47" s="196"/>
      <c r="U47" s="196"/>
    </row>
    <row r="48" spans="1:21" s="12" customFormat="1" x14ac:dyDescent="0.25">
      <c r="A48" s="211" t="s">
        <v>1820</v>
      </c>
      <c r="B48" s="64">
        <v>16.8</v>
      </c>
      <c r="C48" s="64">
        <v>42.06</v>
      </c>
      <c r="D48" s="64">
        <v>34.07</v>
      </c>
      <c r="E48" s="64">
        <v>5.67</v>
      </c>
      <c r="F48" s="64">
        <v>4.03</v>
      </c>
      <c r="G48" s="64">
        <v>125.24</v>
      </c>
      <c r="H48" s="209" t="s">
        <v>42</v>
      </c>
      <c r="I48" s="64">
        <v>6.78</v>
      </c>
      <c r="J48" s="64">
        <v>0.82</v>
      </c>
      <c r="K48" s="64">
        <v>113.03</v>
      </c>
      <c r="L48" s="64">
        <v>23.22</v>
      </c>
      <c r="M48" s="64">
        <v>45.31</v>
      </c>
      <c r="N48" s="64">
        <v>491.1</v>
      </c>
      <c r="O48" s="64">
        <v>0</v>
      </c>
      <c r="P48" s="64">
        <v>1.05</v>
      </c>
      <c r="Q48" s="64">
        <v>9.66</v>
      </c>
      <c r="R48" s="196"/>
      <c r="S48" s="196"/>
      <c r="T48" s="196"/>
      <c r="U48" s="196"/>
    </row>
    <row r="49" spans="1:21" s="12" customFormat="1" x14ac:dyDescent="0.25">
      <c r="A49" s="211" t="s">
        <v>1821</v>
      </c>
      <c r="B49" s="64">
        <v>15.53</v>
      </c>
      <c r="C49" s="64">
        <v>41.75</v>
      </c>
      <c r="D49" s="64">
        <v>32.89</v>
      </c>
      <c r="E49" s="64">
        <v>5.65</v>
      </c>
      <c r="F49" s="64">
        <v>4.03</v>
      </c>
      <c r="G49" s="64">
        <v>112.22</v>
      </c>
      <c r="H49" s="209" t="s">
        <v>42</v>
      </c>
      <c r="I49" s="64">
        <v>6.76</v>
      </c>
      <c r="J49" s="64">
        <v>0.78</v>
      </c>
      <c r="K49" s="64">
        <v>107.8</v>
      </c>
      <c r="L49" s="64">
        <v>23.21</v>
      </c>
      <c r="M49" s="64">
        <v>45.1</v>
      </c>
      <c r="N49" s="64">
        <v>519.4</v>
      </c>
      <c r="O49" s="64">
        <v>0</v>
      </c>
      <c r="P49" s="64">
        <v>1.04</v>
      </c>
      <c r="Q49" s="64">
        <v>9.6300000000000008</v>
      </c>
      <c r="R49" s="196"/>
      <c r="S49" s="196"/>
      <c r="T49" s="196"/>
      <c r="U49" s="196"/>
    </row>
    <row r="50" spans="1:21" s="12" customFormat="1" x14ac:dyDescent="0.25">
      <c r="A50" s="211" t="s">
        <v>1822</v>
      </c>
      <c r="B50" s="64">
        <v>14.26</v>
      </c>
      <c r="C50" s="64">
        <v>41.63</v>
      </c>
      <c r="D50" s="64">
        <v>31.81</v>
      </c>
      <c r="E50" s="64">
        <v>5.13</v>
      </c>
      <c r="F50" s="64">
        <v>4.1900000000000004</v>
      </c>
      <c r="G50" s="64">
        <v>112.22</v>
      </c>
      <c r="H50" s="209" t="s">
        <v>42</v>
      </c>
      <c r="I50" s="64">
        <v>6.7</v>
      </c>
      <c r="J50" s="64">
        <v>0.63</v>
      </c>
      <c r="K50" s="64">
        <v>108.61</v>
      </c>
      <c r="L50" s="64">
        <v>23.39</v>
      </c>
      <c r="M50" s="64">
        <v>43.04</v>
      </c>
      <c r="N50" s="64">
        <v>556.70000000000005</v>
      </c>
      <c r="O50" s="64">
        <v>0</v>
      </c>
      <c r="P50" s="64">
        <v>1.03</v>
      </c>
      <c r="Q50" s="64">
        <v>9.6300000000000008</v>
      </c>
      <c r="R50" s="196"/>
      <c r="S50" s="196"/>
      <c r="T50" s="196"/>
      <c r="U50" s="196"/>
    </row>
    <row r="51" spans="1:21" s="12" customFormat="1" x14ac:dyDescent="0.25">
      <c r="A51" s="211" t="s">
        <v>1823</v>
      </c>
      <c r="B51" s="64">
        <v>12.94</v>
      </c>
      <c r="C51" s="64">
        <v>41.33</v>
      </c>
      <c r="D51" s="64">
        <v>30.59</v>
      </c>
      <c r="E51" s="64">
        <v>5.22</v>
      </c>
      <c r="F51" s="64">
        <v>4.07</v>
      </c>
      <c r="G51" s="64">
        <v>112.22</v>
      </c>
      <c r="H51" s="209" t="s">
        <v>42</v>
      </c>
      <c r="I51" s="64">
        <v>7.03</v>
      </c>
      <c r="J51" s="64">
        <v>1.03</v>
      </c>
      <c r="K51" s="64">
        <v>121.91</v>
      </c>
      <c r="L51" s="64">
        <v>23.4</v>
      </c>
      <c r="M51" s="64">
        <v>42.61</v>
      </c>
      <c r="N51" s="64">
        <v>589.79999999999995</v>
      </c>
      <c r="O51" s="64">
        <v>0</v>
      </c>
      <c r="P51" s="64">
        <v>1</v>
      </c>
      <c r="Q51" s="64">
        <v>9.6300000000000008</v>
      </c>
      <c r="R51" s="196"/>
      <c r="S51" s="196"/>
      <c r="T51" s="196"/>
      <c r="U51" s="196"/>
    </row>
    <row r="52" spans="1:21" s="12" customFormat="1" x14ac:dyDescent="0.25">
      <c r="A52" s="211" t="s">
        <v>1824</v>
      </c>
      <c r="B52" s="64">
        <v>11.37</v>
      </c>
      <c r="C52" s="64">
        <v>40.880000000000003</v>
      </c>
      <c r="D52" s="64">
        <v>29.1</v>
      </c>
      <c r="E52" s="64">
        <v>5.39</v>
      </c>
      <c r="F52" s="64">
        <v>4.26</v>
      </c>
      <c r="G52" s="64">
        <v>110.1</v>
      </c>
      <c r="H52" s="209" t="s">
        <v>42</v>
      </c>
      <c r="I52" s="64">
        <v>7.27</v>
      </c>
      <c r="J52" s="64">
        <v>0.79</v>
      </c>
      <c r="K52" s="64">
        <v>99.09</v>
      </c>
      <c r="L52" s="64">
        <v>24.21</v>
      </c>
      <c r="M52" s="64">
        <v>38.18</v>
      </c>
      <c r="N52" s="64">
        <v>617.79999999999995</v>
      </c>
      <c r="O52" s="64">
        <v>0</v>
      </c>
      <c r="P52" s="64">
        <v>0.98</v>
      </c>
      <c r="Q52" s="64">
        <v>9.64</v>
      </c>
      <c r="R52" s="196"/>
      <c r="S52" s="196"/>
      <c r="T52" s="196"/>
      <c r="U52" s="196"/>
    </row>
    <row r="53" spans="1:21" s="12" customFormat="1" x14ac:dyDescent="0.25">
      <c r="A53" s="211" t="s">
        <v>1825</v>
      </c>
      <c r="B53" s="64">
        <v>9.83</v>
      </c>
      <c r="C53" s="64">
        <v>40.69</v>
      </c>
      <c r="D53" s="64">
        <v>27.76</v>
      </c>
      <c r="E53" s="64">
        <v>5.19</v>
      </c>
      <c r="F53" s="64">
        <v>4.2699999999999996</v>
      </c>
      <c r="G53" s="64">
        <v>103.96</v>
      </c>
      <c r="H53" s="209" t="s">
        <v>42</v>
      </c>
      <c r="I53" s="64">
        <v>7.34</v>
      </c>
      <c r="J53" s="64">
        <v>0.28999999999999998</v>
      </c>
      <c r="K53" s="64">
        <v>15.11</v>
      </c>
      <c r="L53" s="64">
        <v>25.51</v>
      </c>
      <c r="M53" s="64">
        <v>35.049999999999997</v>
      </c>
      <c r="N53" s="64">
        <v>623.9</v>
      </c>
      <c r="O53" s="64">
        <v>0</v>
      </c>
      <c r="P53" s="64">
        <v>0.96</v>
      </c>
      <c r="Q53" s="64">
        <v>9.6300000000000008</v>
      </c>
      <c r="R53" s="196"/>
      <c r="S53" s="196"/>
      <c r="T53" s="196"/>
      <c r="U53" s="196"/>
    </row>
    <row r="54" spans="1:21" s="12" customFormat="1" x14ac:dyDescent="0.25">
      <c r="A54" s="211" t="s">
        <v>1826</v>
      </c>
      <c r="B54" s="64">
        <v>8.52</v>
      </c>
      <c r="C54" s="64">
        <v>40.090000000000003</v>
      </c>
      <c r="D54" s="64">
        <v>26.4</v>
      </c>
      <c r="E54" s="64">
        <v>5.13</v>
      </c>
      <c r="F54" s="64">
        <v>4.26</v>
      </c>
      <c r="G54" s="64">
        <v>103.96</v>
      </c>
      <c r="H54" s="209" t="s">
        <v>42</v>
      </c>
      <c r="I54" s="64">
        <v>8.07</v>
      </c>
      <c r="J54" s="64">
        <v>1.55</v>
      </c>
      <c r="K54" s="64">
        <v>114.22</v>
      </c>
      <c r="L54" s="64">
        <v>24.08</v>
      </c>
      <c r="M54" s="64">
        <v>35.11</v>
      </c>
      <c r="N54" s="64">
        <v>646.6</v>
      </c>
      <c r="O54" s="64">
        <v>0</v>
      </c>
      <c r="P54" s="64">
        <v>0.93</v>
      </c>
      <c r="Q54" s="64">
        <v>9.6300000000000008</v>
      </c>
      <c r="R54" s="196"/>
      <c r="S54" s="196"/>
      <c r="T54" s="196"/>
      <c r="U54" s="196"/>
    </row>
    <row r="55" spans="1:21" s="12" customFormat="1" x14ac:dyDescent="0.25">
      <c r="A55" s="211" t="s">
        <v>1827</v>
      </c>
      <c r="B55" s="64">
        <v>7.2</v>
      </c>
      <c r="C55" s="64">
        <v>39.119999999999997</v>
      </c>
      <c r="D55" s="64">
        <v>24.84</v>
      </c>
      <c r="E55" s="64">
        <v>5.19</v>
      </c>
      <c r="F55" s="64">
        <v>4.34</v>
      </c>
      <c r="G55" s="64">
        <v>103.96</v>
      </c>
      <c r="H55" s="209" t="s">
        <v>42</v>
      </c>
      <c r="I55" s="64">
        <v>8.2100000000000009</v>
      </c>
      <c r="J55" s="64">
        <v>0.46</v>
      </c>
      <c r="K55" s="64">
        <v>355.69</v>
      </c>
      <c r="L55" s="64">
        <v>26.01</v>
      </c>
      <c r="M55" s="64">
        <v>31.31</v>
      </c>
      <c r="N55" s="64">
        <v>623</v>
      </c>
      <c r="O55" s="64">
        <v>0</v>
      </c>
      <c r="P55" s="64">
        <v>0.9</v>
      </c>
      <c r="Q55" s="64">
        <v>9.6199999999999992</v>
      </c>
      <c r="R55" s="196"/>
      <c r="S55" s="196"/>
      <c r="T55" s="196"/>
      <c r="U55" s="196"/>
    </row>
    <row r="56" spans="1:21" s="12" customFormat="1" x14ac:dyDescent="0.25">
      <c r="A56" s="211" t="s">
        <v>1828</v>
      </c>
      <c r="B56" s="64">
        <v>6.06</v>
      </c>
      <c r="C56" s="64">
        <v>38.72</v>
      </c>
      <c r="D56" s="64">
        <v>23.71</v>
      </c>
      <c r="E56" s="64">
        <v>7.11</v>
      </c>
      <c r="F56" s="64">
        <v>5.22</v>
      </c>
      <c r="G56" s="64">
        <v>97.72</v>
      </c>
      <c r="H56" s="209" t="s">
        <v>42</v>
      </c>
      <c r="I56" s="64">
        <v>8.0399999999999991</v>
      </c>
      <c r="J56" s="64">
        <v>1.66</v>
      </c>
      <c r="K56" s="64">
        <v>115.99</v>
      </c>
      <c r="L56" s="64">
        <v>24.16</v>
      </c>
      <c r="M56" s="64">
        <v>33.700000000000003</v>
      </c>
      <c r="N56" s="64">
        <v>608.6</v>
      </c>
      <c r="O56" s="64">
        <v>0</v>
      </c>
      <c r="P56" s="64">
        <v>0.89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1829</v>
      </c>
      <c r="B57" s="64">
        <v>4.7</v>
      </c>
      <c r="C57" s="64">
        <v>38.61</v>
      </c>
      <c r="D57" s="64">
        <v>22.57</v>
      </c>
      <c r="E57" s="64">
        <v>7.49</v>
      </c>
      <c r="F57" s="64">
        <v>5.49</v>
      </c>
      <c r="G57" s="64">
        <v>79.569999999999993</v>
      </c>
      <c r="H57" s="209" t="s">
        <v>42</v>
      </c>
      <c r="I57" s="64">
        <v>8.65</v>
      </c>
      <c r="J57" s="64">
        <v>0.44</v>
      </c>
      <c r="K57" s="64">
        <v>50.64</v>
      </c>
      <c r="L57" s="64">
        <v>24.55</v>
      </c>
      <c r="M57" s="64">
        <v>34.47</v>
      </c>
      <c r="N57" s="64">
        <v>570.70000000000005</v>
      </c>
      <c r="O57" s="64">
        <v>0</v>
      </c>
      <c r="P57" s="64">
        <v>0.86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1830</v>
      </c>
      <c r="B58" s="64">
        <v>4.01</v>
      </c>
      <c r="C58" s="64">
        <v>39.61</v>
      </c>
      <c r="D58" s="64">
        <v>22.53</v>
      </c>
      <c r="E58" s="64">
        <v>7.58</v>
      </c>
      <c r="F58" s="64">
        <v>6.33</v>
      </c>
      <c r="G58" s="64">
        <v>79.569999999999993</v>
      </c>
      <c r="H58" s="209" t="s">
        <v>42</v>
      </c>
      <c r="I58" s="64">
        <v>8.92</v>
      </c>
      <c r="J58" s="64">
        <v>2.2200000000000002</v>
      </c>
      <c r="K58" s="64">
        <v>337.83</v>
      </c>
      <c r="L58" s="64">
        <v>27.49</v>
      </c>
      <c r="M58" s="64">
        <v>29.08</v>
      </c>
      <c r="N58" s="64">
        <v>540.1</v>
      </c>
      <c r="O58" s="64">
        <v>0</v>
      </c>
      <c r="P58" s="64">
        <v>0.85</v>
      </c>
      <c r="Q58" s="64">
        <v>9.6199999999999992</v>
      </c>
      <c r="R58" s="196"/>
      <c r="S58" s="196"/>
      <c r="T58" s="196"/>
      <c r="U58" s="196"/>
    </row>
    <row r="59" spans="1:21" s="12" customFormat="1" x14ac:dyDescent="0.25">
      <c r="A59" s="211" t="s">
        <v>1831</v>
      </c>
      <c r="B59" s="64">
        <v>3.47</v>
      </c>
      <c r="C59" s="64">
        <v>41.12</v>
      </c>
      <c r="D59" s="64">
        <v>22.89</v>
      </c>
      <c r="E59" s="64">
        <v>8.02</v>
      </c>
      <c r="F59" s="64">
        <v>6.7</v>
      </c>
      <c r="G59" s="64">
        <v>79.569999999999993</v>
      </c>
      <c r="H59" s="209" t="s">
        <v>42</v>
      </c>
      <c r="I59" s="64">
        <v>8.77</v>
      </c>
      <c r="J59" s="64">
        <v>0.71</v>
      </c>
      <c r="K59" s="64">
        <v>355.15</v>
      </c>
      <c r="L59" s="64">
        <v>27.22</v>
      </c>
      <c r="M59" s="64">
        <v>29.06</v>
      </c>
      <c r="N59" s="64">
        <v>518.79999999999995</v>
      </c>
      <c r="O59" s="64">
        <v>0</v>
      </c>
      <c r="P59" s="64">
        <v>0.82</v>
      </c>
      <c r="Q59" s="64">
        <v>9.6300000000000008</v>
      </c>
      <c r="R59" s="196"/>
      <c r="S59" s="196"/>
      <c r="T59" s="196"/>
      <c r="U59" s="196"/>
    </row>
    <row r="60" spans="1:21" s="12" customFormat="1" x14ac:dyDescent="0.25">
      <c r="A60" s="211" t="s">
        <v>1832</v>
      </c>
      <c r="B60" s="64">
        <v>2.97</v>
      </c>
      <c r="C60" s="64">
        <v>41.27</v>
      </c>
      <c r="D60" s="64">
        <v>22.57</v>
      </c>
      <c r="E60" s="64">
        <v>8.02</v>
      </c>
      <c r="F60" s="64">
        <v>6.19</v>
      </c>
      <c r="G60" s="64">
        <v>78.569999999999993</v>
      </c>
      <c r="H60" s="209" t="s">
        <v>42</v>
      </c>
      <c r="I60" s="64">
        <v>8.24</v>
      </c>
      <c r="J60" s="64">
        <v>0.71</v>
      </c>
      <c r="K60" s="64">
        <v>115.08</v>
      </c>
      <c r="L60" s="64">
        <v>25.34</v>
      </c>
      <c r="M60" s="64">
        <v>31.54</v>
      </c>
      <c r="N60" s="64">
        <v>508.7</v>
      </c>
      <c r="O60" s="64">
        <v>0</v>
      </c>
      <c r="P60" s="64">
        <v>0.81</v>
      </c>
      <c r="Q60" s="64">
        <v>9.6300000000000008</v>
      </c>
      <c r="R60" s="196"/>
      <c r="S60" s="196"/>
      <c r="T60" s="196"/>
      <c r="U60" s="196"/>
    </row>
    <row r="61" spans="1:21" s="12" customFormat="1" x14ac:dyDescent="0.25">
      <c r="A61" s="211" t="s">
        <v>1833</v>
      </c>
      <c r="B61" s="64">
        <v>2.69</v>
      </c>
      <c r="C61" s="64">
        <v>40.700000000000003</v>
      </c>
      <c r="D61" s="64">
        <v>22.04</v>
      </c>
      <c r="E61" s="64">
        <v>7.64</v>
      </c>
      <c r="F61" s="64">
        <v>6.27</v>
      </c>
      <c r="G61" s="64">
        <v>75.650000000000006</v>
      </c>
      <c r="H61" s="209" t="s">
        <v>42</v>
      </c>
      <c r="I61" s="64">
        <v>7.62</v>
      </c>
      <c r="J61" s="64">
        <v>0.2</v>
      </c>
      <c r="K61" s="64">
        <v>46.69</v>
      </c>
      <c r="L61" s="64">
        <v>25.7</v>
      </c>
      <c r="M61" s="64">
        <v>29.68</v>
      </c>
      <c r="N61" s="64">
        <v>497.3</v>
      </c>
      <c r="O61" s="64">
        <v>0</v>
      </c>
      <c r="P61" s="64">
        <v>0.76</v>
      </c>
      <c r="Q61" s="64">
        <v>9.6199999999999992</v>
      </c>
      <c r="R61" s="196"/>
      <c r="S61" s="196"/>
      <c r="T61" s="196"/>
      <c r="U61" s="196"/>
    </row>
    <row r="62" spans="1:21" s="12" customFormat="1" x14ac:dyDescent="0.25">
      <c r="A62" s="211" t="s">
        <v>1834</v>
      </c>
      <c r="B62" s="64">
        <v>2.5499999999999998</v>
      </c>
      <c r="C62" s="64">
        <v>40.19</v>
      </c>
      <c r="D62" s="64">
        <v>21.67</v>
      </c>
      <c r="E62" s="64">
        <v>7.11</v>
      </c>
      <c r="F62" s="64">
        <v>6.67</v>
      </c>
      <c r="G62" s="64">
        <v>75.650000000000006</v>
      </c>
      <c r="H62" s="209" t="s">
        <v>42</v>
      </c>
      <c r="I62" s="64">
        <v>7.22</v>
      </c>
      <c r="J62" s="64">
        <v>1.02</v>
      </c>
      <c r="K62" s="64">
        <v>347.41</v>
      </c>
      <c r="L62" s="64">
        <v>26.44</v>
      </c>
      <c r="M62" s="64">
        <v>28.67</v>
      </c>
      <c r="N62" s="64">
        <v>462.9</v>
      </c>
      <c r="O62" s="64">
        <v>0</v>
      </c>
      <c r="P62" s="64">
        <v>0.76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1835</v>
      </c>
      <c r="B63" s="64">
        <v>2.6</v>
      </c>
      <c r="C63" s="64">
        <v>40.82</v>
      </c>
      <c r="D63" s="64">
        <v>22.04</v>
      </c>
      <c r="E63" s="64">
        <v>7.97</v>
      </c>
      <c r="F63" s="64">
        <v>6.31</v>
      </c>
      <c r="G63" s="64">
        <v>75.650000000000006</v>
      </c>
      <c r="H63" s="209" t="s">
        <v>42</v>
      </c>
      <c r="I63" s="64">
        <v>7.36</v>
      </c>
      <c r="J63" s="64">
        <v>0.36</v>
      </c>
      <c r="K63" s="64">
        <v>12.62</v>
      </c>
      <c r="L63" s="64">
        <v>26.32</v>
      </c>
      <c r="M63" s="64">
        <v>28.53</v>
      </c>
      <c r="N63" s="64">
        <v>457.3</v>
      </c>
      <c r="O63" s="64">
        <v>0</v>
      </c>
      <c r="P63" s="64">
        <v>0.76</v>
      </c>
      <c r="Q63" s="64">
        <v>9.64</v>
      </c>
      <c r="R63" s="196"/>
      <c r="S63" s="196"/>
      <c r="T63" s="196"/>
      <c r="U63" s="196"/>
    </row>
    <row r="64" spans="1:21" s="12" customFormat="1" x14ac:dyDescent="0.25">
      <c r="A64" s="211" t="s">
        <v>1836</v>
      </c>
      <c r="B64" s="64">
        <v>2.58</v>
      </c>
      <c r="C64" s="64">
        <v>40.94</v>
      </c>
      <c r="D64" s="64">
        <v>22.08</v>
      </c>
      <c r="E64" s="64">
        <v>7.84</v>
      </c>
      <c r="F64" s="64">
        <v>6.5</v>
      </c>
      <c r="G64" s="64">
        <v>74.290000000000006</v>
      </c>
      <c r="H64" s="209" t="s">
        <v>42</v>
      </c>
      <c r="I64" s="64">
        <v>7.03</v>
      </c>
      <c r="J64" s="64">
        <v>1.86</v>
      </c>
      <c r="K64" s="64">
        <v>340.09</v>
      </c>
      <c r="L64" s="64">
        <v>25.89</v>
      </c>
      <c r="M64" s="64">
        <v>29.22</v>
      </c>
      <c r="N64" s="64">
        <v>250.4</v>
      </c>
      <c r="O64" s="64">
        <v>0</v>
      </c>
      <c r="P64" s="64">
        <v>0.73</v>
      </c>
      <c r="Q64" s="64">
        <v>9.65</v>
      </c>
      <c r="R64" s="196"/>
      <c r="S64" s="196"/>
      <c r="T64" s="196"/>
      <c r="U64" s="196"/>
    </row>
    <row r="65" spans="1:21" s="12" customFormat="1" x14ac:dyDescent="0.25">
      <c r="A65" s="211" t="s">
        <v>1837</v>
      </c>
      <c r="B65" s="64">
        <v>2.62</v>
      </c>
      <c r="C65" s="64">
        <v>40.229999999999997</v>
      </c>
      <c r="D65" s="64">
        <v>21.74</v>
      </c>
      <c r="E65" s="64">
        <v>7.74</v>
      </c>
      <c r="F65" s="64">
        <v>7.2</v>
      </c>
      <c r="G65" s="64">
        <v>70.319999999999993</v>
      </c>
      <c r="H65" s="64">
        <v>43.88</v>
      </c>
      <c r="I65" s="64">
        <v>6.54</v>
      </c>
      <c r="J65" s="64">
        <v>0.53</v>
      </c>
      <c r="K65" s="64">
        <v>92.54</v>
      </c>
      <c r="L65" s="64">
        <v>25.36</v>
      </c>
      <c r="M65" s="64">
        <v>29.56</v>
      </c>
      <c r="N65" s="64">
        <v>143</v>
      </c>
      <c r="O65" s="64">
        <v>0</v>
      </c>
      <c r="P65" s="64">
        <v>0.64</v>
      </c>
      <c r="Q65" s="64">
        <v>9.65</v>
      </c>
      <c r="R65" s="196"/>
      <c r="S65" s="196"/>
      <c r="T65" s="196"/>
      <c r="U65" s="196"/>
    </row>
    <row r="66" spans="1:21" s="12" customFormat="1" x14ac:dyDescent="0.25">
      <c r="A66" s="211" t="s">
        <v>1838</v>
      </c>
      <c r="B66" s="64">
        <v>2.58</v>
      </c>
      <c r="C66" s="64">
        <v>38.97</v>
      </c>
      <c r="D66" s="64">
        <v>21.05</v>
      </c>
      <c r="E66" s="64">
        <v>7.17</v>
      </c>
      <c r="F66" s="64">
        <v>6.32</v>
      </c>
      <c r="G66" s="64">
        <v>70.319999999999993</v>
      </c>
      <c r="H66" s="64">
        <v>43.88</v>
      </c>
      <c r="I66" s="64">
        <v>5.85</v>
      </c>
      <c r="J66" s="64">
        <v>0.97</v>
      </c>
      <c r="K66" s="64">
        <v>116.11</v>
      </c>
      <c r="L66" s="64">
        <v>24.04</v>
      </c>
      <c r="M66" s="64">
        <v>32.08</v>
      </c>
      <c r="N66" s="64">
        <v>131.6</v>
      </c>
      <c r="O66" s="64">
        <v>0</v>
      </c>
      <c r="P66" s="64">
        <v>0.63</v>
      </c>
      <c r="Q66" s="64">
        <v>9.6300000000000008</v>
      </c>
      <c r="R66" s="196"/>
      <c r="S66" s="196"/>
      <c r="T66" s="196"/>
      <c r="U66" s="196"/>
    </row>
    <row r="67" spans="1:21" s="12" customFormat="1" x14ac:dyDescent="0.25">
      <c r="A67" s="211" t="s">
        <v>1839</v>
      </c>
      <c r="B67" s="64">
        <v>2.74</v>
      </c>
      <c r="C67" s="64">
        <v>37.79</v>
      </c>
      <c r="D67" s="64">
        <v>20.56</v>
      </c>
      <c r="E67" s="64">
        <v>7.22</v>
      </c>
      <c r="F67" s="64">
        <v>7.14</v>
      </c>
      <c r="G67" s="64">
        <v>70.319999999999993</v>
      </c>
      <c r="H67" s="64">
        <v>43.88</v>
      </c>
      <c r="I67" s="64">
        <v>4.9000000000000004</v>
      </c>
      <c r="J67" s="64">
        <v>1.01</v>
      </c>
      <c r="K67" s="64">
        <v>339.37</v>
      </c>
      <c r="L67" s="64">
        <v>24.68</v>
      </c>
      <c r="M67" s="64">
        <v>31.36</v>
      </c>
      <c r="N67" s="64">
        <v>121.1</v>
      </c>
      <c r="O67" s="64">
        <v>0</v>
      </c>
      <c r="P67" s="64">
        <v>0.64</v>
      </c>
      <c r="Q67" s="64">
        <v>9.6300000000000008</v>
      </c>
      <c r="R67" s="196"/>
      <c r="S67" s="196"/>
      <c r="T67" s="196"/>
      <c r="U67" s="196"/>
    </row>
    <row r="68" spans="1:21" s="12" customFormat="1" x14ac:dyDescent="0.25">
      <c r="A68" s="211" t="s">
        <v>1840</v>
      </c>
      <c r="B68" s="64">
        <v>3.03</v>
      </c>
      <c r="C68" s="64">
        <v>38.020000000000003</v>
      </c>
      <c r="D68" s="64">
        <v>20.92</v>
      </c>
      <c r="E68" s="64">
        <v>6.88</v>
      </c>
      <c r="F68" s="64">
        <v>7.88</v>
      </c>
      <c r="G68" s="64">
        <v>68.75</v>
      </c>
      <c r="H68" s="64">
        <v>29.77</v>
      </c>
      <c r="I68" s="64">
        <v>3.93</v>
      </c>
      <c r="J68" s="64">
        <v>0.94</v>
      </c>
      <c r="K68" s="64">
        <v>344.4</v>
      </c>
      <c r="L68" s="64">
        <v>24.93</v>
      </c>
      <c r="M68" s="64">
        <v>30.21</v>
      </c>
      <c r="N68" s="64">
        <v>135.5</v>
      </c>
      <c r="O68" s="64">
        <v>0</v>
      </c>
      <c r="P68" s="64">
        <v>0.67</v>
      </c>
      <c r="Q68" s="64">
        <v>9.64</v>
      </c>
      <c r="R68" s="196"/>
      <c r="S68" s="196"/>
      <c r="T68" s="196"/>
      <c r="U68" s="196"/>
    </row>
    <row r="69" spans="1:21" s="12" customFormat="1" x14ac:dyDescent="0.25">
      <c r="A69" s="211" t="s">
        <v>1841</v>
      </c>
      <c r="B69" s="64">
        <v>3.2</v>
      </c>
      <c r="C69" s="64">
        <v>38.200000000000003</v>
      </c>
      <c r="D69" s="64">
        <v>21.15</v>
      </c>
      <c r="E69" s="64">
        <v>7.25</v>
      </c>
      <c r="F69" s="64">
        <v>6.63</v>
      </c>
      <c r="G69" s="64">
        <v>64.17</v>
      </c>
      <c r="H69" s="64">
        <v>0.88</v>
      </c>
      <c r="I69" s="64">
        <v>3.3</v>
      </c>
      <c r="J69" s="64">
        <v>0.74</v>
      </c>
      <c r="K69" s="64">
        <v>116.03</v>
      </c>
      <c r="L69" s="64">
        <v>23.96</v>
      </c>
      <c r="M69" s="64">
        <v>30.99</v>
      </c>
      <c r="N69" s="64">
        <v>98.7</v>
      </c>
      <c r="O69" s="64">
        <v>0</v>
      </c>
      <c r="P69" s="64">
        <v>0.56000000000000005</v>
      </c>
      <c r="Q69" s="64">
        <v>9.6300000000000008</v>
      </c>
      <c r="R69" s="196"/>
      <c r="S69" s="196"/>
      <c r="T69" s="196"/>
      <c r="U69" s="196"/>
    </row>
    <row r="70" spans="1:21" s="12" customFormat="1" x14ac:dyDescent="0.25">
      <c r="A70" s="211" t="s">
        <v>1842</v>
      </c>
      <c r="B70" s="64">
        <v>3.17</v>
      </c>
      <c r="C70" s="64">
        <v>37.380000000000003</v>
      </c>
      <c r="D70" s="64">
        <v>20.69</v>
      </c>
      <c r="E70" s="64">
        <v>7.1</v>
      </c>
      <c r="F70" s="64">
        <v>7.4</v>
      </c>
      <c r="G70" s="64">
        <v>64.17</v>
      </c>
      <c r="H70" s="64">
        <v>0.88</v>
      </c>
      <c r="I70" s="64">
        <v>3.45</v>
      </c>
      <c r="J70" s="64">
        <v>0.31</v>
      </c>
      <c r="K70" s="64">
        <v>22.96</v>
      </c>
      <c r="L70" s="64">
        <v>23.73</v>
      </c>
      <c r="M70" s="64">
        <v>32.65</v>
      </c>
      <c r="N70" s="64">
        <v>89.2</v>
      </c>
      <c r="O70" s="64">
        <v>0</v>
      </c>
      <c r="P70" s="64">
        <v>0.61</v>
      </c>
      <c r="Q70" s="64">
        <v>9.6300000000000008</v>
      </c>
      <c r="R70" s="196"/>
      <c r="S70" s="196"/>
      <c r="T70" s="196"/>
      <c r="U70" s="196"/>
    </row>
    <row r="71" spans="1:21" s="12" customFormat="1" x14ac:dyDescent="0.25">
      <c r="A71" s="211" t="s">
        <v>1843</v>
      </c>
      <c r="B71" s="64">
        <v>3.18</v>
      </c>
      <c r="C71" s="64">
        <v>36.9</v>
      </c>
      <c r="D71" s="64">
        <v>20.45</v>
      </c>
      <c r="E71" s="64">
        <v>6.8</v>
      </c>
      <c r="F71" s="64">
        <v>6.86</v>
      </c>
      <c r="G71" s="64">
        <v>64.17</v>
      </c>
      <c r="H71" s="64">
        <v>0.88</v>
      </c>
      <c r="I71" s="64">
        <v>2.87</v>
      </c>
      <c r="J71" s="64">
        <v>0.57999999999999996</v>
      </c>
      <c r="K71" s="64">
        <v>53.72</v>
      </c>
      <c r="L71" s="64">
        <v>23.54</v>
      </c>
      <c r="M71" s="64">
        <v>32.64</v>
      </c>
      <c r="N71" s="64">
        <v>81.099999999999994</v>
      </c>
      <c r="O71" s="64">
        <v>0</v>
      </c>
      <c r="P71" s="64">
        <v>0.63</v>
      </c>
      <c r="Q71" s="64">
        <v>9.6199999999999992</v>
      </c>
      <c r="R71" s="196"/>
      <c r="S71" s="196"/>
      <c r="T71" s="196"/>
      <c r="U71" s="196"/>
    </row>
    <row r="72" spans="1:21" s="12" customFormat="1" x14ac:dyDescent="0.25">
      <c r="A72" s="211" t="s">
        <v>1844</v>
      </c>
      <c r="B72" s="64">
        <v>3.15</v>
      </c>
      <c r="C72" s="64">
        <v>36.979999999999997</v>
      </c>
      <c r="D72" s="64">
        <v>20.47</v>
      </c>
      <c r="E72" s="64">
        <v>5.32</v>
      </c>
      <c r="F72" s="64">
        <v>5.85</v>
      </c>
      <c r="G72" s="64">
        <v>64.790000000000006</v>
      </c>
      <c r="H72" s="64">
        <v>10.29</v>
      </c>
      <c r="I72" s="64">
        <v>3.31</v>
      </c>
      <c r="J72" s="64">
        <v>0.76</v>
      </c>
      <c r="K72" s="64">
        <v>100.38</v>
      </c>
      <c r="L72" s="64">
        <v>23.27</v>
      </c>
      <c r="M72" s="64">
        <v>32.869999999999997</v>
      </c>
      <c r="N72" s="64">
        <v>72.2</v>
      </c>
      <c r="O72" s="64">
        <v>0</v>
      </c>
      <c r="P72" s="64">
        <v>0.67</v>
      </c>
      <c r="Q72" s="64">
        <v>9.6199999999999992</v>
      </c>
      <c r="R72" s="196"/>
      <c r="S72" s="196"/>
      <c r="T72" s="196"/>
      <c r="U72" s="196"/>
    </row>
    <row r="73" spans="1:21" s="12" customFormat="1" x14ac:dyDescent="0.25">
      <c r="A73" s="211" t="s">
        <v>1845</v>
      </c>
      <c r="B73" s="64">
        <v>2.86</v>
      </c>
      <c r="C73" s="64">
        <v>36.81</v>
      </c>
      <c r="D73" s="64">
        <v>20.149999999999999</v>
      </c>
      <c r="E73" s="64">
        <v>5.46</v>
      </c>
      <c r="F73" s="64">
        <v>5.79</v>
      </c>
      <c r="G73" s="64">
        <v>66.59</v>
      </c>
      <c r="H73" s="64">
        <v>47.96</v>
      </c>
      <c r="I73" s="64">
        <v>4.5</v>
      </c>
      <c r="J73" s="64">
        <v>0.55000000000000004</v>
      </c>
      <c r="K73" s="64">
        <v>113.28</v>
      </c>
      <c r="L73" s="64">
        <v>22.92</v>
      </c>
      <c r="M73" s="64">
        <v>33.96</v>
      </c>
      <c r="N73" s="64">
        <v>63.7</v>
      </c>
      <c r="O73" s="64">
        <v>0</v>
      </c>
      <c r="P73" s="64">
        <v>0.61</v>
      </c>
      <c r="Q73" s="64">
        <v>9.6199999999999992</v>
      </c>
      <c r="R73" s="196"/>
      <c r="S73" s="196"/>
      <c r="T73" s="196"/>
      <c r="U73" s="196"/>
    </row>
    <row r="74" spans="1:21" s="12" customFormat="1" x14ac:dyDescent="0.25">
      <c r="A74" s="211" t="s">
        <v>1846</v>
      </c>
      <c r="B74" s="64">
        <v>2.69</v>
      </c>
      <c r="C74" s="64">
        <v>37.06</v>
      </c>
      <c r="D74" s="64">
        <v>20.149999999999999</v>
      </c>
      <c r="E74" s="64">
        <v>5.51</v>
      </c>
      <c r="F74" s="64">
        <v>6.33</v>
      </c>
      <c r="G74" s="64">
        <v>66.59</v>
      </c>
      <c r="H74" s="64">
        <v>47.96</v>
      </c>
      <c r="I74" s="64">
        <v>6.09</v>
      </c>
      <c r="J74" s="64">
        <v>0.34</v>
      </c>
      <c r="K74" s="64">
        <v>353.98</v>
      </c>
      <c r="L74" s="64">
        <v>22.72</v>
      </c>
      <c r="M74" s="64">
        <v>34.92</v>
      </c>
      <c r="N74" s="64">
        <v>55.1</v>
      </c>
      <c r="O74" s="64">
        <v>0</v>
      </c>
      <c r="P74" s="64">
        <v>0.74</v>
      </c>
      <c r="Q74" s="64">
        <v>9.6199999999999992</v>
      </c>
      <c r="R74" s="196"/>
      <c r="S74" s="196"/>
      <c r="T74" s="196"/>
      <c r="U74" s="196"/>
    </row>
    <row r="75" spans="1:21" s="12" customFormat="1" x14ac:dyDescent="0.25">
      <c r="A75" s="211" t="s">
        <v>1847</v>
      </c>
      <c r="B75" s="64">
        <v>3.07</v>
      </c>
      <c r="C75" s="64">
        <v>39.08</v>
      </c>
      <c r="D75" s="64">
        <v>21.51</v>
      </c>
      <c r="E75" s="64">
        <v>5.76</v>
      </c>
      <c r="F75" s="64">
        <v>5.85</v>
      </c>
      <c r="G75" s="64">
        <v>66.59</v>
      </c>
      <c r="H75" s="64">
        <v>47.96</v>
      </c>
      <c r="I75" s="64">
        <v>5.65</v>
      </c>
      <c r="J75" s="64">
        <v>0.35</v>
      </c>
      <c r="K75" s="64">
        <v>83.47</v>
      </c>
      <c r="L75" s="64">
        <v>22.54</v>
      </c>
      <c r="M75" s="64">
        <v>35.01</v>
      </c>
      <c r="N75" s="64">
        <v>46.8</v>
      </c>
      <c r="O75" s="64">
        <v>0</v>
      </c>
      <c r="P75" s="64">
        <v>0.71</v>
      </c>
      <c r="Q75" s="64">
        <v>9.6199999999999992</v>
      </c>
      <c r="R75" s="196"/>
      <c r="S75" s="196"/>
      <c r="T75" s="196"/>
      <c r="U75" s="196"/>
    </row>
    <row r="76" spans="1:21" s="12" customFormat="1" x14ac:dyDescent="0.25">
      <c r="A76" s="211" t="s">
        <v>1848</v>
      </c>
      <c r="B76" s="64">
        <v>2.98</v>
      </c>
      <c r="C76" s="64">
        <v>39.950000000000003</v>
      </c>
      <c r="D76" s="64">
        <v>21.89</v>
      </c>
      <c r="E76" s="64">
        <v>5.56</v>
      </c>
      <c r="F76" s="64">
        <v>6.18</v>
      </c>
      <c r="G76" s="64">
        <v>66.48</v>
      </c>
      <c r="H76" s="64">
        <v>32.49</v>
      </c>
      <c r="I76" s="64">
        <v>4.22</v>
      </c>
      <c r="J76" s="64">
        <v>0.35</v>
      </c>
      <c r="K76" s="64">
        <v>55.95</v>
      </c>
      <c r="L76" s="64">
        <v>22.08</v>
      </c>
      <c r="M76" s="64">
        <v>35.58</v>
      </c>
      <c r="N76" s="64">
        <v>38.9</v>
      </c>
      <c r="O76" s="64">
        <v>0</v>
      </c>
      <c r="P76" s="64">
        <v>0.63</v>
      </c>
      <c r="Q76" s="64">
        <v>9.6300000000000008</v>
      </c>
      <c r="R76" s="196"/>
      <c r="S76" s="196"/>
      <c r="T76" s="196"/>
      <c r="U76" s="196"/>
    </row>
    <row r="77" spans="1:21" s="12" customFormat="1" x14ac:dyDescent="0.25">
      <c r="A77" s="211" t="s">
        <v>1849</v>
      </c>
      <c r="B77" s="64">
        <v>2.71</v>
      </c>
      <c r="C77" s="64">
        <v>39.81</v>
      </c>
      <c r="D77" s="64">
        <v>21.6</v>
      </c>
      <c r="E77" s="64">
        <v>5.7</v>
      </c>
      <c r="F77" s="64">
        <v>6.38</v>
      </c>
      <c r="G77" s="64">
        <v>66.16</v>
      </c>
      <c r="H77" s="64">
        <v>2.88</v>
      </c>
      <c r="I77" s="64">
        <v>3.76</v>
      </c>
      <c r="J77" s="64">
        <v>0.55000000000000004</v>
      </c>
      <c r="K77" s="64">
        <v>70.39</v>
      </c>
      <c r="L77" s="64">
        <v>21.61</v>
      </c>
      <c r="M77" s="64">
        <v>37.369999999999997</v>
      </c>
      <c r="N77" s="64">
        <v>32</v>
      </c>
      <c r="O77" s="64">
        <v>0</v>
      </c>
      <c r="P77" s="64">
        <v>0.7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1850</v>
      </c>
      <c r="B78" s="64">
        <v>2.59</v>
      </c>
      <c r="C78" s="64">
        <v>40.340000000000003</v>
      </c>
      <c r="D78" s="64">
        <v>21.78</v>
      </c>
      <c r="E78" s="64">
        <v>5.56</v>
      </c>
      <c r="F78" s="64">
        <v>6.14</v>
      </c>
      <c r="G78" s="64">
        <v>66.16</v>
      </c>
      <c r="H78" s="64">
        <v>2.88</v>
      </c>
      <c r="I78" s="64">
        <v>4.28</v>
      </c>
      <c r="J78" s="64">
        <v>0.21</v>
      </c>
      <c r="K78" s="64">
        <v>0.98</v>
      </c>
      <c r="L78" s="64">
        <v>21.11</v>
      </c>
      <c r="M78" s="64">
        <v>39.130000000000003</v>
      </c>
      <c r="N78" s="64">
        <v>27.8</v>
      </c>
      <c r="O78" s="64">
        <v>0</v>
      </c>
      <c r="P78" s="64">
        <v>0.69</v>
      </c>
      <c r="Q78" s="64">
        <v>9.61</v>
      </c>
      <c r="R78" s="196"/>
      <c r="S78" s="196"/>
      <c r="T78" s="196"/>
      <c r="U78" s="196"/>
    </row>
    <row r="79" spans="1:21" s="12" customFormat="1" x14ac:dyDescent="0.25">
      <c r="A79" s="211" t="s">
        <v>1851</v>
      </c>
      <c r="B79" s="64">
        <v>2.8</v>
      </c>
      <c r="C79" s="64">
        <v>41.03</v>
      </c>
      <c r="D79" s="64">
        <v>22.31</v>
      </c>
      <c r="E79" s="64">
        <v>5.24</v>
      </c>
      <c r="F79" s="64">
        <v>5.72</v>
      </c>
      <c r="G79" s="64">
        <v>66.16</v>
      </c>
      <c r="H79" s="64">
        <v>2.88</v>
      </c>
      <c r="I79" s="64">
        <v>4.79</v>
      </c>
      <c r="J79" s="64">
        <v>0.39</v>
      </c>
      <c r="K79" s="64">
        <v>348.03</v>
      </c>
      <c r="L79" s="64">
        <v>20.48</v>
      </c>
      <c r="M79" s="64">
        <v>43.63</v>
      </c>
      <c r="N79" s="64">
        <v>26.3</v>
      </c>
      <c r="O79" s="64">
        <v>0</v>
      </c>
      <c r="P79" s="64">
        <v>0.89</v>
      </c>
      <c r="Q79" s="64">
        <v>9.6300000000000008</v>
      </c>
      <c r="R79" s="196"/>
      <c r="S79" s="196"/>
      <c r="T79" s="196"/>
      <c r="U79" s="196"/>
    </row>
    <row r="80" spans="1:21" s="12" customFormat="1" x14ac:dyDescent="0.25">
      <c r="A80" s="211" t="s">
        <v>1852</v>
      </c>
      <c r="B80" s="64">
        <v>5.4</v>
      </c>
      <c r="C80" s="64">
        <v>44.19</v>
      </c>
      <c r="D80" s="64">
        <v>26.04</v>
      </c>
      <c r="E80" s="64">
        <v>5.55</v>
      </c>
      <c r="F80" s="64">
        <v>4.68</v>
      </c>
      <c r="G80" s="64">
        <v>66.89</v>
      </c>
      <c r="H80" s="64">
        <v>45.22</v>
      </c>
      <c r="I80" s="64">
        <v>4.6399999999999997</v>
      </c>
      <c r="J80" s="64">
        <v>0.52</v>
      </c>
      <c r="K80" s="64">
        <v>343.27</v>
      </c>
      <c r="L80" s="64">
        <v>19.72</v>
      </c>
      <c r="M80" s="64">
        <v>50.09</v>
      </c>
      <c r="N80" s="64">
        <v>26.3</v>
      </c>
      <c r="O80" s="64">
        <v>0</v>
      </c>
      <c r="P80" s="64">
        <v>1.36</v>
      </c>
      <c r="Q80" s="64">
        <v>9.64</v>
      </c>
      <c r="R80" s="196"/>
      <c r="S80" s="196"/>
      <c r="T80" s="196"/>
      <c r="U80" s="196"/>
    </row>
    <row r="81" spans="1:26" s="12" customFormat="1" x14ac:dyDescent="0.25">
      <c r="A81" s="211" t="s">
        <v>1853</v>
      </c>
      <c r="B81" s="64">
        <v>9.58</v>
      </c>
      <c r="C81" s="64">
        <v>46.54</v>
      </c>
      <c r="D81" s="64">
        <v>30.62</v>
      </c>
      <c r="E81" s="64">
        <v>6.33</v>
      </c>
      <c r="F81" s="64">
        <v>4.3099999999999996</v>
      </c>
      <c r="G81" s="64">
        <v>69.02</v>
      </c>
      <c r="H81" s="64">
        <v>45.22</v>
      </c>
      <c r="I81" s="64">
        <v>5.2</v>
      </c>
      <c r="J81" s="64">
        <v>0.5</v>
      </c>
      <c r="K81" s="64">
        <v>285.06</v>
      </c>
      <c r="L81" s="64">
        <v>19.010000000000002</v>
      </c>
      <c r="M81" s="64">
        <v>52.07</v>
      </c>
      <c r="N81" s="64">
        <v>26.1</v>
      </c>
      <c r="O81" s="64">
        <v>0</v>
      </c>
      <c r="P81" s="64">
        <v>1.28</v>
      </c>
      <c r="Q81" s="64">
        <v>9.6300000000000008</v>
      </c>
      <c r="R81" s="196"/>
      <c r="S81" s="196"/>
      <c r="T81" s="196"/>
      <c r="U81" s="196"/>
    </row>
    <row r="82" spans="1:26" s="12" customFormat="1" x14ac:dyDescent="0.25">
      <c r="A82" s="211" t="s">
        <v>1854</v>
      </c>
      <c r="B82" s="64">
        <v>12.55</v>
      </c>
      <c r="C82" s="64">
        <v>47.11</v>
      </c>
      <c r="D82" s="64">
        <v>33.299999999999997</v>
      </c>
      <c r="E82" s="64">
        <v>6.37</v>
      </c>
      <c r="F82" s="64">
        <v>4.2</v>
      </c>
      <c r="G82" s="64">
        <v>69.02</v>
      </c>
      <c r="H82" s="64">
        <v>45.22</v>
      </c>
      <c r="I82" s="64">
        <v>6.68</v>
      </c>
      <c r="J82" s="64">
        <v>0.3</v>
      </c>
      <c r="K82" s="64">
        <v>353.26</v>
      </c>
      <c r="L82" s="64">
        <v>18.52</v>
      </c>
      <c r="M82" s="64">
        <v>61.17</v>
      </c>
      <c r="N82" s="64">
        <v>26.2</v>
      </c>
      <c r="O82" s="64">
        <v>0</v>
      </c>
      <c r="P82" s="64">
        <v>1.32</v>
      </c>
      <c r="Q82" s="64">
        <v>9.6199999999999992</v>
      </c>
      <c r="R82" s="196"/>
      <c r="S82" s="196"/>
      <c r="T82" s="196"/>
      <c r="U82" s="196"/>
    </row>
    <row r="83" spans="1:26" s="12" customFormat="1" x14ac:dyDescent="0.25">
      <c r="A83" s="211" t="s">
        <v>1855</v>
      </c>
      <c r="B83" s="64">
        <v>13.79</v>
      </c>
      <c r="C83" s="64">
        <v>47.21</v>
      </c>
      <c r="D83" s="64">
        <v>34.35</v>
      </c>
      <c r="E83" s="64">
        <v>6.9</v>
      </c>
      <c r="F83" s="64">
        <v>4.49</v>
      </c>
      <c r="G83" s="64">
        <v>69.02</v>
      </c>
      <c r="H83" s="64">
        <v>45.22</v>
      </c>
      <c r="I83" s="64">
        <v>6.89</v>
      </c>
      <c r="J83" s="64">
        <v>0.18</v>
      </c>
      <c r="K83" s="64">
        <v>157.91</v>
      </c>
      <c r="L83" s="64">
        <v>18.350000000000001</v>
      </c>
      <c r="M83" s="64">
        <v>54.96</v>
      </c>
      <c r="N83" s="64">
        <v>25.8</v>
      </c>
      <c r="O83" s="64">
        <v>0</v>
      </c>
      <c r="P83" s="64">
        <v>1.31</v>
      </c>
      <c r="Q83" s="64">
        <v>9.6199999999999992</v>
      </c>
      <c r="R83" s="196"/>
      <c r="S83" s="196"/>
      <c r="T83" s="196"/>
      <c r="U83" s="196"/>
    </row>
    <row r="84" spans="1:26" s="12" customFormat="1" x14ac:dyDescent="0.25">
      <c r="A84" s="211" t="s">
        <v>1856</v>
      </c>
      <c r="B84" s="64">
        <v>14.02</v>
      </c>
      <c r="C84" s="64">
        <v>47.02</v>
      </c>
      <c r="D84" s="64">
        <v>34.43</v>
      </c>
      <c r="E84" s="64">
        <v>6.42</v>
      </c>
      <c r="F84" s="64">
        <v>4.0199999999999996</v>
      </c>
      <c r="G84" s="64">
        <v>73.45</v>
      </c>
      <c r="H84" s="64">
        <v>112.2</v>
      </c>
      <c r="I84" s="64">
        <v>6.73</v>
      </c>
      <c r="J84" s="64">
        <v>0.56000000000000005</v>
      </c>
      <c r="K84" s="64">
        <v>321.95</v>
      </c>
      <c r="L84" s="64">
        <v>18.21</v>
      </c>
      <c r="M84" s="64">
        <v>60.54</v>
      </c>
      <c r="N84" s="64">
        <v>26.1</v>
      </c>
      <c r="O84" s="64">
        <v>0</v>
      </c>
      <c r="P84" s="64">
        <v>1.51</v>
      </c>
      <c r="Q84" s="64">
        <v>9.6199999999999992</v>
      </c>
      <c r="R84" s="196"/>
      <c r="S84" s="196"/>
      <c r="T84" s="196"/>
      <c r="U84" s="196"/>
    </row>
    <row r="85" spans="1:26" s="12" customFormat="1" x14ac:dyDescent="0.25">
      <c r="A85" s="211" t="s">
        <v>1857</v>
      </c>
      <c r="B85" s="64">
        <v>15.61</v>
      </c>
      <c r="C85" s="64">
        <v>46.57</v>
      </c>
      <c r="D85" s="64">
        <v>35.47</v>
      </c>
      <c r="E85" s="64">
        <v>6.82</v>
      </c>
      <c r="F85" s="64">
        <v>3.64</v>
      </c>
      <c r="G85" s="64">
        <v>86.36</v>
      </c>
      <c r="H85" s="64">
        <v>85.38</v>
      </c>
      <c r="I85" s="64">
        <v>6.96</v>
      </c>
      <c r="J85" s="64">
        <v>0.34</v>
      </c>
      <c r="K85" s="64">
        <v>243.44</v>
      </c>
      <c r="L85" s="64">
        <v>17.79</v>
      </c>
      <c r="M85" s="64">
        <v>63.01</v>
      </c>
      <c r="N85" s="64">
        <v>25.7</v>
      </c>
      <c r="O85" s="64">
        <v>0</v>
      </c>
      <c r="P85" s="64">
        <v>1.24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1858</v>
      </c>
      <c r="B86" s="64">
        <v>17.88</v>
      </c>
      <c r="C86" s="64">
        <v>46.2</v>
      </c>
      <c r="D86" s="64">
        <v>37.090000000000003</v>
      </c>
      <c r="E86" s="64">
        <v>6.71</v>
      </c>
      <c r="F86" s="64">
        <v>3.63</v>
      </c>
      <c r="G86" s="64">
        <v>86.36</v>
      </c>
      <c r="H86" s="64">
        <v>85.38</v>
      </c>
      <c r="I86" s="64">
        <v>7.83</v>
      </c>
      <c r="J86" s="64">
        <v>0.44</v>
      </c>
      <c r="K86" s="64">
        <v>309.5</v>
      </c>
      <c r="L86" s="64">
        <v>17.91</v>
      </c>
      <c r="M86" s="64">
        <v>62.63</v>
      </c>
      <c r="N86" s="64">
        <v>26</v>
      </c>
      <c r="O86" s="64">
        <v>0</v>
      </c>
      <c r="P86" s="64">
        <v>1.51</v>
      </c>
      <c r="Q86" s="64">
        <v>9.6199999999999992</v>
      </c>
      <c r="R86" s="196"/>
      <c r="S86" s="196"/>
      <c r="T86" s="196"/>
      <c r="U86" s="196"/>
    </row>
    <row r="87" spans="1:26" s="12" customFormat="1" x14ac:dyDescent="0.25">
      <c r="A87" s="211" t="s">
        <v>1859</v>
      </c>
      <c r="B87" s="64">
        <v>23.23</v>
      </c>
      <c r="C87" s="64">
        <v>46.04</v>
      </c>
      <c r="D87" s="64">
        <v>41.31</v>
      </c>
      <c r="E87" s="64">
        <v>7.36</v>
      </c>
      <c r="F87" s="64">
        <v>3.43</v>
      </c>
      <c r="G87" s="64">
        <v>86.36</v>
      </c>
      <c r="H87" s="64">
        <v>85.38</v>
      </c>
      <c r="I87" s="64">
        <v>7.81</v>
      </c>
      <c r="J87" s="64">
        <v>0.32</v>
      </c>
      <c r="K87" s="64">
        <v>284.83</v>
      </c>
      <c r="L87" s="64">
        <v>17.37</v>
      </c>
      <c r="M87" s="64">
        <v>67.36</v>
      </c>
      <c r="N87" s="64">
        <v>25.9</v>
      </c>
      <c r="O87" s="64">
        <v>0</v>
      </c>
      <c r="P87" s="64">
        <v>1.75</v>
      </c>
      <c r="Q87" s="64">
        <v>9.61</v>
      </c>
      <c r="R87" s="196"/>
      <c r="S87" s="196"/>
      <c r="T87" s="196"/>
      <c r="U87" s="196"/>
    </row>
    <row r="88" spans="1:26" s="12" customFormat="1" x14ac:dyDescent="0.25">
      <c r="A88" s="211" t="s">
        <v>1860</v>
      </c>
      <c r="B88" s="64">
        <v>29.5</v>
      </c>
      <c r="C88" s="64">
        <v>45.98</v>
      </c>
      <c r="D88" s="64">
        <v>46.31</v>
      </c>
      <c r="E88" s="64">
        <v>7.68</v>
      </c>
      <c r="F88" s="64">
        <v>3.68</v>
      </c>
      <c r="G88" s="64">
        <v>94.23</v>
      </c>
      <c r="H88" s="64">
        <v>82.71</v>
      </c>
      <c r="I88" s="64">
        <v>8.83</v>
      </c>
      <c r="J88" s="64">
        <v>0.55000000000000004</v>
      </c>
      <c r="K88" s="64">
        <v>310.32</v>
      </c>
      <c r="L88" s="64">
        <v>17.09</v>
      </c>
      <c r="M88" s="64">
        <v>75.12</v>
      </c>
      <c r="N88" s="64">
        <v>25.8</v>
      </c>
      <c r="O88" s="64">
        <v>0</v>
      </c>
      <c r="P88" s="64">
        <v>1.87</v>
      </c>
      <c r="Q88" s="64">
        <v>9.6300000000000008</v>
      </c>
      <c r="R88" s="196"/>
      <c r="S88" s="196"/>
      <c r="T88" s="196"/>
      <c r="U88" s="196"/>
    </row>
    <row r="89" spans="1:26" s="12" customFormat="1" x14ac:dyDescent="0.25">
      <c r="A89" s="211" t="s">
        <v>1861</v>
      </c>
      <c r="B89" s="64">
        <v>35.22</v>
      </c>
      <c r="C89" s="64">
        <v>46.15</v>
      </c>
      <c r="D89" s="64">
        <v>50.98</v>
      </c>
      <c r="E89" s="64">
        <v>7.62</v>
      </c>
      <c r="F89" s="64">
        <v>3.48</v>
      </c>
      <c r="G89" s="64">
        <v>117.16</v>
      </c>
      <c r="H89" s="64">
        <v>72.010000000000005</v>
      </c>
      <c r="I89" s="64">
        <v>9.14</v>
      </c>
      <c r="J89" s="64">
        <v>0.5</v>
      </c>
      <c r="K89" s="64">
        <v>302.73</v>
      </c>
      <c r="L89" s="64">
        <v>16.89</v>
      </c>
      <c r="M89" s="64">
        <v>69.760000000000005</v>
      </c>
      <c r="N89" s="64">
        <v>25.9</v>
      </c>
      <c r="O89" s="64">
        <v>0</v>
      </c>
      <c r="P89" s="64">
        <v>1.34</v>
      </c>
      <c r="Q89" s="64">
        <v>9.64</v>
      </c>
      <c r="R89" s="196"/>
      <c r="S89" s="196"/>
      <c r="T89" s="196"/>
      <c r="U89" s="196"/>
    </row>
    <row r="90" spans="1:26" s="12" customFormat="1" x14ac:dyDescent="0.25">
      <c r="A90" s="211" t="s">
        <v>1862</v>
      </c>
      <c r="B90" s="64">
        <v>40.340000000000003</v>
      </c>
      <c r="C90" s="64">
        <v>47.36</v>
      </c>
      <c r="D90" s="64">
        <v>55.72</v>
      </c>
      <c r="E90" s="64">
        <v>7.41</v>
      </c>
      <c r="F90" s="64">
        <v>4.08</v>
      </c>
      <c r="G90" s="64">
        <v>117.16</v>
      </c>
      <c r="H90" s="64">
        <v>72.010000000000005</v>
      </c>
      <c r="I90" s="64">
        <v>9.24</v>
      </c>
      <c r="J90" s="64">
        <v>0.53</v>
      </c>
      <c r="K90" s="64">
        <v>294.45999999999998</v>
      </c>
      <c r="L90" s="64">
        <v>16.73</v>
      </c>
      <c r="M90" s="64">
        <v>69.75</v>
      </c>
      <c r="N90" s="64">
        <v>25.9</v>
      </c>
      <c r="O90" s="64">
        <v>0</v>
      </c>
      <c r="P90" s="64">
        <v>1.48</v>
      </c>
      <c r="Q90" s="64">
        <v>9.65</v>
      </c>
      <c r="R90" s="196"/>
      <c r="S90" s="196"/>
      <c r="T90" s="196"/>
      <c r="U90" s="196"/>
    </row>
    <row r="91" spans="1:26" s="12" customFormat="1" x14ac:dyDescent="0.25">
      <c r="A91" s="211" t="s">
        <v>1863</v>
      </c>
      <c r="B91" s="64">
        <v>48.05</v>
      </c>
      <c r="C91" s="64">
        <v>49.09</v>
      </c>
      <c r="D91" s="64">
        <v>62.8</v>
      </c>
      <c r="E91" s="64">
        <v>7.83</v>
      </c>
      <c r="F91" s="64">
        <v>4.49</v>
      </c>
      <c r="G91" s="64">
        <v>117.16</v>
      </c>
      <c r="H91" s="64">
        <v>72.010000000000005</v>
      </c>
      <c r="I91" s="64">
        <v>9.1300000000000008</v>
      </c>
      <c r="J91" s="64">
        <v>0.54</v>
      </c>
      <c r="K91" s="64">
        <v>316.24</v>
      </c>
      <c r="L91" s="64">
        <v>16.510000000000002</v>
      </c>
      <c r="M91" s="64">
        <v>74.959999999999994</v>
      </c>
      <c r="N91" s="64">
        <v>25.9</v>
      </c>
      <c r="O91" s="64">
        <v>0</v>
      </c>
      <c r="P91" s="64">
        <v>1.63</v>
      </c>
      <c r="Q91" s="64">
        <v>9.6999999999999993</v>
      </c>
      <c r="R91" s="196"/>
      <c r="S91" s="196"/>
      <c r="T91" s="196"/>
      <c r="U91" s="196"/>
    </row>
    <row r="92" spans="1:26" s="12" customFormat="1" x14ac:dyDescent="0.25">
      <c r="A92" s="211" t="s">
        <v>1864</v>
      </c>
      <c r="B92" s="64">
        <v>57.49</v>
      </c>
      <c r="C92" s="64">
        <v>50.26</v>
      </c>
      <c r="D92" s="64">
        <v>70.989999999999995</v>
      </c>
      <c r="E92" s="64">
        <v>8.34</v>
      </c>
      <c r="F92" s="64">
        <v>4.42</v>
      </c>
      <c r="G92" s="64">
        <v>122.16</v>
      </c>
      <c r="H92" s="64">
        <v>67.58</v>
      </c>
      <c r="I92" s="64">
        <v>8.9700000000000006</v>
      </c>
      <c r="J92" s="64">
        <v>0.54</v>
      </c>
      <c r="K92" s="64">
        <v>303.89</v>
      </c>
      <c r="L92" s="64">
        <v>16.260000000000002</v>
      </c>
      <c r="M92" s="64">
        <v>73.88</v>
      </c>
      <c r="N92" s="64">
        <v>25.8</v>
      </c>
      <c r="O92" s="64">
        <v>0</v>
      </c>
      <c r="P92" s="64">
        <v>1.69</v>
      </c>
      <c r="Q92" s="64">
        <v>9.65</v>
      </c>
      <c r="R92" s="196"/>
      <c r="S92" s="196"/>
      <c r="T92" s="196"/>
      <c r="U92" s="196"/>
    </row>
    <row r="93" spans="1:26" s="12" customFormat="1" x14ac:dyDescent="0.25">
      <c r="A93" s="211" t="s">
        <v>1865</v>
      </c>
      <c r="B93" s="64">
        <v>68.41</v>
      </c>
      <c r="C93" s="64">
        <v>51.23</v>
      </c>
      <c r="D93" s="64">
        <v>80.25</v>
      </c>
      <c r="E93" s="64">
        <v>8.7899999999999991</v>
      </c>
      <c r="F93" s="64">
        <v>4.33</v>
      </c>
      <c r="G93" s="64">
        <v>136.75</v>
      </c>
      <c r="H93" s="64">
        <v>59.09</v>
      </c>
      <c r="I93" s="64">
        <v>9.48</v>
      </c>
      <c r="J93" s="64">
        <v>0.01</v>
      </c>
      <c r="K93" s="64">
        <v>328.96</v>
      </c>
      <c r="L93" s="64">
        <v>16.059999999999999</v>
      </c>
      <c r="M93" s="64">
        <v>74.010000000000005</v>
      </c>
      <c r="N93" s="64">
        <v>25.9</v>
      </c>
      <c r="O93" s="64">
        <v>0</v>
      </c>
      <c r="P93" s="64">
        <v>1.8</v>
      </c>
      <c r="Q93" s="64">
        <v>9.67</v>
      </c>
      <c r="R93" s="196"/>
      <c r="S93" s="196"/>
      <c r="T93" s="196"/>
      <c r="U93" s="196"/>
    </row>
    <row r="94" spans="1:26" s="12" customFormat="1" x14ac:dyDescent="0.25">
      <c r="A94" s="211" t="s">
        <v>1866</v>
      </c>
      <c r="B94" s="64">
        <v>79.260000000000005</v>
      </c>
      <c r="C94" s="64">
        <v>52.19</v>
      </c>
      <c r="D94" s="64">
        <v>89.45</v>
      </c>
      <c r="E94" s="64">
        <v>9.27</v>
      </c>
      <c r="F94" s="64">
        <v>4.18</v>
      </c>
      <c r="G94" s="64">
        <v>136.75</v>
      </c>
      <c r="H94" s="64">
        <v>59.09</v>
      </c>
      <c r="I94" s="64">
        <v>9.51</v>
      </c>
      <c r="J94" s="64">
        <v>0.17</v>
      </c>
      <c r="K94" s="64">
        <v>90.08</v>
      </c>
      <c r="L94" s="64">
        <v>15.99</v>
      </c>
      <c r="M94" s="64">
        <v>75.56</v>
      </c>
      <c r="N94" s="64">
        <v>25.9</v>
      </c>
      <c r="O94" s="64">
        <v>0</v>
      </c>
      <c r="P94" s="64">
        <v>1.88</v>
      </c>
      <c r="Q94" s="64">
        <v>9.65</v>
      </c>
      <c r="R94" s="196"/>
      <c r="S94" s="196"/>
      <c r="T94" s="196"/>
      <c r="U94" s="196"/>
    </row>
    <row r="95" spans="1:26" s="12" customFormat="1" x14ac:dyDescent="0.25">
      <c r="A95" s="211" t="s">
        <v>1867</v>
      </c>
      <c r="B95" s="64">
        <v>90.99</v>
      </c>
      <c r="C95" s="64">
        <v>52.7</v>
      </c>
      <c r="D95" s="64">
        <v>99.12</v>
      </c>
      <c r="E95" s="64">
        <v>9.93</v>
      </c>
      <c r="F95" s="64">
        <v>4.24</v>
      </c>
      <c r="G95" s="64">
        <v>136.75</v>
      </c>
      <c r="H95" s="64">
        <v>59.09</v>
      </c>
      <c r="I95" s="64">
        <v>9.6</v>
      </c>
      <c r="J95" s="64">
        <v>0.3</v>
      </c>
      <c r="K95" s="64">
        <v>301.73</v>
      </c>
      <c r="L95" s="64">
        <v>16.02</v>
      </c>
      <c r="M95" s="64">
        <v>74.64</v>
      </c>
      <c r="N95" s="64">
        <v>25.6</v>
      </c>
      <c r="O95" s="64">
        <v>0</v>
      </c>
      <c r="P95" s="64">
        <v>1.92</v>
      </c>
      <c r="Q95" s="64">
        <v>9.66</v>
      </c>
      <c r="R95" s="196"/>
      <c r="S95" s="196"/>
      <c r="T95" s="196"/>
      <c r="U95" s="196"/>
    </row>
    <row r="96" spans="1:26" s="12" customFormat="1" x14ac:dyDescent="0.25">
      <c r="A96" s="211" t="s">
        <v>1868</v>
      </c>
      <c r="B96" s="64">
        <v>100.99</v>
      </c>
      <c r="C96" s="64">
        <v>53.47</v>
      </c>
      <c r="D96" s="64">
        <v>107.55</v>
      </c>
      <c r="E96" s="64">
        <v>9.5299999999999994</v>
      </c>
      <c r="F96" s="64">
        <v>4.2</v>
      </c>
      <c r="G96" s="64">
        <v>138.31</v>
      </c>
      <c r="H96" s="64">
        <v>66.38</v>
      </c>
      <c r="I96" s="64">
        <v>9.84</v>
      </c>
      <c r="J96" s="64">
        <v>0.4</v>
      </c>
      <c r="K96" s="64">
        <v>296.52</v>
      </c>
      <c r="L96" s="64">
        <v>16.18</v>
      </c>
      <c r="M96" s="64">
        <v>72.650000000000006</v>
      </c>
      <c r="N96" s="64">
        <v>25.8</v>
      </c>
      <c r="O96" s="64">
        <v>0</v>
      </c>
      <c r="P96" s="64">
        <v>1.93</v>
      </c>
      <c r="Q96" s="64">
        <v>9.7899999999999991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1869</v>
      </c>
      <c r="B97" s="64">
        <v>103.8</v>
      </c>
      <c r="C97" s="64">
        <v>53.61</v>
      </c>
      <c r="D97" s="64">
        <v>109.87</v>
      </c>
      <c r="E97" s="64">
        <v>9.1300000000000008</v>
      </c>
      <c r="F97" s="64">
        <v>4.7</v>
      </c>
      <c r="G97" s="64">
        <v>142.88</v>
      </c>
      <c r="H97" s="64">
        <v>80.319999999999993</v>
      </c>
      <c r="I97" s="64">
        <v>9.92</v>
      </c>
      <c r="J97" s="64">
        <v>0.49</v>
      </c>
      <c r="K97" s="64">
        <v>292.70999999999998</v>
      </c>
      <c r="L97" s="64">
        <v>15.86</v>
      </c>
      <c r="M97" s="64">
        <v>73.680000000000007</v>
      </c>
      <c r="N97" s="64">
        <v>26.1</v>
      </c>
      <c r="O97" s="64">
        <v>0</v>
      </c>
      <c r="P97" s="64">
        <v>1.96</v>
      </c>
      <c r="Q97" s="64">
        <v>9.74</v>
      </c>
      <c r="R97" s="196"/>
      <c r="S97" s="196"/>
      <c r="T97" s="196"/>
      <c r="U97" s="196"/>
    </row>
    <row r="98" spans="1:33" s="12" customFormat="1" x14ac:dyDescent="0.25">
      <c r="A98" s="211" t="s">
        <v>1870</v>
      </c>
      <c r="B98" s="64">
        <v>105.93</v>
      </c>
      <c r="C98" s="64">
        <v>51.54</v>
      </c>
      <c r="D98" s="64">
        <v>110.5</v>
      </c>
      <c r="E98" s="64">
        <v>8.91</v>
      </c>
      <c r="F98" s="64">
        <v>4.54</v>
      </c>
      <c r="G98" s="64">
        <v>142.88</v>
      </c>
      <c r="H98" s="64">
        <v>80.319999999999993</v>
      </c>
      <c r="I98" s="64">
        <v>9.89</v>
      </c>
      <c r="J98" s="64">
        <v>0.47</v>
      </c>
      <c r="K98" s="64">
        <v>334.43</v>
      </c>
      <c r="L98" s="64">
        <v>15.81</v>
      </c>
      <c r="M98" s="64">
        <v>75.37</v>
      </c>
      <c r="N98" s="64">
        <v>25.8</v>
      </c>
      <c r="O98" s="64">
        <v>0</v>
      </c>
      <c r="P98" s="64">
        <v>2.11</v>
      </c>
      <c r="Q98" s="64">
        <v>9.77</v>
      </c>
      <c r="R98" s="196"/>
      <c r="S98" s="196"/>
      <c r="T98" s="196"/>
      <c r="U98" s="196"/>
    </row>
    <row r="99" spans="1:33" s="12" customFormat="1" x14ac:dyDescent="0.25">
      <c r="A99" s="211" t="s">
        <v>1871</v>
      </c>
      <c r="B99" s="64">
        <v>108.74</v>
      </c>
      <c r="C99" s="64">
        <v>50.31</v>
      </c>
      <c r="D99" s="64">
        <v>112.11</v>
      </c>
      <c r="E99" s="64">
        <v>8.65</v>
      </c>
      <c r="F99" s="64">
        <v>4.4000000000000004</v>
      </c>
      <c r="G99" s="64">
        <v>142.88</v>
      </c>
      <c r="H99" s="64">
        <v>80.319999999999993</v>
      </c>
      <c r="I99" s="64">
        <v>9.92</v>
      </c>
      <c r="J99" s="64">
        <v>0.42</v>
      </c>
      <c r="K99" s="64">
        <v>299.76</v>
      </c>
      <c r="L99" s="64">
        <v>15.53</v>
      </c>
      <c r="M99" s="64">
        <v>79.52</v>
      </c>
      <c r="N99" s="64">
        <v>26</v>
      </c>
      <c r="O99" s="64">
        <v>0</v>
      </c>
      <c r="P99" s="64">
        <v>2.2400000000000002</v>
      </c>
      <c r="Q99" s="64">
        <v>9.7200000000000006</v>
      </c>
      <c r="R99" s="196"/>
      <c r="S99" s="196"/>
      <c r="T99" s="196"/>
      <c r="U99" s="196"/>
    </row>
    <row r="100" spans="1:33" s="12" customFormat="1" x14ac:dyDescent="0.25">
      <c r="A100" s="211" t="s">
        <v>1872</v>
      </c>
      <c r="B100" s="64">
        <v>110.92</v>
      </c>
      <c r="C100" s="64">
        <v>49.24</v>
      </c>
      <c r="D100" s="64">
        <v>113.3</v>
      </c>
      <c r="E100" s="64">
        <v>8.07</v>
      </c>
      <c r="F100" s="64">
        <v>4.34</v>
      </c>
      <c r="G100" s="64">
        <v>142.30000000000001</v>
      </c>
      <c r="H100" s="64">
        <v>72.23</v>
      </c>
      <c r="I100" s="64">
        <v>9.77</v>
      </c>
      <c r="J100" s="64">
        <v>0.55000000000000004</v>
      </c>
      <c r="K100" s="64">
        <v>280.81</v>
      </c>
      <c r="L100" s="64">
        <v>15.29</v>
      </c>
      <c r="M100" s="64">
        <v>74.02</v>
      </c>
      <c r="N100" s="64">
        <v>25.9</v>
      </c>
      <c r="O100" s="64">
        <v>0</v>
      </c>
      <c r="P100" s="64">
        <v>1.88</v>
      </c>
      <c r="Q100" s="64">
        <v>9.7200000000000006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1873</v>
      </c>
      <c r="B101" s="64">
        <v>111.27</v>
      </c>
      <c r="C101" s="64">
        <v>48.13</v>
      </c>
      <c r="D101" s="64">
        <v>113</v>
      </c>
      <c r="E101" s="64">
        <v>8.2200000000000006</v>
      </c>
      <c r="F101" s="64">
        <v>4.21</v>
      </c>
      <c r="G101" s="64">
        <v>140.63</v>
      </c>
      <c r="H101" s="64">
        <v>56.75</v>
      </c>
      <c r="I101" s="64">
        <v>9.1999999999999993</v>
      </c>
      <c r="J101" s="64">
        <v>0.52</v>
      </c>
      <c r="K101" s="64">
        <v>282.02999999999997</v>
      </c>
      <c r="L101" s="64">
        <v>15.31</v>
      </c>
      <c r="M101" s="64">
        <v>74.62</v>
      </c>
      <c r="N101" s="64">
        <v>25.6</v>
      </c>
      <c r="O101" s="64">
        <v>0</v>
      </c>
      <c r="P101" s="64">
        <v>1.83</v>
      </c>
      <c r="Q101" s="64">
        <v>9.7200000000000006</v>
      </c>
      <c r="R101" s="196"/>
      <c r="S101" s="196"/>
      <c r="T101" s="196"/>
      <c r="U101" s="196"/>
    </row>
    <row r="102" spans="1:33" s="12" customFormat="1" x14ac:dyDescent="0.25">
      <c r="A102" s="211" t="s">
        <v>1874</v>
      </c>
      <c r="B102" s="64">
        <v>111.09</v>
      </c>
      <c r="C102" s="64">
        <v>46.87</v>
      </c>
      <c r="D102" s="64">
        <v>112.2</v>
      </c>
      <c r="E102" s="64">
        <v>7.78</v>
      </c>
      <c r="F102" s="64">
        <v>3.91</v>
      </c>
      <c r="G102" s="64">
        <v>140.63</v>
      </c>
      <c r="H102" s="64">
        <v>56.75</v>
      </c>
      <c r="I102" s="64">
        <v>8.6199999999999992</v>
      </c>
      <c r="J102" s="64">
        <v>0.52</v>
      </c>
      <c r="K102" s="64">
        <v>299.61</v>
      </c>
      <c r="L102" s="64">
        <v>15.39</v>
      </c>
      <c r="M102" s="64">
        <v>75.72</v>
      </c>
      <c r="N102" s="64">
        <v>26</v>
      </c>
      <c r="O102" s="64">
        <v>0</v>
      </c>
      <c r="P102" s="64">
        <v>1.88</v>
      </c>
      <c r="Q102" s="64">
        <v>9.67</v>
      </c>
      <c r="R102" s="196"/>
      <c r="S102" s="196"/>
      <c r="T102" s="196"/>
      <c r="U102" s="196"/>
    </row>
    <row r="103" spans="1:33" s="12" customFormat="1" x14ac:dyDescent="0.25">
      <c r="A103" s="211" t="s">
        <v>1875</v>
      </c>
      <c r="B103" s="64">
        <v>110.6</v>
      </c>
      <c r="C103" s="64">
        <v>45.71</v>
      </c>
      <c r="D103" s="64">
        <v>111.2</v>
      </c>
      <c r="E103" s="64">
        <v>7.86</v>
      </c>
      <c r="F103" s="64">
        <v>3.7</v>
      </c>
      <c r="G103" s="64">
        <v>140.63</v>
      </c>
      <c r="H103" s="64">
        <v>56.75</v>
      </c>
      <c r="I103" s="64">
        <v>8.67</v>
      </c>
      <c r="J103" s="64">
        <v>0.47</v>
      </c>
      <c r="K103" s="64">
        <v>280.51</v>
      </c>
      <c r="L103" s="64">
        <v>14.94</v>
      </c>
      <c r="M103" s="64">
        <v>78.67</v>
      </c>
      <c r="N103" s="64">
        <v>25.9</v>
      </c>
      <c r="O103" s="64">
        <v>0</v>
      </c>
      <c r="P103" s="64">
        <v>1.86</v>
      </c>
      <c r="Q103" s="64">
        <v>9.65</v>
      </c>
      <c r="R103" s="196"/>
      <c r="S103" s="196"/>
      <c r="T103" s="196"/>
      <c r="U103" s="196"/>
    </row>
    <row r="104" spans="1:33" s="12" customFormat="1" x14ac:dyDescent="0.25">
      <c r="A104" s="211" t="s">
        <v>1876</v>
      </c>
      <c r="B104" s="64">
        <v>108.22</v>
      </c>
      <c r="C104" s="64">
        <v>44.21</v>
      </c>
      <c r="D104" s="64">
        <v>108.5</v>
      </c>
      <c r="E104" s="64">
        <v>4.37</v>
      </c>
      <c r="F104" s="64">
        <v>3.84</v>
      </c>
      <c r="G104" s="64">
        <v>137.08000000000001</v>
      </c>
      <c r="H104" s="64">
        <v>56.9</v>
      </c>
      <c r="I104" s="64">
        <v>8.68</v>
      </c>
      <c r="J104" s="64">
        <v>0.6</v>
      </c>
      <c r="K104" s="64">
        <v>342.45</v>
      </c>
      <c r="L104" s="64">
        <v>14.77</v>
      </c>
      <c r="M104" s="64">
        <v>78.45</v>
      </c>
      <c r="N104" s="64">
        <v>25.9</v>
      </c>
      <c r="O104" s="64">
        <v>0</v>
      </c>
      <c r="P104" s="64">
        <v>1.75</v>
      </c>
      <c r="Q104" s="64">
        <v>9.73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2.5499999999999998</v>
      </c>
      <c r="C106" s="67">
        <f>MIN(C9:C104)</f>
        <v>31.52</v>
      </c>
      <c r="D106" s="67">
        <f t="shared" ref="D106:Q106" si="0">MIN(D9:D104)</f>
        <v>20.149999999999999</v>
      </c>
      <c r="E106" s="67">
        <f t="shared" si="0"/>
        <v>4.37</v>
      </c>
      <c r="F106" s="67">
        <f t="shared" si="0"/>
        <v>3.19</v>
      </c>
      <c r="G106" s="67">
        <f t="shared" si="0"/>
        <v>64.17</v>
      </c>
      <c r="H106" s="67">
        <f t="shared" si="0"/>
        <v>0.88</v>
      </c>
      <c r="I106" s="67">
        <f t="shared" si="0"/>
        <v>2.87</v>
      </c>
      <c r="J106" s="67">
        <f t="shared" si="0"/>
        <v>0.01</v>
      </c>
      <c r="K106" s="67">
        <f t="shared" si="0"/>
        <v>0.98</v>
      </c>
      <c r="L106" s="67">
        <f t="shared" si="0"/>
        <v>12.9</v>
      </c>
      <c r="M106" s="67">
        <f t="shared" si="0"/>
        <v>28.53</v>
      </c>
      <c r="N106" s="67">
        <f t="shared" si="0"/>
        <v>25.1</v>
      </c>
      <c r="O106" s="67">
        <f t="shared" si="0"/>
        <v>0</v>
      </c>
      <c r="P106" s="67">
        <f t="shared" si="0"/>
        <v>0.56000000000000005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111.27</v>
      </c>
      <c r="C107" s="66">
        <f t="shared" ref="C107:Q107" si="1">MAX(C9:C104)</f>
        <v>53.61</v>
      </c>
      <c r="D107" s="66">
        <f t="shared" si="1"/>
        <v>113.3</v>
      </c>
      <c r="E107" s="66">
        <f t="shared" si="1"/>
        <v>9.93</v>
      </c>
      <c r="F107" s="66">
        <f t="shared" si="1"/>
        <v>7.88</v>
      </c>
      <c r="G107" s="66">
        <f t="shared" si="1"/>
        <v>168.55</v>
      </c>
      <c r="H107" s="66">
        <f t="shared" si="1"/>
        <v>112.99</v>
      </c>
      <c r="I107" s="66">
        <f t="shared" si="1"/>
        <v>9.92</v>
      </c>
      <c r="J107" s="66">
        <f t="shared" si="1"/>
        <v>2.2200000000000002</v>
      </c>
      <c r="K107" s="66">
        <f t="shared" si="1"/>
        <v>357.77</v>
      </c>
      <c r="L107" s="66">
        <f t="shared" si="1"/>
        <v>27.49</v>
      </c>
      <c r="M107" s="66">
        <f t="shared" si="1"/>
        <v>88.52</v>
      </c>
      <c r="N107" s="66">
        <f t="shared" si="1"/>
        <v>646.6</v>
      </c>
      <c r="O107" s="66">
        <f t="shared" si="1"/>
        <v>0</v>
      </c>
      <c r="P107" s="66">
        <f t="shared" si="1"/>
        <v>2.2400000000000002</v>
      </c>
      <c r="Q107" s="66">
        <f t="shared" si="1"/>
        <v>9.7899999999999991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25.916458333333338</v>
      </c>
      <c r="C108" s="67">
        <f t="shared" ref="C108:Q108" si="2">AVERAGE(C9:C104)</f>
        <v>40.455833333333338</v>
      </c>
      <c r="D108" s="67">
        <f t="shared" si="2"/>
        <v>40.543541666666663</v>
      </c>
      <c r="E108" s="67">
        <f t="shared" si="2"/>
        <v>6.6191666666666658</v>
      </c>
      <c r="F108" s="67">
        <f t="shared" si="2"/>
        <v>4.629062499999999</v>
      </c>
      <c r="G108" s="67">
        <f t="shared" si="2"/>
        <v>106.22895833333325</v>
      </c>
      <c r="H108" s="67">
        <f t="shared" si="2"/>
        <v>53.946578947368437</v>
      </c>
      <c r="I108" s="67">
        <f t="shared" si="2"/>
        <v>6.8531249999999977</v>
      </c>
      <c r="J108" s="67">
        <f t="shared" si="2"/>
        <v>0.54666666666666663</v>
      </c>
      <c r="K108" s="67">
        <f t="shared" si="2"/>
        <v>217.46135416666672</v>
      </c>
      <c r="L108" s="67">
        <f t="shared" si="2"/>
        <v>18.631979166666664</v>
      </c>
      <c r="M108" s="67">
        <f t="shared" si="2"/>
        <v>59.59500000000002</v>
      </c>
      <c r="N108" s="67">
        <f t="shared" si="2"/>
        <v>153.94062499999998</v>
      </c>
      <c r="O108" s="67">
        <f t="shared" si="2"/>
        <v>0</v>
      </c>
      <c r="P108" s="67">
        <f t="shared" si="2"/>
        <v>1.1462499999999995</v>
      </c>
      <c r="Q108" s="67">
        <f t="shared" si="2"/>
        <v>9.6441666666666634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30.757272378523204</v>
      </c>
      <c r="C109" s="67">
        <f t="shared" ref="C109:Q109" si="3">STDEV(C9:C104)</f>
        <v>5.7291617218479152</v>
      </c>
      <c r="D109" s="67">
        <f t="shared" si="3"/>
        <v>26.522302709394822</v>
      </c>
      <c r="E109" s="67">
        <f t="shared" si="3"/>
        <v>1.1635821882324997</v>
      </c>
      <c r="F109" s="67">
        <f t="shared" si="3"/>
        <v>1.1057848635578709</v>
      </c>
      <c r="G109" s="67">
        <f t="shared" si="3"/>
        <v>31.715368696187348</v>
      </c>
      <c r="H109" s="67">
        <f t="shared" si="3"/>
        <v>28.285029140407115</v>
      </c>
      <c r="I109" s="67">
        <f t="shared" si="3"/>
        <v>1.6518705903818458</v>
      </c>
      <c r="J109" s="67">
        <f t="shared" si="3"/>
        <v>0.37417605388138625</v>
      </c>
      <c r="K109" s="67">
        <f t="shared" si="3"/>
        <v>114.97473196654326</v>
      </c>
      <c r="L109" s="67">
        <f t="shared" si="3"/>
        <v>4.5169553368780173</v>
      </c>
      <c r="M109" s="67">
        <f t="shared" si="3"/>
        <v>20.362158555826774</v>
      </c>
      <c r="N109" s="67">
        <f t="shared" si="3"/>
        <v>203.01441358118026</v>
      </c>
      <c r="O109" s="67">
        <f t="shared" si="3"/>
        <v>0</v>
      </c>
      <c r="P109" s="67">
        <f t="shared" si="3"/>
        <v>0.39177396813119686</v>
      </c>
      <c r="Q109" s="67">
        <f t="shared" si="3"/>
        <v>3.187695642430742E-2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COUNT(H9:H104)+20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1879</v>
      </c>
      <c r="B9" s="64">
        <v>104.5</v>
      </c>
      <c r="C9" s="64">
        <v>42.67</v>
      </c>
      <c r="D9" s="64">
        <v>104.72</v>
      </c>
      <c r="E9" s="64">
        <v>6.22</v>
      </c>
      <c r="F9" s="64">
        <v>3.97</v>
      </c>
      <c r="G9" s="64">
        <v>126.74</v>
      </c>
      <c r="H9" s="64">
        <v>57.49</v>
      </c>
      <c r="I9" s="64">
        <v>8.64</v>
      </c>
      <c r="J9" s="64">
        <v>0.4</v>
      </c>
      <c r="K9" s="64">
        <v>356</v>
      </c>
      <c r="L9" s="64">
        <v>14.54</v>
      </c>
      <c r="M9" s="64">
        <v>78.14</v>
      </c>
      <c r="N9" s="64">
        <v>26</v>
      </c>
      <c r="O9" s="64">
        <v>0</v>
      </c>
      <c r="P9" s="64">
        <v>1.81</v>
      </c>
      <c r="Q9" s="64">
        <v>9.69</v>
      </c>
      <c r="R9" s="196"/>
      <c r="S9" s="196"/>
      <c r="T9" s="196"/>
      <c r="U9" s="196"/>
    </row>
    <row r="10" spans="1:21" s="12" customFormat="1" x14ac:dyDescent="0.25">
      <c r="A10" s="211" t="s">
        <v>1880</v>
      </c>
      <c r="B10" s="64">
        <v>99.7</v>
      </c>
      <c r="C10" s="64">
        <v>41.91</v>
      </c>
      <c r="D10" s="64">
        <v>100.47</v>
      </c>
      <c r="E10" s="64">
        <v>6.48</v>
      </c>
      <c r="F10" s="64">
        <v>3.93</v>
      </c>
      <c r="G10" s="64">
        <v>126.74</v>
      </c>
      <c r="H10" s="64">
        <v>57.49</v>
      </c>
      <c r="I10" s="64">
        <v>8.3699999999999992</v>
      </c>
      <c r="J10" s="64">
        <v>0.51</v>
      </c>
      <c r="K10" s="64">
        <v>347.21</v>
      </c>
      <c r="L10" s="64">
        <v>14.38</v>
      </c>
      <c r="M10" s="64">
        <v>77.86</v>
      </c>
      <c r="N10" s="64">
        <v>25.8</v>
      </c>
      <c r="O10" s="64">
        <v>0</v>
      </c>
      <c r="P10" s="64">
        <v>1.84</v>
      </c>
      <c r="Q10" s="64">
        <v>9.65</v>
      </c>
      <c r="R10" s="196"/>
      <c r="S10" s="196"/>
      <c r="T10" s="196"/>
      <c r="U10" s="196"/>
    </row>
    <row r="11" spans="1:21" s="12" customFormat="1" x14ac:dyDescent="0.25">
      <c r="A11" s="211" t="s">
        <v>1881</v>
      </c>
      <c r="B11" s="64">
        <v>93.63</v>
      </c>
      <c r="C11" s="64">
        <v>41.03</v>
      </c>
      <c r="D11" s="64">
        <v>95.14</v>
      </c>
      <c r="E11" s="64">
        <v>6.43</v>
      </c>
      <c r="F11" s="64">
        <v>4.2300000000000004</v>
      </c>
      <c r="G11" s="64">
        <v>126.74</v>
      </c>
      <c r="H11" s="64">
        <v>57.49</v>
      </c>
      <c r="I11" s="64">
        <v>9.09</v>
      </c>
      <c r="J11" s="64">
        <v>0.52</v>
      </c>
      <c r="K11" s="64">
        <v>298.79000000000002</v>
      </c>
      <c r="L11" s="64">
        <v>14.12</v>
      </c>
      <c r="M11" s="64">
        <v>78.62</v>
      </c>
      <c r="N11" s="64">
        <v>25.9</v>
      </c>
      <c r="O11" s="64">
        <v>0</v>
      </c>
      <c r="P11" s="64">
        <v>1.77</v>
      </c>
      <c r="Q11" s="64">
        <v>9.66</v>
      </c>
      <c r="R11" s="196"/>
      <c r="S11" s="196"/>
      <c r="T11" s="196"/>
      <c r="U11" s="196"/>
    </row>
    <row r="12" spans="1:21" s="12" customFormat="1" x14ac:dyDescent="0.25">
      <c r="A12" s="211" t="s">
        <v>1882</v>
      </c>
      <c r="B12" s="64">
        <v>87.11</v>
      </c>
      <c r="C12" s="64">
        <v>40.630000000000003</v>
      </c>
      <c r="D12" s="64">
        <v>89.71</v>
      </c>
      <c r="E12" s="64">
        <v>5.96</v>
      </c>
      <c r="F12" s="64">
        <v>4.08</v>
      </c>
      <c r="G12" s="64">
        <v>122.3</v>
      </c>
      <c r="H12" s="64">
        <v>86.68</v>
      </c>
      <c r="I12" s="64">
        <v>9.26</v>
      </c>
      <c r="J12" s="64">
        <v>0.52</v>
      </c>
      <c r="K12" s="64">
        <v>319.52</v>
      </c>
      <c r="L12" s="64">
        <v>13.88</v>
      </c>
      <c r="M12" s="64">
        <v>81.400000000000006</v>
      </c>
      <c r="N12" s="64">
        <v>25.8</v>
      </c>
      <c r="O12" s="64">
        <v>0</v>
      </c>
      <c r="P12" s="64">
        <v>1.7</v>
      </c>
      <c r="Q12" s="64">
        <v>9.68</v>
      </c>
      <c r="R12" s="196"/>
      <c r="S12" s="196"/>
      <c r="T12" s="196"/>
      <c r="U12" s="196"/>
    </row>
    <row r="13" spans="1:21" s="12" customFormat="1" x14ac:dyDescent="0.25">
      <c r="A13" s="211" t="s">
        <v>1883</v>
      </c>
      <c r="B13" s="64">
        <v>80.89</v>
      </c>
      <c r="C13" s="64">
        <v>40.200000000000003</v>
      </c>
      <c r="D13" s="64">
        <v>84.5</v>
      </c>
      <c r="E13" s="64">
        <v>5.6</v>
      </c>
      <c r="F13" s="64">
        <v>4.16</v>
      </c>
      <c r="G13" s="64">
        <v>110.09</v>
      </c>
      <c r="H13" s="209" t="s">
        <v>42</v>
      </c>
      <c r="I13" s="64">
        <v>8.9499999999999993</v>
      </c>
      <c r="J13" s="64">
        <v>0.67</v>
      </c>
      <c r="K13" s="64">
        <v>338.36</v>
      </c>
      <c r="L13" s="64">
        <v>13.91</v>
      </c>
      <c r="M13" s="64">
        <v>81.39</v>
      </c>
      <c r="N13" s="64">
        <v>25.2</v>
      </c>
      <c r="O13" s="64">
        <v>0</v>
      </c>
      <c r="P13" s="64">
        <v>1.5</v>
      </c>
      <c r="Q13" s="64">
        <v>9.65</v>
      </c>
      <c r="R13" s="196"/>
      <c r="S13" s="196"/>
      <c r="T13" s="196"/>
      <c r="U13" s="196"/>
    </row>
    <row r="14" spans="1:21" s="12" customFormat="1" x14ac:dyDescent="0.25">
      <c r="A14" s="211" t="s">
        <v>1884</v>
      </c>
      <c r="B14" s="64">
        <v>74.7</v>
      </c>
      <c r="C14" s="64">
        <v>40.39</v>
      </c>
      <c r="D14" s="64">
        <v>79.63</v>
      </c>
      <c r="E14" s="64">
        <v>5.84</v>
      </c>
      <c r="F14" s="64">
        <v>3.94</v>
      </c>
      <c r="G14" s="64">
        <v>110.09</v>
      </c>
      <c r="H14" s="209" t="s">
        <v>42</v>
      </c>
      <c r="I14" s="64">
        <v>8.7100000000000009</v>
      </c>
      <c r="J14" s="64">
        <v>0.36</v>
      </c>
      <c r="K14" s="64">
        <v>310.62</v>
      </c>
      <c r="L14" s="64">
        <v>14.15</v>
      </c>
      <c r="M14" s="64">
        <v>80.17</v>
      </c>
      <c r="N14" s="64">
        <v>25.6</v>
      </c>
      <c r="O14" s="64">
        <v>0</v>
      </c>
      <c r="P14" s="64">
        <v>1.51</v>
      </c>
      <c r="Q14" s="64">
        <v>9.67</v>
      </c>
      <c r="R14" s="196"/>
      <c r="S14" s="196"/>
      <c r="T14" s="196"/>
      <c r="U14" s="196"/>
    </row>
    <row r="15" spans="1:21" s="12" customFormat="1" x14ac:dyDescent="0.25">
      <c r="A15" s="211" t="s">
        <v>1885</v>
      </c>
      <c r="B15" s="64">
        <v>68.989999999999995</v>
      </c>
      <c r="C15" s="64">
        <v>40.74</v>
      </c>
      <c r="D15" s="64">
        <v>75.23</v>
      </c>
      <c r="E15" s="64">
        <v>5.53</v>
      </c>
      <c r="F15" s="64">
        <v>3.91</v>
      </c>
      <c r="G15" s="64">
        <v>110.09</v>
      </c>
      <c r="H15" s="209" t="s">
        <v>42</v>
      </c>
      <c r="I15" s="64">
        <v>8.42</v>
      </c>
      <c r="J15" s="64">
        <v>0.37</v>
      </c>
      <c r="K15" s="64">
        <v>348.16</v>
      </c>
      <c r="L15" s="64">
        <v>14.07</v>
      </c>
      <c r="M15" s="64">
        <v>80.95</v>
      </c>
      <c r="N15" s="64">
        <v>25.4</v>
      </c>
      <c r="O15" s="64">
        <v>0</v>
      </c>
      <c r="P15" s="64">
        <v>1.46</v>
      </c>
      <c r="Q15" s="64">
        <v>9.6999999999999993</v>
      </c>
      <c r="R15" s="196"/>
      <c r="S15" s="196"/>
      <c r="T15" s="196"/>
      <c r="U15" s="196"/>
    </row>
    <row r="16" spans="1:21" s="12" customFormat="1" x14ac:dyDescent="0.25">
      <c r="A16" s="211" t="s">
        <v>1886</v>
      </c>
      <c r="B16" s="64">
        <v>64.75</v>
      </c>
      <c r="C16" s="64">
        <v>41.12</v>
      </c>
      <c r="D16" s="64">
        <v>72.03</v>
      </c>
      <c r="E16" s="64">
        <v>5.75</v>
      </c>
      <c r="F16" s="64">
        <v>3.9</v>
      </c>
      <c r="G16" s="64">
        <v>109.89</v>
      </c>
      <c r="H16" s="209" t="s">
        <v>42</v>
      </c>
      <c r="I16" s="64">
        <v>8.16</v>
      </c>
      <c r="J16" s="64">
        <v>0.51</v>
      </c>
      <c r="K16" s="64">
        <v>348.6</v>
      </c>
      <c r="L16" s="64">
        <v>14.21</v>
      </c>
      <c r="M16" s="64">
        <v>78.290000000000006</v>
      </c>
      <c r="N16" s="64">
        <v>25.4</v>
      </c>
      <c r="O16" s="64">
        <v>0</v>
      </c>
      <c r="P16" s="64">
        <v>1.42</v>
      </c>
      <c r="Q16" s="64">
        <v>9.6999999999999993</v>
      </c>
      <c r="R16" s="196"/>
      <c r="S16" s="196"/>
      <c r="T16" s="196"/>
      <c r="U16" s="196"/>
    </row>
    <row r="17" spans="1:21" s="12" customFormat="1" x14ac:dyDescent="0.25">
      <c r="A17" s="211" t="s">
        <v>1887</v>
      </c>
      <c r="B17" s="64">
        <v>60.98</v>
      </c>
      <c r="C17" s="64">
        <v>41.15</v>
      </c>
      <c r="D17" s="64">
        <v>69.03</v>
      </c>
      <c r="E17" s="64">
        <v>6.06</v>
      </c>
      <c r="F17" s="64">
        <v>3.8</v>
      </c>
      <c r="G17" s="64">
        <v>109.33</v>
      </c>
      <c r="H17" s="64">
        <v>30.53</v>
      </c>
      <c r="I17" s="64">
        <v>7.99</v>
      </c>
      <c r="J17" s="64">
        <v>0.24</v>
      </c>
      <c r="K17" s="64">
        <v>262.54000000000002</v>
      </c>
      <c r="L17" s="64">
        <v>14.32</v>
      </c>
      <c r="M17" s="64">
        <v>77.02</v>
      </c>
      <c r="N17" s="64">
        <v>25.7</v>
      </c>
      <c r="O17" s="64">
        <v>0</v>
      </c>
      <c r="P17" s="64">
        <v>1.39</v>
      </c>
      <c r="Q17" s="64">
        <v>9.6999999999999993</v>
      </c>
      <c r="R17" s="196"/>
      <c r="S17" s="196"/>
      <c r="T17" s="196"/>
      <c r="U17" s="196"/>
    </row>
    <row r="18" spans="1:21" s="12" customFormat="1" x14ac:dyDescent="0.25">
      <c r="A18" s="211" t="s">
        <v>1888</v>
      </c>
      <c r="B18" s="64">
        <v>57.18</v>
      </c>
      <c r="C18" s="64">
        <v>40.909999999999997</v>
      </c>
      <c r="D18" s="64">
        <v>65.849999999999994</v>
      </c>
      <c r="E18" s="64">
        <v>6.11</v>
      </c>
      <c r="F18" s="64">
        <v>3.99</v>
      </c>
      <c r="G18" s="64">
        <v>109.33</v>
      </c>
      <c r="H18" s="64">
        <v>30.53</v>
      </c>
      <c r="I18" s="64">
        <v>7.85</v>
      </c>
      <c r="J18" s="64">
        <v>0.05</v>
      </c>
      <c r="K18" s="64">
        <v>315.07</v>
      </c>
      <c r="L18" s="64">
        <v>14.45</v>
      </c>
      <c r="M18" s="64">
        <v>76.2</v>
      </c>
      <c r="N18" s="64">
        <v>25.8</v>
      </c>
      <c r="O18" s="64">
        <v>0</v>
      </c>
      <c r="P18" s="64">
        <v>1.35</v>
      </c>
      <c r="Q18" s="64">
        <v>9.65</v>
      </c>
      <c r="R18" s="196"/>
      <c r="S18" s="196"/>
      <c r="T18" s="196"/>
      <c r="U18" s="196"/>
    </row>
    <row r="19" spans="1:21" s="12" customFormat="1" x14ac:dyDescent="0.25">
      <c r="A19" s="211" t="s">
        <v>1889</v>
      </c>
      <c r="B19" s="64">
        <v>53.71</v>
      </c>
      <c r="C19" s="64">
        <v>39.07</v>
      </c>
      <c r="D19" s="64">
        <v>62.11</v>
      </c>
      <c r="E19" s="64">
        <v>5.91</v>
      </c>
      <c r="F19" s="64">
        <v>4.17</v>
      </c>
      <c r="G19" s="64">
        <v>109.33</v>
      </c>
      <c r="H19" s="64">
        <v>30.53</v>
      </c>
      <c r="I19" s="64">
        <v>7.76</v>
      </c>
      <c r="J19" s="64">
        <v>0.19</v>
      </c>
      <c r="K19" s="64">
        <v>259.48</v>
      </c>
      <c r="L19" s="64">
        <v>14.39</v>
      </c>
      <c r="M19" s="64">
        <v>73.92</v>
      </c>
      <c r="N19" s="64">
        <v>25.8</v>
      </c>
      <c r="O19" s="64">
        <v>0</v>
      </c>
      <c r="P19" s="64">
        <v>1.33</v>
      </c>
      <c r="Q19" s="64">
        <v>9.65</v>
      </c>
      <c r="R19" s="196"/>
      <c r="S19" s="196"/>
      <c r="T19" s="196"/>
      <c r="U19" s="196"/>
    </row>
    <row r="20" spans="1:21" s="12" customFormat="1" x14ac:dyDescent="0.25">
      <c r="A20" s="211" t="s">
        <v>1890</v>
      </c>
      <c r="B20" s="64">
        <v>50.94</v>
      </c>
      <c r="C20" s="64">
        <v>38.83</v>
      </c>
      <c r="D20" s="64">
        <v>59.77</v>
      </c>
      <c r="E20" s="64">
        <v>5.57</v>
      </c>
      <c r="F20" s="64">
        <v>4.01</v>
      </c>
      <c r="G20" s="64">
        <v>112.75</v>
      </c>
      <c r="H20" s="64">
        <v>50.34</v>
      </c>
      <c r="I20" s="64">
        <v>7.56</v>
      </c>
      <c r="J20" s="64">
        <v>0.16</v>
      </c>
      <c r="K20" s="64">
        <v>156.56</v>
      </c>
      <c r="L20" s="64">
        <v>14.19</v>
      </c>
      <c r="M20" s="64">
        <v>74.87</v>
      </c>
      <c r="N20" s="64">
        <v>25.9</v>
      </c>
      <c r="O20" s="64">
        <v>0</v>
      </c>
      <c r="P20" s="64">
        <v>1.3</v>
      </c>
      <c r="Q20" s="64">
        <v>9.65</v>
      </c>
      <c r="R20" s="196"/>
      <c r="S20" s="196"/>
      <c r="T20" s="196"/>
      <c r="U20" s="196"/>
    </row>
    <row r="21" spans="1:21" s="12" customFormat="1" x14ac:dyDescent="0.25">
      <c r="A21" s="211" t="s">
        <v>1891</v>
      </c>
      <c r="B21" s="64">
        <v>48.55</v>
      </c>
      <c r="C21" s="64">
        <v>38.340000000000003</v>
      </c>
      <c r="D21" s="64">
        <v>57.59</v>
      </c>
      <c r="E21" s="64">
        <v>5.45</v>
      </c>
      <c r="F21" s="64">
        <v>4.08</v>
      </c>
      <c r="G21" s="64">
        <v>122.7</v>
      </c>
      <c r="H21" s="64">
        <v>89.96</v>
      </c>
      <c r="I21" s="64">
        <v>7.45</v>
      </c>
      <c r="J21" s="64">
        <v>0.27</v>
      </c>
      <c r="K21" s="64">
        <v>230.82</v>
      </c>
      <c r="L21" s="64">
        <v>13.94</v>
      </c>
      <c r="M21" s="64">
        <v>79.83</v>
      </c>
      <c r="N21" s="64">
        <v>25.8</v>
      </c>
      <c r="O21" s="64">
        <v>0</v>
      </c>
      <c r="P21" s="64">
        <v>1.29</v>
      </c>
      <c r="Q21" s="64">
        <v>9.65</v>
      </c>
      <c r="R21" s="196"/>
      <c r="S21" s="196"/>
      <c r="T21" s="196"/>
      <c r="U21" s="196"/>
    </row>
    <row r="22" spans="1:21" s="12" customFormat="1" x14ac:dyDescent="0.25">
      <c r="A22" s="211" t="s">
        <v>1892</v>
      </c>
      <c r="B22" s="64">
        <v>46.18</v>
      </c>
      <c r="C22" s="64">
        <v>37.79</v>
      </c>
      <c r="D22" s="64">
        <v>55.4</v>
      </c>
      <c r="E22" s="64">
        <v>5.8</v>
      </c>
      <c r="F22" s="64">
        <v>3.97</v>
      </c>
      <c r="G22" s="64">
        <v>122.7</v>
      </c>
      <c r="H22" s="64">
        <v>89.96</v>
      </c>
      <c r="I22" s="64">
        <v>7.41</v>
      </c>
      <c r="J22" s="64">
        <v>0.37</v>
      </c>
      <c r="K22" s="64">
        <v>233.93</v>
      </c>
      <c r="L22" s="64">
        <v>13.9</v>
      </c>
      <c r="M22" s="64">
        <v>83.21</v>
      </c>
      <c r="N22" s="64">
        <v>25.7</v>
      </c>
      <c r="O22" s="64">
        <v>0</v>
      </c>
      <c r="P22" s="64">
        <v>1.25</v>
      </c>
      <c r="Q22" s="64">
        <v>9.66</v>
      </c>
      <c r="R22" s="196"/>
      <c r="S22" s="196"/>
      <c r="T22" s="196"/>
      <c r="U22" s="196"/>
    </row>
    <row r="23" spans="1:21" s="12" customFormat="1" x14ac:dyDescent="0.25">
      <c r="A23" s="211" t="s">
        <v>1893</v>
      </c>
      <c r="B23" s="64">
        <v>44.26</v>
      </c>
      <c r="C23" s="64">
        <v>37.049999999999997</v>
      </c>
      <c r="D23" s="64">
        <v>53.48</v>
      </c>
      <c r="E23" s="64">
        <v>5.97</v>
      </c>
      <c r="F23" s="64">
        <v>3.84</v>
      </c>
      <c r="G23" s="64">
        <v>122.7</v>
      </c>
      <c r="H23" s="64">
        <v>89.96</v>
      </c>
      <c r="I23" s="64">
        <v>7.41</v>
      </c>
      <c r="J23" s="64">
        <v>0.26</v>
      </c>
      <c r="K23" s="64">
        <v>261.89</v>
      </c>
      <c r="L23" s="64">
        <v>13.67</v>
      </c>
      <c r="M23" s="64">
        <v>86.18</v>
      </c>
      <c r="N23" s="64">
        <v>26</v>
      </c>
      <c r="O23" s="64">
        <v>0</v>
      </c>
      <c r="P23" s="64">
        <v>1.25</v>
      </c>
      <c r="Q23" s="64">
        <v>9.64</v>
      </c>
      <c r="R23" s="196"/>
      <c r="S23" s="196"/>
      <c r="T23" s="196"/>
      <c r="U23" s="196"/>
    </row>
    <row r="24" spans="1:21" s="12" customFormat="1" x14ac:dyDescent="0.25">
      <c r="A24" s="211" t="s">
        <v>1894</v>
      </c>
      <c r="B24" s="64">
        <v>43.09</v>
      </c>
      <c r="C24" s="64">
        <v>36.07</v>
      </c>
      <c r="D24" s="64">
        <v>52.03</v>
      </c>
      <c r="E24" s="64">
        <v>5.49</v>
      </c>
      <c r="F24" s="64">
        <v>3.92</v>
      </c>
      <c r="G24" s="64">
        <v>127.69</v>
      </c>
      <c r="H24" s="64">
        <v>89.27</v>
      </c>
      <c r="I24" s="64">
        <v>7.11</v>
      </c>
      <c r="J24" s="64">
        <v>0.25</v>
      </c>
      <c r="K24" s="64">
        <v>336.6</v>
      </c>
      <c r="L24" s="64">
        <v>13.21</v>
      </c>
      <c r="M24" s="64">
        <v>89.16</v>
      </c>
      <c r="N24" s="64">
        <v>26</v>
      </c>
      <c r="O24" s="64">
        <v>0</v>
      </c>
      <c r="P24" s="64">
        <v>1.23</v>
      </c>
      <c r="Q24" s="64">
        <v>9.65</v>
      </c>
      <c r="R24" s="196"/>
      <c r="S24" s="196"/>
      <c r="T24" s="196"/>
      <c r="U24" s="196"/>
    </row>
    <row r="25" spans="1:21" s="12" customFormat="1" x14ac:dyDescent="0.25">
      <c r="A25" s="211" t="s">
        <v>1895</v>
      </c>
      <c r="B25" s="64">
        <v>42.35</v>
      </c>
      <c r="C25" s="64">
        <v>35.6</v>
      </c>
      <c r="D25" s="64">
        <v>51.18</v>
      </c>
      <c r="E25" s="64">
        <v>6.55</v>
      </c>
      <c r="F25" s="64">
        <v>3.77</v>
      </c>
      <c r="G25" s="64">
        <v>142.22</v>
      </c>
      <c r="H25" s="64">
        <v>86.23</v>
      </c>
      <c r="I25" s="64">
        <v>7.18</v>
      </c>
      <c r="J25" s="64">
        <v>0.42</v>
      </c>
      <c r="K25" s="64">
        <v>289.45999999999998</v>
      </c>
      <c r="L25" s="64">
        <v>13.17</v>
      </c>
      <c r="M25" s="64">
        <v>87.68</v>
      </c>
      <c r="N25" s="64">
        <v>25.8</v>
      </c>
      <c r="O25" s="64">
        <v>0</v>
      </c>
      <c r="P25" s="64">
        <v>1.23</v>
      </c>
      <c r="Q25" s="64">
        <v>9.66</v>
      </c>
      <c r="R25" s="196"/>
      <c r="S25" s="196"/>
      <c r="T25" s="196"/>
      <c r="U25" s="196"/>
    </row>
    <row r="26" spans="1:21" s="12" customFormat="1" x14ac:dyDescent="0.25">
      <c r="A26" s="211" t="s">
        <v>1896</v>
      </c>
      <c r="B26" s="64">
        <v>41.9</v>
      </c>
      <c r="C26" s="64">
        <v>34.85</v>
      </c>
      <c r="D26" s="64">
        <v>50.43</v>
      </c>
      <c r="E26" s="64">
        <v>6.64</v>
      </c>
      <c r="F26" s="64">
        <v>4.01</v>
      </c>
      <c r="G26" s="64">
        <v>142.22</v>
      </c>
      <c r="H26" s="64">
        <v>86.23</v>
      </c>
      <c r="I26" s="64">
        <v>7.12</v>
      </c>
      <c r="J26" s="64">
        <v>0.21</v>
      </c>
      <c r="K26" s="64">
        <v>294.74</v>
      </c>
      <c r="L26" s="64">
        <v>13.03</v>
      </c>
      <c r="M26" s="64">
        <v>88.84</v>
      </c>
      <c r="N26" s="64">
        <v>25.5</v>
      </c>
      <c r="O26" s="64">
        <v>0</v>
      </c>
      <c r="P26" s="64">
        <v>1.22</v>
      </c>
      <c r="Q26" s="64">
        <v>9.65</v>
      </c>
      <c r="R26" s="196"/>
      <c r="S26" s="196"/>
      <c r="T26" s="196"/>
      <c r="U26" s="196"/>
    </row>
    <row r="27" spans="1:21" s="12" customFormat="1" x14ac:dyDescent="0.25">
      <c r="A27" s="211" t="s">
        <v>1897</v>
      </c>
      <c r="B27" s="64">
        <v>42.47</v>
      </c>
      <c r="C27" s="64">
        <v>34.479999999999997</v>
      </c>
      <c r="D27" s="64">
        <v>50.69</v>
      </c>
      <c r="E27" s="64">
        <v>6.45</v>
      </c>
      <c r="F27" s="64">
        <v>4.34</v>
      </c>
      <c r="G27" s="64">
        <v>142.22</v>
      </c>
      <c r="H27" s="64">
        <v>86.23</v>
      </c>
      <c r="I27" s="64">
        <v>7.09</v>
      </c>
      <c r="J27" s="64">
        <v>0.3</v>
      </c>
      <c r="K27" s="64">
        <v>331.39</v>
      </c>
      <c r="L27" s="64">
        <v>13.05</v>
      </c>
      <c r="M27" s="64">
        <v>91.13</v>
      </c>
      <c r="N27" s="64">
        <v>25.8</v>
      </c>
      <c r="O27" s="64">
        <v>0</v>
      </c>
      <c r="P27" s="64">
        <v>1.23</v>
      </c>
      <c r="Q27" s="64">
        <v>9.65</v>
      </c>
      <c r="R27" s="196"/>
      <c r="S27" s="196"/>
      <c r="T27" s="196"/>
      <c r="U27" s="196"/>
    </row>
    <row r="28" spans="1:21" s="12" customFormat="1" x14ac:dyDescent="0.25">
      <c r="A28" s="211" t="s">
        <v>1898</v>
      </c>
      <c r="B28" s="64">
        <v>43.63</v>
      </c>
      <c r="C28" s="64">
        <v>34.79</v>
      </c>
      <c r="D28" s="64">
        <v>51.79</v>
      </c>
      <c r="E28" s="64">
        <v>6.95</v>
      </c>
      <c r="F28" s="64">
        <v>4.28</v>
      </c>
      <c r="G28" s="64">
        <v>144.63999999999999</v>
      </c>
      <c r="H28" s="64">
        <v>68.62</v>
      </c>
      <c r="I28" s="64">
        <v>7.05</v>
      </c>
      <c r="J28" s="64">
        <v>0.01</v>
      </c>
      <c r="K28" s="64">
        <v>138.12</v>
      </c>
      <c r="L28" s="64">
        <v>13.27</v>
      </c>
      <c r="M28" s="64">
        <v>85.52</v>
      </c>
      <c r="N28" s="64">
        <v>25.4</v>
      </c>
      <c r="O28" s="64">
        <v>0</v>
      </c>
      <c r="P28" s="64">
        <v>1.23</v>
      </c>
      <c r="Q28" s="64">
        <v>9.64</v>
      </c>
      <c r="R28" s="196"/>
      <c r="S28" s="196"/>
      <c r="T28" s="196"/>
      <c r="U28" s="196"/>
    </row>
    <row r="29" spans="1:21" s="12" customFormat="1" x14ac:dyDescent="0.25">
      <c r="A29" s="211" t="s">
        <v>1899</v>
      </c>
      <c r="B29" s="64">
        <v>43.38</v>
      </c>
      <c r="C29" s="64">
        <v>35.1</v>
      </c>
      <c r="D29" s="64">
        <v>51.75</v>
      </c>
      <c r="E29" s="64">
        <v>6.55</v>
      </c>
      <c r="F29" s="64">
        <v>4.3099999999999996</v>
      </c>
      <c r="G29" s="64">
        <v>151.68</v>
      </c>
      <c r="H29" s="64">
        <v>34.93</v>
      </c>
      <c r="I29" s="64">
        <v>6.97</v>
      </c>
      <c r="J29" s="64">
        <v>0.03</v>
      </c>
      <c r="K29" s="64">
        <v>256.14</v>
      </c>
      <c r="L29" s="64">
        <v>13.43</v>
      </c>
      <c r="M29" s="64">
        <v>83.41</v>
      </c>
      <c r="N29" s="64">
        <v>25.6</v>
      </c>
      <c r="O29" s="64">
        <v>0</v>
      </c>
      <c r="P29" s="64">
        <v>1.24</v>
      </c>
      <c r="Q29" s="64">
        <v>9.66</v>
      </c>
      <c r="R29" s="196"/>
      <c r="S29" s="196"/>
      <c r="T29" s="196"/>
      <c r="U29" s="196"/>
    </row>
    <row r="30" spans="1:21" s="12" customFormat="1" x14ac:dyDescent="0.25">
      <c r="A30" s="211" t="s">
        <v>1900</v>
      </c>
      <c r="B30" s="64">
        <v>42.35</v>
      </c>
      <c r="C30" s="64">
        <v>35.21</v>
      </c>
      <c r="D30" s="64">
        <v>50.97</v>
      </c>
      <c r="E30" s="64">
        <v>6.63</v>
      </c>
      <c r="F30" s="64">
        <v>4.5999999999999996</v>
      </c>
      <c r="G30" s="64">
        <v>151.68</v>
      </c>
      <c r="H30" s="64">
        <v>34.93</v>
      </c>
      <c r="I30" s="64">
        <v>6.93</v>
      </c>
      <c r="J30" s="64">
        <v>0.34</v>
      </c>
      <c r="K30" s="64">
        <v>267.05</v>
      </c>
      <c r="L30" s="64">
        <v>13.16</v>
      </c>
      <c r="M30" s="64">
        <v>86.97</v>
      </c>
      <c r="N30" s="64">
        <v>26</v>
      </c>
      <c r="O30" s="64">
        <v>0</v>
      </c>
      <c r="P30" s="64">
        <v>1.24</v>
      </c>
      <c r="Q30" s="64">
        <v>9.65</v>
      </c>
      <c r="R30" s="196"/>
      <c r="S30" s="196"/>
      <c r="T30" s="196"/>
      <c r="U30" s="196"/>
    </row>
    <row r="31" spans="1:21" s="12" customFormat="1" x14ac:dyDescent="0.25">
      <c r="A31" s="211" t="s">
        <v>1901</v>
      </c>
      <c r="B31" s="64">
        <v>42.12</v>
      </c>
      <c r="C31" s="64">
        <v>35.24</v>
      </c>
      <c r="D31" s="64">
        <v>50.81</v>
      </c>
      <c r="E31" s="64">
        <v>6.44</v>
      </c>
      <c r="F31" s="64">
        <v>4.24</v>
      </c>
      <c r="G31" s="64">
        <v>151.68</v>
      </c>
      <c r="H31" s="64">
        <v>34.93</v>
      </c>
      <c r="I31" s="64">
        <v>6.89</v>
      </c>
      <c r="J31" s="64">
        <v>0.42</v>
      </c>
      <c r="K31" s="64">
        <v>255.79</v>
      </c>
      <c r="L31" s="64">
        <v>13.05</v>
      </c>
      <c r="M31" s="64">
        <v>89.37</v>
      </c>
      <c r="N31" s="64">
        <v>25.9</v>
      </c>
      <c r="O31" s="64">
        <v>0</v>
      </c>
      <c r="P31" s="64">
        <v>1.26</v>
      </c>
      <c r="Q31" s="64">
        <v>9.64</v>
      </c>
      <c r="R31" s="196"/>
      <c r="S31" s="196"/>
      <c r="T31" s="196"/>
      <c r="U31" s="196"/>
    </row>
    <row r="32" spans="1:21" s="12" customFormat="1" x14ac:dyDescent="0.25">
      <c r="A32" s="211" t="s">
        <v>1902</v>
      </c>
      <c r="B32" s="64">
        <v>43.7</v>
      </c>
      <c r="C32" s="64">
        <v>35.369999999999997</v>
      </c>
      <c r="D32" s="64">
        <v>52.15</v>
      </c>
      <c r="E32" s="64">
        <v>6.74</v>
      </c>
      <c r="F32" s="64">
        <v>4.21</v>
      </c>
      <c r="G32" s="64">
        <v>154.44999999999999</v>
      </c>
      <c r="H32" s="64">
        <v>57.26</v>
      </c>
      <c r="I32" s="64">
        <v>6.86</v>
      </c>
      <c r="J32" s="64">
        <v>0.46</v>
      </c>
      <c r="K32" s="64">
        <v>318.91000000000003</v>
      </c>
      <c r="L32" s="64">
        <v>12.72</v>
      </c>
      <c r="M32" s="64">
        <v>92.29</v>
      </c>
      <c r="N32" s="64">
        <v>26</v>
      </c>
      <c r="O32" s="64">
        <v>0</v>
      </c>
      <c r="P32" s="64">
        <v>1.28</v>
      </c>
      <c r="Q32" s="64">
        <v>9.65</v>
      </c>
      <c r="R32" s="196"/>
      <c r="S32" s="196"/>
      <c r="T32" s="196"/>
      <c r="U32" s="196"/>
    </row>
    <row r="33" spans="1:21" s="12" customFormat="1" x14ac:dyDescent="0.25">
      <c r="A33" s="211" t="s">
        <v>1903</v>
      </c>
      <c r="B33" s="64">
        <v>45.86</v>
      </c>
      <c r="C33" s="64">
        <v>35.36</v>
      </c>
      <c r="D33" s="64">
        <v>53.88</v>
      </c>
      <c r="E33" s="64">
        <v>6.7</v>
      </c>
      <c r="F33" s="64">
        <v>4.55</v>
      </c>
      <c r="G33" s="64">
        <v>162.51</v>
      </c>
      <c r="H33" s="64">
        <v>101.93</v>
      </c>
      <c r="I33" s="64">
        <v>6.83</v>
      </c>
      <c r="J33" s="64">
        <v>0.5</v>
      </c>
      <c r="K33" s="64">
        <v>298.74</v>
      </c>
      <c r="L33" s="64">
        <v>12.51</v>
      </c>
      <c r="M33" s="64">
        <v>92.89</v>
      </c>
      <c r="N33" s="64">
        <v>26.9</v>
      </c>
      <c r="O33" s="64">
        <v>0</v>
      </c>
      <c r="P33" s="64">
        <v>1.27</v>
      </c>
      <c r="Q33" s="64">
        <v>9.6300000000000008</v>
      </c>
      <c r="R33" s="196"/>
      <c r="S33" s="196"/>
      <c r="T33" s="196"/>
      <c r="U33" s="196"/>
    </row>
    <row r="34" spans="1:21" s="12" customFormat="1" x14ac:dyDescent="0.25">
      <c r="A34" s="211" t="s">
        <v>1904</v>
      </c>
      <c r="B34" s="64">
        <v>49.72</v>
      </c>
      <c r="C34" s="64">
        <v>35.56</v>
      </c>
      <c r="D34" s="64">
        <v>57.07</v>
      </c>
      <c r="E34" s="64">
        <v>6.78</v>
      </c>
      <c r="F34" s="64">
        <v>4.58</v>
      </c>
      <c r="G34" s="64">
        <v>162.51</v>
      </c>
      <c r="H34" s="64">
        <v>101.93</v>
      </c>
      <c r="I34" s="64">
        <v>6.8</v>
      </c>
      <c r="J34" s="64">
        <v>0.28000000000000003</v>
      </c>
      <c r="K34" s="64">
        <v>24.17</v>
      </c>
      <c r="L34" s="64">
        <v>12.42</v>
      </c>
      <c r="M34" s="64">
        <v>91.82</v>
      </c>
      <c r="N34" s="64">
        <v>31.2</v>
      </c>
      <c r="O34" s="64">
        <v>0</v>
      </c>
      <c r="P34" s="64">
        <v>1.27</v>
      </c>
      <c r="Q34" s="64">
        <v>9.64</v>
      </c>
      <c r="R34" s="196"/>
      <c r="S34" s="196"/>
      <c r="T34" s="196"/>
      <c r="U34" s="196"/>
    </row>
    <row r="35" spans="1:21" s="12" customFormat="1" x14ac:dyDescent="0.25">
      <c r="A35" s="211" t="s">
        <v>1905</v>
      </c>
      <c r="B35" s="64">
        <v>51.76</v>
      </c>
      <c r="C35" s="64">
        <v>35.049999999999997</v>
      </c>
      <c r="D35" s="64">
        <v>58.44</v>
      </c>
      <c r="E35" s="64">
        <v>6.7</v>
      </c>
      <c r="F35" s="64">
        <v>4.03</v>
      </c>
      <c r="G35" s="64">
        <v>162.51</v>
      </c>
      <c r="H35" s="64">
        <v>101.93</v>
      </c>
      <c r="I35" s="64">
        <v>6.74</v>
      </c>
      <c r="J35" s="64">
        <v>0.27</v>
      </c>
      <c r="K35" s="64">
        <v>87.62</v>
      </c>
      <c r="L35" s="64">
        <v>13.08</v>
      </c>
      <c r="M35" s="64">
        <v>84.17</v>
      </c>
      <c r="N35" s="64">
        <v>42</v>
      </c>
      <c r="O35" s="64">
        <v>0</v>
      </c>
      <c r="P35" s="64">
        <v>1.26</v>
      </c>
      <c r="Q35" s="64">
        <v>9.6300000000000008</v>
      </c>
      <c r="R35" s="196"/>
      <c r="S35" s="196"/>
      <c r="T35" s="196"/>
      <c r="U35" s="196"/>
    </row>
    <row r="36" spans="1:21" s="12" customFormat="1" x14ac:dyDescent="0.25">
      <c r="A36" s="211" t="s">
        <v>1906</v>
      </c>
      <c r="B36" s="64">
        <v>51.24</v>
      </c>
      <c r="C36" s="64">
        <v>34.200000000000003</v>
      </c>
      <c r="D36" s="64">
        <v>57.58</v>
      </c>
      <c r="E36" s="64">
        <v>6.4</v>
      </c>
      <c r="F36" s="64">
        <v>4.13</v>
      </c>
      <c r="G36" s="64">
        <v>158.19999999999999</v>
      </c>
      <c r="H36" s="64">
        <v>89.21</v>
      </c>
      <c r="I36" s="64">
        <v>6.68</v>
      </c>
      <c r="J36" s="64">
        <v>0.26</v>
      </c>
      <c r="K36" s="64">
        <v>325.8</v>
      </c>
      <c r="L36" s="64">
        <v>13.73</v>
      </c>
      <c r="M36" s="64">
        <v>80.989999999999995</v>
      </c>
      <c r="N36" s="64">
        <v>57.5</v>
      </c>
      <c r="O36" s="64">
        <v>0</v>
      </c>
      <c r="P36" s="64">
        <v>1.25</v>
      </c>
      <c r="Q36" s="64">
        <v>9.64</v>
      </c>
      <c r="R36" s="196"/>
      <c r="S36" s="196"/>
      <c r="T36" s="196"/>
      <c r="U36" s="196"/>
    </row>
    <row r="37" spans="1:21" s="12" customFormat="1" x14ac:dyDescent="0.25">
      <c r="A37" s="211" t="s">
        <v>1907</v>
      </c>
      <c r="B37" s="64">
        <v>50.61</v>
      </c>
      <c r="C37" s="64">
        <v>34.79</v>
      </c>
      <c r="D37" s="64">
        <v>57.38</v>
      </c>
      <c r="E37" s="64">
        <v>6.47</v>
      </c>
      <c r="F37" s="64">
        <v>3.69</v>
      </c>
      <c r="G37" s="64">
        <v>145.66</v>
      </c>
      <c r="H37" s="64">
        <v>64.88</v>
      </c>
      <c r="I37" s="64">
        <v>6.63</v>
      </c>
      <c r="J37" s="64">
        <v>0.64</v>
      </c>
      <c r="K37" s="64">
        <v>326.82</v>
      </c>
      <c r="L37" s="64">
        <v>14.29</v>
      </c>
      <c r="M37" s="64">
        <v>79.31</v>
      </c>
      <c r="N37" s="64">
        <v>76.8</v>
      </c>
      <c r="O37" s="64">
        <v>0</v>
      </c>
      <c r="P37" s="64">
        <v>1.25</v>
      </c>
      <c r="Q37" s="64">
        <v>9.67</v>
      </c>
      <c r="R37" s="196"/>
      <c r="S37" s="196"/>
      <c r="T37" s="196"/>
      <c r="U37" s="196"/>
    </row>
    <row r="38" spans="1:21" s="12" customFormat="1" x14ac:dyDescent="0.25">
      <c r="A38" s="211" t="s">
        <v>1908</v>
      </c>
      <c r="B38" s="64">
        <v>49.89</v>
      </c>
      <c r="C38" s="64">
        <v>35.369999999999997</v>
      </c>
      <c r="D38" s="64">
        <v>57.11</v>
      </c>
      <c r="E38" s="64">
        <v>6.51</v>
      </c>
      <c r="F38" s="64">
        <v>3.73</v>
      </c>
      <c r="G38" s="64">
        <v>145.66</v>
      </c>
      <c r="H38" s="64">
        <v>64.88</v>
      </c>
      <c r="I38" s="64">
        <v>6.58</v>
      </c>
      <c r="J38" s="64">
        <v>0.94</v>
      </c>
      <c r="K38" s="64">
        <v>342.06</v>
      </c>
      <c r="L38" s="64">
        <v>15.25</v>
      </c>
      <c r="M38" s="64">
        <v>74.48</v>
      </c>
      <c r="N38" s="64">
        <v>120.8</v>
      </c>
      <c r="O38" s="64">
        <v>0</v>
      </c>
      <c r="P38" s="64">
        <v>1.28</v>
      </c>
      <c r="Q38" s="64">
        <v>9.66</v>
      </c>
      <c r="R38" s="196"/>
      <c r="S38" s="196"/>
      <c r="T38" s="196"/>
      <c r="U38" s="196"/>
    </row>
    <row r="39" spans="1:21" s="12" customFormat="1" x14ac:dyDescent="0.25">
      <c r="A39" s="211" t="s">
        <v>1909</v>
      </c>
      <c r="B39" s="64">
        <v>49.1</v>
      </c>
      <c r="C39" s="64">
        <v>35.44</v>
      </c>
      <c r="D39" s="64">
        <v>56.52</v>
      </c>
      <c r="E39" s="64">
        <v>6.64</v>
      </c>
      <c r="F39" s="64">
        <v>3.56</v>
      </c>
      <c r="G39" s="64">
        <v>145.66</v>
      </c>
      <c r="H39" s="64">
        <v>64.88</v>
      </c>
      <c r="I39" s="64">
        <v>6.5</v>
      </c>
      <c r="J39" s="64">
        <v>0.89</v>
      </c>
      <c r="K39" s="64">
        <v>341.03</v>
      </c>
      <c r="L39" s="64">
        <v>17.12</v>
      </c>
      <c r="M39" s="64">
        <v>66.239999999999995</v>
      </c>
      <c r="N39" s="64">
        <v>182</v>
      </c>
      <c r="O39" s="64">
        <v>0</v>
      </c>
      <c r="P39" s="64">
        <v>1.26</v>
      </c>
      <c r="Q39" s="64">
        <v>9.66</v>
      </c>
      <c r="R39" s="196"/>
      <c r="S39" s="196"/>
      <c r="T39" s="196"/>
      <c r="U39" s="196"/>
    </row>
    <row r="40" spans="1:21" s="12" customFormat="1" x14ac:dyDescent="0.25">
      <c r="A40" s="211" t="s">
        <v>1910</v>
      </c>
      <c r="B40" s="64">
        <v>48.73</v>
      </c>
      <c r="C40" s="64">
        <v>36.11</v>
      </c>
      <c r="D40" s="64">
        <v>56.57</v>
      </c>
      <c r="E40" s="64">
        <v>6.34</v>
      </c>
      <c r="F40" s="64">
        <v>3.54</v>
      </c>
      <c r="G40" s="64">
        <v>142.91999999999999</v>
      </c>
      <c r="H40" s="64">
        <v>66.36</v>
      </c>
      <c r="I40" s="64">
        <v>6.31</v>
      </c>
      <c r="J40" s="64">
        <v>0.26</v>
      </c>
      <c r="K40" s="64">
        <v>22.04</v>
      </c>
      <c r="L40" s="64">
        <v>18.670000000000002</v>
      </c>
      <c r="M40" s="64">
        <v>60.75</v>
      </c>
      <c r="N40" s="64">
        <v>229.7</v>
      </c>
      <c r="O40" s="64">
        <v>0</v>
      </c>
      <c r="P40" s="64">
        <v>1.25</v>
      </c>
      <c r="Q40" s="64">
        <v>9.66</v>
      </c>
      <c r="R40" s="196"/>
      <c r="S40" s="196"/>
      <c r="T40" s="196"/>
      <c r="U40" s="196"/>
    </row>
    <row r="41" spans="1:21" s="12" customFormat="1" x14ac:dyDescent="0.25">
      <c r="A41" s="211" t="s">
        <v>1911</v>
      </c>
      <c r="B41" s="64">
        <v>48.09</v>
      </c>
      <c r="C41" s="64">
        <v>36.090000000000003</v>
      </c>
      <c r="D41" s="64">
        <v>56.04</v>
      </c>
      <c r="E41" s="64">
        <v>7.64</v>
      </c>
      <c r="F41" s="64">
        <v>3.65</v>
      </c>
      <c r="G41" s="64">
        <v>134.96</v>
      </c>
      <c r="H41" s="64">
        <v>72.27</v>
      </c>
      <c r="I41" s="64">
        <v>6.12</v>
      </c>
      <c r="J41" s="64">
        <v>0.69</v>
      </c>
      <c r="K41" s="64">
        <v>338.63</v>
      </c>
      <c r="L41" s="64">
        <v>19.690000000000001</v>
      </c>
      <c r="M41" s="64">
        <v>57.16</v>
      </c>
      <c r="N41" s="64">
        <v>271.8</v>
      </c>
      <c r="O41" s="64">
        <v>0</v>
      </c>
      <c r="P41" s="64">
        <v>1.22</v>
      </c>
      <c r="Q41" s="64">
        <v>9.66</v>
      </c>
      <c r="R41" s="196"/>
      <c r="S41" s="196"/>
      <c r="T41" s="196"/>
      <c r="U41" s="196"/>
    </row>
    <row r="42" spans="1:21" s="12" customFormat="1" x14ac:dyDescent="0.25">
      <c r="A42" s="211" t="s">
        <v>1912</v>
      </c>
      <c r="B42" s="64">
        <v>47.15</v>
      </c>
      <c r="C42" s="64">
        <v>36.56</v>
      </c>
      <c r="D42" s="64">
        <v>55.54</v>
      </c>
      <c r="E42" s="64">
        <v>7.63</v>
      </c>
      <c r="F42" s="64">
        <v>4.13</v>
      </c>
      <c r="G42" s="64">
        <v>134.96</v>
      </c>
      <c r="H42" s="64">
        <v>72.27</v>
      </c>
      <c r="I42" s="64">
        <v>6.08</v>
      </c>
      <c r="J42" s="64">
        <v>0.64</v>
      </c>
      <c r="K42" s="64">
        <v>338.38</v>
      </c>
      <c r="L42" s="64">
        <v>21.7</v>
      </c>
      <c r="M42" s="64">
        <v>50.75</v>
      </c>
      <c r="N42" s="64">
        <v>311</v>
      </c>
      <c r="O42" s="64">
        <v>0</v>
      </c>
      <c r="P42" s="64">
        <v>1.22</v>
      </c>
      <c r="Q42" s="64">
        <v>9.64</v>
      </c>
      <c r="R42" s="196"/>
      <c r="S42" s="196"/>
      <c r="T42" s="196"/>
      <c r="U42" s="196"/>
    </row>
    <row r="43" spans="1:21" s="12" customFormat="1" x14ac:dyDescent="0.25">
      <c r="A43" s="211" t="s">
        <v>1913</v>
      </c>
      <c r="B43" s="64">
        <v>46.05</v>
      </c>
      <c r="C43" s="64">
        <v>38.229999999999997</v>
      </c>
      <c r="D43" s="64">
        <v>55.52</v>
      </c>
      <c r="E43" s="64">
        <v>6.97</v>
      </c>
      <c r="F43" s="64">
        <v>3.86</v>
      </c>
      <c r="G43" s="64">
        <v>134.96</v>
      </c>
      <c r="H43" s="64">
        <v>72.27</v>
      </c>
      <c r="I43" s="64">
        <v>5.99</v>
      </c>
      <c r="J43" s="64">
        <v>1.1100000000000001</v>
      </c>
      <c r="K43" s="64">
        <v>340.01</v>
      </c>
      <c r="L43" s="64">
        <v>23.41</v>
      </c>
      <c r="M43" s="64">
        <v>46.23</v>
      </c>
      <c r="N43" s="64">
        <v>349.8</v>
      </c>
      <c r="O43" s="64">
        <v>0</v>
      </c>
      <c r="P43" s="64">
        <v>1.21</v>
      </c>
      <c r="Q43" s="64">
        <v>9.65</v>
      </c>
      <c r="R43" s="196"/>
      <c r="S43" s="196"/>
      <c r="T43" s="196"/>
      <c r="U43" s="196"/>
    </row>
    <row r="44" spans="1:21" s="12" customFormat="1" x14ac:dyDescent="0.25">
      <c r="A44" s="211" t="s">
        <v>1914</v>
      </c>
      <c r="B44" s="64">
        <v>44.2</v>
      </c>
      <c r="C44" s="64">
        <v>39.840000000000003</v>
      </c>
      <c r="D44" s="64">
        <v>54.88</v>
      </c>
      <c r="E44" s="64">
        <v>7.2</v>
      </c>
      <c r="F44" s="64">
        <v>3.8</v>
      </c>
      <c r="G44" s="64">
        <v>131.69999999999999</v>
      </c>
      <c r="H44" s="64">
        <v>73.73</v>
      </c>
      <c r="I44" s="64">
        <v>6.28</v>
      </c>
      <c r="J44" s="64">
        <v>1.05</v>
      </c>
      <c r="K44" s="64">
        <v>334.79</v>
      </c>
      <c r="L44" s="64">
        <v>24.57</v>
      </c>
      <c r="M44" s="64">
        <v>43.36</v>
      </c>
      <c r="N44" s="64">
        <v>385.4</v>
      </c>
      <c r="O44" s="64">
        <v>0</v>
      </c>
      <c r="P44" s="64">
        <v>1.21</v>
      </c>
      <c r="Q44" s="64">
        <v>9.65</v>
      </c>
      <c r="R44" s="196"/>
      <c r="S44" s="196"/>
      <c r="T44" s="196"/>
      <c r="U44" s="196"/>
    </row>
    <row r="45" spans="1:21" s="12" customFormat="1" x14ac:dyDescent="0.25">
      <c r="A45" s="211" t="s">
        <v>1915</v>
      </c>
      <c r="B45" s="64">
        <v>42.09</v>
      </c>
      <c r="C45" s="64">
        <v>41.76</v>
      </c>
      <c r="D45" s="64">
        <v>54.19</v>
      </c>
      <c r="E45" s="64">
        <v>7.12</v>
      </c>
      <c r="F45" s="64">
        <v>4.13</v>
      </c>
      <c r="G45" s="64">
        <v>122.18</v>
      </c>
      <c r="H45" s="64">
        <v>76.52</v>
      </c>
      <c r="I45" s="64">
        <v>6.37</v>
      </c>
      <c r="J45" s="64">
        <v>0.89</v>
      </c>
      <c r="K45" s="64">
        <v>342.95</v>
      </c>
      <c r="L45" s="64">
        <v>25.26</v>
      </c>
      <c r="M45" s="64">
        <v>41.36</v>
      </c>
      <c r="N45" s="64">
        <v>420.5</v>
      </c>
      <c r="O45" s="64">
        <v>0</v>
      </c>
      <c r="P45" s="64">
        <v>1.19</v>
      </c>
      <c r="Q45" s="64">
        <v>9.64</v>
      </c>
      <c r="R45" s="196"/>
      <c r="S45" s="196"/>
      <c r="T45" s="196"/>
      <c r="U45" s="196"/>
    </row>
    <row r="46" spans="1:21" s="12" customFormat="1" x14ac:dyDescent="0.25">
      <c r="A46" s="211" t="s">
        <v>1916</v>
      </c>
      <c r="B46" s="64">
        <v>39.630000000000003</v>
      </c>
      <c r="C46" s="64">
        <v>43.9</v>
      </c>
      <c r="D46" s="64">
        <v>53.34</v>
      </c>
      <c r="E46" s="64">
        <v>7.67</v>
      </c>
      <c r="F46" s="64">
        <v>4.09</v>
      </c>
      <c r="G46" s="64">
        <v>122.18</v>
      </c>
      <c r="H46" s="64">
        <v>76.52</v>
      </c>
      <c r="I46" s="64">
        <v>6.27</v>
      </c>
      <c r="J46" s="64">
        <v>0.91</v>
      </c>
      <c r="K46" s="64">
        <v>339.26</v>
      </c>
      <c r="L46" s="64">
        <v>26.13</v>
      </c>
      <c r="M46" s="64">
        <v>37.840000000000003</v>
      </c>
      <c r="N46" s="64">
        <v>457</v>
      </c>
      <c r="O46" s="64">
        <v>0</v>
      </c>
      <c r="P46" s="64">
        <v>1.17</v>
      </c>
      <c r="Q46" s="64">
        <v>9.6300000000000008</v>
      </c>
      <c r="R46" s="196"/>
      <c r="S46" s="196"/>
      <c r="T46" s="196"/>
      <c r="U46" s="196"/>
    </row>
    <row r="47" spans="1:21" s="12" customFormat="1" x14ac:dyDescent="0.25">
      <c r="A47" s="211" t="s">
        <v>1917</v>
      </c>
      <c r="B47" s="64">
        <v>36.39</v>
      </c>
      <c r="C47" s="64">
        <v>46.24</v>
      </c>
      <c r="D47" s="64">
        <v>51.96</v>
      </c>
      <c r="E47" s="64">
        <v>7.19</v>
      </c>
      <c r="F47" s="64">
        <v>4.0999999999999996</v>
      </c>
      <c r="G47" s="64">
        <v>122.18</v>
      </c>
      <c r="H47" s="64">
        <v>76.52</v>
      </c>
      <c r="I47" s="64">
        <v>6.2</v>
      </c>
      <c r="J47" s="64">
        <v>0.38</v>
      </c>
      <c r="K47" s="64">
        <v>356.41</v>
      </c>
      <c r="L47" s="64">
        <v>24.72</v>
      </c>
      <c r="M47" s="64">
        <v>41.33</v>
      </c>
      <c r="N47" s="64">
        <v>489.9</v>
      </c>
      <c r="O47" s="64">
        <v>0</v>
      </c>
      <c r="P47" s="64">
        <v>1.1599999999999999</v>
      </c>
      <c r="Q47" s="64">
        <v>9.6300000000000008</v>
      </c>
      <c r="R47" s="196"/>
      <c r="S47" s="196"/>
      <c r="T47" s="196"/>
      <c r="U47" s="196"/>
    </row>
    <row r="48" spans="1:21" s="12" customFormat="1" x14ac:dyDescent="0.25">
      <c r="A48" s="211" t="s">
        <v>1918</v>
      </c>
      <c r="B48" s="64">
        <v>33.229999999999997</v>
      </c>
      <c r="C48" s="64">
        <v>47.87</v>
      </c>
      <c r="D48" s="64">
        <v>50.28</v>
      </c>
      <c r="E48" s="64">
        <v>7.13</v>
      </c>
      <c r="F48" s="64">
        <v>3.74</v>
      </c>
      <c r="G48" s="64">
        <v>118.99</v>
      </c>
      <c r="H48" s="64">
        <v>65.77</v>
      </c>
      <c r="I48" s="64">
        <v>6.18</v>
      </c>
      <c r="J48" s="64">
        <v>1.43</v>
      </c>
      <c r="K48" s="64">
        <v>118.01</v>
      </c>
      <c r="L48" s="64">
        <v>23.44</v>
      </c>
      <c r="M48" s="64">
        <v>42.71</v>
      </c>
      <c r="N48" s="64">
        <v>526.70000000000005</v>
      </c>
      <c r="O48" s="64">
        <v>0</v>
      </c>
      <c r="P48" s="64">
        <v>1.1399999999999999</v>
      </c>
      <c r="Q48" s="64">
        <v>9.65</v>
      </c>
      <c r="R48" s="196"/>
      <c r="S48" s="196"/>
      <c r="T48" s="196"/>
      <c r="U48" s="196"/>
    </row>
    <row r="49" spans="1:21" s="12" customFormat="1" x14ac:dyDescent="0.25">
      <c r="A49" s="211" t="s">
        <v>1919</v>
      </c>
      <c r="B49" s="64">
        <v>29.18</v>
      </c>
      <c r="C49" s="64">
        <v>48.51</v>
      </c>
      <c r="D49" s="64">
        <v>47.37</v>
      </c>
      <c r="E49" s="64">
        <v>6.62</v>
      </c>
      <c r="F49" s="64">
        <v>3.61</v>
      </c>
      <c r="G49" s="64">
        <v>109.7</v>
      </c>
      <c r="H49" s="64">
        <v>45.2</v>
      </c>
      <c r="I49" s="64">
        <v>6.23</v>
      </c>
      <c r="J49" s="64">
        <v>1.76</v>
      </c>
      <c r="K49" s="64">
        <v>115.15</v>
      </c>
      <c r="L49" s="64">
        <v>21.97</v>
      </c>
      <c r="M49" s="64">
        <v>44.79</v>
      </c>
      <c r="N49" s="64">
        <v>561.4</v>
      </c>
      <c r="O49" s="64">
        <v>0</v>
      </c>
      <c r="P49" s="64">
        <v>1.0900000000000001</v>
      </c>
      <c r="Q49" s="64">
        <v>9.69</v>
      </c>
      <c r="R49" s="196"/>
      <c r="S49" s="196"/>
      <c r="T49" s="196"/>
      <c r="U49" s="196"/>
    </row>
    <row r="50" spans="1:21" s="12" customFormat="1" x14ac:dyDescent="0.25">
      <c r="A50" s="211" t="s">
        <v>1920</v>
      </c>
      <c r="B50" s="64">
        <v>24.97</v>
      </c>
      <c r="C50" s="64">
        <v>49.15</v>
      </c>
      <c r="D50" s="64">
        <v>44.33</v>
      </c>
      <c r="E50" s="64">
        <v>6.27</v>
      </c>
      <c r="F50" s="64">
        <v>3.91</v>
      </c>
      <c r="G50" s="64">
        <v>109.7</v>
      </c>
      <c r="H50" s="64">
        <v>45.2</v>
      </c>
      <c r="I50" s="64">
        <v>6.46</v>
      </c>
      <c r="J50" s="64">
        <v>0.67</v>
      </c>
      <c r="K50" s="64">
        <v>94.53</v>
      </c>
      <c r="L50" s="64">
        <v>23.51</v>
      </c>
      <c r="M50" s="64">
        <v>40.99</v>
      </c>
      <c r="N50" s="64">
        <v>579.79999999999995</v>
      </c>
      <c r="O50" s="64">
        <v>0</v>
      </c>
      <c r="P50" s="64">
        <v>1.05</v>
      </c>
      <c r="Q50" s="64">
        <v>9.65</v>
      </c>
      <c r="R50" s="196"/>
      <c r="S50" s="196"/>
      <c r="T50" s="196"/>
      <c r="U50" s="196"/>
    </row>
    <row r="51" spans="1:21" s="12" customFormat="1" x14ac:dyDescent="0.25">
      <c r="A51" s="211" t="s">
        <v>1921</v>
      </c>
      <c r="B51" s="64">
        <v>20.39</v>
      </c>
      <c r="C51" s="64">
        <v>51.16</v>
      </c>
      <c r="D51" s="64">
        <v>41.7</v>
      </c>
      <c r="E51" s="64">
        <v>6.79</v>
      </c>
      <c r="F51" s="64">
        <v>5.38</v>
      </c>
      <c r="G51" s="64">
        <v>109.7</v>
      </c>
      <c r="H51" s="64">
        <v>45.2</v>
      </c>
      <c r="I51" s="64">
        <v>7.24</v>
      </c>
      <c r="J51" s="64">
        <v>1.34</v>
      </c>
      <c r="K51" s="64">
        <v>115.89</v>
      </c>
      <c r="L51" s="64">
        <v>23.68</v>
      </c>
      <c r="M51" s="64">
        <v>40.28</v>
      </c>
      <c r="N51" s="64">
        <v>606.70000000000005</v>
      </c>
      <c r="O51" s="64">
        <v>0</v>
      </c>
      <c r="P51" s="64">
        <v>1</v>
      </c>
      <c r="Q51" s="64">
        <v>9.65</v>
      </c>
      <c r="R51" s="196"/>
      <c r="S51" s="196"/>
      <c r="T51" s="196"/>
      <c r="U51" s="196"/>
    </row>
    <row r="52" spans="1:21" s="12" customFormat="1" x14ac:dyDescent="0.25">
      <c r="A52" s="211" t="s">
        <v>1922</v>
      </c>
      <c r="B52" s="64">
        <v>12.34</v>
      </c>
      <c r="C52" s="64">
        <v>53.82</v>
      </c>
      <c r="D52" s="64">
        <v>36.64</v>
      </c>
      <c r="E52" s="64">
        <v>7.2</v>
      </c>
      <c r="F52" s="64">
        <v>7.02</v>
      </c>
      <c r="G52" s="64">
        <v>98.17</v>
      </c>
      <c r="H52" s="64">
        <v>41.53</v>
      </c>
      <c r="I52" s="64">
        <v>7.64</v>
      </c>
      <c r="J52" s="64">
        <v>1.73</v>
      </c>
      <c r="K52" s="64">
        <v>116.24</v>
      </c>
      <c r="L52" s="64">
        <v>23.19</v>
      </c>
      <c r="M52" s="64">
        <v>40</v>
      </c>
      <c r="N52" s="64">
        <v>616.9</v>
      </c>
      <c r="O52" s="64">
        <v>0</v>
      </c>
      <c r="P52" s="64">
        <v>0.87</v>
      </c>
      <c r="Q52" s="64">
        <v>9.65</v>
      </c>
      <c r="R52" s="196"/>
      <c r="S52" s="196"/>
      <c r="T52" s="196"/>
      <c r="U52" s="196"/>
    </row>
    <row r="53" spans="1:21" s="12" customFormat="1" x14ac:dyDescent="0.25">
      <c r="A53" s="211" t="s">
        <v>1923</v>
      </c>
      <c r="B53" s="64">
        <v>7.17</v>
      </c>
      <c r="C53" s="64">
        <v>54.3</v>
      </c>
      <c r="D53" s="64">
        <v>32.75</v>
      </c>
      <c r="E53" s="64">
        <v>7.4</v>
      </c>
      <c r="F53" s="64">
        <v>6.14</v>
      </c>
      <c r="G53" s="64">
        <v>64.56</v>
      </c>
      <c r="H53" s="64">
        <v>34.5</v>
      </c>
      <c r="I53" s="64">
        <v>7.15</v>
      </c>
      <c r="J53" s="64">
        <v>0.37</v>
      </c>
      <c r="K53" s="64">
        <v>5.0999999999999996</v>
      </c>
      <c r="L53" s="64">
        <v>25.01</v>
      </c>
      <c r="M53" s="64">
        <v>35.44</v>
      </c>
      <c r="N53" s="64">
        <v>617.5</v>
      </c>
      <c r="O53" s="64">
        <v>0</v>
      </c>
      <c r="P53" s="64">
        <v>0.82</v>
      </c>
      <c r="Q53" s="64">
        <v>9.64</v>
      </c>
      <c r="R53" s="196"/>
      <c r="S53" s="196"/>
      <c r="T53" s="196"/>
      <c r="U53" s="196"/>
    </row>
    <row r="54" spans="1:21" s="12" customFormat="1" x14ac:dyDescent="0.25">
      <c r="A54" s="211" t="s">
        <v>1924</v>
      </c>
      <c r="B54" s="64">
        <v>5.75</v>
      </c>
      <c r="C54" s="64">
        <v>55.05</v>
      </c>
      <c r="D54" s="64">
        <v>31.99</v>
      </c>
      <c r="E54" s="64">
        <v>7.1</v>
      </c>
      <c r="F54" s="64">
        <v>5.19</v>
      </c>
      <c r="G54" s="64">
        <v>64.56</v>
      </c>
      <c r="H54" s="64">
        <v>34.5</v>
      </c>
      <c r="I54" s="64">
        <v>6.66</v>
      </c>
      <c r="J54" s="64">
        <v>0.61</v>
      </c>
      <c r="K54" s="64">
        <v>99.36</v>
      </c>
      <c r="L54" s="64">
        <v>25.67</v>
      </c>
      <c r="M54" s="64">
        <v>31.97</v>
      </c>
      <c r="N54" s="64">
        <v>624.29999999999995</v>
      </c>
      <c r="O54" s="64">
        <v>0</v>
      </c>
      <c r="P54" s="64">
        <v>0.82</v>
      </c>
      <c r="Q54" s="64">
        <v>9.6199999999999992</v>
      </c>
      <c r="R54" s="196"/>
      <c r="S54" s="196"/>
      <c r="T54" s="196"/>
      <c r="U54" s="196"/>
    </row>
    <row r="55" spans="1:21" s="12" customFormat="1" x14ac:dyDescent="0.25">
      <c r="A55" s="211" t="s">
        <v>1925</v>
      </c>
      <c r="B55" s="64">
        <v>4.74</v>
      </c>
      <c r="C55" s="64">
        <v>53.28</v>
      </c>
      <c r="D55" s="64">
        <v>30.27</v>
      </c>
      <c r="E55" s="64">
        <v>7.28</v>
      </c>
      <c r="F55" s="64">
        <v>6.18</v>
      </c>
      <c r="G55" s="64">
        <v>64.56</v>
      </c>
      <c r="H55" s="64">
        <v>34.5</v>
      </c>
      <c r="I55" s="64">
        <v>5.95</v>
      </c>
      <c r="J55" s="64">
        <v>1.54</v>
      </c>
      <c r="K55" s="64">
        <v>118.03</v>
      </c>
      <c r="L55" s="64">
        <v>23.74</v>
      </c>
      <c r="M55" s="64">
        <v>34.35</v>
      </c>
      <c r="N55" s="64">
        <v>644.29999999999995</v>
      </c>
      <c r="O55" s="64">
        <v>0</v>
      </c>
      <c r="P55" s="64">
        <v>0.72</v>
      </c>
      <c r="Q55" s="64">
        <v>9.6199999999999992</v>
      </c>
      <c r="R55" s="196"/>
      <c r="S55" s="196"/>
      <c r="T55" s="196"/>
      <c r="U55" s="196"/>
    </row>
    <row r="56" spans="1:21" s="12" customFormat="1" x14ac:dyDescent="0.25">
      <c r="A56" s="211" t="s">
        <v>1926</v>
      </c>
      <c r="B56" s="64">
        <v>3.59</v>
      </c>
      <c r="C56" s="64">
        <v>50.45</v>
      </c>
      <c r="D56" s="64">
        <v>27.86</v>
      </c>
      <c r="E56" s="64">
        <v>7.23</v>
      </c>
      <c r="F56" s="64">
        <v>7.04</v>
      </c>
      <c r="G56" s="64">
        <v>64.56</v>
      </c>
      <c r="H56" s="64">
        <v>34.5</v>
      </c>
      <c r="I56" s="64">
        <v>6.22</v>
      </c>
      <c r="J56" s="64">
        <v>0.46</v>
      </c>
      <c r="K56" s="64">
        <v>0.13</v>
      </c>
      <c r="L56" s="64">
        <v>25.73</v>
      </c>
      <c r="M56" s="64">
        <v>30.03</v>
      </c>
      <c r="N56" s="64">
        <v>605.1</v>
      </c>
      <c r="O56" s="64">
        <v>0</v>
      </c>
      <c r="P56" s="64">
        <v>0.68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1927</v>
      </c>
      <c r="B57" s="64">
        <v>3.23</v>
      </c>
      <c r="C57" s="64">
        <v>51.3</v>
      </c>
      <c r="D57" s="64">
        <v>28.02</v>
      </c>
      <c r="E57" s="64">
        <v>9.0399999999999991</v>
      </c>
      <c r="F57" s="64">
        <v>13.82</v>
      </c>
      <c r="G57" s="64">
        <v>64.56</v>
      </c>
      <c r="H57" s="64">
        <v>34.5</v>
      </c>
      <c r="I57" s="64">
        <v>5.52</v>
      </c>
      <c r="J57" s="64">
        <v>0.31</v>
      </c>
      <c r="K57" s="64">
        <v>56.3</v>
      </c>
      <c r="L57" s="64">
        <v>25.8</v>
      </c>
      <c r="M57" s="64">
        <v>29.59</v>
      </c>
      <c r="N57" s="64">
        <v>578.20000000000005</v>
      </c>
      <c r="O57" s="64">
        <v>0</v>
      </c>
      <c r="P57" s="64">
        <v>0.64</v>
      </c>
      <c r="Q57" s="64">
        <v>9.6300000000000008</v>
      </c>
      <c r="R57" s="196"/>
      <c r="S57" s="196"/>
      <c r="T57" s="196"/>
      <c r="U57" s="196"/>
    </row>
    <row r="58" spans="1:21" s="12" customFormat="1" x14ac:dyDescent="0.25">
      <c r="A58" s="211" t="s">
        <v>1928</v>
      </c>
      <c r="B58" s="64">
        <v>2.74</v>
      </c>
      <c r="C58" s="64">
        <v>53.62</v>
      </c>
      <c r="D58" s="64">
        <v>28.84</v>
      </c>
      <c r="E58" s="64">
        <v>8.81</v>
      </c>
      <c r="F58" s="64">
        <v>10.08</v>
      </c>
      <c r="G58" s="64">
        <v>64.56</v>
      </c>
      <c r="H58" s="64">
        <v>34.5</v>
      </c>
      <c r="I58" s="64">
        <v>5</v>
      </c>
      <c r="J58" s="64">
        <v>1.43</v>
      </c>
      <c r="K58" s="64">
        <v>111.39</v>
      </c>
      <c r="L58" s="64">
        <v>24.73</v>
      </c>
      <c r="M58" s="64">
        <v>29.43</v>
      </c>
      <c r="N58" s="64">
        <v>586.1</v>
      </c>
      <c r="O58" s="64">
        <v>0</v>
      </c>
      <c r="P58" s="64">
        <v>0.6</v>
      </c>
      <c r="Q58" s="64">
        <v>9.6199999999999992</v>
      </c>
      <c r="R58" s="196"/>
      <c r="S58" s="196"/>
      <c r="T58" s="196"/>
      <c r="U58" s="196"/>
    </row>
    <row r="59" spans="1:21" s="12" customFormat="1" x14ac:dyDescent="0.25">
      <c r="A59" s="211" t="s">
        <v>1929</v>
      </c>
      <c r="B59" s="64">
        <v>2.61</v>
      </c>
      <c r="C59" s="64">
        <v>50.65</v>
      </c>
      <c r="D59" s="64">
        <v>27.18</v>
      </c>
      <c r="E59" s="64">
        <v>8.17</v>
      </c>
      <c r="F59" s="64">
        <v>8.5500000000000007</v>
      </c>
      <c r="G59" s="64">
        <v>64.56</v>
      </c>
      <c r="H59" s="64">
        <v>34.5</v>
      </c>
      <c r="I59" s="64">
        <v>4.67</v>
      </c>
      <c r="J59" s="64">
        <v>0.48</v>
      </c>
      <c r="K59" s="64">
        <v>57.85</v>
      </c>
      <c r="L59" s="64">
        <v>24.85</v>
      </c>
      <c r="M59" s="64">
        <v>27.42</v>
      </c>
      <c r="N59" s="64">
        <v>565.70000000000005</v>
      </c>
      <c r="O59" s="64">
        <v>0</v>
      </c>
      <c r="P59" s="64">
        <v>0.59</v>
      </c>
      <c r="Q59" s="64">
        <v>9.6199999999999992</v>
      </c>
      <c r="R59" s="196"/>
      <c r="S59" s="196"/>
      <c r="T59" s="196"/>
      <c r="U59" s="196"/>
    </row>
    <row r="60" spans="1:21" s="12" customFormat="1" x14ac:dyDescent="0.25">
      <c r="A60" s="211" t="s">
        <v>1930</v>
      </c>
      <c r="B60" s="64">
        <v>2.8</v>
      </c>
      <c r="C60" s="64">
        <v>48.33</v>
      </c>
      <c r="D60" s="64">
        <v>26.12</v>
      </c>
      <c r="E60" s="64">
        <v>8.07</v>
      </c>
      <c r="F60" s="64">
        <v>6.19</v>
      </c>
      <c r="G60" s="64">
        <v>64.56</v>
      </c>
      <c r="H60" s="64">
        <v>34.5</v>
      </c>
      <c r="I60" s="64">
        <v>4.59</v>
      </c>
      <c r="J60" s="64">
        <v>0.45</v>
      </c>
      <c r="K60" s="64">
        <v>69.95</v>
      </c>
      <c r="L60" s="64">
        <v>25.63</v>
      </c>
      <c r="M60" s="64">
        <v>25.6</v>
      </c>
      <c r="N60" s="64">
        <v>541.70000000000005</v>
      </c>
      <c r="O60" s="64">
        <v>0</v>
      </c>
      <c r="P60" s="64">
        <v>0.57999999999999996</v>
      </c>
      <c r="Q60" s="64">
        <v>9.64</v>
      </c>
      <c r="R60" s="196"/>
      <c r="S60" s="196"/>
      <c r="T60" s="196"/>
      <c r="U60" s="196"/>
    </row>
    <row r="61" spans="1:21" s="12" customFormat="1" x14ac:dyDescent="0.25">
      <c r="A61" s="211" t="s">
        <v>1931</v>
      </c>
      <c r="B61" s="64">
        <v>3.48</v>
      </c>
      <c r="C61" s="64">
        <v>47.38</v>
      </c>
      <c r="D61" s="64">
        <v>26.17</v>
      </c>
      <c r="E61" s="64">
        <v>9.61</v>
      </c>
      <c r="F61" s="64">
        <v>9.66</v>
      </c>
      <c r="G61" s="208" t="s">
        <v>40</v>
      </c>
      <c r="H61" s="208" t="s">
        <v>40</v>
      </c>
      <c r="I61" s="64">
        <v>5.42</v>
      </c>
      <c r="J61" s="64">
        <v>0.8</v>
      </c>
      <c r="K61" s="64">
        <v>341.18</v>
      </c>
      <c r="L61" s="64">
        <v>25.88</v>
      </c>
      <c r="M61" s="64">
        <v>24.74</v>
      </c>
      <c r="N61" s="64">
        <v>526.4</v>
      </c>
      <c r="O61" s="64">
        <v>0</v>
      </c>
      <c r="P61" s="64">
        <v>0.63</v>
      </c>
      <c r="Q61" s="64">
        <v>9.64</v>
      </c>
      <c r="R61" s="196"/>
      <c r="S61" s="196"/>
      <c r="T61" s="196"/>
      <c r="U61" s="196"/>
    </row>
    <row r="62" spans="1:21" s="12" customFormat="1" x14ac:dyDescent="0.25">
      <c r="A62" s="211" t="s">
        <v>1932</v>
      </c>
      <c r="B62" s="64">
        <v>3.1</v>
      </c>
      <c r="C62" s="64">
        <v>59.22</v>
      </c>
      <c r="D62" s="64">
        <v>32.049999999999997</v>
      </c>
      <c r="E62" s="64">
        <v>21.67</v>
      </c>
      <c r="F62" s="64">
        <v>20.87</v>
      </c>
      <c r="G62" s="208" t="s">
        <v>40</v>
      </c>
      <c r="H62" s="208" t="s">
        <v>40</v>
      </c>
      <c r="I62" s="64">
        <v>5.47</v>
      </c>
      <c r="J62" s="64">
        <v>0.64</v>
      </c>
      <c r="K62" s="64">
        <v>103.94</v>
      </c>
      <c r="L62" s="64">
        <v>25.42</v>
      </c>
      <c r="M62" s="64">
        <v>25.7</v>
      </c>
      <c r="N62" s="64">
        <v>501.3</v>
      </c>
      <c r="O62" s="64">
        <v>0</v>
      </c>
      <c r="P62" s="64">
        <v>0.6</v>
      </c>
      <c r="Q62" s="64">
        <v>9.6300000000000008</v>
      </c>
      <c r="R62" s="196"/>
      <c r="S62" s="196"/>
      <c r="T62" s="196"/>
      <c r="U62" s="196"/>
    </row>
    <row r="63" spans="1:21" s="12" customFormat="1" x14ac:dyDescent="0.25">
      <c r="A63" s="211" t="s">
        <v>1933</v>
      </c>
      <c r="B63" s="64">
        <v>3.02</v>
      </c>
      <c r="C63" s="64">
        <v>63.46</v>
      </c>
      <c r="D63" s="64">
        <v>34.200000000000003</v>
      </c>
      <c r="E63" s="64">
        <v>9.19</v>
      </c>
      <c r="F63" s="64">
        <v>10.89</v>
      </c>
      <c r="G63" s="208" t="s">
        <v>40</v>
      </c>
      <c r="H63" s="208" t="s">
        <v>40</v>
      </c>
      <c r="I63" s="64">
        <v>4.3099999999999996</v>
      </c>
      <c r="J63" s="64">
        <v>0.78</v>
      </c>
      <c r="K63" s="64">
        <v>108.17</v>
      </c>
      <c r="L63" s="64">
        <v>24.97</v>
      </c>
      <c r="M63" s="64">
        <v>27.73</v>
      </c>
      <c r="N63" s="64">
        <v>466.8</v>
      </c>
      <c r="O63" s="64">
        <v>0</v>
      </c>
      <c r="P63" s="64">
        <v>0.59</v>
      </c>
      <c r="Q63" s="64">
        <v>9.6199999999999992</v>
      </c>
      <c r="R63" s="196"/>
      <c r="S63" s="196"/>
      <c r="T63" s="196"/>
      <c r="U63" s="196"/>
    </row>
    <row r="64" spans="1:21" s="12" customFormat="1" x14ac:dyDescent="0.25">
      <c r="A64" s="211" t="s">
        <v>1934</v>
      </c>
      <c r="B64" s="64">
        <v>3.5</v>
      </c>
      <c r="C64" s="64">
        <v>63.11</v>
      </c>
      <c r="D64" s="64">
        <v>34.4</v>
      </c>
      <c r="E64" s="64">
        <v>10.220000000000001</v>
      </c>
      <c r="F64" s="64">
        <v>9.6999999999999993</v>
      </c>
      <c r="G64" s="208" t="s">
        <v>40</v>
      </c>
      <c r="H64" s="208" t="s">
        <v>40</v>
      </c>
      <c r="I64" s="64">
        <v>3.23</v>
      </c>
      <c r="J64" s="64">
        <v>0.74</v>
      </c>
      <c r="K64" s="64">
        <v>357.18</v>
      </c>
      <c r="L64" s="64">
        <v>25.33</v>
      </c>
      <c r="M64" s="64">
        <v>28.14</v>
      </c>
      <c r="N64" s="64">
        <v>340.4</v>
      </c>
      <c r="O64" s="64">
        <v>0</v>
      </c>
      <c r="P64" s="64">
        <v>0.56999999999999995</v>
      </c>
      <c r="Q64" s="64">
        <v>9.61</v>
      </c>
      <c r="R64" s="196"/>
      <c r="S64" s="196"/>
      <c r="T64" s="196"/>
      <c r="U64" s="196"/>
    </row>
    <row r="65" spans="1:21" s="12" customFormat="1" x14ac:dyDescent="0.25">
      <c r="A65" s="211" t="s">
        <v>1935</v>
      </c>
      <c r="B65" s="64">
        <v>3.57</v>
      </c>
      <c r="C65" s="64">
        <v>61.83</v>
      </c>
      <c r="D65" s="64">
        <v>33.79</v>
      </c>
      <c r="E65" s="64">
        <v>8.48</v>
      </c>
      <c r="F65" s="64">
        <v>7.67</v>
      </c>
      <c r="G65" s="64">
        <v>6.84</v>
      </c>
      <c r="H65" s="64">
        <v>2.87</v>
      </c>
      <c r="I65" s="64">
        <v>2.54</v>
      </c>
      <c r="J65" s="64">
        <v>0.66</v>
      </c>
      <c r="K65" s="64">
        <v>41.86</v>
      </c>
      <c r="L65" s="64">
        <v>24.93</v>
      </c>
      <c r="M65" s="64">
        <v>28.03</v>
      </c>
      <c r="N65" s="64">
        <v>137.1</v>
      </c>
      <c r="O65" s="64">
        <v>0</v>
      </c>
      <c r="P65" s="64">
        <v>0.59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1936</v>
      </c>
      <c r="B66" s="64">
        <v>3.66</v>
      </c>
      <c r="C66" s="64">
        <v>58.11</v>
      </c>
      <c r="D66" s="64">
        <v>31.92</v>
      </c>
      <c r="E66" s="64">
        <v>7.63</v>
      </c>
      <c r="F66" s="64">
        <v>5.92</v>
      </c>
      <c r="G66" s="64">
        <v>51.29</v>
      </c>
      <c r="H66" s="64">
        <v>17.489999999999998</v>
      </c>
      <c r="I66" s="64">
        <v>2.78</v>
      </c>
      <c r="J66" s="64">
        <v>0.71</v>
      </c>
      <c r="K66" s="64">
        <v>103.49</v>
      </c>
      <c r="L66" s="64">
        <v>24.4</v>
      </c>
      <c r="M66" s="64">
        <v>28.75</v>
      </c>
      <c r="N66" s="64">
        <v>120.4</v>
      </c>
      <c r="O66" s="64">
        <v>0</v>
      </c>
      <c r="P66" s="64">
        <v>0.57999999999999996</v>
      </c>
      <c r="Q66" s="64">
        <v>9.6300000000000008</v>
      </c>
      <c r="R66" s="196"/>
      <c r="S66" s="196"/>
      <c r="T66" s="196"/>
      <c r="U66" s="196"/>
    </row>
    <row r="67" spans="1:21" s="12" customFormat="1" x14ac:dyDescent="0.25">
      <c r="A67" s="211" t="s">
        <v>1937</v>
      </c>
      <c r="B67" s="64">
        <v>3.74</v>
      </c>
      <c r="C67" s="64">
        <v>54.09</v>
      </c>
      <c r="D67" s="64">
        <v>29.88</v>
      </c>
      <c r="E67" s="64">
        <v>6.95</v>
      </c>
      <c r="F67" s="64">
        <v>5.41</v>
      </c>
      <c r="G67" s="64">
        <v>51.29</v>
      </c>
      <c r="H67" s="64">
        <v>17.489999999999998</v>
      </c>
      <c r="I67" s="64">
        <v>3.13</v>
      </c>
      <c r="J67" s="64">
        <v>2.11</v>
      </c>
      <c r="K67" s="64">
        <v>119.75</v>
      </c>
      <c r="L67" s="64">
        <v>23.51</v>
      </c>
      <c r="M67" s="64">
        <v>29.5</v>
      </c>
      <c r="N67" s="64">
        <v>123.6</v>
      </c>
      <c r="O67" s="64">
        <v>0</v>
      </c>
      <c r="P67" s="64">
        <v>0.56999999999999995</v>
      </c>
      <c r="Q67" s="64">
        <v>9.64</v>
      </c>
      <c r="R67" s="196"/>
      <c r="S67" s="196"/>
      <c r="T67" s="196"/>
      <c r="U67" s="196"/>
    </row>
    <row r="68" spans="1:21" s="12" customFormat="1" x14ac:dyDescent="0.25">
      <c r="A68" s="211" t="s">
        <v>1938</v>
      </c>
      <c r="B68" s="64">
        <v>3.57</v>
      </c>
      <c r="C68" s="64">
        <v>50.6</v>
      </c>
      <c r="D68" s="64">
        <v>27.92</v>
      </c>
      <c r="E68" s="64">
        <v>6.5</v>
      </c>
      <c r="F68" s="64">
        <v>5.07</v>
      </c>
      <c r="G68" s="64">
        <v>51.29</v>
      </c>
      <c r="H68" s="64">
        <v>17.489999999999998</v>
      </c>
      <c r="I68" s="64">
        <v>3.34</v>
      </c>
      <c r="J68" s="64">
        <v>1.24</v>
      </c>
      <c r="K68" s="64">
        <v>109.05</v>
      </c>
      <c r="L68" s="64">
        <v>23.63</v>
      </c>
      <c r="M68" s="64">
        <v>29.4</v>
      </c>
      <c r="N68" s="64">
        <v>117.9</v>
      </c>
      <c r="O68" s="64">
        <v>0</v>
      </c>
      <c r="P68" s="64">
        <v>0.55000000000000004</v>
      </c>
      <c r="Q68" s="64">
        <v>9.65</v>
      </c>
      <c r="R68" s="196"/>
      <c r="S68" s="196"/>
      <c r="T68" s="196"/>
      <c r="U68" s="196"/>
    </row>
    <row r="69" spans="1:21" s="12" customFormat="1" x14ac:dyDescent="0.25">
      <c r="A69" s="211" t="s">
        <v>1939</v>
      </c>
      <c r="B69" s="64">
        <v>3.55</v>
      </c>
      <c r="C69" s="64">
        <v>46.39</v>
      </c>
      <c r="D69" s="64">
        <v>25.71</v>
      </c>
      <c r="E69" s="64">
        <v>6.01</v>
      </c>
      <c r="F69" s="64">
        <v>5.05</v>
      </c>
      <c r="G69" s="64">
        <v>53.93</v>
      </c>
      <c r="H69" s="64">
        <v>18.41</v>
      </c>
      <c r="I69" s="64">
        <v>3.73</v>
      </c>
      <c r="J69" s="64">
        <v>0.39</v>
      </c>
      <c r="K69" s="64">
        <v>50.1</v>
      </c>
      <c r="L69" s="64">
        <v>23.51</v>
      </c>
      <c r="M69" s="64">
        <v>30.66</v>
      </c>
      <c r="N69" s="64">
        <v>93.7</v>
      </c>
      <c r="O69" s="64">
        <v>0</v>
      </c>
      <c r="P69" s="64">
        <v>0.59</v>
      </c>
      <c r="Q69" s="64">
        <v>9.64</v>
      </c>
      <c r="R69" s="196"/>
      <c r="S69" s="196"/>
      <c r="T69" s="196"/>
      <c r="U69" s="196"/>
    </row>
    <row r="70" spans="1:21" s="12" customFormat="1" x14ac:dyDescent="0.25">
      <c r="A70" s="211" t="s">
        <v>1940</v>
      </c>
      <c r="B70" s="64">
        <v>3.94</v>
      </c>
      <c r="C70" s="64">
        <v>44.76</v>
      </c>
      <c r="D70" s="64">
        <v>25.17</v>
      </c>
      <c r="E70" s="64">
        <v>6.17</v>
      </c>
      <c r="F70" s="64">
        <v>5.33</v>
      </c>
      <c r="G70" s="64">
        <v>71.14</v>
      </c>
      <c r="H70" s="64">
        <v>23.09</v>
      </c>
      <c r="I70" s="64">
        <v>3.73</v>
      </c>
      <c r="J70" s="64">
        <v>1.3</v>
      </c>
      <c r="K70" s="64">
        <v>347.6</v>
      </c>
      <c r="L70" s="64">
        <v>23.77</v>
      </c>
      <c r="M70" s="64">
        <v>30.38</v>
      </c>
      <c r="N70" s="64">
        <v>85.3</v>
      </c>
      <c r="O70" s="64">
        <v>0</v>
      </c>
      <c r="P70" s="64">
        <v>0.55000000000000004</v>
      </c>
      <c r="Q70" s="64">
        <v>9.64</v>
      </c>
      <c r="R70" s="196"/>
      <c r="S70" s="196"/>
      <c r="T70" s="196"/>
      <c r="U70" s="196"/>
    </row>
    <row r="71" spans="1:21" s="12" customFormat="1" x14ac:dyDescent="0.25">
      <c r="A71" s="211" t="s">
        <v>1941</v>
      </c>
      <c r="B71" s="64">
        <v>4.37</v>
      </c>
      <c r="C71" s="64">
        <v>44.05</v>
      </c>
      <c r="D71" s="64">
        <v>25.14</v>
      </c>
      <c r="E71" s="64">
        <v>5.92</v>
      </c>
      <c r="F71" s="64">
        <v>5.22</v>
      </c>
      <c r="G71" s="64">
        <v>71.14</v>
      </c>
      <c r="H71" s="64">
        <v>23.09</v>
      </c>
      <c r="I71" s="64">
        <v>3.27</v>
      </c>
      <c r="J71" s="64">
        <v>0.31</v>
      </c>
      <c r="K71" s="64">
        <v>34.130000000000003</v>
      </c>
      <c r="L71" s="64">
        <v>23.52</v>
      </c>
      <c r="M71" s="64">
        <v>30.71</v>
      </c>
      <c r="N71" s="64">
        <v>77.3</v>
      </c>
      <c r="O71" s="64">
        <v>0</v>
      </c>
      <c r="P71" s="64">
        <v>0.55000000000000004</v>
      </c>
      <c r="Q71" s="64">
        <v>9.64</v>
      </c>
      <c r="R71" s="196"/>
      <c r="S71" s="196"/>
      <c r="T71" s="196"/>
      <c r="U71" s="196"/>
    </row>
    <row r="72" spans="1:21" s="12" customFormat="1" x14ac:dyDescent="0.25">
      <c r="A72" s="211" t="s">
        <v>1942</v>
      </c>
      <c r="B72" s="64">
        <v>4.62</v>
      </c>
      <c r="C72" s="64">
        <v>43.48</v>
      </c>
      <c r="D72" s="64">
        <v>25.04</v>
      </c>
      <c r="E72" s="64">
        <v>4.87</v>
      </c>
      <c r="F72" s="64">
        <v>5.39</v>
      </c>
      <c r="G72" s="64">
        <v>71.14</v>
      </c>
      <c r="H72" s="64">
        <v>23.09</v>
      </c>
      <c r="I72" s="64">
        <v>3.31</v>
      </c>
      <c r="J72" s="64">
        <v>0.23</v>
      </c>
      <c r="K72" s="64">
        <v>351.15</v>
      </c>
      <c r="L72" s="64">
        <v>23.15</v>
      </c>
      <c r="M72" s="64">
        <v>31.95</v>
      </c>
      <c r="N72" s="64">
        <v>70.099999999999994</v>
      </c>
      <c r="O72" s="64">
        <v>0</v>
      </c>
      <c r="P72" s="64">
        <v>0.63</v>
      </c>
      <c r="Q72" s="64">
        <v>9.6300000000000008</v>
      </c>
      <c r="R72" s="196"/>
      <c r="S72" s="196"/>
      <c r="T72" s="196"/>
      <c r="U72" s="196"/>
    </row>
    <row r="73" spans="1:21" s="12" customFormat="1" x14ac:dyDescent="0.25">
      <c r="A73" s="211" t="s">
        <v>1943</v>
      </c>
      <c r="B73" s="64">
        <v>5.2</v>
      </c>
      <c r="C73" s="64">
        <v>50.84</v>
      </c>
      <c r="D73" s="64">
        <v>29.36</v>
      </c>
      <c r="E73" s="64">
        <v>7.35</v>
      </c>
      <c r="F73" s="64">
        <v>7.36</v>
      </c>
      <c r="G73" s="64">
        <v>70.17</v>
      </c>
      <c r="H73" s="64">
        <v>21.76</v>
      </c>
      <c r="I73" s="64">
        <v>3.01</v>
      </c>
      <c r="J73" s="64">
        <v>0.18</v>
      </c>
      <c r="K73" s="64">
        <v>22.06</v>
      </c>
      <c r="L73" s="64">
        <v>22.97</v>
      </c>
      <c r="M73" s="64">
        <v>33.28</v>
      </c>
      <c r="N73" s="64">
        <v>62.3</v>
      </c>
      <c r="O73" s="64">
        <v>0</v>
      </c>
      <c r="P73" s="64">
        <v>0.65</v>
      </c>
      <c r="Q73" s="64">
        <v>9.6300000000000008</v>
      </c>
      <c r="R73" s="196"/>
      <c r="S73" s="196"/>
      <c r="T73" s="196"/>
      <c r="U73" s="196"/>
    </row>
    <row r="74" spans="1:21" s="12" customFormat="1" x14ac:dyDescent="0.25">
      <c r="A74" s="211" t="s">
        <v>1944</v>
      </c>
      <c r="B74" s="64">
        <v>4.8099999999999996</v>
      </c>
      <c r="C74" s="64">
        <v>55.48</v>
      </c>
      <c r="D74" s="64">
        <v>31.47</v>
      </c>
      <c r="E74" s="64">
        <v>7.38</v>
      </c>
      <c r="F74" s="64">
        <v>9.82</v>
      </c>
      <c r="G74" s="64">
        <v>63.9</v>
      </c>
      <c r="H74" s="64">
        <v>15.01</v>
      </c>
      <c r="I74" s="64">
        <v>2.7</v>
      </c>
      <c r="J74" s="64">
        <v>0.61</v>
      </c>
      <c r="K74" s="64">
        <v>105.46</v>
      </c>
      <c r="L74" s="64">
        <v>22.54</v>
      </c>
      <c r="M74" s="64">
        <v>32.89</v>
      </c>
      <c r="N74" s="64">
        <v>54.4</v>
      </c>
      <c r="O74" s="64">
        <v>0</v>
      </c>
      <c r="P74" s="64">
        <v>0.57999999999999996</v>
      </c>
      <c r="Q74" s="64">
        <v>9.64</v>
      </c>
      <c r="R74" s="196"/>
      <c r="S74" s="196"/>
      <c r="T74" s="196"/>
      <c r="U74" s="196"/>
    </row>
    <row r="75" spans="1:21" s="12" customFormat="1" x14ac:dyDescent="0.25">
      <c r="A75" s="211" t="s">
        <v>1945</v>
      </c>
      <c r="B75" s="64">
        <v>3.59</v>
      </c>
      <c r="C75" s="64">
        <v>55.01</v>
      </c>
      <c r="D75" s="64">
        <v>30.24</v>
      </c>
      <c r="E75" s="64">
        <v>7.18</v>
      </c>
      <c r="F75" s="64">
        <v>9.7899999999999991</v>
      </c>
      <c r="G75" s="64">
        <v>63.9</v>
      </c>
      <c r="H75" s="64">
        <v>15.01</v>
      </c>
      <c r="I75" s="64">
        <v>2.62</v>
      </c>
      <c r="J75" s="64">
        <v>0.19</v>
      </c>
      <c r="K75" s="64">
        <v>91.04</v>
      </c>
      <c r="L75" s="64">
        <v>22.11</v>
      </c>
      <c r="M75" s="64">
        <v>33.57</v>
      </c>
      <c r="N75" s="64">
        <v>46.3</v>
      </c>
      <c r="O75" s="64">
        <v>0</v>
      </c>
      <c r="P75" s="64">
        <v>0.71</v>
      </c>
      <c r="Q75" s="64">
        <v>9.6300000000000008</v>
      </c>
      <c r="R75" s="196"/>
      <c r="S75" s="196"/>
      <c r="T75" s="196"/>
      <c r="U75" s="196"/>
    </row>
    <row r="76" spans="1:21" s="12" customFormat="1" x14ac:dyDescent="0.25">
      <c r="A76" s="211" t="s">
        <v>1946</v>
      </c>
      <c r="B76" s="64">
        <v>3.13</v>
      </c>
      <c r="C76" s="64">
        <v>53.79</v>
      </c>
      <c r="D76" s="64">
        <v>29.23</v>
      </c>
      <c r="E76" s="64">
        <v>7.65</v>
      </c>
      <c r="F76" s="64">
        <v>7.77</v>
      </c>
      <c r="G76" s="64">
        <v>63.9</v>
      </c>
      <c r="H76" s="64">
        <v>15.01</v>
      </c>
      <c r="I76" s="64">
        <v>2.34</v>
      </c>
      <c r="J76" s="64">
        <v>0.36</v>
      </c>
      <c r="K76" s="64">
        <v>340.46</v>
      </c>
      <c r="L76" s="64">
        <v>21.73</v>
      </c>
      <c r="M76" s="64">
        <v>34.22</v>
      </c>
      <c r="N76" s="64">
        <v>38.799999999999997</v>
      </c>
      <c r="O76" s="64">
        <v>0</v>
      </c>
      <c r="P76" s="64">
        <v>0.71</v>
      </c>
      <c r="Q76" s="64">
        <v>9.64</v>
      </c>
      <c r="R76" s="196"/>
      <c r="S76" s="196"/>
      <c r="T76" s="196"/>
      <c r="U76" s="196"/>
    </row>
    <row r="77" spans="1:21" s="12" customFormat="1" x14ac:dyDescent="0.25">
      <c r="A77" s="211" t="s">
        <v>1947</v>
      </c>
      <c r="B77" s="64">
        <v>3.88</v>
      </c>
      <c r="C77" s="64">
        <v>54.35</v>
      </c>
      <c r="D77" s="64">
        <v>30.13</v>
      </c>
      <c r="E77" s="64">
        <v>7.8</v>
      </c>
      <c r="F77" s="64">
        <v>6.28</v>
      </c>
      <c r="G77" s="64">
        <v>64.23</v>
      </c>
      <c r="H77" s="64">
        <v>14.26</v>
      </c>
      <c r="I77" s="64">
        <v>2.57</v>
      </c>
      <c r="J77" s="64">
        <v>0.63</v>
      </c>
      <c r="K77" s="64">
        <v>338.62</v>
      </c>
      <c r="L77" s="64">
        <v>21.41</v>
      </c>
      <c r="M77" s="64">
        <v>36.07</v>
      </c>
      <c r="N77" s="64">
        <v>31.8</v>
      </c>
      <c r="O77" s="64">
        <v>0</v>
      </c>
      <c r="P77" s="64">
        <v>0.73</v>
      </c>
      <c r="Q77" s="64">
        <v>9.6199999999999992</v>
      </c>
      <c r="R77" s="196"/>
      <c r="S77" s="196"/>
      <c r="T77" s="196"/>
      <c r="U77" s="196"/>
    </row>
    <row r="78" spans="1:21" s="12" customFormat="1" x14ac:dyDescent="0.25">
      <c r="A78" s="211" t="s">
        <v>1948</v>
      </c>
      <c r="B78" s="64">
        <v>5.97</v>
      </c>
      <c r="C78" s="64">
        <v>56.03</v>
      </c>
      <c r="D78" s="64">
        <v>32.68</v>
      </c>
      <c r="E78" s="64">
        <v>7.58</v>
      </c>
      <c r="F78" s="64">
        <v>4.88</v>
      </c>
      <c r="G78" s="64">
        <v>66.400000000000006</v>
      </c>
      <c r="H78" s="64">
        <v>10.06</v>
      </c>
      <c r="I78" s="64">
        <v>3.54</v>
      </c>
      <c r="J78" s="64">
        <v>0.89</v>
      </c>
      <c r="K78" s="64">
        <v>344.05</v>
      </c>
      <c r="L78" s="64">
        <v>20.99</v>
      </c>
      <c r="M78" s="64">
        <v>38.29</v>
      </c>
      <c r="N78" s="64">
        <v>27.4</v>
      </c>
      <c r="O78" s="64">
        <v>0</v>
      </c>
      <c r="P78" s="64">
        <v>0.82</v>
      </c>
      <c r="Q78" s="64">
        <v>9.6199999999999992</v>
      </c>
      <c r="R78" s="196"/>
      <c r="S78" s="196"/>
      <c r="T78" s="196"/>
      <c r="U78" s="196"/>
    </row>
    <row r="79" spans="1:21" s="12" customFormat="1" x14ac:dyDescent="0.25">
      <c r="A79" s="211" t="s">
        <v>1949</v>
      </c>
      <c r="B79" s="64">
        <v>8.59</v>
      </c>
      <c r="C79" s="64">
        <v>57.15</v>
      </c>
      <c r="D79" s="64">
        <v>35.369999999999997</v>
      </c>
      <c r="E79" s="64">
        <v>7.4</v>
      </c>
      <c r="F79" s="64">
        <v>4.2</v>
      </c>
      <c r="G79" s="64">
        <v>66.400000000000006</v>
      </c>
      <c r="H79" s="64">
        <v>10.06</v>
      </c>
      <c r="I79" s="64">
        <v>4.5599999999999996</v>
      </c>
      <c r="J79" s="64">
        <v>0.9</v>
      </c>
      <c r="K79" s="64">
        <v>343.4</v>
      </c>
      <c r="L79" s="64">
        <v>20.61</v>
      </c>
      <c r="M79" s="64">
        <v>39.44</v>
      </c>
      <c r="N79" s="64">
        <v>25.9</v>
      </c>
      <c r="O79" s="64">
        <v>0</v>
      </c>
      <c r="P79" s="64">
        <v>0.83</v>
      </c>
      <c r="Q79" s="64">
        <v>9.6300000000000008</v>
      </c>
      <c r="R79" s="196"/>
      <c r="S79" s="196"/>
      <c r="T79" s="196"/>
      <c r="U79" s="196"/>
    </row>
    <row r="80" spans="1:21" s="12" customFormat="1" x14ac:dyDescent="0.25">
      <c r="A80" s="211" t="s">
        <v>1950</v>
      </c>
      <c r="B80" s="64">
        <v>10.5</v>
      </c>
      <c r="C80" s="64">
        <v>56.96</v>
      </c>
      <c r="D80" s="64">
        <v>36.799999999999997</v>
      </c>
      <c r="E80" s="64">
        <v>6.67</v>
      </c>
      <c r="F80" s="64">
        <v>4.04</v>
      </c>
      <c r="G80" s="64">
        <v>66.400000000000006</v>
      </c>
      <c r="H80" s="64">
        <v>10.06</v>
      </c>
      <c r="I80" s="64">
        <v>4.99</v>
      </c>
      <c r="J80" s="64">
        <v>0.22</v>
      </c>
      <c r="K80" s="64">
        <v>73</v>
      </c>
      <c r="L80" s="64">
        <v>20.11</v>
      </c>
      <c r="M80" s="64">
        <v>39.81</v>
      </c>
      <c r="N80" s="64">
        <v>26.1</v>
      </c>
      <c r="O80" s="64">
        <v>0</v>
      </c>
      <c r="P80" s="64">
        <v>0.83</v>
      </c>
      <c r="Q80" s="64">
        <v>9.64</v>
      </c>
      <c r="R80" s="196"/>
      <c r="S80" s="196"/>
      <c r="T80" s="196"/>
      <c r="U80" s="196"/>
    </row>
    <row r="81" spans="1:26" s="12" customFormat="1" x14ac:dyDescent="0.25">
      <c r="A81" s="211" t="s">
        <v>1951</v>
      </c>
      <c r="B81" s="64">
        <v>10.96</v>
      </c>
      <c r="C81" s="64">
        <v>56.26</v>
      </c>
      <c r="D81" s="64">
        <v>36.81</v>
      </c>
      <c r="E81" s="64">
        <v>7.15</v>
      </c>
      <c r="F81" s="64">
        <v>3.98</v>
      </c>
      <c r="G81" s="64">
        <v>69.3</v>
      </c>
      <c r="H81" s="64">
        <v>25.63</v>
      </c>
      <c r="I81" s="64">
        <v>5.16</v>
      </c>
      <c r="J81" s="64">
        <v>0.45</v>
      </c>
      <c r="K81" s="64">
        <v>13.71</v>
      </c>
      <c r="L81" s="64">
        <v>19.670000000000002</v>
      </c>
      <c r="M81" s="64">
        <v>42.27</v>
      </c>
      <c r="N81" s="64">
        <v>26</v>
      </c>
      <c r="O81" s="64">
        <v>0</v>
      </c>
      <c r="P81" s="64">
        <v>0.9</v>
      </c>
      <c r="Q81" s="64">
        <v>9.6300000000000008</v>
      </c>
      <c r="R81" s="196"/>
      <c r="S81" s="196"/>
      <c r="T81" s="196"/>
      <c r="U81" s="196"/>
    </row>
    <row r="82" spans="1:26" s="12" customFormat="1" x14ac:dyDescent="0.25">
      <c r="A82" s="211" t="s">
        <v>1952</v>
      </c>
      <c r="B82" s="64">
        <v>12.81</v>
      </c>
      <c r="C82" s="64">
        <v>55.98</v>
      </c>
      <c r="D82" s="64">
        <v>38.15</v>
      </c>
      <c r="E82" s="64">
        <v>6.97</v>
      </c>
      <c r="F82" s="64">
        <v>3.99</v>
      </c>
      <c r="G82" s="64">
        <v>88.15</v>
      </c>
      <c r="H82" s="209" t="s">
        <v>42</v>
      </c>
      <c r="I82" s="64">
        <v>5.25</v>
      </c>
      <c r="J82" s="64">
        <v>0.66</v>
      </c>
      <c r="K82" s="64">
        <v>346.94</v>
      </c>
      <c r="L82" s="64">
        <v>19.329999999999998</v>
      </c>
      <c r="M82" s="64">
        <v>44.68</v>
      </c>
      <c r="N82" s="64">
        <v>26</v>
      </c>
      <c r="O82" s="64">
        <v>0</v>
      </c>
      <c r="P82" s="64">
        <v>0.96</v>
      </c>
      <c r="Q82" s="64">
        <v>9.64</v>
      </c>
      <c r="R82" s="196"/>
      <c r="S82" s="196"/>
      <c r="T82" s="196"/>
      <c r="U82" s="196"/>
    </row>
    <row r="83" spans="1:26" s="12" customFormat="1" x14ac:dyDescent="0.25">
      <c r="A83" s="211" t="s">
        <v>1953</v>
      </c>
      <c r="B83" s="64">
        <v>15.53</v>
      </c>
      <c r="C83" s="64">
        <v>55.89</v>
      </c>
      <c r="D83" s="64">
        <v>40.28</v>
      </c>
      <c r="E83" s="64">
        <v>6.78</v>
      </c>
      <c r="F83" s="64">
        <v>3.65</v>
      </c>
      <c r="G83" s="64">
        <v>88.15</v>
      </c>
      <c r="H83" s="209" t="s">
        <v>42</v>
      </c>
      <c r="I83" s="64">
        <v>5.43</v>
      </c>
      <c r="J83" s="64">
        <v>0.68</v>
      </c>
      <c r="K83" s="64">
        <v>343.13</v>
      </c>
      <c r="L83" s="64">
        <v>19.07</v>
      </c>
      <c r="M83" s="64">
        <v>45.33</v>
      </c>
      <c r="N83" s="64">
        <v>25.7</v>
      </c>
      <c r="O83" s="64">
        <v>0</v>
      </c>
      <c r="P83" s="64">
        <v>1.05</v>
      </c>
      <c r="Q83" s="64">
        <v>9.6199999999999992</v>
      </c>
      <c r="R83" s="196"/>
      <c r="S83" s="196"/>
      <c r="T83" s="196"/>
      <c r="U83" s="196"/>
    </row>
    <row r="84" spans="1:26" s="12" customFormat="1" x14ac:dyDescent="0.25">
      <c r="A84" s="211" t="s">
        <v>1954</v>
      </c>
      <c r="B84" s="64">
        <v>18.25</v>
      </c>
      <c r="C84" s="64">
        <v>55.98</v>
      </c>
      <c r="D84" s="64">
        <v>42.51</v>
      </c>
      <c r="E84" s="64">
        <v>7.04</v>
      </c>
      <c r="F84" s="64">
        <v>4.1100000000000003</v>
      </c>
      <c r="G84" s="64">
        <v>88.15</v>
      </c>
      <c r="H84" s="209" t="s">
        <v>42</v>
      </c>
      <c r="I84" s="64">
        <v>5.44</v>
      </c>
      <c r="J84" s="64">
        <v>0.34</v>
      </c>
      <c r="K84" s="64">
        <v>350.3</v>
      </c>
      <c r="L84" s="64">
        <v>18.82</v>
      </c>
      <c r="M84" s="64">
        <v>46.18</v>
      </c>
      <c r="N84" s="64">
        <v>26</v>
      </c>
      <c r="O84" s="64">
        <v>0</v>
      </c>
      <c r="P84" s="64">
        <v>1.1100000000000001</v>
      </c>
      <c r="Q84" s="64">
        <v>9.6300000000000008</v>
      </c>
      <c r="R84" s="196"/>
      <c r="S84" s="196"/>
      <c r="T84" s="196"/>
      <c r="U84" s="196"/>
    </row>
    <row r="85" spans="1:26" s="12" customFormat="1" x14ac:dyDescent="0.25">
      <c r="A85" s="211" t="s">
        <v>1955</v>
      </c>
      <c r="B85" s="64">
        <v>20.41</v>
      </c>
      <c r="C85" s="64">
        <v>55.02</v>
      </c>
      <c r="D85" s="64">
        <v>43.74</v>
      </c>
      <c r="E85" s="64">
        <v>6.81</v>
      </c>
      <c r="F85" s="64">
        <v>3.94</v>
      </c>
      <c r="G85" s="64">
        <v>89.32</v>
      </c>
      <c r="H85" s="209" t="s">
        <v>42</v>
      </c>
      <c r="I85" s="64">
        <v>5.87</v>
      </c>
      <c r="J85" s="64">
        <v>0.41</v>
      </c>
      <c r="K85" s="64">
        <v>90.56</v>
      </c>
      <c r="L85" s="64">
        <v>18.64</v>
      </c>
      <c r="M85" s="64">
        <v>46.51</v>
      </c>
      <c r="N85" s="64">
        <v>25.9</v>
      </c>
      <c r="O85" s="64">
        <v>0</v>
      </c>
      <c r="P85" s="64">
        <v>1.3</v>
      </c>
      <c r="Q85" s="64">
        <v>9.6199999999999992</v>
      </c>
      <c r="R85" s="196"/>
      <c r="S85" s="196"/>
      <c r="T85" s="196"/>
      <c r="U85" s="196"/>
    </row>
    <row r="86" spans="1:26" s="12" customFormat="1" x14ac:dyDescent="0.25">
      <c r="A86" s="211" t="s">
        <v>1956</v>
      </c>
      <c r="B86" s="64">
        <v>21.03</v>
      </c>
      <c r="C86" s="64">
        <v>53.09</v>
      </c>
      <c r="D86" s="64">
        <v>43.22</v>
      </c>
      <c r="E86" s="64">
        <v>6.7</v>
      </c>
      <c r="F86" s="64">
        <v>3.86</v>
      </c>
      <c r="G86" s="64">
        <v>96.96</v>
      </c>
      <c r="H86" s="64">
        <v>55.32</v>
      </c>
      <c r="I86" s="64">
        <v>5.97</v>
      </c>
      <c r="J86" s="64">
        <v>0.39</v>
      </c>
      <c r="K86" s="64">
        <v>119.45</v>
      </c>
      <c r="L86" s="64">
        <v>18.5</v>
      </c>
      <c r="M86" s="64">
        <v>46.88</v>
      </c>
      <c r="N86" s="64">
        <v>25.9</v>
      </c>
      <c r="O86" s="64">
        <v>0</v>
      </c>
      <c r="P86" s="64">
        <v>1.28</v>
      </c>
      <c r="Q86" s="64">
        <v>9.6300000000000008</v>
      </c>
      <c r="R86" s="196"/>
      <c r="S86" s="196"/>
      <c r="T86" s="196"/>
      <c r="U86" s="196"/>
    </row>
    <row r="87" spans="1:26" s="12" customFormat="1" x14ac:dyDescent="0.25">
      <c r="A87" s="211" t="s">
        <v>1957</v>
      </c>
      <c r="B87" s="64">
        <v>21.43</v>
      </c>
      <c r="C87" s="64">
        <v>52</v>
      </c>
      <c r="D87" s="64">
        <v>42.98</v>
      </c>
      <c r="E87" s="64">
        <v>6.82</v>
      </c>
      <c r="F87" s="64">
        <v>3.71</v>
      </c>
      <c r="G87" s="64">
        <v>96.96</v>
      </c>
      <c r="H87" s="64">
        <v>55.32</v>
      </c>
      <c r="I87" s="64">
        <v>6.15</v>
      </c>
      <c r="J87" s="64">
        <v>0.17</v>
      </c>
      <c r="K87" s="64">
        <v>352.24</v>
      </c>
      <c r="L87" s="64">
        <v>18.239999999999998</v>
      </c>
      <c r="M87" s="64">
        <v>49.23</v>
      </c>
      <c r="N87" s="64">
        <v>25.8</v>
      </c>
      <c r="O87" s="64">
        <v>0</v>
      </c>
      <c r="P87" s="64">
        <v>1.21</v>
      </c>
      <c r="Q87" s="64">
        <v>9.65</v>
      </c>
      <c r="R87" s="196"/>
      <c r="S87" s="196"/>
      <c r="T87" s="196"/>
      <c r="U87" s="196"/>
    </row>
    <row r="88" spans="1:26" s="12" customFormat="1" x14ac:dyDescent="0.25">
      <c r="A88" s="211" t="s">
        <v>1958</v>
      </c>
      <c r="B88" s="64">
        <v>22.16</v>
      </c>
      <c r="C88" s="64">
        <v>50.9</v>
      </c>
      <c r="D88" s="64">
        <v>42.99</v>
      </c>
      <c r="E88" s="64">
        <v>7.72</v>
      </c>
      <c r="F88" s="64">
        <v>3.87</v>
      </c>
      <c r="G88" s="64">
        <v>96.96</v>
      </c>
      <c r="H88" s="64">
        <v>55.32</v>
      </c>
      <c r="I88" s="64">
        <v>6.03</v>
      </c>
      <c r="J88" s="64">
        <v>0.41</v>
      </c>
      <c r="K88" s="64">
        <v>308.55</v>
      </c>
      <c r="L88" s="64">
        <v>17.89</v>
      </c>
      <c r="M88" s="64">
        <v>52.85</v>
      </c>
      <c r="N88" s="64">
        <v>26</v>
      </c>
      <c r="O88" s="64">
        <v>0</v>
      </c>
      <c r="P88" s="64">
        <v>1.35</v>
      </c>
      <c r="Q88" s="64">
        <v>9.65</v>
      </c>
      <c r="R88" s="196"/>
      <c r="S88" s="196"/>
      <c r="T88" s="196"/>
      <c r="U88" s="196"/>
    </row>
    <row r="89" spans="1:26" s="12" customFormat="1" x14ac:dyDescent="0.25">
      <c r="A89" s="211" t="s">
        <v>1959</v>
      </c>
      <c r="B89" s="64">
        <v>23.51</v>
      </c>
      <c r="C89" s="64">
        <v>49.97</v>
      </c>
      <c r="D89" s="64">
        <v>43.59</v>
      </c>
      <c r="E89" s="64">
        <v>7.84</v>
      </c>
      <c r="F89" s="64">
        <v>3.78</v>
      </c>
      <c r="G89" s="64">
        <v>97.81</v>
      </c>
      <c r="H89" s="64">
        <v>52.7</v>
      </c>
      <c r="I89" s="64">
        <v>5.83</v>
      </c>
      <c r="J89" s="64">
        <v>0.59</v>
      </c>
      <c r="K89" s="64">
        <v>322.11</v>
      </c>
      <c r="L89" s="64">
        <v>17.36</v>
      </c>
      <c r="M89" s="64">
        <v>57.31</v>
      </c>
      <c r="N89" s="64">
        <v>25.9</v>
      </c>
      <c r="O89" s="64">
        <v>0</v>
      </c>
      <c r="P89" s="64">
        <v>1.74</v>
      </c>
      <c r="Q89" s="64">
        <v>9.64</v>
      </c>
      <c r="R89" s="196"/>
      <c r="S89" s="196"/>
      <c r="T89" s="196"/>
      <c r="U89" s="196"/>
    </row>
    <row r="90" spans="1:26" s="12" customFormat="1" x14ac:dyDescent="0.25">
      <c r="A90" s="211" t="s">
        <v>1960</v>
      </c>
      <c r="B90" s="64">
        <v>25.28</v>
      </c>
      <c r="C90" s="64">
        <v>49.19</v>
      </c>
      <c r="D90" s="64">
        <v>44.6</v>
      </c>
      <c r="E90" s="64">
        <v>7.42</v>
      </c>
      <c r="F90" s="64">
        <v>3.56</v>
      </c>
      <c r="G90" s="64">
        <v>103.36</v>
      </c>
      <c r="H90" s="64">
        <v>39.409999999999997</v>
      </c>
      <c r="I90" s="64">
        <v>6.51</v>
      </c>
      <c r="J90" s="64">
        <v>0.12</v>
      </c>
      <c r="K90" s="64">
        <v>356.19</v>
      </c>
      <c r="L90" s="64">
        <v>17.579999999999998</v>
      </c>
      <c r="M90" s="64">
        <v>52.34</v>
      </c>
      <c r="N90" s="64">
        <v>25.3</v>
      </c>
      <c r="O90" s="64">
        <v>0</v>
      </c>
      <c r="P90" s="64">
        <v>1.28</v>
      </c>
      <c r="Q90" s="64">
        <v>9.65</v>
      </c>
      <c r="R90" s="196"/>
      <c r="S90" s="196"/>
      <c r="T90" s="196"/>
      <c r="U90" s="196"/>
    </row>
    <row r="91" spans="1:26" s="12" customFormat="1" x14ac:dyDescent="0.25">
      <c r="A91" s="211" t="s">
        <v>1961</v>
      </c>
      <c r="B91" s="64">
        <v>25.51</v>
      </c>
      <c r="C91" s="64">
        <v>48.4</v>
      </c>
      <c r="D91" s="64">
        <v>44.37</v>
      </c>
      <c r="E91" s="64">
        <v>7.38</v>
      </c>
      <c r="F91" s="64">
        <v>3.52</v>
      </c>
      <c r="G91" s="64">
        <v>103.36</v>
      </c>
      <c r="H91" s="64">
        <v>39.409999999999997</v>
      </c>
      <c r="I91" s="64">
        <v>7.38</v>
      </c>
      <c r="J91" s="64">
        <v>0.9</v>
      </c>
      <c r="K91" s="64">
        <v>123.48</v>
      </c>
      <c r="L91" s="64">
        <v>18.190000000000001</v>
      </c>
      <c r="M91" s="64">
        <v>49.3</v>
      </c>
      <c r="N91" s="64">
        <v>24.8</v>
      </c>
      <c r="O91" s="64">
        <v>0</v>
      </c>
      <c r="P91" s="64">
        <v>1.1499999999999999</v>
      </c>
      <c r="Q91" s="64">
        <v>9.64</v>
      </c>
      <c r="R91" s="196"/>
      <c r="S91" s="196"/>
      <c r="T91" s="196"/>
      <c r="U91" s="196"/>
    </row>
    <row r="92" spans="1:26" s="12" customFormat="1" x14ac:dyDescent="0.25">
      <c r="A92" s="211" t="s">
        <v>1962</v>
      </c>
      <c r="B92" s="64">
        <v>24.92</v>
      </c>
      <c r="C92" s="64">
        <v>47.7</v>
      </c>
      <c r="D92" s="64">
        <v>43.53</v>
      </c>
      <c r="E92" s="64">
        <v>7.13</v>
      </c>
      <c r="F92" s="64">
        <v>3.13</v>
      </c>
      <c r="G92" s="64">
        <v>103.36</v>
      </c>
      <c r="H92" s="64">
        <v>39.409999999999997</v>
      </c>
      <c r="I92" s="64">
        <v>6.56</v>
      </c>
      <c r="J92" s="64">
        <v>0.98</v>
      </c>
      <c r="K92" s="64">
        <v>112.98</v>
      </c>
      <c r="L92" s="64">
        <v>18.28</v>
      </c>
      <c r="M92" s="64">
        <v>49.31</v>
      </c>
      <c r="N92" s="64">
        <v>25</v>
      </c>
      <c r="O92" s="64">
        <v>0</v>
      </c>
      <c r="P92" s="64">
        <v>1.21</v>
      </c>
      <c r="Q92" s="64">
        <v>9.64</v>
      </c>
      <c r="R92" s="196"/>
      <c r="S92" s="196"/>
      <c r="T92" s="196"/>
      <c r="U92" s="196"/>
    </row>
    <row r="93" spans="1:26" s="12" customFormat="1" x14ac:dyDescent="0.25">
      <c r="A93" s="211" t="s">
        <v>1963</v>
      </c>
      <c r="B93" s="64">
        <v>23.95</v>
      </c>
      <c r="C93" s="64">
        <v>48.3</v>
      </c>
      <c r="D93" s="64">
        <v>43.07</v>
      </c>
      <c r="E93" s="64">
        <v>7.25</v>
      </c>
      <c r="F93" s="64">
        <v>2.76</v>
      </c>
      <c r="G93" s="64">
        <v>102.81</v>
      </c>
      <c r="H93" s="64">
        <v>40.39</v>
      </c>
      <c r="I93" s="64">
        <v>6.06</v>
      </c>
      <c r="J93" s="64">
        <v>0.08</v>
      </c>
      <c r="K93" s="64">
        <v>267.37</v>
      </c>
      <c r="L93" s="64">
        <v>18.149999999999999</v>
      </c>
      <c r="M93" s="64">
        <v>50.01</v>
      </c>
      <c r="N93" s="64">
        <v>25.9</v>
      </c>
      <c r="O93" s="64">
        <v>0</v>
      </c>
      <c r="P93" s="64">
        <v>1.24</v>
      </c>
      <c r="Q93" s="64">
        <v>9.65</v>
      </c>
      <c r="R93" s="196"/>
      <c r="S93" s="196"/>
      <c r="T93" s="196"/>
      <c r="U93" s="196"/>
    </row>
    <row r="94" spans="1:26" s="12" customFormat="1" x14ac:dyDescent="0.25">
      <c r="A94" s="211" t="s">
        <v>1964</v>
      </c>
      <c r="B94" s="64">
        <v>22.72</v>
      </c>
      <c r="C94" s="64">
        <v>48.83</v>
      </c>
      <c r="D94" s="64">
        <v>42.35</v>
      </c>
      <c r="E94" s="64">
        <v>7.37</v>
      </c>
      <c r="F94" s="64">
        <v>3.73</v>
      </c>
      <c r="G94" s="64">
        <v>99.2</v>
      </c>
      <c r="H94" s="64">
        <v>45.9</v>
      </c>
      <c r="I94" s="64">
        <v>6.56</v>
      </c>
      <c r="J94" s="64">
        <v>0.32</v>
      </c>
      <c r="K94" s="64">
        <v>110.15</v>
      </c>
      <c r="L94" s="64">
        <v>17.72</v>
      </c>
      <c r="M94" s="64">
        <v>51.98</v>
      </c>
      <c r="N94" s="64">
        <v>25.5</v>
      </c>
      <c r="O94" s="64">
        <v>0</v>
      </c>
      <c r="P94" s="64">
        <v>1.21</v>
      </c>
      <c r="Q94" s="64">
        <v>9.64</v>
      </c>
      <c r="R94" s="196"/>
      <c r="S94" s="196"/>
      <c r="T94" s="196"/>
      <c r="U94" s="196"/>
    </row>
    <row r="95" spans="1:26" s="12" customFormat="1" x14ac:dyDescent="0.25">
      <c r="A95" s="211" t="s">
        <v>1965</v>
      </c>
      <c r="B95" s="64">
        <v>21.79</v>
      </c>
      <c r="C95" s="64">
        <v>49.46</v>
      </c>
      <c r="D95" s="64">
        <v>41.94</v>
      </c>
      <c r="E95" s="64">
        <v>7.23</v>
      </c>
      <c r="F95" s="64">
        <v>4.3499999999999996</v>
      </c>
      <c r="G95" s="64">
        <v>99.2</v>
      </c>
      <c r="H95" s="64">
        <v>45.9</v>
      </c>
      <c r="I95" s="64">
        <v>7.28</v>
      </c>
      <c r="J95" s="64">
        <v>0.13</v>
      </c>
      <c r="K95" s="64">
        <v>334.84</v>
      </c>
      <c r="L95" s="64">
        <v>17.97</v>
      </c>
      <c r="M95" s="64">
        <v>50.68</v>
      </c>
      <c r="N95" s="64">
        <v>25.6</v>
      </c>
      <c r="O95" s="64">
        <v>0</v>
      </c>
      <c r="P95" s="64">
        <v>1.2</v>
      </c>
      <c r="Q95" s="64">
        <v>9.65</v>
      </c>
      <c r="R95" s="196"/>
      <c r="S95" s="196"/>
      <c r="T95" s="196"/>
      <c r="U95" s="196"/>
    </row>
    <row r="96" spans="1:26" s="12" customFormat="1" x14ac:dyDescent="0.25">
      <c r="A96" s="211" t="s">
        <v>1966</v>
      </c>
      <c r="B96" s="64">
        <v>22.01</v>
      </c>
      <c r="C96" s="64">
        <v>50.62</v>
      </c>
      <c r="D96" s="64">
        <v>42.72</v>
      </c>
      <c r="E96" s="64">
        <v>6.96</v>
      </c>
      <c r="F96" s="64">
        <v>4.0599999999999996</v>
      </c>
      <c r="G96" s="64">
        <v>99.2</v>
      </c>
      <c r="H96" s="64">
        <v>45.9</v>
      </c>
      <c r="I96" s="64">
        <v>7.18</v>
      </c>
      <c r="J96" s="64">
        <v>0.14000000000000001</v>
      </c>
      <c r="K96" s="64">
        <v>233.12</v>
      </c>
      <c r="L96" s="64">
        <v>17.28</v>
      </c>
      <c r="M96" s="64">
        <v>54.22</v>
      </c>
      <c r="N96" s="64">
        <v>26.2</v>
      </c>
      <c r="O96" s="64">
        <v>0</v>
      </c>
      <c r="P96" s="64">
        <v>1.21</v>
      </c>
      <c r="Q96" s="64">
        <v>9.66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1967</v>
      </c>
      <c r="B97" s="64">
        <v>23.91</v>
      </c>
      <c r="C97" s="64">
        <v>51.75</v>
      </c>
      <c r="D97" s="64">
        <v>44.83</v>
      </c>
      <c r="E97" s="64">
        <v>6.88</v>
      </c>
      <c r="F97" s="64">
        <v>3.79</v>
      </c>
      <c r="G97" s="64">
        <v>98.64</v>
      </c>
      <c r="H97" s="64">
        <v>44.24</v>
      </c>
      <c r="I97" s="64">
        <v>7.24</v>
      </c>
      <c r="J97" s="64">
        <v>0.19</v>
      </c>
      <c r="K97" s="64">
        <v>270.44</v>
      </c>
      <c r="L97" s="64">
        <v>16.46</v>
      </c>
      <c r="M97" s="64">
        <v>58.59</v>
      </c>
      <c r="N97" s="64">
        <v>26.1</v>
      </c>
      <c r="O97" s="64">
        <v>0</v>
      </c>
      <c r="P97" s="64">
        <v>1.26</v>
      </c>
      <c r="Q97" s="64">
        <v>9.65</v>
      </c>
      <c r="R97" s="196"/>
      <c r="S97" s="196"/>
      <c r="T97" s="196"/>
      <c r="U97" s="196"/>
    </row>
    <row r="98" spans="1:33" s="12" customFormat="1" x14ac:dyDescent="0.25">
      <c r="A98" s="211" t="s">
        <v>1968</v>
      </c>
      <c r="B98" s="64">
        <v>28.87</v>
      </c>
      <c r="C98" s="64">
        <v>52.76</v>
      </c>
      <c r="D98" s="64">
        <v>49.34</v>
      </c>
      <c r="E98" s="64">
        <v>7.06</v>
      </c>
      <c r="F98" s="64">
        <v>3.83</v>
      </c>
      <c r="G98" s="64">
        <v>94.96</v>
      </c>
      <c r="H98" s="64">
        <v>35.92</v>
      </c>
      <c r="I98" s="64">
        <v>7.28</v>
      </c>
      <c r="J98" s="64">
        <v>0.53</v>
      </c>
      <c r="K98" s="64">
        <v>326.18</v>
      </c>
      <c r="L98" s="64">
        <v>16.04</v>
      </c>
      <c r="M98" s="64">
        <v>63.87</v>
      </c>
      <c r="N98" s="64">
        <v>26.3</v>
      </c>
      <c r="O98" s="64">
        <v>0</v>
      </c>
      <c r="P98" s="64">
        <v>1.26</v>
      </c>
      <c r="Q98" s="64">
        <v>9.66</v>
      </c>
      <c r="R98" s="196"/>
      <c r="S98" s="196"/>
      <c r="T98" s="196"/>
      <c r="U98" s="196"/>
    </row>
    <row r="99" spans="1:33" s="12" customFormat="1" x14ac:dyDescent="0.25">
      <c r="A99" s="211" t="s">
        <v>1969</v>
      </c>
      <c r="B99" s="64">
        <v>36.31</v>
      </c>
      <c r="C99" s="64">
        <v>53.59</v>
      </c>
      <c r="D99" s="64">
        <v>55.74</v>
      </c>
      <c r="E99" s="64">
        <v>7.6</v>
      </c>
      <c r="F99" s="64">
        <v>3.66</v>
      </c>
      <c r="G99" s="64">
        <v>94.96</v>
      </c>
      <c r="H99" s="64">
        <v>35.92</v>
      </c>
      <c r="I99" s="64">
        <v>6.84</v>
      </c>
      <c r="J99" s="64">
        <v>0.49</v>
      </c>
      <c r="K99" s="64">
        <v>313.56</v>
      </c>
      <c r="L99" s="64">
        <v>15.48</v>
      </c>
      <c r="M99" s="64">
        <v>68.59</v>
      </c>
      <c r="N99" s="64">
        <v>26</v>
      </c>
      <c r="O99" s="64">
        <v>0</v>
      </c>
      <c r="P99" s="64">
        <v>1.31</v>
      </c>
      <c r="Q99" s="64">
        <v>9.68</v>
      </c>
      <c r="R99" s="196"/>
      <c r="S99" s="196"/>
      <c r="T99" s="196"/>
      <c r="U99" s="196"/>
    </row>
    <row r="100" spans="1:33" s="12" customFormat="1" x14ac:dyDescent="0.25">
      <c r="A100" s="211" t="s">
        <v>1970</v>
      </c>
      <c r="B100" s="64">
        <v>43.25</v>
      </c>
      <c r="C100" s="64">
        <v>54.03</v>
      </c>
      <c r="D100" s="64">
        <v>61.54</v>
      </c>
      <c r="E100" s="64">
        <v>7.5</v>
      </c>
      <c r="F100" s="64">
        <v>4.13</v>
      </c>
      <c r="G100" s="64">
        <v>94.96</v>
      </c>
      <c r="H100" s="64">
        <v>35.92</v>
      </c>
      <c r="I100" s="64">
        <v>6.72</v>
      </c>
      <c r="J100" s="64">
        <v>0.36</v>
      </c>
      <c r="K100" s="64">
        <v>277.45</v>
      </c>
      <c r="L100" s="64">
        <v>15.2</v>
      </c>
      <c r="M100" s="64">
        <v>71.33</v>
      </c>
      <c r="N100" s="64">
        <v>26</v>
      </c>
      <c r="O100" s="64">
        <v>0</v>
      </c>
      <c r="P100" s="64">
        <v>1.35</v>
      </c>
      <c r="Q100" s="64">
        <v>9.66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1971</v>
      </c>
      <c r="B101" s="64">
        <v>47.98</v>
      </c>
      <c r="C101" s="64">
        <v>54.38</v>
      </c>
      <c r="D101" s="64">
        <v>65.510000000000005</v>
      </c>
      <c r="E101" s="64">
        <v>7.55</v>
      </c>
      <c r="F101" s="64">
        <v>3.86</v>
      </c>
      <c r="G101" s="64">
        <v>96.54</v>
      </c>
      <c r="H101" s="64">
        <v>39.58</v>
      </c>
      <c r="I101" s="64">
        <v>6.76</v>
      </c>
      <c r="J101" s="64">
        <v>0.46</v>
      </c>
      <c r="K101" s="64">
        <v>286.13</v>
      </c>
      <c r="L101" s="64">
        <v>15.07</v>
      </c>
      <c r="M101" s="64">
        <v>72.790000000000006</v>
      </c>
      <c r="N101" s="64">
        <v>26</v>
      </c>
      <c r="O101" s="64">
        <v>0</v>
      </c>
      <c r="P101" s="64">
        <v>1.37</v>
      </c>
      <c r="Q101" s="64">
        <v>9.65</v>
      </c>
      <c r="R101" s="196"/>
      <c r="S101" s="196"/>
      <c r="T101" s="196"/>
      <c r="U101" s="196"/>
    </row>
    <row r="102" spans="1:33" s="12" customFormat="1" x14ac:dyDescent="0.25">
      <c r="A102" s="211" t="s">
        <v>1972</v>
      </c>
      <c r="B102" s="64">
        <v>52.13</v>
      </c>
      <c r="C102" s="64">
        <v>52.5</v>
      </c>
      <c r="D102" s="64">
        <v>67.86</v>
      </c>
      <c r="E102" s="64">
        <v>7.4</v>
      </c>
      <c r="F102" s="64">
        <v>3.57</v>
      </c>
      <c r="G102" s="64">
        <v>106.83</v>
      </c>
      <c r="H102" s="64">
        <v>58.18</v>
      </c>
      <c r="I102" s="64">
        <v>6.78</v>
      </c>
      <c r="J102" s="64">
        <v>0.37</v>
      </c>
      <c r="K102" s="64">
        <v>298.94</v>
      </c>
      <c r="L102" s="64">
        <v>15.12</v>
      </c>
      <c r="M102" s="64">
        <v>72.36</v>
      </c>
      <c r="N102" s="64">
        <v>25.8</v>
      </c>
      <c r="O102" s="64">
        <v>0</v>
      </c>
      <c r="P102" s="64">
        <v>1.4</v>
      </c>
      <c r="Q102" s="64">
        <v>9.64</v>
      </c>
      <c r="R102" s="196"/>
      <c r="S102" s="196"/>
      <c r="T102" s="196"/>
      <c r="U102" s="196"/>
    </row>
    <row r="103" spans="1:33" s="12" customFormat="1" x14ac:dyDescent="0.25">
      <c r="A103" s="211" t="s">
        <v>1973</v>
      </c>
      <c r="B103" s="64">
        <v>56.14</v>
      </c>
      <c r="C103" s="64">
        <v>51.13</v>
      </c>
      <c r="D103" s="64">
        <v>70.36</v>
      </c>
      <c r="E103" s="64">
        <v>7.25</v>
      </c>
      <c r="F103" s="64">
        <v>3.55</v>
      </c>
      <c r="G103" s="64">
        <v>106.83</v>
      </c>
      <c r="H103" s="64">
        <v>58.18</v>
      </c>
      <c r="I103" s="64">
        <v>6.65</v>
      </c>
      <c r="J103" s="64">
        <v>0.33</v>
      </c>
      <c r="K103" s="64">
        <v>250.4</v>
      </c>
      <c r="L103" s="64">
        <v>14.82</v>
      </c>
      <c r="M103" s="64">
        <v>75.02</v>
      </c>
      <c r="N103" s="64">
        <v>25.6</v>
      </c>
      <c r="O103" s="64">
        <v>0</v>
      </c>
      <c r="P103" s="64">
        <v>1.49</v>
      </c>
      <c r="Q103" s="64">
        <v>9.65</v>
      </c>
      <c r="R103" s="196"/>
      <c r="S103" s="196"/>
      <c r="T103" s="196"/>
      <c r="U103" s="196"/>
    </row>
    <row r="104" spans="1:33" s="12" customFormat="1" x14ac:dyDescent="0.25">
      <c r="A104" s="211" t="s">
        <v>1974</v>
      </c>
      <c r="B104" s="64">
        <v>60.67</v>
      </c>
      <c r="C104" s="64">
        <v>50.47</v>
      </c>
      <c r="D104" s="64">
        <v>73.64</v>
      </c>
      <c r="E104" s="64">
        <v>6.34</v>
      </c>
      <c r="F104" s="64">
        <v>3.51</v>
      </c>
      <c r="G104" s="64">
        <v>106.83</v>
      </c>
      <c r="H104" s="64">
        <v>58.18</v>
      </c>
      <c r="I104" s="64">
        <v>6.58</v>
      </c>
      <c r="J104" s="64">
        <v>0.39</v>
      </c>
      <c r="K104" s="64">
        <v>304.58999999999997</v>
      </c>
      <c r="L104" s="64">
        <v>15.11</v>
      </c>
      <c r="M104" s="64">
        <v>75.48</v>
      </c>
      <c r="N104" s="64">
        <v>25.5</v>
      </c>
      <c r="O104" s="64">
        <v>0</v>
      </c>
      <c r="P104" s="64">
        <v>1.48</v>
      </c>
      <c r="Q104" s="64">
        <v>9.64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2.61</v>
      </c>
      <c r="C106" s="67">
        <f>MIN(C9:C104)</f>
        <v>34.200000000000003</v>
      </c>
      <c r="D106" s="67">
        <f t="shared" ref="D106:Q106" si="0">MIN(D9:D104)</f>
        <v>25.04</v>
      </c>
      <c r="E106" s="67">
        <f t="shared" si="0"/>
        <v>4.87</v>
      </c>
      <c r="F106" s="67">
        <f t="shared" si="0"/>
        <v>2.76</v>
      </c>
      <c r="G106" s="67">
        <f t="shared" si="0"/>
        <v>6.84</v>
      </c>
      <c r="H106" s="67">
        <f t="shared" si="0"/>
        <v>2.87</v>
      </c>
      <c r="I106" s="67">
        <f t="shared" si="0"/>
        <v>2.34</v>
      </c>
      <c r="J106" s="67">
        <f t="shared" si="0"/>
        <v>0.01</v>
      </c>
      <c r="K106" s="67">
        <f t="shared" si="0"/>
        <v>0.13</v>
      </c>
      <c r="L106" s="67">
        <f t="shared" si="0"/>
        <v>12.42</v>
      </c>
      <c r="M106" s="67">
        <f t="shared" si="0"/>
        <v>24.74</v>
      </c>
      <c r="N106" s="67">
        <f t="shared" si="0"/>
        <v>24.8</v>
      </c>
      <c r="O106" s="67">
        <f t="shared" si="0"/>
        <v>0</v>
      </c>
      <c r="P106" s="67">
        <f t="shared" si="0"/>
        <v>0.55000000000000004</v>
      </c>
      <c r="Q106" s="67">
        <f t="shared" si="0"/>
        <v>9.61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104.5</v>
      </c>
      <c r="C107" s="66">
        <f t="shared" ref="C107:Q107" si="1">MAX(C9:C104)</f>
        <v>63.46</v>
      </c>
      <c r="D107" s="66">
        <f t="shared" si="1"/>
        <v>104.72</v>
      </c>
      <c r="E107" s="66">
        <f t="shared" si="1"/>
        <v>21.67</v>
      </c>
      <c r="F107" s="66">
        <f t="shared" si="1"/>
        <v>20.87</v>
      </c>
      <c r="G107" s="66">
        <f t="shared" si="1"/>
        <v>162.51</v>
      </c>
      <c r="H107" s="66">
        <f t="shared" si="1"/>
        <v>101.93</v>
      </c>
      <c r="I107" s="66">
        <f t="shared" si="1"/>
        <v>9.26</v>
      </c>
      <c r="J107" s="66">
        <f t="shared" si="1"/>
        <v>2.11</v>
      </c>
      <c r="K107" s="66">
        <f t="shared" si="1"/>
        <v>357.18</v>
      </c>
      <c r="L107" s="66">
        <f t="shared" si="1"/>
        <v>26.13</v>
      </c>
      <c r="M107" s="66">
        <f t="shared" si="1"/>
        <v>92.89</v>
      </c>
      <c r="N107" s="66">
        <f t="shared" si="1"/>
        <v>644.29999999999995</v>
      </c>
      <c r="O107" s="66">
        <f t="shared" si="1"/>
        <v>0</v>
      </c>
      <c r="P107" s="66">
        <f t="shared" si="1"/>
        <v>1.84</v>
      </c>
      <c r="Q107" s="66">
        <f t="shared" si="1"/>
        <v>9.6999999999999993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31.725312499999998</v>
      </c>
      <c r="C108" s="67">
        <f t="shared" ref="C108:Q108" si="2">AVERAGE(C9:C104)</f>
        <v>46.612708333333352</v>
      </c>
      <c r="D108" s="67">
        <f t="shared" si="2"/>
        <v>48.418437500000003</v>
      </c>
      <c r="E108" s="67">
        <f t="shared" si="2"/>
        <v>7.1101041666666669</v>
      </c>
      <c r="F108" s="67">
        <f t="shared" si="2"/>
        <v>5.0447916666666677</v>
      </c>
      <c r="G108" s="67">
        <f t="shared" si="2"/>
        <v>103.56141304347825</v>
      </c>
      <c r="H108" s="67">
        <f t="shared" si="2"/>
        <v>48.87583333333334</v>
      </c>
      <c r="I108" s="67">
        <f t="shared" si="2"/>
        <v>6.1064583333333333</v>
      </c>
      <c r="J108" s="67">
        <f t="shared" si="2"/>
        <v>0.56156249999999985</v>
      </c>
      <c r="K108" s="67">
        <f t="shared" si="2"/>
        <v>228.65510416666669</v>
      </c>
      <c r="L108" s="67">
        <f t="shared" si="2"/>
        <v>18.856145833333333</v>
      </c>
      <c r="M108" s="67">
        <f t="shared" si="2"/>
        <v>55.87572916666668</v>
      </c>
      <c r="N108" s="67">
        <f t="shared" si="2"/>
        <v>159.54791666666659</v>
      </c>
      <c r="O108" s="67">
        <f t="shared" si="2"/>
        <v>0</v>
      </c>
      <c r="P108" s="67">
        <f t="shared" si="2"/>
        <v>1.0997916666666661</v>
      </c>
      <c r="Q108" s="67">
        <f t="shared" si="2"/>
        <v>9.6454166666666605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24.590535789763344</v>
      </c>
      <c r="C109" s="67">
        <f t="shared" ref="C109:Q109" si="3">STDEV(C9:C104)</f>
        <v>8.0959893227470658</v>
      </c>
      <c r="D109" s="67">
        <f t="shared" si="3"/>
        <v>17.216006036496495</v>
      </c>
      <c r="E109" s="67">
        <f t="shared" si="3"/>
        <v>1.7431178930396796</v>
      </c>
      <c r="F109" s="67">
        <f t="shared" si="3"/>
        <v>2.5422816023434591</v>
      </c>
      <c r="G109" s="67">
        <f t="shared" si="3"/>
        <v>32.250441195773178</v>
      </c>
      <c r="H109" s="67">
        <f t="shared" si="3"/>
        <v>25.060455587178506</v>
      </c>
      <c r="I109" s="67">
        <f t="shared" si="3"/>
        <v>1.6394215791049818</v>
      </c>
      <c r="J109" s="67">
        <f t="shared" si="3"/>
        <v>0.40579312366096898</v>
      </c>
      <c r="K109" s="67">
        <f t="shared" si="3"/>
        <v>118.60520251298803</v>
      </c>
      <c r="L109" s="67">
        <f t="shared" si="3"/>
        <v>4.5395426084902262</v>
      </c>
      <c r="M109" s="67">
        <f t="shared" si="3"/>
        <v>21.758490695759555</v>
      </c>
      <c r="N109" s="67">
        <f t="shared" si="3"/>
        <v>211.62622858991986</v>
      </c>
      <c r="O109" s="67">
        <f t="shared" si="3"/>
        <v>0</v>
      </c>
      <c r="P109" s="67">
        <f t="shared" si="3"/>
        <v>0.3312273163368637</v>
      </c>
      <c r="Q109" s="67">
        <f t="shared" si="3"/>
        <v>1.8175557135696813E-2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COUNT(H9:H104)+12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1975</v>
      </c>
      <c r="B9" s="64">
        <v>64.650000000000006</v>
      </c>
      <c r="C9" s="64">
        <v>49.51</v>
      </c>
      <c r="D9" s="64">
        <v>76.33</v>
      </c>
      <c r="E9" s="64">
        <v>7</v>
      </c>
      <c r="F9" s="64">
        <v>3.59</v>
      </c>
      <c r="G9" s="64">
        <v>107.59</v>
      </c>
      <c r="H9" s="64">
        <v>57.39</v>
      </c>
      <c r="I9" s="64">
        <v>6.77</v>
      </c>
      <c r="J9" s="64">
        <v>0.49</v>
      </c>
      <c r="K9" s="64">
        <v>289.86</v>
      </c>
      <c r="L9" s="64">
        <v>14.74</v>
      </c>
      <c r="M9" s="64">
        <v>79.59</v>
      </c>
      <c r="N9" s="64">
        <v>25.8</v>
      </c>
      <c r="O9" s="64">
        <v>0</v>
      </c>
      <c r="P9" s="64">
        <v>1.51</v>
      </c>
      <c r="Q9" s="64">
        <v>9.68</v>
      </c>
      <c r="R9" s="196"/>
      <c r="S9" s="196"/>
      <c r="T9" s="196"/>
      <c r="U9" s="196"/>
    </row>
    <row r="10" spans="1:21" s="12" customFormat="1" x14ac:dyDescent="0.25">
      <c r="A10" s="211" t="s">
        <v>1976</v>
      </c>
      <c r="B10" s="64">
        <v>67.73</v>
      </c>
      <c r="C10" s="64">
        <v>48.39</v>
      </c>
      <c r="D10" s="64">
        <v>78.22</v>
      </c>
      <c r="E10" s="64">
        <v>7.67</v>
      </c>
      <c r="F10" s="64">
        <v>4.03</v>
      </c>
      <c r="G10" s="64">
        <v>112.52</v>
      </c>
      <c r="H10" s="64">
        <v>53.41</v>
      </c>
      <c r="I10" s="64">
        <v>7</v>
      </c>
      <c r="J10" s="64">
        <v>0.4</v>
      </c>
      <c r="K10" s="64">
        <v>312.60000000000002</v>
      </c>
      <c r="L10" s="64">
        <v>14.54</v>
      </c>
      <c r="M10" s="64">
        <v>80.77</v>
      </c>
      <c r="N10" s="64">
        <v>25.9</v>
      </c>
      <c r="O10" s="64">
        <v>0</v>
      </c>
      <c r="P10" s="64">
        <v>1.48</v>
      </c>
      <c r="Q10" s="64">
        <v>9.65</v>
      </c>
      <c r="R10" s="196"/>
      <c r="S10" s="196"/>
      <c r="T10" s="196"/>
      <c r="U10" s="196"/>
    </row>
    <row r="11" spans="1:21" s="12" customFormat="1" x14ac:dyDescent="0.25">
      <c r="A11" s="211" t="s">
        <v>1977</v>
      </c>
      <c r="B11" s="64">
        <v>69.89</v>
      </c>
      <c r="C11" s="64">
        <v>47.16</v>
      </c>
      <c r="D11" s="64">
        <v>79.31</v>
      </c>
      <c r="E11" s="64">
        <v>7.62</v>
      </c>
      <c r="F11" s="64">
        <v>4.21</v>
      </c>
      <c r="G11" s="64">
        <v>112.52</v>
      </c>
      <c r="H11" s="64">
        <v>53.41</v>
      </c>
      <c r="I11" s="64">
        <v>7.11</v>
      </c>
      <c r="J11" s="64">
        <v>0.33</v>
      </c>
      <c r="K11" s="64">
        <v>254.5</v>
      </c>
      <c r="L11" s="64">
        <v>14.45</v>
      </c>
      <c r="M11" s="64">
        <v>81.709999999999994</v>
      </c>
      <c r="N11" s="64">
        <v>25.8</v>
      </c>
      <c r="O11" s="64">
        <v>0</v>
      </c>
      <c r="P11" s="64">
        <v>1.5</v>
      </c>
      <c r="Q11" s="64">
        <v>9.64</v>
      </c>
      <c r="R11" s="196"/>
      <c r="S11" s="196"/>
      <c r="T11" s="196"/>
      <c r="U11" s="196"/>
    </row>
    <row r="12" spans="1:21" s="12" customFormat="1" x14ac:dyDescent="0.25">
      <c r="A12" s="211" t="s">
        <v>1978</v>
      </c>
      <c r="B12" s="64">
        <v>70.569999999999993</v>
      </c>
      <c r="C12" s="64">
        <v>45.96</v>
      </c>
      <c r="D12" s="64">
        <v>79.23</v>
      </c>
      <c r="E12" s="64">
        <v>7.14</v>
      </c>
      <c r="F12" s="64">
        <v>3.79</v>
      </c>
      <c r="G12" s="64">
        <v>112.52</v>
      </c>
      <c r="H12" s="64">
        <v>53.41</v>
      </c>
      <c r="I12" s="64">
        <v>7.08</v>
      </c>
      <c r="J12" s="64">
        <v>0.86</v>
      </c>
      <c r="K12" s="64">
        <v>338.23</v>
      </c>
      <c r="L12" s="64">
        <v>14.25</v>
      </c>
      <c r="M12" s="64">
        <v>83.75</v>
      </c>
      <c r="N12" s="64">
        <v>25.1</v>
      </c>
      <c r="O12" s="64">
        <v>0</v>
      </c>
      <c r="P12" s="64">
        <v>1.42</v>
      </c>
      <c r="Q12" s="64">
        <v>9.64</v>
      </c>
      <c r="R12" s="196"/>
      <c r="S12" s="196"/>
      <c r="T12" s="196"/>
      <c r="U12" s="196"/>
    </row>
    <row r="13" spans="1:21" s="12" customFormat="1" x14ac:dyDescent="0.25">
      <c r="A13" s="211" t="s">
        <v>1979</v>
      </c>
      <c r="B13" s="64">
        <v>68.8</v>
      </c>
      <c r="C13" s="64">
        <v>44.82</v>
      </c>
      <c r="D13" s="64">
        <v>77.22</v>
      </c>
      <c r="E13" s="64">
        <v>7.76</v>
      </c>
      <c r="F13" s="64">
        <v>4.45</v>
      </c>
      <c r="G13" s="64">
        <v>112.14</v>
      </c>
      <c r="H13" s="64">
        <v>53.65</v>
      </c>
      <c r="I13" s="64">
        <v>7.07</v>
      </c>
      <c r="J13" s="64">
        <v>0.47</v>
      </c>
      <c r="K13" s="64">
        <v>339.15</v>
      </c>
      <c r="L13" s="64">
        <v>14.45</v>
      </c>
      <c r="M13" s="64">
        <v>75.63</v>
      </c>
      <c r="N13" s="64">
        <v>25.7</v>
      </c>
      <c r="O13" s="64">
        <v>0</v>
      </c>
      <c r="P13" s="64">
        <v>1.32</v>
      </c>
      <c r="Q13" s="64">
        <v>9.66</v>
      </c>
      <c r="R13" s="196"/>
      <c r="S13" s="196"/>
      <c r="T13" s="196"/>
      <c r="U13" s="196"/>
    </row>
    <row r="14" spans="1:21" s="12" customFormat="1" x14ac:dyDescent="0.25">
      <c r="A14" s="211" t="s">
        <v>1980</v>
      </c>
      <c r="B14" s="64">
        <v>65.900000000000006</v>
      </c>
      <c r="C14" s="64">
        <v>44.69</v>
      </c>
      <c r="D14" s="64">
        <v>74.819999999999993</v>
      </c>
      <c r="E14" s="64">
        <v>7.73</v>
      </c>
      <c r="F14" s="64">
        <v>3.82</v>
      </c>
      <c r="G14" s="64">
        <v>109.65</v>
      </c>
      <c r="H14" s="64">
        <v>54.98</v>
      </c>
      <c r="I14" s="64">
        <v>7.18</v>
      </c>
      <c r="J14" s="64">
        <v>0.51</v>
      </c>
      <c r="K14" s="64">
        <v>327.45999999999998</v>
      </c>
      <c r="L14" s="64">
        <v>14.42</v>
      </c>
      <c r="M14" s="64">
        <v>75.38</v>
      </c>
      <c r="N14" s="64">
        <v>25.6</v>
      </c>
      <c r="O14" s="64">
        <v>0</v>
      </c>
      <c r="P14" s="64">
        <v>1.36</v>
      </c>
      <c r="Q14" s="64">
        <v>9.7200000000000006</v>
      </c>
      <c r="R14" s="196"/>
      <c r="S14" s="196"/>
      <c r="T14" s="196"/>
      <c r="U14" s="196"/>
    </row>
    <row r="15" spans="1:21" s="12" customFormat="1" x14ac:dyDescent="0.25">
      <c r="A15" s="211" t="s">
        <v>1981</v>
      </c>
      <c r="B15" s="64">
        <v>62.15</v>
      </c>
      <c r="C15" s="64">
        <v>44.25</v>
      </c>
      <c r="D15" s="64">
        <v>71.58</v>
      </c>
      <c r="E15" s="64">
        <v>7.79</v>
      </c>
      <c r="F15" s="64">
        <v>3.73</v>
      </c>
      <c r="G15" s="64">
        <v>109.65</v>
      </c>
      <c r="H15" s="64">
        <v>54.98</v>
      </c>
      <c r="I15" s="64">
        <v>7.25</v>
      </c>
      <c r="J15" s="64">
        <v>0.72</v>
      </c>
      <c r="K15" s="64">
        <v>344.43</v>
      </c>
      <c r="L15" s="64">
        <v>14.46</v>
      </c>
      <c r="M15" s="64">
        <v>70.459999999999994</v>
      </c>
      <c r="N15" s="64">
        <v>25.6</v>
      </c>
      <c r="O15" s="64">
        <v>0</v>
      </c>
      <c r="P15" s="64">
        <v>1.34</v>
      </c>
      <c r="Q15" s="64">
        <v>9.7200000000000006</v>
      </c>
      <c r="R15" s="196"/>
      <c r="S15" s="196"/>
      <c r="T15" s="196"/>
      <c r="U15" s="196"/>
    </row>
    <row r="16" spans="1:21" s="12" customFormat="1" x14ac:dyDescent="0.25">
      <c r="A16" s="211" t="s">
        <v>1982</v>
      </c>
      <c r="B16" s="64">
        <v>58.11</v>
      </c>
      <c r="C16" s="64">
        <v>43.93</v>
      </c>
      <c r="D16" s="64">
        <v>68.180000000000007</v>
      </c>
      <c r="E16" s="64">
        <v>7.45</v>
      </c>
      <c r="F16" s="64">
        <v>3.62</v>
      </c>
      <c r="G16" s="64">
        <v>109.65</v>
      </c>
      <c r="H16" s="64">
        <v>54.98</v>
      </c>
      <c r="I16" s="64">
        <v>7.22</v>
      </c>
      <c r="J16" s="64">
        <v>0.4</v>
      </c>
      <c r="K16" s="64">
        <v>331.39</v>
      </c>
      <c r="L16" s="64">
        <v>14.45</v>
      </c>
      <c r="M16" s="64">
        <v>69.739999999999995</v>
      </c>
      <c r="N16" s="64">
        <v>25.9</v>
      </c>
      <c r="O16" s="64">
        <v>0</v>
      </c>
      <c r="P16" s="64">
        <v>1.3</v>
      </c>
      <c r="Q16" s="64">
        <v>9.68</v>
      </c>
      <c r="R16" s="196"/>
      <c r="S16" s="196"/>
      <c r="T16" s="196"/>
      <c r="U16" s="196"/>
    </row>
    <row r="17" spans="1:21" s="12" customFormat="1" x14ac:dyDescent="0.25">
      <c r="A17" s="211" t="s">
        <v>1983</v>
      </c>
      <c r="B17" s="64">
        <v>54.36</v>
      </c>
      <c r="C17" s="64">
        <v>43.73</v>
      </c>
      <c r="D17" s="64">
        <v>65.06</v>
      </c>
      <c r="E17" s="64">
        <v>7.22</v>
      </c>
      <c r="F17" s="64">
        <v>3.68</v>
      </c>
      <c r="G17" s="64">
        <v>110.29</v>
      </c>
      <c r="H17" s="64">
        <v>54.44</v>
      </c>
      <c r="I17" s="64">
        <v>7.05</v>
      </c>
      <c r="J17" s="64">
        <v>0.47</v>
      </c>
      <c r="K17" s="64">
        <v>244.61</v>
      </c>
      <c r="L17" s="64">
        <v>14.43</v>
      </c>
      <c r="M17" s="64">
        <v>69.67</v>
      </c>
      <c r="N17" s="64">
        <v>25.9</v>
      </c>
      <c r="O17" s="64">
        <v>0</v>
      </c>
      <c r="P17" s="64">
        <v>1.28</v>
      </c>
      <c r="Q17" s="64">
        <v>9.68</v>
      </c>
      <c r="R17" s="196"/>
      <c r="S17" s="196"/>
      <c r="T17" s="196"/>
      <c r="U17" s="196"/>
    </row>
    <row r="18" spans="1:21" s="12" customFormat="1" x14ac:dyDescent="0.25">
      <c r="A18" s="211" t="s">
        <v>1984</v>
      </c>
      <c r="B18" s="64">
        <v>50.9</v>
      </c>
      <c r="C18" s="64">
        <v>43.27</v>
      </c>
      <c r="D18" s="64">
        <v>62.05</v>
      </c>
      <c r="E18" s="64">
        <v>7.34</v>
      </c>
      <c r="F18" s="64">
        <v>3.95</v>
      </c>
      <c r="G18" s="64">
        <v>114.92</v>
      </c>
      <c r="H18" s="64">
        <v>51.69</v>
      </c>
      <c r="I18" s="64">
        <v>6.9</v>
      </c>
      <c r="J18" s="64">
        <v>0.25</v>
      </c>
      <c r="K18" s="64">
        <v>114.75</v>
      </c>
      <c r="L18" s="64">
        <v>14.33</v>
      </c>
      <c r="M18" s="64">
        <v>69.39</v>
      </c>
      <c r="N18" s="64">
        <v>25.8</v>
      </c>
      <c r="O18" s="64">
        <v>0</v>
      </c>
      <c r="P18" s="64">
        <v>1.26</v>
      </c>
      <c r="Q18" s="64">
        <v>9.75</v>
      </c>
      <c r="R18" s="196"/>
      <c r="S18" s="196"/>
      <c r="T18" s="196"/>
      <c r="U18" s="196"/>
    </row>
    <row r="19" spans="1:21" s="12" customFormat="1" x14ac:dyDescent="0.25">
      <c r="A19" s="211" t="s">
        <v>1985</v>
      </c>
      <c r="B19" s="64">
        <v>47.76</v>
      </c>
      <c r="C19" s="64">
        <v>43.04</v>
      </c>
      <c r="D19" s="64">
        <v>59.41</v>
      </c>
      <c r="E19" s="64">
        <v>7.44</v>
      </c>
      <c r="F19" s="64">
        <v>3.83</v>
      </c>
      <c r="G19" s="64">
        <v>114.92</v>
      </c>
      <c r="H19" s="64">
        <v>51.69</v>
      </c>
      <c r="I19" s="64">
        <v>6.77</v>
      </c>
      <c r="J19" s="64">
        <v>0.09</v>
      </c>
      <c r="K19" s="64">
        <v>25.99</v>
      </c>
      <c r="L19" s="64">
        <v>14.32</v>
      </c>
      <c r="M19" s="64">
        <v>69.290000000000006</v>
      </c>
      <c r="N19" s="64">
        <v>25.8</v>
      </c>
      <c r="O19" s="64">
        <v>0</v>
      </c>
      <c r="P19" s="64">
        <v>1.25</v>
      </c>
      <c r="Q19" s="64">
        <v>9.68</v>
      </c>
      <c r="R19" s="196"/>
      <c r="S19" s="196"/>
      <c r="T19" s="196"/>
      <c r="U19" s="196"/>
    </row>
    <row r="20" spans="1:21" s="12" customFormat="1" x14ac:dyDescent="0.25">
      <c r="A20" s="211" t="s">
        <v>1986</v>
      </c>
      <c r="B20" s="64">
        <v>44.92</v>
      </c>
      <c r="C20" s="64">
        <v>42.94</v>
      </c>
      <c r="D20" s="64">
        <v>57.08</v>
      </c>
      <c r="E20" s="64">
        <v>6.96</v>
      </c>
      <c r="F20" s="64">
        <v>3.98</v>
      </c>
      <c r="G20" s="64">
        <v>114.92</v>
      </c>
      <c r="H20" s="64">
        <v>51.69</v>
      </c>
      <c r="I20" s="64">
        <v>6.64</v>
      </c>
      <c r="J20" s="64">
        <v>0.13</v>
      </c>
      <c r="K20" s="64">
        <v>29.11</v>
      </c>
      <c r="L20" s="64">
        <v>14.24</v>
      </c>
      <c r="M20" s="64">
        <v>68.930000000000007</v>
      </c>
      <c r="N20" s="64">
        <v>25.7</v>
      </c>
      <c r="O20" s="64">
        <v>0</v>
      </c>
      <c r="P20" s="64">
        <v>1.24</v>
      </c>
      <c r="Q20" s="64">
        <v>9.67</v>
      </c>
      <c r="R20" s="196"/>
      <c r="S20" s="196"/>
      <c r="T20" s="196"/>
      <c r="U20" s="196"/>
    </row>
    <row r="21" spans="1:21" s="12" customFormat="1" x14ac:dyDescent="0.25">
      <c r="A21" s="211" t="s">
        <v>1987</v>
      </c>
      <c r="B21" s="64">
        <v>41.89</v>
      </c>
      <c r="C21" s="64">
        <v>42.69</v>
      </c>
      <c r="D21" s="64">
        <v>54.52</v>
      </c>
      <c r="E21" s="64">
        <v>7.11</v>
      </c>
      <c r="F21" s="64">
        <v>4.0199999999999996</v>
      </c>
      <c r="G21" s="64">
        <v>115.95</v>
      </c>
      <c r="H21" s="64">
        <v>53.47</v>
      </c>
      <c r="I21" s="64">
        <v>6.51</v>
      </c>
      <c r="J21" s="64">
        <v>0.53</v>
      </c>
      <c r="K21" s="64">
        <v>265.24</v>
      </c>
      <c r="L21" s="64">
        <v>14.15</v>
      </c>
      <c r="M21" s="64">
        <v>69.44</v>
      </c>
      <c r="N21" s="64">
        <v>26</v>
      </c>
      <c r="O21" s="64">
        <v>0</v>
      </c>
      <c r="P21" s="64">
        <v>1.22</v>
      </c>
      <c r="Q21" s="64">
        <v>9.68</v>
      </c>
      <c r="R21" s="196"/>
      <c r="S21" s="196"/>
      <c r="T21" s="196"/>
      <c r="U21" s="196"/>
    </row>
    <row r="22" spans="1:21" s="12" customFormat="1" x14ac:dyDescent="0.25">
      <c r="A22" s="211" t="s">
        <v>1988</v>
      </c>
      <c r="B22" s="64">
        <v>38.85</v>
      </c>
      <c r="C22" s="64">
        <v>42.46</v>
      </c>
      <c r="D22" s="64">
        <v>51.96</v>
      </c>
      <c r="E22" s="64">
        <v>7.03</v>
      </c>
      <c r="F22" s="64">
        <v>3.98</v>
      </c>
      <c r="G22" s="64">
        <v>122.67</v>
      </c>
      <c r="H22" s="64">
        <v>62.53</v>
      </c>
      <c r="I22" s="64">
        <v>6.38</v>
      </c>
      <c r="J22" s="64">
        <v>0.37</v>
      </c>
      <c r="K22" s="64">
        <v>331.72</v>
      </c>
      <c r="L22" s="64">
        <v>13.86</v>
      </c>
      <c r="M22" s="64">
        <v>69.739999999999995</v>
      </c>
      <c r="N22" s="64">
        <v>26</v>
      </c>
      <c r="O22" s="64">
        <v>0</v>
      </c>
      <c r="P22" s="64">
        <v>1.17</v>
      </c>
      <c r="Q22" s="64">
        <v>9.66</v>
      </c>
      <c r="R22" s="196"/>
      <c r="S22" s="196"/>
      <c r="T22" s="196"/>
      <c r="U22" s="196"/>
    </row>
    <row r="23" spans="1:21" s="12" customFormat="1" x14ac:dyDescent="0.25">
      <c r="A23" s="211" t="s">
        <v>1989</v>
      </c>
      <c r="B23" s="64">
        <v>36.54</v>
      </c>
      <c r="C23" s="64">
        <v>40.1</v>
      </c>
      <c r="D23" s="64">
        <v>48.87</v>
      </c>
      <c r="E23" s="64">
        <v>6.86</v>
      </c>
      <c r="F23" s="64">
        <v>4.26</v>
      </c>
      <c r="G23" s="64">
        <v>122.67</v>
      </c>
      <c r="H23" s="64">
        <v>62.53</v>
      </c>
      <c r="I23" s="64">
        <v>6.25</v>
      </c>
      <c r="J23" s="64">
        <v>0.52</v>
      </c>
      <c r="K23" s="64">
        <v>246.31</v>
      </c>
      <c r="L23" s="64">
        <v>13.74</v>
      </c>
      <c r="M23" s="64">
        <v>73.069999999999993</v>
      </c>
      <c r="N23" s="64">
        <v>26</v>
      </c>
      <c r="O23" s="64">
        <v>0</v>
      </c>
      <c r="P23" s="64">
        <v>1.1599999999999999</v>
      </c>
      <c r="Q23" s="64">
        <v>9.67</v>
      </c>
      <c r="R23" s="196"/>
      <c r="S23" s="196"/>
      <c r="T23" s="196"/>
      <c r="U23" s="196"/>
    </row>
    <row r="24" spans="1:21" s="12" customFormat="1" x14ac:dyDescent="0.25">
      <c r="A24" s="211" t="s">
        <v>1990</v>
      </c>
      <c r="B24" s="64">
        <v>34.86</v>
      </c>
      <c r="C24" s="64">
        <v>39.69</v>
      </c>
      <c r="D24" s="64">
        <v>47.32</v>
      </c>
      <c r="E24" s="64">
        <v>6.53</v>
      </c>
      <c r="F24" s="64">
        <v>4.3899999999999997</v>
      </c>
      <c r="G24" s="64">
        <v>122.67</v>
      </c>
      <c r="H24" s="64">
        <v>62.53</v>
      </c>
      <c r="I24" s="64">
        <v>5.95</v>
      </c>
      <c r="J24" s="64">
        <v>0.5</v>
      </c>
      <c r="K24" s="64">
        <v>280.14999999999998</v>
      </c>
      <c r="L24" s="64">
        <v>13.44</v>
      </c>
      <c r="M24" s="64">
        <v>75.64</v>
      </c>
      <c r="N24" s="64">
        <v>26.1</v>
      </c>
      <c r="O24" s="64">
        <v>0</v>
      </c>
      <c r="P24" s="64">
        <v>1.1399999999999999</v>
      </c>
      <c r="Q24" s="64">
        <v>9.65</v>
      </c>
      <c r="R24" s="196"/>
      <c r="S24" s="196"/>
      <c r="T24" s="196"/>
      <c r="U24" s="196"/>
    </row>
    <row r="25" spans="1:21" s="12" customFormat="1" x14ac:dyDescent="0.25">
      <c r="A25" s="211" t="s">
        <v>1991</v>
      </c>
      <c r="B25" s="64">
        <v>33.31</v>
      </c>
      <c r="C25" s="64">
        <v>39.119999999999997</v>
      </c>
      <c r="D25" s="64">
        <v>45.78</v>
      </c>
      <c r="E25" s="64">
        <v>6.49</v>
      </c>
      <c r="F25" s="64">
        <v>3.79</v>
      </c>
      <c r="G25" s="64">
        <v>121.85</v>
      </c>
      <c r="H25" s="64">
        <v>61.11</v>
      </c>
      <c r="I25" s="64">
        <v>5.94</v>
      </c>
      <c r="J25" s="64">
        <v>0.31</v>
      </c>
      <c r="K25" s="64">
        <v>241.96</v>
      </c>
      <c r="L25" s="64">
        <v>13.31</v>
      </c>
      <c r="M25" s="64">
        <v>77.77</v>
      </c>
      <c r="N25" s="64">
        <v>25.6</v>
      </c>
      <c r="O25" s="64">
        <v>0</v>
      </c>
      <c r="P25" s="64">
        <v>1.1100000000000001</v>
      </c>
      <c r="Q25" s="64">
        <v>9.65</v>
      </c>
      <c r="R25" s="196"/>
      <c r="S25" s="196"/>
      <c r="T25" s="196"/>
      <c r="U25" s="196"/>
    </row>
    <row r="26" spans="1:21" s="12" customFormat="1" x14ac:dyDescent="0.25">
      <c r="A26" s="211" t="s">
        <v>1992</v>
      </c>
      <c r="B26" s="64">
        <v>32.15</v>
      </c>
      <c r="C26" s="64">
        <v>38.590000000000003</v>
      </c>
      <c r="D26" s="64">
        <v>44.57</v>
      </c>
      <c r="E26" s="64">
        <v>6.37</v>
      </c>
      <c r="F26" s="64">
        <v>3.84</v>
      </c>
      <c r="G26" s="64">
        <v>115.99</v>
      </c>
      <c r="H26" s="64">
        <v>53.86</v>
      </c>
      <c r="I26" s="64">
        <v>5.93</v>
      </c>
      <c r="J26" s="64">
        <v>0.43</v>
      </c>
      <c r="K26" s="64">
        <v>229.29</v>
      </c>
      <c r="L26" s="64">
        <v>13.11</v>
      </c>
      <c r="M26" s="64">
        <v>84.16</v>
      </c>
      <c r="N26" s="64">
        <v>25.9</v>
      </c>
      <c r="O26" s="64">
        <v>0</v>
      </c>
      <c r="P26" s="64">
        <v>1.08</v>
      </c>
      <c r="Q26" s="64">
        <v>9.64</v>
      </c>
      <c r="R26" s="196"/>
      <c r="S26" s="196"/>
      <c r="T26" s="196"/>
      <c r="U26" s="196"/>
    </row>
    <row r="27" spans="1:21" s="12" customFormat="1" x14ac:dyDescent="0.25">
      <c r="A27" s="211" t="s">
        <v>1993</v>
      </c>
      <c r="B27" s="64">
        <v>31.32</v>
      </c>
      <c r="C27" s="64">
        <v>37.58</v>
      </c>
      <c r="D27" s="64">
        <v>43.37</v>
      </c>
      <c r="E27" s="64">
        <v>6.56</v>
      </c>
      <c r="F27" s="64">
        <v>3.77</v>
      </c>
      <c r="G27" s="64">
        <v>115.99</v>
      </c>
      <c r="H27" s="64">
        <v>53.86</v>
      </c>
      <c r="I27" s="64">
        <v>5.85</v>
      </c>
      <c r="J27" s="64">
        <v>0.22</v>
      </c>
      <c r="K27" s="64">
        <v>217.96</v>
      </c>
      <c r="L27" s="64">
        <v>12.78</v>
      </c>
      <c r="M27" s="64">
        <v>88.73</v>
      </c>
      <c r="N27" s="64">
        <v>26</v>
      </c>
      <c r="O27" s="64">
        <v>0</v>
      </c>
      <c r="P27" s="64">
        <v>1.08</v>
      </c>
      <c r="Q27" s="64">
        <v>9.66</v>
      </c>
      <c r="R27" s="196"/>
      <c r="S27" s="196"/>
      <c r="T27" s="196"/>
      <c r="U27" s="196"/>
    </row>
    <row r="28" spans="1:21" s="12" customFormat="1" x14ac:dyDescent="0.25">
      <c r="A28" s="211" t="s">
        <v>1994</v>
      </c>
      <c r="B28" s="64">
        <v>30.6</v>
      </c>
      <c r="C28" s="64">
        <v>36.64</v>
      </c>
      <c r="D28" s="64">
        <v>42.3</v>
      </c>
      <c r="E28" s="64">
        <v>6.63</v>
      </c>
      <c r="F28" s="64">
        <v>3.53</v>
      </c>
      <c r="G28" s="64">
        <v>115.99</v>
      </c>
      <c r="H28" s="64">
        <v>53.86</v>
      </c>
      <c r="I28" s="64">
        <v>5.78</v>
      </c>
      <c r="J28" s="64">
        <v>0.33</v>
      </c>
      <c r="K28" s="64">
        <v>335.94</v>
      </c>
      <c r="L28" s="64">
        <v>12.46</v>
      </c>
      <c r="M28" s="64">
        <v>92.93</v>
      </c>
      <c r="N28" s="64">
        <v>26</v>
      </c>
      <c r="O28" s="64">
        <v>0</v>
      </c>
      <c r="P28" s="64">
        <v>1.05</v>
      </c>
      <c r="Q28" s="64">
        <v>9.65</v>
      </c>
      <c r="R28" s="196"/>
      <c r="S28" s="196"/>
      <c r="T28" s="196"/>
      <c r="U28" s="196"/>
    </row>
    <row r="29" spans="1:21" s="12" customFormat="1" x14ac:dyDescent="0.25">
      <c r="A29" s="211" t="s">
        <v>1995</v>
      </c>
      <c r="B29" s="64">
        <v>30.02</v>
      </c>
      <c r="C29" s="64">
        <v>35.89</v>
      </c>
      <c r="D29" s="64">
        <v>41.45</v>
      </c>
      <c r="E29" s="64">
        <v>6.81</v>
      </c>
      <c r="F29" s="64">
        <v>3.64</v>
      </c>
      <c r="G29" s="64">
        <v>116.42</v>
      </c>
      <c r="H29" s="64">
        <v>52.94</v>
      </c>
      <c r="I29" s="64">
        <v>5.74</v>
      </c>
      <c r="J29" s="64">
        <v>0.24</v>
      </c>
      <c r="K29" s="64">
        <v>60.06</v>
      </c>
      <c r="L29" s="64">
        <v>12.29</v>
      </c>
      <c r="M29" s="64">
        <v>94.22</v>
      </c>
      <c r="N29" s="64">
        <v>25.7</v>
      </c>
      <c r="O29" s="64">
        <v>0</v>
      </c>
      <c r="P29" s="64">
        <v>1.03</v>
      </c>
      <c r="Q29" s="64">
        <v>9.6300000000000008</v>
      </c>
      <c r="R29" s="196"/>
      <c r="S29" s="196"/>
      <c r="T29" s="196"/>
      <c r="U29" s="196"/>
    </row>
    <row r="30" spans="1:21" s="12" customFormat="1" x14ac:dyDescent="0.25">
      <c r="A30" s="211" t="s">
        <v>1996</v>
      </c>
      <c r="B30" s="64">
        <v>30.05</v>
      </c>
      <c r="C30" s="64">
        <v>35.35</v>
      </c>
      <c r="D30" s="64">
        <v>41.19</v>
      </c>
      <c r="E30" s="64">
        <v>6.51</v>
      </c>
      <c r="F30" s="64">
        <v>3.68</v>
      </c>
      <c r="G30" s="64">
        <v>119.46</v>
      </c>
      <c r="H30" s="64">
        <v>48.25</v>
      </c>
      <c r="I30" s="64">
        <v>5.63</v>
      </c>
      <c r="J30" s="64">
        <v>0.52</v>
      </c>
      <c r="K30" s="64">
        <v>353.86</v>
      </c>
      <c r="L30" s="64">
        <v>12.07</v>
      </c>
      <c r="M30" s="64">
        <v>94.89</v>
      </c>
      <c r="N30" s="64">
        <v>26</v>
      </c>
      <c r="O30" s="64">
        <v>0</v>
      </c>
      <c r="P30" s="64">
        <v>1.01</v>
      </c>
      <c r="Q30" s="64">
        <v>9.64</v>
      </c>
      <c r="R30" s="196"/>
      <c r="S30" s="196"/>
      <c r="T30" s="196"/>
      <c r="U30" s="196"/>
    </row>
    <row r="31" spans="1:21" s="12" customFormat="1" x14ac:dyDescent="0.25">
      <c r="A31" s="211" t="s">
        <v>1997</v>
      </c>
      <c r="B31" s="64">
        <v>30.01</v>
      </c>
      <c r="C31" s="64">
        <v>34.74</v>
      </c>
      <c r="D31" s="64">
        <v>40.840000000000003</v>
      </c>
      <c r="E31" s="64">
        <v>6.58</v>
      </c>
      <c r="F31" s="64">
        <v>3.94</v>
      </c>
      <c r="G31" s="64">
        <v>119.46</v>
      </c>
      <c r="H31" s="64">
        <v>48.25</v>
      </c>
      <c r="I31" s="64">
        <v>5.54</v>
      </c>
      <c r="J31" s="64">
        <v>0.45</v>
      </c>
      <c r="K31" s="64">
        <v>348.24</v>
      </c>
      <c r="L31" s="64">
        <v>11.89</v>
      </c>
      <c r="M31" s="64">
        <v>94.92</v>
      </c>
      <c r="N31" s="64">
        <v>25.8</v>
      </c>
      <c r="O31" s="64">
        <v>0</v>
      </c>
      <c r="P31" s="64">
        <v>1.01</v>
      </c>
      <c r="Q31" s="64">
        <v>9.64</v>
      </c>
      <c r="R31" s="196"/>
      <c r="S31" s="196"/>
      <c r="T31" s="196"/>
      <c r="U31" s="196"/>
    </row>
    <row r="32" spans="1:21" s="12" customFormat="1" x14ac:dyDescent="0.25">
      <c r="A32" s="211" t="s">
        <v>1998</v>
      </c>
      <c r="B32" s="64">
        <v>30.17</v>
      </c>
      <c r="C32" s="64">
        <v>34.479999999999997</v>
      </c>
      <c r="D32" s="64">
        <v>40.83</v>
      </c>
      <c r="E32" s="64">
        <v>6.69</v>
      </c>
      <c r="F32" s="64">
        <v>3.98</v>
      </c>
      <c r="G32" s="64">
        <v>119.46</v>
      </c>
      <c r="H32" s="64">
        <v>48.25</v>
      </c>
      <c r="I32" s="64">
        <v>5.57</v>
      </c>
      <c r="J32" s="64">
        <v>0.55000000000000004</v>
      </c>
      <c r="K32" s="64">
        <v>327.76</v>
      </c>
      <c r="L32" s="64">
        <v>11.63</v>
      </c>
      <c r="M32" s="64">
        <v>97.9</v>
      </c>
      <c r="N32" s="64">
        <v>25.9</v>
      </c>
      <c r="O32" s="64">
        <v>0</v>
      </c>
      <c r="P32" s="64">
        <v>0.99</v>
      </c>
      <c r="Q32" s="64">
        <v>9.64</v>
      </c>
      <c r="R32" s="196"/>
      <c r="S32" s="196"/>
      <c r="T32" s="196"/>
      <c r="U32" s="196"/>
    </row>
    <row r="33" spans="1:21" s="12" customFormat="1" x14ac:dyDescent="0.25">
      <c r="A33" s="211" t="s">
        <v>1999</v>
      </c>
      <c r="B33" s="64">
        <v>31.21</v>
      </c>
      <c r="C33" s="64">
        <v>34.65</v>
      </c>
      <c r="D33" s="64">
        <v>41.76</v>
      </c>
      <c r="E33" s="64">
        <v>6.73</v>
      </c>
      <c r="F33" s="64">
        <v>3.9</v>
      </c>
      <c r="G33" s="64">
        <v>117.62</v>
      </c>
      <c r="H33" s="64">
        <v>46.75</v>
      </c>
      <c r="I33" s="64">
        <v>5.55</v>
      </c>
      <c r="J33" s="64">
        <v>0.42</v>
      </c>
      <c r="K33" s="64">
        <v>218.69</v>
      </c>
      <c r="L33" s="64">
        <v>11.48</v>
      </c>
      <c r="M33" s="64">
        <v>98.06</v>
      </c>
      <c r="N33" s="64">
        <v>26.7</v>
      </c>
      <c r="O33" s="64">
        <v>0</v>
      </c>
      <c r="P33" s="64">
        <v>0.98</v>
      </c>
      <c r="Q33" s="64">
        <v>9.66</v>
      </c>
      <c r="R33" s="196"/>
      <c r="S33" s="196"/>
      <c r="T33" s="196"/>
      <c r="U33" s="196"/>
    </row>
    <row r="34" spans="1:21" s="12" customFormat="1" x14ac:dyDescent="0.25">
      <c r="A34" s="211" t="s">
        <v>2000</v>
      </c>
      <c r="B34" s="64">
        <v>31.77</v>
      </c>
      <c r="C34" s="64">
        <v>34.75</v>
      </c>
      <c r="D34" s="64">
        <v>42.26</v>
      </c>
      <c r="E34" s="64">
        <v>6.57</v>
      </c>
      <c r="F34" s="64">
        <v>4.2300000000000004</v>
      </c>
      <c r="G34" s="64">
        <v>105.7</v>
      </c>
      <c r="H34" s="64">
        <v>39.08</v>
      </c>
      <c r="I34" s="64">
        <v>5.48</v>
      </c>
      <c r="J34" s="64">
        <v>0.36</v>
      </c>
      <c r="K34" s="64">
        <v>334.27</v>
      </c>
      <c r="L34" s="64">
        <v>11.5</v>
      </c>
      <c r="M34" s="64">
        <v>97.39</v>
      </c>
      <c r="N34" s="64">
        <v>31</v>
      </c>
      <c r="O34" s="64">
        <v>0</v>
      </c>
      <c r="P34" s="64">
        <v>0.96</v>
      </c>
      <c r="Q34" s="64">
        <v>9.65</v>
      </c>
      <c r="R34" s="196"/>
      <c r="S34" s="196"/>
      <c r="T34" s="196"/>
      <c r="U34" s="196"/>
    </row>
    <row r="35" spans="1:21" s="12" customFormat="1" x14ac:dyDescent="0.25">
      <c r="A35" s="211" t="s">
        <v>2001</v>
      </c>
      <c r="B35" s="64">
        <v>33.14</v>
      </c>
      <c r="C35" s="64">
        <v>34.85</v>
      </c>
      <c r="D35" s="64">
        <v>43.41</v>
      </c>
      <c r="E35" s="64">
        <v>7</v>
      </c>
      <c r="F35" s="64">
        <v>4.05</v>
      </c>
      <c r="G35" s="64">
        <v>105.7</v>
      </c>
      <c r="H35" s="64">
        <v>39.08</v>
      </c>
      <c r="I35" s="64">
        <v>5.42</v>
      </c>
      <c r="J35" s="64">
        <v>0.03</v>
      </c>
      <c r="K35" s="64">
        <v>105.44</v>
      </c>
      <c r="L35" s="64">
        <v>11.76</v>
      </c>
      <c r="M35" s="64">
        <v>95.91</v>
      </c>
      <c r="N35" s="64">
        <v>42</v>
      </c>
      <c r="O35" s="64">
        <v>0</v>
      </c>
      <c r="P35" s="64">
        <v>0.97</v>
      </c>
      <c r="Q35" s="64">
        <v>9.66</v>
      </c>
      <c r="R35" s="196"/>
      <c r="S35" s="196"/>
      <c r="T35" s="196"/>
      <c r="U35" s="196"/>
    </row>
    <row r="36" spans="1:21" s="12" customFormat="1" x14ac:dyDescent="0.25">
      <c r="A36" s="211" t="s">
        <v>2002</v>
      </c>
      <c r="B36" s="64">
        <v>35.92</v>
      </c>
      <c r="C36" s="64">
        <v>35.26</v>
      </c>
      <c r="D36" s="64">
        <v>45.85</v>
      </c>
      <c r="E36" s="64">
        <v>7.05</v>
      </c>
      <c r="F36" s="64">
        <v>3.9</v>
      </c>
      <c r="G36" s="64">
        <v>105.7</v>
      </c>
      <c r="H36" s="64">
        <v>39.08</v>
      </c>
      <c r="I36" s="64">
        <v>5.36</v>
      </c>
      <c r="J36" s="64">
        <v>0.17</v>
      </c>
      <c r="K36" s="64">
        <v>274</v>
      </c>
      <c r="L36" s="64">
        <v>12.3</v>
      </c>
      <c r="M36" s="64">
        <v>93.26</v>
      </c>
      <c r="N36" s="64">
        <v>57.3</v>
      </c>
      <c r="O36" s="64">
        <v>0</v>
      </c>
      <c r="P36" s="64">
        <v>0.97</v>
      </c>
      <c r="Q36" s="64">
        <v>9.66</v>
      </c>
      <c r="R36" s="196"/>
      <c r="S36" s="196"/>
      <c r="T36" s="196"/>
      <c r="U36" s="196"/>
    </row>
    <row r="37" spans="1:21" s="12" customFormat="1" x14ac:dyDescent="0.25">
      <c r="A37" s="211" t="s">
        <v>2003</v>
      </c>
      <c r="B37" s="64">
        <v>40.159999999999997</v>
      </c>
      <c r="C37" s="64">
        <v>35.729999999999997</v>
      </c>
      <c r="D37" s="64">
        <v>49.5</v>
      </c>
      <c r="E37" s="64">
        <v>7.37</v>
      </c>
      <c r="F37" s="64">
        <v>3.98</v>
      </c>
      <c r="G37" s="64">
        <v>106.4</v>
      </c>
      <c r="H37" s="64">
        <v>41.54</v>
      </c>
      <c r="I37" s="64">
        <v>5.32</v>
      </c>
      <c r="J37" s="64">
        <v>0.51</v>
      </c>
      <c r="K37" s="64">
        <v>329.02</v>
      </c>
      <c r="L37" s="64">
        <v>13.04</v>
      </c>
      <c r="M37" s="64">
        <v>90.6</v>
      </c>
      <c r="N37" s="64">
        <v>75.3</v>
      </c>
      <c r="O37" s="64">
        <v>0</v>
      </c>
      <c r="P37" s="64">
        <v>0.98</v>
      </c>
      <c r="Q37" s="64">
        <v>9.67</v>
      </c>
      <c r="R37" s="196"/>
      <c r="S37" s="196"/>
      <c r="T37" s="196"/>
      <c r="U37" s="196"/>
    </row>
    <row r="38" spans="1:21" s="12" customFormat="1" x14ac:dyDescent="0.25">
      <c r="A38" s="211" t="s">
        <v>2004</v>
      </c>
      <c r="B38" s="64">
        <v>44.28</v>
      </c>
      <c r="C38" s="64">
        <v>36.200000000000003</v>
      </c>
      <c r="D38" s="64">
        <v>53.05</v>
      </c>
      <c r="E38" s="64">
        <v>7.7</v>
      </c>
      <c r="F38" s="64">
        <v>3.81</v>
      </c>
      <c r="G38" s="64">
        <v>111.49</v>
      </c>
      <c r="H38" s="64">
        <v>54.04</v>
      </c>
      <c r="I38" s="64">
        <v>5.31</v>
      </c>
      <c r="J38" s="64">
        <v>0.53</v>
      </c>
      <c r="K38" s="64">
        <v>356.79</v>
      </c>
      <c r="L38" s="64">
        <v>14.18</v>
      </c>
      <c r="M38" s="64">
        <v>86.2</v>
      </c>
      <c r="N38" s="64">
        <v>110.3</v>
      </c>
      <c r="O38" s="64">
        <v>0</v>
      </c>
      <c r="P38" s="64">
        <v>1.04</v>
      </c>
      <c r="Q38" s="64">
        <v>9.66</v>
      </c>
      <c r="R38" s="196"/>
      <c r="S38" s="196"/>
      <c r="T38" s="196"/>
      <c r="U38" s="196"/>
    </row>
    <row r="39" spans="1:21" s="12" customFormat="1" x14ac:dyDescent="0.25">
      <c r="A39" s="211" t="s">
        <v>2005</v>
      </c>
      <c r="B39" s="64">
        <v>47.48</v>
      </c>
      <c r="C39" s="64">
        <v>35.86</v>
      </c>
      <c r="D39" s="64">
        <v>55.44</v>
      </c>
      <c r="E39" s="64">
        <v>7.92</v>
      </c>
      <c r="F39" s="64">
        <v>4.0599999999999996</v>
      </c>
      <c r="G39" s="64">
        <v>111.49</v>
      </c>
      <c r="H39" s="64">
        <v>54.04</v>
      </c>
      <c r="I39" s="64">
        <v>5.32</v>
      </c>
      <c r="J39" s="64">
        <v>0.76</v>
      </c>
      <c r="K39" s="64">
        <v>348.22</v>
      </c>
      <c r="L39" s="64">
        <v>15.74</v>
      </c>
      <c r="M39" s="64">
        <v>79.13</v>
      </c>
      <c r="N39" s="64">
        <v>157</v>
      </c>
      <c r="O39" s="64">
        <v>0</v>
      </c>
      <c r="P39" s="64">
        <v>1.08</v>
      </c>
      <c r="Q39" s="64">
        <v>9.65</v>
      </c>
      <c r="R39" s="196"/>
      <c r="S39" s="196"/>
      <c r="T39" s="196"/>
      <c r="U39" s="196"/>
    </row>
    <row r="40" spans="1:21" s="12" customFormat="1" x14ac:dyDescent="0.25">
      <c r="A40" s="211" t="s">
        <v>2006</v>
      </c>
      <c r="B40" s="64">
        <v>49.94</v>
      </c>
      <c r="C40" s="64">
        <v>35.28</v>
      </c>
      <c r="D40" s="64">
        <v>57.1</v>
      </c>
      <c r="E40" s="64">
        <v>6.19</v>
      </c>
      <c r="F40" s="64">
        <v>4.24</v>
      </c>
      <c r="G40" s="64">
        <v>111.49</v>
      </c>
      <c r="H40" s="64">
        <v>54.04</v>
      </c>
      <c r="I40" s="64">
        <v>5.35</v>
      </c>
      <c r="J40" s="64">
        <v>0.94</v>
      </c>
      <c r="K40" s="64">
        <v>347.63</v>
      </c>
      <c r="L40" s="64">
        <v>17.809999999999999</v>
      </c>
      <c r="M40" s="64">
        <v>70.11</v>
      </c>
      <c r="N40" s="64">
        <v>195.3</v>
      </c>
      <c r="O40" s="64">
        <v>0</v>
      </c>
      <c r="P40" s="64">
        <v>1.1200000000000001</v>
      </c>
      <c r="Q40" s="64">
        <v>9.66</v>
      </c>
      <c r="R40" s="196"/>
      <c r="S40" s="196"/>
      <c r="T40" s="196"/>
      <c r="U40" s="196"/>
    </row>
    <row r="41" spans="1:21" s="12" customFormat="1" x14ac:dyDescent="0.25">
      <c r="A41" s="211" t="s">
        <v>2007</v>
      </c>
      <c r="B41" s="64">
        <v>51.23</v>
      </c>
      <c r="C41" s="64">
        <v>36.79</v>
      </c>
      <c r="D41" s="64">
        <v>58.92</v>
      </c>
      <c r="E41" s="64">
        <v>6.57</v>
      </c>
      <c r="F41" s="64">
        <v>3.89</v>
      </c>
      <c r="G41" s="64">
        <v>114.17</v>
      </c>
      <c r="H41" s="64">
        <v>54.01</v>
      </c>
      <c r="I41" s="64">
        <v>5.47</v>
      </c>
      <c r="J41" s="64">
        <v>0.72</v>
      </c>
      <c r="K41" s="64">
        <v>330.66</v>
      </c>
      <c r="L41" s="64">
        <v>19.559999999999999</v>
      </c>
      <c r="M41" s="64">
        <v>55.76</v>
      </c>
      <c r="N41" s="64">
        <v>235</v>
      </c>
      <c r="O41" s="64">
        <v>0</v>
      </c>
      <c r="P41" s="64">
        <v>1.1200000000000001</v>
      </c>
      <c r="Q41" s="64">
        <v>9.66</v>
      </c>
      <c r="R41" s="196"/>
      <c r="S41" s="196"/>
      <c r="T41" s="196"/>
      <c r="U41" s="196"/>
    </row>
    <row r="42" spans="1:21" s="12" customFormat="1" x14ac:dyDescent="0.25">
      <c r="A42" s="211" t="s">
        <v>2008</v>
      </c>
      <c r="B42" s="64">
        <v>51.73</v>
      </c>
      <c r="C42" s="64">
        <v>38.42</v>
      </c>
      <c r="D42" s="64">
        <v>60.18</v>
      </c>
      <c r="E42" s="64">
        <v>6.26</v>
      </c>
      <c r="F42" s="64">
        <v>3.71</v>
      </c>
      <c r="G42" s="64">
        <v>133.43</v>
      </c>
      <c r="H42" s="64">
        <v>53.86</v>
      </c>
      <c r="I42" s="64">
        <v>5.61</v>
      </c>
      <c r="J42" s="64">
        <v>1.05</v>
      </c>
      <c r="K42" s="64">
        <v>341.68</v>
      </c>
      <c r="L42" s="64">
        <v>20.97</v>
      </c>
      <c r="M42" s="64">
        <v>51.74</v>
      </c>
      <c r="N42" s="64">
        <v>272</v>
      </c>
      <c r="O42" s="64">
        <v>0</v>
      </c>
      <c r="P42" s="64">
        <v>1.1399999999999999</v>
      </c>
      <c r="Q42" s="64">
        <v>9.65</v>
      </c>
      <c r="R42" s="196"/>
      <c r="S42" s="196"/>
      <c r="T42" s="196"/>
      <c r="U42" s="196"/>
    </row>
    <row r="43" spans="1:21" s="12" customFormat="1" x14ac:dyDescent="0.25">
      <c r="A43" s="211" t="s">
        <v>2009</v>
      </c>
      <c r="B43" s="64">
        <v>50.99</v>
      </c>
      <c r="C43" s="64">
        <v>39.86</v>
      </c>
      <c r="D43" s="64">
        <v>60.34</v>
      </c>
      <c r="E43" s="64">
        <v>6.38</v>
      </c>
      <c r="F43" s="64">
        <v>3.93</v>
      </c>
      <c r="G43" s="64">
        <v>133.43</v>
      </c>
      <c r="H43" s="64">
        <v>53.86</v>
      </c>
      <c r="I43" s="64">
        <v>5.57</v>
      </c>
      <c r="J43" s="64">
        <v>0.79</v>
      </c>
      <c r="K43" s="64">
        <v>330.51</v>
      </c>
      <c r="L43" s="64">
        <v>22.65</v>
      </c>
      <c r="M43" s="64">
        <v>45.52</v>
      </c>
      <c r="N43" s="64">
        <v>307.2</v>
      </c>
      <c r="O43" s="64">
        <v>0</v>
      </c>
      <c r="P43" s="64">
        <v>1.1299999999999999</v>
      </c>
      <c r="Q43" s="64">
        <v>9.65</v>
      </c>
      <c r="R43" s="196"/>
      <c r="S43" s="196"/>
      <c r="T43" s="196"/>
      <c r="U43" s="196"/>
    </row>
    <row r="44" spans="1:21" s="12" customFormat="1" x14ac:dyDescent="0.25">
      <c r="A44" s="211" t="s">
        <v>2010</v>
      </c>
      <c r="B44" s="64">
        <v>49.49</v>
      </c>
      <c r="C44" s="64">
        <v>41.19</v>
      </c>
      <c r="D44" s="64">
        <v>59.83</v>
      </c>
      <c r="E44" s="64">
        <v>6.41</v>
      </c>
      <c r="F44" s="64">
        <v>3.91</v>
      </c>
      <c r="G44" s="64">
        <v>133.43</v>
      </c>
      <c r="H44" s="64">
        <v>53.86</v>
      </c>
      <c r="I44" s="64">
        <v>5.73</v>
      </c>
      <c r="J44" s="64">
        <v>1.04</v>
      </c>
      <c r="K44" s="64">
        <v>346.12</v>
      </c>
      <c r="L44" s="64">
        <v>23.18</v>
      </c>
      <c r="M44" s="64">
        <v>44.66</v>
      </c>
      <c r="N44" s="64">
        <v>341</v>
      </c>
      <c r="O44" s="64">
        <v>0</v>
      </c>
      <c r="P44" s="64">
        <v>1.1200000000000001</v>
      </c>
      <c r="Q44" s="64">
        <v>9.64</v>
      </c>
      <c r="R44" s="196"/>
      <c r="S44" s="196"/>
      <c r="T44" s="196"/>
      <c r="U44" s="196"/>
    </row>
    <row r="45" spans="1:21" s="12" customFormat="1" x14ac:dyDescent="0.25">
      <c r="A45" s="211" t="s">
        <v>2011</v>
      </c>
      <c r="B45" s="64">
        <v>47.53</v>
      </c>
      <c r="C45" s="64">
        <v>42.96</v>
      </c>
      <c r="D45" s="64">
        <v>59.19</v>
      </c>
      <c r="E45" s="64">
        <v>6.42</v>
      </c>
      <c r="F45" s="64">
        <v>3.86</v>
      </c>
      <c r="G45" s="64">
        <v>133.59</v>
      </c>
      <c r="H45" s="64">
        <v>56.6</v>
      </c>
      <c r="I45" s="64">
        <v>5.82</v>
      </c>
      <c r="J45" s="64">
        <v>1.24</v>
      </c>
      <c r="K45" s="64">
        <v>343.57</v>
      </c>
      <c r="L45" s="64">
        <v>24.65</v>
      </c>
      <c r="M45" s="64">
        <v>40.49</v>
      </c>
      <c r="N45" s="64">
        <v>377.5</v>
      </c>
      <c r="O45" s="64">
        <v>0</v>
      </c>
      <c r="P45" s="64">
        <v>1.1000000000000001</v>
      </c>
      <c r="Q45" s="64">
        <v>9.65</v>
      </c>
      <c r="R45" s="196"/>
      <c r="S45" s="196"/>
      <c r="T45" s="196"/>
      <c r="U45" s="196"/>
    </row>
    <row r="46" spans="1:21" s="12" customFormat="1" x14ac:dyDescent="0.25">
      <c r="A46" s="211" t="s">
        <v>2012</v>
      </c>
      <c r="B46" s="64">
        <v>45.55</v>
      </c>
      <c r="C46" s="64">
        <v>44.89</v>
      </c>
      <c r="D46" s="64">
        <v>58.6</v>
      </c>
      <c r="E46" s="64">
        <v>6.34</v>
      </c>
      <c r="F46" s="64">
        <v>4</v>
      </c>
      <c r="G46" s="64">
        <v>134.59</v>
      </c>
      <c r="H46" s="64">
        <v>71.94</v>
      </c>
      <c r="I46" s="64">
        <v>5.93</v>
      </c>
      <c r="J46" s="64">
        <v>0.81</v>
      </c>
      <c r="K46" s="64">
        <v>342.81</v>
      </c>
      <c r="L46" s="64">
        <v>24.8</v>
      </c>
      <c r="M46" s="64">
        <v>42.57</v>
      </c>
      <c r="N46" s="64">
        <v>414.3</v>
      </c>
      <c r="O46" s="64">
        <v>0</v>
      </c>
      <c r="P46" s="64">
        <v>1.1200000000000001</v>
      </c>
      <c r="Q46" s="64">
        <v>9.67</v>
      </c>
      <c r="R46" s="196"/>
      <c r="S46" s="196"/>
      <c r="T46" s="196"/>
      <c r="U46" s="196"/>
    </row>
    <row r="47" spans="1:21" s="12" customFormat="1" x14ac:dyDescent="0.25">
      <c r="A47" s="211" t="s">
        <v>2013</v>
      </c>
      <c r="B47" s="64">
        <v>43.13</v>
      </c>
      <c r="C47" s="64">
        <v>46.93</v>
      </c>
      <c r="D47" s="64">
        <v>57.73</v>
      </c>
      <c r="E47" s="64">
        <v>6.75</v>
      </c>
      <c r="F47" s="64">
        <v>4.0999999999999996</v>
      </c>
      <c r="G47" s="64">
        <v>134.59</v>
      </c>
      <c r="H47" s="64">
        <v>71.94</v>
      </c>
      <c r="I47" s="64">
        <v>5.87</v>
      </c>
      <c r="J47" s="64">
        <v>0.98</v>
      </c>
      <c r="K47" s="64">
        <v>338.29</v>
      </c>
      <c r="L47" s="64">
        <v>25.06</v>
      </c>
      <c r="M47" s="64">
        <v>40.54</v>
      </c>
      <c r="N47" s="64">
        <v>435.6</v>
      </c>
      <c r="O47" s="64">
        <v>0</v>
      </c>
      <c r="P47" s="64">
        <v>1.1299999999999999</v>
      </c>
      <c r="Q47" s="64">
        <v>9.68</v>
      </c>
      <c r="R47" s="196"/>
      <c r="S47" s="196"/>
      <c r="T47" s="196"/>
      <c r="U47" s="196"/>
    </row>
    <row r="48" spans="1:21" s="12" customFormat="1" x14ac:dyDescent="0.25">
      <c r="A48" s="211" t="s">
        <v>2014</v>
      </c>
      <c r="B48" s="64">
        <v>39.92</v>
      </c>
      <c r="C48" s="64">
        <v>49.02</v>
      </c>
      <c r="D48" s="64">
        <v>56.24</v>
      </c>
      <c r="E48" s="64">
        <v>6.63</v>
      </c>
      <c r="F48" s="64">
        <v>4.41</v>
      </c>
      <c r="G48" s="64">
        <v>134.59</v>
      </c>
      <c r="H48" s="64">
        <v>71.94</v>
      </c>
      <c r="I48" s="64">
        <v>6.14</v>
      </c>
      <c r="J48" s="64">
        <v>0.74</v>
      </c>
      <c r="K48" s="64">
        <v>128.66</v>
      </c>
      <c r="L48" s="64">
        <v>24.78</v>
      </c>
      <c r="M48" s="64">
        <v>39.28</v>
      </c>
      <c r="N48" s="64">
        <v>467.8</v>
      </c>
      <c r="O48" s="64">
        <v>0</v>
      </c>
      <c r="P48" s="64">
        <v>1.1299999999999999</v>
      </c>
      <c r="Q48" s="64">
        <v>9.68</v>
      </c>
      <c r="R48" s="196"/>
      <c r="S48" s="196"/>
      <c r="T48" s="196"/>
      <c r="U48" s="196"/>
    </row>
    <row r="49" spans="1:21" s="12" customFormat="1" x14ac:dyDescent="0.25">
      <c r="A49" s="211" t="s">
        <v>2015</v>
      </c>
      <c r="B49" s="64">
        <v>35.86</v>
      </c>
      <c r="C49" s="64">
        <v>50</v>
      </c>
      <c r="D49" s="64">
        <v>53.5</v>
      </c>
      <c r="E49" s="64">
        <v>5.89</v>
      </c>
      <c r="F49" s="64">
        <v>4.3899999999999997</v>
      </c>
      <c r="G49" s="64">
        <v>132.46</v>
      </c>
      <c r="H49" s="64">
        <v>72.36</v>
      </c>
      <c r="I49" s="64">
        <v>6.26</v>
      </c>
      <c r="J49" s="64">
        <v>1.06</v>
      </c>
      <c r="K49" s="64">
        <v>121.31</v>
      </c>
      <c r="L49" s="64">
        <v>22.87</v>
      </c>
      <c r="M49" s="64">
        <v>41.76</v>
      </c>
      <c r="N49" s="64">
        <v>506.3</v>
      </c>
      <c r="O49" s="64">
        <v>0</v>
      </c>
      <c r="P49" s="64">
        <v>1.1100000000000001</v>
      </c>
      <c r="Q49" s="64">
        <v>9.65</v>
      </c>
      <c r="R49" s="196"/>
      <c r="S49" s="196"/>
      <c r="T49" s="196"/>
      <c r="U49" s="196"/>
    </row>
    <row r="50" spans="1:21" s="12" customFormat="1" x14ac:dyDescent="0.25">
      <c r="A50" s="211" t="s">
        <v>2016</v>
      </c>
      <c r="B50" s="64">
        <v>31.58</v>
      </c>
      <c r="C50" s="64">
        <v>50.68</v>
      </c>
      <c r="D50" s="64">
        <v>50.43</v>
      </c>
      <c r="E50" s="64">
        <v>5.66</v>
      </c>
      <c r="F50" s="64">
        <v>4.21</v>
      </c>
      <c r="G50" s="64">
        <v>118.65</v>
      </c>
      <c r="H50" s="64">
        <v>74.489999999999995</v>
      </c>
      <c r="I50" s="64">
        <v>6.25</v>
      </c>
      <c r="J50" s="64">
        <v>1.1000000000000001</v>
      </c>
      <c r="K50" s="64">
        <v>110.37</v>
      </c>
      <c r="L50" s="64">
        <v>22.35</v>
      </c>
      <c r="M50" s="64">
        <v>42.58</v>
      </c>
      <c r="N50" s="64">
        <v>531.20000000000005</v>
      </c>
      <c r="O50" s="64">
        <v>0</v>
      </c>
      <c r="P50" s="64">
        <v>1.08</v>
      </c>
      <c r="Q50" s="64">
        <v>9.67</v>
      </c>
      <c r="R50" s="196"/>
      <c r="S50" s="196"/>
      <c r="T50" s="196"/>
      <c r="U50" s="196"/>
    </row>
    <row r="51" spans="1:21" s="12" customFormat="1" x14ac:dyDescent="0.25">
      <c r="A51" s="211" t="s">
        <v>2017</v>
      </c>
      <c r="B51" s="64">
        <v>27.4</v>
      </c>
      <c r="C51" s="64">
        <v>51.48</v>
      </c>
      <c r="D51" s="64">
        <v>47.49</v>
      </c>
      <c r="E51" s="64">
        <v>5.44</v>
      </c>
      <c r="F51" s="64">
        <v>4.5199999999999996</v>
      </c>
      <c r="G51" s="64">
        <v>118.65</v>
      </c>
      <c r="H51" s="64">
        <v>74.489999999999995</v>
      </c>
      <c r="I51" s="64">
        <v>6.37</v>
      </c>
      <c r="J51" s="64">
        <v>0.42</v>
      </c>
      <c r="K51" s="64">
        <v>105.58</v>
      </c>
      <c r="L51" s="64">
        <v>23.52</v>
      </c>
      <c r="M51" s="64">
        <v>40.74</v>
      </c>
      <c r="N51" s="64">
        <v>553.4</v>
      </c>
      <c r="O51" s="64">
        <v>0</v>
      </c>
      <c r="P51" s="64">
        <v>1.05</v>
      </c>
      <c r="Q51" s="64">
        <v>9.67</v>
      </c>
      <c r="R51" s="196"/>
      <c r="S51" s="196"/>
      <c r="T51" s="196"/>
      <c r="U51" s="196"/>
    </row>
    <row r="52" spans="1:21" s="12" customFormat="1" x14ac:dyDescent="0.25">
      <c r="A52" s="211" t="s">
        <v>2018</v>
      </c>
      <c r="B52" s="64">
        <v>24.26</v>
      </c>
      <c r="C52" s="64">
        <v>52.31</v>
      </c>
      <c r="D52" s="64">
        <v>45.41</v>
      </c>
      <c r="E52" s="64">
        <v>5.3</v>
      </c>
      <c r="F52" s="64">
        <v>4.4800000000000004</v>
      </c>
      <c r="G52" s="64">
        <v>118.65</v>
      </c>
      <c r="H52" s="64">
        <v>74.489999999999995</v>
      </c>
      <c r="I52" s="64">
        <v>6.61</v>
      </c>
      <c r="J52" s="64">
        <v>0.54</v>
      </c>
      <c r="K52" s="64">
        <v>80.94</v>
      </c>
      <c r="L52" s="64">
        <v>24.45</v>
      </c>
      <c r="M52" s="64">
        <v>37.61</v>
      </c>
      <c r="N52" s="64">
        <v>575.20000000000005</v>
      </c>
      <c r="O52" s="64">
        <v>0</v>
      </c>
      <c r="P52" s="64">
        <v>1.03</v>
      </c>
      <c r="Q52" s="64">
        <v>9.68</v>
      </c>
      <c r="R52" s="196"/>
      <c r="S52" s="196"/>
      <c r="T52" s="196"/>
      <c r="U52" s="196"/>
    </row>
    <row r="53" spans="1:21" s="12" customFormat="1" x14ac:dyDescent="0.25">
      <c r="A53" s="211" t="s">
        <v>2019</v>
      </c>
      <c r="B53" s="64">
        <v>21.21</v>
      </c>
      <c r="C53" s="64">
        <v>53.02</v>
      </c>
      <c r="D53" s="64">
        <v>43.34</v>
      </c>
      <c r="E53" s="64">
        <v>5.53</v>
      </c>
      <c r="F53" s="64">
        <v>4.6399999999999997</v>
      </c>
      <c r="G53" s="64">
        <v>116.84</v>
      </c>
      <c r="H53" s="64">
        <v>70.05</v>
      </c>
      <c r="I53" s="64">
        <v>7.12</v>
      </c>
      <c r="J53" s="64">
        <v>0.98</v>
      </c>
      <c r="K53" s="64">
        <v>109.32</v>
      </c>
      <c r="L53" s="64">
        <v>23.71</v>
      </c>
      <c r="M53" s="64">
        <v>37.58</v>
      </c>
      <c r="N53" s="64">
        <v>588.20000000000005</v>
      </c>
      <c r="O53" s="64">
        <v>0</v>
      </c>
      <c r="P53" s="64">
        <v>1</v>
      </c>
      <c r="Q53" s="64">
        <v>9.65</v>
      </c>
      <c r="R53" s="196"/>
      <c r="S53" s="196"/>
      <c r="T53" s="196"/>
      <c r="U53" s="196"/>
    </row>
    <row r="54" spans="1:21" s="12" customFormat="1" x14ac:dyDescent="0.25">
      <c r="A54" s="211" t="s">
        <v>2020</v>
      </c>
      <c r="B54" s="64">
        <v>17.88</v>
      </c>
      <c r="C54" s="64">
        <v>52.91</v>
      </c>
      <c r="D54" s="64">
        <v>40.6</v>
      </c>
      <c r="E54" s="64">
        <v>5.5</v>
      </c>
      <c r="F54" s="64">
        <v>4.42</v>
      </c>
      <c r="G54" s="64">
        <v>105.1</v>
      </c>
      <c r="H54" s="64">
        <v>47.43</v>
      </c>
      <c r="I54" s="64">
        <v>7.35</v>
      </c>
      <c r="J54" s="64">
        <v>0.75</v>
      </c>
      <c r="K54" s="64">
        <v>109.62</v>
      </c>
      <c r="L54" s="64">
        <v>23.31</v>
      </c>
      <c r="M54" s="64">
        <v>38.299999999999997</v>
      </c>
      <c r="N54" s="64">
        <v>591.4</v>
      </c>
      <c r="O54" s="64">
        <v>0</v>
      </c>
      <c r="P54" s="64">
        <v>0.97</v>
      </c>
      <c r="Q54" s="64">
        <v>9.65</v>
      </c>
      <c r="R54" s="196"/>
      <c r="S54" s="196"/>
      <c r="T54" s="196"/>
      <c r="U54" s="196"/>
    </row>
    <row r="55" spans="1:21" s="12" customFormat="1" x14ac:dyDescent="0.25">
      <c r="A55" s="211" t="s">
        <v>2021</v>
      </c>
      <c r="B55" s="64">
        <v>14.67</v>
      </c>
      <c r="C55" s="64">
        <v>52.96</v>
      </c>
      <c r="D55" s="64">
        <v>38.06</v>
      </c>
      <c r="E55" s="64">
        <v>5.67</v>
      </c>
      <c r="F55" s="64">
        <v>4.3</v>
      </c>
      <c r="G55" s="64">
        <v>105.1</v>
      </c>
      <c r="H55" s="64">
        <v>47.43</v>
      </c>
      <c r="I55" s="64">
        <v>7.51</v>
      </c>
      <c r="J55" s="64">
        <v>0.59</v>
      </c>
      <c r="K55" s="64">
        <v>351.39</v>
      </c>
      <c r="L55" s="64">
        <v>24.84</v>
      </c>
      <c r="M55" s="64">
        <v>34.54</v>
      </c>
      <c r="N55" s="64">
        <v>582.29999999999995</v>
      </c>
      <c r="O55" s="64">
        <v>0</v>
      </c>
      <c r="P55" s="64">
        <v>0.94</v>
      </c>
      <c r="Q55" s="64">
        <v>9.65</v>
      </c>
      <c r="R55" s="196"/>
      <c r="S55" s="196"/>
      <c r="T55" s="196"/>
      <c r="U55" s="196"/>
    </row>
    <row r="56" spans="1:21" s="12" customFormat="1" x14ac:dyDescent="0.25">
      <c r="A56" s="211" t="s">
        <v>2022</v>
      </c>
      <c r="B56" s="64">
        <v>12.35</v>
      </c>
      <c r="C56" s="64">
        <v>51.83</v>
      </c>
      <c r="D56" s="64">
        <v>35.61</v>
      </c>
      <c r="E56" s="64">
        <v>5.68</v>
      </c>
      <c r="F56" s="64">
        <v>4.12</v>
      </c>
      <c r="G56" s="64">
        <v>105.1</v>
      </c>
      <c r="H56" s="64">
        <v>47.43</v>
      </c>
      <c r="I56" s="64">
        <v>7.73</v>
      </c>
      <c r="J56" s="64">
        <v>0.42</v>
      </c>
      <c r="K56" s="64">
        <v>25.82</v>
      </c>
      <c r="L56" s="64">
        <v>25.84</v>
      </c>
      <c r="M56" s="64">
        <v>33.020000000000003</v>
      </c>
      <c r="N56" s="64">
        <v>559.9</v>
      </c>
      <c r="O56" s="64">
        <v>0</v>
      </c>
      <c r="P56" s="64">
        <v>0.91</v>
      </c>
      <c r="Q56" s="64">
        <v>9.6300000000000008</v>
      </c>
      <c r="R56" s="196"/>
      <c r="S56" s="196"/>
      <c r="T56" s="196"/>
      <c r="U56" s="196"/>
    </row>
    <row r="57" spans="1:21" s="12" customFormat="1" x14ac:dyDescent="0.25">
      <c r="A57" s="211" t="s">
        <v>2023</v>
      </c>
      <c r="B57" s="64">
        <v>10.72</v>
      </c>
      <c r="C57" s="64">
        <v>50.26</v>
      </c>
      <c r="D57" s="64">
        <v>33.479999999999997</v>
      </c>
      <c r="E57" s="64">
        <v>5.04</v>
      </c>
      <c r="F57" s="64">
        <v>4.87</v>
      </c>
      <c r="G57" s="64">
        <v>102.26</v>
      </c>
      <c r="H57" s="64">
        <v>46.22</v>
      </c>
      <c r="I57" s="64">
        <v>7.64</v>
      </c>
      <c r="J57" s="64">
        <v>0.34</v>
      </c>
      <c r="K57" s="64">
        <v>30.53</v>
      </c>
      <c r="L57" s="64">
        <v>24.97</v>
      </c>
      <c r="M57" s="64">
        <v>34.4</v>
      </c>
      <c r="N57" s="64">
        <v>529.6</v>
      </c>
      <c r="O57" s="64">
        <v>0</v>
      </c>
      <c r="P57" s="64">
        <v>0.87</v>
      </c>
      <c r="Q57" s="64">
        <v>9.64</v>
      </c>
      <c r="R57" s="196"/>
      <c r="S57" s="196"/>
      <c r="T57" s="196"/>
      <c r="U57" s="196"/>
    </row>
    <row r="58" spans="1:21" s="12" customFormat="1" x14ac:dyDescent="0.25">
      <c r="A58" s="211" t="s">
        <v>2024</v>
      </c>
      <c r="B58" s="64">
        <v>9.52</v>
      </c>
      <c r="C58" s="64">
        <v>48.97</v>
      </c>
      <c r="D58" s="64">
        <v>31.84</v>
      </c>
      <c r="E58" s="64">
        <v>4.67</v>
      </c>
      <c r="F58" s="64">
        <v>4.4800000000000004</v>
      </c>
      <c r="G58" s="64">
        <v>83.85</v>
      </c>
      <c r="H58" s="64">
        <v>40.07</v>
      </c>
      <c r="I58" s="64">
        <v>7.11</v>
      </c>
      <c r="J58" s="64">
        <v>1.17</v>
      </c>
      <c r="K58" s="64">
        <v>116.03</v>
      </c>
      <c r="L58" s="64">
        <v>24.42</v>
      </c>
      <c r="M58" s="64">
        <v>35</v>
      </c>
      <c r="N58" s="64">
        <v>504.9</v>
      </c>
      <c r="O58" s="64">
        <v>0</v>
      </c>
      <c r="P58" s="64">
        <v>0.84</v>
      </c>
      <c r="Q58" s="64">
        <v>9.6300000000000008</v>
      </c>
      <c r="R58" s="196"/>
      <c r="S58" s="196"/>
      <c r="T58" s="196"/>
      <c r="U58" s="196"/>
    </row>
    <row r="59" spans="1:21" s="12" customFormat="1" x14ac:dyDescent="0.25">
      <c r="A59" s="211" t="s">
        <v>2025</v>
      </c>
      <c r="B59" s="64">
        <v>8.35</v>
      </c>
      <c r="C59" s="64">
        <v>47.6</v>
      </c>
      <c r="D59" s="64">
        <v>30.19</v>
      </c>
      <c r="E59" s="64">
        <v>4.6500000000000004</v>
      </c>
      <c r="F59" s="64">
        <v>4.51</v>
      </c>
      <c r="G59" s="64">
        <v>83.85</v>
      </c>
      <c r="H59" s="64">
        <v>40.07</v>
      </c>
      <c r="I59" s="64">
        <v>6.61</v>
      </c>
      <c r="J59" s="64">
        <v>0.75</v>
      </c>
      <c r="K59" s="64">
        <v>345</v>
      </c>
      <c r="L59" s="64">
        <v>24.84</v>
      </c>
      <c r="M59" s="64">
        <v>34.42</v>
      </c>
      <c r="N59" s="64">
        <v>481.3</v>
      </c>
      <c r="O59" s="64">
        <v>0</v>
      </c>
      <c r="P59" s="64">
        <v>0.8</v>
      </c>
      <c r="Q59" s="64">
        <v>9.66</v>
      </c>
      <c r="R59" s="196"/>
      <c r="S59" s="196"/>
      <c r="T59" s="196"/>
      <c r="U59" s="196"/>
    </row>
    <row r="60" spans="1:21" s="12" customFormat="1" x14ac:dyDescent="0.25">
      <c r="A60" s="211" t="s">
        <v>2026</v>
      </c>
      <c r="B60" s="64">
        <v>7.59</v>
      </c>
      <c r="C60" s="64">
        <v>46.74</v>
      </c>
      <c r="D60" s="64">
        <v>29.13</v>
      </c>
      <c r="E60" s="64">
        <v>4.83</v>
      </c>
      <c r="F60" s="64">
        <v>4.49</v>
      </c>
      <c r="G60" s="64">
        <v>83.85</v>
      </c>
      <c r="H60" s="64">
        <v>40.07</v>
      </c>
      <c r="I60" s="64">
        <v>5.91</v>
      </c>
      <c r="J60" s="64">
        <v>0.9</v>
      </c>
      <c r="K60" s="64">
        <v>342.57</v>
      </c>
      <c r="L60" s="64">
        <v>26.31</v>
      </c>
      <c r="M60" s="64">
        <v>31.45</v>
      </c>
      <c r="N60" s="64">
        <v>443.8</v>
      </c>
      <c r="O60" s="64">
        <v>0</v>
      </c>
      <c r="P60" s="64">
        <v>0.76</v>
      </c>
      <c r="Q60" s="64">
        <v>9.64</v>
      </c>
      <c r="R60" s="196"/>
      <c r="S60" s="196"/>
      <c r="T60" s="196"/>
      <c r="U60" s="196"/>
    </row>
    <row r="61" spans="1:21" s="12" customFormat="1" x14ac:dyDescent="0.25">
      <c r="A61" s="211" t="s">
        <v>2027</v>
      </c>
      <c r="B61" s="64">
        <v>6.86</v>
      </c>
      <c r="C61" s="64">
        <v>45.89</v>
      </c>
      <c r="D61" s="64">
        <v>28.1</v>
      </c>
      <c r="E61" s="64">
        <v>4.7300000000000004</v>
      </c>
      <c r="F61" s="64">
        <v>6.22</v>
      </c>
      <c r="G61" s="64">
        <v>82.92</v>
      </c>
      <c r="H61" s="64">
        <v>39.39</v>
      </c>
      <c r="I61" s="64">
        <v>5.6</v>
      </c>
      <c r="J61" s="64">
        <v>0.7</v>
      </c>
      <c r="K61" s="64">
        <v>87.27</v>
      </c>
      <c r="L61" s="64">
        <v>24.65</v>
      </c>
      <c r="M61" s="64">
        <v>34.26</v>
      </c>
      <c r="N61" s="64">
        <v>425.4</v>
      </c>
      <c r="O61" s="64">
        <v>0</v>
      </c>
      <c r="P61" s="64">
        <v>0.74</v>
      </c>
      <c r="Q61" s="64">
        <v>9.6300000000000008</v>
      </c>
      <c r="R61" s="196"/>
      <c r="S61" s="196"/>
      <c r="T61" s="196"/>
      <c r="U61" s="196"/>
    </row>
    <row r="62" spans="1:21" s="12" customFormat="1" x14ac:dyDescent="0.25">
      <c r="A62" s="211" t="s">
        <v>2028</v>
      </c>
      <c r="B62" s="64">
        <v>6.05</v>
      </c>
      <c r="C62" s="64">
        <v>45.05</v>
      </c>
      <c r="D62" s="64">
        <v>27.01</v>
      </c>
      <c r="E62" s="64">
        <v>4.8899999999999997</v>
      </c>
      <c r="F62" s="64">
        <v>5.22</v>
      </c>
      <c r="G62" s="64">
        <v>76.900000000000006</v>
      </c>
      <c r="H62" s="64">
        <v>35.6</v>
      </c>
      <c r="I62" s="64">
        <v>5.34</v>
      </c>
      <c r="J62" s="64">
        <v>0.54</v>
      </c>
      <c r="K62" s="64">
        <v>358.87</v>
      </c>
      <c r="L62" s="64">
        <v>24.99</v>
      </c>
      <c r="M62" s="64">
        <v>33.03</v>
      </c>
      <c r="N62" s="64">
        <v>400</v>
      </c>
      <c r="O62" s="64">
        <v>0</v>
      </c>
      <c r="P62" s="64">
        <v>0.75</v>
      </c>
      <c r="Q62" s="64">
        <v>9.64</v>
      </c>
      <c r="R62" s="196"/>
      <c r="S62" s="196"/>
      <c r="T62" s="196"/>
      <c r="U62" s="196"/>
    </row>
    <row r="63" spans="1:21" s="12" customFormat="1" x14ac:dyDescent="0.25">
      <c r="A63" s="211" t="s">
        <v>2029</v>
      </c>
      <c r="B63" s="64">
        <v>5.54</v>
      </c>
      <c r="C63" s="64">
        <v>44.44</v>
      </c>
      <c r="D63" s="64">
        <v>26.28</v>
      </c>
      <c r="E63" s="64">
        <v>5.07</v>
      </c>
      <c r="F63" s="64">
        <v>4.84</v>
      </c>
      <c r="G63" s="64">
        <v>76.900000000000006</v>
      </c>
      <c r="H63" s="64">
        <v>35.6</v>
      </c>
      <c r="I63" s="64">
        <v>5.37</v>
      </c>
      <c r="J63" s="64">
        <v>0.71</v>
      </c>
      <c r="K63" s="64">
        <v>95.07</v>
      </c>
      <c r="L63" s="64">
        <v>24.06</v>
      </c>
      <c r="M63" s="64">
        <v>33.96</v>
      </c>
      <c r="N63" s="64">
        <v>399.5</v>
      </c>
      <c r="O63" s="64">
        <v>0</v>
      </c>
      <c r="P63" s="64">
        <v>0.76</v>
      </c>
      <c r="Q63" s="64">
        <v>9.64</v>
      </c>
      <c r="R63" s="196"/>
      <c r="S63" s="196"/>
      <c r="T63" s="196"/>
      <c r="U63" s="196"/>
    </row>
    <row r="64" spans="1:21" s="12" customFormat="1" x14ac:dyDescent="0.25">
      <c r="A64" s="211" t="s">
        <v>2030</v>
      </c>
      <c r="B64" s="64">
        <v>5</v>
      </c>
      <c r="C64" s="64">
        <v>44.38</v>
      </c>
      <c r="D64" s="64">
        <v>25.82</v>
      </c>
      <c r="E64" s="64">
        <v>5.23</v>
      </c>
      <c r="F64" s="64">
        <v>4.9800000000000004</v>
      </c>
      <c r="G64" s="64">
        <v>76.900000000000006</v>
      </c>
      <c r="H64" s="64">
        <v>35.6</v>
      </c>
      <c r="I64" s="64">
        <v>5.0199999999999996</v>
      </c>
      <c r="J64" s="64">
        <v>1.26</v>
      </c>
      <c r="K64" s="64">
        <v>342.04</v>
      </c>
      <c r="L64" s="64">
        <v>24.32</v>
      </c>
      <c r="M64" s="64">
        <v>34.03</v>
      </c>
      <c r="N64" s="64">
        <v>291.3</v>
      </c>
      <c r="O64" s="64">
        <v>0</v>
      </c>
      <c r="P64" s="64">
        <v>0.76</v>
      </c>
      <c r="Q64" s="64">
        <v>9.64</v>
      </c>
      <c r="R64" s="196"/>
      <c r="S64" s="196"/>
      <c r="T64" s="196"/>
      <c r="U64" s="196"/>
    </row>
    <row r="65" spans="1:21" s="12" customFormat="1" x14ac:dyDescent="0.25">
      <c r="A65" s="211" t="s">
        <v>2031</v>
      </c>
      <c r="B65" s="64">
        <v>4.47</v>
      </c>
      <c r="C65" s="64">
        <v>44.66</v>
      </c>
      <c r="D65" s="64">
        <v>25.54</v>
      </c>
      <c r="E65" s="64">
        <v>5.36</v>
      </c>
      <c r="F65" s="64">
        <v>5.34</v>
      </c>
      <c r="G65" s="64">
        <v>75.05</v>
      </c>
      <c r="H65" s="64">
        <v>34.33</v>
      </c>
      <c r="I65" s="64">
        <v>6.54</v>
      </c>
      <c r="J65" s="64">
        <v>0.54</v>
      </c>
      <c r="K65" s="64">
        <v>343.1</v>
      </c>
      <c r="L65" s="64">
        <v>24.56</v>
      </c>
      <c r="M65" s="64">
        <v>32.479999999999997</v>
      </c>
      <c r="N65" s="64">
        <v>147.80000000000001</v>
      </c>
      <c r="O65" s="64">
        <v>0</v>
      </c>
      <c r="P65" s="64">
        <v>0.75</v>
      </c>
      <c r="Q65" s="64">
        <v>9.6199999999999992</v>
      </c>
      <c r="R65" s="196"/>
      <c r="S65" s="196"/>
      <c r="T65" s="196"/>
      <c r="U65" s="196"/>
    </row>
    <row r="66" spans="1:21" s="12" customFormat="1" x14ac:dyDescent="0.25">
      <c r="A66" s="211" t="s">
        <v>2032</v>
      </c>
      <c r="B66" s="64">
        <v>3.87</v>
      </c>
      <c r="C66" s="64">
        <v>44.4</v>
      </c>
      <c r="D66" s="64">
        <v>24.92</v>
      </c>
      <c r="E66" s="64">
        <v>5.54</v>
      </c>
      <c r="F66" s="64">
        <v>5.56</v>
      </c>
      <c r="G66" s="64">
        <v>63.01</v>
      </c>
      <c r="H66" s="64">
        <v>27.85</v>
      </c>
      <c r="I66" s="64">
        <v>6.8</v>
      </c>
      <c r="J66" s="64">
        <v>0.49</v>
      </c>
      <c r="K66" s="64">
        <v>349.93</v>
      </c>
      <c r="L66" s="64">
        <v>23.94</v>
      </c>
      <c r="M66" s="64">
        <v>33.57</v>
      </c>
      <c r="N66" s="64">
        <v>132.19999999999999</v>
      </c>
      <c r="O66" s="64">
        <v>0</v>
      </c>
      <c r="P66" s="64">
        <v>0.74</v>
      </c>
      <c r="Q66" s="64">
        <v>9.6199999999999992</v>
      </c>
      <c r="R66" s="196"/>
      <c r="S66" s="196"/>
      <c r="T66" s="196"/>
      <c r="U66" s="196"/>
    </row>
    <row r="67" spans="1:21" s="12" customFormat="1" x14ac:dyDescent="0.25">
      <c r="A67" s="211" t="s">
        <v>2033</v>
      </c>
      <c r="B67" s="64">
        <v>3.87</v>
      </c>
      <c r="C67" s="64">
        <v>44.88</v>
      </c>
      <c r="D67" s="64">
        <v>25.18</v>
      </c>
      <c r="E67" s="64">
        <v>5.51</v>
      </c>
      <c r="F67" s="64">
        <v>5.33</v>
      </c>
      <c r="G67" s="64">
        <v>63.01</v>
      </c>
      <c r="H67" s="64">
        <v>27.85</v>
      </c>
      <c r="I67" s="64">
        <v>6.52</v>
      </c>
      <c r="J67" s="64">
        <v>1.1000000000000001</v>
      </c>
      <c r="K67" s="64">
        <v>338.23</v>
      </c>
      <c r="L67" s="64">
        <v>24.06</v>
      </c>
      <c r="M67" s="64">
        <v>33.9</v>
      </c>
      <c r="N67" s="64">
        <v>126.5</v>
      </c>
      <c r="O67" s="64">
        <v>0</v>
      </c>
      <c r="P67" s="64">
        <v>0.73</v>
      </c>
      <c r="Q67" s="64">
        <v>9.64</v>
      </c>
      <c r="R67" s="196"/>
      <c r="S67" s="196"/>
      <c r="T67" s="196"/>
      <c r="U67" s="196"/>
    </row>
    <row r="68" spans="1:21" s="12" customFormat="1" x14ac:dyDescent="0.25">
      <c r="A68" s="211" t="s">
        <v>2034</v>
      </c>
      <c r="B68" s="64">
        <v>4.17</v>
      </c>
      <c r="C68" s="64">
        <v>45.89</v>
      </c>
      <c r="D68" s="64">
        <v>25.94</v>
      </c>
      <c r="E68" s="64">
        <v>5.1100000000000003</v>
      </c>
      <c r="F68" s="64">
        <v>5.0599999999999996</v>
      </c>
      <c r="G68" s="64">
        <v>63.01</v>
      </c>
      <c r="H68" s="64">
        <v>27.85</v>
      </c>
      <c r="I68" s="64">
        <v>6.33</v>
      </c>
      <c r="J68" s="64">
        <v>0.92</v>
      </c>
      <c r="K68" s="64">
        <v>342.83</v>
      </c>
      <c r="L68" s="64">
        <v>24.02</v>
      </c>
      <c r="M68" s="64">
        <v>33.659999999999997</v>
      </c>
      <c r="N68" s="64">
        <v>121</v>
      </c>
      <c r="O68" s="64">
        <v>0</v>
      </c>
      <c r="P68" s="64">
        <v>0.74</v>
      </c>
      <c r="Q68" s="64">
        <v>9.64</v>
      </c>
      <c r="R68" s="196"/>
      <c r="S68" s="196"/>
      <c r="T68" s="196"/>
      <c r="U68" s="196"/>
    </row>
    <row r="69" spans="1:21" s="12" customFormat="1" x14ac:dyDescent="0.25">
      <c r="A69" s="211" t="s">
        <v>2035</v>
      </c>
      <c r="B69" s="64">
        <v>4.03</v>
      </c>
      <c r="C69" s="64">
        <v>46.56</v>
      </c>
      <c r="D69" s="64">
        <v>26.19</v>
      </c>
      <c r="E69" s="64">
        <v>5.03</v>
      </c>
      <c r="F69" s="64">
        <v>5.65</v>
      </c>
      <c r="G69" s="64">
        <v>63.61</v>
      </c>
      <c r="H69" s="64">
        <v>27.17</v>
      </c>
      <c r="I69" s="64">
        <v>6.1</v>
      </c>
      <c r="J69" s="64">
        <v>1.06</v>
      </c>
      <c r="K69" s="64">
        <v>341.27</v>
      </c>
      <c r="L69" s="64">
        <v>23.51</v>
      </c>
      <c r="M69" s="64">
        <v>35.130000000000003</v>
      </c>
      <c r="N69" s="64">
        <v>100.9</v>
      </c>
      <c r="O69" s="64">
        <v>0</v>
      </c>
      <c r="P69" s="64">
        <v>0.75</v>
      </c>
      <c r="Q69" s="64">
        <v>9.64</v>
      </c>
      <c r="R69" s="196"/>
      <c r="S69" s="196"/>
      <c r="T69" s="196"/>
      <c r="U69" s="196"/>
    </row>
    <row r="70" spans="1:21" s="12" customFormat="1" x14ac:dyDescent="0.25">
      <c r="A70" s="211" t="s">
        <v>2036</v>
      </c>
      <c r="B70" s="64">
        <v>3.96</v>
      </c>
      <c r="C70" s="64">
        <v>47.25</v>
      </c>
      <c r="D70" s="64">
        <v>26.49</v>
      </c>
      <c r="E70" s="64">
        <v>5.17</v>
      </c>
      <c r="F70" s="64">
        <v>5.36</v>
      </c>
      <c r="G70" s="64">
        <v>67.489999999999995</v>
      </c>
      <c r="H70" s="64">
        <v>23.71</v>
      </c>
      <c r="I70" s="64">
        <v>6.11</v>
      </c>
      <c r="J70" s="64">
        <v>1.01</v>
      </c>
      <c r="K70" s="64">
        <v>342.23</v>
      </c>
      <c r="L70" s="64">
        <v>23.22</v>
      </c>
      <c r="M70" s="64">
        <v>34.94</v>
      </c>
      <c r="N70" s="64">
        <v>90.2</v>
      </c>
      <c r="O70" s="64">
        <v>0</v>
      </c>
      <c r="P70" s="64">
        <v>0.76</v>
      </c>
      <c r="Q70" s="64">
        <v>9.65</v>
      </c>
      <c r="R70" s="196"/>
      <c r="S70" s="196"/>
      <c r="T70" s="196"/>
      <c r="U70" s="196"/>
    </row>
    <row r="71" spans="1:21" s="12" customFormat="1" x14ac:dyDescent="0.25">
      <c r="A71" s="211" t="s">
        <v>2037</v>
      </c>
      <c r="B71" s="64">
        <v>4</v>
      </c>
      <c r="C71" s="64">
        <v>49.1</v>
      </c>
      <c r="D71" s="64">
        <v>27.48</v>
      </c>
      <c r="E71" s="64">
        <v>5.33</v>
      </c>
      <c r="F71" s="64">
        <v>15.74</v>
      </c>
      <c r="G71" s="64">
        <v>67.489999999999995</v>
      </c>
      <c r="H71" s="64">
        <v>23.71</v>
      </c>
      <c r="I71" s="64">
        <v>5.91</v>
      </c>
      <c r="J71" s="64">
        <v>1.71</v>
      </c>
      <c r="K71" s="64">
        <v>343.69</v>
      </c>
      <c r="L71" s="64">
        <v>23.06</v>
      </c>
      <c r="M71" s="64">
        <v>35.67</v>
      </c>
      <c r="N71" s="64">
        <v>81.099999999999994</v>
      </c>
      <c r="O71" s="64">
        <v>0</v>
      </c>
      <c r="P71" s="64">
        <v>0.73</v>
      </c>
      <c r="Q71" s="64">
        <v>9.64</v>
      </c>
      <c r="R71" s="196"/>
      <c r="S71" s="196"/>
      <c r="T71" s="196"/>
      <c r="U71" s="196"/>
    </row>
    <row r="72" spans="1:21" s="12" customFormat="1" x14ac:dyDescent="0.25">
      <c r="A72" s="211" t="s">
        <v>2038</v>
      </c>
      <c r="B72" s="64">
        <v>2.83</v>
      </c>
      <c r="C72" s="64">
        <v>54.55</v>
      </c>
      <c r="D72" s="64">
        <v>29.39</v>
      </c>
      <c r="E72" s="64">
        <v>9.3800000000000008</v>
      </c>
      <c r="F72" s="64">
        <v>17.25</v>
      </c>
      <c r="G72" s="64">
        <v>67.489999999999995</v>
      </c>
      <c r="H72" s="64">
        <v>23.71</v>
      </c>
      <c r="I72" s="64">
        <v>5.85</v>
      </c>
      <c r="J72" s="64">
        <v>2.17</v>
      </c>
      <c r="K72" s="64">
        <v>340.54</v>
      </c>
      <c r="L72" s="64">
        <v>22.81</v>
      </c>
      <c r="M72" s="64">
        <v>35.96</v>
      </c>
      <c r="N72" s="64">
        <v>71.900000000000006</v>
      </c>
      <c r="O72" s="64">
        <v>0</v>
      </c>
      <c r="P72" s="64">
        <v>0.66</v>
      </c>
      <c r="Q72" s="64">
        <v>9.6300000000000008</v>
      </c>
      <c r="R72" s="196"/>
      <c r="S72" s="196"/>
      <c r="T72" s="196"/>
      <c r="U72" s="196"/>
    </row>
    <row r="73" spans="1:21" s="12" customFormat="1" x14ac:dyDescent="0.25">
      <c r="A73" s="211" t="s">
        <v>2039</v>
      </c>
      <c r="B73" s="64">
        <v>2.96</v>
      </c>
      <c r="C73" s="64">
        <v>52.12</v>
      </c>
      <c r="D73" s="64">
        <v>28.23</v>
      </c>
      <c r="E73" s="64">
        <v>13.38</v>
      </c>
      <c r="F73" s="64">
        <v>8.5500000000000007</v>
      </c>
      <c r="G73" s="64">
        <v>26.54</v>
      </c>
      <c r="H73" s="209" t="s">
        <v>42</v>
      </c>
      <c r="I73" s="64">
        <v>4.83</v>
      </c>
      <c r="J73" s="64">
        <v>2.2200000000000002</v>
      </c>
      <c r="K73" s="64">
        <v>342.34</v>
      </c>
      <c r="L73" s="64">
        <v>22.5</v>
      </c>
      <c r="M73" s="64">
        <v>36.29</v>
      </c>
      <c r="N73" s="64">
        <v>63.1</v>
      </c>
      <c r="O73" s="64">
        <v>0</v>
      </c>
      <c r="P73" s="64">
        <v>0.68</v>
      </c>
      <c r="Q73" s="64">
        <v>9.6300000000000008</v>
      </c>
      <c r="R73" s="196"/>
      <c r="S73" s="196"/>
      <c r="T73" s="196"/>
      <c r="U73" s="196"/>
    </row>
    <row r="74" spans="1:21" s="12" customFormat="1" x14ac:dyDescent="0.25">
      <c r="A74" s="211" t="s">
        <v>2040</v>
      </c>
      <c r="B74" s="64">
        <v>3.64</v>
      </c>
      <c r="C74" s="64">
        <v>49.82</v>
      </c>
      <c r="D74" s="64">
        <v>27.57</v>
      </c>
      <c r="E74" s="64">
        <v>13.04</v>
      </c>
      <c r="F74" s="64">
        <v>7.77</v>
      </c>
      <c r="G74" s="209" t="s">
        <v>42</v>
      </c>
      <c r="H74" s="209" t="s">
        <v>42</v>
      </c>
      <c r="I74" s="64">
        <v>3.87</v>
      </c>
      <c r="J74" s="64">
        <v>2.25</v>
      </c>
      <c r="K74" s="64">
        <v>344.05</v>
      </c>
      <c r="L74" s="64">
        <v>22.23</v>
      </c>
      <c r="M74" s="64">
        <v>36</v>
      </c>
      <c r="N74" s="64">
        <v>58.6</v>
      </c>
      <c r="O74" s="64">
        <v>0</v>
      </c>
      <c r="P74" s="64">
        <v>0.68</v>
      </c>
      <c r="Q74" s="64">
        <v>0</v>
      </c>
      <c r="R74" s="196"/>
      <c r="S74" s="196"/>
      <c r="T74" s="196"/>
      <c r="U74" s="196"/>
    </row>
    <row r="75" spans="1:21" s="12" customFormat="1" x14ac:dyDescent="0.25">
      <c r="A75" s="211" t="s">
        <v>2041</v>
      </c>
      <c r="B75" s="64">
        <v>5.62</v>
      </c>
      <c r="C75" s="64">
        <v>49.22</v>
      </c>
      <c r="D75" s="64">
        <v>28.84</v>
      </c>
      <c r="E75" s="64">
        <v>28.3</v>
      </c>
      <c r="F75" s="64">
        <v>7.56</v>
      </c>
      <c r="G75" s="209" t="s">
        <v>42</v>
      </c>
      <c r="H75" s="209" t="s">
        <v>42</v>
      </c>
      <c r="I75" s="64">
        <v>3.44</v>
      </c>
      <c r="J75" s="64">
        <v>2.15</v>
      </c>
      <c r="K75" s="64">
        <v>341.41</v>
      </c>
      <c r="L75" s="64">
        <v>21.97</v>
      </c>
      <c r="M75" s="64">
        <v>36.64</v>
      </c>
      <c r="N75" s="64">
        <v>50.8</v>
      </c>
      <c r="O75" s="64">
        <v>0</v>
      </c>
      <c r="P75" s="64">
        <v>0.82</v>
      </c>
      <c r="Q75" s="64">
        <v>0</v>
      </c>
      <c r="R75" s="196"/>
      <c r="S75" s="196"/>
      <c r="T75" s="196"/>
      <c r="U75" s="196"/>
    </row>
    <row r="76" spans="1:21" s="12" customFormat="1" x14ac:dyDescent="0.25">
      <c r="A76" s="211" t="s">
        <v>2042</v>
      </c>
      <c r="B76" s="64">
        <v>12.58</v>
      </c>
      <c r="C76" s="64">
        <v>51.55</v>
      </c>
      <c r="D76" s="64">
        <v>35.65</v>
      </c>
      <c r="E76" s="64">
        <v>45.65</v>
      </c>
      <c r="F76" s="64">
        <v>10.49</v>
      </c>
      <c r="G76" s="209" t="s">
        <v>42</v>
      </c>
      <c r="H76" s="209" t="s">
        <v>42</v>
      </c>
      <c r="I76" s="64">
        <v>2.85</v>
      </c>
      <c r="J76" s="64">
        <v>2.23</v>
      </c>
      <c r="K76" s="64">
        <v>344.19</v>
      </c>
      <c r="L76" s="64">
        <v>21.61</v>
      </c>
      <c r="M76" s="64">
        <v>37.14</v>
      </c>
      <c r="N76" s="64">
        <v>42.9</v>
      </c>
      <c r="O76" s="64">
        <v>0</v>
      </c>
      <c r="P76" s="64">
        <v>0.81</v>
      </c>
      <c r="Q76" s="64">
        <v>0</v>
      </c>
      <c r="R76" s="196"/>
      <c r="S76" s="196"/>
      <c r="T76" s="196"/>
      <c r="U76" s="196"/>
    </row>
    <row r="77" spans="1:21" s="12" customFormat="1" x14ac:dyDescent="0.25">
      <c r="A77" s="211" t="s">
        <v>2043</v>
      </c>
      <c r="B77" s="64">
        <v>15.03</v>
      </c>
      <c r="C77" s="64">
        <v>84.01</v>
      </c>
      <c r="D77" s="64">
        <v>54.57</v>
      </c>
      <c r="E77" s="64">
        <v>53.98</v>
      </c>
      <c r="F77" s="64">
        <v>15.43</v>
      </c>
      <c r="G77" s="64">
        <v>43.94</v>
      </c>
      <c r="H77" s="64">
        <v>23.17</v>
      </c>
      <c r="I77" s="64">
        <v>3.04</v>
      </c>
      <c r="J77" s="64">
        <v>1.61</v>
      </c>
      <c r="K77" s="64">
        <v>345.67</v>
      </c>
      <c r="L77" s="64">
        <v>21.18</v>
      </c>
      <c r="M77" s="64">
        <v>38.119999999999997</v>
      </c>
      <c r="N77" s="64">
        <v>36</v>
      </c>
      <c r="O77" s="64">
        <v>0</v>
      </c>
      <c r="P77" s="64">
        <v>0.97</v>
      </c>
      <c r="Q77" s="64">
        <v>0.14000000000000001</v>
      </c>
      <c r="R77" s="196"/>
      <c r="S77" s="196"/>
      <c r="T77" s="196"/>
      <c r="U77" s="196"/>
    </row>
    <row r="78" spans="1:21" s="12" customFormat="1" x14ac:dyDescent="0.25">
      <c r="A78" s="211" t="s">
        <v>2044</v>
      </c>
      <c r="B78" s="64">
        <v>10.9</v>
      </c>
      <c r="C78" s="64">
        <v>113.8</v>
      </c>
      <c r="D78" s="64">
        <v>66.819999999999993</v>
      </c>
      <c r="E78" s="64">
        <v>43.22</v>
      </c>
      <c r="F78" s="64">
        <v>14.96</v>
      </c>
      <c r="G78" s="64">
        <v>70.61</v>
      </c>
      <c r="H78" s="64">
        <v>27.8</v>
      </c>
      <c r="I78" s="64">
        <v>2.82</v>
      </c>
      <c r="J78" s="64">
        <v>1.22</v>
      </c>
      <c r="K78" s="64">
        <v>342.97</v>
      </c>
      <c r="L78" s="64">
        <v>20.64</v>
      </c>
      <c r="M78" s="64">
        <v>40.82</v>
      </c>
      <c r="N78" s="64">
        <v>31.7</v>
      </c>
      <c r="O78" s="64">
        <v>0</v>
      </c>
      <c r="P78" s="64">
        <v>1.18</v>
      </c>
      <c r="Q78" s="64">
        <v>0</v>
      </c>
      <c r="R78" s="196"/>
      <c r="S78" s="196"/>
      <c r="T78" s="196"/>
      <c r="U78" s="196"/>
    </row>
    <row r="79" spans="1:21" s="12" customFormat="1" x14ac:dyDescent="0.25">
      <c r="A79" s="211" t="s">
        <v>2045</v>
      </c>
      <c r="B79" s="64">
        <v>5.75</v>
      </c>
      <c r="C79" s="64">
        <v>108.78</v>
      </c>
      <c r="D79" s="64">
        <v>60.07</v>
      </c>
      <c r="E79" s="64">
        <v>26.89</v>
      </c>
      <c r="F79" s="64">
        <v>8.44</v>
      </c>
      <c r="G79" s="64">
        <v>70.61</v>
      </c>
      <c r="H79" s="64">
        <v>27.8</v>
      </c>
      <c r="I79" s="64">
        <v>2.9</v>
      </c>
      <c r="J79" s="64">
        <v>1.22</v>
      </c>
      <c r="K79" s="64">
        <v>345.89</v>
      </c>
      <c r="L79" s="64">
        <v>19.95</v>
      </c>
      <c r="M79" s="64">
        <v>45.91</v>
      </c>
      <c r="N79" s="64">
        <v>30.4</v>
      </c>
      <c r="O79" s="64">
        <v>0</v>
      </c>
      <c r="P79" s="64">
        <v>1.31</v>
      </c>
      <c r="Q79" s="64">
        <v>9.92</v>
      </c>
      <c r="R79" s="196"/>
      <c r="S79" s="196"/>
      <c r="T79" s="196"/>
      <c r="U79" s="196"/>
    </row>
    <row r="80" spans="1:21" s="12" customFormat="1" x14ac:dyDescent="0.25">
      <c r="A80" s="211" t="s">
        <v>2046</v>
      </c>
      <c r="B80" s="64">
        <v>6.53</v>
      </c>
      <c r="C80" s="64">
        <v>97.43</v>
      </c>
      <c r="D80" s="64">
        <v>54.77</v>
      </c>
      <c r="E80" s="64">
        <v>21.59</v>
      </c>
      <c r="F80" s="64">
        <v>6.56</v>
      </c>
      <c r="G80" s="64">
        <v>70.61</v>
      </c>
      <c r="H80" s="64">
        <v>27.8</v>
      </c>
      <c r="I80" s="64">
        <v>4.2</v>
      </c>
      <c r="J80" s="64">
        <v>0.85</v>
      </c>
      <c r="K80" s="64">
        <v>51.74</v>
      </c>
      <c r="L80" s="64">
        <v>19.52</v>
      </c>
      <c r="M80" s="64">
        <v>46.35</v>
      </c>
      <c r="N80" s="64">
        <v>30.3</v>
      </c>
      <c r="O80" s="64">
        <v>0</v>
      </c>
      <c r="P80" s="64">
        <v>1.2</v>
      </c>
      <c r="Q80" s="64">
        <v>9.0299999999999994</v>
      </c>
      <c r="R80" s="196"/>
      <c r="S80" s="196"/>
      <c r="T80" s="196"/>
      <c r="U80" s="196"/>
    </row>
    <row r="81" spans="1:26" s="12" customFormat="1" x14ac:dyDescent="0.25">
      <c r="A81" s="211" t="s">
        <v>2047</v>
      </c>
      <c r="B81" s="64">
        <v>8.66</v>
      </c>
      <c r="C81" s="64">
        <v>87.93</v>
      </c>
      <c r="D81" s="64">
        <v>51.5</v>
      </c>
      <c r="E81" s="64">
        <v>17.84</v>
      </c>
      <c r="F81" s="64">
        <v>5.77</v>
      </c>
      <c r="G81" s="64">
        <v>88.62</v>
      </c>
      <c r="H81" s="64">
        <v>34.14</v>
      </c>
      <c r="I81" s="64">
        <v>4.6399999999999997</v>
      </c>
      <c r="J81" s="64">
        <v>0.98</v>
      </c>
      <c r="K81" s="64">
        <v>355.81</v>
      </c>
      <c r="L81" s="64">
        <v>19.22</v>
      </c>
      <c r="M81" s="64">
        <v>48.24</v>
      </c>
      <c r="N81" s="64">
        <v>30.1</v>
      </c>
      <c r="O81" s="64">
        <v>0</v>
      </c>
      <c r="P81" s="64">
        <v>1.23</v>
      </c>
      <c r="Q81" s="64">
        <v>8.66</v>
      </c>
      <c r="R81" s="196"/>
      <c r="S81" s="196"/>
      <c r="T81" s="196"/>
      <c r="U81" s="196"/>
    </row>
    <row r="82" spans="1:26" s="12" customFormat="1" x14ac:dyDescent="0.25">
      <c r="A82" s="211" t="s">
        <v>2048</v>
      </c>
      <c r="B82" s="64">
        <v>10.93</v>
      </c>
      <c r="C82" s="64">
        <v>81.209999999999994</v>
      </c>
      <c r="D82" s="64">
        <v>49.81</v>
      </c>
      <c r="E82" s="64">
        <v>14.96</v>
      </c>
      <c r="F82" s="64">
        <v>5.9</v>
      </c>
      <c r="G82" s="64">
        <v>99.55</v>
      </c>
      <c r="H82" s="64">
        <v>35.39</v>
      </c>
      <c r="I82" s="64">
        <v>4.34</v>
      </c>
      <c r="J82" s="64">
        <v>1.1599999999999999</v>
      </c>
      <c r="K82" s="64">
        <v>352.97</v>
      </c>
      <c r="L82" s="64">
        <v>18.93</v>
      </c>
      <c r="M82" s="64">
        <v>49.52</v>
      </c>
      <c r="N82" s="64">
        <v>30.1</v>
      </c>
      <c r="O82" s="64">
        <v>0</v>
      </c>
      <c r="P82" s="64">
        <v>1.32</v>
      </c>
      <c r="Q82" s="64">
        <v>8.4499999999999993</v>
      </c>
      <c r="R82" s="196"/>
      <c r="S82" s="196"/>
      <c r="T82" s="196"/>
      <c r="U82" s="196"/>
    </row>
    <row r="83" spans="1:26" s="12" customFormat="1" x14ac:dyDescent="0.25">
      <c r="A83" s="211" t="s">
        <v>2049</v>
      </c>
      <c r="B83" s="64">
        <v>13.24</v>
      </c>
      <c r="C83" s="64">
        <v>75.89</v>
      </c>
      <c r="D83" s="64">
        <v>48.89</v>
      </c>
      <c r="E83" s="64">
        <v>13.03</v>
      </c>
      <c r="F83" s="64">
        <v>5.42</v>
      </c>
      <c r="G83" s="64">
        <v>99.55</v>
      </c>
      <c r="H83" s="64">
        <v>35.39</v>
      </c>
      <c r="I83" s="64">
        <v>4.8</v>
      </c>
      <c r="J83" s="64">
        <v>0.95</v>
      </c>
      <c r="K83" s="64">
        <v>53.17</v>
      </c>
      <c r="L83" s="64">
        <v>18.75</v>
      </c>
      <c r="M83" s="64">
        <v>48.64</v>
      </c>
      <c r="N83" s="64">
        <v>30.2</v>
      </c>
      <c r="O83" s="64">
        <v>0</v>
      </c>
      <c r="P83" s="64">
        <v>1.35</v>
      </c>
      <c r="Q83" s="64">
        <v>8.5399999999999991</v>
      </c>
      <c r="R83" s="196"/>
      <c r="S83" s="196"/>
      <c r="T83" s="196"/>
      <c r="U83" s="196"/>
    </row>
    <row r="84" spans="1:26" s="12" customFormat="1" x14ac:dyDescent="0.25">
      <c r="A84" s="211" t="s">
        <v>2050</v>
      </c>
      <c r="B84" s="64">
        <v>13.76</v>
      </c>
      <c r="C84" s="64">
        <v>71.17</v>
      </c>
      <c r="D84" s="64">
        <v>46.84</v>
      </c>
      <c r="E84" s="64">
        <v>11.82</v>
      </c>
      <c r="F84" s="64">
        <v>4.88</v>
      </c>
      <c r="G84" s="64">
        <v>99.55</v>
      </c>
      <c r="H84" s="64">
        <v>35.39</v>
      </c>
      <c r="I84" s="64">
        <v>5.01</v>
      </c>
      <c r="J84" s="64">
        <v>0.23</v>
      </c>
      <c r="K84" s="64">
        <v>138.61000000000001</v>
      </c>
      <c r="L84" s="64">
        <v>18.5</v>
      </c>
      <c r="M84" s="64">
        <v>50.27</v>
      </c>
      <c r="N84" s="64">
        <v>30.3</v>
      </c>
      <c r="O84" s="64">
        <v>0</v>
      </c>
      <c r="P84" s="64">
        <v>1.33</v>
      </c>
      <c r="Q84" s="64">
        <v>8.43</v>
      </c>
      <c r="R84" s="196"/>
      <c r="S84" s="196"/>
      <c r="T84" s="196"/>
      <c r="U84" s="196"/>
    </row>
    <row r="85" spans="1:26" s="12" customFormat="1" x14ac:dyDescent="0.25">
      <c r="A85" s="211" t="s">
        <v>2051</v>
      </c>
      <c r="B85" s="64">
        <v>13.14</v>
      </c>
      <c r="C85" s="64">
        <v>66.63</v>
      </c>
      <c r="D85" s="64">
        <v>43.98</v>
      </c>
      <c r="E85" s="64">
        <v>10.28</v>
      </c>
      <c r="F85" s="64">
        <v>5.05</v>
      </c>
      <c r="G85" s="64">
        <v>102.39</v>
      </c>
      <c r="H85" s="64">
        <v>39.97</v>
      </c>
      <c r="I85" s="64">
        <v>4.95</v>
      </c>
      <c r="J85" s="64">
        <v>0.55000000000000004</v>
      </c>
      <c r="K85" s="64">
        <v>17.25</v>
      </c>
      <c r="L85" s="64">
        <v>18.25</v>
      </c>
      <c r="M85" s="64">
        <v>51.41</v>
      </c>
      <c r="N85" s="64">
        <v>30.2</v>
      </c>
      <c r="O85" s="64">
        <v>0</v>
      </c>
      <c r="P85" s="64">
        <v>1.21</v>
      </c>
      <c r="Q85" s="64">
        <v>8.48</v>
      </c>
      <c r="R85" s="196"/>
      <c r="S85" s="196"/>
      <c r="T85" s="196"/>
      <c r="U85" s="196"/>
    </row>
    <row r="86" spans="1:26" s="12" customFormat="1" x14ac:dyDescent="0.25">
      <c r="A86" s="211" t="s">
        <v>2052</v>
      </c>
      <c r="B86" s="64">
        <v>13.15</v>
      </c>
      <c r="C86" s="64">
        <v>63.35</v>
      </c>
      <c r="D86" s="64">
        <v>42.27</v>
      </c>
      <c r="E86" s="64">
        <v>9.25</v>
      </c>
      <c r="F86" s="64">
        <v>5.14</v>
      </c>
      <c r="G86" s="64">
        <v>104.11</v>
      </c>
      <c r="H86" s="64">
        <v>40.96</v>
      </c>
      <c r="I86" s="64">
        <v>4.95</v>
      </c>
      <c r="J86" s="64">
        <v>0.78</v>
      </c>
      <c r="K86" s="64">
        <v>20.34</v>
      </c>
      <c r="L86" s="64">
        <v>18.149999999999999</v>
      </c>
      <c r="M86" s="64">
        <v>51.93</v>
      </c>
      <c r="N86" s="64">
        <v>30.2</v>
      </c>
      <c r="O86" s="64">
        <v>0</v>
      </c>
      <c r="P86" s="64">
        <v>1.28</v>
      </c>
      <c r="Q86" s="64">
        <v>8.5500000000000007</v>
      </c>
      <c r="R86" s="196"/>
      <c r="S86" s="196"/>
      <c r="T86" s="196"/>
      <c r="U86" s="196"/>
    </row>
    <row r="87" spans="1:26" s="12" customFormat="1" x14ac:dyDescent="0.25">
      <c r="A87" s="211" t="s">
        <v>2053</v>
      </c>
      <c r="B87" s="64">
        <v>14</v>
      </c>
      <c r="C87" s="64">
        <v>60.91</v>
      </c>
      <c r="D87" s="64">
        <v>41.67</v>
      </c>
      <c r="E87" s="64">
        <v>8.43</v>
      </c>
      <c r="F87" s="64">
        <v>4.46</v>
      </c>
      <c r="G87" s="64">
        <v>104.11</v>
      </c>
      <c r="H87" s="64">
        <v>40.96</v>
      </c>
      <c r="I87" s="64">
        <v>5.0599999999999996</v>
      </c>
      <c r="J87" s="64">
        <v>0.57999999999999996</v>
      </c>
      <c r="K87" s="64">
        <v>320.64999999999998</v>
      </c>
      <c r="L87" s="64">
        <v>17.8</v>
      </c>
      <c r="M87" s="64">
        <v>56.35</v>
      </c>
      <c r="N87" s="64">
        <v>30.3</v>
      </c>
      <c r="O87" s="64">
        <v>0</v>
      </c>
      <c r="P87" s="64">
        <v>1.32</v>
      </c>
      <c r="Q87" s="64">
        <v>8.41</v>
      </c>
      <c r="R87" s="196"/>
      <c r="S87" s="196"/>
      <c r="T87" s="196"/>
      <c r="U87" s="196"/>
    </row>
    <row r="88" spans="1:26" s="12" customFormat="1" x14ac:dyDescent="0.25">
      <c r="A88" s="211" t="s">
        <v>2054</v>
      </c>
      <c r="B88" s="64">
        <v>16.149999999999999</v>
      </c>
      <c r="C88" s="64">
        <v>59.39</v>
      </c>
      <c r="D88" s="64">
        <v>42.61</v>
      </c>
      <c r="E88" s="64">
        <v>8.9499999999999993</v>
      </c>
      <c r="F88" s="64">
        <v>3.81</v>
      </c>
      <c r="G88" s="64">
        <v>104.11</v>
      </c>
      <c r="H88" s="64">
        <v>40.96</v>
      </c>
      <c r="I88" s="64">
        <v>5.16</v>
      </c>
      <c r="J88" s="64">
        <v>0.72</v>
      </c>
      <c r="K88" s="64">
        <v>314.82</v>
      </c>
      <c r="L88" s="64">
        <v>17.47</v>
      </c>
      <c r="M88" s="64">
        <v>63.74</v>
      </c>
      <c r="N88" s="64">
        <v>30.5</v>
      </c>
      <c r="O88" s="64">
        <v>0</v>
      </c>
      <c r="P88" s="64">
        <v>1.36</v>
      </c>
      <c r="Q88" s="64">
        <v>8.5500000000000007</v>
      </c>
      <c r="R88" s="196"/>
      <c r="S88" s="196"/>
      <c r="T88" s="196"/>
      <c r="U88" s="196"/>
    </row>
    <row r="89" spans="1:26" s="12" customFormat="1" x14ac:dyDescent="0.25">
      <c r="A89" s="211" t="s">
        <v>2055</v>
      </c>
      <c r="B89" s="64">
        <v>17.73</v>
      </c>
      <c r="C89" s="64">
        <v>56.62</v>
      </c>
      <c r="D89" s="64">
        <v>42.42</v>
      </c>
      <c r="E89" s="64">
        <v>8.5299999999999994</v>
      </c>
      <c r="F89" s="64">
        <v>4.1399999999999997</v>
      </c>
      <c r="G89" s="64">
        <v>105.04</v>
      </c>
      <c r="H89" s="64">
        <v>42.05</v>
      </c>
      <c r="I89" s="64">
        <v>5.36</v>
      </c>
      <c r="J89" s="64">
        <v>0.87</v>
      </c>
      <c r="K89" s="64">
        <v>314.8</v>
      </c>
      <c r="L89" s="64">
        <v>16.82</v>
      </c>
      <c r="M89" s="64">
        <v>64.83</v>
      </c>
      <c r="N89" s="64">
        <v>30.3</v>
      </c>
      <c r="O89" s="64">
        <v>0</v>
      </c>
      <c r="P89" s="64">
        <v>1.72</v>
      </c>
      <c r="Q89" s="64">
        <v>8.43</v>
      </c>
      <c r="R89" s="196"/>
      <c r="S89" s="196"/>
      <c r="T89" s="196"/>
      <c r="U89" s="196"/>
    </row>
    <row r="90" spans="1:26" s="12" customFormat="1" x14ac:dyDescent="0.25">
      <c r="A90" s="211" t="s">
        <v>2056</v>
      </c>
      <c r="B90" s="64">
        <v>19.350000000000001</v>
      </c>
      <c r="C90" s="64">
        <v>53.14</v>
      </c>
      <c r="D90" s="64">
        <v>41.9</v>
      </c>
      <c r="E90" s="64">
        <v>8.6300000000000008</v>
      </c>
      <c r="F90" s="64">
        <v>4.13</v>
      </c>
      <c r="G90" s="64">
        <v>105.6</v>
      </c>
      <c r="H90" s="64">
        <v>42.43</v>
      </c>
      <c r="I90" s="64">
        <v>5.5</v>
      </c>
      <c r="J90" s="64">
        <v>1.08</v>
      </c>
      <c r="K90" s="64">
        <v>318.24</v>
      </c>
      <c r="L90" s="64">
        <v>16.66</v>
      </c>
      <c r="M90" s="64">
        <v>65.34</v>
      </c>
      <c r="N90" s="64">
        <v>29.9</v>
      </c>
      <c r="O90" s="64">
        <v>0</v>
      </c>
      <c r="P90" s="64">
        <v>1.83</v>
      </c>
      <c r="Q90" s="64">
        <v>8.36</v>
      </c>
      <c r="R90" s="196"/>
      <c r="S90" s="196"/>
      <c r="T90" s="196"/>
      <c r="U90" s="196"/>
    </row>
    <row r="91" spans="1:26" s="12" customFormat="1" x14ac:dyDescent="0.25">
      <c r="A91" s="211" t="s">
        <v>2057</v>
      </c>
      <c r="B91" s="64">
        <v>21.69</v>
      </c>
      <c r="C91" s="64">
        <v>51.66</v>
      </c>
      <c r="D91" s="64">
        <v>43.01</v>
      </c>
      <c r="E91" s="64">
        <v>8.32</v>
      </c>
      <c r="F91" s="64">
        <v>3.62</v>
      </c>
      <c r="G91" s="64">
        <v>105.6</v>
      </c>
      <c r="H91" s="64">
        <v>42.43</v>
      </c>
      <c r="I91" s="64">
        <v>7.26</v>
      </c>
      <c r="J91" s="64">
        <v>0.5</v>
      </c>
      <c r="K91" s="64">
        <v>316.89</v>
      </c>
      <c r="L91" s="64">
        <v>16.87</v>
      </c>
      <c r="M91" s="64">
        <v>60.18</v>
      </c>
      <c r="N91" s="64">
        <v>29.9</v>
      </c>
      <c r="O91" s="64">
        <v>0</v>
      </c>
      <c r="P91" s="64">
        <v>1.57</v>
      </c>
      <c r="Q91" s="64">
        <v>8.42</v>
      </c>
      <c r="R91" s="196"/>
      <c r="S91" s="196"/>
      <c r="T91" s="196"/>
      <c r="U91" s="196"/>
    </row>
    <row r="92" spans="1:26" s="12" customFormat="1" x14ac:dyDescent="0.25">
      <c r="A92" s="211" t="s">
        <v>2058</v>
      </c>
      <c r="B92" s="64">
        <v>22.54</v>
      </c>
      <c r="C92" s="64">
        <v>50.14</v>
      </c>
      <c r="D92" s="64">
        <v>42.9</v>
      </c>
      <c r="E92" s="64">
        <v>8.58</v>
      </c>
      <c r="F92" s="64">
        <v>3.74</v>
      </c>
      <c r="G92" s="64">
        <v>105.6</v>
      </c>
      <c r="H92" s="64">
        <v>42.43</v>
      </c>
      <c r="I92" s="64">
        <v>7.33</v>
      </c>
      <c r="J92" s="64">
        <v>0.21</v>
      </c>
      <c r="K92" s="64">
        <v>94.67</v>
      </c>
      <c r="L92" s="64">
        <v>17.14</v>
      </c>
      <c r="M92" s="64">
        <v>57.36</v>
      </c>
      <c r="N92" s="64">
        <v>30.1</v>
      </c>
      <c r="O92" s="64">
        <v>0</v>
      </c>
      <c r="P92" s="64">
        <v>1.42</v>
      </c>
      <c r="Q92" s="64">
        <v>8.64</v>
      </c>
      <c r="R92" s="196"/>
      <c r="S92" s="196"/>
      <c r="T92" s="196"/>
      <c r="U92" s="196"/>
    </row>
    <row r="93" spans="1:26" s="12" customFormat="1" x14ac:dyDescent="0.25">
      <c r="A93" s="211" t="s">
        <v>2059</v>
      </c>
      <c r="B93" s="64">
        <v>22.47</v>
      </c>
      <c r="C93" s="64">
        <v>48.87</v>
      </c>
      <c r="D93" s="64">
        <v>42.17</v>
      </c>
      <c r="E93" s="64">
        <v>8.18</v>
      </c>
      <c r="F93" s="64">
        <v>4</v>
      </c>
      <c r="G93" s="64">
        <v>104</v>
      </c>
      <c r="H93" s="64">
        <v>42.72</v>
      </c>
      <c r="I93" s="64">
        <v>6.06</v>
      </c>
      <c r="J93" s="64">
        <v>0.48</v>
      </c>
      <c r="K93" s="64">
        <v>113.3</v>
      </c>
      <c r="L93" s="64">
        <v>17.25</v>
      </c>
      <c r="M93" s="64">
        <v>56.49</v>
      </c>
      <c r="N93" s="64">
        <v>29.8</v>
      </c>
      <c r="O93" s="64">
        <v>0</v>
      </c>
      <c r="P93" s="64">
        <v>1.35</v>
      </c>
      <c r="Q93" s="64">
        <v>8.77</v>
      </c>
      <c r="R93" s="196"/>
      <c r="S93" s="196"/>
      <c r="T93" s="196"/>
      <c r="U93" s="196"/>
    </row>
    <row r="94" spans="1:26" s="12" customFormat="1" x14ac:dyDescent="0.25">
      <c r="A94" s="211" t="s">
        <v>2060</v>
      </c>
      <c r="B94" s="64">
        <v>22.43</v>
      </c>
      <c r="C94" s="64">
        <v>47.54</v>
      </c>
      <c r="D94" s="64">
        <v>41.45</v>
      </c>
      <c r="E94" s="64">
        <v>7.44</v>
      </c>
      <c r="F94" s="64">
        <v>3.92</v>
      </c>
      <c r="G94" s="64">
        <v>103.02</v>
      </c>
      <c r="H94" s="64">
        <v>42.77</v>
      </c>
      <c r="I94" s="64">
        <v>5.61</v>
      </c>
      <c r="J94" s="64">
        <v>0.65</v>
      </c>
      <c r="K94" s="64">
        <v>322.97000000000003</v>
      </c>
      <c r="L94" s="64">
        <v>17.09</v>
      </c>
      <c r="M94" s="64">
        <v>59.4</v>
      </c>
      <c r="N94" s="64">
        <v>30.4</v>
      </c>
      <c r="O94" s="64">
        <v>0</v>
      </c>
      <c r="P94" s="64">
        <v>1.45</v>
      </c>
      <c r="Q94" s="64">
        <v>8.75</v>
      </c>
      <c r="R94" s="196"/>
      <c r="S94" s="196"/>
      <c r="T94" s="196"/>
      <c r="U94" s="196"/>
    </row>
    <row r="95" spans="1:26" s="12" customFormat="1" x14ac:dyDescent="0.25">
      <c r="A95" s="211" t="s">
        <v>2061</v>
      </c>
      <c r="B95" s="64">
        <v>24.5</v>
      </c>
      <c r="C95" s="64">
        <v>46.66</v>
      </c>
      <c r="D95" s="64">
        <v>42.65</v>
      </c>
      <c r="E95" s="64">
        <v>7.63</v>
      </c>
      <c r="F95" s="64">
        <v>3.87</v>
      </c>
      <c r="G95" s="64">
        <v>103.02</v>
      </c>
      <c r="H95" s="64">
        <v>42.77</v>
      </c>
      <c r="I95" s="64">
        <v>5.65</v>
      </c>
      <c r="J95" s="64">
        <v>0.1</v>
      </c>
      <c r="K95" s="64">
        <v>5.15</v>
      </c>
      <c r="L95" s="64">
        <v>16.59</v>
      </c>
      <c r="M95" s="64">
        <v>62.1</v>
      </c>
      <c r="N95" s="64">
        <v>30.1</v>
      </c>
      <c r="O95" s="64">
        <v>0</v>
      </c>
      <c r="P95" s="64">
        <v>1.52</v>
      </c>
      <c r="Q95" s="64">
        <v>8.7799999999999994</v>
      </c>
      <c r="R95" s="196"/>
      <c r="S95" s="196"/>
      <c r="T95" s="196"/>
      <c r="U95" s="196"/>
    </row>
    <row r="96" spans="1:26" s="12" customFormat="1" x14ac:dyDescent="0.25">
      <c r="A96" s="211" t="s">
        <v>2062</v>
      </c>
      <c r="B96" s="64">
        <v>25.97</v>
      </c>
      <c r="C96" s="64">
        <v>45.87</v>
      </c>
      <c r="D96" s="64">
        <v>43.42</v>
      </c>
      <c r="E96" s="64">
        <v>7.66</v>
      </c>
      <c r="F96" s="64">
        <v>3.91</v>
      </c>
      <c r="G96" s="64">
        <v>103.02</v>
      </c>
      <c r="H96" s="64">
        <v>42.77</v>
      </c>
      <c r="I96" s="64">
        <v>5.83</v>
      </c>
      <c r="J96" s="64">
        <v>0.11</v>
      </c>
      <c r="K96" s="64">
        <v>226.83</v>
      </c>
      <c r="L96" s="64">
        <v>16.97</v>
      </c>
      <c r="M96" s="64">
        <v>57.81</v>
      </c>
      <c r="N96" s="64">
        <v>29.9</v>
      </c>
      <c r="O96" s="64">
        <v>0</v>
      </c>
      <c r="P96" s="64">
        <v>1.32</v>
      </c>
      <c r="Q96" s="64">
        <v>8.93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2063</v>
      </c>
      <c r="B97" s="64">
        <v>26.05</v>
      </c>
      <c r="C97" s="64">
        <v>45.13</v>
      </c>
      <c r="D97" s="64">
        <v>43.09</v>
      </c>
      <c r="E97" s="64">
        <v>7.89</v>
      </c>
      <c r="F97" s="64">
        <v>3.71</v>
      </c>
      <c r="G97" s="64">
        <v>103.98</v>
      </c>
      <c r="H97" s="64">
        <v>46.54</v>
      </c>
      <c r="I97" s="64">
        <v>5.67</v>
      </c>
      <c r="J97" s="64">
        <v>0.84</v>
      </c>
      <c r="K97" s="64">
        <v>307.11</v>
      </c>
      <c r="L97" s="64">
        <v>16.73</v>
      </c>
      <c r="M97" s="64">
        <v>59.9</v>
      </c>
      <c r="N97" s="64">
        <v>30.4</v>
      </c>
      <c r="O97" s="64">
        <v>0</v>
      </c>
      <c r="P97" s="64">
        <v>1.48</v>
      </c>
      <c r="Q97" s="64">
        <v>8.74</v>
      </c>
      <c r="R97" s="196"/>
      <c r="S97" s="196"/>
      <c r="T97" s="196"/>
      <c r="U97" s="196"/>
    </row>
    <row r="98" spans="1:33" s="12" customFormat="1" x14ac:dyDescent="0.25">
      <c r="A98" s="211" t="s">
        <v>2064</v>
      </c>
      <c r="B98" s="64">
        <v>26.07</v>
      </c>
      <c r="C98" s="64">
        <v>46.42</v>
      </c>
      <c r="D98" s="64">
        <v>43.79</v>
      </c>
      <c r="E98" s="64">
        <v>7.86</v>
      </c>
      <c r="F98" s="64">
        <v>3.71</v>
      </c>
      <c r="G98" s="64">
        <v>104.57</v>
      </c>
      <c r="H98" s="64">
        <v>47.29</v>
      </c>
      <c r="I98" s="64">
        <v>5.63</v>
      </c>
      <c r="J98" s="64">
        <v>0.7</v>
      </c>
      <c r="K98" s="64">
        <v>285.60000000000002</v>
      </c>
      <c r="L98" s="64">
        <v>16.5</v>
      </c>
      <c r="M98" s="64">
        <v>60.03</v>
      </c>
      <c r="N98" s="64">
        <v>30.3</v>
      </c>
      <c r="O98" s="64">
        <v>0</v>
      </c>
      <c r="P98" s="64">
        <v>1.44</v>
      </c>
      <c r="Q98" s="64">
        <v>8.9499999999999993</v>
      </c>
      <c r="R98" s="196"/>
      <c r="S98" s="196"/>
      <c r="T98" s="196"/>
      <c r="U98" s="196"/>
    </row>
    <row r="99" spans="1:33" s="12" customFormat="1" x14ac:dyDescent="0.25">
      <c r="A99" s="211" t="s">
        <v>2065</v>
      </c>
      <c r="B99" s="64">
        <v>25.93</v>
      </c>
      <c r="C99" s="64">
        <v>47.54</v>
      </c>
      <c r="D99" s="64">
        <v>44.26</v>
      </c>
      <c r="E99" s="64">
        <v>7.84</v>
      </c>
      <c r="F99" s="64">
        <v>3.98</v>
      </c>
      <c r="G99" s="64">
        <v>104.57</v>
      </c>
      <c r="H99" s="64">
        <v>47.29</v>
      </c>
      <c r="I99" s="64">
        <v>6.22</v>
      </c>
      <c r="J99" s="64">
        <v>0.76</v>
      </c>
      <c r="K99" s="64">
        <v>321.42</v>
      </c>
      <c r="L99" s="64">
        <v>16.010000000000002</v>
      </c>
      <c r="M99" s="64">
        <v>68.83</v>
      </c>
      <c r="N99" s="64">
        <v>30.7</v>
      </c>
      <c r="O99" s="64">
        <v>0</v>
      </c>
      <c r="P99" s="64">
        <v>1.45</v>
      </c>
      <c r="Q99" s="64">
        <v>8.9700000000000006</v>
      </c>
      <c r="R99" s="196"/>
      <c r="S99" s="196"/>
      <c r="T99" s="196"/>
      <c r="U99" s="196"/>
    </row>
    <row r="100" spans="1:33" s="12" customFormat="1" x14ac:dyDescent="0.25">
      <c r="A100" s="211" t="s">
        <v>2066</v>
      </c>
      <c r="B100" s="64">
        <v>27.76</v>
      </c>
      <c r="C100" s="64">
        <v>48.05</v>
      </c>
      <c r="D100" s="64">
        <v>45.99</v>
      </c>
      <c r="E100" s="64">
        <v>7.92</v>
      </c>
      <c r="F100" s="64">
        <v>4</v>
      </c>
      <c r="G100" s="64">
        <v>104.57</v>
      </c>
      <c r="H100" s="64">
        <v>47.29</v>
      </c>
      <c r="I100" s="64">
        <v>6.3</v>
      </c>
      <c r="J100" s="64">
        <v>1.01</v>
      </c>
      <c r="K100" s="64">
        <v>275.67</v>
      </c>
      <c r="L100" s="64">
        <v>15.43</v>
      </c>
      <c r="M100" s="64">
        <v>67.75</v>
      </c>
      <c r="N100" s="64">
        <v>30.6</v>
      </c>
      <c r="O100" s="64">
        <v>0</v>
      </c>
      <c r="P100" s="64">
        <v>1.45</v>
      </c>
      <c r="Q100" s="64">
        <v>8.9499999999999993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2067</v>
      </c>
      <c r="B101" s="64">
        <v>30.11</v>
      </c>
      <c r="C101" s="64">
        <v>48.53</v>
      </c>
      <c r="D101" s="64">
        <v>48.13</v>
      </c>
      <c r="E101" s="64">
        <v>7.82</v>
      </c>
      <c r="F101" s="64">
        <v>4.0199999999999996</v>
      </c>
      <c r="G101" s="64">
        <v>102.36</v>
      </c>
      <c r="H101" s="64">
        <v>47.98</v>
      </c>
      <c r="I101" s="64">
        <v>6.27</v>
      </c>
      <c r="J101" s="64">
        <v>1.07</v>
      </c>
      <c r="K101" s="64">
        <v>342.68</v>
      </c>
      <c r="L101" s="64">
        <v>14.99</v>
      </c>
      <c r="M101" s="64">
        <v>73.14</v>
      </c>
      <c r="N101" s="64">
        <v>30.6</v>
      </c>
      <c r="O101" s="64">
        <v>0</v>
      </c>
      <c r="P101" s="64">
        <v>1.46</v>
      </c>
      <c r="Q101" s="64">
        <v>9.0500000000000007</v>
      </c>
      <c r="R101" s="196"/>
      <c r="S101" s="196"/>
      <c r="T101" s="196"/>
      <c r="U101" s="196"/>
    </row>
    <row r="102" spans="1:33" s="12" customFormat="1" x14ac:dyDescent="0.25">
      <c r="A102" s="211" t="s">
        <v>2068</v>
      </c>
      <c r="B102" s="64">
        <v>35.130000000000003</v>
      </c>
      <c r="C102" s="64">
        <v>49.41</v>
      </c>
      <c r="D102" s="64">
        <v>52.61</v>
      </c>
      <c r="E102" s="64">
        <v>7.62</v>
      </c>
      <c r="F102" s="64">
        <v>3.98</v>
      </c>
      <c r="G102" s="64">
        <v>101.02</v>
      </c>
      <c r="H102" s="64">
        <v>48.12</v>
      </c>
      <c r="I102" s="64">
        <v>6.26</v>
      </c>
      <c r="J102" s="64">
        <v>0.76</v>
      </c>
      <c r="K102" s="64">
        <v>300.33</v>
      </c>
      <c r="L102" s="64">
        <v>14.71</v>
      </c>
      <c r="M102" s="64">
        <v>74.19</v>
      </c>
      <c r="N102" s="64">
        <v>30.5</v>
      </c>
      <c r="O102" s="64">
        <v>0</v>
      </c>
      <c r="P102" s="64">
        <v>1.46</v>
      </c>
      <c r="Q102" s="64">
        <v>9.33</v>
      </c>
      <c r="R102" s="196"/>
      <c r="S102" s="196"/>
      <c r="T102" s="196"/>
      <c r="U102" s="196"/>
    </row>
    <row r="103" spans="1:33" s="12" customFormat="1" x14ac:dyDescent="0.25">
      <c r="A103" s="211" t="s">
        <v>2069</v>
      </c>
      <c r="B103" s="64">
        <v>41.51</v>
      </c>
      <c r="C103" s="64">
        <v>50.34</v>
      </c>
      <c r="D103" s="64">
        <v>58.21</v>
      </c>
      <c r="E103" s="64">
        <v>7.55</v>
      </c>
      <c r="F103" s="64">
        <v>3.9</v>
      </c>
      <c r="G103" s="64">
        <v>101.02</v>
      </c>
      <c r="H103" s="64">
        <v>48.12</v>
      </c>
      <c r="I103" s="64">
        <v>6.24</v>
      </c>
      <c r="J103" s="64">
        <v>1.06</v>
      </c>
      <c r="K103" s="64">
        <v>325.41000000000003</v>
      </c>
      <c r="L103" s="64">
        <v>14.64</v>
      </c>
      <c r="M103" s="64">
        <v>76.319999999999993</v>
      </c>
      <c r="N103" s="64">
        <v>30.4</v>
      </c>
      <c r="O103" s="64">
        <v>0</v>
      </c>
      <c r="P103" s="64">
        <v>1.47</v>
      </c>
      <c r="Q103" s="64">
        <v>9.7100000000000009</v>
      </c>
      <c r="R103" s="196"/>
      <c r="S103" s="196"/>
      <c r="T103" s="196"/>
      <c r="U103" s="196"/>
    </row>
    <row r="104" spans="1:33" s="12" customFormat="1" x14ac:dyDescent="0.25">
      <c r="A104" s="211" t="s">
        <v>2070</v>
      </c>
      <c r="B104" s="64">
        <v>46.7</v>
      </c>
      <c r="C104" s="64">
        <v>50.85</v>
      </c>
      <c r="D104" s="64">
        <v>62.64</v>
      </c>
      <c r="E104" s="64">
        <v>6.13</v>
      </c>
      <c r="F104" s="64">
        <v>3.89</v>
      </c>
      <c r="G104" s="64">
        <v>101.02</v>
      </c>
      <c r="H104" s="64">
        <v>48.12</v>
      </c>
      <c r="I104" s="64">
        <v>6.21</v>
      </c>
      <c r="J104" s="64">
        <v>1.1100000000000001</v>
      </c>
      <c r="K104" s="64">
        <v>336.79</v>
      </c>
      <c r="L104" s="64">
        <v>14.47</v>
      </c>
      <c r="M104" s="64">
        <v>83.08</v>
      </c>
      <c r="N104" s="64">
        <v>30.5</v>
      </c>
      <c r="O104" s="64">
        <v>0</v>
      </c>
      <c r="P104" s="64">
        <v>1.47</v>
      </c>
      <c r="Q104" s="64">
        <v>9.7799999999999994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2.83</v>
      </c>
      <c r="C106" s="67">
        <f>MIN(C9:C104)</f>
        <v>34.479999999999997</v>
      </c>
      <c r="D106" s="67">
        <f t="shared" ref="D106:Q106" si="0">MIN(D9:D104)</f>
        <v>24.92</v>
      </c>
      <c r="E106" s="67">
        <f t="shared" si="0"/>
        <v>4.6500000000000004</v>
      </c>
      <c r="F106" s="67">
        <f t="shared" si="0"/>
        <v>3.53</v>
      </c>
      <c r="G106" s="67">
        <f t="shared" si="0"/>
        <v>26.54</v>
      </c>
      <c r="H106" s="67">
        <f t="shared" si="0"/>
        <v>23.17</v>
      </c>
      <c r="I106" s="67">
        <f t="shared" si="0"/>
        <v>2.82</v>
      </c>
      <c r="J106" s="67">
        <f t="shared" si="0"/>
        <v>0.03</v>
      </c>
      <c r="K106" s="67">
        <f t="shared" si="0"/>
        <v>5.15</v>
      </c>
      <c r="L106" s="67">
        <f t="shared" si="0"/>
        <v>11.48</v>
      </c>
      <c r="M106" s="67">
        <f t="shared" si="0"/>
        <v>31.45</v>
      </c>
      <c r="N106" s="67">
        <f t="shared" si="0"/>
        <v>25.1</v>
      </c>
      <c r="O106" s="67">
        <f t="shared" si="0"/>
        <v>0</v>
      </c>
      <c r="P106" s="67">
        <f t="shared" si="0"/>
        <v>0.66</v>
      </c>
      <c r="Q106" s="67">
        <f t="shared" si="0"/>
        <v>0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70.569999999999993</v>
      </c>
      <c r="C107" s="66">
        <f t="shared" ref="C107:Q107" si="1">MAX(C9:C104)</f>
        <v>113.8</v>
      </c>
      <c r="D107" s="66">
        <f t="shared" si="1"/>
        <v>79.31</v>
      </c>
      <c r="E107" s="66">
        <f t="shared" si="1"/>
        <v>53.98</v>
      </c>
      <c r="F107" s="66">
        <f t="shared" si="1"/>
        <v>17.25</v>
      </c>
      <c r="G107" s="66">
        <f t="shared" si="1"/>
        <v>134.59</v>
      </c>
      <c r="H107" s="66">
        <f t="shared" si="1"/>
        <v>74.489999999999995</v>
      </c>
      <c r="I107" s="66">
        <f t="shared" si="1"/>
        <v>7.73</v>
      </c>
      <c r="J107" s="66">
        <f t="shared" si="1"/>
        <v>2.25</v>
      </c>
      <c r="K107" s="66">
        <f t="shared" si="1"/>
        <v>358.87</v>
      </c>
      <c r="L107" s="66">
        <f t="shared" si="1"/>
        <v>26.31</v>
      </c>
      <c r="M107" s="66">
        <f t="shared" si="1"/>
        <v>98.06</v>
      </c>
      <c r="N107" s="66">
        <f t="shared" si="1"/>
        <v>591.4</v>
      </c>
      <c r="O107" s="66">
        <f t="shared" si="1"/>
        <v>0</v>
      </c>
      <c r="P107" s="66">
        <f t="shared" si="1"/>
        <v>1.83</v>
      </c>
      <c r="Q107" s="66">
        <f t="shared" si="1"/>
        <v>9.92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28.09375</v>
      </c>
      <c r="C108" s="67">
        <f t="shared" ref="C108:Q108" si="2">AVERAGE(C9:C104)</f>
        <v>49.452604166666674</v>
      </c>
      <c r="D108" s="67">
        <f t="shared" si="2"/>
        <v>46.990000000000009</v>
      </c>
      <c r="E108" s="67">
        <f t="shared" si="2"/>
        <v>9.1041666666666679</v>
      </c>
      <c r="F108" s="67">
        <f t="shared" si="2"/>
        <v>5.0017708333333326</v>
      </c>
      <c r="G108" s="67">
        <f t="shared" si="2"/>
        <v>102.77129032258064</v>
      </c>
      <c r="H108" s="67">
        <f t="shared" si="2"/>
        <v>47.072173913043443</v>
      </c>
      <c r="I108" s="67">
        <f t="shared" si="2"/>
        <v>5.8602083333333335</v>
      </c>
      <c r="J108" s="67">
        <f t="shared" si="2"/>
        <v>0.76479166666666654</v>
      </c>
      <c r="K108" s="67">
        <f t="shared" si="2"/>
        <v>257.50229166666674</v>
      </c>
      <c r="L108" s="67">
        <f t="shared" si="2"/>
        <v>18.494166666666668</v>
      </c>
      <c r="M108" s="67">
        <f t="shared" si="2"/>
        <v>58.49010416666669</v>
      </c>
      <c r="N108" s="67">
        <f t="shared" si="2"/>
        <v>146.56562499999995</v>
      </c>
      <c r="O108" s="67">
        <f t="shared" si="2"/>
        <v>0</v>
      </c>
      <c r="P108" s="67">
        <f t="shared" si="2"/>
        <v>1.1306249999999995</v>
      </c>
      <c r="Q108" s="67">
        <f t="shared" si="2"/>
        <v>8.930520833333329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18.775517723606807</v>
      </c>
      <c r="C109" s="67">
        <f t="shared" ref="C109:Q109" si="3">STDEV(C9:C104)</f>
        <v>14.497789105115379</v>
      </c>
      <c r="D109" s="67">
        <f t="shared" si="3"/>
        <v>13.811573636475618</v>
      </c>
      <c r="E109" s="67">
        <f t="shared" si="3"/>
        <v>8.0094873568349065</v>
      </c>
      <c r="F109" s="67">
        <f t="shared" si="3"/>
        <v>2.557183069745494</v>
      </c>
      <c r="G109" s="67">
        <f t="shared" si="3"/>
        <v>20.982539543827304</v>
      </c>
      <c r="H109" s="67">
        <f t="shared" si="3"/>
        <v>12.461249106253559</v>
      </c>
      <c r="I109" s="67">
        <f t="shared" si="3"/>
        <v>1.0364808670300181</v>
      </c>
      <c r="J109" s="67">
        <f t="shared" si="3"/>
        <v>0.47852840022778353</v>
      </c>
      <c r="K109" s="67">
        <f t="shared" si="3"/>
        <v>113.61772894902914</v>
      </c>
      <c r="L109" s="67">
        <f t="shared" si="3"/>
        <v>4.5600054632161724</v>
      </c>
      <c r="M109" s="67">
        <f t="shared" si="3"/>
        <v>20.657541479784857</v>
      </c>
      <c r="N109" s="67">
        <f t="shared" si="3"/>
        <v>186.80282192623665</v>
      </c>
      <c r="O109" s="67">
        <f t="shared" si="3"/>
        <v>0</v>
      </c>
      <c r="P109" s="67">
        <f t="shared" si="3"/>
        <v>0.26292209172260633</v>
      </c>
      <c r="Q109" s="67">
        <f t="shared" si="3"/>
        <v>2.1410643540030625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2071</v>
      </c>
      <c r="B9" s="64">
        <v>50.73</v>
      </c>
      <c r="C9" s="64">
        <v>50.89</v>
      </c>
      <c r="D9" s="64">
        <v>65.89</v>
      </c>
      <c r="E9" s="64">
        <v>6.48</v>
      </c>
      <c r="F9" s="64">
        <v>3.9</v>
      </c>
      <c r="G9" s="64">
        <v>107.78</v>
      </c>
      <c r="H9" s="64">
        <v>50.62</v>
      </c>
      <c r="I9" s="64">
        <v>6.16</v>
      </c>
      <c r="J9" s="64">
        <v>1.1399999999999999</v>
      </c>
      <c r="K9" s="64">
        <v>321.39999999999998</v>
      </c>
      <c r="L9" s="64">
        <v>14.21</v>
      </c>
      <c r="M9" s="64">
        <v>85.64</v>
      </c>
      <c r="N9" s="64">
        <v>30.4</v>
      </c>
      <c r="O9" s="64">
        <v>0</v>
      </c>
      <c r="P9" s="64">
        <v>1.46</v>
      </c>
      <c r="Q9" s="64">
        <v>9.84</v>
      </c>
      <c r="R9" s="196"/>
      <c r="S9" s="196"/>
      <c r="T9" s="196"/>
      <c r="U9" s="196"/>
    </row>
    <row r="10" spans="1:21" s="12" customFormat="1" x14ac:dyDescent="0.25">
      <c r="A10" s="211" t="s">
        <v>2072</v>
      </c>
      <c r="B10" s="64">
        <v>51.52</v>
      </c>
      <c r="C10" s="64">
        <v>48.4</v>
      </c>
      <c r="D10" s="64">
        <v>65.23</v>
      </c>
      <c r="E10" s="64">
        <v>6.5</v>
      </c>
      <c r="F10" s="64">
        <v>4</v>
      </c>
      <c r="G10" s="64">
        <v>111.89</v>
      </c>
      <c r="H10" s="64">
        <v>51.45</v>
      </c>
      <c r="I10" s="64">
        <v>6.13</v>
      </c>
      <c r="J10" s="64">
        <v>0.12</v>
      </c>
      <c r="K10" s="64">
        <v>146.25</v>
      </c>
      <c r="L10" s="64">
        <v>14.09</v>
      </c>
      <c r="M10" s="64">
        <v>81.92</v>
      </c>
      <c r="N10" s="64">
        <v>30.4</v>
      </c>
      <c r="O10" s="64">
        <v>0</v>
      </c>
      <c r="P10" s="64">
        <v>1.39</v>
      </c>
      <c r="Q10" s="64">
        <v>9.81</v>
      </c>
      <c r="R10" s="196"/>
      <c r="S10" s="196"/>
      <c r="T10" s="196"/>
      <c r="U10" s="196"/>
    </row>
    <row r="11" spans="1:21" s="12" customFormat="1" x14ac:dyDescent="0.25">
      <c r="A11" s="211" t="s">
        <v>2073</v>
      </c>
      <c r="B11" s="64">
        <v>49.95</v>
      </c>
      <c r="C11" s="64">
        <v>46.47</v>
      </c>
      <c r="D11" s="64">
        <v>62.96</v>
      </c>
      <c r="E11" s="64">
        <v>6.44</v>
      </c>
      <c r="F11" s="64">
        <v>3.94</v>
      </c>
      <c r="G11" s="64">
        <v>111.89</v>
      </c>
      <c r="H11" s="64">
        <v>51.45</v>
      </c>
      <c r="I11" s="64">
        <v>5.98</v>
      </c>
      <c r="J11" s="64">
        <v>1.07</v>
      </c>
      <c r="K11" s="64">
        <v>317.64999999999998</v>
      </c>
      <c r="L11" s="64">
        <v>14.22</v>
      </c>
      <c r="M11" s="64">
        <v>79.41</v>
      </c>
      <c r="N11" s="64">
        <v>30.5</v>
      </c>
      <c r="O11" s="64">
        <v>0</v>
      </c>
      <c r="P11" s="64">
        <v>1.36</v>
      </c>
      <c r="Q11" s="64">
        <v>9.85</v>
      </c>
      <c r="R11" s="196"/>
      <c r="S11" s="196"/>
      <c r="T11" s="196"/>
      <c r="U11" s="196"/>
    </row>
    <row r="12" spans="1:21" s="12" customFormat="1" x14ac:dyDescent="0.25">
      <c r="A12" s="211" t="s">
        <v>2074</v>
      </c>
      <c r="B12" s="64">
        <v>48.67</v>
      </c>
      <c r="C12" s="64">
        <v>45.61</v>
      </c>
      <c r="D12" s="64">
        <v>61.48</v>
      </c>
      <c r="E12" s="64">
        <v>6.38</v>
      </c>
      <c r="F12" s="64">
        <v>3.68</v>
      </c>
      <c r="G12" s="64">
        <v>111.89</v>
      </c>
      <c r="H12" s="64">
        <v>51.45</v>
      </c>
      <c r="I12" s="64">
        <v>5.81</v>
      </c>
      <c r="J12" s="64">
        <v>1.08</v>
      </c>
      <c r="K12" s="64">
        <v>333.67</v>
      </c>
      <c r="L12" s="64">
        <v>14.07</v>
      </c>
      <c r="M12" s="64">
        <v>82.96</v>
      </c>
      <c r="N12" s="64">
        <v>30.6</v>
      </c>
      <c r="O12" s="64">
        <v>0</v>
      </c>
      <c r="P12" s="64">
        <v>1.34</v>
      </c>
      <c r="Q12" s="64">
        <v>9.8699999999999992</v>
      </c>
      <c r="R12" s="196"/>
      <c r="S12" s="196"/>
      <c r="T12" s="196"/>
      <c r="U12" s="196"/>
    </row>
    <row r="13" spans="1:21" s="12" customFormat="1" x14ac:dyDescent="0.25">
      <c r="A13" s="211" t="s">
        <v>2075</v>
      </c>
      <c r="B13" s="64">
        <v>47.42</v>
      </c>
      <c r="C13" s="64">
        <v>44.38</v>
      </c>
      <c r="D13" s="64">
        <v>59.84</v>
      </c>
      <c r="E13" s="64">
        <v>6.44</v>
      </c>
      <c r="F13" s="64">
        <v>3.72</v>
      </c>
      <c r="G13" s="64">
        <v>107.61</v>
      </c>
      <c r="H13" s="64">
        <v>48.1</v>
      </c>
      <c r="I13" s="64">
        <v>5.79</v>
      </c>
      <c r="J13" s="64">
        <v>0.92</v>
      </c>
      <c r="K13" s="64">
        <v>339.62</v>
      </c>
      <c r="L13" s="64">
        <v>13.78</v>
      </c>
      <c r="M13" s="64">
        <v>84.42</v>
      </c>
      <c r="N13" s="64">
        <v>30.7</v>
      </c>
      <c r="O13" s="64">
        <v>0</v>
      </c>
      <c r="P13" s="64">
        <v>1.31</v>
      </c>
      <c r="Q13" s="64">
        <v>9.9499999999999993</v>
      </c>
      <c r="R13" s="196"/>
      <c r="S13" s="196"/>
      <c r="T13" s="196"/>
      <c r="U13" s="196"/>
    </row>
    <row r="14" spans="1:21" s="12" customFormat="1" x14ac:dyDescent="0.25">
      <c r="A14" s="211" t="s">
        <v>2076</v>
      </c>
      <c r="B14" s="64">
        <v>46.1</v>
      </c>
      <c r="C14" s="64">
        <v>43.35</v>
      </c>
      <c r="D14" s="64">
        <v>58.24</v>
      </c>
      <c r="E14" s="64">
        <v>6.32</v>
      </c>
      <c r="F14" s="64">
        <v>3.75</v>
      </c>
      <c r="G14" s="64">
        <v>105.01</v>
      </c>
      <c r="H14" s="64">
        <v>47.37</v>
      </c>
      <c r="I14" s="64">
        <v>5.93</v>
      </c>
      <c r="J14" s="64">
        <v>0.96</v>
      </c>
      <c r="K14" s="64">
        <v>312.81</v>
      </c>
      <c r="L14" s="64">
        <v>13.61</v>
      </c>
      <c r="M14" s="64">
        <v>87.08</v>
      </c>
      <c r="N14" s="64">
        <v>30.6</v>
      </c>
      <c r="O14" s="64">
        <v>0</v>
      </c>
      <c r="P14" s="64">
        <v>1.31</v>
      </c>
      <c r="Q14" s="64">
        <v>10.029999999999999</v>
      </c>
      <c r="R14" s="196"/>
      <c r="S14" s="196"/>
      <c r="T14" s="196"/>
      <c r="U14" s="196"/>
    </row>
    <row r="15" spans="1:21" s="12" customFormat="1" x14ac:dyDescent="0.25">
      <c r="A15" s="211" t="s">
        <v>2077</v>
      </c>
      <c r="B15" s="64">
        <v>44.65</v>
      </c>
      <c r="C15" s="64">
        <v>42.52</v>
      </c>
      <c r="D15" s="64">
        <v>56.65</v>
      </c>
      <c r="E15" s="64">
        <v>6.56</v>
      </c>
      <c r="F15" s="64">
        <v>3.63</v>
      </c>
      <c r="G15" s="64">
        <v>105.01</v>
      </c>
      <c r="H15" s="64">
        <v>47.37</v>
      </c>
      <c r="I15" s="64">
        <v>6</v>
      </c>
      <c r="J15" s="64">
        <v>0.55000000000000004</v>
      </c>
      <c r="K15" s="64">
        <v>97.01</v>
      </c>
      <c r="L15" s="64">
        <v>13.82</v>
      </c>
      <c r="M15" s="64">
        <v>79.22</v>
      </c>
      <c r="N15" s="64">
        <v>30.3</v>
      </c>
      <c r="O15" s="64">
        <v>0</v>
      </c>
      <c r="P15" s="64">
        <v>1.23</v>
      </c>
      <c r="Q15" s="64">
        <v>10.050000000000001</v>
      </c>
      <c r="R15" s="196"/>
      <c r="S15" s="196"/>
      <c r="T15" s="196"/>
      <c r="U15" s="196"/>
    </row>
    <row r="16" spans="1:21" s="12" customFormat="1" x14ac:dyDescent="0.25">
      <c r="A16" s="211" t="s">
        <v>2078</v>
      </c>
      <c r="B16" s="64">
        <v>42.72</v>
      </c>
      <c r="C16" s="64">
        <v>41.36</v>
      </c>
      <c r="D16" s="64">
        <v>54.49</v>
      </c>
      <c r="E16" s="64">
        <v>7.03</v>
      </c>
      <c r="F16" s="64">
        <v>3.85</v>
      </c>
      <c r="G16" s="64">
        <v>105.01</v>
      </c>
      <c r="H16" s="64">
        <v>47.37</v>
      </c>
      <c r="I16" s="64">
        <v>6.15</v>
      </c>
      <c r="J16" s="64">
        <v>0.46</v>
      </c>
      <c r="K16" s="64">
        <v>74.41</v>
      </c>
      <c r="L16" s="64">
        <v>14.16</v>
      </c>
      <c r="M16" s="64">
        <v>74.569999999999993</v>
      </c>
      <c r="N16" s="64">
        <v>30.3</v>
      </c>
      <c r="O16" s="64">
        <v>0</v>
      </c>
      <c r="P16" s="64">
        <v>1.25</v>
      </c>
      <c r="Q16" s="64">
        <v>10.210000000000001</v>
      </c>
      <c r="R16" s="196"/>
      <c r="S16" s="196"/>
      <c r="T16" s="196"/>
      <c r="U16" s="196"/>
    </row>
    <row r="17" spans="1:21" s="12" customFormat="1" x14ac:dyDescent="0.25">
      <c r="A17" s="211" t="s">
        <v>2079</v>
      </c>
      <c r="B17" s="64">
        <v>40.58</v>
      </c>
      <c r="C17" s="64">
        <v>41.18</v>
      </c>
      <c r="D17" s="64">
        <v>52.68</v>
      </c>
      <c r="E17" s="64">
        <v>6.4</v>
      </c>
      <c r="F17" s="64">
        <v>3.68</v>
      </c>
      <c r="G17" s="64">
        <v>105</v>
      </c>
      <c r="H17" s="64">
        <v>50.96</v>
      </c>
      <c r="I17" s="64">
        <v>6.52</v>
      </c>
      <c r="J17" s="64">
        <v>0.9</v>
      </c>
      <c r="K17" s="64">
        <v>322.22000000000003</v>
      </c>
      <c r="L17" s="64">
        <v>14.04</v>
      </c>
      <c r="M17" s="64">
        <v>77.45</v>
      </c>
      <c r="N17" s="64">
        <v>30.7</v>
      </c>
      <c r="O17" s="64">
        <v>0</v>
      </c>
      <c r="P17" s="64">
        <v>1.26</v>
      </c>
      <c r="Q17" s="64">
        <v>10.3</v>
      </c>
      <c r="R17" s="196"/>
      <c r="S17" s="196"/>
      <c r="T17" s="196"/>
      <c r="U17" s="196"/>
    </row>
    <row r="18" spans="1:21" s="12" customFormat="1" x14ac:dyDescent="0.25">
      <c r="A18" s="211" t="s">
        <v>2080</v>
      </c>
      <c r="B18" s="64">
        <v>38.69</v>
      </c>
      <c r="C18" s="64">
        <v>41.28</v>
      </c>
      <c r="D18" s="64">
        <v>51.22</v>
      </c>
      <c r="E18" s="64">
        <v>6.49</v>
      </c>
      <c r="F18" s="64">
        <v>3.72</v>
      </c>
      <c r="G18" s="64">
        <v>104.99</v>
      </c>
      <c r="H18" s="64">
        <v>51.75</v>
      </c>
      <c r="I18" s="64">
        <v>6.69</v>
      </c>
      <c r="J18" s="64">
        <v>0.33</v>
      </c>
      <c r="K18" s="64">
        <v>313.02</v>
      </c>
      <c r="L18" s="64">
        <v>13.43</v>
      </c>
      <c r="M18" s="64">
        <v>83.88</v>
      </c>
      <c r="N18" s="64">
        <v>31</v>
      </c>
      <c r="O18" s="64">
        <v>0</v>
      </c>
      <c r="P18" s="64">
        <v>1.29</v>
      </c>
      <c r="Q18" s="64">
        <v>10.33</v>
      </c>
      <c r="R18" s="196"/>
      <c r="S18" s="196"/>
      <c r="T18" s="196"/>
      <c r="U18" s="196"/>
    </row>
    <row r="19" spans="1:21" s="12" customFormat="1" x14ac:dyDescent="0.25">
      <c r="A19" s="211" t="s">
        <v>2081</v>
      </c>
      <c r="B19" s="64">
        <v>36.799999999999997</v>
      </c>
      <c r="C19" s="64">
        <v>41.03</v>
      </c>
      <c r="D19" s="64">
        <v>49.57</v>
      </c>
      <c r="E19" s="64">
        <v>6.84</v>
      </c>
      <c r="F19" s="64">
        <v>4.1100000000000003</v>
      </c>
      <c r="G19" s="64">
        <v>104.99</v>
      </c>
      <c r="H19" s="64">
        <v>51.75</v>
      </c>
      <c r="I19" s="64">
        <v>6.61</v>
      </c>
      <c r="J19" s="64">
        <v>1</v>
      </c>
      <c r="K19" s="64">
        <v>116.52</v>
      </c>
      <c r="L19" s="64">
        <v>13.09</v>
      </c>
      <c r="M19" s="64">
        <v>84.66</v>
      </c>
      <c r="N19" s="64">
        <v>30.7</v>
      </c>
      <c r="O19" s="64">
        <v>0</v>
      </c>
      <c r="P19" s="64">
        <v>1.27</v>
      </c>
      <c r="Q19" s="64">
        <v>10.49</v>
      </c>
      <c r="R19" s="196"/>
      <c r="S19" s="196"/>
      <c r="T19" s="196"/>
      <c r="U19" s="196"/>
    </row>
    <row r="20" spans="1:21" s="12" customFormat="1" x14ac:dyDescent="0.25">
      <c r="A20" s="211" t="s">
        <v>2082</v>
      </c>
      <c r="B20" s="64">
        <v>34.72</v>
      </c>
      <c r="C20" s="64">
        <v>40.86</v>
      </c>
      <c r="D20" s="64">
        <v>47.81</v>
      </c>
      <c r="E20" s="64">
        <v>6.76</v>
      </c>
      <c r="F20" s="64">
        <v>4.2300000000000004</v>
      </c>
      <c r="G20" s="64">
        <v>104.99</v>
      </c>
      <c r="H20" s="64">
        <v>51.75</v>
      </c>
      <c r="I20" s="64">
        <v>6.58</v>
      </c>
      <c r="J20" s="64">
        <v>0.63</v>
      </c>
      <c r="K20" s="64">
        <v>341</v>
      </c>
      <c r="L20" s="64">
        <v>13</v>
      </c>
      <c r="M20" s="64">
        <v>86.96</v>
      </c>
      <c r="N20" s="64">
        <v>30.7</v>
      </c>
      <c r="O20" s="64">
        <v>0</v>
      </c>
      <c r="P20" s="64">
        <v>1.26</v>
      </c>
      <c r="Q20" s="64">
        <v>10.51</v>
      </c>
      <c r="R20" s="196"/>
      <c r="S20" s="196"/>
      <c r="T20" s="196"/>
      <c r="U20" s="196"/>
    </row>
    <row r="21" spans="1:21" s="12" customFormat="1" x14ac:dyDescent="0.25">
      <c r="A21" s="211" t="s">
        <v>2083</v>
      </c>
      <c r="B21" s="64">
        <v>32.909999999999997</v>
      </c>
      <c r="C21" s="64">
        <v>40.700000000000003</v>
      </c>
      <c r="D21" s="64">
        <v>46.28</v>
      </c>
      <c r="E21" s="64">
        <v>6.77</v>
      </c>
      <c r="F21" s="64">
        <v>4.2699999999999996</v>
      </c>
      <c r="G21" s="64">
        <v>110.19</v>
      </c>
      <c r="H21" s="64">
        <v>44.54</v>
      </c>
      <c r="I21" s="64">
        <v>6.62</v>
      </c>
      <c r="J21" s="64">
        <v>0.46</v>
      </c>
      <c r="K21" s="64">
        <v>86.36</v>
      </c>
      <c r="L21" s="64">
        <v>13.19</v>
      </c>
      <c r="M21" s="64">
        <v>82.52</v>
      </c>
      <c r="N21" s="64">
        <v>30.4</v>
      </c>
      <c r="O21" s="64">
        <v>0</v>
      </c>
      <c r="P21" s="64">
        <v>1.24</v>
      </c>
      <c r="Q21" s="64">
        <v>10.46</v>
      </c>
      <c r="R21" s="196"/>
      <c r="S21" s="196"/>
      <c r="T21" s="196"/>
      <c r="U21" s="196"/>
    </row>
    <row r="22" spans="1:21" s="12" customFormat="1" x14ac:dyDescent="0.25">
      <c r="A22" s="211" t="s">
        <v>2084</v>
      </c>
      <c r="B22" s="64">
        <v>30.89</v>
      </c>
      <c r="C22" s="64">
        <v>40.51</v>
      </c>
      <c r="D22" s="64">
        <v>44.56</v>
      </c>
      <c r="E22" s="64">
        <v>6.7</v>
      </c>
      <c r="F22" s="64">
        <v>4.18</v>
      </c>
      <c r="G22" s="64">
        <v>113.34</v>
      </c>
      <c r="H22" s="64">
        <v>42.96</v>
      </c>
      <c r="I22" s="64">
        <v>6.66</v>
      </c>
      <c r="J22" s="64">
        <v>0.57999999999999996</v>
      </c>
      <c r="K22" s="64">
        <v>162.63</v>
      </c>
      <c r="L22" s="64">
        <v>13.47</v>
      </c>
      <c r="M22" s="64">
        <v>79.069999999999993</v>
      </c>
      <c r="N22" s="64">
        <v>30.4</v>
      </c>
      <c r="O22" s="64">
        <v>0</v>
      </c>
      <c r="P22" s="64">
        <v>1.22</v>
      </c>
      <c r="Q22" s="64">
        <v>10.46</v>
      </c>
      <c r="R22" s="196"/>
      <c r="S22" s="196"/>
      <c r="T22" s="196"/>
      <c r="U22" s="196"/>
    </row>
    <row r="23" spans="1:21" s="12" customFormat="1" x14ac:dyDescent="0.25">
      <c r="A23" s="211" t="s">
        <v>2085</v>
      </c>
      <c r="B23" s="64">
        <v>28.85</v>
      </c>
      <c r="C23" s="64">
        <v>40.6</v>
      </c>
      <c r="D23" s="64">
        <v>42.97</v>
      </c>
      <c r="E23" s="64">
        <v>6.65</v>
      </c>
      <c r="F23" s="64">
        <v>4.09</v>
      </c>
      <c r="G23" s="64">
        <v>113.34</v>
      </c>
      <c r="H23" s="64">
        <v>42.96</v>
      </c>
      <c r="I23" s="64">
        <v>6.64</v>
      </c>
      <c r="J23" s="64">
        <v>0.85</v>
      </c>
      <c r="K23" s="64">
        <v>333.22</v>
      </c>
      <c r="L23" s="64">
        <v>13.39</v>
      </c>
      <c r="M23" s="64">
        <v>81.14</v>
      </c>
      <c r="N23" s="64">
        <v>30.8</v>
      </c>
      <c r="O23" s="64">
        <v>0</v>
      </c>
      <c r="P23" s="64">
        <v>1.2</v>
      </c>
      <c r="Q23" s="64">
        <v>10.42</v>
      </c>
      <c r="R23" s="196"/>
      <c r="S23" s="196"/>
      <c r="T23" s="196"/>
      <c r="U23" s="196"/>
    </row>
    <row r="24" spans="1:21" s="12" customFormat="1" x14ac:dyDescent="0.25">
      <c r="A24" s="211" t="s">
        <v>2086</v>
      </c>
      <c r="B24" s="64">
        <v>27.25</v>
      </c>
      <c r="C24" s="64">
        <v>40.630000000000003</v>
      </c>
      <c r="D24" s="64">
        <v>41.7</v>
      </c>
      <c r="E24" s="64">
        <v>6.17</v>
      </c>
      <c r="F24" s="64">
        <v>4.1100000000000003</v>
      </c>
      <c r="G24" s="64">
        <v>113.34</v>
      </c>
      <c r="H24" s="64">
        <v>42.96</v>
      </c>
      <c r="I24" s="64">
        <v>6.56</v>
      </c>
      <c r="J24" s="64">
        <v>0.83</v>
      </c>
      <c r="K24" s="64">
        <v>36.94</v>
      </c>
      <c r="L24" s="64">
        <v>13.11</v>
      </c>
      <c r="M24" s="64">
        <v>82.56</v>
      </c>
      <c r="N24" s="64">
        <v>30.6</v>
      </c>
      <c r="O24" s="64">
        <v>0</v>
      </c>
      <c r="P24" s="64">
        <v>1.21</v>
      </c>
      <c r="Q24" s="64">
        <v>10.39</v>
      </c>
      <c r="R24" s="196"/>
      <c r="S24" s="196"/>
      <c r="T24" s="196"/>
      <c r="U24" s="196"/>
    </row>
    <row r="25" spans="1:21" s="12" customFormat="1" x14ac:dyDescent="0.25">
      <c r="A25" s="211" t="s">
        <v>2087</v>
      </c>
      <c r="B25" s="64">
        <v>25.73</v>
      </c>
      <c r="C25" s="64">
        <v>40.619999999999997</v>
      </c>
      <c r="D25" s="64">
        <v>40.479999999999997</v>
      </c>
      <c r="E25" s="64">
        <v>6.67</v>
      </c>
      <c r="F25" s="64">
        <v>4.1100000000000003</v>
      </c>
      <c r="G25" s="64">
        <v>118.57</v>
      </c>
      <c r="H25" s="64">
        <v>58.19</v>
      </c>
      <c r="I25" s="64">
        <v>6.45</v>
      </c>
      <c r="J25" s="64">
        <v>0.65</v>
      </c>
      <c r="K25" s="64">
        <v>358.3</v>
      </c>
      <c r="L25" s="64">
        <v>13.19</v>
      </c>
      <c r="M25" s="64">
        <v>83.11</v>
      </c>
      <c r="N25" s="64">
        <v>30.7</v>
      </c>
      <c r="O25" s="64">
        <v>0</v>
      </c>
      <c r="P25" s="64">
        <v>1.23</v>
      </c>
      <c r="Q25" s="64">
        <v>10.36</v>
      </c>
      <c r="R25" s="196"/>
      <c r="S25" s="196"/>
      <c r="T25" s="196"/>
      <c r="U25" s="196"/>
    </row>
    <row r="26" spans="1:21" s="12" customFormat="1" x14ac:dyDescent="0.25">
      <c r="A26" s="211" t="s">
        <v>2088</v>
      </c>
      <c r="B26" s="64">
        <v>24.58</v>
      </c>
      <c r="C26" s="64">
        <v>40.58</v>
      </c>
      <c r="D26" s="64">
        <v>39.53</v>
      </c>
      <c r="E26" s="64">
        <v>6.45</v>
      </c>
      <c r="F26" s="64">
        <v>3.99</v>
      </c>
      <c r="G26" s="64">
        <v>121.75</v>
      </c>
      <c r="H26" s="64">
        <v>63.9</v>
      </c>
      <c r="I26" s="64">
        <v>6.36</v>
      </c>
      <c r="J26" s="64">
        <v>0.2</v>
      </c>
      <c r="K26" s="64">
        <v>74.09</v>
      </c>
      <c r="L26" s="64">
        <v>13.13</v>
      </c>
      <c r="M26" s="64">
        <v>83.25</v>
      </c>
      <c r="N26" s="64">
        <v>30.6</v>
      </c>
      <c r="O26" s="64">
        <v>0</v>
      </c>
      <c r="P26" s="64">
        <v>1.27</v>
      </c>
      <c r="Q26" s="64">
        <v>10.34</v>
      </c>
      <c r="R26" s="196"/>
      <c r="S26" s="196"/>
      <c r="T26" s="196"/>
      <c r="U26" s="196"/>
    </row>
    <row r="27" spans="1:21" s="12" customFormat="1" x14ac:dyDescent="0.25">
      <c r="A27" s="211" t="s">
        <v>2089</v>
      </c>
      <c r="B27" s="64">
        <v>23.68</v>
      </c>
      <c r="C27" s="64">
        <v>38.75</v>
      </c>
      <c r="D27" s="64">
        <v>37.86</v>
      </c>
      <c r="E27" s="64">
        <v>6.64</v>
      </c>
      <c r="F27" s="64">
        <v>3.9</v>
      </c>
      <c r="G27" s="64">
        <v>121.75</v>
      </c>
      <c r="H27" s="64">
        <v>63.9</v>
      </c>
      <c r="I27" s="64">
        <v>6.29</v>
      </c>
      <c r="J27" s="64">
        <v>0.66</v>
      </c>
      <c r="K27" s="64">
        <v>53.39</v>
      </c>
      <c r="L27" s="64">
        <v>13.01</v>
      </c>
      <c r="M27" s="64">
        <v>83.93</v>
      </c>
      <c r="N27" s="64">
        <v>30.6</v>
      </c>
      <c r="O27" s="64">
        <v>0</v>
      </c>
      <c r="P27" s="64">
        <v>1.28</v>
      </c>
      <c r="Q27" s="64">
        <v>10.28</v>
      </c>
      <c r="R27" s="196"/>
      <c r="S27" s="196"/>
      <c r="T27" s="196"/>
      <c r="U27" s="196"/>
    </row>
    <row r="28" spans="1:21" s="12" customFormat="1" x14ac:dyDescent="0.25">
      <c r="A28" s="211" t="s">
        <v>2090</v>
      </c>
      <c r="B28" s="64">
        <v>23.81</v>
      </c>
      <c r="C28" s="64">
        <v>38.89</v>
      </c>
      <c r="D28" s="64">
        <v>38.03</v>
      </c>
      <c r="E28" s="64">
        <v>6.45</v>
      </c>
      <c r="F28" s="64">
        <v>3.76</v>
      </c>
      <c r="G28" s="64">
        <v>121.75</v>
      </c>
      <c r="H28" s="64">
        <v>63.9</v>
      </c>
      <c r="I28" s="64">
        <v>6.19</v>
      </c>
      <c r="J28" s="64">
        <v>0.75</v>
      </c>
      <c r="K28" s="64">
        <v>329.21</v>
      </c>
      <c r="L28" s="64">
        <v>12.9</v>
      </c>
      <c r="M28" s="64">
        <v>85.38</v>
      </c>
      <c r="N28" s="64">
        <v>30.6</v>
      </c>
      <c r="O28" s="64">
        <v>0</v>
      </c>
      <c r="P28" s="64">
        <v>1.3</v>
      </c>
      <c r="Q28" s="64">
        <v>10.29</v>
      </c>
      <c r="R28" s="196"/>
      <c r="S28" s="196"/>
      <c r="T28" s="196"/>
      <c r="U28" s="196"/>
    </row>
    <row r="29" spans="1:21" s="12" customFormat="1" x14ac:dyDescent="0.25">
      <c r="A29" s="211" t="s">
        <v>2091</v>
      </c>
      <c r="B29" s="64">
        <v>24.73</v>
      </c>
      <c r="C29" s="64">
        <v>39.020000000000003</v>
      </c>
      <c r="D29" s="64">
        <v>38.840000000000003</v>
      </c>
      <c r="E29" s="64">
        <v>6.71</v>
      </c>
      <c r="F29" s="64">
        <v>3.76</v>
      </c>
      <c r="G29" s="64">
        <v>130.72999999999999</v>
      </c>
      <c r="H29" s="64">
        <v>82.28</v>
      </c>
      <c r="I29" s="64">
        <v>6.18</v>
      </c>
      <c r="J29" s="64">
        <v>0.55000000000000004</v>
      </c>
      <c r="K29" s="64">
        <v>1.1599999999999999</v>
      </c>
      <c r="L29" s="64">
        <v>12.78</v>
      </c>
      <c r="M29" s="64">
        <v>85.48</v>
      </c>
      <c r="N29" s="64">
        <v>30.5</v>
      </c>
      <c r="O29" s="64">
        <v>0</v>
      </c>
      <c r="P29" s="64">
        <v>1.29</v>
      </c>
      <c r="Q29" s="64">
        <v>10.3</v>
      </c>
      <c r="R29" s="196"/>
      <c r="S29" s="196"/>
      <c r="T29" s="196"/>
      <c r="U29" s="196"/>
    </row>
    <row r="30" spans="1:21" s="12" customFormat="1" x14ac:dyDescent="0.25">
      <c r="A30" s="211" t="s">
        <v>2092</v>
      </c>
      <c r="B30" s="64">
        <v>24.71</v>
      </c>
      <c r="C30" s="64">
        <v>38.630000000000003</v>
      </c>
      <c r="D30" s="64">
        <v>38.619999999999997</v>
      </c>
      <c r="E30" s="64">
        <v>6.71</v>
      </c>
      <c r="F30" s="64">
        <v>3.96</v>
      </c>
      <c r="G30" s="64">
        <v>136.18</v>
      </c>
      <c r="H30" s="64">
        <v>85.96</v>
      </c>
      <c r="I30" s="64">
        <v>6.15</v>
      </c>
      <c r="J30" s="64">
        <v>1.64</v>
      </c>
      <c r="K30" s="64">
        <v>347.22</v>
      </c>
      <c r="L30" s="64">
        <v>12.83</v>
      </c>
      <c r="M30" s="64">
        <v>85.21</v>
      </c>
      <c r="N30" s="64">
        <v>30</v>
      </c>
      <c r="O30" s="64">
        <v>0</v>
      </c>
      <c r="P30" s="64">
        <v>1.29</v>
      </c>
      <c r="Q30" s="64">
        <v>10.31</v>
      </c>
      <c r="R30" s="196"/>
      <c r="S30" s="196"/>
      <c r="T30" s="196"/>
      <c r="U30" s="196"/>
    </row>
    <row r="31" spans="1:21" s="12" customFormat="1" x14ac:dyDescent="0.25">
      <c r="A31" s="211" t="s">
        <v>2093</v>
      </c>
      <c r="B31" s="64">
        <v>23.93</v>
      </c>
      <c r="C31" s="64">
        <v>37.950000000000003</v>
      </c>
      <c r="D31" s="64">
        <v>37.64</v>
      </c>
      <c r="E31" s="64">
        <v>7.03</v>
      </c>
      <c r="F31" s="64">
        <v>4.09</v>
      </c>
      <c r="G31" s="64">
        <v>136.18</v>
      </c>
      <c r="H31" s="64">
        <v>85.96</v>
      </c>
      <c r="I31" s="64">
        <v>6</v>
      </c>
      <c r="J31" s="64">
        <v>1.56</v>
      </c>
      <c r="K31" s="64">
        <v>343.75</v>
      </c>
      <c r="L31" s="64">
        <v>13.03</v>
      </c>
      <c r="M31" s="64">
        <v>83.84</v>
      </c>
      <c r="N31" s="64">
        <v>30.2</v>
      </c>
      <c r="O31" s="64">
        <v>0</v>
      </c>
      <c r="P31" s="64">
        <v>1.24</v>
      </c>
      <c r="Q31" s="64">
        <v>10.3</v>
      </c>
      <c r="R31" s="196"/>
      <c r="S31" s="196"/>
      <c r="T31" s="196"/>
      <c r="U31" s="196"/>
    </row>
    <row r="32" spans="1:21" s="12" customFormat="1" x14ac:dyDescent="0.25">
      <c r="A32" s="211" t="s">
        <v>2094</v>
      </c>
      <c r="B32" s="64">
        <v>23.22</v>
      </c>
      <c r="C32" s="64">
        <v>37.85</v>
      </c>
      <c r="D32" s="64">
        <v>37.020000000000003</v>
      </c>
      <c r="E32" s="64">
        <v>6.67</v>
      </c>
      <c r="F32" s="64">
        <v>4.12</v>
      </c>
      <c r="G32" s="64">
        <v>136.18</v>
      </c>
      <c r="H32" s="64">
        <v>85.96</v>
      </c>
      <c r="I32" s="64">
        <v>6</v>
      </c>
      <c r="J32" s="64">
        <v>1.33</v>
      </c>
      <c r="K32" s="64">
        <v>349.4</v>
      </c>
      <c r="L32" s="64">
        <v>13.01</v>
      </c>
      <c r="M32" s="64">
        <v>84.2</v>
      </c>
      <c r="N32" s="64">
        <v>30.5</v>
      </c>
      <c r="O32" s="64">
        <v>0</v>
      </c>
      <c r="P32" s="64">
        <v>1.22</v>
      </c>
      <c r="Q32" s="64">
        <v>10.3</v>
      </c>
      <c r="R32" s="196"/>
      <c r="S32" s="196"/>
      <c r="T32" s="196"/>
      <c r="U32" s="196"/>
    </row>
    <row r="33" spans="1:21" s="12" customFormat="1" x14ac:dyDescent="0.25">
      <c r="A33" s="211" t="s">
        <v>2095</v>
      </c>
      <c r="B33" s="64">
        <v>22.82</v>
      </c>
      <c r="C33" s="64">
        <v>37.39</v>
      </c>
      <c r="D33" s="64">
        <v>36.46</v>
      </c>
      <c r="E33" s="64">
        <v>6.52</v>
      </c>
      <c r="F33" s="64">
        <v>4.05</v>
      </c>
      <c r="G33" s="64">
        <v>133.38999999999999</v>
      </c>
      <c r="H33" s="64">
        <v>70.64</v>
      </c>
      <c r="I33" s="64">
        <v>5.83</v>
      </c>
      <c r="J33" s="64">
        <v>1.38</v>
      </c>
      <c r="K33" s="64">
        <v>342.92</v>
      </c>
      <c r="L33" s="64">
        <v>12.83</v>
      </c>
      <c r="M33" s="64">
        <v>86</v>
      </c>
      <c r="N33" s="64">
        <v>31.4</v>
      </c>
      <c r="O33" s="64">
        <v>0</v>
      </c>
      <c r="P33" s="64">
        <v>1.22</v>
      </c>
      <c r="Q33" s="64">
        <v>10.33</v>
      </c>
      <c r="R33" s="196"/>
      <c r="S33" s="196"/>
      <c r="T33" s="196"/>
      <c r="U33" s="196"/>
    </row>
    <row r="34" spans="1:21" s="12" customFormat="1" x14ac:dyDescent="0.25">
      <c r="A34" s="211" t="s">
        <v>2096</v>
      </c>
      <c r="B34" s="64">
        <v>23.1</v>
      </c>
      <c r="C34" s="64">
        <v>37.71</v>
      </c>
      <c r="D34" s="64">
        <v>36.85</v>
      </c>
      <c r="E34" s="64">
        <v>6.72</v>
      </c>
      <c r="F34" s="64">
        <v>3.84</v>
      </c>
      <c r="G34" s="64">
        <v>131.62</v>
      </c>
      <c r="H34" s="64">
        <v>67.3</v>
      </c>
      <c r="I34" s="64">
        <v>5.79</v>
      </c>
      <c r="J34" s="64">
        <v>1.1000000000000001</v>
      </c>
      <c r="K34" s="64">
        <v>351.35</v>
      </c>
      <c r="L34" s="64">
        <v>12.8</v>
      </c>
      <c r="M34" s="64">
        <v>87.36</v>
      </c>
      <c r="N34" s="64">
        <v>35.4</v>
      </c>
      <c r="O34" s="64">
        <v>0</v>
      </c>
      <c r="P34" s="64">
        <v>1.24</v>
      </c>
      <c r="Q34" s="64">
        <v>10.34</v>
      </c>
      <c r="R34" s="196"/>
      <c r="S34" s="196"/>
      <c r="T34" s="196"/>
      <c r="U34" s="196"/>
    </row>
    <row r="35" spans="1:21" s="12" customFormat="1" x14ac:dyDescent="0.25">
      <c r="A35" s="211" t="s">
        <v>2097</v>
      </c>
      <c r="B35" s="64">
        <v>23.27</v>
      </c>
      <c r="C35" s="64">
        <v>38.159999999999997</v>
      </c>
      <c r="D35" s="64">
        <v>37.22</v>
      </c>
      <c r="E35" s="64">
        <v>6.51</v>
      </c>
      <c r="F35" s="64">
        <v>4.09</v>
      </c>
      <c r="G35" s="64">
        <v>131.62</v>
      </c>
      <c r="H35" s="64">
        <v>67.3</v>
      </c>
      <c r="I35" s="64">
        <v>5.77</v>
      </c>
      <c r="J35" s="64">
        <v>0.8</v>
      </c>
      <c r="K35" s="64">
        <v>22.95</v>
      </c>
      <c r="L35" s="64">
        <v>12.83</v>
      </c>
      <c r="M35" s="64">
        <v>86.96</v>
      </c>
      <c r="N35" s="64">
        <v>46.2</v>
      </c>
      <c r="O35" s="64">
        <v>0</v>
      </c>
      <c r="P35" s="64">
        <v>1.27</v>
      </c>
      <c r="Q35" s="64">
        <v>10.36</v>
      </c>
      <c r="R35" s="196"/>
      <c r="S35" s="196"/>
      <c r="T35" s="196"/>
      <c r="U35" s="196"/>
    </row>
    <row r="36" spans="1:21" s="12" customFormat="1" x14ac:dyDescent="0.25">
      <c r="A36" s="211" t="s">
        <v>2098</v>
      </c>
      <c r="B36" s="64">
        <v>23.33</v>
      </c>
      <c r="C36" s="64">
        <v>38.380000000000003</v>
      </c>
      <c r="D36" s="64">
        <v>37.380000000000003</v>
      </c>
      <c r="E36" s="64">
        <v>6.83</v>
      </c>
      <c r="F36" s="64">
        <v>4.3600000000000003</v>
      </c>
      <c r="G36" s="64">
        <v>131.62</v>
      </c>
      <c r="H36" s="64">
        <v>67.3</v>
      </c>
      <c r="I36" s="64">
        <v>5.75</v>
      </c>
      <c r="J36" s="64">
        <v>0.26</v>
      </c>
      <c r="K36" s="64">
        <v>75.849999999999994</v>
      </c>
      <c r="L36" s="64">
        <v>13.13</v>
      </c>
      <c r="M36" s="64">
        <v>85.7</v>
      </c>
      <c r="N36" s="64">
        <v>61.2</v>
      </c>
      <c r="O36" s="64">
        <v>0</v>
      </c>
      <c r="P36" s="64">
        <v>1.28</v>
      </c>
      <c r="Q36" s="64">
        <v>10.36</v>
      </c>
      <c r="R36" s="196"/>
      <c r="S36" s="196"/>
      <c r="T36" s="196"/>
      <c r="U36" s="196"/>
    </row>
    <row r="37" spans="1:21" s="12" customFormat="1" x14ac:dyDescent="0.25">
      <c r="A37" s="211" t="s">
        <v>2099</v>
      </c>
      <c r="B37" s="64">
        <v>23.64</v>
      </c>
      <c r="C37" s="64">
        <v>38.74</v>
      </c>
      <c r="D37" s="64">
        <v>37.82</v>
      </c>
      <c r="E37" s="64">
        <v>7.05</v>
      </c>
      <c r="F37" s="64">
        <v>4.21</v>
      </c>
      <c r="G37" s="64">
        <v>131.81</v>
      </c>
      <c r="H37" s="64">
        <v>62.48</v>
      </c>
      <c r="I37" s="64">
        <v>5.69</v>
      </c>
      <c r="J37" s="64">
        <v>0.81</v>
      </c>
      <c r="K37" s="64">
        <v>337.23</v>
      </c>
      <c r="L37" s="64">
        <v>13.61</v>
      </c>
      <c r="M37" s="64">
        <v>83.21</v>
      </c>
      <c r="N37" s="64">
        <v>78.3</v>
      </c>
      <c r="O37" s="64">
        <v>0</v>
      </c>
      <c r="P37" s="64">
        <v>1.28</v>
      </c>
      <c r="Q37" s="64">
        <v>10.35</v>
      </c>
      <c r="R37" s="196"/>
      <c r="S37" s="196"/>
      <c r="T37" s="196"/>
      <c r="U37" s="196"/>
    </row>
    <row r="38" spans="1:21" s="12" customFormat="1" x14ac:dyDescent="0.25">
      <c r="A38" s="211" t="s">
        <v>2100</v>
      </c>
      <c r="B38" s="64">
        <v>23.97</v>
      </c>
      <c r="C38" s="64">
        <v>39.07</v>
      </c>
      <c r="D38" s="64">
        <v>38.26</v>
      </c>
      <c r="E38" s="64">
        <v>6.72</v>
      </c>
      <c r="F38" s="64">
        <v>4.1500000000000004</v>
      </c>
      <c r="G38" s="64">
        <v>131.94</v>
      </c>
      <c r="H38" s="64">
        <v>61.43</v>
      </c>
      <c r="I38" s="64">
        <v>5.6</v>
      </c>
      <c r="J38" s="64">
        <v>1.59</v>
      </c>
      <c r="K38" s="64">
        <v>113.52</v>
      </c>
      <c r="L38" s="64">
        <v>14.02</v>
      </c>
      <c r="M38" s="64">
        <v>80.540000000000006</v>
      </c>
      <c r="N38" s="64">
        <v>108.9</v>
      </c>
      <c r="O38" s="64">
        <v>0</v>
      </c>
      <c r="P38" s="64">
        <v>1.32</v>
      </c>
      <c r="Q38" s="64">
        <v>10.33</v>
      </c>
      <c r="R38" s="196"/>
      <c r="S38" s="196"/>
      <c r="T38" s="196"/>
      <c r="U38" s="196"/>
    </row>
    <row r="39" spans="1:21" s="12" customFormat="1" x14ac:dyDescent="0.25">
      <c r="A39" s="211" t="s">
        <v>2101</v>
      </c>
      <c r="B39" s="64">
        <v>23.5</v>
      </c>
      <c r="C39" s="64">
        <v>39.31</v>
      </c>
      <c r="D39" s="64">
        <v>38.01</v>
      </c>
      <c r="E39" s="64">
        <v>6.39</v>
      </c>
      <c r="F39" s="64">
        <v>4.24</v>
      </c>
      <c r="G39" s="64">
        <v>131.94</v>
      </c>
      <c r="H39" s="64">
        <v>61.43</v>
      </c>
      <c r="I39" s="64">
        <v>5.54</v>
      </c>
      <c r="J39" s="64">
        <v>0.77</v>
      </c>
      <c r="K39" s="64">
        <v>94.77</v>
      </c>
      <c r="L39" s="64">
        <v>14.82</v>
      </c>
      <c r="M39" s="64">
        <v>76.86</v>
      </c>
      <c r="N39" s="64">
        <v>151.69999999999999</v>
      </c>
      <c r="O39" s="64">
        <v>0</v>
      </c>
      <c r="P39" s="64">
        <v>1.33</v>
      </c>
      <c r="Q39" s="64">
        <v>10.32</v>
      </c>
      <c r="R39" s="196"/>
      <c r="S39" s="196"/>
      <c r="T39" s="196"/>
      <c r="U39" s="196"/>
    </row>
    <row r="40" spans="1:21" s="12" customFormat="1" x14ac:dyDescent="0.25">
      <c r="A40" s="211" t="s">
        <v>2102</v>
      </c>
      <c r="B40" s="64">
        <v>23.4</v>
      </c>
      <c r="C40" s="64">
        <v>39.79</v>
      </c>
      <c r="D40" s="64">
        <v>38.18</v>
      </c>
      <c r="E40" s="64">
        <v>5.49</v>
      </c>
      <c r="F40" s="64">
        <v>4.3600000000000003</v>
      </c>
      <c r="G40" s="64">
        <v>131.94</v>
      </c>
      <c r="H40" s="64">
        <v>61.43</v>
      </c>
      <c r="I40" s="64">
        <v>5.51</v>
      </c>
      <c r="J40" s="64">
        <v>0.39</v>
      </c>
      <c r="K40" s="64">
        <v>72.08</v>
      </c>
      <c r="L40" s="64">
        <v>15.84</v>
      </c>
      <c r="M40" s="64">
        <v>71.44</v>
      </c>
      <c r="N40" s="64">
        <v>190.2</v>
      </c>
      <c r="O40" s="64">
        <v>0</v>
      </c>
      <c r="P40" s="64">
        <v>1.32</v>
      </c>
      <c r="Q40" s="64">
        <v>10.33</v>
      </c>
      <c r="R40" s="196"/>
      <c r="S40" s="196"/>
      <c r="T40" s="196"/>
      <c r="U40" s="196"/>
    </row>
    <row r="41" spans="1:21" s="12" customFormat="1" x14ac:dyDescent="0.25">
      <c r="A41" s="211" t="s">
        <v>2103</v>
      </c>
      <c r="B41" s="64">
        <v>23.56</v>
      </c>
      <c r="C41" s="64">
        <v>40.54</v>
      </c>
      <c r="D41" s="64">
        <v>38.69</v>
      </c>
      <c r="E41" s="64">
        <v>6.03</v>
      </c>
      <c r="F41" s="64">
        <v>4.2300000000000004</v>
      </c>
      <c r="G41" s="64">
        <v>131.44</v>
      </c>
      <c r="H41" s="64">
        <v>59.25</v>
      </c>
      <c r="I41" s="64">
        <v>5.48</v>
      </c>
      <c r="J41" s="64">
        <v>0.71</v>
      </c>
      <c r="K41" s="64">
        <v>108.83</v>
      </c>
      <c r="L41" s="64">
        <v>16.79</v>
      </c>
      <c r="M41" s="64">
        <v>66.290000000000006</v>
      </c>
      <c r="N41" s="64">
        <v>232.1</v>
      </c>
      <c r="O41" s="64">
        <v>0</v>
      </c>
      <c r="P41" s="64">
        <v>1.32</v>
      </c>
      <c r="Q41" s="64">
        <v>10.34</v>
      </c>
      <c r="R41" s="196"/>
      <c r="S41" s="196"/>
      <c r="T41" s="196"/>
      <c r="U41" s="196"/>
    </row>
    <row r="42" spans="1:21" s="12" customFormat="1" x14ac:dyDescent="0.25">
      <c r="A42" s="211" t="s">
        <v>2104</v>
      </c>
      <c r="B42" s="64">
        <v>23.45</v>
      </c>
      <c r="C42" s="64">
        <v>41.24</v>
      </c>
      <c r="D42" s="64">
        <v>38.979999999999997</v>
      </c>
      <c r="E42" s="64">
        <v>5.88</v>
      </c>
      <c r="F42" s="64">
        <v>4.32</v>
      </c>
      <c r="G42" s="64">
        <v>131.13</v>
      </c>
      <c r="H42" s="64">
        <v>58.44</v>
      </c>
      <c r="I42" s="64">
        <v>5.47</v>
      </c>
      <c r="J42" s="64">
        <v>1.47</v>
      </c>
      <c r="K42" s="64">
        <v>114.87</v>
      </c>
      <c r="L42" s="64">
        <v>17.07</v>
      </c>
      <c r="M42" s="64">
        <v>63.96</v>
      </c>
      <c r="N42" s="64">
        <v>271.39999999999998</v>
      </c>
      <c r="O42" s="64">
        <v>0</v>
      </c>
      <c r="P42" s="64">
        <v>1.31</v>
      </c>
      <c r="Q42" s="64">
        <v>10.35</v>
      </c>
      <c r="R42" s="196"/>
      <c r="S42" s="196"/>
      <c r="T42" s="196"/>
      <c r="U42" s="196"/>
    </row>
    <row r="43" spans="1:21" s="12" customFormat="1" x14ac:dyDescent="0.25">
      <c r="A43" s="211" t="s">
        <v>2105</v>
      </c>
      <c r="B43" s="64">
        <v>22.23</v>
      </c>
      <c r="C43" s="64">
        <v>41.22</v>
      </c>
      <c r="D43" s="64">
        <v>37.979999999999997</v>
      </c>
      <c r="E43" s="64">
        <v>5.9</v>
      </c>
      <c r="F43" s="64">
        <v>3.83</v>
      </c>
      <c r="G43" s="64">
        <v>131.13</v>
      </c>
      <c r="H43" s="64">
        <v>58.44</v>
      </c>
      <c r="I43" s="64">
        <v>5.52</v>
      </c>
      <c r="J43" s="64">
        <v>0.86</v>
      </c>
      <c r="K43" s="64">
        <v>112.12</v>
      </c>
      <c r="L43" s="64">
        <v>17.52</v>
      </c>
      <c r="M43" s="64">
        <v>61.29</v>
      </c>
      <c r="N43" s="64">
        <v>311.2</v>
      </c>
      <c r="O43" s="64">
        <v>0</v>
      </c>
      <c r="P43" s="64">
        <v>1.27</v>
      </c>
      <c r="Q43" s="64">
        <v>10.32</v>
      </c>
      <c r="R43" s="196"/>
      <c r="S43" s="196"/>
      <c r="T43" s="196"/>
      <c r="U43" s="196"/>
    </row>
    <row r="44" spans="1:21" s="12" customFormat="1" x14ac:dyDescent="0.25">
      <c r="A44" s="211" t="s">
        <v>2106</v>
      </c>
      <c r="B44" s="64">
        <v>21.15</v>
      </c>
      <c r="C44" s="64">
        <v>40.17</v>
      </c>
      <c r="D44" s="64">
        <v>36.57</v>
      </c>
      <c r="E44" s="64">
        <v>5.77</v>
      </c>
      <c r="F44" s="64">
        <v>3.79</v>
      </c>
      <c r="G44" s="64">
        <v>131.13</v>
      </c>
      <c r="H44" s="64">
        <v>58.44</v>
      </c>
      <c r="I44" s="64">
        <v>5.6</v>
      </c>
      <c r="J44" s="64">
        <v>0.41</v>
      </c>
      <c r="K44" s="64">
        <v>354.48</v>
      </c>
      <c r="L44" s="64">
        <v>19.09</v>
      </c>
      <c r="M44" s="64">
        <v>56.4</v>
      </c>
      <c r="N44" s="64">
        <v>345.2</v>
      </c>
      <c r="O44" s="64">
        <v>0</v>
      </c>
      <c r="P44" s="64">
        <v>1.25</v>
      </c>
      <c r="Q44" s="64">
        <v>10.26</v>
      </c>
      <c r="R44" s="196"/>
      <c r="S44" s="196"/>
      <c r="T44" s="196"/>
      <c r="U44" s="196"/>
    </row>
    <row r="45" spans="1:21" s="12" customFormat="1" x14ac:dyDescent="0.25">
      <c r="A45" s="211" t="s">
        <v>2107</v>
      </c>
      <c r="B45" s="64">
        <v>20.63</v>
      </c>
      <c r="C45" s="64">
        <v>41.03</v>
      </c>
      <c r="D45" s="64">
        <v>36.61</v>
      </c>
      <c r="E45" s="64">
        <v>5.43</v>
      </c>
      <c r="F45" s="64">
        <v>3.71</v>
      </c>
      <c r="G45" s="64">
        <v>120.04</v>
      </c>
      <c r="H45" s="64">
        <v>46.67</v>
      </c>
      <c r="I45" s="64">
        <v>5.73</v>
      </c>
      <c r="J45" s="64">
        <v>0.57999999999999996</v>
      </c>
      <c r="K45" s="64">
        <v>59.11</v>
      </c>
      <c r="L45" s="64">
        <v>20.079999999999998</v>
      </c>
      <c r="M45" s="64">
        <v>53.22</v>
      </c>
      <c r="N45" s="64">
        <v>378.1</v>
      </c>
      <c r="O45" s="64">
        <v>0</v>
      </c>
      <c r="P45" s="64">
        <v>1.22</v>
      </c>
      <c r="Q45" s="64">
        <v>10.26</v>
      </c>
      <c r="R45" s="196"/>
      <c r="S45" s="196"/>
      <c r="T45" s="196"/>
      <c r="U45" s="196"/>
    </row>
    <row r="46" spans="1:21" s="12" customFormat="1" x14ac:dyDescent="0.25">
      <c r="A46" s="211" t="s">
        <v>2108</v>
      </c>
      <c r="B46" s="64">
        <v>20.03</v>
      </c>
      <c r="C46" s="64">
        <v>41.32</v>
      </c>
      <c r="D46" s="64">
        <v>36.270000000000003</v>
      </c>
      <c r="E46" s="64">
        <v>5.59</v>
      </c>
      <c r="F46" s="64">
        <v>3.53</v>
      </c>
      <c r="G46" s="64">
        <v>113.31</v>
      </c>
      <c r="H46" s="64">
        <v>44.11</v>
      </c>
      <c r="I46" s="64">
        <v>5.86</v>
      </c>
      <c r="J46" s="64">
        <v>1.63</v>
      </c>
      <c r="K46" s="64">
        <v>110.03</v>
      </c>
      <c r="L46" s="64">
        <v>19.8</v>
      </c>
      <c r="M46" s="64">
        <v>53.93</v>
      </c>
      <c r="N46" s="64">
        <v>414</v>
      </c>
      <c r="O46" s="64">
        <v>0</v>
      </c>
      <c r="P46" s="64">
        <v>1.2</v>
      </c>
      <c r="Q46" s="64">
        <v>10.26</v>
      </c>
      <c r="R46" s="196"/>
      <c r="S46" s="196"/>
      <c r="T46" s="196"/>
      <c r="U46" s="196"/>
    </row>
    <row r="47" spans="1:21" s="12" customFormat="1" x14ac:dyDescent="0.25">
      <c r="A47" s="211" t="s">
        <v>2109</v>
      </c>
      <c r="B47" s="64">
        <v>18.79</v>
      </c>
      <c r="C47" s="64">
        <v>41.24</v>
      </c>
      <c r="D47" s="64">
        <v>35.24</v>
      </c>
      <c r="E47" s="64">
        <v>5.37</v>
      </c>
      <c r="F47" s="64">
        <v>3.66</v>
      </c>
      <c r="G47" s="64">
        <v>113.31</v>
      </c>
      <c r="H47" s="64">
        <v>44.11</v>
      </c>
      <c r="I47" s="64">
        <v>5.97</v>
      </c>
      <c r="J47" s="64">
        <v>0.95</v>
      </c>
      <c r="K47" s="64">
        <v>109.31</v>
      </c>
      <c r="L47" s="64">
        <v>20.18</v>
      </c>
      <c r="M47" s="64">
        <v>51.88</v>
      </c>
      <c r="N47" s="64">
        <v>439.4</v>
      </c>
      <c r="O47" s="64">
        <v>0</v>
      </c>
      <c r="P47" s="64">
        <v>1.17</v>
      </c>
      <c r="Q47" s="64">
        <v>10.27</v>
      </c>
      <c r="R47" s="196"/>
      <c r="S47" s="196"/>
      <c r="T47" s="196"/>
      <c r="U47" s="196"/>
    </row>
    <row r="48" spans="1:21" s="12" customFormat="1" x14ac:dyDescent="0.25">
      <c r="A48" s="211" t="s">
        <v>2110</v>
      </c>
      <c r="B48" s="64">
        <v>17.510000000000002</v>
      </c>
      <c r="C48" s="64">
        <v>41.22</v>
      </c>
      <c r="D48" s="64">
        <v>34.200000000000003</v>
      </c>
      <c r="E48" s="64">
        <v>5.6</v>
      </c>
      <c r="F48" s="64">
        <v>4.03</v>
      </c>
      <c r="G48" s="64">
        <v>113.31</v>
      </c>
      <c r="H48" s="64">
        <v>44.11</v>
      </c>
      <c r="I48" s="64">
        <v>6.22</v>
      </c>
      <c r="J48" s="64">
        <v>3.08</v>
      </c>
      <c r="K48" s="64">
        <v>118.51</v>
      </c>
      <c r="L48" s="64">
        <v>19.73</v>
      </c>
      <c r="M48" s="64">
        <v>51.78</v>
      </c>
      <c r="N48" s="64">
        <v>471.4</v>
      </c>
      <c r="O48" s="64">
        <v>0</v>
      </c>
      <c r="P48" s="64">
        <v>1.1399999999999999</v>
      </c>
      <c r="Q48" s="64">
        <v>10.26</v>
      </c>
      <c r="R48" s="196"/>
      <c r="S48" s="196"/>
      <c r="T48" s="196"/>
      <c r="U48" s="196"/>
    </row>
    <row r="49" spans="1:21" s="12" customFormat="1" x14ac:dyDescent="0.25">
      <c r="A49" s="211" t="s">
        <v>2111</v>
      </c>
      <c r="B49" s="64">
        <v>15.69</v>
      </c>
      <c r="C49" s="64">
        <v>40.79</v>
      </c>
      <c r="D49" s="64">
        <v>32.520000000000003</v>
      </c>
      <c r="E49" s="64">
        <v>5.87</v>
      </c>
      <c r="F49" s="64">
        <v>4.17</v>
      </c>
      <c r="G49" s="64">
        <v>108.49</v>
      </c>
      <c r="H49" s="64">
        <v>54.14</v>
      </c>
      <c r="I49" s="64">
        <v>6.44</v>
      </c>
      <c r="J49" s="64">
        <v>2.92</v>
      </c>
      <c r="K49" s="64">
        <v>118.78</v>
      </c>
      <c r="L49" s="64">
        <v>19.68</v>
      </c>
      <c r="M49" s="64">
        <v>50.71</v>
      </c>
      <c r="N49" s="64">
        <v>496.7</v>
      </c>
      <c r="O49" s="64">
        <v>0</v>
      </c>
      <c r="P49" s="64">
        <v>1.1000000000000001</v>
      </c>
      <c r="Q49" s="64">
        <v>10.24</v>
      </c>
      <c r="R49" s="196"/>
      <c r="S49" s="196"/>
      <c r="T49" s="196"/>
      <c r="U49" s="196"/>
    </row>
    <row r="50" spans="1:21" s="12" customFormat="1" x14ac:dyDescent="0.25">
      <c r="A50" s="211" t="s">
        <v>2112</v>
      </c>
      <c r="B50" s="64">
        <v>13.74</v>
      </c>
      <c r="C50" s="64">
        <v>40.340000000000003</v>
      </c>
      <c r="D50" s="64">
        <v>30.72</v>
      </c>
      <c r="E50" s="64">
        <v>5.32</v>
      </c>
      <c r="F50" s="64">
        <v>3.84</v>
      </c>
      <c r="G50" s="64">
        <v>105.57</v>
      </c>
      <c r="H50" s="64">
        <v>56.14</v>
      </c>
      <c r="I50" s="64">
        <v>6.88</v>
      </c>
      <c r="J50" s="64">
        <v>2</v>
      </c>
      <c r="K50" s="64">
        <v>117.85</v>
      </c>
      <c r="L50" s="64">
        <v>20.66</v>
      </c>
      <c r="M50" s="64">
        <v>46.4</v>
      </c>
      <c r="N50" s="64">
        <v>525.5</v>
      </c>
      <c r="O50" s="64">
        <v>0</v>
      </c>
      <c r="P50" s="64">
        <v>1.06</v>
      </c>
      <c r="Q50" s="64">
        <v>10.210000000000001</v>
      </c>
      <c r="R50" s="196"/>
      <c r="S50" s="196"/>
      <c r="T50" s="196"/>
      <c r="U50" s="196"/>
    </row>
    <row r="51" spans="1:21" s="12" customFormat="1" x14ac:dyDescent="0.25">
      <c r="A51" s="211" t="s">
        <v>2113</v>
      </c>
      <c r="B51" s="64">
        <v>11.85</v>
      </c>
      <c r="C51" s="64">
        <v>40.18</v>
      </c>
      <c r="D51" s="64">
        <v>29.12</v>
      </c>
      <c r="E51" s="64">
        <v>5.8</v>
      </c>
      <c r="F51" s="64">
        <v>4.24</v>
      </c>
      <c r="G51" s="64">
        <v>105.57</v>
      </c>
      <c r="H51" s="64">
        <v>56.14</v>
      </c>
      <c r="I51" s="64">
        <v>7.37</v>
      </c>
      <c r="J51" s="64">
        <v>2.5499999999999998</v>
      </c>
      <c r="K51" s="64">
        <v>116.97</v>
      </c>
      <c r="L51" s="64">
        <v>20.78</v>
      </c>
      <c r="M51" s="64">
        <v>43.7</v>
      </c>
      <c r="N51" s="64">
        <v>549.70000000000005</v>
      </c>
      <c r="O51" s="64">
        <v>0</v>
      </c>
      <c r="P51" s="64">
        <v>1.03</v>
      </c>
      <c r="Q51" s="64">
        <v>10.23</v>
      </c>
      <c r="R51" s="196"/>
      <c r="S51" s="196"/>
      <c r="T51" s="196"/>
      <c r="U51" s="196"/>
    </row>
    <row r="52" spans="1:21" s="12" customFormat="1" x14ac:dyDescent="0.25">
      <c r="A52" s="211" t="s">
        <v>2114</v>
      </c>
      <c r="B52" s="64">
        <v>9.7799999999999994</v>
      </c>
      <c r="C52" s="64">
        <v>40.840000000000003</v>
      </c>
      <c r="D52" s="64">
        <v>27.81</v>
      </c>
      <c r="E52" s="64">
        <v>6.13</v>
      </c>
      <c r="F52" s="64">
        <v>3.99</v>
      </c>
      <c r="G52" s="64">
        <v>105.57</v>
      </c>
      <c r="H52" s="64">
        <v>56.14</v>
      </c>
      <c r="I52" s="64">
        <v>7.52</v>
      </c>
      <c r="J52" s="64">
        <v>1.27</v>
      </c>
      <c r="K52" s="64">
        <v>105.7</v>
      </c>
      <c r="L52" s="64">
        <v>21.72</v>
      </c>
      <c r="M52" s="64">
        <v>41.62</v>
      </c>
      <c r="N52" s="64">
        <v>558.70000000000005</v>
      </c>
      <c r="O52" s="64">
        <v>0</v>
      </c>
      <c r="P52" s="64">
        <v>0.99</v>
      </c>
      <c r="Q52" s="64">
        <v>10.26</v>
      </c>
      <c r="R52" s="196"/>
      <c r="S52" s="196"/>
      <c r="T52" s="196"/>
      <c r="U52" s="196"/>
    </row>
    <row r="53" spans="1:21" s="12" customFormat="1" x14ac:dyDescent="0.25">
      <c r="A53" s="211" t="s">
        <v>2115</v>
      </c>
      <c r="B53" s="64">
        <v>8.18</v>
      </c>
      <c r="C53" s="64">
        <v>41.49</v>
      </c>
      <c r="D53" s="64">
        <v>26.86</v>
      </c>
      <c r="E53" s="64">
        <v>5.52</v>
      </c>
      <c r="F53" s="64">
        <v>4.3899999999999997</v>
      </c>
      <c r="G53" s="64">
        <v>98.44</v>
      </c>
      <c r="H53" s="64">
        <v>44.95</v>
      </c>
      <c r="I53" s="64">
        <v>7.8</v>
      </c>
      <c r="J53" s="64">
        <v>0.91</v>
      </c>
      <c r="K53" s="64">
        <v>83.01</v>
      </c>
      <c r="L53" s="64">
        <v>22.34</v>
      </c>
      <c r="M53" s="64">
        <v>38.74</v>
      </c>
      <c r="N53" s="64">
        <v>565.70000000000005</v>
      </c>
      <c r="O53" s="64">
        <v>0</v>
      </c>
      <c r="P53" s="64">
        <v>0.96</v>
      </c>
      <c r="Q53" s="64">
        <v>10.17</v>
      </c>
      <c r="R53" s="196"/>
      <c r="S53" s="196"/>
      <c r="T53" s="196"/>
      <c r="U53" s="196"/>
    </row>
    <row r="54" spans="1:21" s="12" customFormat="1" x14ac:dyDescent="0.25">
      <c r="A54" s="211" t="s">
        <v>2116</v>
      </c>
      <c r="B54" s="64">
        <v>6.95</v>
      </c>
      <c r="C54" s="64">
        <v>42.17</v>
      </c>
      <c r="D54" s="64">
        <v>26.23</v>
      </c>
      <c r="E54" s="64">
        <v>5.89</v>
      </c>
      <c r="F54" s="64">
        <v>4.7</v>
      </c>
      <c r="G54" s="64">
        <v>94.12</v>
      </c>
      <c r="H54" s="64">
        <v>42.51</v>
      </c>
      <c r="I54" s="64">
        <v>7.76</v>
      </c>
      <c r="J54" s="64">
        <v>0.63</v>
      </c>
      <c r="K54" s="64">
        <v>46.23</v>
      </c>
      <c r="L54" s="64">
        <v>23.08</v>
      </c>
      <c r="M54" s="64">
        <v>36.82</v>
      </c>
      <c r="N54" s="64">
        <v>579.20000000000005</v>
      </c>
      <c r="O54" s="64">
        <v>0</v>
      </c>
      <c r="P54" s="64">
        <v>0.93</v>
      </c>
      <c r="Q54" s="64">
        <v>10.15</v>
      </c>
      <c r="R54" s="196"/>
      <c r="S54" s="196"/>
      <c r="T54" s="196"/>
      <c r="U54" s="196"/>
    </row>
    <row r="55" spans="1:21" s="12" customFormat="1" x14ac:dyDescent="0.25">
      <c r="A55" s="211" t="s">
        <v>2117</v>
      </c>
      <c r="B55" s="64">
        <v>5.8</v>
      </c>
      <c r="C55" s="64">
        <v>42.5</v>
      </c>
      <c r="D55" s="64">
        <v>25.48</v>
      </c>
      <c r="E55" s="64">
        <v>5.54</v>
      </c>
      <c r="F55" s="64">
        <v>4.9000000000000004</v>
      </c>
      <c r="G55" s="64">
        <v>94.12</v>
      </c>
      <c r="H55" s="64">
        <v>42.51</v>
      </c>
      <c r="I55" s="64">
        <v>7.74</v>
      </c>
      <c r="J55" s="64">
        <v>1.31</v>
      </c>
      <c r="K55" s="64">
        <v>107.29</v>
      </c>
      <c r="L55" s="64">
        <v>22.83</v>
      </c>
      <c r="M55" s="64">
        <v>36.909999999999997</v>
      </c>
      <c r="N55" s="64">
        <v>563.4</v>
      </c>
      <c r="O55" s="64">
        <v>0</v>
      </c>
      <c r="P55" s="64">
        <v>0.89</v>
      </c>
      <c r="Q55" s="64">
        <v>10.14</v>
      </c>
      <c r="R55" s="196"/>
      <c r="S55" s="196"/>
      <c r="T55" s="196"/>
      <c r="U55" s="196"/>
    </row>
    <row r="56" spans="1:21" s="12" customFormat="1" x14ac:dyDescent="0.25">
      <c r="A56" s="211" t="s">
        <v>2118</v>
      </c>
      <c r="B56" s="64">
        <v>4.8499999999999996</v>
      </c>
      <c r="C56" s="64">
        <v>42.44</v>
      </c>
      <c r="D56" s="64">
        <v>24.68</v>
      </c>
      <c r="E56" s="64">
        <v>5.96</v>
      </c>
      <c r="F56" s="64">
        <v>5.1100000000000003</v>
      </c>
      <c r="G56" s="64">
        <v>94.12</v>
      </c>
      <c r="H56" s="64">
        <v>42.51</v>
      </c>
      <c r="I56" s="64">
        <v>7.69</v>
      </c>
      <c r="J56" s="64">
        <v>1.19</v>
      </c>
      <c r="K56" s="64">
        <v>97.18</v>
      </c>
      <c r="L56" s="64">
        <v>22.47</v>
      </c>
      <c r="M56" s="64">
        <v>37</v>
      </c>
      <c r="N56" s="64">
        <v>546.1</v>
      </c>
      <c r="O56" s="64">
        <v>0</v>
      </c>
      <c r="P56" s="64">
        <v>0.87</v>
      </c>
      <c r="Q56" s="64">
        <v>10.119999999999999</v>
      </c>
      <c r="R56" s="196"/>
      <c r="S56" s="196"/>
      <c r="T56" s="196"/>
      <c r="U56" s="196"/>
    </row>
    <row r="57" spans="1:21" s="12" customFormat="1" x14ac:dyDescent="0.25">
      <c r="A57" s="211" t="s">
        <v>2119</v>
      </c>
      <c r="B57" s="64">
        <v>4.1500000000000004</v>
      </c>
      <c r="C57" s="64">
        <v>42.41</v>
      </c>
      <c r="D57" s="64">
        <v>24.11</v>
      </c>
      <c r="E57" s="64">
        <v>6.25</v>
      </c>
      <c r="F57" s="64">
        <v>5.37</v>
      </c>
      <c r="G57" s="64">
        <v>88.94</v>
      </c>
      <c r="H57" s="64">
        <v>34.130000000000003</v>
      </c>
      <c r="I57" s="64">
        <v>7.64</v>
      </c>
      <c r="J57" s="64">
        <v>1.53</v>
      </c>
      <c r="K57" s="64">
        <v>351.49</v>
      </c>
      <c r="L57" s="64">
        <v>24.24</v>
      </c>
      <c r="M57" s="64">
        <v>32.9</v>
      </c>
      <c r="N57" s="64">
        <v>536.6</v>
      </c>
      <c r="O57" s="64">
        <v>0</v>
      </c>
      <c r="P57" s="64">
        <v>0.84</v>
      </c>
      <c r="Q57" s="64">
        <v>10.1</v>
      </c>
      <c r="R57" s="196"/>
      <c r="S57" s="196"/>
      <c r="T57" s="196"/>
      <c r="U57" s="196"/>
    </row>
    <row r="58" spans="1:21" s="12" customFormat="1" x14ac:dyDescent="0.25">
      <c r="A58" s="211" t="s">
        <v>2120</v>
      </c>
      <c r="B58" s="64">
        <v>3.76</v>
      </c>
      <c r="C58" s="64">
        <v>43.06</v>
      </c>
      <c r="D58" s="64">
        <v>24.13</v>
      </c>
      <c r="E58" s="64">
        <v>6.63</v>
      </c>
      <c r="F58" s="64">
        <v>5.5</v>
      </c>
      <c r="G58" s="64">
        <v>85.79</v>
      </c>
      <c r="H58" s="64">
        <v>31.24</v>
      </c>
      <c r="I58" s="64">
        <v>7.59</v>
      </c>
      <c r="J58" s="64">
        <v>1.1599999999999999</v>
      </c>
      <c r="K58" s="64">
        <v>19.87</v>
      </c>
      <c r="L58" s="64">
        <v>24.45</v>
      </c>
      <c r="M58" s="64">
        <v>32.799999999999997</v>
      </c>
      <c r="N58" s="64">
        <v>523.4</v>
      </c>
      <c r="O58" s="64">
        <v>0</v>
      </c>
      <c r="P58" s="64">
        <v>0.82</v>
      </c>
      <c r="Q58" s="64">
        <v>10.1</v>
      </c>
      <c r="R58" s="196"/>
      <c r="S58" s="196"/>
      <c r="T58" s="196"/>
      <c r="U58" s="196"/>
    </row>
    <row r="59" spans="1:21" s="12" customFormat="1" x14ac:dyDescent="0.25">
      <c r="A59" s="211" t="s">
        <v>2121</v>
      </c>
      <c r="B59" s="64">
        <v>3.48</v>
      </c>
      <c r="C59" s="64">
        <v>43.42</v>
      </c>
      <c r="D59" s="64">
        <v>24.1</v>
      </c>
      <c r="E59" s="64">
        <v>6.34</v>
      </c>
      <c r="F59" s="64">
        <v>5.64</v>
      </c>
      <c r="G59" s="64">
        <v>85.79</v>
      </c>
      <c r="H59" s="64">
        <v>31.24</v>
      </c>
      <c r="I59" s="64">
        <v>7.44</v>
      </c>
      <c r="J59" s="64">
        <v>1.4</v>
      </c>
      <c r="K59" s="64">
        <v>340.9</v>
      </c>
      <c r="L59" s="64">
        <v>24.51</v>
      </c>
      <c r="M59" s="64">
        <v>32.15</v>
      </c>
      <c r="N59" s="64">
        <v>501.4</v>
      </c>
      <c r="O59" s="64">
        <v>0</v>
      </c>
      <c r="P59" s="64">
        <v>0.8</v>
      </c>
      <c r="Q59" s="64">
        <v>10.11</v>
      </c>
      <c r="R59" s="196"/>
      <c r="S59" s="196"/>
      <c r="T59" s="196"/>
      <c r="U59" s="196"/>
    </row>
    <row r="60" spans="1:21" s="12" customFormat="1" x14ac:dyDescent="0.25">
      <c r="A60" s="211" t="s">
        <v>2122</v>
      </c>
      <c r="B60" s="64">
        <v>3.34</v>
      </c>
      <c r="C60" s="64">
        <v>42.46</v>
      </c>
      <c r="D60" s="64">
        <v>23.49</v>
      </c>
      <c r="E60" s="64">
        <v>6.65</v>
      </c>
      <c r="F60" s="64">
        <v>5.0199999999999996</v>
      </c>
      <c r="G60" s="64">
        <v>85.79</v>
      </c>
      <c r="H60" s="64">
        <v>31.24</v>
      </c>
      <c r="I60" s="64">
        <v>7.26</v>
      </c>
      <c r="J60" s="64">
        <v>0.88</v>
      </c>
      <c r="K60" s="64">
        <v>347.25</v>
      </c>
      <c r="L60" s="64">
        <v>25.15</v>
      </c>
      <c r="M60" s="64">
        <v>31.4</v>
      </c>
      <c r="N60" s="64">
        <v>476.3</v>
      </c>
      <c r="O60" s="64">
        <v>0</v>
      </c>
      <c r="P60" s="64">
        <v>0.79</v>
      </c>
      <c r="Q60" s="64">
        <v>10.06</v>
      </c>
      <c r="R60" s="196"/>
      <c r="S60" s="196"/>
      <c r="T60" s="196"/>
      <c r="U60" s="196"/>
    </row>
    <row r="61" spans="1:21" s="12" customFormat="1" x14ac:dyDescent="0.25">
      <c r="A61" s="211" t="s">
        <v>2123</v>
      </c>
      <c r="B61" s="64">
        <v>3.52</v>
      </c>
      <c r="C61" s="64">
        <v>42.05</v>
      </c>
      <c r="D61" s="64">
        <v>23.42</v>
      </c>
      <c r="E61" s="64">
        <v>6.31</v>
      </c>
      <c r="F61" s="64">
        <v>5.31</v>
      </c>
      <c r="G61" s="64">
        <v>81.209999999999994</v>
      </c>
      <c r="H61" s="64">
        <v>26.84</v>
      </c>
      <c r="I61" s="64">
        <v>7.32</v>
      </c>
      <c r="J61" s="64">
        <v>0.82</v>
      </c>
      <c r="K61" s="64">
        <v>2.7</v>
      </c>
      <c r="L61" s="64">
        <v>24.27</v>
      </c>
      <c r="M61" s="64">
        <v>32.11</v>
      </c>
      <c r="N61" s="64">
        <v>439.9</v>
      </c>
      <c r="O61" s="64">
        <v>0</v>
      </c>
      <c r="P61" s="64">
        <v>0.77</v>
      </c>
      <c r="Q61" s="64">
        <v>10.01</v>
      </c>
      <c r="R61" s="196"/>
      <c r="S61" s="196"/>
      <c r="T61" s="196"/>
      <c r="U61" s="196"/>
    </row>
    <row r="62" spans="1:21" s="12" customFormat="1" x14ac:dyDescent="0.25">
      <c r="A62" s="211" t="s">
        <v>2124</v>
      </c>
      <c r="B62" s="64">
        <v>3.59</v>
      </c>
      <c r="C62" s="64">
        <v>42.05</v>
      </c>
      <c r="D62" s="64">
        <v>23.48</v>
      </c>
      <c r="E62" s="64">
        <v>6.22</v>
      </c>
      <c r="F62" s="64">
        <v>5.25</v>
      </c>
      <c r="G62" s="64">
        <v>78.430000000000007</v>
      </c>
      <c r="H62" s="64">
        <v>25.87</v>
      </c>
      <c r="I62" s="64">
        <v>6.53</v>
      </c>
      <c r="J62" s="64">
        <v>2</v>
      </c>
      <c r="K62" s="64">
        <v>338.96</v>
      </c>
      <c r="L62" s="64">
        <v>24.39</v>
      </c>
      <c r="M62" s="64">
        <v>32.21</v>
      </c>
      <c r="N62" s="64">
        <v>420.2</v>
      </c>
      <c r="O62" s="64">
        <v>0</v>
      </c>
      <c r="P62" s="64">
        <v>0.81</v>
      </c>
      <c r="Q62" s="64">
        <v>10.039999999999999</v>
      </c>
      <c r="R62" s="196"/>
      <c r="S62" s="196"/>
      <c r="T62" s="196"/>
      <c r="U62" s="196"/>
    </row>
    <row r="63" spans="1:21" s="12" customFormat="1" x14ac:dyDescent="0.25">
      <c r="A63" s="211" t="s">
        <v>2125</v>
      </c>
      <c r="B63" s="64">
        <v>3.66</v>
      </c>
      <c r="C63" s="64">
        <v>42.13</v>
      </c>
      <c r="D63" s="64">
        <v>23.57</v>
      </c>
      <c r="E63" s="64">
        <v>6.59</v>
      </c>
      <c r="F63" s="64">
        <v>4.7300000000000004</v>
      </c>
      <c r="G63" s="64">
        <v>78.430000000000007</v>
      </c>
      <c r="H63" s="64">
        <v>25.87</v>
      </c>
      <c r="I63" s="64">
        <v>6.19</v>
      </c>
      <c r="J63" s="64">
        <v>1.62</v>
      </c>
      <c r="K63" s="64">
        <v>356.56</v>
      </c>
      <c r="L63" s="64">
        <v>24.01</v>
      </c>
      <c r="M63" s="64">
        <v>32.479999999999997</v>
      </c>
      <c r="N63" s="64">
        <v>389.2</v>
      </c>
      <c r="O63" s="64">
        <v>0</v>
      </c>
      <c r="P63" s="64">
        <v>0.79</v>
      </c>
      <c r="Q63" s="64">
        <v>10.039999999999999</v>
      </c>
      <c r="R63" s="196"/>
      <c r="S63" s="196"/>
      <c r="T63" s="196"/>
      <c r="U63" s="196"/>
    </row>
    <row r="64" spans="1:21" s="12" customFormat="1" x14ac:dyDescent="0.25">
      <c r="A64" s="211" t="s">
        <v>2126</v>
      </c>
      <c r="B64" s="64">
        <v>3.8</v>
      </c>
      <c r="C64" s="64">
        <v>42.44</v>
      </c>
      <c r="D64" s="64">
        <v>23.84</v>
      </c>
      <c r="E64" s="64">
        <v>6.23</v>
      </c>
      <c r="F64" s="64">
        <v>5.01</v>
      </c>
      <c r="G64" s="64">
        <v>78.430000000000007</v>
      </c>
      <c r="H64" s="64">
        <v>25.87</v>
      </c>
      <c r="I64" s="64">
        <v>6.04</v>
      </c>
      <c r="J64" s="64">
        <v>2.21</v>
      </c>
      <c r="K64" s="64">
        <v>337.08</v>
      </c>
      <c r="L64" s="64">
        <v>24.4</v>
      </c>
      <c r="M64" s="64">
        <v>31.75</v>
      </c>
      <c r="N64" s="64">
        <v>284.8</v>
      </c>
      <c r="O64" s="64">
        <v>0</v>
      </c>
      <c r="P64" s="64">
        <v>0.8</v>
      </c>
      <c r="Q64" s="64">
        <v>10.06</v>
      </c>
      <c r="R64" s="196"/>
      <c r="S64" s="196"/>
      <c r="T64" s="196"/>
      <c r="U64" s="196"/>
    </row>
    <row r="65" spans="1:21" s="12" customFormat="1" x14ac:dyDescent="0.25">
      <c r="A65" s="211" t="s">
        <v>2127</v>
      </c>
      <c r="B65" s="64">
        <v>3.8</v>
      </c>
      <c r="C65" s="64">
        <v>42.51</v>
      </c>
      <c r="D65" s="64">
        <v>23.88</v>
      </c>
      <c r="E65" s="64">
        <v>6.52</v>
      </c>
      <c r="F65" s="64">
        <v>4.93</v>
      </c>
      <c r="G65" s="64">
        <v>81.17</v>
      </c>
      <c r="H65" s="64">
        <v>27.11</v>
      </c>
      <c r="I65" s="64">
        <v>5.66</v>
      </c>
      <c r="J65" s="64">
        <v>1.65</v>
      </c>
      <c r="K65" s="64">
        <v>350.45</v>
      </c>
      <c r="L65" s="64">
        <v>23.28</v>
      </c>
      <c r="M65" s="64">
        <v>33.21</v>
      </c>
      <c r="N65" s="64">
        <v>165.3</v>
      </c>
      <c r="O65" s="64">
        <v>0</v>
      </c>
      <c r="P65" s="64">
        <v>0.78</v>
      </c>
      <c r="Q65" s="64">
        <v>10.050000000000001</v>
      </c>
      <c r="R65" s="196"/>
      <c r="S65" s="196"/>
      <c r="T65" s="196"/>
      <c r="U65" s="196"/>
    </row>
    <row r="66" spans="1:21" s="12" customFormat="1" x14ac:dyDescent="0.25">
      <c r="A66" s="211" t="s">
        <v>2128</v>
      </c>
      <c r="B66" s="64">
        <v>3.74</v>
      </c>
      <c r="C66" s="64">
        <v>42.54</v>
      </c>
      <c r="D66" s="64">
        <v>23.85</v>
      </c>
      <c r="E66" s="64">
        <v>6.66</v>
      </c>
      <c r="F66" s="64">
        <v>5.16</v>
      </c>
      <c r="G66" s="64">
        <v>82.84</v>
      </c>
      <c r="H66" s="64">
        <v>27.36</v>
      </c>
      <c r="I66" s="64">
        <v>5.24</v>
      </c>
      <c r="J66" s="64">
        <v>2.0299999999999998</v>
      </c>
      <c r="K66" s="64">
        <v>356.03</v>
      </c>
      <c r="L66" s="64">
        <v>23.44</v>
      </c>
      <c r="M66" s="64">
        <v>32.28</v>
      </c>
      <c r="N66" s="64">
        <v>145</v>
      </c>
      <c r="O66" s="64">
        <v>0</v>
      </c>
      <c r="P66" s="64">
        <v>0.77</v>
      </c>
      <c r="Q66" s="64">
        <v>10.06</v>
      </c>
      <c r="R66" s="196"/>
      <c r="S66" s="196"/>
      <c r="T66" s="196"/>
      <c r="U66" s="196"/>
    </row>
    <row r="67" spans="1:21" s="12" customFormat="1" x14ac:dyDescent="0.25">
      <c r="A67" s="211" t="s">
        <v>2129</v>
      </c>
      <c r="B67" s="64">
        <v>3.6</v>
      </c>
      <c r="C67" s="64">
        <v>42.37</v>
      </c>
      <c r="D67" s="64">
        <v>23.65</v>
      </c>
      <c r="E67" s="64">
        <v>6.29</v>
      </c>
      <c r="F67" s="64">
        <v>5.3</v>
      </c>
      <c r="G67" s="64">
        <v>82.84</v>
      </c>
      <c r="H67" s="64">
        <v>27.36</v>
      </c>
      <c r="I67" s="64">
        <v>5.35</v>
      </c>
      <c r="J67" s="64">
        <v>0.95</v>
      </c>
      <c r="K67" s="64">
        <v>45.86</v>
      </c>
      <c r="L67" s="64">
        <v>22.5</v>
      </c>
      <c r="M67" s="64">
        <v>34.799999999999997</v>
      </c>
      <c r="N67" s="64">
        <v>144.1</v>
      </c>
      <c r="O67" s="64">
        <v>0</v>
      </c>
      <c r="P67" s="64">
        <v>0.77</v>
      </c>
      <c r="Q67" s="64">
        <v>10.07</v>
      </c>
      <c r="R67" s="196"/>
      <c r="S67" s="196"/>
      <c r="T67" s="196"/>
      <c r="U67" s="196"/>
    </row>
    <row r="68" spans="1:21" s="12" customFormat="1" x14ac:dyDescent="0.25">
      <c r="A68" s="211" t="s">
        <v>2130</v>
      </c>
      <c r="B68" s="64">
        <v>3.5</v>
      </c>
      <c r="C68" s="64">
        <v>42.68</v>
      </c>
      <c r="D68" s="64">
        <v>23.73</v>
      </c>
      <c r="E68" s="64">
        <v>6.59</v>
      </c>
      <c r="F68" s="64">
        <v>5.37</v>
      </c>
      <c r="G68" s="64">
        <v>82.84</v>
      </c>
      <c r="H68" s="64">
        <v>27.36</v>
      </c>
      <c r="I68" s="64">
        <v>5.29</v>
      </c>
      <c r="J68" s="64">
        <v>1.25</v>
      </c>
      <c r="K68" s="64">
        <v>85.55</v>
      </c>
      <c r="L68" s="64">
        <v>22.33</v>
      </c>
      <c r="M68" s="64">
        <v>34.979999999999997</v>
      </c>
      <c r="N68" s="64">
        <v>136</v>
      </c>
      <c r="O68" s="64">
        <v>0</v>
      </c>
      <c r="P68" s="64">
        <v>0.78</v>
      </c>
      <c r="Q68" s="64">
        <v>10.119999999999999</v>
      </c>
      <c r="R68" s="196"/>
      <c r="S68" s="196"/>
      <c r="T68" s="196"/>
      <c r="U68" s="196"/>
    </row>
    <row r="69" spans="1:21" s="12" customFormat="1" x14ac:dyDescent="0.25">
      <c r="A69" s="211" t="s">
        <v>2131</v>
      </c>
      <c r="B69" s="64">
        <v>3.39</v>
      </c>
      <c r="C69" s="64">
        <v>43.23</v>
      </c>
      <c r="D69" s="64">
        <v>23.92</v>
      </c>
      <c r="E69" s="64">
        <v>6.54</v>
      </c>
      <c r="F69" s="64">
        <v>5.63</v>
      </c>
      <c r="G69" s="64">
        <v>81.69</v>
      </c>
      <c r="H69" s="64">
        <v>27.33</v>
      </c>
      <c r="I69" s="64">
        <v>6.13</v>
      </c>
      <c r="J69" s="64">
        <v>3.65</v>
      </c>
      <c r="K69" s="64">
        <v>337.6</v>
      </c>
      <c r="L69" s="64">
        <v>22.47</v>
      </c>
      <c r="M69" s="64">
        <v>35.29</v>
      </c>
      <c r="N69" s="64">
        <v>110.2</v>
      </c>
      <c r="O69" s="64">
        <v>0</v>
      </c>
      <c r="P69" s="64">
        <v>0.79</v>
      </c>
      <c r="Q69" s="64">
        <v>10.15</v>
      </c>
      <c r="R69" s="196"/>
      <c r="S69" s="196"/>
      <c r="T69" s="196"/>
      <c r="U69" s="196"/>
    </row>
    <row r="70" spans="1:21" s="12" customFormat="1" x14ac:dyDescent="0.25">
      <c r="A70" s="211" t="s">
        <v>2132</v>
      </c>
      <c r="B70" s="64">
        <v>3.44</v>
      </c>
      <c r="C70" s="64">
        <v>44.69</v>
      </c>
      <c r="D70" s="64">
        <v>24.73</v>
      </c>
      <c r="E70" s="64">
        <v>6.61</v>
      </c>
      <c r="F70" s="64">
        <v>6</v>
      </c>
      <c r="G70" s="64">
        <v>80.989999999999995</v>
      </c>
      <c r="H70" s="64">
        <v>27.32</v>
      </c>
      <c r="I70" s="64">
        <v>6.5</v>
      </c>
      <c r="J70" s="64">
        <v>3.82</v>
      </c>
      <c r="K70" s="64">
        <v>337.31</v>
      </c>
      <c r="L70" s="64">
        <v>22.16</v>
      </c>
      <c r="M70" s="64">
        <v>38.979999999999997</v>
      </c>
      <c r="N70" s="64">
        <v>98.3</v>
      </c>
      <c r="O70" s="64">
        <v>0</v>
      </c>
      <c r="P70" s="64">
        <v>0.8</v>
      </c>
      <c r="Q70" s="64">
        <v>10.11</v>
      </c>
      <c r="R70" s="196"/>
      <c r="S70" s="196"/>
      <c r="T70" s="196"/>
      <c r="U70" s="196"/>
    </row>
    <row r="71" spans="1:21" s="12" customFormat="1" x14ac:dyDescent="0.25">
      <c r="A71" s="211" t="s">
        <v>2133</v>
      </c>
      <c r="B71" s="64">
        <v>3.31</v>
      </c>
      <c r="C71" s="64">
        <v>45.59</v>
      </c>
      <c r="D71" s="64">
        <v>25.1</v>
      </c>
      <c r="E71" s="64">
        <v>6.61</v>
      </c>
      <c r="F71" s="64">
        <v>5.88</v>
      </c>
      <c r="G71" s="64">
        <v>80.989999999999995</v>
      </c>
      <c r="H71" s="64">
        <v>27.32</v>
      </c>
      <c r="I71" s="64">
        <v>6.23</v>
      </c>
      <c r="J71" s="64">
        <v>1.08</v>
      </c>
      <c r="K71" s="64">
        <v>46.99</v>
      </c>
      <c r="L71" s="64">
        <v>21.67</v>
      </c>
      <c r="M71" s="64">
        <v>37.840000000000003</v>
      </c>
      <c r="N71" s="64">
        <v>89.6</v>
      </c>
      <c r="O71" s="64">
        <v>0</v>
      </c>
      <c r="P71" s="64">
        <v>0.79</v>
      </c>
      <c r="Q71" s="64">
        <v>10.119999999999999</v>
      </c>
      <c r="R71" s="196"/>
      <c r="S71" s="196"/>
      <c r="T71" s="196"/>
      <c r="U71" s="196"/>
    </row>
    <row r="72" spans="1:21" s="12" customFormat="1" x14ac:dyDescent="0.25">
      <c r="A72" s="211" t="s">
        <v>2134</v>
      </c>
      <c r="B72" s="64">
        <v>3.08</v>
      </c>
      <c r="C72" s="64">
        <v>45.63</v>
      </c>
      <c r="D72" s="64">
        <v>24.93</v>
      </c>
      <c r="E72" s="64">
        <v>5.82</v>
      </c>
      <c r="F72" s="64">
        <v>5.69</v>
      </c>
      <c r="G72" s="64">
        <v>80.989999999999995</v>
      </c>
      <c r="H72" s="64">
        <v>27.32</v>
      </c>
      <c r="I72" s="64">
        <v>6.09</v>
      </c>
      <c r="J72" s="64">
        <v>3.19</v>
      </c>
      <c r="K72" s="64">
        <v>336.81</v>
      </c>
      <c r="L72" s="64">
        <v>21.56</v>
      </c>
      <c r="M72" s="64">
        <v>38.86</v>
      </c>
      <c r="N72" s="64">
        <v>79.3</v>
      </c>
      <c r="O72" s="64">
        <v>0</v>
      </c>
      <c r="P72" s="64">
        <v>0.79</v>
      </c>
      <c r="Q72" s="64">
        <v>10.119999999999999</v>
      </c>
      <c r="R72" s="196"/>
      <c r="S72" s="196"/>
      <c r="T72" s="196"/>
      <c r="U72" s="196"/>
    </row>
    <row r="73" spans="1:21" s="12" customFormat="1" x14ac:dyDescent="0.25">
      <c r="A73" s="211" t="s">
        <v>2135</v>
      </c>
      <c r="B73" s="64">
        <v>3.07</v>
      </c>
      <c r="C73" s="64">
        <v>46.22</v>
      </c>
      <c r="D73" s="64">
        <v>25.23</v>
      </c>
      <c r="E73" s="64">
        <v>7.26</v>
      </c>
      <c r="F73" s="64">
        <v>5.76</v>
      </c>
      <c r="G73" s="64">
        <v>84.1</v>
      </c>
      <c r="H73" s="64">
        <v>41.69</v>
      </c>
      <c r="I73" s="64">
        <v>5.86</v>
      </c>
      <c r="J73" s="64">
        <v>2.73</v>
      </c>
      <c r="K73" s="64">
        <v>343.35</v>
      </c>
      <c r="L73" s="64">
        <v>21.27</v>
      </c>
      <c r="M73" s="64">
        <v>41.62</v>
      </c>
      <c r="N73" s="64">
        <v>70.2</v>
      </c>
      <c r="O73" s="64">
        <v>0</v>
      </c>
      <c r="P73" s="64">
        <v>0.85</v>
      </c>
      <c r="Q73" s="64">
        <v>10.130000000000001</v>
      </c>
      <c r="R73" s="196"/>
      <c r="S73" s="196"/>
      <c r="T73" s="196"/>
      <c r="U73" s="196"/>
    </row>
    <row r="74" spans="1:21" s="12" customFormat="1" x14ac:dyDescent="0.25">
      <c r="A74" s="211" t="s">
        <v>2136</v>
      </c>
      <c r="B74" s="64">
        <v>3.18</v>
      </c>
      <c r="C74" s="64">
        <v>47.09</v>
      </c>
      <c r="D74" s="64">
        <v>25.78</v>
      </c>
      <c r="E74" s="64">
        <v>7.14</v>
      </c>
      <c r="F74" s="64">
        <v>5.61</v>
      </c>
      <c r="G74" s="64">
        <v>85.98</v>
      </c>
      <c r="H74" s="64">
        <v>46.63</v>
      </c>
      <c r="I74" s="64">
        <v>5.9</v>
      </c>
      <c r="J74" s="64">
        <v>2.65</v>
      </c>
      <c r="K74" s="64">
        <v>334.14</v>
      </c>
      <c r="L74" s="64">
        <v>21.12</v>
      </c>
      <c r="M74" s="64">
        <v>39.43</v>
      </c>
      <c r="N74" s="64">
        <v>60.9</v>
      </c>
      <c r="O74" s="64">
        <v>0</v>
      </c>
      <c r="P74" s="64">
        <v>0.82</v>
      </c>
      <c r="Q74" s="64">
        <v>10.14</v>
      </c>
      <c r="R74" s="196"/>
      <c r="S74" s="196"/>
      <c r="T74" s="196"/>
      <c r="U74" s="196"/>
    </row>
    <row r="75" spans="1:21" s="12" customFormat="1" x14ac:dyDescent="0.25">
      <c r="A75" s="211" t="s">
        <v>2137</v>
      </c>
      <c r="B75" s="64">
        <v>3.64</v>
      </c>
      <c r="C75" s="64">
        <v>48.64</v>
      </c>
      <c r="D75" s="64">
        <v>26.95</v>
      </c>
      <c r="E75" s="64">
        <v>7.05</v>
      </c>
      <c r="F75" s="64">
        <v>5.45</v>
      </c>
      <c r="G75" s="64">
        <v>85.98</v>
      </c>
      <c r="H75" s="64">
        <v>46.63</v>
      </c>
      <c r="I75" s="64">
        <v>5.77</v>
      </c>
      <c r="J75" s="64">
        <v>1.55</v>
      </c>
      <c r="K75" s="64">
        <v>331.99</v>
      </c>
      <c r="L75" s="64">
        <v>20.9</v>
      </c>
      <c r="M75" s="64">
        <v>39.56</v>
      </c>
      <c r="N75" s="64">
        <v>52</v>
      </c>
      <c r="O75" s="64">
        <v>0</v>
      </c>
      <c r="P75" s="64">
        <v>0.83</v>
      </c>
      <c r="Q75" s="64">
        <v>10.18</v>
      </c>
      <c r="R75" s="196"/>
      <c r="S75" s="196"/>
      <c r="T75" s="196"/>
      <c r="U75" s="196"/>
    </row>
    <row r="76" spans="1:21" s="12" customFormat="1" x14ac:dyDescent="0.25">
      <c r="A76" s="211" t="s">
        <v>2138</v>
      </c>
      <c r="B76" s="64">
        <v>3.83</v>
      </c>
      <c r="C76" s="64">
        <v>49.63</v>
      </c>
      <c r="D76" s="64">
        <v>27.62</v>
      </c>
      <c r="E76" s="64">
        <v>7.07</v>
      </c>
      <c r="F76" s="64">
        <v>5.0999999999999996</v>
      </c>
      <c r="G76" s="64">
        <v>85.98</v>
      </c>
      <c r="H76" s="64">
        <v>46.63</v>
      </c>
      <c r="I76" s="64">
        <v>5.64</v>
      </c>
      <c r="J76" s="64">
        <v>3.37</v>
      </c>
      <c r="K76" s="64">
        <v>342.82</v>
      </c>
      <c r="L76" s="64">
        <v>20.61</v>
      </c>
      <c r="M76" s="64">
        <v>39.96</v>
      </c>
      <c r="N76" s="64">
        <v>43.2</v>
      </c>
      <c r="O76" s="64">
        <v>0</v>
      </c>
      <c r="P76" s="64">
        <v>0.88</v>
      </c>
      <c r="Q76" s="64">
        <v>10.19</v>
      </c>
      <c r="R76" s="196"/>
      <c r="S76" s="196"/>
      <c r="T76" s="196"/>
      <c r="U76" s="196"/>
    </row>
    <row r="77" spans="1:21" s="12" customFormat="1" x14ac:dyDescent="0.25">
      <c r="A77" s="211" t="s">
        <v>2139</v>
      </c>
      <c r="B77" s="64">
        <v>4.03</v>
      </c>
      <c r="C77" s="64">
        <v>49.32</v>
      </c>
      <c r="D77" s="64">
        <v>27.62</v>
      </c>
      <c r="E77" s="64">
        <v>6.76</v>
      </c>
      <c r="F77" s="64">
        <v>4.9000000000000004</v>
      </c>
      <c r="G77" s="64">
        <v>85.52</v>
      </c>
      <c r="H77" s="64">
        <v>45.03</v>
      </c>
      <c r="I77" s="64">
        <v>5.72</v>
      </c>
      <c r="J77" s="64">
        <v>3.52</v>
      </c>
      <c r="K77" s="64">
        <v>346.11</v>
      </c>
      <c r="L77" s="64">
        <v>20.22</v>
      </c>
      <c r="M77" s="64">
        <v>40.82</v>
      </c>
      <c r="N77" s="64">
        <v>36.5</v>
      </c>
      <c r="O77" s="64">
        <v>0</v>
      </c>
      <c r="P77" s="64">
        <v>0.99</v>
      </c>
      <c r="Q77" s="64">
        <v>10.14</v>
      </c>
      <c r="R77" s="196"/>
      <c r="S77" s="196"/>
      <c r="T77" s="196"/>
      <c r="U77" s="196"/>
    </row>
    <row r="78" spans="1:21" s="12" customFormat="1" x14ac:dyDescent="0.25">
      <c r="A78" s="211" t="s">
        <v>2140</v>
      </c>
      <c r="B78" s="64">
        <v>4.8499999999999996</v>
      </c>
      <c r="C78" s="64">
        <v>49.8</v>
      </c>
      <c r="D78" s="64">
        <v>28.53</v>
      </c>
      <c r="E78" s="64">
        <v>6.73</v>
      </c>
      <c r="F78" s="64">
        <v>4.63</v>
      </c>
      <c r="G78" s="64">
        <v>85.24</v>
      </c>
      <c r="H78" s="64">
        <v>44.72</v>
      </c>
      <c r="I78" s="64">
        <v>5.52</v>
      </c>
      <c r="J78" s="64">
        <v>3.54</v>
      </c>
      <c r="K78" s="64">
        <v>344.06</v>
      </c>
      <c r="L78" s="64">
        <v>19.72</v>
      </c>
      <c r="M78" s="64">
        <v>42.77</v>
      </c>
      <c r="N78" s="64">
        <v>32.700000000000003</v>
      </c>
      <c r="O78" s="64">
        <v>0</v>
      </c>
      <c r="P78" s="64">
        <v>1.07</v>
      </c>
      <c r="Q78" s="64">
        <v>10.11</v>
      </c>
      <c r="R78" s="196"/>
      <c r="S78" s="196"/>
      <c r="T78" s="196"/>
      <c r="U78" s="196"/>
    </row>
    <row r="79" spans="1:21" s="12" customFormat="1" x14ac:dyDescent="0.25">
      <c r="A79" s="211" t="s">
        <v>2141</v>
      </c>
      <c r="B79" s="64">
        <v>6</v>
      </c>
      <c r="C79" s="64">
        <v>50.09</v>
      </c>
      <c r="D79" s="64">
        <v>29.61</v>
      </c>
      <c r="E79" s="64">
        <v>6.89</v>
      </c>
      <c r="F79" s="64">
        <v>4.1399999999999997</v>
      </c>
      <c r="G79" s="64">
        <v>85.24</v>
      </c>
      <c r="H79" s="64">
        <v>44.72</v>
      </c>
      <c r="I79" s="64">
        <v>5.31</v>
      </c>
      <c r="J79" s="64">
        <v>3.29</v>
      </c>
      <c r="K79" s="64">
        <v>343.68</v>
      </c>
      <c r="L79" s="64">
        <v>19.260000000000002</v>
      </c>
      <c r="M79" s="64">
        <v>43.88</v>
      </c>
      <c r="N79" s="64">
        <v>31.4</v>
      </c>
      <c r="O79" s="64">
        <v>0</v>
      </c>
      <c r="P79" s="64">
        <v>1.08</v>
      </c>
      <c r="Q79" s="64">
        <v>10.130000000000001</v>
      </c>
      <c r="R79" s="196"/>
      <c r="S79" s="196"/>
      <c r="T79" s="196"/>
      <c r="U79" s="196"/>
    </row>
    <row r="80" spans="1:21" s="12" customFormat="1" x14ac:dyDescent="0.25">
      <c r="A80" s="211" t="s">
        <v>2142</v>
      </c>
      <c r="B80" s="64">
        <v>7.85</v>
      </c>
      <c r="C80" s="64">
        <v>50.61</v>
      </c>
      <c r="D80" s="64">
        <v>31.36</v>
      </c>
      <c r="E80" s="64">
        <v>7.21</v>
      </c>
      <c r="F80" s="64">
        <v>3.98</v>
      </c>
      <c r="G80" s="64">
        <v>85.24</v>
      </c>
      <c r="H80" s="64">
        <v>44.72</v>
      </c>
      <c r="I80" s="64">
        <v>5.32</v>
      </c>
      <c r="J80" s="64">
        <v>3.36</v>
      </c>
      <c r="K80" s="64">
        <v>344.87</v>
      </c>
      <c r="L80" s="64">
        <v>18.829999999999998</v>
      </c>
      <c r="M80" s="64">
        <v>46.43</v>
      </c>
      <c r="N80" s="64">
        <v>31</v>
      </c>
      <c r="O80" s="64">
        <v>0</v>
      </c>
      <c r="P80" s="64">
        <v>1.24</v>
      </c>
      <c r="Q80" s="64">
        <v>10.15</v>
      </c>
      <c r="R80" s="196"/>
      <c r="S80" s="196"/>
      <c r="T80" s="196"/>
      <c r="U80" s="196"/>
    </row>
    <row r="81" spans="1:26" s="12" customFormat="1" x14ac:dyDescent="0.25">
      <c r="A81" s="211" t="s">
        <v>2143</v>
      </c>
      <c r="B81" s="64">
        <v>9.7899999999999991</v>
      </c>
      <c r="C81" s="64">
        <v>50.99</v>
      </c>
      <c r="D81" s="64">
        <v>33.11</v>
      </c>
      <c r="E81" s="64">
        <v>7.25</v>
      </c>
      <c r="F81" s="64">
        <v>3.85</v>
      </c>
      <c r="G81" s="64">
        <v>89.79</v>
      </c>
      <c r="H81" s="64">
        <v>48.42</v>
      </c>
      <c r="I81" s="64">
        <v>5.53</v>
      </c>
      <c r="J81" s="64">
        <v>3.37</v>
      </c>
      <c r="K81" s="64">
        <v>345.32</v>
      </c>
      <c r="L81" s="64">
        <v>18.61</v>
      </c>
      <c r="M81" s="64">
        <v>45.85</v>
      </c>
      <c r="N81" s="64">
        <v>31</v>
      </c>
      <c r="O81" s="64">
        <v>0</v>
      </c>
      <c r="P81" s="64">
        <v>1.2</v>
      </c>
      <c r="Q81" s="64">
        <v>10.19</v>
      </c>
      <c r="R81" s="196"/>
      <c r="S81" s="196"/>
      <c r="T81" s="196"/>
      <c r="U81" s="196"/>
    </row>
    <row r="82" spans="1:26" s="12" customFormat="1" x14ac:dyDescent="0.25">
      <c r="A82" s="211" t="s">
        <v>2144</v>
      </c>
      <c r="B82" s="64">
        <v>12.19</v>
      </c>
      <c r="C82" s="64">
        <v>51.41</v>
      </c>
      <c r="D82" s="64">
        <v>35.26</v>
      </c>
      <c r="E82" s="64">
        <v>7.79</v>
      </c>
      <c r="F82" s="64">
        <v>3.78</v>
      </c>
      <c r="G82" s="64">
        <v>92.55</v>
      </c>
      <c r="H82" s="64">
        <v>49.15</v>
      </c>
      <c r="I82" s="64">
        <v>6.06</v>
      </c>
      <c r="J82" s="64">
        <v>3.17</v>
      </c>
      <c r="K82" s="64">
        <v>344.89</v>
      </c>
      <c r="L82" s="64">
        <v>18.260000000000002</v>
      </c>
      <c r="M82" s="64">
        <v>50.17</v>
      </c>
      <c r="N82" s="64">
        <v>31.2</v>
      </c>
      <c r="O82" s="64">
        <v>0</v>
      </c>
      <c r="P82" s="64">
        <v>1.32</v>
      </c>
      <c r="Q82" s="64">
        <v>10.199999999999999</v>
      </c>
      <c r="R82" s="196"/>
      <c r="S82" s="196"/>
      <c r="T82" s="196"/>
      <c r="U82" s="196"/>
    </row>
    <row r="83" spans="1:26" s="12" customFormat="1" x14ac:dyDescent="0.25">
      <c r="A83" s="211" t="s">
        <v>2145</v>
      </c>
      <c r="B83" s="64">
        <v>14.48</v>
      </c>
      <c r="C83" s="64">
        <v>51.41</v>
      </c>
      <c r="D83" s="64">
        <v>37.1</v>
      </c>
      <c r="E83" s="64">
        <v>7.65</v>
      </c>
      <c r="F83" s="64">
        <v>3.77</v>
      </c>
      <c r="G83" s="64">
        <v>92.55</v>
      </c>
      <c r="H83" s="64">
        <v>49.15</v>
      </c>
      <c r="I83" s="64">
        <v>6.09</v>
      </c>
      <c r="J83" s="64">
        <v>1.92</v>
      </c>
      <c r="K83" s="64">
        <v>72.69</v>
      </c>
      <c r="L83" s="64">
        <v>17.96</v>
      </c>
      <c r="M83" s="64">
        <v>48.5</v>
      </c>
      <c r="N83" s="64">
        <v>31.4</v>
      </c>
      <c r="O83" s="64">
        <v>0</v>
      </c>
      <c r="P83" s="64">
        <v>1.4</v>
      </c>
      <c r="Q83" s="64">
        <v>10.24</v>
      </c>
      <c r="R83" s="196"/>
      <c r="S83" s="196"/>
      <c r="T83" s="196"/>
      <c r="U83" s="196"/>
    </row>
    <row r="84" spans="1:26" s="12" customFormat="1" x14ac:dyDescent="0.25">
      <c r="A84" s="211" t="s">
        <v>2146</v>
      </c>
      <c r="B84" s="64">
        <v>15.3</v>
      </c>
      <c r="C84" s="64">
        <v>51.04</v>
      </c>
      <c r="D84" s="64">
        <v>37.56</v>
      </c>
      <c r="E84" s="64">
        <v>7.62</v>
      </c>
      <c r="F84" s="64">
        <v>3.83</v>
      </c>
      <c r="G84" s="64">
        <v>92.55</v>
      </c>
      <c r="H84" s="64">
        <v>49.15</v>
      </c>
      <c r="I84" s="64">
        <v>6.83</v>
      </c>
      <c r="J84" s="64">
        <v>2.88</v>
      </c>
      <c r="K84" s="64">
        <v>88.69</v>
      </c>
      <c r="L84" s="64">
        <v>17.760000000000002</v>
      </c>
      <c r="M84" s="64">
        <v>49.58</v>
      </c>
      <c r="N84" s="64">
        <v>31.4</v>
      </c>
      <c r="O84" s="64">
        <v>0</v>
      </c>
      <c r="P84" s="64">
        <v>1.21</v>
      </c>
      <c r="Q84" s="64">
        <v>10.26</v>
      </c>
      <c r="R84" s="196"/>
      <c r="S84" s="196"/>
      <c r="T84" s="196"/>
      <c r="U84" s="196"/>
    </row>
    <row r="85" spans="1:26" s="12" customFormat="1" x14ac:dyDescent="0.25">
      <c r="A85" s="211" t="s">
        <v>2147</v>
      </c>
      <c r="B85" s="64">
        <v>15.25</v>
      </c>
      <c r="C85" s="64">
        <v>50.73</v>
      </c>
      <c r="D85" s="64">
        <v>37.36</v>
      </c>
      <c r="E85" s="64">
        <v>7.84</v>
      </c>
      <c r="F85" s="64">
        <v>4.1100000000000003</v>
      </c>
      <c r="G85" s="64">
        <v>107.68</v>
      </c>
      <c r="H85" s="64">
        <v>53.62</v>
      </c>
      <c r="I85" s="64">
        <v>7.28</v>
      </c>
      <c r="J85" s="64">
        <v>1.95</v>
      </c>
      <c r="K85" s="64">
        <v>79.11</v>
      </c>
      <c r="L85" s="64">
        <v>17.47</v>
      </c>
      <c r="M85" s="64">
        <v>50.65</v>
      </c>
      <c r="N85" s="64">
        <v>31.4</v>
      </c>
      <c r="O85" s="64">
        <v>0</v>
      </c>
      <c r="P85" s="64">
        <v>1.1000000000000001</v>
      </c>
      <c r="Q85" s="64">
        <v>10.29</v>
      </c>
      <c r="R85" s="196"/>
      <c r="S85" s="196"/>
      <c r="T85" s="196"/>
      <c r="U85" s="196"/>
    </row>
    <row r="86" spans="1:26" s="12" customFormat="1" x14ac:dyDescent="0.25">
      <c r="A86" s="211" t="s">
        <v>2148</v>
      </c>
      <c r="B86" s="64">
        <v>15.6</v>
      </c>
      <c r="C86" s="64">
        <v>51.9</v>
      </c>
      <c r="D86" s="64">
        <v>38.25</v>
      </c>
      <c r="E86" s="64">
        <v>8.1</v>
      </c>
      <c r="F86" s="64">
        <v>4.28</v>
      </c>
      <c r="G86" s="64">
        <v>116.86</v>
      </c>
      <c r="H86" s="64">
        <v>54.59</v>
      </c>
      <c r="I86" s="64">
        <v>7.49</v>
      </c>
      <c r="J86" s="64">
        <v>2.12</v>
      </c>
      <c r="K86" s="64">
        <v>27.81</v>
      </c>
      <c r="L86" s="64">
        <v>17.18</v>
      </c>
      <c r="M86" s="64">
        <v>53.21</v>
      </c>
      <c r="N86" s="64">
        <v>31.3</v>
      </c>
      <c r="O86" s="64">
        <v>0</v>
      </c>
      <c r="P86" s="64">
        <v>1.25</v>
      </c>
      <c r="Q86" s="64">
        <v>10.34</v>
      </c>
      <c r="R86" s="196"/>
      <c r="S86" s="196"/>
      <c r="T86" s="196"/>
      <c r="U86" s="196"/>
    </row>
    <row r="87" spans="1:26" s="12" customFormat="1" x14ac:dyDescent="0.25">
      <c r="A87" s="211" t="s">
        <v>2149</v>
      </c>
      <c r="B87" s="64">
        <v>16.46</v>
      </c>
      <c r="C87" s="64">
        <v>52.99</v>
      </c>
      <c r="D87" s="64">
        <v>39.5</v>
      </c>
      <c r="E87" s="64">
        <v>7.94</v>
      </c>
      <c r="F87" s="64">
        <v>4.0999999999999996</v>
      </c>
      <c r="G87" s="64">
        <v>116.86</v>
      </c>
      <c r="H87" s="64">
        <v>54.59</v>
      </c>
      <c r="I87" s="64">
        <v>7.7</v>
      </c>
      <c r="J87" s="64">
        <v>1.76</v>
      </c>
      <c r="K87" s="64">
        <v>10.42</v>
      </c>
      <c r="L87" s="64">
        <v>17</v>
      </c>
      <c r="M87" s="64">
        <v>54.64</v>
      </c>
      <c r="N87" s="64">
        <v>31.3</v>
      </c>
      <c r="O87" s="64">
        <v>0</v>
      </c>
      <c r="P87" s="64">
        <v>1.29</v>
      </c>
      <c r="Q87" s="64">
        <v>10.35</v>
      </c>
      <c r="R87" s="196"/>
      <c r="S87" s="196"/>
      <c r="T87" s="196"/>
      <c r="U87" s="196"/>
    </row>
    <row r="88" spans="1:26" s="12" customFormat="1" x14ac:dyDescent="0.25">
      <c r="A88" s="211" t="s">
        <v>2150</v>
      </c>
      <c r="B88" s="64">
        <v>19.53</v>
      </c>
      <c r="C88" s="64">
        <v>53.52</v>
      </c>
      <c r="D88" s="64">
        <v>42.25</v>
      </c>
      <c r="E88" s="64">
        <v>5.5</v>
      </c>
      <c r="F88" s="64">
        <v>3.99</v>
      </c>
      <c r="G88" s="64">
        <v>116.86</v>
      </c>
      <c r="H88" s="64">
        <v>54.59</v>
      </c>
      <c r="I88" s="64">
        <v>7.81</v>
      </c>
      <c r="J88" s="64">
        <v>3.17</v>
      </c>
      <c r="K88" s="64">
        <v>330</v>
      </c>
      <c r="L88" s="64">
        <v>16.600000000000001</v>
      </c>
      <c r="M88" s="64">
        <v>62.7</v>
      </c>
      <c r="N88" s="64">
        <v>31.5</v>
      </c>
      <c r="O88" s="64">
        <v>0</v>
      </c>
      <c r="P88" s="64">
        <v>1.37</v>
      </c>
      <c r="Q88" s="64">
        <v>10.43</v>
      </c>
      <c r="R88" s="196"/>
      <c r="S88" s="196"/>
      <c r="T88" s="196"/>
      <c r="U88" s="196"/>
    </row>
    <row r="89" spans="1:26" s="12" customFormat="1" x14ac:dyDescent="0.25">
      <c r="A89" s="211" t="s">
        <v>2151</v>
      </c>
      <c r="B89" s="64">
        <v>24.06</v>
      </c>
      <c r="C89" s="64">
        <v>53.77</v>
      </c>
      <c r="D89" s="64">
        <v>46.01</v>
      </c>
      <c r="E89" s="64">
        <v>6.98</v>
      </c>
      <c r="F89" s="64">
        <v>4.0999999999999996</v>
      </c>
      <c r="G89" s="64">
        <v>135.13999999999999</v>
      </c>
      <c r="H89" s="64">
        <v>58.49</v>
      </c>
      <c r="I89" s="64">
        <v>8</v>
      </c>
      <c r="J89" s="64">
        <v>2.35</v>
      </c>
      <c r="K89" s="64">
        <v>337.56</v>
      </c>
      <c r="L89" s="64">
        <v>16.059999999999999</v>
      </c>
      <c r="M89" s="64">
        <v>61.24</v>
      </c>
      <c r="N89" s="64">
        <v>31.2</v>
      </c>
      <c r="O89" s="64">
        <v>0</v>
      </c>
      <c r="P89" s="64">
        <v>1.53</v>
      </c>
      <c r="Q89" s="64">
        <v>10.46</v>
      </c>
      <c r="R89" s="196"/>
      <c r="S89" s="196"/>
      <c r="T89" s="196"/>
      <c r="U89" s="196"/>
    </row>
    <row r="90" spans="1:26" s="12" customFormat="1" x14ac:dyDescent="0.25">
      <c r="A90" s="211" t="s">
        <v>2152</v>
      </c>
      <c r="B90" s="64">
        <v>26.67</v>
      </c>
      <c r="C90" s="64">
        <v>53.97</v>
      </c>
      <c r="D90" s="64">
        <v>48.21</v>
      </c>
      <c r="E90" s="64">
        <v>6.71</v>
      </c>
      <c r="F90" s="64">
        <v>4.03</v>
      </c>
      <c r="G90" s="64">
        <v>146.24</v>
      </c>
      <c r="H90" s="64">
        <v>59.78</v>
      </c>
      <c r="I90" s="64">
        <v>8.19</v>
      </c>
      <c r="J90" s="64">
        <v>2.06</v>
      </c>
      <c r="K90" s="64">
        <v>50.11</v>
      </c>
      <c r="L90" s="64">
        <v>16.260000000000002</v>
      </c>
      <c r="M90" s="64">
        <v>56.63</v>
      </c>
      <c r="N90" s="64">
        <v>31.1</v>
      </c>
      <c r="O90" s="64">
        <v>0</v>
      </c>
      <c r="P90" s="64">
        <v>1.57</v>
      </c>
      <c r="Q90" s="64">
        <v>10.5</v>
      </c>
      <c r="R90" s="196"/>
      <c r="S90" s="196"/>
      <c r="T90" s="196"/>
      <c r="U90" s="196"/>
    </row>
    <row r="91" spans="1:26" s="12" customFormat="1" x14ac:dyDescent="0.25">
      <c r="A91" s="211" t="s">
        <v>2153</v>
      </c>
      <c r="B91" s="64">
        <v>27.96</v>
      </c>
      <c r="C91" s="64">
        <v>54.12</v>
      </c>
      <c r="D91" s="64">
        <v>49.32</v>
      </c>
      <c r="E91" s="64">
        <v>7.17</v>
      </c>
      <c r="F91" s="64">
        <v>4.05</v>
      </c>
      <c r="G91" s="64">
        <v>146.24</v>
      </c>
      <c r="H91" s="64">
        <v>59.78</v>
      </c>
      <c r="I91" s="64">
        <v>8.4499999999999993</v>
      </c>
      <c r="J91" s="64">
        <v>1.49</v>
      </c>
      <c r="K91" s="64">
        <v>14.29</v>
      </c>
      <c r="L91" s="64">
        <v>16.11</v>
      </c>
      <c r="M91" s="64">
        <v>65.319999999999993</v>
      </c>
      <c r="N91" s="64">
        <v>31.5</v>
      </c>
      <c r="O91" s="64">
        <v>0</v>
      </c>
      <c r="P91" s="64">
        <v>1.64</v>
      </c>
      <c r="Q91" s="64">
        <v>10.53</v>
      </c>
      <c r="R91" s="196"/>
      <c r="S91" s="196"/>
      <c r="T91" s="196"/>
      <c r="U91" s="196"/>
    </row>
    <row r="92" spans="1:26" s="12" customFormat="1" x14ac:dyDescent="0.25">
      <c r="A92" s="211" t="s">
        <v>2154</v>
      </c>
      <c r="B92" s="64">
        <v>30.47</v>
      </c>
      <c r="C92" s="64">
        <v>54.23</v>
      </c>
      <c r="D92" s="64">
        <v>51.4</v>
      </c>
      <c r="E92" s="64">
        <v>6.96</v>
      </c>
      <c r="F92" s="64">
        <v>4</v>
      </c>
      <c r="G92" s="64">
        <v>146.24</v>
      </c>
      <c r="H92" s="64">
        <v>59.78</v>
      </c>
      <c r="I92" s="64">
        <v>8.18</v>
      </c>
      <c r="J92" s="64">
        <v>1.27</v>
      </c>
      <c r="K92" s="64">
        <v>304.33</v>
      </c>
      <c r="L92" s="64">
        <v>15.84</v>
      </c>
      <c r="M92" s="64">
        <v>60.65</v>
      </c>
      <c r="N92" s="64">
        <v>30.9</v>
      </c>
      <c r="O92" s="64">
        <v>0</v>
      </c>
      <c r="P92" s="64">
        <v>1.67</v>
      </c>
      <c r="Q92" s="64">
        <v>10.56</v>
      </c>
      <c r="R92" s="196"/>
      <c r="S92" s="196"/>
      <c r="T92" s="196"/>
      <c r="U92" s="196"/>
    </row>
    <row r="93" spans="1:26" s="12" customFormat="1" x14ac:dyDescent="0.25">
      <c r="A93" s="211" t="s">
        <v>2155</v>
      </c>
      <c r="B93" s="64">
        <v>33.92</v>
      </c>
      <c r="C93" s="64">
        <v>53.55</v>
      </c>
      <c r="D93" s="64">
        <v>53.8</v>
      </c>
      <c r="E93" s="64">
        <v>7.1</v>
      </c>
      <c r="F93" s="64">
        <v>3.94</v>
      </c>
      <c r="G93" s="64">
        <v>141.71</v>
      </c>
      <c r="H93" s="64">
        <v>57.49</v>
      </c>
      <c r="I93" s="64">
        <v>8.09</v>
      </c>
      <c r="J93" s="64">
        <v>2.64</v>
      </c>
      <c r="K93" s="64">
        <v>291.13</v>
      </c>
      <c r="L93" s="64">
        <v>15.52</v>
      </c>
      <c r="M93" s="64">
        <v>66.31</v>
      </c>
      <c r="N93" s="64">
        <v>31.4</v>
      </c>
      <c r="O93" s="64">
        <v>0</v>
      </c>
      <c r="P93" s="64">
        <v>1.82</v>
      </c>
      <c r="Q93" s="64">
        <v>10.55</v>
      </c>
      <c r="R93" s="196"/>
      <c r="S93" s="196"/>
      <c r="T93" s="196"/>
      <c r="U93" s="196"/>
    </row>
    <row r="94" spans="1:26" s="12" customFormat="1" x14ac:dyDescent="0.25">
      <c r="A94" s="211" t="s">
        <v>2156</v>
      </c>
      <c r="B94" s="64">
        <v>40.020000000000003</v>
      </c>
      <c r="C94" s="64">
        <v>51.88</v>
      </c>
      <c r="D94" s="64">
        <v>57.83</v>
      </c>
      <c r="E94" s="64">
        <v>6.91</v>
      </c>
      <c r="F94" s="64">
        <v>4.03</v>
      </c>
      <c r="G94" s="64">
        <v>138.96</v>
      </c>
      <c r="H94" s="64">
        <v>57.03</v>
      </c>
      <c r="I94" s="64">
        <v>8.1999999999999993</v>
      </c>
      <c r="J94" s="64">
        <v>2.72</v>
      </c>
      <c r="K94" s="64">
        <v>298.73</v>
      </c>
      <c r="L94" s="64">
        <v>15.25</v>
      </c>
      <c r="M94" s="64">
        <v>66.17</v>
      </c>
      <c r="N94" s="64">
        <v>31.4</v>
      </c>
      <c r="O94" s="64">
        <v>0</v>
      </c>
      <c r="P94" s="64">
        <v>2.0499999999999998</v>
      </c>
      <c r="Q94" s="64">
        <v>10.5</v>
      </c>
      <c r="R94" s="196"/>
      <c r="S94" s="196"/>
      <c r="T94" s="196"/>
      <c r="U94" s="196"/>
    </row>
    <row r="95" spans="1:26" s="12" customFormat="1" x14ac:dyDescent="0.25">
      <c r="A95" s="211" t="s">
        <v>2157</v>
      </c>
      <c r="B95" s="64">
        <v>46.02</v>
      </c>
      <c r="C95" s="64">
        <v>51.68</v>
      </c>
      <c r="D95" s="64">
        <v>62.53</v>
      </c>
      <c r="E95" s="64">
        <v>6.8</v>
      </c>
      <c r="F95" s="64">
        <v>3.85</v>
      </c>
      <c r="G95" s="64">
        <v>138.96</v>
      </c>
      <c r="H95" s="64">
        <v>57.03</v>
      </c>
      <c r="I95" s="64">
        <v>9.11</v>
      </c>
      <c r="J95" s="64">
        <v>2.7</v>
      </c>
      <c r="K95" s="64">
        <v>322.42</v>
      </c>
      <c r="L95" s="64">
        <v>14.92</v>
      </c>
      <c r="M95" s="64">
        <v>71.48</v>
      </c>
      <c r="N95" s="64">
        <v>31.4</v>
      </c>
      <c r="O95" s="64">
        <v>0</v>
      </c>
      <c r="P95" s="64">
        <v>2.15</v>
      </c>
      <c r="Q95" s="64">
        <v>10.57</v>
      </c>
      <c r="R95" s="196"/>
      <c r="S95" s="196"/>
      <c r="T95" s="196"/>
      <c r="U95" s="196"/>
    </row>
    <row r="96" spans="1:26" s="12" customFormat="1" x14ac:dyDescent="0.25">
      <c r="A96" s="211" t="s">
        <v>2158</v>
      </c>
      <c r="B96" s="64">
        <v>52.8</v>
      </c>
      <c r="C96" s="64">
        <v>51.26</v>
      </c>
      <c r="D96" s="64">
        <v>67.75</v>
      </c>
      <c r="E96" s="64">
        <v>7.38</v>
      </c>
      <c r="F96" s="64">
        <v>4.0199999999999996</v>
      </c>
      <c r="G96" s="64">
        <v>138.96</v>
      </c>
      <c r="H96" s="64">
        <v>57.03</v>
      </c>
      <c r="I96" s="64">
        <v>9.2799999999999994</v>
      </c>
      <c r="J96" s="64">
        <v>2.3199999999999998</v>
      </c>
      <c r="K96" s="64">
        <v>287.04000000000002</v>
      </c>
      <c r="L96" s="64">
        <v>14.66</v>
      </c>
      <c r="M96" s="64">
        <v>71.42</v>
      </c>
      <c r="N96" s="64">
        <v>31.3</v>
      </c>
      <c r="O96" s="64">
        <v>0</v>
      </c>
      <c r="P96" s="64">
        <v>2.06</v>
      </c>
      <c r="Q96" s="64">
        <v>10.63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2159</v>
      </c>
      <c r="B97" s="64">
        <v>57.6</v>
      </c>
      <c r="C97" s="64">
        <v>50.52</v>
      </c>
      <c r="D97" s="64">
        <v>71.209999999999994</v>
      </c>
      <c r="E97" s="64">
        <v>7.4</v>
      </c>
      <c r="F97" s="64">
        <v>3.65</v>
      </c>
      <c r="G97" s="64">
        <v>140.6</v>
      </c>
      <c r="H97" s="64">
        <v>60.45</v>
      </c>
      <c r="I97" s="64">
        <v>9.33</v>
      </c>
      <c r="J97" s="64">
        <v>2.0699999999999998</v>
      </c>
      <c r="K97" s="64">
        <v>289.7</v>
      </c>
      <c r="L97" s="64">
        <v>14.85</v>
      </c>
      <c r="M97" s="64">
        <v>70.040000000000006</v>
      </c>
      <c r="N97" s="64">
        <v>30.8</v>
      </c>
      <c r="O97" s="64">
        <v>0</v>
      </c>
      <c r="P97" s="64">
        <v>1.96</v>
      </c>
      <c r="Q97" s="64">
        <v>10.7</v>
      </c>
      <c r="R97" s="196"/>
      <c r="S97" s="196"/>
      <c r="T97" s="196"/>
      <c r="U97" s="196"/>
    </row>
    <row r="98" spans="1:33" s="12" customFormat="1" x14ac:dyDescent="0.25">
      <c r="A98" s="211" t="s">
        <v>2160</v>
      </c>
      <c r="B98" s="64">
        <v>60.61</v>
      </c>
      <c r="C98" s="64">
        <v>49.4</v>
      </c>
      <c r="D98" s="64">
        <v>73.040000000000006</v>
      </c>
      <c r="E98" s="64">
        <v>7.08</v>
      </c>
      <c r="F98" s="64">
        <v>3.71</v>
      </c>
      <c r="G98" s="64">
        <v>141.61000000000001</v>
      </c>
      <c r="H98" s="64">
        <v>61.2</v>
      </c>
      <c r="I98" s="64">
        <v>8.98</v>
      </c>
      <c r="J98" s="64">
        <v>1.1200000000000001</v>
      </c>
      <c r="K98" s="64">
        <v>301.58999999999997</v>
      </c>
      <c r="L98" s="64">
        <v>15.3</v>
      </c>
      <c r="M98" s="64">
        <v>60.41</v>
      </c>
      <c r="N98" s="64">
        <v>30.5</v>
      </c>
      <c r="O98" s="64">
        <v>0</v>
      </c>
      <c r="P98" s="64">
        <v>1.81</v>
      </c>
      <c r="Q98" s="64">
        <v>10.75</v>
      </c>
      <c r="R98" s="196"/>
      <c r="S98" s="196"/>
      <c r="T98" s="196"/>
      <c r="U98" s="196"/>
    </row>
    <row r="99" spans="1:33" s="12" customFormat="1" x14ac:dyDescent="0.25">
      <c r="A99" s="211" t="s">
        <v>2161</v>
      </c>
      <c r="B99" s="64">
        <v>60.89</v>
      </c>
      <c r="C99" s="64">
        <v>48.49</v>
      </c>
      <c r="D99" s="64">
        <v>72.790000000000006</v>
      </c>
      <c r="E99" s="64">
        <v>7.2</v>
      </c>
      <c r="F99" s="64">
        <v>3.67</v>
      </c>
      <c r="G99" s="64">
        <v>141.61000000000001</v>
      </c>
      <c r="H99" s="64">
        <v>61.2</v>
      </c>
      <c r="I99" s="64">
        <v>8.42</v>
      </c>
      <c r="J99" s="64">
        <v>2.58</v>
      </c>
      <c r="K99" s="64">
        <v>307.87</v>
      </c>
      <c r="L99" s="64">
        <v>15.47</v>
      </c>
      <c r="M99" s="64">
        <v>59.13</v>
      </c>
      <c r="N99" s="64">
        <v>30.9</v>
      </c>
      <c r="O99" s="64">
        <v>0</v>
      </c>
      <c r="P99" s="64">
        <v>1.8</v>
      </c>
      <c r="Q99" s="64">
        <v>10.83</v>
      </c>
      <c r="R99" s="196"/>
      <c r="S99" s="196"/>
      <c r="T99" s="196"/>
      <c r="U99" s="196"/>
    </row>
    <row r="100" spans="1:33" s="12" customFormat="1" x14ac:dyDescent="0.25">
      <c r="A100" s="211" t="s">
        <v>2162</v>
      </c>
      <c r="B100" s="64">
        <v>60.92</v>
      </c>
      <c r="C100" s="64">
        <v>47.89</v>
      </c>
      <c r="D100" s="64">
        <v>72.5</v>
      </c>
      <c r="E100" s="64">
        <v>6.86</v>
      </c>
      <c r="F100" s="64">
        <v>3.79</v>
      </c>
      <c r="G100" s="64">
        <v>141.61000000000001</v>
      </c>
      <c r="H100" s="64">
        <v>61.2</v>
      </c>
      <c r="I100" s="64">
        <v>7.33</v>
      </c>
      <c r="J100" s="64">
        <v>2.5499999999999998</v>
      </c>
      <c r="K100" s="64">
        <v>302.11</v>
      </c>
      <c r="L100" s="64">
        <v>15.08</v>
      </c>
      <c r="M100" s="64">
        <v>62.13</v>
      </c>
      <c r="N100" s="64">
        <v>31.4</v>
      </c>
      <c r="O100" s="64">
        <v>0</v>
      </c>
      <c r="P100" s="64">
        <v>1.89</v>
      </c>
      <c r="Q100" s="64">
        <v>10.88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2163</v>
      </c>
      <c r="B101" s="64">
        <v>61.44</v>
      </c>
      <c r="C101" s="64">
        <v>47.23</v>
      </c>
      <c r="D101" s="64">
        <v>72.569999999999993</v>
      </c>
      <c r="E101" s="64">
        <v>7.1</v>
      </c>
      <c r="F101" s="64">
        <v>3.98</v>
      </c>
      <c r="G101" s="64">
        <v>135.66</v>
      </c>
      <c r="H101" s="64">
        <v>57.58</v>
      </c>
      <c r="I101" s="64">
        <v>7.83</v>
      </c>
      <c r="J101" s="64">
        <v>2.29</v>
      </c>
      <c r="K101" s="64">
        <v>309.52</v>
      </c>
      <c r="L101" s="64">
        <v>14.86</v>
      </c>
      <c r="M101" s="64">
        <v>64.209999999999994</v>
      </c>
      <c r="N101" s="64">
        <v>31.4</v>
      </c>
      <c r="O101" s="64">
        <v>0</v>
      </c>
      <c r="P101" s="64">
        <v>1.92</v>
      </c>
      <c r="Q101" s="64">
        <v>10.81</v>
      </c>
      <c r="R101" s="196"/>
      <c r="S101" s="196"/>
      <c r="T101" s="196"/>
      <c r="U101" s="196"/>
    </row>
    <row r="102" spans="1:33" s="12" customFormat="1" x14ac:dyDescent="0.25">
      <c r="A102" s="211" t="s">
        <v>2164</v>
      </c>
      <c r="B102" s="64">
        <v>61.69</v>
      </c>
      <c r="C102" s="64">
        <v>47.16</v>
      </c>
      <c r="D102" s="64">
        <v>72.73</v>
      </c>
      <c r="E102" s="64">
        <v>7.12</v>
      </c>
      <c r="F102" s="64">
        <v>4.18</v>
      </c>
      <c r="G102" s="64">
        <v>132.05000000000001</v>
      </c>
      <c r="H102" s="64">
        <v>56.87</v>
      </c>
      <c r="I102" s="64">
        <v>8.32</v>
      </c>
      <c r="J102" s="64">
        <v>2.6</v>
      </c>
      <c r="K102" s="64">
        <v>305.31</v>
      </c>
      <c r="L102" s="64">
        <v>14.4</v>
      </c>
      <c r="M102" s="64">
        <v>68.64</v>
      </c>
      <c r="N102" s="64">
        <v>31.4</v>
      </c>
      <c r="O102" s="64">
        <v>0</v>
      </c>
      <c r="P102" s="64">
        <v>1.91</v>
      </c>
      <c r="Q102" s="64">
        <v>10.74</v>
      </c>
      <c r="R102" s="196"/>
      <c r="S102" s="196"/>
      <c r="T102" s="196"/>
      <c r="U102" s="196"/>
    </row>
    <row r="103" spans="1:33" s="12" customFormat="1" x14ac:dyDescent="0.25">
      <c r="A103" s="211" t="s">
        <v>2165</v>
      </c>
      <c r="B103" s="64">
        <v>61.32</v>
      </c>
      <c r="C103" s="64">
        <v>47.44</v>
      </c>
      <c r="D103" s="64">
        <v>72.58</v>
      </c>
      <c r="E103" s="64">
        <v>6.86</v>
      </c>
      <c r="F103" s="64">
        <v>4.28</v>
      </c>
      <c r="G103" s="64">
        <v>132.05000000000001</v>
      </c>
      <c r="H103" s="64">
        <v>56.87</v>
      </c>
      <c r="I103" s="64">
        <v>8.69</v>
      </c>
      <c r="J103" s="64">
        <v>2.86</v>
      </c>
      <c r="K103" s="64">
        <v>290.88</v>
      </c>
      <c r="L103" s="64">
        <v>13.95</v>
      </c>
      <c r="M103" s="64">
        <v>69.400000000000006</v>
      </c>
      <c r="N103" s="64">
        <v>31.4</v>
      </c>
      <c r="O103" s="64">
        <v>0</v>
      </c>
      <c r="P103" s="64">
        <v>1.89</v>
      </c>
      <c r="Q103" s="64">
        <v>10.71</v>
      </c>
      <c r="R103" s="196"/>
      <c r="S103" s="196"/>
      <c r="T103" s="196"/>
      <c r="U103" s="196"/>
    </row>
    <row r="104" spans="1:33" s="12" customFormat="1" x14ac:dyDescent="0.25">
      <c r="A104" s="211" t="s">
        <v>2166</v>
      </c>
      <c r="B104" s="64">
        <v>61.28</v>
      </c>
      <c r="C104" s="64">
        <v>47.91</v>
      </c>
      <c r="D104" s="64">
        <v>72.790000000000006</v>
      </c>
      <c r="E104" s="64">
        <v>6.84</v>
      </c>
      <c r="F104" s="64">
        <v>4.3499999999999996</v>
      </c>
      <c r="G104" s="64">
        <v>132.05000000000001</v>
      </c>
      <c r="H104" s="64">
        <v>56.87</v>
      </c>
      <c r="I104" s="64">
        <v>8.76</v>
      </c>
      <c r="J104" s="64">
        <v>2.68</v>
      </c>
      <c r="K104" s="64">
        <v>309.18</v>
      </c>
      <c r="L104" s="64">
        <v>13.75</v>
      </c>
      <c r="M104" s="64">
        <v>70.34</v>
      </c>
      <c r="N104" s="64">
        <v>31.4</v>
      </c>
      <c r="O104" s="64">
        <v>0</v>
      </c>
      <c r="P104" s="64">
        <v>1.87</v>
      </c>
      <c r="Q104" s="64">
        <v>10.75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3.07</v>
      </c>
      <c r="C106" s="67">
        <f>MIN(C9:C104)</f>
        <v>37.39</v>
      </c>
      <c r="D106" s="67">
        <f t="shared" ref="D106:Q106" si="0">MIN(D9:D104)</f>
        <v>23.42</v>
      </c>
      <c r="E106" s="67">
        <f t="shared" si="0"/>
        <v>5.32</v>
      </c>
      <c r="F106" s="67">
        <f t="shared" si="0"/>
        <v>3.53</v>
      </c>
      <c r="G106" s="67">
        <f t="shared" si="0"/>
        <v>78.430000000000007</v>
      </c>
      <c r="H106" s="67">
        <f t="shared" si="0"/>
        <v>25.87</v>
      </c>
      <c r="I106" s="67">
        <f t="shared" si="0"/>
        <v>5.24</v>
      </c>
      <c r="J106" s="67">
        <f t="shared" si="0"/>
        <v>0.12</v>
      </c>
      <c r="K106" s="67">
        <f t="shared" si="0"/>
        <v>1.1599999999999999</v>
      </c>
      <c r="L106" s="67">
        <f t="shared" si="0"/>
        <v>12.78</v>
      </c>
      <c r="M106" s="67">
        <f t="shared" si="0"/>
        <v>31.4</v>
      </c>
      <c r="N106" s="67">
        <f t="shared" si="0"/>
        <v>30</v>
      </c>
      <c r="O106" s="67">
        <f t="shared" si="0"/>
        <v>0</v>
      </c>
      <c r="P106" s="67">
        <f t="shared" si="0"/>
        <v>0.77</v>
      </c>
      <c r="Q106" s="67">
        <f t="shared" si="0"/>
        <v>9.81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61.69</v>
      </c>
      <c r="C107" s="66">
        <f t="shared" ref="C107:Q107" si="1">MAX(C9:C104)</f>
        <v>54.23</v>
      </c>
      <c r="D107" s="66">
        <f t="shared" si="1"/>
        <v>73.040000000000006</v>
      </c>
      <c r="E107" s="66">
        <f t="shared" si="1"/>
        <v>8.1</v>
      </c>
      <c r="F107" s="66">
        <f t="shared" si="1"/>
        <v>6</v>
      </c>
      <c r="G107" s="66">
        <f t="shared" si="1"/>
        <v>146.24</v>
      </c>
      <c r="H107" s="66">
        <f t="shared" si="1"/>
        <v>85.96</v>
      </c>
      <c r="I107" s="66">
        <f t="shared" si="1"/>
        <v>9.33</v>
      </c>
      <c r="J107" s="66">
        <f t="shared" si="1"/>
        <v>3.82</v>
      </c>
      <c r="K107" s="66">
        <f t="shared" si="1"/>
        <v>358.3</v>
      </c>
      <c r="L107" s="66">
        <f t="shared" si="1"/>
        <v>25.15</v>
      </c>
      <c r="M107" s="66">
        <f t="shared" si="1"/>
        <v>87.36</v>
      </c>
      <c r="N107" s="66">
        <f t="shared" si="1"/>
        <v>579.20000000000005</v>
      </c>
      <c r="O107" s="66">
        <f t="shared" si="1"/>
        <v>0</v>
      </c>
      <c r="P107" s="66">
        <f t="shared" si="1"/>
        <v>2.15</v>
      </c>
      <c r="Q107" s="66">
        <f t="shared" si="1"/>
        <v>10.88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23.520208333333333</v>
      </c>
      <c r="C108" s="67">
        <f t="shared" ref="C108:Q108" si="2">AVERAGE(C9:C104)</f>
        <v>44.525937499999998</v>
      </c>
      <c r="D108" s="67">
        <f t="shared" si="2"/>
        <v>40.748020833333349</v>
      </c>
      <c r="E108" s="67">
        <f t="shared" si="2"/>
        <v>6.5960416666666681</v>
      </c>
      <c r="F108" s="67">
        <f t="shared" si="2"/>
        <v>4.3228124999999995</v>
      </c>
      <c r="G108" s="67">
        <f t="shared" si="2"/>
        <v>111.06114583333327</v>
      </c>
      <c r="H108" s="67">
        <f t="shared" si="2"/>
        <v>50.585833333333333</v>
      </c>
      <c r="I108" s="67">
        <f t="shared" si="2"/>
        <v>6.6507291666666681</v>
      </c>
      <c r="J108" s="67">
        <f t="shared" si="2"/>
        <v>1.652916666666667</v>
      </c>
      <c r="K108" s="67">
        <f t="shared" si="2"/>
        <v>220.2637500000001</v>
      </c>
      <c r="L108" s="67">
        <f t="shared" si="2"/>
        <v>17.459791666666661</v>
      </c>
      <c r="M108" s="67">
        <f t="shared" si="2"/>
        <v>60.144895833333351</v>
      </c>
      <c r="N108" s="67">
        <f t="shared" si="2"/>
        <v>149.28437499999993</v>
      </c>
      <c r="O108" s="67">
        <f t="shared" si="2"/>
        <v>0</v>
      </c>
      <c r="P108" s="67">
        <f t="shared" si="2"/>
        <v>1.2377083333333332</v>
      </c>
      <c r="Q108" s="67">
        <f t="shared" si="2"/>
        <v>10.284062499999997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17.871086261519373</v>
      </c>
      <c r="C109" s="67">
        <f t="shared" ref="C109:Q109" si="3">STDEV(C9:C104)</f>
        <v>4.8925790374972777</v>
      </c>
      <c r="D109" s="67">
        <f t="shared" si="3"/>
        <v>14.990398795284479</v>
      </c>
      <c r="E109" s="67">
        <f t="shared" si="3"/>
        <v>0.58937876154592095</v>
      </c>
      <c r="F109" s="67">
        <f t="shared" si="3"/>
        <v>0.62778424574891445</v>
      </c>
      <c r="G109" s="67">
        <f t="shared" si="3"/>
        <v>21.199023456644277</v>
      </c>
      <c r="H109" s="67">
        <f t="shared" si="3"/>
        <v>13.616851298969461</v>
      </c>
      <c r="I109" s="67">
        <f t="shared" si="3"/>
        <v>1.0663437233854296</v>
      </c>
      <c r="J109" s="67">
        <f t="shared" si="3"/>
        <v>0.97457134076762841</v>
      </c>
      <c r="K109" s="67">
        <f t="shared" si="3"/>
        <v>129.1939882604122</v>
      </c>
      <c r="L109" s="67">
        <f t="shared" si="3"/>
        <v>3.9058495886006832</v>
      </c>
      <c r="M109" s="67">
        <f t="shared" si="3"/>
        <v>19.249226040205514</v>
      </c>
      <c r="N109" s="67">
        <f t="shared" si="3"/>
        <v>185.16759482788055</v>
      </c>
      <c r="O109" s="67">
        <f t="shared" si="3"/>
        <v>0</v>
      </c>
      <c r="P109" s="67">
        <f t="shared" si="3"/>
        <v>0.34226637569271268</v>
      </c>
      <c r="Q109" s="67">
        <f t="shared" si="3"/>
        <v>0.22194156710838636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1" sqref="G13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2167</v>
      </c>
      <c r="B9" s="64">
        <v>59.96</v>
      </c>
      <c r="C9" s="64">
        <v>47.78</v>
      </c>
      <c r="D9" s="64">
        <v>71.67</v>
      </c>
      <c r="E9" s="64">
        <v>8.06</v>
      </c>
      <c r="F9" s="64">
        <v>4.09</v>
      </c>
      <c r="G9" s="64">
        <v>127.5</v>
      </c>
      <c r="H9" s="64">
        <v>60.32</v>
      </c>
      <c r="I9" s="64">
        <v>8.64</v>
      </c>
      <c r="J9" s="64">
        <v>2.68</v>
      </c>
      <c r="K9" s="64">
        <v>311.44</v>
      </c>
      <c r="L9" s="64">
        <v>13.54</v>
      </c>
      <c r="M9" s="64">
        <v>71.19</v>
      </c>
      <c r="N9" s="64">
        <v>31.4</v>
      </c>
      <c r="O9" s="64">
        <v>0</v>
      </c>
      <c r="P9" s="64">
        <v>1.83</v>
      </c>
      <c r="Q9" s="64">
        <v>10.74</v>
      </c>
      <c r="R9" s="196"/>
      <c r="S9" s="196"/>
      <c r="T9" s="196"/>
      <c r="U9" s="196"/>
    </row>
    <row r="10" spans="1:21" s="12" customFormat="1" x14ac:dyDescent="0.25">
      <c r="A10" s="211" t="s">
        <v>2168</v>
      </c>
      <c r="B10" s="64">
        <v>58.16</v>
      </c>
      <c r="C10" s="64">
        <v>47.22</v>
      </c>
      <c r="D10" s="64">
        <v>69.94</v>
      </c>
      <c r="E10" s="64">
        <v>8.07</v>
      </c>
      <c r="F10" s="64">
        <v>3.99</v>
      </c>
      <c r="G10" s="64">
        <v>124.75</v>
      </c>
      <c r="H10" s="64">
        <v>61.51</v>
      </c>
      <c r="I10" s="64">
        <v>8.51</v>
      </c>
      <c r="J10" s="64">
        <v>2.2400000000000002</v>
      </c>
      <c r="K10" s="64">
        <v>310.98</v>
      </c>
      <c r="L10" s="64">
        <v>13.36</v>
      </c>
      <c r="M10" s="64">
        <v>75.02</v>
      </c>
      <c r="N10" s="64">
        <v>31.3</v>
      </c>
      <c r="O10" s="64">
        <v>0</v>
      </c>
      <c r="P10" s="64">
        <v>1.8</v>
      </c>
      <c r="Q10" s="64">
        <v>10.75</v>
      </c>
      <c r="R10" s="196"/>
      <c r="S10" s="196"/>
      <c r="T10" s="196"/>
      <c r="U10" s="196"/>
    </row>
    <row r="11" spans="1:21" s="12" customFormat="1" x14ac:dyDescent="0.25">
      <c r="A11" s="211" t="s">
        <v>2169</v>
      </c>
      <c r="B11" s="64">
        <v>56</v>
      </c>
      <c r="C11" s="64">
        <v>47.27</v>
      </c>
      <c r="D11" s="64">
        <v>68.23</v>
      </c>
      <c r="E11" s="64">
        <v>7.58</v>
      </c>
      <c r="F11" s="64">
        <v>4.21</v>
      </c>
      <c r="G11" s="64">
        <v>124.75</v>
      </c>
      <c r="H11" s="64">
        <v>61.51</v>
      </c>
      <c r="I11" s="64">
        <v>8.36</v>
      </c>
      <c r="J11" s="64">
        <v>2.9</v>
      </c>
      <c r="K11" s="64">
        <v>325.51</v>
      </c>
      <c r="L11" s="64">
        <v>13.17</v>
      </c>
      <c r="M11" s="64">
        <v>74.459999999999994</v>
      </c>
      <c r="N11" s="64">
        <v>31.4</v>
      </c>
      <c r="O11" s="64">
        <v>0</v>
      </c>
      <c r="P11" s="64">
        <v>1.75</v>
      </c>
      <c r="Q11" s="64">
        <v>10.71</v>
      </c>
      <c r="R11" s="196"/>
      <c r="S11" s="196"/>
      <c r="T11" s="196"/>
      <c r="U11" s="196"/>
    </row>
    <row r="12" spans="1:21" s="12" customFormat="1" x14ac:dyDescent="0.25">
      <c r="A12" s="211" t="s">
        <v>2170</v>
      </c>
      <c r="B12" s="64">
        <v>54.18</v>
      </c>
      <c r="C12" s="64">
        <v>46.97</v>
      </c>
      <c r="D12" s="64">
        <v>66.61</v>
      </c>
      <c r="E12" s="64">
        <v>7.24</v>
      </c>
      <c r="F12" s="64">
        <v>3.97</v>
      </c>
      <c r="G12" s="64">
        <v>124.75</v>
      </c>
      <c r="H12" s="64">
        <v>61.51</v>
      </c>
      <c r="I12" s="64">
        <v>8.1999999999999993</v>
      </c>
      <c r="J12" s="64">
        <v>2.19</v>
      </c>
      <c r="K12" s="64">
        <v>314.10000000000002</v>
      </c>
      <c r="L12" s="64">
        <v>13.14</v>
      </c>
      <c r="M12" s="64">
        <v>79.87</v>
      </c>
      <c r="N12" s="64">
        <v>31.2</v>
      </c>
      <c r="O12" s="64">
        <v>0</v>
      </c>
      <c r="P12" s="64">
        <v>1.71</v>
      </c>
      <c r="Q12" s="64">
        <v>10.71</v>
      </c>
      <c r="R12" s="196"/>
      <c r="S12" s="196"/>
      <c r="T12" s="196"/>
      <c r="U12" s="196"/>
    </row>
    <row r="13" spans="1:21" s="12" customFormat="1" x14ac:dyDescent="0.25">
      <c r="A13" s="211" t="s">
        <v>2171</v>
      </c>
      <c r="B13" s="64">
        <v>53.65</v>
      </c>
      <c r="C13" s="64">
        <v>46.59</v>
      </c>
      <c r="D13" s="64">
        <v>65.989999999999995</v>
      </c>
      <c r="E13" s="64">
        <v>7.64</v>
      </c>
      <c r="F13" s="64">
        <v>3.93</v>
      </c>
      <c r="G13" s="64">
        <v>129.25</v>
      </c>
      <c r="H13" s="64">
        <v>64.900000000000006</v>
      </c>
      <c r="I13" s="64">
        <v>8.0299999999999994</v>
      </c>
      <c r="J13" s="64">
        <v>0.91</v>
      </c>
      <c r="K13" s="64">
        <v>248.67</v>
      </c>
      <c r="L13" s="64">
        <v>13.06</v>
      </c>
      <c r="M13" s="64">
        <v>78.849999999999994</v>
      </c>
      <c r="N13" s="64">
        <v>31.1</v>
      </c>
      <c r="O13" s="64">
        <v>0</v>
      </c>
      <c r="P13" s="64">
        <v>1.54</v>
      </c>
      <c r="Q13" s="64">
        <v>10.71</v>
      </c>
      <c r="R13" s="196"/>
      <c r="S13" s="196"/>
      <c r="T13" s="196"/>
      <c r="U13" s="196"/>
    </row>
    <row r="14" spans="1:21" s="12" customFormat="1" x14ac:dyDescent="0.25">
      <c r="A14" s="211" t="s">
        <v>2172</v>
      </c>
      <c r="B14" s="64">
        <v>52.28</v>
      </c>
      <c r="C14" s="64">
        <v>44.93</v>
      </c>
      <c r="D14" s="64">
        <v>64.02</v>
      </c>
      <c r="E14" s="64">
        <v>7.42</v>
      </c>
      <c r="F14" s="64">
        <v>3.75</v>
      </c>
      <c r="G14" s="64">
        <v>131.99</v>
      </c>
      <c r="H14" s="64">
        <v>65.64</v>
      </c>
      <c r="I14" s="64">
        <v>7.9</v>
      </c>
      <c r="J14" s="64">
        <v>1.58</v>
      </c>
      <c r="K14" s="64">
        <v>286.60000000000002</v>
      </c>
      <c r="L14" s="64">
        <v>12.99</v>
      </c>
      <c r="M14" s="64">
        <v>79.03</v>
      </c>
      <c r="N14" s="64">
        <v>31.2</v>
      </c>
      <c r="O14" s="64">
        <v>0</v>
      </c>
      <c r="P14" s="64">
        <v>1.57</v>
      </c>
      <c r="Q14" s="64">
        <v>10.64</v>
      </c>
      <c r="R14" s="196"/>
      <c r="S14" s="196"/>
      <c r="T14" s="196"/>
      <c r="U14" s="196"/>
    </row>
    <row r="15" spans="1:21" s="12" customFormat="1" x14ac:dyDescent="0.25">
      <c r="A15" s="211" t="s">
        <v>2173</v>
      </c>
      <c r="B15" s="64">
        <v>50.54</v>
      </c>
      <c r="C15" s="64">
        <v>43.35</v>
      </c>
      <c r="D15" s="64">
        <v>61.8</v>
      </c>
      <c r="E15" s="64">
        <v>7.11</v>
      </c>
      <c r="F15" s="64">
        <v>3.8</v>
      </c>
      <c r="G15" s="64">
        <v>131.99</v>
      </c>
      <c r="H15" s="64">
        <v>65.64</v>
      </c>
      <c r="I15" s="64">
        <v>7.72</v>
      </c>
      <c r="J15" s="64">
        <v>0.42</v>
      </c>
      <c r="K15" s="64">
        <v>283.05</v>
      </c>
      <c r="L15" s="64">
        <v>12.9</v>
      </c>
      <c r="M15" s="64">
        <v>79.69</v>
      </c>
      <c r="N15" s="64">
        <v>31.2</v>
      </c>
      <c r="O15" s="64">
        <v>0</v>
      </c>
      <c r="P15" s="64">
        <v>1.54</v>
      </c>
      <c r="Q15" s="64">
        <v>10.58</v>
      </c>
      <c r="R15" s="196"/>
      <c r="S15" s="196"/>
      <c r="T15" s="196"/>
      <c r="U15" s="196"/>
    </row>
    <row r="16" spans="1:21" s="12" customFormat="1" x14ac:dyDescent="0.25">
      <c r="A16" s="211" t="s">
        <v>2174</v>
      </c>
      <c r="B16" s="64">
        <v>48.82</v>
      </c>
      <c r="C16" s="64">
        <v>42.84</v>
      </c>
      <c r="D16" s="64">
        <v>60.16</v>
      </c>
      <c r="E16" s="64">
        <v>7.51</v>
      </c>
      <c r="F16" s="64">
        <v>4.12</v>
      </c>
      <c r="G16" s="64">
        <v>131.99</v>
      </c>
      <c r="H16" s="64">
        <v>65.64</v>
      </c>
      <c r="I16" s="64">
        <v>7.67</v>
      </c>
      <c r="J16" s="64">
        <v>2</v>
      </c>
      <c r="K16" s="64">
        <v>287.64999999999998</v>
      </c>
      <c r="L16" s="64">
        <v>12.69</v>
      </c>
      <c r="M16" s="64">
        <v>82.23</v>
      </c>
      <c r="N16" s="64">
        <v>31.4</v>
      </c>
      <c r="O16" s="64">
        <v>0</v>
      </c>
      <c r="P16" s="64">
        <v>1.5</v>
      </c>
      <c r="Q16" s="64">
        <v>10.59</v>
      </c>
      <c r="R16" s="196"/>
      <c r="S16" s="196"/>
      <c r="T16" s="196"/>
      <c r="U16" s="196"/>
    </row>
    <row r="17" spans="1:21" s="12" customFormat="1" x14ac:dyDescent="0.25">
      <c r="A17" s="211" t="s">
        <v>2175</v>
      </c>
      <c r="B17" s="64">
        <v>47.19</v>
      </c>
      <c r="C17" s="64">
        <v>42.07</v>
      </c>
      <c r="D17" s="64">
        <v>58.44</v>
      </c>
      <c r="E17" s="64">
        <v>7.45</v>
      </c>
      <c r="F17" s="64">
        <v>3.92</v>
      </c>
      <c r="G17" s="64">
        <v>124.07</v>
      </c>
      <c r="H17" s="64">
        <v>61.24</v>
      </c>
      <c r="I17" s="64">
        <v>7.61</v>
      </c>
      <c r="J17" s="64">
        <v>2.12</v>
      </c>
      <c r="K17" s="64">
        <v>317.08</v>
      </c>
      <c r="L17" s="64">
        <v>12.54</v>
      </c>
      <c r="M17" s="64">
        <v>83.98</v>
      </c>
      <c r="N17" s="64">
        <v>31.3</v>
      </c>
      <c r="O17" s="64">
        <v>0</v>
      </c>
      <c r="P17" s="64">
        <v>1.48</v>
      </c>
      <c r="Q17" s="64">
        <v>10.56</v>
      </c>
      <c r="R17" s="196"/>
      <c r="S17" s="196"/>
      <c r="T17" s="196"/>
      <c r="U17" s="196"/>
    </row>
    <row r="18" spans="1:21" s="12" customFormat="1" x14ac:dyDescent="0.25">
      <c r="A18" s="211" t="s">
        <v>2176</v>
      </c>
      <c r="B18" s="64">
        <v>45.69</v>
      </c>
      <c r="C18" s="64">
        <v>41.11</v>
      </c>
      <c r="D18" s="64">
        <v>56.74</v>
      </c>
      <c r="E18" s="64">
        <v>7.28</v>
      </c>
      <c r="F18" s="64">
        <v>4.13</v>
      </c>
      <c r="G18" s="64">
        <v>119.27</v>
      </c>
      <c r="H18" s="64">
        <v>60.27</v>
      </c>
      <c r="I18" s="64">
        <v>7.42</v>
      </c>
      <c r="J18" s="64">
        <v>1.51</v>
      </c>
      <c r="K18" s="64">
        <v>333.93</v>
      </c>
      <c r="L18" s="64">
        <v>12.42</v>
      </c>
      <c r="M18" s="64">
        <v>89.07</v>
      </c>
      <c r="N18" s="64">
        <v>31.1</v>
      </c>
      <c r="O18" s="64">
        <v>0</v>
      </c>
      <c r="P18" s="64">
        <v>1.44</v>
      </c>
      <c r="Q18" s="64">
        <v>10.53</v>
      </c>
      <c r="R18" s="196"/>
      <c r="S18" s="196"/>
      <c r="T18" s="196"/>
      <c r="U18" s="196"/>
    </row>
    <row r="19" spans="1:21" s="12" customFormat="1" x14ac:dyDescent="0.25">
      <c r="A19" s="211" t="s">
        <v>2177</v>
      </c>
      <c r="B19" s="64">
        <v>44.44</v>
      </c>
      <c r="C19" s="64">
        <v>40.020000000000003</v>
      </c>
      <c r="D19" s="64">
        <v>55.17</v>
      </c>
      <c r="E19" s="64">
        <v>7.47</v>
      </c>
      <c r="F19" s="64">
        <v>4.17</v>
      </c>
      <c r="G19" s="64">
        <v>119.27</v>
      </c>
      <c r="H19" s="64">
        <v>60.27</v>
      </c>
      <c r="I19" s="64">
        <v>7.36</v>
      </c>
      <c r="J19" s="64">
        <v>1.62</v>
      </c>
      <c r="K19" s="64">
        <v>320.86</v>
      </c>
      <c r="L19" s="64">
        <v>12.7</v>
      </c>
      <c r="M19" s="64">
        <v>86.22</v>
      </c>
      <c r="N19" s="64">
        <v>30.6</v>
      </c>
      <c r="O19" s="64">
        <v>0</v>
      </c>
      <c r="P19" s="64">
        <v>1.44</v>
      </c>
      <c r="Q19" s="64">
        <v>10.56</v>
      </c>
      <c r="R19" s="196"/>
      <c r="S19" s="196"/>
      <c r="T19" s="196"/>
      <c r="U19" s="196"/>
    </row>
    <row r="20" spans="1:21" s="12" customFormat="1" x14ac:dyDescent="0.25">
      <c r="A20" s="211" t="s">
        <v>2178</v>
      </c>
      <c r="B20" s="64">
        <v>43.12</v>
      </c>
      <c r="C20" s="64">
        <v>39.450000000000003</v>
      </c>
      <c r="D20" s="64">
        <v>53.81</v>
      </c>
      <c r="E20" s="64">
        <v>7.17</v>
      </c>
      <c r="F20" s="64">
        <v>3.57</v>
      </c>
      <c r="G20" s="64">
        <v>119.27</v>
      </c>
      <c r="H20" s="64">
        <v>60.27</v>
      </c>
      <c r="I20" s="64">
        <v>7.33</v>
      </c>
      <c r="J20" s="64">
        <v>0.89</v>
      </c>
      <c r="K20" s="64">
        <v>325.51</v>
      </c>
      <c r="L20" s="64">
        <v>12.71</v>
      </c>
      <c r="M20" s="64">
        <v>85.11</v>
      </c>
      <c r="N20" s="64">
        <v>30.9</v>
      </c>
      <c r="O20" s="64">
        <v>0</v>
      </c>
      <c r="P20" s="64">
        <v>1.42</v>
      </c>
      <c r="Q20" s="64">
        <v>10.54</v>
      </c>
      <c r="R20" s="196"/>
      <c r="S20" s="196"/>
      <c r="T20" s="196"/>
      <c r="U20" s="196"/>
    </row>
    <row r="21" spans="1:21" s="12" customFormat="1" x14ac:dyDescent="0.25">
      <c r="A21" s="211" t="s">
        <v>2179</v>
      </c>
      <c r="B21" s="64">
        <v>42.35</v>
      </c>
      <c r="C21" s="64">
        <v>38.630000000000003</v>
      </c>
      <c r="D21" s="64">
        <v>52.77</v>
      </c>
      <c r="E21" s="64">
        <v>7.68</v>
      </c>
      <c r="F21" s="64">
        <v>3.73</v>
      </c>
      <c r="G21" s="64">
        <v>128.21</v>
      </c>
      <c r="H21" s="64">
        <v>64.790000000000006</v>
      </c>
      <c r="I21" s="64">
        <v>7.28</v>
      </c>
      <c r="J21" s="64">
        <v>1.19</v>
      </c>
      <c r="K21" s="64">
        <v>336.47</v>
      </c>
      <c r="L21" s="64">
        <v>12.93</v>
      </c>
      <c r="M21" s="64">
        <v>79.39</v>
      </c>
      <c r="N21" s="64">
        <v>30.8</v>
      </c>
      <c r="O21" s="64">
        <v>0</v>
      </c>
      <c r="P21" s="64">
        <v>1.39</v>
      </c>
      <c r="Q21" s="64">
        <v>10.51</v>
      </c>
      <c r="R21" s="196"/>
      <c r="S21" s="196"/>
      <c r="T21" s="196"/>
      <c r="U21" s="196"/>
    </row>
    <row r="22" spans="1:21" s="12" customFormat="1" x14ac:dyDescent="0.25">
      <c r="A22" s="211" t="s">
        <v>2180</v>
      </c>
      <c r="B22" s="64">
        <v>40.75</v>
      </c>
      <c r="C22" s="64">
        <v>37.520000000000003</v>
      </c>
      <c r="D22" s="64">
        <v>50.9</v>
      </c>
      <c r="E22" s="64">
        <v>8.18</v>
      </c>
      <c r="F22" s="64">
        <v>3.84</v>
      </c>
      <c r="G22" s="64">
        <v>133.63999999999999</v>
      </c>
      <c r="H22" s="64">
        <v>65.77</v>
      </c>
      <c r="I22" s="64">
        <v>7.31</v>
      </c>
      <c r="J22" s="64">
        <v>1.89</v>
      </c>
      <c r="K22" s="64">
        <v>356.87</v>
      </c>
      <c r="L22" s="64">
        <v>13.06</v>
      </c>
      <c r="M22" s="64">
        <v>78.989999999999995</v>
      </c>
      <c r="N22" s="64">
        <v>30.7</v>
      </c>
      <c r="O22" s="64">
        <v>0</v>
      </c>
      <c r="P22" s="64">
        <v>1.39</v>
      </c>
      <c r="Q22" s="64">
        <v>10.44</v>
      </c>
      <c r="R22" s="196"/>
      <c r="S22" s="196"/>
      <c r="T22" s="196"/>
      <c r="U22" s="196"/>
    </row>
    <row r="23" spans="1:21" s="12" customFormat="1" x14ac:dyDescent="0.25">
      <c r="A23" s="211" t="s">
        <v>2181</v>
      </c>
      <c r="B23" s="64">
        <v>38.409999999999997</v>
      </c>
      <c r="C23" s="64">
        <v>38.130000000000003</v>
      </c>
      <c r="D23" s="64">
        <v>49.34</v>
      </c>
      <c r="E23" s="64">
        <v>8.35</v>
      </c>
      <c r="F23" s="64">
        <v>4.21</v>
      </c>
      <c r="G23" s="64">
        <v>133.63999999999999</v>
      </c>
      <c r="H23" s="64">
        <v>65.77</v>
      </c>
      <c r="I23" s="64">
        <v>7.17</v>
      </c>
      <c r="J23" s="64">
        <v>1.1399999999999999</v>
      </c>
      <c r="K23" s="64">
        <v>80.75</v>
      </c>
      <c r="L23" s="64">
        <v>12.99</v>
      </c>
      <c r="M23" s="64">
        <v>78.91</v>
      </c>
      <c r="N23" s="64">
        <v>31.4</v>
      </c>
      <c r="O23" s="64">
        <v>0</v>
      </c>
      <c r="P23" s="64">
        <v>1.38</v>
      </c>
      <c r="Q23" s="64">
        <v>10.42</v>
      </c>
      <c r="R23" s="196"/>
      <c r="S23" s="196"/>
      <c r="T23" s="196"/>
      <c r="U23" s="196"/>
    </row>
    <row r="24" spans="1:21" s="12" customFormat="1" x14ac:dyDescent="0.25">
      <c r="A24" s="211" t="s">
        <v>2182</v>
      </c>
      <c r="B24" s="64">
        <v>35.99</v>
      </c>
      <c r="C24" s="64">
        <v>38.53</v>
      </c>
      <c r="D24" s="64">
        <v>47.61</v>
      </c>
      <c r="E24" s="64">
        <v>7.83</v>
      </c>
      <c r="F24" s="64">
        <v>4.5199999999999996</v>
      </c>
      <c r="G24" s="64">
        <v>133.63999999999999</v>
      </c>
      <c r="H24" s="64">
        <v>65.77</v>
      </c>
      <c r="I24" s="64">
        <v>7.1</v>
      </c>
      <c r="J24" s="64">
        <v>0.54</v>
      </c>
      <c r="K24" s="64">
        <v>150.5</v>
      </c>
      <c r="L24" s="64">
        <v>12.81</v>
      </c>
      <c r="M24" s="64">
        <v>78.72</v>
      </c>
      <c r="N24" s="64">
        <v>31.3</v>
      </c>
      <c r="O24" s="64">
        <v>0</v>
      </c>
      <c r="P24" s="64">
        <v>1.38</v>
      </c>
      <c r="Q24" s="64">
        <v>10.41</v>
      </c>
      <c r="R24" s="196"/>
      <c r="S24" s="196"/>
      <c r="T24" s="196"/>
      <c r="U24" s="196"/>
    </row>
    <row r="25" spans="1:21" s="12" customFormat="1" x14ac:dyDescent="0.25">
      <c r="A25" s="211" t="s">
        <v>2183</v>
      </c>
      <c r="B25" s="64">
        <v>33.729999999999997</v>
      </c>
      <c r="C25" s="64">
        <v>38.54</v>
      </c>
      <c r="D25" s="64">
        <v>45.81</v>
      </c>
      <c r="E25" s="64">
        <v>7.52</v>
      </c>
      <c r="F25" s="64">
        <v>4.1500000000000004</v>
      </c>
      <c r="G25" s="64">
        <v>135.83000000000001</v>
      </c>
      <c r="H25" s="64">
        <v>64.88</v>
      </c>
      <c r="I25" s="64">
        <v>6.99</v>
      </c>
      <c r="J25" s="64">
        <v>1.99</v>
      </c>
      <c r="K25" s="64">
        <v>143.38</v>
      </c>
      <c r="L25" s="64">
        <v>12.84</v>
      </c>
      <c r="M25" s="64">
        <v>78.099999999999994</v>
      </c>
      <c r="N25" s="64">
        <v>30.9</v>
      </c>
      <c r="O25" s="64">
        <v>0</v>
      </c>
      <c r="P25" s="64">
        <v>1.35</v>
      </c>
      <c r="Q25" s="64">
        <v>10.39</v>
      </c>
      <c r="R25" s="196"/>
      <c r="S25" s="196"/>
      <c r="T25" s="196"/>
      <c r="U25" s="196"/>
    </row>
    <row r="26" spans="1:21" s="12" customFormat="1" x14ac:dyDescent="0.25">
      <c r="A26" s="211" t="s">
        <v>2184</v>
      </c>
      <c r="B26" s="64">
        <v>31.57</v>
      </c>
      <c r="C26" s="64">
        <v>38.229999999999997</v>
      </c>
      <c r="D26" s="64">
        <v>43.91</v>
      </c>
      <c r="E26" s="64">
        <v>7.33</v>
      </c>
      <c r="F26" s="64">
        <v>4.03</v>
      </c>
      <c r="G26" s="64">
        <v>137.15</v>
      </c>
      <c r="H26" s="64">
        <v>64.53</v>
      </c>
      <c r="I26" s="64">
        <v>6.86</v>
      </c>
      <c r="J26" s="64">
        <v>1.18</v>
      </c>
      <c r="K26" s="64">
        <v>333.56</v>
      </c>
      <c r="L26" s="64">
        <v>12.91</v>
      </c>
      <c r="M26" s="64">
        <v>78.22</v>
      </c>
      <c r="N26" s="64">
        <v>31.2</v>
      </c>
      <c r="O26" s="64">
        <v>0</v>
      </c>
      <c r="P26" s="64">
        <v>1.32</v>
      </c>
      <c r="Q26" s="64">
        <v>10.41</v>
      </c>
      <c r="R26" s="196"/>
      <c r="S26" s="196"/>
      <c r="T26" s="196"/>
      <c r="U26" s="196"/>
    </row>
    <row r="27" spans="1:21" s="12" customFormat="1" x14ac:dyDescent="0.25">
      <c r="A27" s="211" t="s">
        <v>2185</v>
      </c>
      <c r="B27" s="64">
        <v>29.68</v>
      </c>
      <c r="C27" s="64">
        <v>38.229999999999997</v>
      </c>
      <c r="D27" s="64">
        <v>42.4</v>
      </c>
      <c r="E27" s="64">
        <v>6.86</v>
      </c>
      <c r="F27" s="64">
        <v>4.28</v>
      </c>
      <c r="G27" s="64">
        <v>137.15</v>
      </c>
      <c r="H27" s="64">
        <v>64.53</v>
      </c>
      <c r="I27" s="64">
        <v>6.71</v>
      </c>
      <c r="J27" s="64">
        <v>0.33</v>
      </c>
      <c r="K27" s="64">
        <v>330.16</v>
      </c>
      <c r="L27" s="64">
        <v>12.51</v>
      </c>
      <c r="M27" s="64">
        <v>81.36</v>
      </c>
      <c r="N27" s="64">
        <v>31.4</v>
      </c>
      <c r="O27" s="64">
        <v>0</v>
      </c>
      <c r="P27" s="64">
        <v>1.29</v>
      </c>
      <c r="Q27" s="64">
        <v>10.38</v>
      </c>
      <c r="R27" s="196"/>
      <c r="S27" s="196"/>
      <c r="T27" s="196"/>
      <c r="U27" s="196"/>
    </row>
    <row r="28" spans="1:21" s="12" customFormat="1" x14ac:dyDescent="0.25">
      <c r="A28" s="211" t="s">
        <v>2186</v>
      </c>
      <c r="B28" s="64">
        <v>28.28</v>
      </c>
      <c r="C28" s="64">
        <v>38.35</v>
      </c>
      <c r="D28" s="64">
        <v>41.34</v>
      </c>
      <c r="E28" s="64">
        <v>6.85</v>
      </c>
      <c r="F28" s="64">
        <v>4.1100000000000003</v>
      </c>
      <c r="G28" s="64">
        <v>137.15</v>
      </c>
      <c r="H28" s="64">
        <v>64.53</v>
      </c>
      <c r="I28" s="64">
        <v>6.55</v>
      </c>
      <c r="J28" s="64">
        <v>0.65</v>
      </c>
      <c r="K28" s="64">
        <v>34.18</v>
      </c>
      <c r="L28" s="64">
        <v>12.08</v>
      </c>
      <c r="M28" s="64">
        <v>86.56</v>
      </c>
      <c r="N28" s="64">
        <v>31.5</v>
      </c>
      <c r="O28" s="64">
        <v>0</v>
      </c>
      <c r="P28" s="64">
        <v>1.26</v>
      </c>
      <c r="Q28" s="64">
        <v>10.37</v>
      </c>
      <c r="R28" s="196"/>
      <c r="S28" s="196"/>
      <c r="T28" s="196"/>
      <c r="U28" s="196"/>
    </row>
    <row r="29" spans="1:21" s="12" customFormat="1" x14ac:dyDescent="0.25">
      <c r="A29" s="211" t="s">
        <v>2187</v>
      </c>
      <c r="B29" s="64">
        <v>27.52</v>
      </c>
      <c r="C29" s="64">
        <v>38.5</v>
      </c>
      <c r="D29" s="64">
        <v>40.799999999999997</v>
      </c>
      <c r="E29" s="64">
        <v>6.52</v>
      </c>
      <c r="F29" s="64">
        <v>4.24</v>
      </c>
      <c r="G29" s="64">
        <v>130.56</v>
      </c>
      <c r="H29" s="64">
        <v>59.81</v>
      </c>
      <c r="I29" s="64">
        <v>6.38</v>
      </c>
      <c r="J29" s="64">
        <v>1.48</v>
      </c>
      <c r="K29" s="64">
        <v>332.26</v>
      </c>
      <c r="L29" s="64">
        <v>11.68</v>
      </c>
      <c r="M29" s="64">
        <v>87.58</v>
      </c>
      <c r="N29" s="64">
        <v>31.3</v>
      </c>
      <c r="O29" s="64">
        <v>0</v>
      </c>
      <c r="P29" s="64">
        <v>1.23</v>
      </c>
      <c r="Q29" s="64">
        <v>10.35</v>
      </c>
      <c r="R29" s="196"/>
      <c r="S29" s="196"/>
      <c r="T29" s="196"/>
      <c r="U29" s="196"/>
    </row>
    <row r="30" spans="1:21" s="12" customFormat="1" x14ac:dyDescent="0.25">
      <c r="A30" s="211" t="s">
        <v>2188</v>
      </c>
      <c r="B30" s="64">
        <v>26.3</v>
      </c>
      <c r="C30" s="64">
        <v>38.47</v>
      </c>
      <c r="D30" s="64">
        <v>39.81</v>
      </c>
      <c r="E30" s="64">
        <v>7.16</v>
      </c>
      <c r="F30" s="64">
        <v>4.41</v>
      </c>
      <c r="G30" s="64">
        <v>126.56</v>
      </c>
      <c r="H30" s="64">
        <v>58.78</v>
      </c>
      <c r="I30" s="64">
        <v>6.2</v>
      </c>
      <c r="J30" s="64">
        <v>1.84</v>
      </c>
      <c r="K30" s="64">
        <v>275.81</v>
      </c>
      <c r="L30" s="64">
        <v>11.82</v>
      </c>
      <c r="M30" s="64">
        <v>85.44</v>
      </c>
      <c r="N30" s="64">
        <v>31.3</v>
      </c>
      <c r="O30" s="64">
        <v>0</v>
      </c>
      <c r="P30" s="64">
        <v>1.2</v>
      </c>
      <c r="Q30" s="64">
        <v>10.34</v>
      </c>
      <c r="R30" s="196"/>
      <c r="S30" s="196"/>
      <c r="T30" s="196"/>
      <c r="U30" s="196"/>
    </row>
    <row r="31" spans="1:21" s="12" customFormat="1" x14ac:dyDescent="0.25">
      <c r="A31" s="211" t="s">
        <v>2189</v>
      </c>
      <c r="B31" s="64">
        <v>25.24</v>
      </c>
      <c r="C31" s="64">
        <v>36.97</v>
      </c>
      <c r="D31" s="64">
        <v>38.18</v>
      </c>
      <c r="E31" s="64">
        <v>6.62</v>
      </c>
      <c r="F31" s="64">
        <v>4.1100000000000003</v>
      </c>
      <c r="G31" s="64">
        <v>126.56</v>
      </c>
      <c r="H31" s="64">
        <v>58.78</v>
      </c>
      <c r="I31" s="64">
        <v>6.08</v>
      </c>
      <c r="J31" s="64">
        <v>2</v>
      </c>
      <c r="K31" s="64">
        <v>302.94</v>
      </c>
      <c r="L31" s="64">
        <v>11.69</v>
      </c>
      <c r="M31" s="64">
        <v>86.08</v>
      </c>
      <c r="N31" s="64">
        <v>31.3</v>
      </c>
      <c r="O31" s="64">
        <v>0</v>
      </c>
      <c r="P31" s="64">
        <v>1.17</v>
      </c>
      <c r="Q31" s="64">
        <v>10.28</v>
      </c>
      <c r="R31" s="196"/>
      <c r="S31" s="196"/>
      <c r="T31" s="196"/>
      <c r="U31" s="196"/>
    </row>
    <row r="32" spans="1:21" s="12" customFormat="1" x14ac:dyDescent="0.25">
      <c r="A32" s="211" t="s">
        <v>2190</v>
      </c>
      <c r="B32" s="64">
        <v>24.84</v>
      </c>
      <c r="C32" s="64">
        <v>37.5</v>
      </c>
      <c r="D32" s="64">
        <v>38.130000000000003</v>
      </c>
      <c r="E32" s="64">
        <v>6.78</v>
      </c>
      <c r="F32" s="64">
        <v>3.82</v>
      </c>
      <c r="G32" s="64">
        <v>126.56</v>
      </c>
      <c r="H32" s="64">
        <v>58.78</v>
      </c>
      <c r="I32" s="64">
        <v>5.94</v>
      </c>
      <c r="J32" s="64">
        <v>1.28</v>
      </c>
      <c r="K32" s="64">
        <v>248.03</v>
      </c>
      <c r="L32" s="64">
        <v>11.77</v>
      </c>
      <c r="M32" s="64">
        <v>86.51</v>
      </c>
      <c r="N32" s="64">
        <v>31.2</v>
      </c>
      <c r="O32" s="64">
        <v>0</v>
      </c>
      <c r="P32" s="64">
        <v>1.1499999999999999</v>
      </c>
      <c r="Q32" s="64">
        <v>10.27</v>
      </c>
      <c r="R32" s="196"/>
      <c r="S32" s="196"/>
      <c r="T32" s="196"/>
      <c r="U32" s="196"/>
    </row>
    <row r="33" spans="1:21" s="12" customFormat="1" x14ac:dyDescent="0.25">
      <c r="A33" s="211" t="s">
        <v>2191</v>
      </c>
      <c r="B33" s="64">
        <v>24.33</v>
      </c>
      <c r="C33" s="64">
        <v>37.75</v>
      </c>
      <c r="D33" s="64">
        <v>37.86</v>
      </c>
      <c r="E33" s="64">
        <v>7.06</v>
      </c>
      <c r="F33" s="64">
        <v>3.24</v>
      </c>
      <c r="G33" s="64">
        <v>116.91</v>
      </c>
      <c r="H33" s="64">
        <v>52.58</v>
      </c>
      <c r="I33" s="64">
        <v>5.89</v>
      </c>
      <c r="J33" s="64">
        <v>2.04</v>
      </c>
      <c r="K33" s="64">
        <v>263.62</v>
      </c>
      <c r="L33" s="64">
        <v>12</v>
      </c>
      <c r="M33" s="64">
        <v>85.02</v>
      </c>
      <c r="N33" s="64">
        <v>31.8</v>
      </c>
      <c r="O33" s="64">
        <v>0</v>
      </c>
      <c r="P33" s="64">
        <v>1.1200000000000001</v>
      </c>
      <c r="Q33" s="64">
        <v>10.28</v>
      </c>
      <c r="R33" s="196"/>
      <c r="S33" s="196"/>
      <c r="T33" s="196"/>
      <c r="U33" s="196"/>
    </row>
    <row r="34" spans="1:21" s="12" customFormat="1" x14ac:dyDescent="0.25">
      <c r="A34" s="211" t="s">
        <v>2192</v>
      </c>
      <c r="B34" s="64">
        <v>23.67</v>
      </c>
      <c r="C34" s="64">
        <v>37.43</v>
      </c>
      <c r="D34" s="64">
        <v>37.159999999999997</v>
      </c>
      <c r="E34" s="64">
        <v>6.82</v>
      </c>
      <c r="F34" s="64">
        <v>3.6</v>
      </c>
      <c r="G34" s="64">
        <v>111.06</v>
      </c>
      <c r="H34" s="64">
        <v>51.23</v>
      </c>
      <c r="I34" s="64">
        <v>5.84</v>
      </c>
      <c r="J34" s="64">
        <v>1.39</v>
      </c>
      <c r="K34" s="64">
        <v>333</v>
      </c>
      <c r="L34" s="64">
        <v>11.94</v>
      </c>
      <c r="M34" s="64">
        <v>85.1</v>
      </c>
      <c r="N34" s="64">
        <v>35.6</v>
      </c>
      <c r="O34" s="64">
        <v>0</v>
      </c>
      <c r="P34" s="64">
        <v>1.1000000000000001</v>
      </c>
      <c r="Q34" s="64">
        <v>10.27</v>
      </c>
      <c r="R34" s="196"/>
      <c r="S34" s="196"/>
      <c r="T34" s="196"/>
      <c r="U34" s="196"/>
    </row>
    <row r="35" spans="1:21" s="12" customFormat="1" x14ac:dyDescent="0.25">
      <c r="A35" s="211" t="s">
        <v>2193</v>
      </c>
      <c r="B35" s="64">
        <v>23.67</v>
      </c>
      <c r="C35" s="64">
        <v>37.450000000000003</v>
      </c>
      <c r="D35" s="64">
        <v>37.17</v>
      </c>
      <c r="E35" s="64">
        <v>6.68</v>
      </c>
      <c r="F35" s="64">
        <v>3.58</v>
      </c>
      <c r="G35" s="64">
        <v>111.06</v>
      </c>
      <c r="H35" s="64">
        <v>51.23</v>
      </c>
      <c r="I35" s="64">
        <v>5.79</v>
      </c>
      <c r="J35" s="64">
        <v>0.76</v>
      </c>
      <c r="K35" s="64">
        <v>244.17</v>
      </c>
      <c r="L35" s="64">
        <v>11.91</v>
      </c>
      <c r="M35" s="64">
        <v>86.05</v>
      </c>
      <c r="N35" s="64">
        <v>46.1</v>
      </c>
      <c r="O35" s="64">
        <v>0</v>
      </c>
      <c r="P35" s="64">
        <v>1.07</v>
      </c>
      <c r="Q35" s="64">
        <v>10.4</v>
      </c>
      <c r="R35" s="196"/>
      <c r="S35" s="196"/>
      <c r="T35" s="196"/>
      <c r="U35" s="196"/>
    </row>
    <row r="36" spans="1:21" s="12" customFormat="1" x14ac:dyDescent="0.25">
      <c r="A36" s="211" t="s">
        <v>2194</v>
      </c>
      <c r="B36" s="64">
        <v>23.85</v>
      </c>
      <c r="C36" s="64">
        <v>37.380000000000003</v>
      </c>
      <c r="D36" s="64">
        <v>37.28</v>
      </c>
      <c r="E36" s="64">
        <v>7.41</v>
      </c>
      <c r="F36" s="64">
        <v>3.57</v>
      </c>
      <c r="G36" s="64">
        <v>111.06</v>
      </c>
      <c r="H36" s="64">
        <v>51.23</v>
      </c>
      <c r="I36" s="64">
        <v>5.72</v>
      </c>
      <c r="J36" s="64">
        <v>1.92</v>
      </c>
      <c r="K36" s="64">
        <v>283.94</v>
      </c>
      <c r="L36" s="64">
        <v>12.28</v>
      </c>
      <c r="M36" s="64">
        <v>84.7</v>
      </c>
      <c r="N36" s="64">
        <v>61.4</v>
      </c>
      <c r="O36" s="64">
        <v>0</v>
      </c>
      <c r="P36" s="64">
        <v>1.06</v>
      </c>
      <c r="Q36" s="64">
        <v>10.47</v>
      </c>
      <c r="R36" s="196"/>
      <c r="S36" s="196"/>
      <c r="T36" s="196"/>
      <c r="U36" s="196"/>
    </row>
    <row r="37" spans="1:21" s="12" customFormat="1" x14ac:dyDescent="0.25">
      <c r="A37" s="211" t="s">
        <v>2195</v>
      </c>
      <c r="B37" s="64">
        <v>24.78</v>
      </c>
      <c r="C37" s="64">
        <v>37.47</v>
      </c>
      <c r="D37" s="64">
        <v>38.07</v>
      </c>
      <c r="E37" s="64">
        <v>7.44</v>
      </c>
      <c r="F37" s="64">
        <v>3.41</v>
      </c>
      <c r="G37" s="64">
        <v>108.6</v>
      </c>
      <c r="H37" s="64">
        <v>55.11</v>
      </c>
      <c r="I37" s="64">
        <v>5.66</v>
      </c>
      <c r="J37" s="64">
        <v>0.83</v>
      </c>
      <c r="K37" s="64">
        <v>351.51</v>
      </c>
      <c r="L37" s="64">
        <v>12.89</v>
      </c>
      <c r="M37" s="64">
        <v>82.43</v>
      </c>
      <c r="N37" s="64">
        <v>79.599999999999994</v>
      </c>
      <c r="O37" s="64">
        <v>0</v>
      </c>
      <c r="P37" s="64">
        <v>1.05</v>
      </c>
      <c r="Q37" s="64">
        <v>10.51</v>
      </c>
      <c r="R37" s="196"/>
      <c r="S37" s="196"/>
      <c r="T37" s="196"/>
      <c r="U37" s="196"/>
    </row>
    <row r="38" spans="1:21" s="12" customFormat="1" x14ac:dyDescent="0.25">
      <c r="A38" s="211" t="s">
        <v>2196</v>
      </c>
      <c r="B38" s="64">
        <v>26.04</v>
      </c>
      <c r="C38" s="64">
        <v>38.11</v>
      </c>
      <c r="D38" s="64">
        <v>39.42</v>
      </c>
      <c r="E38" s="64">
        <v>7.32</v>
      </c>
      <c r="F38" s="64">
        <v>4</v>
      </c>
      <c r="G38" s="64">
        <v>107.11</v>
      </c>
      <c r="H38" s="64">
        <v>55.95</v>
      </c>
      <c r="I38" s="64">
        <v>5.63</v>
      </c>
      <c r="J38" s="64">
        <v>1.1599999999999999</v>
      </c>
      <c r="K38" s="64">
        <v>118.53</v>
      </c>
      <c r="L38" s="64">
        <v>13.67</v>
      </c>
      <c r="M38" s="64">
        <v>77.11</v>
      </c>
      <c r="N38" s="64">
        <v>110.4</v>
      </c>
      <c r="O38" s="64">
        <v>0</v>
      </c>
      <c r="P38" s="64">
        <v>1.1000000000000001</v>
      </c>
      <c r="Q38" s="64">
        <v>10.55</v>
      </c>
      <c r="R38" s="196"/>
      <c r="S38" s="196"/>
      <c r="T38" s="196"/>
      <c r="U38" s="196"/>
    </row>
    <row r="39" spans="1:21" s="12" customFormat="1" x14ac:dyDescent="0.25">
      <c r="A39" s="211" t="s">
        <v>2197</v>
      </c>
      <c r="B39" s="64">
        <v>26.22</v>
      </c>
      <c r="C39" s="64">
        <v>38.82</v>
      </c>
      <c r="D39" s="64">
        <v>39.93</v>
      </c>
      <c r="E39" s="64">
        <v>7.53</v>
      </c>
      <c r="F39" s="64">
        <v>4.2300000000000004</v>
      </c>
      <c r="G39" s="64">
        <v>107.11</v>
      </c>
      <c r="H39" s="64">
        <v>55.95</v>
      </c>
      <c r="I39" s="64">
        <v>5.66</v>
      </c>
      <c r="J39" s="64">
        <v>0.98</v>
      </c>
      <c r="K39" s="64">
        <v>10.4</v>
      </c>
      <c r="L39" s="64">
        <v>14.83</v>
      </c>
      <c r="M39" s="64">
        <v>73.19</v>
      </c>
      <c r="N39" s="64">
        <v>164.4</v>
      </c>
      <c r="O39" s="64">
        <v>0</v>
      </c>
      <c r="P39" s="64">
        <v>1.1000000000000001</v>
      </c>
      <c r="Q39" s="64">
        <v>10.58</v>
      </c>
      <c r="R39" s="196"/>
      <c r="S39" s="196"/>
      <c r="T39" s="196"/>
      <c r="U39" s="196"/>
    </row>
    <row r="40" spans="1:21" s="12" customFormat="1" x14ac:dyDescent="0.25">
      <c r="A40" s="211" t="s">
        <v>2198</v>
      </c>
      <c r="B40" s="64">
        <v>26.33</v>
      </c>
      <c r="C40" s="64">
        <v>39.33</v>
      </c>
      <c r="D40" s="64">
        <v>40.28</v>
      </c>
      <c r="E40" s="64">
        <v>6.18</v>
      </c>
      <c r="F40" s="64">
        <v>4.3600000000000003</v>
      </c>
      <c r="G40" s="64">
        <v>107.11</v>
      </c>
      <c r="H40" s="64">
        <v>55.95</v>
      </c>
      <c r="I40" s="64">
        <v>5.66</v>
      </c>
      <c r="J40" s="64">
        <v>1.49</v>
      </c>
      <c r="K40" s="64">
        <v>108.48</v>
      </c>
      <c r="L40" s="64">
        <v>15.41</v>
      </c>
      <c r="M40" s="64">
        <v>70.17</v>
      </c>
      <c r="N40" s="64">
        <v>202.1</v>
      </c>
      <c r="O40" s="64">
        <v>0</v>
      </c>
      <c r="P40" s="64">
        <v>1.0900000000000001</v>
      </c>
      <c r="Q40" s="64">
        <v>10.59</v>
      </c>
      <c r="R40" s="196"/>
      <c r="S40" s="196"/>
      <c r="T40" s="196"/>
      <c r="U40" s="196"/>
    </row>
    <row r="41" spans="1:21" s="12" customFormat="1" x14ac:dyDescent="0.25">
      <c r="A41" s="211" t="s">
        <v>2199</v>
      </c>
      <c r="B41" s="64">
        <v>25.68</v>
      </c>
      <c r="C41" s="64">
        <v>40.200000000000003</v>
      </c>
      <c r="D41" s="64">
        <v>40.22</v>
      </c>
      <c r="E41" s="64">
        <v>6.41</v>
      </c>
      <c r="F41" s="64">
        <v>3.98</v>
      </c>
      <c r="G41" s="64">
        <v>107.53</v>
      </c>
      <c r="H41" s="64">
        <v>54.07</v>
      </c>
      <c r="I41" s="64">
        <v>5.66</v>
      </c>
      <c r="J41" s="64">
        <v>1.5</v>
      </c>
      <c r="K41" s="64">
        <v>105.37</v>
      </c>
      <c r="L41" s="64">
        <v>16.79</v>
      </c>
      <c r="M41" s="64">
        <v>63.86</v>
      </c>
      <c r="N41" s="64">
        <v>239</v>
      </c>
      <c r="O41" s="64">
        <v>0</v>
      </c>
      <c r="P41" s="64">
        <v>1.08</v>
      </c>
      <c r="Q41" s="64">
        <v>10.55</v>
      </c>
      <c r="R41" s="196"/>
      <c r="S41" s="196"/>
      <c r="T41" s="196"/>
      <c r="U41" s="196"/>
    </row>
    <row r="42" spans="1:21" s="12" customFormat="1" x14ac:dyDescent="0.25">
      <c r="A42" s="211" t="s">
        <v>2200</v>
      </c>
      <c r="B42" s="64">
        <v>25.21</v>
      </c>
      <c r="C42" s="64">
        <v>41.18</v>
      </c>
      <c r="D42" s="64">
        <v>40.35</v>
      </c>
      <c r="E42" s="64">
        <v>6.39</v>
      </c>
      <c r="F42" s="64">
        <v>3.94</v>
      </c>
      <c r="G42" s="64">
        <v>107.78</v>
      </c>
      <c r="H42" s="64">
        <v>53.36</v>
      </c>
      <c r="I42" s="64">
        <v>5.73</v>
      </c>
      <c r="J42" s="64">
        <v>2.5299999999999998</v>
      </c>
      <c r="K42" s="64">
        <v>112.35</v>
      </c>
      <c r="L42" s="64">
        <v>17.100000000000001</v>
      </c>
      <c r="M42" s="64">
        <v>61.48</v>
      </c>
      <c r="N42" s="64">
        <v>278.60000000000002</v>
      </c>
      <c r="O42" s="64">
        <v>0</v>
      </c>
      <c r="P42" s="64">
        <v>1.08</v>
      </c>
      <c r="Q42" s="64">
        <v>10.55</v>
      </c>
      <c r="R42" s="196"/>
      <c r="S42" s="196"/>
      <c r="T42" s="196"/>
      <c r="U42" s="196"/>
    </row>
    <row r="43" spans="1:21" s="12" customFormat="1" x14ac:dyDescent="0.25">
      <c r="A43" s="211" t="s">
        <v>2201</v>
      </c>
      <c r="B43" s="64">
        <v>24.15</v>
      </c>
      <c r="C43" s="64">
        <v>42.16</v>
      </c>
      <c r="D43" s="64">
        <v>40.020000000000003</v>
      </c>
      <c r="E43" s="64">
        <v>6.35</v>
      </c>
      <c r="F43" s="64">
        <v>3.92</v>
      </c>
      <c r="G43" s="64">
        <v>107.78</v>
      </c>
      <c r="H43" s="64">
        <v>53.36</v>
      </c>
      <c r="I43" s="64">
        <v>5.8</v>
      </c>
      <c r="J43" s="64">
        <v>1.81</v>
      </c>
      <c r="K43" s="64">
        <v>103.55</v>
      </c>
      <c r="L43" s="64">
        <v>17.940000000000001</v>
      </c>
      <c r="M43" s="64">
        <v>57.29</v>
      </c>
      <c r="N43" s="64">
        <v>311.60000000000002</v>
      </c>
      <c r="O43" s="64">
        <v>0</v>
      </c>
      <c r="P43" s="64">
        <v>1.07</v>
      </c>
      <c r="Q43" s="64">
        <v>10.54</v>
      </c>
      <c r="R43" s="196"/>
      <c r="S43" s="196"/>
      <c r="T43" s="196"/>
      <c r="U43" s="196"/>
    </row>
    <row r="44" spans="1:21" s="12" customFormat="1" x14ac:dyDescent="0.25">
      <c r="A44" s="211" t="s">
        <v>2202</v>
      </c>
      <c r="B44" s="64">
        <v>22.85</v>
      </c>
      <c r="C44" s="64">
        <v>43.06</v>
      </c>
      <c r="D44" s="64">
        <v>39.450000000000003</v>
      </c>
      <c r="E44" s="64">
        <v>6.43</v>
      </c>
      <c r="F44" s="64">
        <v>4.0599999999999996</v>
      </c>
      <c r="G44" s="64">
        <v>107.78</v>
      </c>
      <c r="H44" s="64">
        <v>53.36</v>
      </c>
      <c r="I44" s="64">
        <v>5.88</v>
      </c>
      <c r="J44" s="64">
        <v>1.07</v>
      </c>
      <c r="K44" s="64">
        <v>102.17</v>
      </c>
      <c r="L44" s="64">
        <v>18.79</v>
      </c>
      <c r="M44" s="64">
        <v>54.38</v>
      </c>
      <c r="N44" s="64">
        <v>344.1</v>
      </c>
      <c r="O44" s="64">
        <v>0</v>
      </c>
      <c r="P44" s="64">
        <v>1.05</v>
      </c>
      <c r="Q44" s="64">
        <v>10.54</v>
      </c>
      <c r="R44" s="196"/>
      <c r="S44" s="196"/>
      <c r="T44" s="196"/>
      <c r="U44" s="196"/>
    </row>
    <row r="45" spans="1:21" s="12" customFormat="1" x14ac:dyDescent="0.25">
      <c r="A45" s="211" t="s">
        <v>2203</v>
      </c>
      <c r="B45" s="64">
        <v>21.38</v>
      </c>
      <c r="C45" s="64">
        <v>43.9</v>
      </c>
      <c r="D45" s="64">
        <v>38.700000000000003</v>
      </c>
      <c r="E45" s="64">
        <v>5.66</v>
      </c>
      <c r="F45" s="64">
        <v>4.18</v>
      </c>
      <c r="G45" s="64">
        <v>102.62</v>
      </c>
      <c r="H45" s="64">
        <v>50.31</v>
      </c>
      <c r="I45" s="64">
        <v>5.96</v>
      </c>
      <c r="J45" s="64">
        <v>3.24</v>
      </c>
      <c r="K45" s="64">
        <v>115.26</v>
      </c>
      <c r="L45" s="64">
        <v>18.760000000000002</v>
      </c>
      <c r="M45" s="64">
        <v>54.4</v>
      </c>
      <c r="N45" s="64">
        <v>374.9</v>
      </c>
      <c r="O45" s="64">
        <v>0</v>
      </c>
      <c r="P45" s="64">
        <v>1.03</v>
      </c>
      <c r="Q45" s="64">
        <v>10.52</v>
      </c>
      <c r="R45" s="196"/>
      <c r="S45" s="196"/>
      <c r="T45" s="196"/>
      <c r="U45" s="196"/>
    </row>
    <row r="46" spans="1:21" s="12" customFormat="1" x14ac:dyDescent="0.25">
      <c r="A46" s="211" t="s">
        <v>2204</v>
      </c>
      <c r="B46" s="64">
        <v>19.37</v>
      </c>
      <c r="C46" s="64">
        <v>44.43</v>
      </c>
      <c r="D46" s="64">
        <v>37.369999999999997</v>
      </c>
      <c r="E46" s="64">
        <v>5.81</v>
      </c>
      <c r="F46" s="64">
        <v>4.08</v>
      </c>
      <c r="G46" s="64">
        <v>99.48</v>
      </c>
      <c r="H46" s="64">
        <v>49.64</v>
      </c>
      <c r="I46" s="64">
        <v>6.01</v>
      </c>
      <c r="J46" s="64">
        <v>2.09</v>
      </c>
      <c r="K46" s="64">
        <v>120.47</v>
      </c>
      <c r="L46" s="64">
        <v>19.13</v>
      </c>
      <c r="M46" s="64">
        <v>54.37</v>
      </c>
      <c r="N46" s="64">
        <v>391.3</v>
      </c>
      <c r="O46" s="64">
        <v>0</v>
      </c>
      <c r="P46" s="64">
        <v>1.01</v>
      </c>
      <c r="Q46" s="64">
        <v>10.49</v>
      </c>
      <c r="R46" s="196"/>
      <c r="S46" s="196"/>
      <c r="T46" s="196"/>
      <c r="U46" s="196"/>
    </row>
    <row r="47" spans="1:21" s="12" customFormat="1" x14ac:dyDescent="0.25">
      <c r="A47" s="211" t="s">
        <v>2205</v>
      </c>
      <c r="B47" s="64">
        <v>17.399999999999999</v>
      </c>
      <c r="C47" s="64">
        <v>44.8</v>
      </c>
      <c r="D47" s="64">
        <v>35.979999999999997</v>
      </c>
      <c r="E47" s="64">
        <v>6.14</v>
      </c>
      <c r="F47" s="64">
        <v>4.0999999999999996</v>
      </c>
      <c r="G47" s="64">
        <v>99.48</v>
      </c>
      <c r="H47" s="64">
        <v>49.64</v>
      </c>
      <c r="I47" s="64">
        <v>6.16</v>
      </c>
      <c r="J47" s="64">
        <v>0.38</v>
      </c>
      <c r="K47" s="64">
        <v>22.97</v>
      </c>
      <c r="L47" s="64">
        <v>20.84</v>
      </c>
      <c r="M47" s="64">
        <v>50.16</v>
      </c>
      <c r="N47" s="64">
        <v>418.7</v>
      </c>
      <c r="O47" s="64">
        <v>0</v>
      </c>
      <c r="P47" s="64">
        <v>1.01</v>
      </c>
      <c r="Q47" s="64">
        <v>10.3</v>
      </c>
      <c r="R47" s="196"/>
      <c r="S47" s="196"/>
      <c r="T47" s="196"/>
      <c r="U47" s="196"/>
    </row>
    <row r="48" spans="1:21" s="12" customFormat="1" x14ac:dyDescent="0.25">
      <c r="A48" s="211" t="s">
        <v>2206</v>
      </c>
      <c r="B48" s="64">
        <v>15.92</v>
      </c>
      <c r="C48" s="64">
        <v>43.96</v>
      </c>
      <c r="D48" s="64">
        <v>34.35</v>
      </c>
      <c r="E48" s="64">
        <v>5.78</v>
      </c>
      <c r="F48" s="64">
        <v>4</v>
      </c>
      <c r="G48" s="64">
        <v>99.48</v>
      </c>
      <c r="H48" s="64">
        <v>49.64</v>
      </c>
      <c r="I48" s="64">
        <v>6.35</v>
      </c>
      <c r="J48" s="64">
        <v>1.95</v>
      </c>
      <c r="K48" s="64">
        <v>118.15</v>
      </c>
      <c r="L48" s="64">
        <v>20.34</v>
      </c>
      <c r="M48" s="64">
        <v>53.79</v>
      </c>
      <c r="N48" s="64">
        <v>432.4</v>
      </c>
      <c r="O48" s="64">
        <v>0</v>
      </c>
      <c r="P48" s="64">
        <v>0.99</v>
      </c>
      <c r="Q48" s="64">
        <v>9.58</v>
      </c>
      <c r="R48" s="196"/>
      <c r="S48" s="196"/>
      <c r="T48" s="196"/>
      <c r="U48" s="196"/>
    </row>
    <row r="49" spans="1:21" s="12" customFormat="1" x14ac:dyDescent="0.25">
      <c r="A49" s="211" t="s">
        <v>2207</v>
      </c>
      <c r="B49" s="64">
        <v>14.87</v>
      </c>
      <c r="C49" s="64">
        <v>44.1</v>
      </c>
      <c r="D49" s="64">
        <v>33.590000000000003</v>
      </c>
      <c r="E49" s="64">
        <v>5.5</v>
      </c>
      <c r="F49" s="64">
        <v>3.98</v>
      </c>
      <c r="G49" s="64">
        <v>99.44</v>
      </c>
      <c r="H49" s="64">
        <v>49.03</v>
      </c>
      <c r="I49" s="64">
        <v>6.38</v>
      </c>
      <c r="J49" s="64">
        <v>0.31</v>
      </c>
      <c r="K49" s="64">
        <v>21.32</v>
      </c>
      <c r="L49" s="64">
        <v>21.55</v>
      </c>
      <c r="M49" s="64">
        <v>49.36</v>
      </c>
      <c r="N49" s="64">
        <v>456.1</v>
      </c>
      <c r="O49" s="64">
        <v>0</v>
      </c>
      <c r="P49" s="64">
        <v>1</v>
      </c>
      <c r="Q49" s="64">
        <v>9.6999999999999993</v>
      </c>
      <c r="R49" s="196"/>
      <c r="S49" s="196"/>
      <c r="T49" s="196"/>
      <c r="U49" s="196"/>
    </row>
    <row r="50" spans="1:21" s="12" customFormat="1" x14ac:dyDescent="0.25">
      <c r="A50" s="211" t="s">
        <v>2208</v>
      </c>
      <c r="B50" s="64">
        <v>14.06</v>
      </c>
      <c r="C50" s="64">
        <v>44.36</v>
      </c>
      <c r="D50" s="64">
        <v>33.07</v>
      </c>
      <c r="E50" s="64">
        <v>6.17</v>
      </c>
      <c r="F50" s="64">
        <v>4.1399999999999997</v>
      </c>
      <c r="G50" s="64">
        <v>99.41</v>
      </c>
      <c r="H50" s="64">
        <v>48.89</v>
      </c>
      <c r="I50" s="64">
        <v>6.57</v>
      </c>
      <c r="J50" s="64">
        <v>0.87</v>
      </c>
      <c r="K50" s="64">
        <v>100.13</v>
      </c>
      <c r="L50" s="64">
        <v>21.8</v>
      </c>
      <c r="M50" s="64">
        <v>47.72</v>
      </c>
      <c r="N50" s="64">
        <v>483.3</v>
      </c>
      <c r="O50" s="64">
        <v>0</v>
      </c>
      <c r="P50" s="64">
        <v>0.99</v>
      </c>
      <c r="Q50" s="64">
        <v>10.130000000000001</v>
      </c>
      <c r="R50" s="196"/>
      <c r="S50" s="196"/>
      <c r="T50" s="196"/>
      <c r="U50" s="196"/>
    </row>
    <row r="51" spans="1:21" s="12" customFormat="1" x14ac:dyDescent="0.25">
      <c r="A51" s="211" t="s">
        <v>2209</v>
      </c>
      <c r="B51" s="64">
        <v>13.16</v>
      </c>
      <c r="C51" s="64">
        <v>44.41</v>
      </c>
      <c r="D51" s="64">
        <v>32.380000000000003</v>
      </c>
      <c r="E51" s="64">
        <v>6.14</v>
      </c>
      <c r="F51" s="64">
        <v>4.01</v>
      </c>
      <c r="G51" s="64">
        <v>99.41</v>
      </c>
      <c r="H51" s="64">
        <v>48.89</v>
      </c>
      <c r="I51" s="64">
        <v>6.74</v>
      </c>
      <c r="J51" s="64">
        <v>1.78</v>
      </c>
      <c r="K51" s="64">
        <v>116.09</v>
      </c>
      <c r="L51" s="64">
        <v>22.5</v>
      </c>
      <c r="M51" s="64">
        <v>45.5</v>
      </c>
      <c r="N51" s="64">
        <v>507.4</v>
      </c>
      <c r="O51" s="64">
        <v>0</v>
      </c>
      <c r="P51" s="64">
        <v>0.98</v>
      </c>
      <c r="Q51" s="64">
        <v>10.18</v>
      </c>
      <c r="R51" s="196"/>
      <c r="S51" s="196"/>
      <c r="T51" s="196"/>
      <c r="U51" s="196"/>
    </row>
    <row r="52" spans="1:21" s="12" customFormat="1" x14ac:dyDescent="0.25">
      <c r="A52" s="211" t="s">
        <v>2210</v>
      </c>
      <c r="B52" s="64">
        <v>11.68</v>
      </c>
      <c r="C52" s="64">
        <v>45.02</v>
      </c>
      <c r="D52" s="64">
        <v>31.51</v>
      </c>
      <c r="E52" s="64">
        <v>7.05</v>
      </c>
      <c r="F52" s="64">
        <v>5.12</v>
      </c>
      <c r="G52" s="64">
        <v>99.41</v>
      </c>
      <c r="H52" s="64">
        <v>48.89</v>
      </c>
      <c r="I52" s="64">
        <v>6.81</v>
      </c>
      <c r="J52" s="64">
        <v>0.82</v>
      </c>
      <c r="K52" s="64">
        <v>357.69</v>
      </c>
      <c r="L52" s="64">
        <v>22.75</v>
      </c>
      <c r="M52" s="64">
        <v>44.95</v>
      </c>
      <c r="N52" s="64">
        <v>523.6</v>
      </c>
      <c r="O52" s="64">
        <v>0</v>
      </c>
      <c r="P52" s="64">
        <v>0.95</v>
      </c>
      <c r="Q52" s="64">
        <v>10.130000000000001</v>
      </c>
      <c r="R52" s="196"/>
      <c r="S52" s="196"/>
      <c r="T52" s="196"/>
      <c r="U52" s="196"/>
    </row>
    <row r="53" spans="1:21" s="12" customFormat="1" x14ac:dyDescent="0.25">
      <c r="A53" s="211" t="s">
        <v>2211</v>
      </c>
      <c r="B53" s="64">
        <v>0</v>
      </c>
      <c r="C53" s="64">
        <v>0</v>
      </c>
      <c r="D53" s="64">
        <v>0</v>
      </c>
      <c r="E53" s="64">
        <v>7.36</v>
      </c>
      <c r="F53" s="64">
        <v>4.87</v>
      </c>
      <c r="G53" s="64">
        <v>89.13</v>
      </c>
      <c r="H53" s="64">
        <v>47.29</v>
      </c>
      <c r="I53" s="64">
        <v>7.06</v>
      </c>
      <c r="J53" s="64">
        <v>0.63</v>
      </c>
      <c r="K53" s="64">
        <v>10.89</v>
      </c>
      <c r="L53" s="64">
        <v>24.14</v>
      </c>
      <c r="M53" s="64">
        <v>40.29</v>
      </c>
      <c r="N53" s="64">
        <v>533.70000000000005</v>
      </c>
      <c r="O53" s="64">
        <v>0</v>
      </c>
      <c r="P53" s="64">
        <v>0.92</v>
      </c>
      <c r="Q53" s="64">
        <v>10.17</v>
      </c>
      <c r="R53" s="196"/>
      <c r="S53" s="196"/>
      <c r="T53" s="196"/>
      <c r="U53" s="196"/>
    </row>
    <row r="54" spans="1:21" s="12" customFormat="1" x14ac:dyDescent="0.25">
      <c r="A54" s="211" t="s">
        <v>2212</v>
      </c>
      <c r="B54" s="64">
        <v>7.1</v>
      </c>
      <c r="C54" s="64">
        <v>52.78</v>
      </c>
      <c r="D54" s="64">
        <v>31.89</v>
      </c>
      <c r="E54" s="64">
        <v>7.11</v>
      </c>
      <c r="F54" s="64">
        <v>5.32</v>
      </c>
      <c r="G54" s="64">
        <v>82.89</v>
      </c>
      <c r="H54" s="64">
        <v>46.97</v>
      </c>
      <c r="I54" s="64">
        <v>6.34</v>
      </c>
      <c r="J54" s="64">
        <v>1.32</v>
      </c>
      <c r="K54" s="64">
        <v>87.55</v>
      </c>
      <c r="L54" s="64">
        <v>23.08</v>
      </c>
      <c r="M54" s="64">
        <v>41.63</v>
      </c>
      <c r="N54" s="64">
        <v>541.9</v>
      </c>
      <c r="O54" s="64">
        <v>0</v>
      </c>
      <c r="P54" s="64">
        <v>0.91</v>
      </c>
      <c r="Q54" s="64">
        <v>10.19</v>
      </c>
      <c r="R54" s="196"/>
      <c r="S54" s="196"/>
      <c r="T54" s="196"/>
      <c r="U54" s="196"/>
    </row>
    <row r="55" spans="1:21" s="12" customFormat="1" x14ac:dyDescent="0.25">
      <c r="A55" s="211" t="s">
        <v>2213</v>
      </c>
      <c r="B55" s="64">
        <v>3.96</v>
      </c>
      <c r="C55" s="64">
        <v>61.39</v>
      </c>
      <c r="D55" s="64">
        <v>33.869999999999997</v>
      </c>
      <c r="E55" s="64">
        <v>7.1</v>
      </c>
      <c r="F55" s="64">
        <v>5.24</v>
      </c>
      <c r="G55" s="64">
        <v>82.89</v>
      </c>
      <c r="H55" s="64">
        <v>46.97</v>
      </c>
      <c r="I55" s="64">
        <v>6.38</v>
      </c>
      <c r="J55" s="64">
        <v>1.17</v>
      </c>
      <c r="K55" s="64">
        <v>113.42</v>
      </c>
      <c r="L55" s="64">
        <v>23</v>
      </c>
      <c r="M55" s="64">
        <v>40.909999999999997</v>
      </c>
      <c r="N55" s="64">
        <v>539.70000000000005</v>
      </c>
      <c r="O55" s="64">
        <v>0</v>
      </c>
      <c r="P55" s="64">
        <v>0.9</v>
      </c>
      <c r="Q55" s="64">
        <v>10.210000000000001</v>
      </c>
      <c r="R55" s="196"/>
      <c r="S55" s="196"/>
      <c r="T55" s="196"/>
      <c r="U55" s="196"/>
    </row>
    <row r="56" spans="1:21" s="12" customFormat="1" x14ac:dyDescent="0.25">
      <c r="A56" s="211" t="s">
        <v>2214</v>
      </c>
      <c r="B56" s="64">
        <v>1.77</v>
      </c>
      <c r="C56" s="64">
        <v>49.38</v>
      </c>
      <c r="D56" s="64">
        <v>25.84</v>
      </c>
      <c r="E56" s="64">
        <v>4.6399999999999997</v>
      </c>
      <c r="F56" s="64">
        <v>6.43</v>
      </c>
      <c r="G56" s="64">
        <v>82.89</v>
      </c>
      <c r="H56" s="64">
        <v>46.97</v>
      </c>
      <c r="I56" s="64">
        <v>7.06</v>
      </c>
      <c r="J56" s="64">
        <v>1.59</v>
      </c>
      <c r="K56" s="64">
        <v>127.05</v>
      </c>
      <c r="L56" s="64">
        <v>22.8</v>
      </c>
      <c r="M56" s="64">
        <v>39.49</v>
      </c>
      <c r="N56" s="64">
        <v>534.70000000000005</v>
      </c>
      <c r="O56" s="64">
        <v>0</v>
      </c>
      <c r="P56" s="64">
        <v>0.88</v>
      </c>
      <c r="Q56" s="64">
        <v>10.23</v>
      </c>
      <c r="R56" s="196"/>
      <c r="S56" s="196"/>
      <c r="T56" s="196"/>
      <c r="U56" s="196"/>
    </row>
    <row r="57" spans="1:21" s="12" customFormat="1" x14ac:dyDescent="0.25">
      <c r="A57" s="211" t="s">
        <v>2215</v>
      </c>
      <c r="B57" s="64">
        <v>0.64</v>
      </c>
      <c r="C57" s="64">
        <v>50.11</v>
      </c>
      <c r="D57" s="64">
        <v>25.31</v>
      </c>
      <c r="E57" s="64">
        <v>7.39</v>
      </c>
      <c r="F57" s="64">
        <v>11.92</v>
      </c>
      <c r="G57" s="64">
        <v>93.47</v>
      </c>
      <c r="H57" s="64">
        <v>47.91</v>
      </c>
      <c r="I57" s="64">
        <v>7.3</v>
      </c>
      <c r="J57" s="64">
        <v>1.37</v>
      </c>
      <c r="K57" s="64">
        <v>357.86</v>
      </c>
      <c r="L57" s="64">
        <v>23.51</v>
      </c>
      <c r="M57" s="64">
        <v>38.53</v>
      </c>
      <c r="N57" s="64">
        <v>508.9</v>
      </c>
      <c r="O57" s="64">
        <v>0</v>
      </c>
      <c r="P57" s="64">
        <v>0.82</v>
      </c>
      <c r="Q57" s="64">
        <v>10.25</v>
      </c>
      <c r="R57" s="196"/>
      <c r="S57" s="196"/>
      <c r="T57" s="196"/>
      <c r="U57" s="196"/>
    </row>
    <row r="58" spans="1:21" s="12" customFormat="1" x14ac:dyDescent="0.25">
      <c r="A58" s="211" t="s">
        <v>2216</v>
      </c>
      <c r="B58" s="64">
        <v>2.2599999999999998</v>
      </c>
      <c r="C58" s="64">
        <v>52.67</v>
      </c>
      <c r="D58" s="64">
        <v>27.96</v>
      </c>
      <c r="E58" s="64">
        <v>6.94</v>
      </c>
      <c r="F58" s="64">
        <v>8.67</v>
      </c>
      <c r="G58" s="64">
        <v>99.89</v>
      </c>
      <c r="H58" s="64">
        <v>48.27</v>
      </c>
      <c r="I58" s="64">
        <v>7.07</v>
      </c>
      <c r="J58" s="64">
        <v>0.87</v>
      </c>
      <c r="K58" s="64">
        <v>7.25</v>
      </c>
      <c r="L58" s="64">
        <v>24.94</v>
      </c>
      <c r="M58" s="64">
        <v>35.19</v>
      </c>
      <c r="N58" s="64">
        <v>469.6</v>
      </c>
      <c r="O58" s="64">
        <v>0</v>
      </c>
      <c r="P58" s="64">
        <v>0.81</v>
      </c>
      <c r="Q58" s="64">
        <v>10.31</v>
      </c>
      <c r="R58" s="196"/>
      <c r="S58" s="196"/>
      <c r="T58" s="196"/>
      <c r="U58" s="196"/>
    </row>
    <row r="59" spans="1:21" s="12" customFormat="1" x14ac:dyDescent="0.25">
      <c r="A59" s="211" t="s">
        <v>2217</v>
      </c>
      <c r="B59" s="64">
        <v>2.31</v>
      </c>
      <c r="C59" s="64">
        <v>51.75</v>
      </c>
      <c r="D59" s="64">
        <v>27.52</v>
      </c>
      <c r="E59" s="64">
        <v>6.5</v>
      </c>
      <c r="F59" s="64">
        <v>7.11</v>
      </c>
      <c r="G59" s="64">
        <v>99.89</v>
      </c>
      <c r="H59" s="64">
        <v>48.27</v>
      </c>
      <c r="I59" s="64">
        <v>6.74</v>
      </c>
      <c r="J59" s="64">
        <v>1.0900000000000001</v>
      </c>
      <c r="K59" s="64">
        <v>92.22</v>
      </c>
      <c r="L59" s="64">
        <v>23.32</v>
      </c>
      <c r="M59" s="64">
        <v>38.51</v>
      </c>
      <c r="N59" s="64">
        <v>453.4</v>
      </c>
      <c r="O59" s="64">
        <v>0</v>
      </c>
      <c r="P59" s="64">
        <v>0.8</v>
      </c>
      <c r="Q59" s="64">
        <v>10.5</v>
      </c>
      <c r="R59" s="196"/>
      <c r="S59" s="196"/>
      <c r="T59" s="196"/>
      <c r="U59" s="196"/>
    </row>
    <row r="60" spans="1:21" s="12" customFormat="1" x14ac:dyDescent="0.25">
      <c r="A60" s="211" t="s">
        <v>2218</v>
      </c>
      <c r="B60" s="64">
        <v>2.4300000000000002</v>
      </c>
      <c r="C60" s="64">
        <v>49.95</v>
      </c>
      <c r="D60" s="64">
        <v>26.67</v>
      </c>
      <c r="E60" s="64">
        <v>6.44</v>
      </c>
      <c r="F60" s="64">
        <v>6.08</v>
      </c>
      <c r="G60" s="64">
        <v>99.89</v>
      </c>
      <c r="H60" s="64">
        <v>48.27</v>
      </c>
      <c r="I60" s="64">
        <v>6.5</v>
      </c>
      <c r="J60" s="64">
        <v>1</v>
      </c>
      <c r="K60" s="64">
        <v>95.85</v>
      </c>
      <c r="L60" s="64">
        <v>23.23</v>
      </c>
      <c r="M60" s="64">
        <v>38.43</v>
      </c>
      <c r="N60" s="64">
        <v>416.1</v>
      </c>
      <c r="O60" s="64">
        <v>0</v>
      </c>
      <c r="P60" s="64">
        <v>0.79</v>
      </c>
      <c r="Q60" s="64">
        <v>10.46</v>
      </c>
      <c r="R60" s="196"/>
      <c r="S60" s="196"/>
      <c r="T60" s="196"/>
      <c r="U60" s="196"/>
    </row>
    <row r="61" spans="1:21" s="12" customFormat="1" x14ac:dyDescent="0.25">
      <c r="A61" s="211" t="s">
        <v>2219</v>
      </c>
      <c r="B61" s="64">
        <v>2.69</v>
      </c>
      <c r="C61" s="64">
        <v>48.74</v>
      </c>
      <c r="D61" s="64">
        <v>26.25</v>
      </c>
      <c r="E61" s="64">
        <v>5.84</v>
      </c>
      <c r="F61" s="64">
        <v>5.65</v>
      </c>
      <c r="G61" s="64">
        <v>93.8</v>
      </c>
      <c r="H61" s="64">
        <v>46.06</v>
      </c>
      <c r="I61" s="64">
        <v>6.47</v>
      </c>
      <c r="J61" s="64">
        <v>2.67</v>
      </c>
      <c r="K61" s="64">
        <v>117.92</v>
      </c>
      <c r="L61" s="64">
        <v>22.56</v>
      </c>
      <c r="M61" s="64">
        <v>40.6</v>
      </c>
      <c r="N61" s="64">
        <v>393.1</v>
      </c>
      <c r="O61" s="64">
        <v>0</v>
      </c>
      <c r="P61" s="64">
        <v>0.8</v>
      </c>
      <c r="Q61" s="64">
        <v>10.3</v>
      </c>
      <c r="R61" s="196"/>
      <c r="S61" s="196"/>
      <c r="T61" s="196"/>
      <c r="U61" s="196"/>
    </row>
    <row r="62" spans="1:21" s="12" customFormat="1" x14ac:dyDescent="0.25">
      <c r="A62" s="211" t="s">
        <v>2220</v>
      </c>
      <c r="B62" s="64">
        <v>2.72</v>
      </c>
      <c r="C62" s="64">
        <v>48.01</v>
      </c>
      <c r="D62" s="64">
        <v>25.89</v>
      </c>
      <c r="E62" s="64">
        <v>5.84</v>
      </c>
      <c r="F62" s="64">
        <v>6.35</v>
      </c>
      <c r="G62" s="64">
        <v>90.09</v>
      </c>
      <c r="H62" s="64">
        <v>45.62</v>
      </c>
      <c r="I62" s="64">
        <v>6.43</v>
      </c>
      <c r="J62" s="64">
        <v>0.81</v>
      </c>
      <c r="K62" s="64">
        <v>66.48</v>
      </c>
      <c r="L62" s="64">
        <v>22.9</v>
      </c>
      <c r="M62" s="64">
        <v>38.97</v>
      </c>
      <c r="N62" s="64">
        <v>358</v>
      </c>
      <c r="O62" s="64">
        <v>0</v>
      </c>
      <c r="P62" s="64">
        <v>0.83</v>
      </c>
      <c r="Q62" s="64">
        <v>10.23</v>
      </c>
      <c r="R62" s="196"/>
      <c r="S62" s="196"/>
      <c r="T62" s="196"/>
      <c r="U62" s="196"/>
    </row>
    <row r="63" spans="1:21" s="12" customFormat="1" x14ac:dyDescent="0.25">
      <c r="A63" s="211" t="s">
        <v>2221</v>
      </c>
      <c r="B63" s="64">
        <v>2.42</v>
      </c>
      <c r="C63" s="64">
        <v>48.04</v>
      </c>
      <c r="D63" s="64">
        <v>25.66</v>
      </c>
      <c r="E63" s="64">
        <v>6.92</v>
      </c>
      <c r="F63" s="64">
        <v>7.12</v>
      </c>
      <c r="G63" s="64">
        <v>90.09</v>
      </c>
      <c r="H63" s="64">
        <v>45.62</v>
      </c>
      <c r="I63" s="64">
        <v>6.52</v>
      </c>
      <c r="J63" s="64">
        <v>2.74</v>
      </c>
      <c r="K63" s="64">
        <v>111.55</v>
      </c>
      <c r="L63" s="64">
        <v>22.26</v>
      </c>
      <c r="M63" s="64">
        <v>40.549999999999997</v>
      </c>
      <c r="N63" s="64">
        <v>335.9</v>
      </c>
      <c r="O63" s="64">
        <v>0</v>
      </c>
      <c r="P63" s="64">
        <v>0.81</v>
      </c>
      <c r="Q63" s="64">
        <v>10.220000000000001</v>
      </c>
      <c r="R63" s="196"/>
      <c r="S63" s="196"/>
      <c r="T63" s="196"/>
      <c r="U63" s="196"/>
    </row>
    <row r="64" spans="1:21" s="12" customFormat="1" x14ac:dyDescent="0.25">
      <c r="A64" s="211" t="s">
        <v>2222</v>
      </c>
      <c r="B64" s="64">
        <v>1.83</v>
      </c>
      <c r="C64" s="64">
        <v>45.98</v>
      </c>
      <c r="D64" s="64">
        <v>24.11</v>
      </c>
      <c r="E64" s="64">
        <v>6.93</v>
      </c>
      <c r="F64" s="64">
        <v>8.3800000000000008</v>
      </c>
      <c r="G64" s="64">
        <v>90.09</v>
      </c>
      <c r="H64" s="64">
        <v>45.62</v>
      </c>
      <c r="I64" s="64">
        <v>6.5</v>
      </c>
      <c r="J64" s="64">
        <v>2.4300000000000002</v>
      </c>
      <c r="K64" s="64">
        <v>107.78</v>
      </c>
      <c r="L64" s="64">
        <v>21.92</v>
      </c>
      <c r="M64" s="64">
        <v>40.68</v>
      </c>
      <c r="N64" s="64">
        <v>258.5</v>
      </c>
      <c r="O64" s="64">
        <v>0</v>
      </c>
      <c r="P64" s="64">
        <v>0.77</v>
      </c>
      <c r="Q64" s="64">
        <v>10.14</v>
      </c>
      <c r="R64" s="196"/>
      <c r="S64" s="196"/>
      <c r="T64" s="196"/>
      <c r="U64" s="196"/>
    </row>
    <row r="65" spans="1:21" s="12" customFormat="1" x14ac:dyDescent="0.25">
      <c r="A65" s="211" t="s">
        <v>2223</v>
      </c>
      <c r="B65" s="64">
        <v>1.77</v>
      </c>
      <c r="C65" s="64">
        <v>43.88</v>
      </c>
      <c r="D65" s="64">
        <v>22.97</v>
      </c>
      <c r="E65" s="64">
        <v>6.46</v>
      </c>
      <c r="F65" s="64">
        <v>7.55</v>
      </c>
      <c r="G65" s="64">
        <v>90.11</v>
      </c>
      <c r="H65" s="64">
        <v>46.47</v>
      </c>
      <c r="I65" s="64">
        <v>6.45</v>
      </c>
      <c r="J65" s="64">
        <v>1.24</v>
      </c>
      <c r="K65" s="64">
        <v>344.86</v>
      </c>
      <c r="L65" s="64">
        <v>22.97</v>
      </c>
      <c r="M65" s="64">
        <v>39.54</v>
      </c>
      <c r="N65" s="64">
        <v>176.7</v>
      </c>
      <c r="O65" s="64">
        <v>0</v>
      </c>
      <c r="P65" s="64">
        <v>0.77</v>
      </c>
      <c r="Q65" s="64">
        <v>10.1</v>
      </c>
      <c r="R65" s="196"/>
      <c r="S65" s="196"/>
      <c r="T65" s="196"/>
      <c r="U65" s="196"/>
    </row>
    <row r="66" spans="1:21" s="12" customFormat="1" x14ac:dyDescent="0.25">
      <c r="A66" s="211" t="s">
        <v>2224</v>
      </c>
      <c r="B66" s="64">
        <v>2.08</v>
      </c>
      <c r="C66" s="64">
        <v>45.51</v>
      </c>
      <c r="D66" s="64">
        <v>24.07</v>
      </c>
      <c r="E66" s="64">
        <v>6.98</v>
      </c>
      <c r="F66" s="64">
        <v>8.8699999999999992</v>
      </c>
      <c r="G66" s="64">
        <v>90.11</v>
      </c>
      <c r="H66" s="64">
        <v>46.64</v>
      </c>
      <c r="I66" s="64">
        <v>5.96</v>
      </c>
      <c r="J66" s="64">
        <v>2.4900000000000002</v>
      </c>
      <c r="K66" s="64">
        <v>110.44</v>
      </c>
      <c r="L66" s="64">
        <v>22.18</v>
      </c>
      <c r="M66" s="64">
        <v>40.270000000000003</v>
      </c>
      <c r="N66" s="64">
        <v>157.9</v>
      </c>
      <c r="O66" s="64">
        <v>0</v>
      </c>
      <c r="P66" s="64">
        <v>0.77</v>
      </c>
      <c r="Q66" s="64">
        <v>10.210000000000001</v>
      </c>
      <c r="R66" s="196"/>
      <c r="S66" s="196"/>
      <c r="T66" s="196"/>
      <c r="U66" s="196"/>
    </row>
    <row r="67" spans="1:21" s="12" customFormat="1" x14ac:dyDescent="0.25">
      <c r="A67" s="211" t="s">
        <v>2225</v>
      </c>
      <c r="B67" s="64">
        <v>2.16</v>
      </c>
      <c r="C67" s="64">
        <v>46.04</v>
      </c>
      <c r="D67" s="64">
        <v>24.41</v>
      </c>
      <c r="E67" s="64">
        <v>6.46</v>
      </c>
      <c r="F67" s="64">
        <v>6.72</v>
      </c>
      <c r="G67" s="64">
        <v>90.11</v>
      </c>
      <c r="H67" s="64">
        <v>46.64</v>
      </c>
      <c r="I67" s="64">
        <v>4.88</v>
      </c>
      <c r="J67" s="64">
        <v>0.56000000000000005</v>
      </c>
      <c r="K67" s="64">
        <v>19.91</v>
      </c>
      <c r="L67" s="64">
        <v>22.37</v>
      </c>
      <c r="M67" s="64">
        <v>39.69</v>
      </c>
      <c r="N67" s="64">
        <v>153.6</v>
      </c>
      <c r="O67" s="64">
        <v>0</v>
      </c>
      <c r="P67" s="64">
        <v>0.75</v>
      </c>
      <c r="Q67" s="64">
        <v>10.26</v>
      </c>
      <c r="R67" s="196"/>
      <c r="S67" s="196"/>
      <c r="T67" s="196"/>
      <c r="U67" s="196"/>
    </row>
    <row r="68" spans="1:21" s="12" customFormat="1" x14ac:dyDescent="0.25">
      <c r="A68" s="211" t="s">
        <v>2226</v>
      </c>
      <c r="B68" s="64">
        <v>2.5</v>
      </c>
      <c r="C68" s="64">
        <v>45.6</v>
      </c>
      <c r="D68" s="64">
        <v>24.45</v>
      </c>
      <c r="E68" s="64">
        <v>5.86</v>
      </c>
      <c r="F68" s="64">
        <v>5.57</v>
      </c>
      <c r="G68" s="64">
        <v>90.11</v>
      </c>
      <c r="H68" s="64">
        <v>46.64</v>
      </c>
      <c r="I68" s="64">
        <v>4.42</v>
      </c>
      <c r="J68" s="64">
        <v>1.54</v>
      </c>
      <c r="K68" s="64">
        <v>96.53</v>
      </c>
      <c r="L68" s="64">
        <v>22.21</v>
      </c>
      <c r="M68" s="64">
        <v>39.81</v>
      </c>
      <c r="N68" s="64">
        <v>143.69999999999999</v>
      </c>
      <c r="O68" s="64">
        <v>0</v>
      </c>
      <c r="P68" s="64">
        <v>0.73</v>
      </c>
      <c r="Q68" s="64">
        <v>10.25</v>
      </c>
      <c r="R68" s="196"/>
      <c r="S68" s="196"/>
      <c r="T68" s="196"/>
      <c r="U68" s="196"/>
    </row>
    <row r="69" spans="1:21" s="12" customFormat="1" x14ac:dyDescent="0.25">
      <c r="A69" s="211" t="s">
        <v>2227</v>
      </c>
      <c r="B69" s="64">
        <v>2.73</v>
      </c>
      <c r="C69" s="64">
        <v>44.83</v>
      </c>
      <c r="D69" s="64">
        <v>24.24</v>
      </c>
      <c r="E69" s="64">
        <v>6.36</v>
      </c>
      <c r="F69" s="64">
        <v>6.3</v>
      </c>
      <c r="G69" s="64">
        <v>89.76</v>
      </c>
      <c r="H69" s="64">
        <v>45.29</v>
      </c>
      <c r="I69" s="64">
        <v>4.28</v>
      </c>
      <c r="J69" s="64">
        <v>0.9</v>
      </c>
      <c r="K69" s="64">
        <v>31.28</v>
      </c>
      <c r="L69" s="64">
        <v>22.15</v>
      </c>
      <c r="M69" s="64">
        <v>40.46</v>
      </c>
      <c r="N69" s="64">
        <v>119.8</v>
      </c>
      <c r="O69" s="64">
        <v>0</v>
      </c>
      <c r="P69" s="64">
        <v>0.71</v>
      </c>
      <c r="Q69" s="64">
        <v>10.31</v>
      </c>
      <c r="R69" s="196"/>
      <c r="S69" s="196"/>
      <c r="T69" s="196"/>
      <c r="U69" s="196"/>
    </row>
    <row r="70" spans="1:21" s="12" customFormat="1" x14ac:dyDescent="0.25">
      <c r="A70" s="211" t="s">
        <v>2228</v>
      </c>
      <c r="B70" s="64">
        <v>2.73</v>
      </c>
      <c r="C70" s="64">
        <v>44.86</v>
      </c>
      <c r="D70" s="64">
        <v>24.66</v>
      </c>
      <c r="E70" s="64">
        <v>6.41</v>
      </c>
      <c r="F70" s="64">
        <v>6.15</v>
      </c>
      <c r="G70" s="64">
        <v>89.54</v>
      </c>
      <c r="H70" s="64">
        <v>45</v>
      </c>
      <c r="I70" s="64">
        <v>4.78</v>
      </c>
      <c r="J70" s="64">
        <v>0.69</v>
      </c>
      <c r="K70" s="64">
        <v>70.760000000000005</v>
      </c>
      <c r="L70" s="64">
        <v>21.97</v>
      </c>
      <c r="M70" s="64">
        <v>40.33</v>
      </c>
      <c r="N70" s="64">
        <v>100.9</v>
      </c>
      <c r="O70" s="64">
        <v>0</v>
      </c>
      <c r="P70" s="64">
        <v>0.81</v>
      </c>
      <c r="Q70" s="64">
        <v>10.35</v>
      </c>
      <c r="R70" s="196"/>
      <c r="S70" s="196"/>
      <c r="T70" s="196"/>
      <c r="U70" s="196"/>
    </row>
    <row r="71" spans="1:21" s="12" customFormat="1" x14ac:dyDescent="0.25">
      <c r="A71" s="211" t="s">
        <v>2229</v>
      </c>
      <c r="B71" s="64">
        <v>2.93</v>
      </c>
      <c r="C71" s="64">
        <v>44.61</v>
      </c>
      <c r="D71" s="64">
        <v>24.28</v>
      </c>
      <c r="E71" s="64">
        <v>6.6</v>
      </c>
      <c r="F71" s="64">
        <v>5.95</v>
      </c>
      <c r="G71" s="64">
        <v>89.54</v>
      </c>
      <c r="H71" s="64">
        <v>45</v>
      </c>
      <c r="I71" s="64">
        <v>4.9400000000000004</v>
      </c>
      <c r="J71" s="64">
        <v>1.04</v>
      </c>
      <c r="K71" s="64">
        <v>27.18</v>
      </c>
      <c r="L71" s="64">
        <v>22.04</v>
      </c>
      <c r="M71" s="64">
        <v>39.93</v>
      </c>
      <c r="N71" s="64">
        <v>93.9</v>
      </c>
      <c r="O71" s="64">
        <v>0</v>
      </c>
      <c r="P71" s="64">
        <v>0.75</v>
      </c>
      <c r="Q71" s="64">
        <v>10.42</v>
      </c>
      <c r="R71" s="196"/>
      <c r="S71" s="196"/>
      <c r="T71" s="196"/>
      <c r="U71" s="196"/>
    </row>
    <row r="72" spans="1:21" s="12" customFormat="1" x14ac:dyDescent="0.25">
      <c r="A72" s="211" t="s">
        <v>2230</v>
      </c>
      <c r="B72" s="64">
        <v>2.78</v>
      </c>
      <c r="C72" s="64">
        <v>47.68</v>
      </c>
      <c r="D72" s="64">
        <v>25.76</v>
      </c>
      <c r="E72" s="64">
        <v>7.56</v>
      </c>
      <c r="F72" s="64">
        <v>6.84</v>
      </c>
      <c r="G72" s="64">
        <v>89.54</v>
      </c>
      <c r="H72" s="64">
        <v>45</v>
      </c>
      <c r="I72" s="64">
        <v>4.6500000000000004</v>
      </c>
      <c r="J72" s="64">
        <v>1.56</v>
      </c>
      <c r="K72" s="64">
        <v>101.8</v>
      </c>
      <c r="L72" s="64">
        <v>21.56</v>
      </c>
      <c r="M72" s="64">
        <v>40.93</v>
      </c>
      <c r="N72" s="64">
        <v>83.8</v>
      </c>
      <c r="O72" s="64">
        <v>0</v>
      </c>
      <c r="P72" s="64">
        <v>0.76</v>
      </c>
      <c r="Q72" s="64">
        <v>10.53</v>
      </c>
      <c r="R72" s="196"/>
      <c r="S72" s="196"/>
      <c r="T72" s="196"/>
      <c r="U72" s="196"/>
    </row>
    <row r="73" spans="1:21" s="12" customFormat="1" x14ac:dyDescent="0.25">
      <c r="A73" s="211" t="s">
        <v>2231</v>
      </c>
      <c r="B73" s="64">
        <v>2.39</v>
      </c>
      <c r="C73" s="64">
        <v>47.88</v>
      </c>
      <c r="D73" s="64">
        <v>25.55</v>
      </c>
      <c r="E73" s="64">
        <v>7.08</v>
      </c>
      <c r="F73" s="64">
        <v>6.5</v>
      </c>
      <c r="G73" s="64">
        <v>88.13</v>
      </c>
      <c r="H73" s="64">
        <v>47.23</v>
      </c>
      <c r="I73" s="64">
        <v>5.13</v>
      </c>
      <c r="J73" s="64">
        <v>3.05</v>
      </c>
      <c r="K73" s="64">
        <v>344.07</v>
      </c>
      <c r="L73" s="64">
        <v>21.54</v>
      </c>
      <c r="M73" s="64">
        <v>43.22</v>
      </c>
      <c r="N73" s="64">
        <v>72.7</v>
      </c>
      <c r="O73" s="64">
        <v>0</v>
      </c>
      <c r="P73" s="64">
        <v>0.77</v>
      </c>
      <c r="Q73" s="64">
        <v>10.53</v>
      </c>
      <c r="R73" s="196"/>
      <c r="S73" s="196"/>
      <c r="T73" s="196"/>
      <c r="U73" s="196"/>
    </row>
    <row r="74" spans="1:21" s="12" customFormat="1" x14ac:dyDescent="0.25">
      <c r="A74" s="211" t="s">
        <v>2232</v>
      </c>
      <c r="B74" s="64">
        <v>2.5</v>
      </c>
      <c r="C74" s="64">
        <v>50.56</v>
      </c>
      <c r="D74" s="64">
        <v>27.04</v>
      </c>
      <c r="E74" s="64">
        <v>7.54</v>
      </c>
      <c r="F74" s="64">
        <v>6.52</v>
      </c>
      <c r="G74" s="64">
        <v>87.28</v>
      </c>
      <c r="H74" s="64">
        <v>48.04</v>
      </c>
      <c r="I74" s="64">
        <v>5.91</v>
      </c>
      <c r="J74" s="64">
        <v>2.92</v>
      </c>
      <c r="K74" s="64">
        <v>341.78</v>
      </c>
      <c r="L74" s="64">
        <v>21.49</v>
      </c>
      <c r="M74" s="64">
        <v>41.91</v>
      </c>
      <c r="N74" s="64">
        <v>63.1</v>
      </c>
      <c r="O74" s="64">
        <v>0</v>
      </c>
      <c r="P74" s="64">
        <v>0.81</v>
      </c>
      <c r="Q74" s="64">
        <v>10.57</v>
      </c>
      <c r="R74" s="196"/>
      <c r="S74" s="196"/>
      <c r="T74" s="196"/>
      <c r="U74" s="196"/>
    </row>
    <row r="75" spans="1:21" s="12" customFormat="1" x14ac:dyDescent="0.25">
      <c r="A75" s="211" t="s">
        <v>2233</v>
      </c>
      <c r="B75" s="64">
        <v>2.97</v>
      </c>
      <c r="C75" s="64">
        <v>52.45</v>
      </c>
      <c r="D75" s="64">
        <v>28.41</v>
      </c>
      <c r="E75" s="64">
        <v>6.97</v>
      </c>
      <c r="F75" s="64">
        <v>5.65</v>
      </c>
      <c r="G75" s="64">
        <v>87.28</v>
      </c>
      <c r="H75" s="64">
        <v>48.04</v>
      </c>
      <c r="I75" s="64">
        <v>5.82</v>
      </c>
      <c r="J75" s="64">
        <v>2.77</v>
      </c>
      <c r="K75" s="64">
        <v>346.22</v>
      </c>
      <c r="L75" s="64">
        <v>21.2</v>
      </c>
      <c r="M75" s="64">
        <v>42.89</v>
      </c>
      <c r="N75" s="64">
        <v>54.1</v>
      </c>
      <c r="O75" s="64">
        <v>0</v>
      </c>
      <c r="P75" s="64">
        <v>0.84</v>
      </c>
      <c r="Q75" s="64">
        <v>10.6</v>
      </c>
      <c r="R75" s="196"/>
      <c r="S75" s="196"/>
      <c r="T75" s="196"/>
      <c r="U75" s="196"/>
    </row>
    <row r="76" spans="1:21" s="12" customFormat="1" x14ac:dyDescent="0.25">
      <c r="A76" s="211" t="s">
        <v>2234</v>
      </c>
      <c r="B76" s="64">
        <v>3.6</v>
      </c>
      <c r="C76" s="64">
        <v>52.92</v>
      </c>
      <c r="D76" s="64">
        <v>29.16</v>
      </c>
      <c r="E76" s="64">
        <v>6.92</v>
      </c>
      <c r="F76" s="64">
        <v>5.15</v>
      </c>
      <c r="G76" s="64">
        <v>87.28</v>
      </c>
      <c r="H76" s="64">
        <v>48.04</v>
      </c>
      <c r="I76" s="64">
        <v>5.9</v>
      </c>
      <c r="J76" s="64">
        <v>2.69</v>
      </c>
      <c r="K76" s="64">
        <v>347.15</v>
      </c>
      <c r="L76" s="64">
        <v>20.73</v>
      </c>
      <c r="M76" s="64">
        <v>44.42</v>
      </c>
      <c r="N76" s="64">
        <v>45.7</v>
      </c>
      <c r="O76" s="64">
        <v>0</v>
      </c>
      <c r="P76" s="64">
        <v>0.86</v>
      </c>
      <c r="Q76" s="64">
        <v>10.61</v>
      </c>
      <c r="R76" s="196"/>
      <c r="S76" s="196"/>
      <c r="T76" s="196"/>
      <c r="U76" s="196"/>
    </row>
    <row r="77" spans="1:21" s="12" customFormat="1" x14ac:dyDescent="0.25">
      <c r="A77" s="211" t="s">
        <v>2235</v>
      </c>
      <c r="B77" s="64">
        <v>4.1399999999999997</v>
      </c>
      <c r="C77" s="64">
        <v>54.37</v>
      </c>
      <c r="D77" s="64">
        <v>30.35</v>
      </c>
      <c r="E77" s="64">
        <v>7.27</v>
      </c>
      <c r="F77" s="64">
        <v>4.74</v>
      </c>
      <c r="G77" s="64">
        <v>84.8</v>
      </c>
      <c r="H77" s="64">
        <v>45.25</v>
      </c>
      <c r="I77" s="64">
        <v>6.07</v>
      </c>
      <c r="J77" s="64">
        <v>2.8</v>
      </c>
      <c r="K77" s="64">
        <v>345.96</v>
      </c>
      <c r="L77" s="64">
        <v>20.18</v>
      </c>
      <c r="M77" s="64">
        <v>46.29</v>
      </c>
      <c r="N77" s="64">
        <v>38.700000000000003</v>
      </c>
      <c r="O77" s="64">
        <v>0</v>
      </c>
      <c r="P77" s="64">
        <v>0.93</v>
      </c>
      <c r="Q77" s="64">
        <v>10.63</v>
      </c>
      <c r="R77" s="196"/>
      <c r="S77" s="196"/>
      <c r="T77" s="196"/>
      <c r="U77" s="196"/>
    </row>
    <row r="78" spans="1:21" s="12" customFormat="1" x14ac:dyDescent="0.25">
      <c r="A78" s="211" t="s">
        <v>2236</v>
      </c>
      <c r="B78" s="64">
        <v>5.17</v>
      </c>
      <c r="C78" s="64">
        <v>56.82</v>
      </c>
      <c r="D78" s="64">
        <v>32.450000000000003</v>
      </c>
      <c r="E78" s="64">
        <v>7</v>
      </c>
      <c r="F78" s="64">
        <v>4.75</v>
      </c>
      <c r="G78" s="64">
        <v>83.29</v>
      </c>
      <c r="H78" s="64">
        <v>44.64</v>
      </c>
      <c r="I78" s="64">
        <v>6.16</v>
      </c>
      <c r="J78" s="64">
        <v>2.76</v>
      </c>
      <c r="K78" s="64">
        <v>345.52</v>
      </c>
      <c r="L78" s="64">
        <v>19.75</v>
      </c>
      <c r="M78" s="64">
        <v>47.41</v>
      </c>
      <c r="N78" s="64">
        <v>34.799999999999997</v>
      </c>
      <c r="O78" s="64">
        <v>0</v>
      </c>
      <c r="P78" s="64">
        <v>0.94</v>
      </c>
      <c r="Q78" s="64">
        <v>10.66</v>
      </c>
      <c r="R78" s="196"/>
      <c r="S78" s="196"/>
      <c r="T78" s="196"/>
      <c r="U78" s="196"/>
    </row>
    <row r="79" spans="1:21" s="12" customFormat="1" x14ac:dyDescent="0.25">
      <c r="A79" s="211" t="s">
        <v>2237</v>
      </c>
      <c r="B79" s="64">
        <v>5.54</v>
      </c>
      <c r="C79" s="64">
        <v>59.92</v>
      </c>
      <c r="D79" s="64">
        <v>34.369999999999997</v>
      </c>
      <c r="E79" s="64">
        <v>7.48</v>
      </c>
      <c r="F79" s="64">
        <v>4.5999999999999996</v>
      </c>
      <c r="G79" s="64">
        <v>83.29</v>
      </c>
      <c r="H79" s="64">
        <v>44.64</v>
      </c>
      <c r="I79" s="64">
        <v>6.29</v>
      </c>
      <c r="J79" s="64">
        <v>2.79</v>
      </c>
      <c r="K79" s="64">
        <v>343.89</v>
      </c>
      <c r="L79" s="64">
        <v>19.39</v>
      </c>
      <c r="M79" s="64">
        <v>48.19</v>
      </c>
      <c r="N79" s="64">
        <v>33.6</v>
      </c>
      <c r="O79" s="64">
        <v>0</v>
      </c>
      <c r="P79" s="64">
        <v>1</v>
      </c>
      <c r="Q79" s="64">
        <v>10.67</v>
      </c>
      <c r="R79" s="196"/>
      <c r="S79" s="196"/>
      <c r="T79" s="196"/>
      <c r="U79" s="196"/>
    </row>
    <row r="80" spans="1:21" s="12" customFormat="1" x14ac:dyDescent="0.25">
      <c r="A80" s="211" t="s">
        <v>2238</v>
      </c>
      <c r="B80" s="64">
        <v>6.1</v>
      </c>
      <c r="C80" s="64">
        <v>61.1</v>
      </c>
      <c r="D80" s="64">
        <v>35.44</v>
      </c>
      <c r="E80" s="64">
        <v>7.37</v>
      </c>
      <c r="F80" s="64">
        <v>4.47</v>
      </c>
      <c r="G80" s="64">
        <v>83.29</v>
      </c>
      <c r="H80" s="64">
        <v>44.64</v>
      </c>
      <c r="I80" s="64">
        <v>6.4</v>
      </c>
      <c r="J80" s="64">
        <v>1.72</v>
      </c>
      <c r="K80" s="64">
        <v>57.04</v>
      </c>
      <c r="L80" s="64">
        <v>19.010000000000002</v>
      </c>
      <c r="M80" s="64">
        <v>50.3</v>
      </c>
      <c r="N80" s="64">
        <v>33.9</v>
      </c>
      <c r="O80" s="64">
        <v>0</v>
      </c>
      <c r="P80" s="64">
        <v>1.05</v>
      </c>
      <c r="Q80" s="64">
        <v>10.65</v>
      </c>
      <c r="R80" s="196"/>
      <c r="S80" s="196"/>
      <c r="T80" s="196"/>
      <c r="U80" s="196"/>
    </row>
    <row r="81" spans="1:26" s="12" customFormat="1" x14ac:dyDescent="0.25">
      <c r="A81" s="211" t="s">
        <v>2239</v>
      </c>
      <c r="B81" s="64">
        <v>6.04</v>
      </c>
      <c r="C81" s="64">
        <v>59.43</v>
      </c>
      <c r="D81" s="64">
        <v>34.51</v>
      </c>
      <c r="E81" s="64">
        <v>7.08</v>
      </c>
      <c r="F81" s="64">
        <v>4.1399999999999997</v>
      </c>
      <c r="G81" s="64">
        <v>94.54</v>
      </c>
      <c r="H81" s="64">
        <v>50.55</v>
      </c>
      <c r="I81" s="64">
        <v>6.55</v>
      </c>
      <c r="J81" s="64">
        <v>1.99</v>
      </c>
      <c r="K81" s="64">
        <v>61.52</v>
      </c>
      <c r="L81" s="64">
        <v>18.559999999999999</v>
      </c>
      <c r="M81" s="64">
        <v>52.86</v>
      </c>
      <c r="N81" s="64">
        <v>33.6</v>
      </c>
      <c r="O81" s="64">
        <v>0</v>
      </c>
      <c r="P81" s="64">
        <v>1.27</v>
      </c>
      <c r="Q81" s="64">
        <v>10.44</v>
      </c>
      <c r="R81" s="196"/>
      <c r="S81" s="196"/>
      <c r="T81" s="196"/>
      <c r="U81" s="196"/>
    </row>
    <row r="82" spans="1:26" s="12" customFormat="1" x14ac:dyDescent="0.25">
      <c r="A82" s="211" t="s">
        <v>2240</v>
      </c>
      <c r="B82" s="64">
        <v>6.22</v>
      </c>
      <c r="C82" s="64">
        <v>58.87</v>
      </c>
      <c r="D82" s="64">
        <v>34.369999999999997</v>
      </c>
      <c r="E82" s="64">
        <v>6.99</v>
      </c>
      <c r="F82" s="64">
        <v>3.98</v>
      </c>
      <c r="G82" s="64">
        <v>101.37</v>
      </c>
      <c r="H82" s="64">
        <v>51.84</v>
      </c>
      <c r="I82" s="64">
        <v>6.32</v>
      </c>
      <c r="J82" s="64">
        <v>2.16</v>
      </c>
      <c r="K82" s="64">
        <v>66.59</v>
      </c>
      <c r="L82" s="64">
        <v>18.350000000000001</v>
      </c>
      <c r="M82" s="64">
        <v>53.36</v>
      </c>
      <c r="N82" s="64">
        <v>33.5</v>
      </c>
      <c r="O82" s="64">
        <v>0</v>
      </c>
      <c r="P82" s="64">
        <v>1.25</v>
      </c>
      <c r="Q82" s="64">
        <v>10.33</v>
      </c>
      <c r="R82" s="196"/>
      <c r="S82" s="196"/>
      <c r="T82" s="196"/>
      <c r="U82" s="196"/>
    </row>
    <row r="83" spans="1:26" s="12" customFormat="1" x14ac:dyDescent="0.25">
      <c r="A83" s="211" t="s">
        <v>2241</v>
      </c>
      <c r="B83" s="64">
        <v>6.65</v>
      </c>
      <c r="C83" s="64">
        <v>58.56</v>
      </c>
      <c r="D83" s="64">
        <v>34.549999999999997</v>
      </c>
      <c r="E83" s="64">
        <v>6.87</v>
      </c>
      <c r="F83" s="64">
        <v>3.88</v>
      </c>
      <c r="G83" s="64">
        <v>101.37</v>
      </c>
      <c r="H83" s="64">
        <v>51.84</v>
      </c>
      <c r="I83" s="64">
        <v>6.43</v>
      </c>
      <c r="J83" s="64">
        <v>1.4</v>
      </c>
      <c r="K83" s="64">
        <v>14.35</v>
      </c>
      <c r="L83" s="64">
        <v>18.13</v>
      </c>
      <c r="M83" s="64">
        <v>55.5</v>
      </c>
      <c r="N83" s="64">
        <v>33.6</v>
      </c>
      <c r="O83" s="64">
        <v>0</v>
      </c>
      <c r="P83" s="64">
        <v>1.45</v>
      </c>
      <c r="Q83" s="64">
        <v>10.31</v>
      </c>
      <c r="R83" s="196"/>
      <c r="S83" s="196"/>
      <c r="T83" s="196"/>
      <c r="U83" s="196"/>
    </row>
    <row r="84" spans="1:26" s="12" customFormat="1" x14ac:dyDescent="0.25">
      <c r="A84" s="211" t="s">
        <v>2242</v>
      </c>
      <c r="B84" s="64">
        <v>7.44</v>
      </c>
      <c r="C84" s="64">
        <v>58.12</v>
      </c>
      <c r="D84" s="64">
        <v>34.96</v>
      </c>
      <c r="E84" s="64">
        <v>6.97</v>
      </c>
      <c r="F84" s="64">
        <v>3.78</v>
      </c>
      <c r="G84" s="64">
        <v>101.37</v>
      </c>
      <c r="H84" s="64">
        <v>51.84</v>
      </c>
      <c r="I84" s="64">
        <v>6.49</v>
      </c>
      <c r="J84" s="64">
        <v>1.48</v>
      </c>
      <c r="K84" s="64">
        <v>67.430000000000007</v>
      </c>
      <c r="L84" s="64">
        <v>17.829999999999998</v>
      </c>
      <c r="M84" s="64">
        <v>55.91</v>
      </c>
      <c r="N84" s="64">
        <v>33.5</v>
      </c>
      <c r="O84" s="64">
        <v>0</v>
      </c>
      <c r="P84" s="64">
        <v>1.33</v>
      </c>
      <c r="Q84" s="64">
        <v>10.46</v>
      </c>
      <c r="R84" s="196"/>
      <c r="S84" s="196"/>
      <c r="T84" s="196"/>
      <c r="U84" s="196"/>
    </row>
    <row r="85" spans="1:26" s="12" customFormat="1" x14ac:dyDescent="0.25">
      <c r="A85" s="211" t="s">
        <v>2243</v>
      </c>
      <c r="B85" s="64">
        <v>7.67</v>
      </c>
      <c r="C85" s="64">
        <v>56.95</v>
      </c>
      <c r="D85" s="64">
        <v>34.53</v>
      </c>
      <c r="E85" s="64">
        <v>6.66</v>
      </c>
      <c r="F85" s="64">
        <v>4.0599999999999996</v>
      </c>
      <c r="G85" s="64">
        <v>113.27</v>
      </c>
      <c r="H85" s="64">
        <v>61.37</v>
      </c>
      <c r="I85" s="64">
        <v>6.73</v>
      </c>
      <c r="J85" s="64">
        <v>1.21</v>
      </c>
      <c r="K85" s="64">
        <v>40.659999999999997</v>
      </c>
      <c r="L85" s="64">
        <v>17.59</v>
      </c>
      <c r="M85" s="64">
        <v>56.14</v>
      </c>
      <c r="N85" s="64">
        <v>33.299999999999997</v>
      </c>
      <c r="O85" s="64">
        <v>0</v>
      </c>
      <c r="P85" s="64">
        <v>1.1399999999999999</v>
      </c>
      <c r="Q85" s="64">
        <v>10.47</v>
      </c>
      <c r="R85" s="196"/>
      <c r="S85" s="196"/>
      <c r="T85" s="196"/>
      <c r="U85" s="196"/>
    </row>
    <row r="86" spans="1:26" s="12" customFormat="1" x14ac:dyDescent="0.25">
      <c r="A86" s="211" t="s">
        <v>2244</v>
      </c>
      <c r="B86" s="64">
        <v>7.38</v>
      </c>
      <c r="C86" s="64">
        <v>55.43</v>
      </c>
      <c r="D86" s="64">
        <v>33.51</v>
      </c>
      <c r="E86" s="64">
        <v>6.62</v>
      </c>
      <c r="F86" s="64">
        <v>4.0199999999999996</v>
      </c>
      <c r="G86" s="64">
        <v>120.84</v>
      </c>
      <c r="H86" s="64">
        <v>63.45</v>
      </c>
      <c r="I86" s="64">
        <v>6.28</v>
      </c>
      <c r="J86" s="64">
        <v>1.1000000000000001</v>
      </c>
      <c r="K86" s="64">
        <v>184.03</v>
      </c>
      <c r="L86" s="64">
        <v>17.46</v>
      </c>
      <c r="M86" s="64">
        <v>57.09</v>
      </c>
      <c r="N86" s="64">
        <v>33.1</v>
      </c>
      <c r="O86" s="64">
        <v>0</v>
      </c>
      <c r="P86" s="64">
        <v>1.2</v>
      </c>
      <c r="Q86" s="64">
        <v>10.52</v>
      </c>
      <c r="R86" s="196"/>
      <c r="S86" s="196"/>
      <c r="T86" s="196"/>
      <c r="U86" s="196"/>
    </row>
    <row r="87" spans="1:26" s="12" customFormat="1" x14ac:dyDescent="0.25">
      <c r="A87" s="211" t="s">
        <v>2245</v>
      </c>
      <c r="B87" s="64">
        <v>7.08</v>
      </c>
      <c r="C87" s="64">
        <v>54.21</v>
      </c>
      <c r="D87" s="64">
        <v>32.619999999999997</v>
      </c>
      <c r="E87" s="64">
        <v>6.51</v>
      </c>
      <c r="F87" s="64">
        <v>4</v>
      </c>
      <c r="G87" s="64">
        <v>120.84</v>
      </c>
      <c r="H87" s="64">
        <v>63.45</v>
      </c>
      <c r="I87" s="64">
        <v>6.23</v>
      </c>
      <c r="J87" s="64">
        <v>1.78</v>
      </c>
      <c r="K87" s="64">
        <v>271.95999999999998</v>
      </c>
      <c r="L87" s="64">
        <v>17.23</v>
      </c>
      <c r="M87" s="64">
        <v>61.13</v>
      </c>
      <c r="N87" s="64">
        <v>33.299999999999997</v>
      </c>
      <c r="O87" s="64">
        <v>0</v>
      </c>
      <c r="P87" s="64">
        <v>1.26</v>
      </c>
      <c r="Q87" s="64">
        <v>10.53</v>
      </c>
      <c r="R87" s="196"/>
      <c r="S87" s="196"/>
      <c r="T87" s="196"/>
      <c r="U87" s="196"/>
    </row>
    <row r="88" spans="1:26" s="12" customFormat="1" x14ac:dyDescent="0.25">
      <c r="A88" s="211" t="s">
        <v>2246</v>
      </c>
      <c r="B88" s="64">
        <v>7.65</v>
      </c>
      <c r="C88" s="64">
        <v>54.4</v>
      </c>
      <c r="D88" s="64">
        <v>33.18</v>
      </c>
      <c r="E88" s="64">
        <v>5.8</v>
      </c>
      <c r="F88" s="64">
        <v>3.89</v>
      </c>
      <c r="G88" s="64">
        <v>120.84</v>
      </c>
      <c r="H88" s="64">
        <v>63.45</v>
      </c>
      <c r="I88" s="64">
        <v>6.39</v>
      </c>
      <c r="J88" s="64">
        <v>0.63</v>
      </c>
      <c r="K88" s="64">
        <v>235.24</v>
      </c>
      <c r="L88" s="64">
        <v>16.61</v>
      </c>
      <c r="M88" s="64">
        <v>65.34</v>
      </c>
      <c r="N88" s="64">
        <v>33.299999999999997</v>
      </c>
      <c r="O88" s="64">
        <v>0</v>
      </c>
      <c r="P88" s="64">
        <v>1.26</v>
      </c>
      <c r="Q88" s="64">
        <v>10.56</v>
      </c>
      <c r="R88" s="196"/>
      <c r="S88" s="196"/>
      <c r="T88" s="196"/>
      <c r="U88" s="196"/>
    </row>
    <row r="89" spans="1:26" s="12" customFormat="1" x14ac:dyDescent="0.25">
      <c r="A89" s="211" t="s">
        <v>2247</v>
      </c>
      <c r="B89" s="64">
        <v>9.33</v>
      </c>
      <c r="C89" s="64">
        <v>55.55</v>
      </c>
      <c r="D89" s="64">
        <v>35.130000000000003</v>
      </c>
      <c r="E89" s="64">
        <v>6.64</v>
      </c>
      <c r="F89" s="64">
        <v>3.74</v>
      </c>
      <c r="G89" s="64">
        <v>120.98</v>
      </c>
      <c r="H89" s="64">
        <v>64.16</v>
      </c>
      <c r="I89" s="64">
        <v>6.86</v>
      </c>
      <c r="J89" s="64">
        <v>1.75</v>
      </c>
      <c r="K89" s="64">
        <v>332.34</v>
      </c>
      <c r="L89" s="64">
        <v>16.53</v>
      </c>
      <c r="M89" s="64">
        <v>66.989999999999995</v>
      </c>
      <c r="N89" s="64">
        <v>33.200000000000003</v>
      </c>
      <c r="O89" s="64">
        <v>0</v>
      </c>
      <c r="P89" s="64">
        <v>1.22</v>
      </c>
      <c r="Q89" s="64">
        <v>10.65</v>
      </c>
      <c r="R89" s="196"/>
      <c r="S89" s="196"/>
      <c r="T89" s="196"/>
      <c r="U89" s="196"/>
    </row>
    <row r="90" spans="1:26" s="12" customFormat="1" x14ac:dyDescent="0.25">
      <c r="A90" s="211" t="s">
        <v>2248</v>
      </c>
      <c r="B90" s="64">
        <v>11.95</v>
      </c>
      <c r="C90" s="64">
        <v>56.51</v>
      </c>
      <c r="D90" s="64">
        <v>37.74</v>
      </c>
      <c r="E90" s="64">
        <v>7.3</v>
      </c>
      <c r="F90" s="64">
        <v>4.18</v>
      </c>
      <c r="G90" s="64">
        <v>121.07</v>
      </c>
      <c r="H90" s="64">
        <v>64.44</v>
      </c>
      <c r="I90" s="64">
        <v>7.6</v>
      </c>
      <c r="J90" s="64">
        <v>1.39</v>
      </c>
      <c r="K90" s="64">
        <v>275.12</v>
      </c>
      <c r="L90" s="64">
        <v>16.2</v>
      </c>
      <c r="M90" s="64">
        <v>67</v>
      </c>
      <c r="N90" s="64">
        <v>33.200000000000003</v>
      </c>
      <c r="O90" s="64">
        <v>0</v>
      </c>
      <c r="P90" s="64">
        <v>1.35</v>
      </c>
      <c r="Q90" s="64">
        <v>10.68</v>
      </c>
      <c r="R90" s="196"/>
      <c r="S90" s="196"/>
      <c r="T90" s="196"/>
      <c r="U90" s="196"/>
    </row>
    <row r="91" spans="1:26" s="12" customFormat="1" x14ac:dyDescent="0.25">
      <c r="A91" s="211" t="s">
        <v>2249</v>
      </c>
      <c r="B91" s="64">
        <v>13.64</v>
      </c>
      <c r="C91" s="64">
        <v>57.71</v>
      </c>
      <c r="D91" s="64">
        <v>39.71</v>
      </c>
      <c r="E91" s="64">
        <v>7.71</v>
      </c>
      <c r="F91" s="64">
        <v>4.2699999999999996</v>
      </c>
      <c r="G91" s="64">
        <v>121.07</v>
      </c>
      <c r="H91" s="64">
        <v>64.44</v>
      </c>
      <c r="I91" s="64">
        <v>7.9</v>
      </c>
      <c r="J91" s="64">
        <v>0.09</v>
      </c>
      <c r="K91" s="64">
        <v>77.73</v>
      </c>
      <c r="L91" s="64">
        <v>16.63</v>
      </c>
      <c r="M91" s="64">
        <v>63.63</v>
      </c>
      <c r="N91" s="64">
        <v>32.6</v>
      </c>
      <c r="O91" s="64">
        <v>0</v>
      </c>
      <c r="P91" s="64">
        <v>1.36</v>
      </c>
      <c r="Q91" s="64">
        <v>10.7</v>
      </c>
      <c r="R91" s="196"/>
      <c r="S91" s="196"/>
      <c r="T91" s="196"/>
      <c r="U91" s="196"/>
    </row>
    <row r="92" spans="1:26" s="12" customFormat="1" x14ac:dyDescent="0.25">
      <c r="A92" s="211" t="s">
        <v>2250</v>
      </c>
      <c r="B92" s="64">
        <v>17.45</v>
      </c>
      <c r="C92" s="64">
        <v>59.4</v>
      </c>
      <c r="D92" s="64">
        <v>43.65</v>
      </c>
      <c r="E92" s="64">
        <v>7.47</v>
      </c>
      <c r="F92" s="64">
        <v>4.16</v>
      </c>
      <c r="G92" s="64">
        <v>121.07</v>
      </c>
      <c r="H92" s="64">
        <v>64.44</v>
      </c>
      <c r="I92" s="64">
        <v>8.07</v>
      </c>
      <c r="J92" s="64">
        <v>1.55</v>
      </c>
      <c r="K92" s="64">
        <v>282.91000000000003</v>
      </c>
      <c r="L92" s="64">
        <v>16.32</v>
      </c>
      <c r="M92" s="64">
        <v>67.37</v>
      </c>
      <c r="N92" s="64">
        <v>33.299999999999997</v>
      </c>
      <c r="O92" s="64">
        <v>0</v>
      </c>
      <c r="P92" s="64">
        <v>1.45</v>
      </c>
      <c r="Q92" s="64">
        <v>10.8</v>
      </c>
      <c r="R92" s="196"/>
      <c r="S92" s="196"/>
      <c r="T92" s="196"/>
      <c r="U92" s="196"/>
    </row>
    <row r="93" spans="1:26" s="12" customFormat="1" x14ac:dyDescent="0.25">
      <c r="A93" s="211" t="s">
        <v>2251</v>
      </c>
      <c r="B93" s="64">
        <v>21.79</v>
      </c>
      <c r="C93" s="64">
        <v>61.19</v>
      </c>
      <c r="D93" s="64">
        <v>48.06</v>
      </c>
      <c r="E93" s="64">
        <v>7.88</v>
      </c>
      <c r="F93" s="64">
        <v>4.2300000000000004</v>
      </c>
      <c r="G93" s="64">
        <v>128.11000000000001</v>
      </c>
      <c r="H93" s="64">
        <v>66.989999999999995</v>
      </c>
      <c r="I93" s="64">
        <v>8.1300000000000008</v>
      </c>
      <c r="J93" s="64">
        <v>2.12</v>
      </c>
      <c r="K93" s="64">
        <v>289.97000000000003</v>
      </c>
      <c r="L93" s="64">
        <v>16.149999999999999</v>
      </c>
      <c r="M93" s="64">
        <v>67.459999999999994</v>
      </c>
      <c r="N93" s="64">
        <v>33.200000000000003</v>
      </c>
      <c r="O93" s="64">
        <v>0</v>
      </c>
      <c r="P93" s="64">
        <v>1.51</v>
      </c>
      <c r="Q93" s="64">
        <v>10.84</v>
      </c>
      <c r="R93" s="196"/>
      <c r="S93" s="196"/>
      <c r="T93" s="196"/>
      <c r="U93" s="196"/>
    </row>
    <row r="94" spans="1:26" s="12" customFormat="1" x14ac:dyDescent="0.25">
      <c r="A94" s="211" t="s">
        <v>2252</v>
      </c>
      <c r="B94" s="64">
        <v>27.89</v>
      </c>
      <c r="C94" s="64">
        <v>62.26</v>
      </c>
      <c r="D94" s="64">
        <v>53.52</v>
      </c>
      <c r="E94" s="64">
        <v>8.02</v>
      </c>
      <c r="F94" s="64">
        <v>4.18</v>
      </c>
      <c r="G94" s="64">
        <v>132.38999999999999</v>
      </c>
      <c r="H94" s="64">
        <v>67.55</v>
      </c>
      <c r="I94" s="64">
        <v>7.8</v>
      </c>
      <c r="J94" s="64">
        <v>1.61</v>
      </c>
      <c r="K94" s="64">
        <v>346.31</v>
      </c>
      <c r="L94" s="64">
        <v>16.079999999999998</v>
      </c>
      <c r="M94" s="64">
        <v>66.63</v>
      </c>
      <c r="N94" s="64">
        <v>33.299999999999997</v>
      </c>
      <c r="O94" s="64">
        <v>0</v>
      </c>
      <c r="P94" s="64">
        <v>1.58</v>
      </c>
      <c r="Q94" s="64">
        <v>10.98</v>
      </c>
      <c r="R94" s="196"/>
      <c r="S94" s="196"/>
      <c r="T94" s="196"/>
      <c r="U94" s="196"/>
    </row>
    <row r="95" spans="1:26" s="12" customFormat="1" x14ac:dyDescent="0.25">
      <c r="A95" s="211" t="s">
        <v>2253</v>
      </c>
      <c r="B95" s="64">
        <v>33.090000000000003</v>
      </c>
      <c r="C95" s="64">
        <v>63.89</v>
      </c>
      <c r="D95" s="64">
        <v>58.54</v>
      </c>
      <c r="E95" s="64">
        <v>8.06</v>
      </c>
      <c r="F95" s="64">
        <v>4.05</v>
      </c>
      <c r="G95" s="64">
        <v>132.38999999999999</v>
      </c>
      <c r="H95" s="64">
        <v>67.55</v>
      </c>
      <c r="I95" s="64">
        <v>7.73</v>
      </c>
      <c r="J95" s="64">
        <v>2.37</v>
      </c>
      <c r="K95" s="64">
        <v>262.33999999999997</v>
      </c>
      <c r="L95" s="64">
        <v>15.71</v>
      </c>
      <c r="M95" s="64">
        <v>68.95</v>
      </c>
      <c r="N95" s="64">
        <v>33.5</v>
      </c>
      <c r="O95" s="64">
        <v>0</v>
      </c>
      <c r="P95" s="64">
        <v>1.63</v>
      </c>
      <c r="Q95" s="64">
        <v>11.02</v>
      </c>
      <c r="R95" s="196"/>
      <c r="S95" s="196"/>
      <c r="T95" s="196"/>
      <c r="U95" s="196"/>
    </row>
    <row r="96" spans="1:26" s="12" customFormat="1" x14ac:dyDescent="0.25">
      <c r="A96" s="211" t="s">
        <v>2254</v>
      </c>
      <c r="B96" s="64">
        <v>35.43</v>
      </c>
      <c r="C96" s="64">
        <v>63.86</v>
      </c>
      <c r="D96" s="64">
        <v>60.4</v>
      </c>
      <c r="E96" s="64">
        <v>8.1</v>
      </c>
      <c r="F96" s="64">
        <v>4.04</v>
      </c>
      <c r="G96" s="64">
        <v>132.38999999999999</v>
      </c>
      <c r="H96" s="64">
        <v>67.55</v>
      </c>
      <c r="I96" s="64">
        <v>7.83</v>
      </c>
      <c r="J96" s="64">
        <v>2.21</v>
      </c>
      <c r="K96" s="64">
        <v>283.20999999999998</v>
      </c>
      <c r="L96" s="64">
        <v>15.44</v>
      </c>
      <c r="M96" s="64">
        <v>70.8</v>
      </c>
      <c r="N96" s="64">
        <v>33.299999999999997</v>
      </c>
      <c r="O96" s="64">
        <v>0</v>
      </c>
      <c r="P96" s="64">
        <v>1.67</v>
      </c>
      <c r="Q96" s="64">
        <v>11.03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2255</v>
      </c>
      <c r="B97" s="64">
        <v>38.25</v>
      </c>
      <c r="C97" s="64">
        <v>64.16</v>
      </c>
      <c r="D97" s="64">
        <v>62.81</v>
      </c>
      <c r="E97" s="64">
        <v>8.26</v>
      </c>
      <c r="F97" s="64">
        <v>4.05</v>
      </c>
      <c r="G97" s="64">
        <v>133.18</v>
      </c>
      <c r="H97" s="64">
        <v>68.900000000000006</v>
      </c>
      <c r="I97" s="64">
        <v>7.89</v>
      </c>
      <c r="J97" s="64">
        <v>2.34</v>
      </c>
      <c r="K97" s="64">
        <v>325.22000000000003</v>
      </c>
      <c r="L97" s="64">
        <v>15.12</v>
      </c>
      <c r="M97" s="64">
        <v>78.739999999999995</v>
      </c>
      <c r="N97" s="64">
        <v>33.6</v>
      </c>
      <c r="O97" s="64">
        <v>0</v>
      </c>
      <c r="P97" s="64">
        <v>1.75</v>
      </c>
      <c r="Q97" s="64">
        <v>11.04</v>
      </c>
      <c r="R97" s="196"/>
      <c r="S97" s="196"/>
      <c r="T97" s="196"/>
      <c r="U97" s="196"/>
    </row>
    <row r="98" spans="1:33" s="12" customFormat="1" x14ac:dyDescent="0.25">
      <c r="A98" s="211" t="s">
        <v>2256</v>
      </c>
      <c r="B98" s="64">
        <v>42.15</v>
      </c>
      <c r="C98" s="64">
        <v>61.35</v>
      </c>
      <c r="D98" s="64">
        <v>64.48</v>
      </c>
      <c r="E98" s="64">
        <v>8.5299999999999994</v>
      </c>
      <c r="F98" s="64">
        <v>4.2699999999999996</v>
      </c>
      <c r="G98" s="64">
        <v>133.66</v>
      </c>
      <c r="H98" s="64">
        <v>69.19</v>
      </c>
      <c r="I98" s="64">
        <v>7.92</v>
      </c>
      <c r="J98" s="64">
        <v>1.05</v>
      </c>
      <c r="K98" s="64">
        <v>254.28</v>
      </c>
      <c r="L98" s="64">
        <v>15.07</v>
      </c>
      <c r="M98" s="64">
        <v>73.37</v>
      </c>
      <c r="N98" s="64">
        <v>33.1</v>
      </c>
      <c r="O98" s="64">
        <v>0</v>
      </c>
      <c r="P98" s="64">
        <v>1.71</v>
      </c>
      <c r="Q98" s="64">
        <v>10.87</v>
      </c>
      <c r="R98" s="196"/>
      <c r="S98" s="196"/>
      <c r="T98" s="196"/>
      <c r="U98" s="196"/>
    </row>
    <row r="99" spans="1:33" s="12" customFormat="1" x14ac:dyDescent="0.25">
      <c r="A99" s="211" t="s">
        <v>2257</v>
      </c>
      <c r="B99" s="64">
        <v>44.83</v>
      </c>
      <c r="C99" s="64">
        <v>60.87</v>
      </c>
      <c r="D99" s="64">
        <v>66.37</v>
      </c>
      <c r="E99" s="64">
        <v>8.33</v>
      </c>
      <c r="F99" s="64">
        <v>4.03</v>
      </c>
      <c r="G99" s="64">
        <v>133.66</v>
      </c>
      <c r="H99" s="64">
        <v>69.19</v>
      </c>
      <c r="I99" s="64">
        <v>7.87</v>
      </c>
      <c r="J99" s="64">
        <v>0.73</v>
      </c>
      <c r="K99" s="64">
        <v>318.07</v>
      </c>
      <c r="L99" s="64">
        <v>14.84</v>
      </c>
      <c r="M99" s="64">
        <v>78.819999999999993</v>
      </c>
      <c r="N99" s="64">
        <v>33.6</v>
      </c>
      <c r="O99" s="64">
        <v>0</v>
      </c>
      <c r="P99" s="64">
        <v>1.78</v>
      </c>
      <c r="Q99" s="64">
        <v>10.93</v>
      </c>
      <c r="R99" s="196"/>
      <c r="S99" s="196"/>
      <c r="T99" s="196"/>
      <c r="U99" s="196"/>
    </row>
    <row r="100" spans="1:33" s="12" customFormat="1" x14ac:dyDescent="0.25">
      <c r="A100" s="211" t="s">
        <v>2258</v>
      </c>
      <c r="B100" s="64">
        <v>46.28</v>
      </c>
      <c r="C100" s="64">
        <v>59.65</v>
      </c>
      <c r="D100" s="64">
        <v>66.900000000000006</v>
      </c>
      <c r="E100" s="64">
        <v>7.79</v>
      </c>
      <c r="F100" s="64">
        <v>3.99</v>
      </c>
      <c r="G100" s="64">
        <v>133.66</v>
      </c>
      <c r="H100" s="64">
        <v>69.19</v>
      </c>
      <c r="I100" s="64">
        <v>7.65</v>
      </c>
      <c r="J100" s="64">
        <v>0.99</v>
      </c>
      <c r="K100" s="64">
        <v>259.16000000000003</v>
      </c>
      <c r="L100" s="64">
        <v>14.65</v>
      </c>
      <c r="M100" s="64">
        <v>80</v>
      </c>
      <c r="N100" s="64">
        <v>33.200000000000003</v>
      </c>
      <c r="O100" s="64">
        <v>0</v>
      </c>
      <c r="P100" s="64">
        <v>1.75</v>
      </c>
      <c r="Q100" s="64">
        <v>10.98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2259</v>
      </c>
      <c r="B101" s="64">
        <v>46.91</v>
      </c>
      <c r="C101" s="64">
        <v>57.79</v>
      </c>
      <c r="D101" s="64">
        <v>66.430000000000007</v>
      </c>
      <c r="E101" s="64">
        <v>7.82</v>
      </c>
      <c r="F101" s="64">
        <v>3.93</v>
      </c>
      <c r="G101" s="64">
        <v>139.1</v>
      </c>
      <c r="H101" s="64">
        <v>71.900000000000006</v>
      </c>
      <c r="I101" s="64">
        <v>7.6</v>
      </c>
      <c r="J101" s="64">
        <v>1.1200000000000001</v>
      </c>
      <c r="K101" s="64">
        <v>247.84</v>
      </c>
      <c r="L101" s="64">
        <v>14.38</v>
      </c>
      <c r="M101" s="64">
        <v>85.15</v>
      </c>
      <c r="N101" s="64">
        <v>33.299999999999997</v>
      </c>
      <c r="O101" s="64">
        <v>0</v>
      </c>
      <c r="P101" s="64">
        <v>1.76</v>
      </c>
      <c r="Q101" s="64">
        <v>11</v>
      </c>
      <c r="R101" s="196"/>
      <c r="S101" s="196"/>
      <c r="T101" s="196"/>
      <c r="U101" s="196"/>
    </row>
    <row r="102" spans="1:33" s="12" customFormat="1" x14ac:dyDescent="0.25">
      <c r="A102" s="211" t="s">
        <v>2260</v>
      </c>
      <c r="B102" s="64">
        <v>47.49</v>
      </c>
      <c r="C102" s="64">
        <v>55.8</v>
      </c>
      <c r="D102" s="64">
        <v>65.86</v>
      </c>
      <c r="E102" s="64">
        <v>7.91</v>
      </c>
      <c r="F102" s="64">
        <v>3.61</v>
      </c>
      <c r="G102" s="64">
        <v>142.56</v>
      </c>
      <c r="H102" s="64">
        <v>72.489999999999995</v>
      </c>
      <c r="I102" s="64">
        <v>7.85</v>
      </c>
      <c r="J102" s="64">
        <v>1.54</v>
      </c>
      <c r="K102" s="64">
        <v>226.55</v>
      </c>
      <c r="L102" s="64">
        <v>14.17</v>
      </c>
      <c r="M102" s="64">
        <v>84.2</v>
      </c>
      <c r="N102" s="64">
        <v>33.1</v>
      </c>
      <c r="O102" s="64">
        <v>0</v>
      </c>
      <c r="P102" s="64">
        <v>1.78</v>
      </c>
      <c r="Q102" s="64">
        <v>11</v>
      </c>
      <c r="R102" s="196"/>
      <c r="S102" s="196"/>
      <c r="T102" s="196"/>
      <c r="U102" s="196"/>
    </row>
    <row r="103" spans="1:33" s="12" customFormat="1" x14ac:dyDescent="0.25">
      <c r="A103" s="211" t="s">
        <v>2261</v>
      </c>
      <c r="B103" s="64">
        <v>47.57</v>
      </c>
      <c r="C103" s="64">
        <v>53.98</v>
      </c>
      <c r="D103" s="64">
        <v>64.97</v>
      </c>
      <c r="E103" s="64">
        <v>7.74</v>
      </c>
      <c r="F103" s="64">
        <v>3.61</v>
      </c>
      <c r="G103" s="64">
        <v>142.56</v>
      </c>
      <c r="H103" s="64">
        <v>72.489999999999995</v>
      </c>
      <c r="I103" s="64">
        <v>7.91</v>
      </c>
      <c r="J103" s="64">
        <v>1.24</v>
      </c>
      <c r="K103" s="64">
        <v>270.77</v>
      </c>
      <c r="L103" s="64">
        <v>14.23</v>
      </c>
      <c r="M103" s="64">
        <v>84.59</v>
      </c>
      <c r="N103" s="64">
        <v>32.799999999999997</v>
      </c>
      <c r="O103" s="64">
        <v>0</v>
      </c>
      <c r="P103" s="64">
        <v>1.72</v>
      </c>
      <c r="Q103" s="64">
        <v>11.02</v>
      </c>
      <c r="R103" s="196"/>
      <c r="S103" s="196"/>
      <c r="T103" s="196"/>
      <c r="U103" s="196"/>
    </row>
    <row r="104" spans="1:33" s="12" customFormat="1" x14ac:dyDescent="0.25">
      <c r="A104" s="211" t="s">
        <v>2262</v>
      </c>
      <c r="B104" s="64">
        <v>47.79</v>
      </c>
      <c r="C104" s="64">
        <v>52.64</v>
      </c>
      <c r="D104" s="64">
        <v>64.45</v>
      </c>
      <c r="E104" s="64">
        <v>5.0999999999999996</v>
      </c>
      <c r="F104" s="64">
        <v>3.37</v>
      </c>
      <c r="G104" s="64">
        <v>142.56</v>
      </c>
      <c r="H104" s="64">
        <v>72.489999999999995</v>
      </c>
      <c r="I104" s="64">
        <v>7.98</v>
      </c>
      <c r="J104" s="64">
        <v>1.78</v>
      </c>
      <c r="K104" s="64">
        <v>172.27</v>
      </c>
      <c r="L104" s="64">
        <v>13.81</v>
      </c>
      <c r="M104" s="64">
        <v>87</v>
      </c>
      <c r="N104" s="64">
        <v>33.200000000000003</v>
      </c>
      <c r="O104" s="64">
        <v>0</v>
      </c>
      <c r="P104" s="64">
        <v>1.7</v>
      </c>
      <c r="Q104" s="64">
        <v>11.01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4.6399999999999997</v>
      </c>
      <c r="F106" s="67">
        <f t="shared" si="0"/>
        <v>3.24</v>
      </c>
      <c r="G106" s="67">
        <f t="shared" si="0"/>
        <v>82.89</v>
      </c>
      <c r="H106" s="67">
        <f t="shared" si="0"/>
        <v>44.64</v>
      </c>
      <c r="I106" s="67">
        <f t="shared" si="0"/>
        <v>4.28</v>
      </c>
      <c r="J106" s="67">
        <f t="shared" si="0"/>
        <v>0.09</v>
      </c>
      <c r="K106" s="67">
        <f t="shared" si="0"/>
        <v>7.25</v>
      </c>
      <c r="L106" s="67">
        <f t="shared" si="0"/>
        <v>11.68</v>
      </c>
      <c r="M106" s="67">
        <f t="shared" si="0"/>
        <v>35.19</v>
      </c>
      <c r="N106" s="67">
        <f t="shared" si="0"/>
        <v>30.6</v>
      </c>
      <c r="O106" s="67">
        <f t="shared" si="0"/>
        <v>0</v>
      </c>
      <c r="P106" s="67">
        <f t="shared" si="0"/>
        <v>0.71</v>
      </c>
      <c r="Q106" s="67">
        <f t="shared" si="0"/>
        <v>9.58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59.96</v>
      </c>
      <c r="C107" s="66">
        <f t="shared" ref="C107:Q107" si="1">MAX(C9:C104)</f>
        <v>64.16</v>
      </c>
      <c r="D107" s="66">
        <f t="shared" si="1"/>
        <v>71.67</v>
      </c>
      <c r="E107" s="66">
        <f t="shared" si="1"/>
        <v>8.5299999999999994</v>
      </c>
      <c r="F107" s="66">
        <f t="shared" si="1"/>
        <v>11.92</v>
      </c>
      <c r="G107" s="66">
        <f t="shared" si="1"/>
        <v>142.56</v>
      </c>
      <c r="H107" s="66">
        <f t="shared" si="1"/>
        <v>72.489999999999995</v>
      </c>
      <c r="I107" s="66">
        <f t="shared" si="1"/>
        <v>8.64</v>
      </c>
      <c r="J107" s="66">
        <f t="shared" si="1"/>
        <v>3.24</v>
      </c>
      <c r="K107" s="66">
        <f t="shared" si="1"/>
        <v>357.86</v>
      </c>
      <c r="L107" s="66">
        <f t="shared" si="1"/>
        <v>24.94</v>
      </c>
      <c r="M107" s="66">
        <f t="shared" si="1"/>
        <v>89.07</v>
      </c>
      <c r="N107" s="66">
        <f t="shared" si="1"/>
        <v>541.9</v>
      </c>
      <c r="O107" s="66">
        <f t="shared" si="1"/>
        <v>0</v>
      </c>
      <c r="P107" s="66">
        <f t="shared" si="1"/>
        <v>1.83</v>
      </c>
      <c r="Q107" s="66">
        <f t="shared" si="1"/>
        <v>11.04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21.807291666666675</v>
      </c>
      <c r="C108" s="67">
        <f t="shared" ref="C108:Q108" si="2">AVERAGE(C9:C104)</f>
        <v>47.634687500000005</v>
      </c>
      <c r="D108" s="67">
        <f t="shared" si="2"/>
        <v>41.016354166666659</v>
      </c>
      <c r="E108" s="67">
        <f t="shared" si="2"/>
        <v>7.0149999999999997</v>
      </c>
      <c r="F108" s="67">
        <f t="shared" si="2"/>
        <v>4.7034374999999997</v>
      </c>
      <c r="G108" s="67">
        <f t="shared" si="2"/>
        <v>111.33791666666662</v>
      </c>
      <c r="H108" s="67">
        <f t="shared" si="2"/>
        <v>56.203541666666602</v>
      </c>
      <c r="I108" s="67">
        <f t="shared" si="2"/>
        <v>6.6629166666666668</v>
      </c>
      <c r="J108" s="67">
        <f t="shared" si="2"/>
        <v>1.5659375000000004</v>
      </c>
      <c r="K108" s="67">
        <f t="shared" si="2"/>
        <v>202.45354166666667</v>
      </c>
      <c r="L108" s="67">
        <f t="shared" si="2"/>
        <v>17.218958333333333</v>
      </c>
      <c r="M108" s="67">
        <f t="shared" si="2"/>
        <v>62.906354166666638</v>
      </c>
      <c r="N108" s="67">
        <f t="shared" si="2"/>
        <v>143.64479166666669</v>
      </c>
      <c r="O108" s="67">
        <f t="shared" si="2"/>
        <v>0</v>
      </c>
      <c r="P108" s="67">
        <f t="shared" si="2"/>
        <v>1.1940625</v>
      </c>
      <c r="Q108" s="67">
        <f t="shared" si="2"/>
        <v>10.49770833333333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17.689348354851791</v>
      </c>
      <c r="C109" s="67">
        <f t="shared" ref="C109:Q109" si="3">STDEV(C9:C104)</f>
        <v>9.4545834001153075</v>
      </c>
      <c r="D109" s="67">
        <f t="shared" si="3"/>
        <v>14.504063976387529</v>
      </c>
      <c r="E109" s="67">
        <f t="shared" si="3"/>
        <v>0.75009052085309791</v>
      </c>
      <c r="F109" s="67">
        <f t="shared" si="3"/>
        <v>1.4133989105214277</v>
      </c>
      <c r="G109" s="67">
        <f t="shared" si="3"/>
        <v>18.422385062839236</v>
      </c>
      <c r="H109" s="67">
        <f t="shared" si="3"/>
        <v>8.6615738182375406</v>
      </c>
      <c r="I109" s="67">
        <f t="shared" si="3"/>
        <v>0.96269459185819262</v>
      </c>
      <c r="J109" s="67">
        <f t="shared" si="3"/>
        <v>0.72669776259315289</v>
      </c>
      <c r="K109" s="67">
        <f t="shared" si="3"/>
        <v>118.26040784266742</v>
      </c>
      <c r="L109" s="67">
        <f t="shared" si="3"/>
        <v>4.0623543806560214</v>
      </c>
      <c r="M109" s="67">
        <f t="shared" si="3"/>
        <v>17.641564503947276</v>
      </c>
      <c r="N109" s="67">
        <f t="shared" si="3"/>
        <v>171.04360962526584</v>
      </c>
      <c r="O109" s="67">
        <f t="shared" si="3"/>
        <v>0</v>
      </c>
      <c r="P109" s="67">
        <f t="shared" si="3"/>
        <v>0.32328764485483963</v>
      </c>
      <c r="Q109" s="67">
        <f t="shared" si="3"/>
        <v>0.26994923174422675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2263</v>
      </c>
      <c r="B9" s="64">
        <v>48.06</v>
      </c>
      <c r="C9" s="64">
        <v>52.48</v>
      </c>
      <c r="D9" s="64">
        <v>64.58</v>
      </c>
      <c r="E9" s="64">
        <v>6.14</v>
      </c>
      <c r="F9" s="64">
        <v>3.59</v>
      </c>
      <c r="G9" s="64">
        <v>144.6</v>
      </c>
      <c r="H9" s="64">
        <v>75.33</v>
      </c>
      <c r="I9" s="64">
        <v>7.93</v>
      </c>
      <c r="J9" s="64">
        <v>1.36</v>
      </c>
      <c r="K9" s="64">
        <v>274.45999999999998</v>
      </c>
      <c r="L9" s="64">
        <v>13.92</v>
      </c>
      <c r="M9" s="64">
        <v>88.4</v>
      </c>
      <c r="N9" s="64">
        <v>32.9</v>
      </c>
      <c r="O9" s="64">
        <v>0</v>
      </c>
      <c r="P9" s="64">
        <v>1.73</v>
      </c>
      <c r="Q9" s="64">
        <v>11.09</v>
      </c>
      <c r="R9" s="196"/>
      <c r="S9" s="196"/>
      <c r="T9" s="196"/>
      <c r="U9" s="196"/>
    </row>
    <row r="10" spans="1:21" s="12" customFormat="1" x14ac:dyDescent="0.25">
      <c r="A10" s="211" t="s">
        <v>2264</v>
      </c>
      <c r="B10" s="64">
        <v>48.98</v>
      </c>
      <c r="C10" s="64">
        <v>52.22</v>
      </c>
      <c r="D10" s="64">
        <v>65.19</v>
      </c>
      <c r="E10" s="64">
        <v>6.34</v>
      </c>
      <c r="F10" s="64">
        <v>3.88</v>
      </c>
      <c r="G10" s="64">
        <v>145.83000000000001</v>
      </c>
      <c r="H10" s="64">
        <v>76.400000000000006</v>
      </c>
      <c r="I10" s="64">
        <v>7.67</v>
      </c>
      <c r="J10" s="64">
        <v>2.2999999999999998</v>
      </c>
      <c r="K10" s="64">
        <v>270.08</v>
      </c>
      <c r="L10" s="64">
        <v>13.53</v>
      </c>
      <c r="M10" s="64">
        <v>89.75</v>
      </c>
      <c r="N10" s="64">
        <v>33.200000000000003</v>
      </c>
      <c r="O10" s="64">
        <v>0</v>
      </c>
      <c r="P10" s="64">
        <v>1.73</v>
      </c>
      <c r="Q10" s="64">
        <v>11.14</v>
      </c>
      <c r="R10" s="196"/>
      <c r="S10" s="196"/>
      <c r="T10" s="196"/>
      <c r="U10" s="196"/>
    </row>
    <row r="11" spans="1:21" s="12" customFormat="1" x14ac:dyDescent="0.25">
      <c r="A11" s="211" t="s">
        <v>2265</v>
      </c>
      <c r="B11" s="64">
        <v>48.73</v>
      </c>
      <c r="C11" s="64">
        <v>51.31</v>
      </c>
      <c r="D11" s="64">
        <v>64.510000000000005</v>
      </c>
      <c r="E11" s="64">
        <v>6.02</v>
      </c>
      <c r="F11" s="64">
        <v>4.26</v>
      </c>
      <c r="G11" s="64">
        <v>145.83000000000001</v>
      </c>
      <c r="H11" s="64">
        <v>76.400000000000006</v>
      </c>
      <c r="I11" s="64">
        <v>7.89</v>
      </c>
      <c r="J11" s="64">
        <v>1.1399999999999999</v>
      </c>
      <c r="K11" s="64">
        <v>309.64</v>
      </c>
      <c r="L11" s="64">
        <v>13.52</v>
      </c>
      <c r="M11" s="64">
        <v>89.13</v>
      </c>
      <c r="N11" s="64">
        <v>33.200000000000003</v>
      </c>
      <c r="O11" s="64">
        <v>0</v>
      </c>
      <c r="P11" s="64">
        <v>1.71</v>
      </c>
      <c r="Q11" s="64">
        <v>11.05</v>
      </c>
      <c r="R11" s="196"/>
      <c r="S11" s="196"/>
      <c r="T11" s="196"/>
      <c r="U11" s="196"/>
    </row>
    <row r="12" spans="1:21" s="12" customFormat="1" x14ac:dyDescent="0.25">
      <c r="A12" s="211" t="s">
        <v>2266</v>
      </c>
      <c r="B12" s="64">
        <v>47.6</v>
      </c>
      <c r="C12" s="64">
        <v>51.42</v>
      </c>
      <c r="D12" s="64">
        <v>63.66</v>
      </c>
      <c r="E12" s="64">
        <v>5.82</v>
      </c>
      <c r="F12" s="64">
        <v>4.09</v>
      </c>
      <c r="G12" s="64">
        <v>145.83000000000001</v>
      </c>
      <c r="H12" s="64">
        <v>76.400000000000006</v>
      </c>
      <c r="I12" s="64">
        <v>7.91</v>
      </c>
      <c r="J12" s="64">
        <v>0.66</v>
      </c>
      <c r="K12" s="64">
        <v>311.41000000000003</v>
      </c>
      <c r="L12" s="64">
        <v>13.2</v>
      </c>
      <c r="M12" s="64">
        <v>93.4</v>
      </c>
      <c r="N12" s="64">
        <v>33.200000000000003</v>
      </c>
      <c r="O12" s="64">
        <v>0</v>
      </c>
      <c r="P12" s="64">
        <v>1.69</v>
      </c>
      <c r="Q12" s="64">
        <v>11.02</v>
      </c>
      <c r="R12" s="196"/>
      <c r="S12" s="196"/>
      <c r="T12" s="196"/>
      <c r="U12" s="196"/>
    </row>
    <row r="13" spans="1:21" s="12" customFormat="1" x14ac:dyDescent="0.25">
      <c r="A13" s="211" t="s">
        <v>2267</v>
      </c>
      <c r="B13" s="64">
        <v>46.01</v>
      </c>
      <c r="C13" s="64">
        <v>50.53</v>
      </c>
      <c r="D13" s="64">
        <v>61.92</v>
      </c>
      <c r="E13" s="64">
        <v>5.73</v>
      </c>
      <c r="F13" s="64">
        <v>4.04</v>
      </c>
      <c r="G13" s="64">
        <v>143.03</v>
      </c>
      <c r="H13" s="64">
        <v>72.44</v>
      </c>
      <c r="I13" s="64">
        <v>7.82</v>
      </c>
      <c r="J13" s="64">
        <v>1.27</v>
      </c>
      <c r="K13" s="64">
        <v>314.70999999999998</v>
      </c>
      <c r="L13" s="64">
        <v>13.29</v>
      </c>
      <c r="M13" s="64">
        <v>91.33</v>
      </c>
      <c r="N13" s="64">
        <v>33.200000000000003</v>
      </c>
      <c r="O13" s="64">
        <v>0</v>
      </c>
      <c r="P13" s="64">
        <v>1.51</v>
      </c>
      <c r="Q13" s="64">
        <v>11.01</v>
      </c>
      <c r="R13" s="196"/>
      <c r="S13" s="196"/>
      <c r="T13" s="196"/>
      <c r="U13" s="196"/>
    </row>
    <row r="14" spans="1:21" s="12" customFormat="1" x14ac:dyDescent="0.25">
      <c r="A14" s="211" t="s">
        <v>2268</v>
      </c>
      <c r="B14" s="64">
        <v>44.23</v>
      </c>
      <c r="C14" s="64">
        <v>50.17</v>
      </c>
      <c r="D14" s="64">
        <v>60.31</v>
      </c>
      <c r="E14" s="64">
        <v>6.02</v>
      </c>
      <c r="F14" s="64">
        <v>3.97</v>
      </c>
      <c r="G14" s="64">
        <v>141.33000000000001</v>
      </c>
      <c r="H14" s="64">
        <v>71.150000000000006</v>
      </c>
      <c r="I14" s="64">
        <v>7.78</v>
      </c>
      <c r="J14" s="64">
        <v>1.7</v>
      </c>
      <c r="K14" s="64">
        <v>44.87</v>
      </c>
      <c r="L14" s="64">
        <v>13.11</v>
      </c>
      <c r="M14" s="64">
        <v>92.57</v>
      </c>
      <c r="N14" s="64">
        <v>33.200000000000003</v>
      </c>
      <c r="O14" s="64">
        <v>0</v>
      </c>
      <c r="P14" s="64">
        <v>1.58</v>
      </c>
      <c r="Q14" s="64">
        <v>10.97</v>
      </c>
      <c r="R14" s="196"/>
      <c r="S14" s="196"/>
      <c r="T14" s="196"/>
      <c r="U14" s="196"/>
    </row>
    <row r="15" spans="1:21" s="12" customFormat="1" x14ac:dyDescent="0.25">
      <c r="A15" s="211" t="s">
        <v>2269</v>
      </c>
      <c r="B15" s="64">
        <v>42.39</v>
      </c>
      <c r="C15" s="64">
        <v>50.37</v>
      </c>
      <c r="D15" s="64">
        <v>58.93</v>
      </c>
      <c r="E15" s="64">
        <v>5.69</v>
      </c>
      <c r="F15" s="64">
        <v>4.05</v>
      </c>
      <c r="G15" s="64">
        <v>141.33000000000001</v>
      </c>
      <c r="H15" s="64">
        <v>71.150000000000006</v>
      </c>
      <c r="I15" s="64">
        <v>7.68</v>
      </c>
      <c r="J15" s="64">
        <v>0.46</v>
      </c>
      <c r="K15" s="64">
        <v>99.03</v>
      </c>
      <c r="L15" s="64">
        <v>12.95</v>
      </c>
      <c r="M15" s="64">
        <v>90.98</v>
      </c>
      <c r="N15" s="64">
        <v>33.200000000000003</v>
      </c>
      <c r="O15" s="64">
        <v>0</v>
      </c>
      <c r="P15" s="64">
        <v>1.55</v>
      </c>
      <c r="Q15" s="64">
        <v>10.95</v>
      </c>
      <c r="R15" s="196"/>
      <c r="S15" s="196"/>
      <c r="T15" s="196"/>
      <c r="U15" s="196"/>
    </row>
    <row r="16" spans="1:21" s="12" customFormat="1" x14ac:dyDescent="0.25">
      <c r="A16" s="211" t="s">
        <v>2270</v>
      </c>
      <c r="B16" s="64">
        <v>40.69</v>
      </c>
      <c r="C16" s="64">
        <v>48.97</v>
      </c>
      <c r="D16" s="64">
        <v>56.84</v>
      </c>
      <c r="E16" s="64">
        <v>5.86</v>
      </c>
      <c r="F16" s="64">
        <v>4.07</v>
      </c>
      <c r="G16" s="64">
        <v>141.33000000000001</v>
      </c>
      <c r="H16" s="64">
        <v>71.150000000000006</v>
      </c>
      <c r="I16" s="64">
        <v>7.59</v>
      </c>
      <c r="J16" s="64">
        <v>2.7</v>
      </c>
      <c r="K16" s="64">
        <v>232.37</v>
      </c>
      <c r="L16" s="64">
        <v>12.92</v>
      </c>
      <c r="M16" s="64">
        <v>91.35</v>
      </c>
      <c r="N16" s="64">
        <v>33</v>
      </c>
      <c r="O16" s="64">
        <v>0</v>
      </c>
      <c r="P16" s="64">
        <v>1.53</v>
      </c>
      <c r="Q16" s="64">
        <v>10.9</v>
      </c>
      <c r="R16" s="196"/>
      <c r="S16" s="196"/>
      <c r="T16" s="196"/>
      <c r="U16" s="196"/>
    </row>
    <row r="17" spans="1:21" s="12" customFormat="1" x14ac:dyDescent="0.25">
      <c r="A17" s="211" t="s">
        <v>2271</v>
      </c>
      <c r="B17" s="64">
        <v>39.1</v>
      </c>
      <c r="C17" s="64">
        <v>49.65</v>
      </c>
      <c r="D17" s="64">
        <v>55.92</v>
      </c>
      <c r="E17" s="64">
        <v>5.68</v>
      </c>
      <c r="F17" s="64">
        <v>4.3099999999999996</v>
      </c>
      <c r="G17" s="64">
        <v>140.86000000000001</v>
      </c>
      <c r="H17" s="64">
        <v>75.430000000000007</v>
      </c>
      <c r="I17" s="64">
        <v>7.52</v>
      </c>
      <c r="J17" s="64">
        <v>0.81</v>
      </c>
      <c r="K17" s="64">
        <v>15</v>
      </c>
      <c r="L17" s="64">
        <v>12.78</v>
      </c>
      <c r="M17" s="64">
        <v>93.27</v>
      </c>
      <c r="N17" s="64">
        <v>33.200000000000003</v>
      </c>
      <c r="O17" s="64">
        <v>0</v>
      </c>
      <c r="P17" s="64">
        <v>1.51</v>
      </c>
      <c r="Q17" s="64">
        <v>10.9</v>
      </c>
      <c r="R17" s="196"/>
      <c r="S17" s="196"/>
      <c r="T17" s="196"/>
      <c r="U17" s="196"/>
    </row>
    <row r="18" spans="1:21" s="12" customFormat="1" x14ac:dyDescent="0.25">
      <c r="A18" s="211" t="s">
        <v>2272</v>
      </c>
      <c r="B18" s="64">
        <v>37.56</v>
      </c>
      <c r="C18" s="64">
        <v>47.28</v>
      </c>
      <c r="D18" s="64">
        <v>53.45</v>
      </c>
      <c r="E18" s="64">
        <v>6.09</v>
      </c>
      <c r="F18" s="64">
        <v>4.57</v>
      </c>
      <c r="G18" s="64">
        <v>140.58000000000001</v>
      </c>
      <c r="H18" s="64">
        <v>76.37</v>
      </c>
      <c r="I18" s="64">
        <v>7.45</v>
      </c>
      <c r="J18" s="64">
        <v>0.03</v>
      </c>
      <c r="K18" s="64">
        <v>201.68</v>
      </c>
      <c r="L18" s="64">
        <v>12.5</v>
      </c>
      <c r="M18" s="64">
        <v>95.83</v>
      </c>
      <c r="N18" s="64">
        <v>33.1</v>
      </c>
      <c r="O18" s="64">
        <v>0</v>
      </c>
      <c r="P18" s="64">
        <v>1.49</v>
      </c>
      <c r="Q18" s="64">
        <v>10.8</v>
      </c>
      <c r="R18" s="196"/>
      <c r="S18" s="196"/>
      <c r="T18" s="196"/>
      <c r="U18" s="196"/>
    </row>
    <row r="19" spans="1:21" s="12" customFormat="1" x14ac:dyDescent="0.25">
      <c r="A19" s="211" t="s">
        <v>2273</v>
      </c>
      <c r="B19" s="64">
        <v>36.18</v>
      </c>
      <c r="C19" s="64">
        <v>45.51</v>
      </c>
      <c r="D19" s="64">
        <v>51.41</v>
      </c>
      <c r="E19" s="64">
        <v>5.79</v>
      </c>
      <c r="F19" s="64">
        <v>4.16</v>
      </c>
      <c r="G19" s="64">
        <v>140.58000000000001</v>
      </c>
      <c r="H19" s="64">
        <v>76.37</v>
      </c>
      <c r="I19" s="64">
        <v>7.4</v>
      </c>
      <c r="J19" s="64">
        <v>0.84</v>
      </c>
      <c r="K19" s="64">
        <v>2.38</v>
      </c>
      <c r="L19" s="64">
        <v>12.44</v>
      </c>
      <c r="M19" s="64">
        <v>95.48</v>
      </c>
      <c r="N19" s="64">
        <v>33.299999999999997</v>
      </c>
      <c r="O19" s="64">
        <v>0</v>
      </c>
      <c r="P19" s="64">
        <v>1.47</v>
      </c>
      <c r="Q19" s="64">
        <v>10.7</v>
      </c>
      <c r="R19" s="196"/>
      <c r="S19" s="196"/>
      <c r="T19" s="196"/>
      <c r="U19" s="196"/>
    </row>
    <row r="20" spans="1:21" s="12" customFormat="1" x14ac:dyDescent="0.25">
      <c r="A20" s="211" t="s">
        <v>2274</v>
      </c>
      <c r="B20" s="64">
        <v>35.04</v>
      </c>
      <c r="C20" s="64">
        <v>45.4</v>
      </c>
      <c r="D20" s="64">
        <v>50.44</v>
      </c>
      <c r="E20" s="64">
        <v>6.13</v>
      </c>
      <c r="F20" s="64">
        <v>3.87</v>
      </c>
      <c r="G20" s="64">
        <v>140.58000000000001</v>
      </c>
      <c r="H20" s="64">
        <v>76.37</v>
      </c>
      <c r="I20" s="64">
        <v>7.39</v>
      </c>
      <c r="J20" s="64">
        <v>2.42</v>
      </c>
      <c r="K20" s="64">
        <v>309.17</v>
      </c>
      <c r="L20" s="64">
        <v>12.54</v>
      </c>
      <c r="M20" s="64">
        <v>94.09</v>
      </c>
      <c r="N20" s="64">
        <v>33.200000000000003</v>
      </c>
      <c r="O20" s="64">
        <v>0</v>
      </c>
      <c r="P20" s="64">
        <v>1.44</v>
      </c>
      <c r="Q20" s="64">
        <v>10.73</v>
      </c>
      <c r="R20" s="196"/>
      <c r="S20" s="196"/>
      <c r="T20" s="196"/>
      <c r="U20" s="196"/>
    </row>
    <row r="21" spans="1:21" s="12" customFormat="1" x14ac:dyDescent="0.25">
      <c r="A21" s="211" t="s">
        <v>2275</v>
      </c>
      <c r="B21" s="64">
        <v>34.15</v>
      </c>
      <c r="C21" s="64">
        <v>45.09</v>
      </c>
      <c r="D21" s="64">
        <v>49.57</v>
      </c>
      <c r="E21" s="64">
        <v>6.04</v>
      </c>
      <c r="F21" s="64">
        <v>3.96</v>
      </c>
      <c r="G21" s="64">
        <v>142.01</v>
      </c>
      <c r="H21" s="64">
        <v>73.59</v>
      </c>
      <c r="I21" s="64">
        <v>7.41</v>
      </c>
      <c r="J21" s="64">
        <v>2.0499999999999998</v>
      </c>
      <c r="K21" s="64">
        <v>316.37</v>
      </c>
      <c r="L21" s="64">
        <v>12.63</v>
      </c>
      <c r="M21" s="64">
        <v>90.95</v>
      </c>
      <c r="N21" s="64">
        <v>33</v>
      </c>
      <c r="O21" s="64">
        <v>0</v>
      </c>
      <c r="P21" s="64">
        <v>1.35</v>
      </c>
      <c r="Q21" s="64">
        <v>10.77</v>
      </c>
      <c r="R21" s="196"/>
      <c r="S21" s="196"/>
      <c r="T21" s="196"/>
      <c r="U21" s="196"/>
    </row>
    <row r="22" spans="1:21" s="12" customFormat="1" x14ac:dyDescent="0.25">
      <c r="A22" s="211" t="s">
        <v>2276</v>
      </c>
      <c r="B22" s="64">
        <v>33.049999999999997</v>
      </c>
      <c r="C22" s="64">
        <v>44.17</v>
      </c>
      <c r="D22" s="64">
        <v>48.21</v>
      </c>
      <c r="E22" s="64">
        <v>5.93</v>
      </c>
      <c r="F22" s="64">
        <v>3.85</v>
      </c>
      <c r="G22" s="64">
        <v>142.88999999999999</v>
      </c>
      <c r="H22" s="64">
        <v>72.98</v>
      </c>
      <c r="I22" s="64">
        <v>7.2</v>
      </c>
      <c r="J22" s="64">
        <v>2.71</v>
      </c>
      <c r="K22" s="64">
        <v>300.79000000000002</v>
      </c>
      <c r="L22" s="64">
        <v>12.84</v>
      </c>
      <c r="M22" s="64">
        <v>87.73</v>
      </c>
      <c r="N22" s="64">
        <v>32.9</v>
      </c>
      <c r="O22" s="64">
        <v>0</v>
      </c>
      <c r="P22" s="64">
        <v>1.37</v>
      </c>
      <c r="Q22" s="64">
        <v>10.77</v>
      </c>
      <c r="R22" s="196"/>
      <c r="S22" s="196"/>
      <c r="T22" s="196"/>
      <c r="U22" s="196"/>
    </row>
    <row r="23" spans="1:21" s="12" customFormat="1" x14ac:dyDescent="0.25">
      <c r="A23" s="211" t="s">
        <v>2277</v>
      </c>
      <c r="B23" s="64">
        <v>31.74</v>
      </c>
      <c r="C23" s="64">
        <v>43.72</v>
      </c>
      <c r="D23" s="64">
        <v>46.92</v>
      </c>
      <c r="E23" s="64">
        <v>6.17</v>
      </c>
      <c r="F23" s="64">
        <v>3.71</v>
      </c>
      <c r="G23" s="64">
        <v>142.88999999999999</v>
      </c>
      <c r="H23" s="64">
        <v>72.98</v>
      </c>
      <c r="I23" s="64">
        <v>7.13</v>
      </c>
      <c r="J23" s="64">
        <v>0.85</v>
      </c>
      <c r="K23" s="64">
        <v>103.97</v>
      </c>
      <c r="L23" s="64">
        <v>12.7</v>
      </c>
      <c r="M23" s="64">
        <v>88.6</v>
      </c>
      <c r="N23" s="64">
        <v>33.1</v>
      </c>
      <c r="O23" s="64">
        <v>0</v>
      </c>
      <c r="P23" s="64">
        <v>1.35</v>
      </c>
      <c r="Q23" s="64">
        <v>10.81</v>
      </c>
      <c r="R23" s="196"/>
      <c r="S23" s="196"/>
      <c r="T23" s="196"/>
      <c r="U23" s="196"/>
    </row>
    <row r="24" spans="1:21" s="12" customFormat="1" x14ac:dyDescent="0.25">
      <c r="A24" s="211" t="s">
        <v>2278</v>
      </c>
      <c r="B24" s="64">
        <v>30.63</v>
      </c>
      <c r="C24" s="64">
        <v>43.22</v>
      </c>
      <c r="D24" s="64">
        <v>45.77</v>
      </c>
      <c r="E24" s="64">
        <v>4.3099999999999996</v>
      </c>
      <c r="F24" s="64">
        <v>3.86</v>
      </c>
      <c r="G24" s="64">
        <v>142.88999999999999</v>
      </c>
      <c r="H24" s="64">
        <v>72.98</v>
      </c>
      <c r="I24" s="64">
        <v>6.99</v>
      </c>
      <c r="J24" s="64">
        <v>2.44</v>
      </c>
      <c r="K24" s="64">
        <v>102.64</v>
      </c>
      <c r="L24" s="64">
        <v>12.75</v>
      </c>
      <c r="M24" s="64">
        <v>88.82</v>
      </c>
      <c r="N24" s="64">
        <v>33</v>
      </c>
      <c r="O24" s="64">
        <v>0</v>
      </c>
      <c r="P24" s="64">
        <v>1.36</v>
      </c>
      <c r="Q24" s="64">
        <v>10.77</v>
      </c>
      <c r="R24" s="196"/>
      <c r="S24" s="196"/>
      <c r="T24" s="196"/>
      <c r="U24" s="196"/>
    </row>
    <row r="25" spans="1:21" s="12" customFormat="1" x14ac:dyDescent="0.25">
      <c r="A25" s="211" t="s">
        <v>2279</v>
      </c>
      <c r="B25" s="64">
        <v>29.78</v>
      </c>
      <c r="C25" s="64">
        <v>42.99</v>
      </c>
      <c r="D25" s="64">
        <v>44.96</v>
      </c>
      <c r="E25" s="64">
        <v>6.21</v>
      </c>
      <c r="F25" s="64">
        <v>3.92</v>
      </c>
      <c r="G25" s="64">
        <v>156.54</v>
      </c>
      <c r="H25" s="64">
        <v>85.79</v>
      </c>
      <c r="I25" s="64">
        <v>7</v>
      </c>
      <c r="J25" s="64">
        <v>1.96</v>
      </c>
      <c r="K25" s="64">
        <v>75.58</v>
      </c>
      <c r="L25" s="64">
        <v>12.9</v>
      </c>
      <c r="M25" s="64">
        <v>86.37</v>
      </c>
      <c r="N25" s="64">
        <v>33</v>
      </c>
      <c r="O25" s="64">
        <v>0</v>
      </c>
      <c r="P25" s="64">
        <v>1.33</v>
      </c>
      <c r="Q25" s="64">
        <v>10.77</v>
      </c>
      <c r="R25" s="196"/>
      <c r="S25" s="196"/>
      <c r="T25" s="196"/>
      <c r="U25" s="196"/>
    </row>
    <row r="26" spans="1:21" s="12" customFormat="1" x14ac:dyDescent="0.25">
      <c r="A26" s="211" t="s">
        <v>2280</v>
      </c>
      <c r="B26" s="64">
        <v>28.93</v>
      </c>
      <c r="C26" s="64">
        <v>43.79</v>
      </c>
      <c r="D26" s="64">
        <v>44.7</v>
      </c>
      <c r="E26" s="64">
        <v>6.78</v>
      </c>
      <c r="F26" s="64">
        <v>4.26</v>
      </c>
      <c r="G26" s="64">
        <v>164.83</v>
      </c>
      <c r="H26" s="64">
        <v>90.75</v>
      </c>
      <c r="I26" s="64">
        <v>6.91</v>
      </c>
      <c r="J26" s="64">
        <v>2.11</v>
      </c>
      <c r="K26" s="64">
        <v>72.3</v>
      </c>
      <c r="L26" s="64">
        <v>12.91</v>
      </c>
      <c r="M26" s="64">
        <v>85.76</v>
      </c>
      <c r="N26" s="64">
        <v>33</v>
      </c>
      <c r="O26" s="64">
        <v>0</v>
      </c>
      <c r="P26" s="64">
        <v>1.35</v>
      </c>
      <c r="Q26" s="64">
        <v>10.81</v>
      </c>
      <c r="R26" s="196"/>
      <c r="S26" s="196"/>
      <c r="T26" s="196"/>
      <c r="U26" s="196"/>
    </row>
    <row r="27" spans="1:21" s="12" customFormat="1" x14ac:dyDescent="0.25">
      <c r="A27" s="211" t="s">
        <v>2281</v>
      </c>
      <c r="B27" s="64">
        <v>27.97</v>
      </c>
      <c r="C27" s="64">
        <v>44.17</v>
      </c>
      <c r="D27" s="64">
        <v>44.13</v>
      </c>
      <c r="E27" s="64">
        <v>6.59</v>
      </c>
      <c r="F27" s="64">
        <v>4.16</v>
      </c>
      <c r="G27" s="64">
        <v>164.83</v>
      </c>
      <c r="H27" s="64">
        <v>90.75</v>
      </c>
      <c r="I27" s="64">
        <v>7.12</v>
      </c>
      <c r="J27" s="64">
        <v>1.66</v>
      </c>
      <c r="K27" s="64">
        <v>65.959999999999994</v>
      </c>
      <c r="L27" s="64">
        <v>12.8</v>
      </c>
      <c r="M27" s="64">
        <v>85.45</v>
      </c>
      <c r="N27" s="64">
        <v>33.1</v>
      </c>
      <c r="O27" s="64">
        <v>0</v>
      </c>
      <c r="P27" s="64">
        <v>1.35</v>
      </c>
      <c r="Q27" s="64">
        <v>10.78</v>
      </c>
      <c r="R27" s="196"/>
      <c r="S27" s="196"/>
      <c r="T27" s="196"/>
      <c r="U27" s="196"/>
    </row>
    <row r="28" spans="1:21" s="12" customFormat="1" x14ac:dyDescent="0.25">
      <c r="A28" s="211" t="s">
        <v>2282</v>
      </c>
      <c r="B28" s="64">
        <v>27.31</v>
      </c>
      <c r="C28" s="64">
        <v>43.56</v>
      </c>
      <c r="D28" s="64">
        <v>43.28</v>
      </c>
      <c r="E28" s="64">
        <v>7.34</v>
      </c>
      <c r="F28" s="64">
        <v>4.2300000000000004</v>
      </c>
      <c r="G28" s="64">
        <v>164.83</v>
      </c>
      <c r="H28" s="64">
        <v>90.75</v>
      </c>
      <c r="I28" s="64">
        <v>7.2</v>
      </c>
      <c r="J28" s="64">
        <v>2.79</v>
      </c>
      <c r="K28" s="64">
        <v>345.72</v>
      </c>
      <c r="L28" s="64">
        <v>12.79</v>
      </c>
      <c r="M28" s="64">
        <v>84.47</v>
      </c>
      <c r="N28" s="64">
        <v>32.799999999999997</v>
      </c>
      <c r="O28" s="64">
        <v>0</v>
      </c>
      <c r="P28" s="64">
        <v>1.37</v>
      </c>
      <c r="Q28" s="64">
        <v>10.72</v>
      </c>
      <c r="R28" s="196"/>
      <c r="S28" s="196"/>
      <c r="T28" s="196"/>
      <c r="U28" s="196"/>
    </row>
    <row r="29" spans="1:21" s="12" customFormat="1" x14ac:dyDescent="0.25">
      <c r="A29" s="211" t="s">
        <v>2283</v>
      </c>
      <c r="B29" s="64">
        <v>26.24</v>
      </c>
      <c r="C29" s="64">
        <v>44.49</v>
      </c>
      <c r="D29" s="64">
        <v>42.91</v>
      </c>
      <c r="E29" s="64">
        <v>7.07</v>
      </c>
      <c r="F29" s="64">
        <v>4.47</v>
      </c>
      <c r="G29" s="64">
        <v>185.76</v>
      </c>
      <c r="H29" s="64">
        <v>100.34</v>
      </c>
      <c r="I29" s="64">
        <v>7.16</v>
      </c>
      <c r="J29" s="64">
        <v>2.25</v>
      </c>
      <c r="K29" s="64">
        <v>337.85</v>
      </c>
      <c r="L29" s="64">
        <v>12.84</v>
      </c>
      <c r="M29" s="64">
        <v>83.5</v>
      </c>
      <c r="N29" s="64">
        <v>33</v>
      </c>
      <c r="O29" s="64">
        <v>0</v>
      </c>
      <c r="P29" s="64">
        <v>1.4</v>
      </c>
      <c r="Q29" s="64">
        <v>10.69</v>
      </c>
      <c r="R29" s="196"/>
      <c r="S29" s="196"/>
      <c r="T29" s="196"/>
      <c r="U29" s="196"/>
    </row>
    <row r="30" spans="1:21" s="12" customFormat="1" x14ac:dyDescent="0.25">
      <c r="A30" s="211" t="s">
        <v>2284</v>
      </c>
      <c r="B30" s="64">
        <v>25.06</v>
      </c>
      <c r="C30" s="64">
        <v>44.14</v>
      </c>
      <c r="D30" s="64">
        <v>41.78</v>
      </c>
      <c r="E30" s="64">
        <v>6.71</v>
      </c>
      <c r="F30" s="64">
        <v>4.43</v>
      </c>
      <c r="G30" s="64">
        <v>198.46</v>
      </c>
      <c r="H30" s="64">
        <v>102.43</v>
      </c>
      <c r="I30" s="64">
        <v>7.1</v>
      </c>
      <c r="J30" s="64">
        <v>2.37</v>
      </c>
      <c r="K30" s="64">
        <v>346.04</v>
      </c>
      <c r="L30" s="64">
        <v>12.73</v>
      </c>
      <c r="M30" s="64">
        <v>84.07</v>
      </c>
      <c r="N30" s="64">
        <v>33.1</v>
      </c>
      <c r="O30" s="64">
        <v>0</v>
      </c>
      <c r="P30" s="64">
        <v>1.46</v>
      </c>
      <c r="Q30" s="64">
        <v>10.68</v>
      </c>
      <c r="R30" s="196"/>
      <c r="S30" s="196"/>
      <c r="T30" s="196"/>
      <c r="U30" s="196"/>
    </row>
    <row r="31" spans="1:21" s="12" customFormat="1" x14ac:dyDescent="0.25">
      <c r="A31" s="211" t="s">
        <v>2285</v>
      </c>
      <c r="B31" s="64">
        <v>23.93</v>
      </c>
      <c r="C31" s="64">
        <v>44.48</v>
      </c>
      <c r="D31" s="64">
        <v>41.05</v>
      </c>
      <c r="E31" s="64">
        <v>6.48</v>
      </c>
      <c r="F31" s="64">
        <v>4.33</v>
      </c>
      <c r="G31" s="64">
        <v>198.46</v>
      </c>
      <c r="H31" s="64">
        <v>102.43</v>
      </c>
      <c r="I31" s="64">
        <v>6.98</v>
      </c>
      <c r="J31" s="64">
        <v>2.86</v>
      </c>
      <c r="K31" s="64">
        <v>336.65</v>
      </c>
      <c r="L31" s="64">
        <v>12.88</v>
      </c>
      <c r="M31" s="64">
        <v>79.540000000000006</v>
      </c>
      <c r="N31" s="64">
        <v>32.799999999999997</v>
      </c>
      <c r="O31" s="64">
        <v>0</v>
      </c>
      <c r="P31" s="64">
        <v>1.49</v>
      </c>
      <c r="Q31" s="64">
        <v>10.66</v>
      </c>
      <c r="R31" s="196"/>
      <c r="S31" s="196"/>
      <c r="T31" s="196"/>
      <c r="U31" s="196"/>
    </row>
    <row r="32" spans="1:21" s="12" customFormat="1" x14ac:dyDescent="0.25">
      <c r="A32" s="211" t="s">
        <v>2286</v>
      </c>
      <c r="B32" s="64">
        <v>22.51</v>
      </c>
      <c r="C32" s="64">
        <v>44.75</v>
      </c>
      <c r="D32" s="64">
        <v>40.06</v>
      </c>
      <c r="E32" s="64">
        <v>6.3</v>
      </c>
      <c r="F32" s="64">
        <v>4.42</v>
      </c>
      <c r="G32" s="64">
        <v>198.46</v>
      </c>
      <c r="H32" s="64">
        <v>102.43</v>
      </c>
      <c r="I32" s="64">
        <v>6.82</v>
      </c>
      <c r="J32" s="64">
        <v>2.87</v>
      </c>
      <c r="K32" s="64">
        <v>336.09</v>
      </c>
      <c r="L32" s="64">
        <v>12.91</v>
      </c>
      <c r="M32" s="64">
        <v>77.900000000000006</v>
      </c>
      <c r="N32" s="64">
        <v>33</v>
      </c>
      <c r="O32" s="64">
        <v>0</v>
      </c>
      <c r="P32" s="64">
        <v>1.45</v>
      </c>
      <c r="Q32" s="64">
        <v>10.63</v>
      </c>
      <c r="R32" s="196"/>
      <c r="S32" s="196"/>
      <c r="T32" s="196"/>
      <c r="U32" s="196"/>
    </row>
    <row r="33" spans="1:21" s="12" customFormat="1" x14ac:dyDescent="0.25">
      <c r="A33" s="211" t="s">
        <v>2287</v>
      </c>
      <c r="B33" s="64">
        <v>21.16</v>
      </c>
      <c r="C33" s="64">
        <v>44.74</v>
      </c>
      <c r="D33" s="64">
        <v>38.97</v>
      </c>
      <c r="E33" s="64">
        <v>6.15</v>
      </c>
      <c r="F33" s="64">
        <v>4.41</v>
      </c>
      <c r="G33" s="64">
        <v>183.88</v>
      </c>
      <c r="H33" s="64">
        <v>89.61</v>
      </c>
      <c r="I33" s="64">
        <v>6.63</v>
      </c>
      <c r="J33" s="64">
        <v>2.4300000000000002</v>
      </c>
      <c r="K33" s="64">
        <v>333.16</v>
      </c>
      <c r="L33" s="64">
        <v>12.85</v>
      </c>
      <c r="M33" s="64">
        <v>78.599999999999994</v>
      </c>
      <c r="N33" s="64">
        <v>33.799999999999997</v>
      </c>
      <c r="O33" s="64">
        <v>0</v>
      </c>
      <c r="P33" s="64">
        <v>1.4</v>
      </c>
      <c r="Q33" s="64">
        <v>10.6</v>
      </c>
      <c r="R33" s="196"/>
      <c r="S33" s="196"/>
      <c r="T33" s="196"/>
      <c r="U33" s="196"/>
    </row>
    <row r="34" spans="1:21" s="12" customFormat="1" x14ac:dyDescent="0.25">
      <c r="A34" s="211" t="s">
        <v>2288</v>
      </c>
      <c r="B34" s="64">
        <v>20.46</v>
      </c>
      <c r="C34" s="64">
        <v>45.27</v>
      </c>
      <c r="D34" s="64">
        <v>38.69</v>
      </c>
      <c r="E34" s="64">
        <v>6.02</v>
      </c>
      <c r="F34" s="64">
        <v>4.0999999999999996</v>
      </c>
      <c r="G34" s="64">
        <v>175.02</v>
      </c>
      <c r="H34" s="64">
        <v>86.81</v>
      </c>
      <c r="I34" s="64">
        <v>6.43</v>
      </c>
      <c r="J34" s="64">
        <v>0.38</v>
      </c>
      <c r="K34" s="64">
        <v>303.05</v>
      </c>
      <c r="L34" s="64">
        <v>12.67</v>
      </c>
      <c r="M34" s="64">
        <v>79.39</v>
      </c>
      <c r="N34" s="64">
        <v>36.9</v>
      </c>
      <c r="O34" s="64">
        <v>0</v>
      </c>
      <c r="P34" s="64">
        <v>1.35</v>
      </c>
      <c r="Q34" s="64">
        <v>10.59</v>
      </c>
      <c r="R34" s="196"/>
      <c r="S34" s="196"/>
      <c r="T34" s="196"/>
      <c r="U34" s="196"/>
    </row>
    <row r="35" spans="1:21" s="12" customFormat="1" x14ac:dyDescent="0.25">
      <c r="A35" s="211" t="s">
        <v>2289</v>
      </c>
      <c r="B35" s="64">
        <v>19.670000000000002</v>
      </c>
      <c r="C35" s="64">
        <v>43.01</v>
      </c>
      <c r="D35" s="64">
        <v>36.869999999999997</v>
      </c>
      <c r="E35" s="64">
        <v>5.96</v>
      </c>
      <c r="F35" s="64">
        <v>3.92</v>
      </c>
      <c r="G35" s="64">
        <v>175.02</v>
      </c>
      <c r="H35" s="64">
        <v>86.81</v>
      </c>
      <c r="I35" s="64">
        <v>6.26</v>
      </c>
      <c r="J35" s="64">
        <v>1.75</v>
      </c>
      <c r="K35" s="64">
        <v>316.87</v>
      </c>
      <c r="L35" s="64">
        <v>12.67</v>
      </c>
      <c r="M35" s="64">
        <v>79.3</v>
      </c>
      <c r="N35" s="64">
        <v>46</v>
      </c>
      <c r="O35" s="64">
        <v>0</v>
      </c>
      <c r="P35" s="64">
        <v>1.31</v>
      </c>
      <c r="Q35" s="64">
        <v>10.5</v>
      </c>
      <c r="R35" s="196"/>
      <c r="S35" s="196"/>
      <c r="T35" s="196"/>
      <c r="U35" s="196"/>
    </row>
    <row r="36" spans="1:21" s="12" customFormat="1" x14ac:dyDescent="0.25">
      <c r="A36" s="211" t="s">
        <v>2290</v>
      </c>
      <c r="B36" s="64">
        <v>19.02</v>
      </c>
      <c r="C36" s="64">
        <v>43.05</v>
      </c>
      <c r="D36" s="64">
        <v>36.369999999999997</v>
      </c>
      <c r="E36" s="64">
        <v>5.53</v>
      </c>
      <c r="F36" s="64">
        <v>3.84</v>
      </c>
      <c r="G36" s="64">
        <v>175.02</v>
      </c>
      <c r="H36" s="64">
        <v>86.81</v>
      </c>
      <c r="I36" s="64">
        <v>6.07</v>
      </c>
      <c r="J36" s="64">
        <v>1.85</v>
      </c>
      <c r="K36" s="64">
        <v>121.63</v>
      </c>
      <c r="L36" s="64">
        <v>12.85</v>
      </c>
      <c r="M36" s="64">
        <v>78.069999999999993</v>
      </c>
      <c r="N36" s="64">
        <v>60.1</v>
      </c>
      <c r="O36" s="64">
        <v>0</v>
      </c>
      <c r="P36" s="64">
        <v>1.3</v>
      </c>
      <c r="Q36" s="64">
        <v>10.49</v>
      </c>
      <c r="R36" s="196"/>
      <c r="S36" s="196"/>
      <c r="T36" s="196"/>
      <c r="U36" s="196"/>
    </row>
    <row r="37" spans="1:21" s="12" customFormat="1" x14ac:dyDescent="0.25">
      <c r="A37" s="211" t="s">
        <v>2291</v>
      </c>
      <c r="B37" s="64">
        <v>18.12</v>
      </c>
      <c r="C37" s="64">
        <v>43.05</v>
      </c>
      <c r="D37" s="64">
        <v>35.65</v>
      </c>
      <c r="E37" s="64">
        <v>5.83</v>
      </c>
      <c r="F37" s="64">
        <v>3.9</v>
      </c>
      <c r="G37" s="64">
        <v>157.07</v>
      </c>
      <c r="H37" s="64">
        <v>78.239999999999995</v>
      </c>
      <c r="I37" s="64">
        <v>6.04</v>
      </c>
      <c r="J37" s="64">
        <v>1.31</v>
      </c>
      <c r="K37" s="64">
        <v>129.72</v>
      </c>
      <c r="L37" s="64">
        <v>13.04</v>
      </c>
      <c r="M37" s="64">
        <v>78.010000000000005</v>
      </c>
      <c r="N37" s="64">
        <v>77.2</v>
      </c>
      <c r="O37" s="64">
        <v>0</v>
      </c>
      <c r="P37" s="64">
        <v>1.23</v>
      </c>
      <c r="Q37" s="64">
        <v>10.52</v>
      </c>
      <c r="R37" s="196"/>
      <c r="S37" s="196"/>
      <c r="T37" s="196"/>
      <c r="U37" s="196"/>
    </row>
    <row r="38" spans="1:21" s="12" customFormat="1" x14ac:dyDescent="0.25">
      <c r="A38" s="211" t="s">
        <v>2292</v>
      </c>
      <c r="B38" s="64">
        <v>17.27</v>
      </c>
      <c r="C38" s="64">
        <v>42.48</v>
      </c>
      <c r="D38" s="64">
        <v>34.67</v>
      </c>
      <c r="E38" s="64">
        <v>5.89</v>
      </c>
      <c r="F38" s="64">
        <v>3.89</v>
      </c>
      <c r="G38" s="64">
        <v>146.16999999999999</v>
      </c>
      <c r="H38" s="64">
        <v>76.37</v>
      </c>
      <c r="I38" s="64">
        <v>6.11</v>
      </c>
      <c r="J38" s="64">
        <v>1.63</v>
      </c>
      <c r="K38" s="64">
        <v>118.5</v>
      </c>
      <c r="L38" s="64">
        <v>13.46</v>
      </c>
      <c r="M38" s="64">
        <v>76.94</v>
      </c>
      <c r="N38" s="64">
        <v>101.4</v>
      </c>
      <c r="O38" s="64">
        <v>0</v>
      </c>
      <c r="P38" s="64">
        <v>1.25</v>
      </c>
      <c r="Q38" s="64">
        <v>10.53</v>
      </c>
      <c r="R38" s="196"/>
      <c r="S38" s="196"/>
      <c r="T38" s="196"/>
      <c r="U38" s="196"/>
    </row>
    <row r="39" spans="1:21" s="12" customFormat="1" x14ac:dyDescent="0.25">
      <c r="A39" s="211" t="s">
        <v>2293</v>
      </c>
      <c r="B39" s="64">
        <v>16.63</v>
      </c>
      <c r="C39" s="64">
        <v>42.1</v>
      </c>
      <c r="D39" s="64">
        <v>33.96</v>
      </c>
      <c r="E39" s="64">
        <v>5.82</v>
      </c>
      <c r="F39" s="64">
        <v>3.68</v>
      </c>
      <c r="G39" s="64">
        <v>146.16999999999999</v>
      </c>
      <c r="H39" s="64">
        <v>76.37</v>
      </c>
      <c r="I39" s="64">
        <v>6.13</v>
      </c>
      <c r="J39" s="64">
        <v>0.88</v>
      </c>
      <c r="K39" s="64">
        <v>126.99</v>
      </c>
      <c r="L39" s="64">
        <v>14.17</v>
      </c>
      <c r="M39" s="64">
        <v>74.84</v>
      </c>
      <c r="N39" s="64">
        <v>138</v>
      </c>
      <c r="O39" s="64">
        <v>0</v>
      </c>
      <c r="P39" s="64">
        <v>1.22</v>
      </c>
      <c r="Q39" s="64">
        <v>10.52</v>
      </c>
      <c r="R39" s="196"/>
      <c r="S39" s="196"/>
      <c r="T39" s="196"/>
      <c r="U39" s="196"/>
    </row>
    <row r="40" spans="1:21" s="12" customFormat="1" x14ac:dyDescent="0.25">
      <c r="A40" s="211" t="s">
        <v>2294</v>
      </c>
      <c r="B40" s="64">
        <v>16.670000000000002</v>
      </c>
      <c r="C40" s="64">
        <v>42.01</v>
      </c>
      <c r="D40" s="64">
        <v>33.94</v>
      </c>
      <c r="E40" s="64">
        <v>7.43</v>
      </c>
      <c r="F40" s="64">
        <v>3.7</v>
      </c>
      <c r="G40" s="64">
        <v>146.16999999999999</v>
      </c>
      <c r="H40" s="64">
        <v>76.37</v>
      </c>
      <c r="I40" s="64">
        <v>6.13</v>
      </c>
      <c r="J40" s="64">
        <v>1.55</v>
      </c>
      <c r="K40" s="64">
        <v>312.27999999999997</v>
      </c>
      <c r="L40" s="64">
        <v>15.36</v>
      </c>
      <c r="M40" s="64">
        <v>69.36</v>
      </c>
      <c r="N40" s="64">
        <v>171</v>
      </c>
      <c r="O40" s="64">
        <v>0</v>
      </c>
      <c r="P40" s="64">
        <v>1.21</v>
      </c>
      <c r="Q40" s="64">
        <v>10.52</v>
      </c>
      <c r="R40" s="196"/>
      <c r="S40" s="196"/>
      <c r="T40" s="196"/>
      <c r="U40" s="196"/>
    </row>
    <row r="41" spans="1:21" s="12" customFormat="1" x14ac:dyDescent="0.25">
      <c r="A41" s="211" t="s">
        <v>2295</v>
      </c>
      <c r="B41" s="64">
        <v>17.420000000000002</v>
      </c>
      <c r="C41" s="64">
        <v>42.49</v>
      </c>
      <c r="D41" s="64">
        <v>34.79</v>
      </c>
      <c r="E41" s="64">
        <v>6.85</v>
      </c>
      <c r="F41" s="64">
        <v>3.52</v>
      </c>
      <c r="G41" s="64">
        <v>138.66</v>
      </c>
      <c r="H41" s="64">
        <v>67.87</v>
      </c>
      <c r="I41" s="64">
        <v>6.11</v>
      </c>
      <c r="J41" s="64">
        <v>1.99</v>
      </c>
      <c r="K41" s="64">
        <v>112.49</v>
      </c>
      <c r="L41" s="64">
        <v>15.82</v>
      </c>
      <c r="M41" s="64">
        <v>66.14</v>
      </c>
      <c r="N41" s="64">
        <v>209.5</v>
      </c>
      <c r="O41" s="64">
        <v>0</v>
      </c>
      <c r="P41" s="64">
        <v>1.21</v>
      </c>
      <c r="Q41" s="64">
        <v>10.54</v>
      </c>
      <c r="R41" s="196"/>
      <c r="S41" s="196"/>
      <c r="T41" s="196"/>
      <c r="U41" s="196"/>
    </row>
    <row r="42" spans="1:21" s="12" customFormat="1" x14ac:dyDescent="0.25">
      <c r="A42" s="211" t="s">
        <v>2296</v>
      </c>
      <c r="B42" s="64">
        <v>17.649999999999999</v>
      </c>
      <c r="C42" s="64">
        <v>42.77</v>
      </c>
      <c r="D42" s="64">
        <v>35.119999999999997</v>
      </c>
      <c r="E42" s="64">
        <v>6.82</v>
      </c>
      <c r="F42" s="64">
        <v>3.61</v>
      </c>
      <c r="G42" s="64">
        <v>134.1</v>
      </c>
      <c r="H42" s="64">
        <v>64.67</v>
      </c>
      <c r="I42" s="64">
        <v>6.14</v>
      </c>
      <c r="J42" s="64">
        <v>0.76</v>
      </c>
      <c r="K42" s="64">
        <v>333.18</v>
      </c>
      <c r="L42" s="64">
        <v>16.63</v>
      </c>
      <c r="M42" s="64">
        <v>62.48</v>
      </c>
      <c r="N42" s="64">
        <v>240.2</v>
      </c>
      <c r="O42" s="64">
        <v>0</v>
      </c>
      <c r="P42" s="64">
        <v>1.17</v>
      </c>
      <c r="Q42" s="64">
        <v>10.58</v>
      </c>
      <c r="R42" s="196"/>
      <c r="S42" s="196"/>
      <c r="T42" s="196"/>
      <c r="U42" s="196"/>
    </row>
    <row r="43" spans="1:21" s="12" customFormat="1" x14ac:dyDescent="0.25">
      <c r="A43" s="211" t="s">
        <v>2297</v>
      </c>
      <c r="B43" s="64">
        <v>17.89</v>
      </c>
      <c r="C43" s="64">
        <v>44.12</v>
      </c>
      <c r="D43" s="64">
        <v>36.020000000000003</v>
      </c>
      <c r="E43" s="64">
        <v>6.21</v>
      </c>
      <c r="F43" s="64">
        <v>3.82</v>
      </c>
      <c r="G43" s="64">
        <v>134.1</v>
      </c>
      <c r="H43" s="64">
        <v>64.67</v>
      </c>
      <c r="I43" s="64">
        <v>6.1</v>
      </c>
      <c r="J43" s="64">
        <v>3.37</v>
      </c>
      <c r="K43" s="64">
        <v>107.4</v>
      </c>
      <c r="L43" s="64">
        <v>16.53</v>
      </c>
      <c r="M43" s="64">
        <v>61.32</v>
      </c>
      <c r="N43" s="64">
        <v>276.8</v>
      </c>
      <c r="O43" s="64">
        <v>0</v>
      </c>
      <c r="P43" s="64">
        <v>1.17</v>
      </c>
      <c r="Q43" s="64">
        <v>10.65</v>
      </c>
      <c r="R43" s="196"/>
      <c r="S43" s="196"/>
      <c r="T43" s="196"/>
      <c r="U43" s="196"/>
    </row>
    <row r="44" spans="1:21" s="12" customFormat="1" x14ac:dyDescent="0.25">
      <c r="A44" s="211" t="s">
        <v>2298</v>
      </c>
      <c r="B44" s="64">
        <v>16.62</v>
      </c>
      <c r="C44" s="64">
        <v>44.84</v>
      </c>
      <c r="D44" s="64">
        <v>35.380000000000003</v>
      </c>
      <c r="E44" s="64">
        <v>6.66</v>
      </c>
      <c r="F44" s="64">
        <v>4.16</v>
      </c>
      <c r="G44" s="64">
        <v>134.1</v>
      </c>
      <c r="H44" s="64">
        <v>64.67</v>
      </c>
      <c r="I44" s="64">
        <v>6.3</v>
      </c>
      <c r="J44" s="64">
        <v>2.0299999999999998</v>
      </c>
      <c r="K44" s="64">
        <v>107.5</v>
      </c>
      <c r="L44" s="64">
        <v>17.239999999999998</v>
      </c>
      <c r="M44" s="64">
        <v>58.76</v>
      </c>
      <c r="N44" s="64">
        <v>304.89999999999998</v>
      </c>
      <c r="O44" s="64">
        <v>0</v>
      </c>
      <c r="P44" s="64">
        <v>1.1499999999999999</v>
      </c>
      <c r="Q44" s="64">
        <v>10.57</v>
      </c>
      <c r="R44" s="196"/>
      <c r="S44" s="196"/>
      <c r="T44" s="196"/>
      <c r="U44" s="196"/>
    </row>
    <row r="45" spans="1:21" s="12" customFormat="1" x14ac:dyDescent="0.25">
      <c r="A45" s="211" t="s">
        <v>2299</v>
      </c>
      <c r="B45" s="64">
        <v>14.8</v>
      </c>
      <c r="C45" s="64">
        <v>45.15</v>
      </c>
      <c r="D45" s="64">
        <v>34.090000000000003</v>
      </c>
      <c r="E45" s="64">
        <v>6.39</v>
      </c>
      <c r="F45" s="64">
        <v>4.2</v>
      </c>
      <c r="G45" s="64">
        <v>122.04</v>
      </c>
      <c r="H45" s="64">
        <v>52.21</v>
      </c>
      <c r="I45" s="64">
        <v>6.54</v>
      </c>
      <c r="J45" s="64">
        <v>3.11</v>
      </c>
      <c r="K45" s="64">
        <v>112.5</v>
      </c>
      <c r="L45" s="64">
        <v>17.38</v>
      </c>
      <c r="M45" s="64">
        <v>58.82</v>
      </c>
      <c r="N45" s="64">
        <v>339.1</v>
      </c>
      <c r="O45" s="64">
        <v>0</v>
      </c>
      <c r="P45" s="64">
        <v>1.1200000000000001</v>
      </c>
      <c r="Q45" s="64">
        <v>10.51</v>
      </c>
      <c r="R45" s="196"/>
      <c r="S45" s="196"/>
      <c r="T45" s="196"/>
      <c r="U45" s="196"/>
    </row>
    <row r="46" spans="1:21" s="12" customFormat="1" x14ac:dyDescent="0.25">
      <c r="A46" s="211" t="s">
        <v>2300</v>
      </c>
      <c r="B46" s="64">
        <v>12.94</v>
      </c>
      <c r="C46" s="64">
        <v>45.83</v>
      </c>
      <c r="D46" s="64">
        <v>32.94</v>
      </c>
      <c r="E46" s="64">
        <v>6.48</v>
      </c>
      <c r="F46" s="64">
        <v>4.38</v>
      </c>
      <c r="G46" s="64">
        <v>114.71</v>
      </c>
      <c r="H46" s="64">
        <v>49.49</v>
      </c>
      <c r="I46" s="64">
        <v>6.69</v>
      </c>
      <c r="J46" s="64">
        <v>2.74</v>
      </c>
      <c r="K46" s="64">
        <v>116.98</v>
      </c>
      <c r="L46" s="64">
        <v>18.16</v>
      </c>
      <c r="M46" s="64">
        <v>55.67</v>
      </c>
      <c r="N46" s="64">
        <v>367.6</v>
      </c>
      <c r="O46" s="64">
        <v>0</v>
      </c>
      <c r="P46" s="64">
        <v>1.0900000000000001</v>
      </c>
      <c r="Q46" s="64">
        <v>10.47</v>
      </c>
      <c r="R46" s="196"/>
      <c r="S46" s="196"/>
      <c r="T46" s="196"/>
      <c r="U46" s="196"/>
    </row>
    <row r="47" spans="1:21" s="12" customFormat="1" x14ac:dyDescent="0.25">
      <c r="A47" s="211" t="s">
        <v>2301</v>
      </c>
      <c r="B47" s="64">
        <v>11.32</v>
      </c>
      <c r="C47" s="64">
        <v>46.62</v>
      </c>
      <c r="D47" s="64">
        <v>32.049999999999997</v>
      </c>
      <c r="E47" s="64">
        <v>6.21</v>
      </c>
      <c r="F47" s="64">
        <v>4.3099999999999996</v>
      </c>
      <c r="G47" s="64">
        <v>114.71</v>
      </c>
      <c r="H47" s="64">
        <v>49.49</v>
      </c>
      <c r="I47" s="64">
        <v>6.86</v>
      </c>
      <c r="J47" s="64">
        <v>3.3</v>
      </c>
      <c r="K47" s="64">
        <v>110.89</v>
      </c>
      <c r="L47" s="64">
        <v>18.399999999999999</v>
      </c>
      <c r="M47" s="64">
        <v>55.2</v>
      </c>
      <c r="N47" s="64">
        <v>396.9</v>
      </c>
      <c r="O47" s="64">
        <v>0</v>
      </c>
      <c r="P47" s="64">
        <v>1.07</v>
      </c>
      <c r="Q47" s="64">
        <v>10.49</v>
      </c>
      <c r="R47" s="196"/>
      <c r="S47" s="196"/>
      <c r="T47" s="196"/>
      <c r="U47" s="196"/>
    </row>
    <row r="48" spans="1:21" s="12" customFormat="1" x14ac:dyDescent="0.25">
      <c r="A48" s="211" t="s">
        <v>2302</v>
      </c>
      <c r="B48" s="64">
        <v>9.5299999999999994</v>
      </c>
      <c r="C48" s="64">
        <v>46.81</v>
      </c>
      <c r="D48" s="64">
        <v>30.72</v>
      </c>
      <c r="E48" s="64">
        <v>6.02</v>
      </c>
      <c r="F48" s="64">
        <v>4.46</v>
      </c>
      <c r="G48" s="64">
        <v>114.71</v>
      </c>
      <c r="H48" s="64">
        <v>49.49</v>
      </c>
      <c r="I48" s="64">
        <v>7.02</v>
      </c>
      <c r="J48" s="64">
        <v>3.28</v>
      </c>
      <c r="K48" s="64">
        <v>119.55</v>
      </c>
      <c r="L48" s="64">
        <v>18.87</v>
      </c>
      <c r="M48" s="64">
        <v>54.15</v>
      </c>
      <c r="N48" s="64">
        <v>419.4</v>
      </c>
      <c r="O48" s="64">
        <v>0</v>
      </c>
      <c r="P48" s="64">
        <v>1.04</v>
      </c>
      <c r="Q48" s="64">
        <v>10.48</v>
      </c>
      <c r="R48" s="196"/>
      <c r="S48" s="196"/>
      <c r="T48" s="196"/>
      <c r="U48" s="196"/>
    </row>
    <row r="49" spans="1:21" s="12" customFormat="1" x14ac:dyDescent="0.25">
      <c r="A49" s="211" t="s">
        <v>2303</v>
      </c>
      <c r="B49" s="64">
        <v>7.86</v>
      </c>
      <c r="C49" s="64">
        <v>47.1</v>
      </c>
      <c r="D49" s="64">
        <v>29.53</v>
      </c>
      <c r="E49" s="64">
        <v>6.32</v>
      </c>
      <c r="F49" s="64">
        <v>4.59</v>
      </c>
      <c r="G49" s="64">
        <v>112.16</v>
      </c>
      <c r="H49" s="64">
        <v>49.39</v>
      </c>
      <c r="I49" s="64">
        <v>7.16</v>
      </c>
      <c r="J49" s="64">
        <v>2</v>
      </c>
      <c r="K49" s="64">
        <v>116.35</v>
      </c>
      <c r="L49" s="64">
        <v>19.88</v>
      </c>
      <c r="M49" s="64">
        <v>50.54</v>
      </c>
      <c r="N49" s="64">
        <v>433.1</v>
      </c>
      <c r="O49" s="64">
        <v>0</v>
      </c>
      <c r="P49" s="64">
        <v>1.01</v>
      </c>
      <c r="Q49" s="64">
        <v>10.46</v>
      </c>
      <c r="R49" s="196"/>
      <c r="S49" s="196"/>
      <c r="T49" s="196"/>
      <c r="U49" s="196"/>
    </row>
    <row r="50" spans="1:21" s="12" customFormat="1" x14ac:dyDescent="0.25">
      <c r="A50" s="211" t="s">
        <v>2304</v>
      </c>
      <c r="B50" s="64">
        <v>6.54</v>
      </c>
      <c r="C50" s="64">
        <v>47.58</v>
      </c>
      <c r="D50" s="64">
        <v>28.73</v>
      </c>
      <c r="E50" s="64">
        <v>6.16</v>
      </c>
      <c r="F50" s="64">
        <v>4.6900000000000004</v>
      </c>
      <c r="G50" s="64">
        <v>110.61</v>
      </c>
      <c r="H50" s="64">
        <v>49.37</v>
      </c>
      <c r="I50" s="64">
        <v>7.32</v>
      </c>
      <c r="J50" s="64">
        <v>0.98</v>
      </c>
      <c r="K50" s="64">
        <v>58.32</v>
      </c>
      <c r="L50" s="64">
        <v>20.7</v>
      </c>
      <c r="M50" s="64">
        <v>48.35</v>
      </c>
      <c r="N50" s="64">
        <v>450.3</v>
      </c>
      <c r="O50" s="64">
        <v>0</v>
      </c>
      <c r="P50" s="64">
        <v>0.99</v>
      </c>
      <c r="Q50" s="64">
        <v>10.45</v>
      </c>
      <c r="R50" s="196"/>
      <c r="S50" s="196"/>
      <c r="T50" s="196"/>
      <c r="U50" s="196"/>
    </row>
    <row r="51" spans="1:21" s="12" customFormat="1" x14ac:dyDescent="0.25">
      <c r="A51" s="211" t="s">
        <v>2305</v>
      </c>
      <c r="B51" s="64">
        <v>5.54</v>
      </c>
      <c r="C51" s="64">
        <v>48.07</v>
      </c>
      <c r="D51" s="64">
        <v>28.18</v>
      </c>
      <c r="E51" s="64">
        <v>6.14</v>
      </c>
      <c r="F51" s="64">
        <v>4.7300000000000004</v>
      </c>
      <c r="G51" s="64">
        <v>110.61</v>
      </c>
      <c r="H51" s="64">
        <v>49.37</v>
      </c>
      <c r="I51" s="64">
        <v>7.41</v>
      </c>
      <c r="J51" s="64">
        <v>2.99</v>
      </c>
      <c r="K51" s="64">
        <v>332.79</v>
      </c>
      <c r="L51" s="64">
        <v>24.15</v>
      </c>
      <c r="M51" s="64">
        <v>40</v>
      </c>
      <c r="N51" s="64">
        <v>473.3</v>
      </c>
      <c r="O51" s="64">
        <v>0</v>
      </c>
      <c r="P51" s="64">
        <v>0.99</v>
      </c>
      <c r="Q51" s="64">
        <v>10.45</v>
      </c>
      <c r="R51" s="196"/>
      <c r="S51" s="196"/>
      <c r="T51" s="196"/>
      <c r="U51" s="196"/>
    </row>
    <row r="52" spans="1:21" s="12" customFormat="1" x14ac:dyDescent="0.25">
      <c r="A52" s="211" t="s">
        <v>2306</v>
      </c>
      <c r="B52" s="64">
        <v>4.83</v>
      </c>
      <c r="C52" s="64">
        <v>49.83</v>
      </c>
      <c r="D52" s="64">
        <v>28.53</v>
      </c>
      <c r="E52" s="64">
        <v>7.26</v>
      </c>
      <c r="F52" s="64">
        <v>6.19</v>
      </c>
      <c r="G52" s="64">
        <v>110.61</v>
      </c>
      <c r="H52" s="64">
        <v>49.37</v>
      </c>
      <c r="I52" s="64">
        <v>7.4</v>
      </c>
      <c r="J52" s="64">
        <v>0.3</v>
      </c>
      <c r="K52" s="64">
        <v>63.54</v>
      </c>
      <c r="L52" s="64">
        <v>24.14</v>
      </c>
      <c r="M52" s="64">
        <v>40.92</v>
      </c>
      <c r="N52" s="64">
        <v>490.9</v>
      </c>
      <c r="O52" s="64">
        <v>0</v>
      </c>
      <c r="P52" s="64">
        <v>0.98</v>
      </c>
      <c r="Q52" s="64">
        <v>10.37</v>
      </c>
      <c r="R52" s="196"/>
      <c r="S52" s="196"/>
      <c r="T52" s="196"/>
      <c r="U52" s="196"/>
    </row>
    <row r="53" spans="1:21" s="12" customFormat="1" x14ac:dyDescent="0.25">
      <c r="A53" s="211" t="s">
        <v>2307</v>
      </c>
      <c r="B53" s="64">
        <v>3.46</v>
      </c>
      <c r="C53" s="64">
        <v>52.05</v>
      </c>
      <c r="D53" s="64">
        <v>28.59</v>
      </c>
      <c r="E53" s="64">
        <v>7.53</v>
      </c>
      <c r="F53" s="64">
        <v>6.64</v>
      </c>
      <c r="G53" s="64">
        <v>97.62</v>
      </c>
      <c r="H53" s="64">
        <v>54.77</v>
      </c>
      <c r="I53" s="64">
        <v>7.21</v>
      </c>
      <c r="J53" s="64">
        <v>2.0299999999999998</v>
      </c>
      <c r="K53" s="64">
        <v>132.68</v>
      </c>
      <c r="L53" s="64">
        <v>22.68</v>
      </c>
      <c r="M53" s="64">
        <v>42.44</v>
      </c>
      <c r="N53" s="64">
        <v>516.1</v>
      </c>
      <c r="O53" s="64">
        <v>0</v>
      </c>
      <c r="P53" s="64">
        <v>0.94</v>
      </c>
      <c r="Q53" s="64">
        <v>10.41</v>
      </c>
      <c r="R53" s="196"/>
      <c r="S53" s="196"/>
      <c r="T53" s="196"/>
      <c r="U53" s="196"/>
    </row>
    <row r="54" spans="1:21" s="12" customFormat="1" x14ac:dyDescent="0.25">
      <c r="A54" s="211" t="s">
        <v>2308</v>
      </c>
      <c r="B54" s="64">
        <v>2.87</v>
      </c>
      <c r="C54" s="64">
        <v>51.08</v>
      </c>
      <c r="D54" s="64">
        <v>27.61</v>
      </c>
      <c r="E54" s="64">
        <v>7.49</v>
      </c>
      <c r="F54" s="64">
        <v>8.3000000000000007</v>
      </c>
      <c r="G54" s="64">
        <v>89.74</v>
      </c>
      <c r="H54" s="64">
        <v>55.85</v>
      </c>
      <c r="I54" s="64">
        <v>6.86</v>
      </c>
      <c r="J54" s="64">
        <v>1.99</v>
      </c>
      <c r="K54" s="64">
        <v>158.62</v>
      </c>
      <c r="L54" s="64">
        <v>22.53</v>
      </c>
      <c r="M54" s="64">
        <v>42.51</v>
      </c>
      <c r="N54" s="64">
        <v>517.6</v>
      </c>
      <c r="O54" s="64">
        <v>0</v>
      </c>
      <c r="P54" s="64">
        <v>0.91</v>
      </c>
      <c r="Q54" s="64">
        <v>10.46</v>
      </c>
      <c r="R54" s="196"/>
      <c r="S54" s="196"/>
      <c r="T54" s="196"/>
      <c r="U54" s="196"/>
    </row>
    <row r="55" spans="1:21" s="12" customFormat="1" x14ac:dyDescent="0.25">
      <c r="A55" s="211" t="s">
        <v>2309</v>
      </c>
      <c r="B55" s="64">
        <v>2.3199999999999998</v>
      </c>
      <c r="C55" s="64">
        <v>49.56</v>
      </c>
      <c r="D55" s="64">
        <v>26.38</v>
      </c>
      <c r="E55" s="64">
        <v>7.87</v>
      </c>
      <c r="F55" s="64">
        <v>7.64</v>
      </c>
      <c r="G55" s="64">
        <v>89.74</v>
      </c>
      <c r="H55" s="64">
        <v>55.85</v>
      </c>
      <c r="I55" s="64">
        <v>6.82</v>
      </c>
      <c r="J55" s="64">
        <v>0.93</v>
      </c>
      <c r="K55" s="64">
        <v>36.9</v>
      </c>
      <c r="L55" s="64">
        <v>23.17</v>
      </c>
      <c r="M55" s="64">
        <v>40.909999999999997</v>
      </c>
      <c r="N55" s="64">
        <v>508.7</v>
      </c>
      <c r="O55" s="64">
        <v>0</v>
      </c>
      <c r="P55" s="64">
        <v>0.87</v>
      </c>
      <c r="Q55" s="64">
        <v>10.53</v>
      </c>
      <c r="R55" s="196"/>
      <c r="S55" s="196"/>
      <c r="T55" s="196"/>
      <c r="U55" s="196"/>
    </row>
    <row r="56" spans="1:21" s="12" customFormat="1" x14ac:dyDescent="0.25">
      <c r="A56" s="211" t="s">
        <v>2310</v>
      </c>
      <c r="B56" s="64">
        <v>2.31</v>
      </c>
      <c r="C56" s="64">
        <v>48.45</v>
      </c>
      <c r="D56" s="64">
        <v>25.79</v>
      </c>
      <c r="E56" s="64">
        <v>5.46</v>
      </c>
      <c r="F56" s="64">
        <v>6</v>
      </c>
      <c r="G56" s="64">
        <v>89.74</v>
      </c>
      <c r="H56" s="64">
        <v>55.85</v>
      </c>
      <c r="I56" s="64">
        <v>6.8</v>
      </c>
      <c r="J56" s="64">
        <v>2.4900000000000002</v>
      </c>
      <c r="K56" s="64">
        <v>319.25</v>
      </c>
      <c r="L56" s="64">
        <v>25.03</v>
      </c>
      <c r="M56" s="64">
        <v>36.65</v>
      </c>
      <c r="N56" s="64">
        <v>501.8</v>
      </c>
      <c r="O56" s="64">
        <v>0</v>
      </c>
      <c r="P56" s="64">
        <v>0.88</v>
      </c>
      <c r="Q56" s="64">
        <v>10.52</v>
      </c>
      <c r="R56" s="196"/>
      <c r="S56" s="196"/>
      <c r="T56" s="196"/>
      <c r="U56" s="196"/>
    </row>
    <row r="57" spans="1:21" s="12" customFormat="1" x14ac:dyDescent="0.25">
      <c r="A57" s="211" t="s">
        <v>2311</v>
      </c>
      <c r="B57" s="64">
        <v>2.42</v>
      </c>
      <c r="C57" s="64">
        <v>48.8</v>
      </c>
      <c r="D57" s="64">
        <v>26.06</v>
      </c>
      <c r="E57" s="64">
        <v>7.8</v>
      </c>
      <c r="F57" s="64">
        <v>6.66</v>
      </c>
      <c r="G57" s="64">
        <v>105.94</v>
      </c>
      <c r="H57" s="64">
        <v>62.25</v>
      </c>
      <c r="I57" s="64">
        <v>6.75</v>
      </c>
      <c r="J57" s="64">
        <v>2.4900000000000002</v>
      </c>
      <c r="K57" s="64">
        <v>342.48</v>
      </c>
      <c r="L57" s="64">
        <v>25.4</v>
      </c>
      <c r="M57" s="64">
        <v>35.549999999999997</v>
      </c>
      <c r="N57" s="64">
        <v>475.8</v>
      </c>
      <c r="O57" s="64">
        <v>0</v>
      </c>
      <c r="P57" s="64">
        <v>0.85</v>
      </c>
      <c r="Q57" s="64">
        <v>10.54</v>
      </c>
      <c r="R57" s="196"/>
      <c r="S57" s="196"/>
      <c r="T57" s="196"/>
      <c r="U57" s="196"/>
    </row>
    <row r="58" spans="1:21" s="12" customFormat="1" x14ac:dyDescent="0.25">
      <c r="A58" s="211" t="s">
        <v>2312</v>
      </c>
      <c r="B58" s="64">
        <v>2.3199999999999998</v>
      </c>
      <c r="C58" s="64">
        <v>48.99</v>
      </c>
      <c r="D58" s="64">
        <v>26.08</v>
      </c>
      <c r="E58" s="64">
        <v>7.8</v>
      </c>
      <c r="F58" s="64">
        <v>7.13</v>
      </c>
      <c r="G58" s="64">
        <v>115.78</v>
      </c>
      <c r="H58" s="64">
        <v>64.64</v>
      </c>
      <c r="I58" s="64">
        <v>6.52</v>
      </c>
      <c r="J58" s="64">
        <v>0.48</v>
      </c>
      <c r="K58" s="64">
        <v>121.99</v>
      </c>
      <c r="L58" s="64">
        <v>24.68</v>
      </c>
      <c r="M58" s="64">
        <v>35.340000000000003</v>
      </c>
      <c r="N58" s="64">
        <v>430.5</v>
      </c>
      <c r="O58" s="64">
        <v>0</v>
      </c>
      <c r="P58" s="64">
        <v>0.83</v>
      </c>
      <c r="Q58" s="64">
        <v>10.56</v>
      </c>
      <c r="R58" s="196"/>
      <c r="S58" s="196"/>
      <c r="T58" s="196"/>
      <c r="U58" s="196"/>
    </row>
    <row r="59" spans="1:21" s="12" customFormat="1" x14ac:dyDescent="0.25">
      <c r="A59" s="211" t="s">
        <v>2313</v>
      </c>
      <c r="B59" s="64">
        <v>1.99</v>
      </c>
      <c r="C59" s="64">
        <v>49.36</v>
      </c>
      <c r="D59" s="64">
        <v>26</v>
      </c>
      <c r="E59" s="64">
        <v>8.1199999999999992</v>
      </c>
      <c r="F59" s="64">
        <v>8.7799999999999994</v>
      </c>
      <c r="G59" s="64">
        <v>115.78</v>
      </c>
      <c r="H59" s="64">
        <v>64.64</v>
      </c>
      <c r="I59" s="64">
        <v>6.14</v>
      </c>
      <c r="J59" s="64">
        <v>2.87</v>
      </c>
      <c r="K59" s="64">
        <v>336.1</v>
      </c>
      <c r="L59" s="64">
        <v>24.39</v>
      </c>
      <c r="M59" s="64">
        <v>37.1</v>
      </c>
      <c r="N59" s="64">
        <v>398.5</v>
      </c>
      <c r="O59" s="64">
        <v>0</v>
      </c>
      <c r="P59" s="64">
        <v>0.83</v>
      </c>
      <c r="Q59" s="64">
        <v>10.58</v>
      </c>
      <c r="R59" s="196"/>
      <c r="S59" s="196"/>
      <c r="T59" s="196"/>
      <c r="U59" s="196"/>
    </row>
    <row r="60" spans="1:21" s="12" customFormat="1" x14ac:dyDescent="0.25">
      <c r="A60" s="211" t="s">
        <v>2314</v>
      </c>
      <c r="B60" s="64">
        <v>1.96</v>
      </c>
      <c r="C60" s="64">
        <v>50.29</v>
      </c>
      <c r="D60" s="64">
        <v>26.47</v>
      </c>
      <c r="E60" s="64">
        <v>7.69</v>
      </c>
      <c r="F60" s="64">
        <v>7.2</v>
      </c>
      <c r="G60" s="64">
        <v>115.78</v>
      </c>
      <c r="H60" s="64">
        <v>64.64</v>
      </c>
      <c r="I60" s="64">
        <v>6.02</v>
      </c>
      <c r="J60" s="64">
        <v>3.08</v>
      </c>
      <c r="K60" s="64">
        <v>322.29000000000002</v>
      </c>
      <c r="L60" s="64">
        <v>25.81</v>
      </c>
      <c r="M60" s="64">
        <v>34.79</v>
      </c>
      <c r="N60" s="64">
        <v>378.5</v>
      </c>
      <c r="O60" s="64">
        <v>0</v>
      </c>
      <c r="P60" s="64">
        <v>0.83</v>
      </c>
      <c r="Q60" s="64">
        <v>10.58</v>
      </c>
      <c r="R60" s="196"/>
      <c r="S60" s="196"/>
      <c r="T60" s="196"/>
      <c r="U60" s="196"/>
    </row>
    <row r="61" spans="1:21" s="12" customFormat="1" x14ac:dyDescent="0.25">
      <c r="A61" s="211" t="s">
        <v>2315</v>
      </c>
      <c r="B61" s="64">
        <v>2.09</v>
      </c>
      <c r="C61" s="64">
        <v>50.69</v>
      </c>
      <c r="D61" s="64">
        <v>26.78</v>
      </c>
      <c r="E61" s="64">
        <v>7.81</v>
      </c>
      <c r="F61" s="64">
        <v>7.09</v>
      </c>
      <c r="G61" s="64">
        <v>113.92</v>
      </c>
      <c r="H61" s="64">
        <v>55.89</v>
      </c>
      <c r="I61" s="64">
        <v>6.15</v>
      </c>
      <c r="J61" s="64">
        <v>3.12</v>
      </c>
      <c r="K61" s="64">
        <v>324.06</v>
      </c>
      <c r="L61" s="64">
        <v>25.62</v>
      </c>
      <c r="M61" s="64">
        <v>35.42</v>
      </c>
      <c r="N61" s="64">
        <v>352.8</v>
      </c>
      <c r="O61" s="64">
        <v>0</v>
      </c>
      <c r="P61" s="64">
        <v>0.81</v>
      </c>
      <c r="Q61" s="64">
        <v>10.55</v>
      </c>
      <c r="R61" s="196"/>
      <c r="S61" s="196"/>
      <c r="T61" s="196"/>
      <c r="U61" s="196"/>
    </row>
    <row r="62" spans="1:21" s="12" customFormat="1" x14ac:dyDescent="0.25">
      <c r="A62" s="211" t="s">
        <v>2316</v>
      </c>
      <c r="B62" s="64">
        <v>2.1800000000000002</v>
      </c>
      <c r="C62" s="64">
        <v>52.06</v>
      </c>
      <c r="D62" s="64">
        <v>27.57</v>
      </c>
      <c r="E62" s="64">
        <v>7.55</v>
      </c>
      <c r="F62" s="64">
        <v>6.64</v>
      </c>
      <c r="G62" s="64">
        <v>112.79</v>
      </c>
      <c r="H62" s="64">
        <v>53.98</v>
      </c>
      <c r="I62" s="64">
        <v>6.06</v>
      </c>
      <c r="J62" s="64">
        <v>2.8</v>
      </c>
      <c r="K62" s="64">
        <v>330.68</v>
      </c>
      <c r="L62" s="64">
        <v>25.33</v>
      </c>
      <c r="M62" s="64">
        <v>35.909999999999997</v>
      </c>
      <c r="N62" s="64">
        <v>324.60000000000002</v>
      </c>
      <c r="O62" s="64">
        <v>0</v>
      </c>
      <c r="P62" s="64">
        <v>0.84</v>
      </c>
      <c r="Q62" s="64">
        <v>10.53</v>
      </c>
      <c r="R62" s="196"/>
      <c r="S62" s="196"/>
      <c r="T62" s="196"/>
      <c r="U62" s="196"/>
    </row>
    <row r="63" spans="1:21" s="12" customFormat="1" x14ac:dyDescent="0.25">
      <c r="A63" s="211" t="s">
        <v>2317</v>
      </c>
      <c r="B63" s="64">
        <v>2.21</v>
      </c>
      <c r="C63" s="64">
        <v>52.8</v>
      </c>
      <c r="D63" s="64">
        <v>27.98</v>
      </c>
      <c r="E63" s="64">
        <v>7.38</v>
      </c>
      <c r="F63" s="64">
        <v>6.52</v>
      </c>
      <c r="G63" s="64">
        <v>112.79</v>
      </c>
      <c r="H63" s="64">
        <v>53.98</v>
      </c>
      <c r="I63" s="64">
        <v>5.87</v>
      </c>
      <c r="J63" s="64">
        <v>1.18</v>
      </c>
      <c r="K63" s="64">
        <v>89.23</v>
      </c>
      <c r="L63" s="64">
        <v>23.83</v>
      </c>
      <c r="M63" s="64">
        <v>38.840000000000003</v>
      </c>
      <c r="N63" s="64">
        <v>303.5</v>
      </c>
      <c r="O63" s="64">
        <v>0</v>
      </c>
      <c r="P63" s="64">
        <v>0.84</v>
      </c>
      <c r="Q63" s="64">
        <v>10.53</v>
      </c>
      <c r="R63" s="196"/>
      <c r="S63" s="196"/>
      <c r="T63" s="196"/>
      <c r="U63" s="196"/>
    </row>
    <row r="64" spans="1:21" s="12" customFormat="1" x14ac:dyDescent="0.25">
      <c r="A64" s="211" t="s">
        <v>2318</v>
      </c>
      <c r="B64" s="64">
        <v>2.06</v>
      </c>
      <c r="C64" s="64">
        <v>52.56</v>
      </c>
      <c r="D64" s="64">
        <v>27.74</v>
      </c>
      <c r="E64" s="64">
        <v>7.24</v>
      </c>
      <c r="F64" s="64">
        <v>5.87</v>
      </c>
      <c r="G64" s="64">
        <v>112.79</v>
      </c>
      <c r="H64" s="64">
        <v>53.98</v>
      </c>
      <c r="I64" s="64">
        <v>5.71</v>
      </c>
      <c r="J64" s="64">
        <v>1.57</v>
      </c>
      <c r="K64" s="64">
        <v>114.83</v>
      </c>
      <c r="L64" s="64">
        <v>22.65</v>
      </c>
      <c r="M64" s="64">
        <v>40.67</v>
      </c>
      <c r="N64" s="64">
        <v>265.8</v>
      </c>
      <c r="O64" s="64">
        <v>0</v>
      </c>
      <c r="P64" s="64">
        <v>0.83</v>
      </c>
      <c r="Q64" s="64">
        <v>10.49</v>
      </c>
      <c r="R64" s="196"/>
      <c r="S64" s="196"/>
      <c r="T64" s="196"/>
      <c r="U64" s="196"/>
    </row>
    <row r="65" spans="1:21" s="12" customFormat="1" x14ac:dyDescent="0.25">
      <c r="A65" s="211" t="s">
        <v>2319</v>
      </c>
      <c r="B65" s="64">
        <v>1.93</v>
      </c>
      <c r="C65" s="64">
        <v>51.48</v>
      </c>
      <c r="D65" s="64">
        <v>27.06</v>
      </c>
      <c r="E65" s="64">
        <v>6.99</v>
      </c>
      <c r="F65" s="64">
        <v>6.65</v>
      </c>
      <c r="G65" s="64">
        <v>114.87</v>
      </c>
      <c r="H65" s="64">
        <v>57.15</v>
      </c>
      <c r="I65" s="64">
        <v>5.41</v>
      </c>
      <c r="J65" s="64">
        <v>2.1800000000000002</v>
      </c>
      <c r="K65" s="64">
        <v>330.92</v>
      </c>
      <c r="L65" s="64">
        <v>22.9</v>
      </c>
      <c r="M65" s="64">
        <v>37.950000000000003</v>
      </c>
      <c r="N65" s="64">
        <v>186.1</v>
      </c>
      <c r="O65" s="64">
        <v>0</v>
      </c>
      <c r="P65" s="64">
        <v>0.82</v>
      </c>
      <c r="Q65" s="64">
        <v>10.48</v>
      </c>
      <c r="R65" s="196"/>
      <c r="S65" s="196"/>
      <c r="T65" s="196"/>
      <c r="U65" s="196"/>
    </row>
    <row r="66" spans="1:21" s="12" customFormat="1" x14ac:dyDescent="0.25">
      <c r="A66" s="211" t="s">
        <v>2320</v>
      </c>
      <c r="B66" s="64">
        <v>1.91</v>
      </c>
      <c r="C66" s="64">
        <v>51.08</v>
      </c>
      <c r="D66" s="64">
        <v>26.84</v>
      </c>
      <c r="E66" s="64">
        <v>7.29</v>
      </c>
      <c r="F66" s="64">
        <v>7</v>
      </c>
      <c r="G66" s="64">
        <v>116.13</v>
      </c>
      <c r="H66" s="64">
        <v>57.84</v>
      </c>
      <c r="I66" s="64">
        <v>5.65</v>
      </c>
      <c r="J66" s="64">
        <v>3.02</v>
      </c>
      <c r="K66" s="64">
        <v>317.67</v>
      </c>
      <c r="L66" s="64">
        <v>23.93</v>
      </c>
      <c r="M66" s="64">
        <v>34.93</v>
      </c>
      <c r="N66" s="64">
        <v>153.30000000000001</v>
      </c>
      <c r="O66" s="64">
        <v>0</v>
      </c>
      <c r="P66" s="64">
        <v>0.81</v>
      </c>
      <c r="Q66" s="64">
        <v>10.45</v>
      </c>
      <c r="R66" s="196"/>
      <c r="S66" s="196"/>
      <c r="T66" s="196"/>
      <c r="U66" s="196"/>
    </row>
    <row r="67" spans="1:21" s="12" customFormat="1" x14ac:dyDescent="0.25">
      <c r="A67" s="211" t="s">
        <v>2321</v>
      </c>
      <c r="B67" s="64">
        <v>2.0699999999999998</v>
      </c>
      <c r="C67" s="64">
        <v>51.78</v>
      </c>
      <c r="D67" s="64">
        <v>27.34</v>
      </c>
      <c r="E67" s="64">
        <v>6.75</v>
      </c>
      <c r="F67" s="64">
        <v>6.92</v>
      </c>
      <c r="G67" s="64">
        <v>116.13</v>
      </c>
      <c r="H67" s="64">
        <v>57.84</v>
      </c>
      <c r="I67" s="64">
        <v>5.75</v>
      </c>
      <c r="J67" s="64">
        <v>2.85</v>
      </c>
      <c r="K67" s="64">
        <v>339.56</v>
      </c>
      <c r="L67" s="64">
        <v>24.11</v>
      </c>
      <c r="M67" s="64">
        <v>34.15</v>
      </c>
      <c r="N67" s="64">
        <v>154.30000000000001</v>
      </c>
      <c r="O67" s="64">
        <v>0</v>
      </c>
      <c r="P67" s="64">
        <v>0.81</v>
      </c>
      <c r="Q67" s="64">
        <v>10.46</v>
      </c>
      <c r="R67" s="196"/>
      <c r="S67" s="196"/>
      <c r="T67" s="196"/>
      <c r="U67" s="196"/>
    </row>
    <row r="68" spans="1:21" s="12" customFormat="1" x14ac:dyDescent="0.25">
      <c r="A68" s="211" t="s">
        <v>2322</v>
      </c>
      <c r="B68" s="64">
        <v>2.3199999999999998</v>
      </c>
      <c r="C68" s="64">
        <v>51.82</v>
      </c>
      <c r="D68" s="64">
        <v>27.56</v>
      </c>
      <c r="E68" s="64">
        <v>6.73</v>
      </c>
      <c r="F68" s="64">
        <v>5.97</v>
      </c>
      <c r="G68" s="64">
        <v>116.13</v>
      </c>
      <c r="H68" s="64">
        <v>57.84</v>
      </c>
      <c r="I68" s="64">
        <v>5.54</v>
      </c>
      <c r="J68" s="64">
        <v>3.25</v>
      </c>
      <c r="K68" s="64">
        <v>338.57</v>
      </c>
      <c r="L68" s="64">
        <v>23.71</v>
      </c>
      <c r="M68" s="64">
        <v>34.94</v>
      </c>
      <c r="N68" s="64">
        <v>151.4</v>
      </c>
      <c r="O68" s="64">
        <v>0</v>
      </c>
      <c r="P68" s="64">
        <v>0.78</v>
      </c>
      <c r="Q68" s="64">
        <v>10.39</v>
      </c>
      <c r="R68" s="196"/>
      <c r="S68" s="196"/>
      <c r="T68" s="196"/>
      <c r="U68" s="196"/>
    </row>
    <row r="69" spans="1:21" s="12" customFormat="1" x14ac:dyDescent="0.25">
      <c r="A69" s="211" t="s">
        <v>2323</v>
      </c>
      <c r="B69" s="64">
        <v>2.57</v>
      </c>
      <c r="C69" s="64">
        <v>50.66</v>
      </c>
      <c r="D69" s="64">
        <v>27.16</v>
      </c>
      <c r="E69" s="64">
        <v>6.55</v>
      </c>
      <c r="F69" s="64">
        <v>5.37</v>
      </c>
      <c r="G69" s="64">
        <v>109.14</v>
      </c>
      <c r="H69" s="64">
        <v>54.13</v>
      </c>
      <c r="I69" s="64">
        <v>5.66</v>
      </c>
      <c r="J69" s="64">
        <v>2.79</v>
      </c>
      <c r="K69" s="64">
        <v>344.46</v>
      </c>
      <c r="L69" s="64">
        <v>23.21</v>
      </c>
      <c r="M69" s="64">
        <v>35.31</v>
      </c>
      <c r="N69" s="64">
        <v>116.5</v>
      </c>
      <c r="O69" s="64">
        <v>0</v>
      </c>
      <c r="P69" s="64">
        <v>0.77</v>
      </c>
      <c r="Q69" s="64">
        <v>10.31</v>
      </c>
      <c r="R69" s="196"/>
      <c r="S69" s="196"/>
      <c r="T69" s="196"/>
      <c r="U69" s="196"/>
    </row>
    <row r="70" spans="1:21" s="12" customFormat="1" x14ac:dyDescent="0.25">
      <c r="A70" s="211" t="s">
        <v>2324</v>
      </c>
      <c r="B70" s="64">
        <v>2.97</v>
      </c>
      <c r="C70" s="64">
        <v>51.24</v>
      </c>
      <c r="D70" s="64">
        <v>27.78</v>
      </c>
      <c r="E70" s="64">
        <v>6.31</v>
      </c>
      <c r="F70" s="64">
        <v>5.1100000000000003</v>
      </c>
      <c r="G70" s="64">
        <v>104.89</v>
      </c>
      <c r="H70" s="64">
        <v>53.39</v>
      </c>
      <c r="I70" s="64">
        <v>4.1399999999999997</v>
      </c>
      <c r="J70" s="64">
        <v>3.17</v>
      </c>
      <c r="K70" s="64">
        <v>342.1</v>
      </c>
      <c r="L70" s="64">
        <v>22.91</v>
      </c>
      <c r="M70" s="64">
        <v>35.39</v>
      </c>
      <c r="N70" s="64">
        <v>104.7</v>
      </c>
      <c r="O70" s="64">
        <v>0</v>
      </c>
      <c r="P70" s="64">
        <v>0.8</v>
      </c>
      <c r="Q70" s="64">
        <v>10.33</v>
      </c>
      <c r="R70" s="196"/>
      <c r="S70" s="196"/>
      <c r="T70" s="196"/>
      <c r="U70" s="196"/>
    </row>
    <row r="71" spans="1:21" s="12" customFormat="1" x14ac:dyDescent="0.25">
      <c r="A71" s="211" t="s">
        <v>2325</v>
      </c>
      <c r="B71" s="64">
        <v>3.32</v>
      </c>
      <c r="C71" s="64">
        <v>52.15</v>
      </c>
      <c r="D71" s="64">
        <v>28.53</v>
      </c>
      <c r="E71" s="64">
        <v>6.36</v>
      </c>
      <c r="F71" s="64">
        <v>5.0999999999999996</v>
      </c>
      <c r="G71" s="64">
        <v>104.89</v>
      </c>
      <c r="H71" s="64">
        <v>53.39</v>
      </c>
      <c r="I71" s="64">
        <v>3.52</v>
      </c>
      <c r="J71" s="64">
        <v>3.85</v>
      </c>
      <c r="K71" s="64">
        <v>343.74</v>
      </c>
      <c r="L71" s="64">
        <v>22.66</v>
      </c>
      <c r="M71" s="64">
        <v>36.49</v>
      </c>
      <c r="N71" s="64">
        <v>94.5</v>
      </c>
      <c r="O71" s="64">
        <v>0</v>
      </c>
      <c r="P71" s="64">
        <v>0.81</v>
      </c>
      <c r="Q71" s="64">
        <v>10.36</v>
      </c>
      <c r="R71" s="196"/>
      <c r="S71" s="196"/>
      <c r="T71" s="196"/>
      <c r="U71" s="196"/>
    </row>
    <row r="72" spans="1:21" s="12" customFormat="1" x14ac:dyDescent="0.25">
      <c r="A72" s="211" t="s">
        <v>2326</v>
      </c>
      <c r="B72" s="64">
        <v>3.48</v>
      </c>
      <c r="C72" s="64">
        <v>53.09</v>
      </c>
      <c r="D72" s="64">
        <v>29.16</v>
      </c>
      <c r="E72" s="64">
        <v>6.8</v>
      </c>
      <c r="F72" s="64">
        <v>5.28</v>
      </c>
      <c r="G72" s="64">
        <v>104.89</v>
      </c>
      <c r="H72" s="64">
        <v>53.39</v>
      </c>
      <c r="I72" s="64">
        <v>3.87</v>
      </c>
      <c r="J72" s="64">
        <v>3.18</v>
      </c>
      <c r="K72" s="64">
        <v>346.13</v>
      </c>
      <c r="L72" s="64">
        <v>22.35</v>
      </c>
      <c r="M72" s="64">
        <v>37.14</v>
      </c>
      <c r="N72" s="64">
        <v>83.5</v>
      </c>
      <c r="O72" s="64">
        <v>0</v>
      </c>
      <c r="P72" s="64">
        <v>0.84</v>
      </c>
      <c r="Q72" s="64">
        <v>10.41</v>
      </c>
      <c r="R72" s="196"/>
      <c r="S72" s="196"/>
      <c r="T72" s="196"/>
      <c r="U72" s="196"/>
    </row>
    <row r="73" spans="1:21" s="12" customFormat="1" x14ac:dyDescent="0.25">
      <c r="A73" s="211" t="s">
        <v>2327</v>
      </c>
      <c r="B73" s="64">
        <v>3.59</v>
      </c>
      <c r="C73" s="64">
        <v>53.52</v>
      </c>
      <c r="D73" s="64">
        <v>29.47</v>
      </c>
      <c r="E73" s="64">
        <v>8.0500000000000007</v>
      </c>
      <c r="F73" s="64">
        <v>5.05</v>
      </c>
      <c r="G73" s="64">
        <v>102.75</v>
      </c>
      <c r="H73" s="64">
        <v>53.61</v>
      </c>
      <c r="I73" s="64">
        <v>4.53</v>
      </c>
      <c r="J73" s="64">
        <v>2.64</v>
      </c>
      <c r="K73" s="64">
        <v>347.46</v>
      </c>
      <c r="L73" s="64">
        <v>21.95</v>
      </c>
      <c r="M73" s="64">
        <v>37.94</v>
      </c>
      <c r="N73" s="64">
        <v>73.2</v>
      </c>
      <c r="O73" s="64">
        <v>0</v>
      </c>
      <c r="P73" s="64">
        <v>0.9</v>
      </c>
      <c r="Q73" s="64">
        <v>10.43</v>
      </c>
      <c r="R73" s="196"/>
      <c r="S73" s="196"/>
      <c r="T73" s="196"/>
      <c r="U73" s="196"/>
    </row>
    <row r="74" spans="1:21" s="12" customFormat="1" x14ac:dyDescent="0.25">
      <c r="A74" s="211" t="s">
        <v>2328</v>
      </c>
      <c r="B74" s="64">
        <v>3.63</v>
      </c>
      <c r="C74" s="64">
        <v>53.77</v>
      </c>
      <c r="D74" s="64">
        <v>29.63</v>
      </c>
      <c r="E74" s="64">
        <v>7.81</v>
      </c>
      <c r="F74" s="64">
        <v>4.95</v>
      </c>
      <c r="G74" s="64">
        <v>101.45</v>
      </c>
      <c r="H74" s="64">
        <v>53.7</v>
      </c>
      <c r="I74" s="64">
        <v>4.74</v>
      </c>
      <c r="J74" s="64">
        <v>2.82</v>
      </c>
      <c r="K74" s="64">
        <v>341.08</v>
      </c>
      <c r="L74" s="64">
        <v>21.49</v>
      </c>
      <c r="M74" s="64">
        <v>39.28</v>
      </c>
      <c r="N74" s="64">
        <v>63.5</v>
      </c>
      <c r="O74" s="64">
        <v>0</v>
      </c>
      <c r="P74" s="64">
        <v>0.87</v>
      </c>
      <c r="Q74" s="64">
        <v>10.46</v>
      </c>
      <c r="R74" s="196"/>
      <c r="S74" s="196"/>
      <c r="T74" s="196"/>
      <c r="U74" s="196"/>
    </row>
    <row r="75" spans="1:21" s="12" customFormat="1" x14ac:dyDescent="0.25">
      <c r="A75" s="211" t="s">
        <v>2329</v>
      </c>
      <c r="B75" s="64">
        <v>3.79</v>
      </c>
      <c r="C75" s="64">
        <v>53.82</v>
      </c>
      <c r="D75" s="64">
        <v>29.78</v>
      </c>
      <c r="E75" s="64">
        <v>8.06</v>
      </c>
      <c r="F75" s="64">
        <v>4.46</v>
      </c>
      <c r="G75" s="64">
        <v>101.45</v>
      </c>
      <c r="H75" s="64">
        <v>53.7</v>
      </c>
      <c r="I75" s="64">
        <v>4.42</v>
      </c>
      <c r="J75" s="64">
        <v>2.2799999999999998</v>
      </c>
      <c r="K75" s="64">
        <v>338.63</v>
      </c>
      <c r="L75" s="64">
        <v>20.98</v>
      </c>
      <c r="M75" s="64">
        <v>39.85</v>
      </c>
      <c r="N75" s="64">
        <v>54.4</v>
      </c>
      <c r="O75" s="64">
        <v>0</v>
      </c>
      <c r="P75" s="64">
        <v>0.94</v>
      </c>
      <c r="Q75" s="64">
        <v>10.48</v>
      </c>
      <c r="R75" s="196"/>
      <c r="S75" s="196"/>
      <c r="T75" s="196"/>
      <c r="U75" s="196"/>
    </row>
    <row r="76" spans="1:21" s="12" customFormat="1" x14ac:dyDescent="0.25">
      <c r="A76" s="211" t="s">
        <v>2330</v>
      </c>
      <c r="B76" s="64">
        <v>4.1900000000000004</v>
      </c>
      <c r="C76" s="64">
        <v>53.87</v>
      </c>
      <c r="D76" s="64">
        <v>30.13</v>
      </c>
      <c r="E76" s="64">
        <v>7.96</v>
      </c>
      <c r="F76" s="64">
        <v>4.22</v>
      </c>
      <c r="G76" s="64">
        <v>101.45</v>
      </c>
      <c r="H76" s="64">
        <v>53.7</v>
      </c>
      <c r="I76" s="64">
        <v>4.76</v>
      </c>
      <c r="J76" s="64">
        <v>2.67</v>
      </c>
      <c r="K76" s="64">
        <v>353.12</v>
      </c>
      <c r="L76" s="64">
        <v>20.47</v>
      </c>
      <c r="M76" s="64">
        <v>41.5</v>
      </c>
      <c r="N76" s="64">
        <v>46.3</v>
      </c>
      <c r="O76" s="64">
        <v>0</v>
      </c>
      <c r="P76" s="64">
        <v>0.87</v>
      </c>
      <c r="Q76" s="64">
        <v>10.47</v>
      </c>
      <c r="R76" s="196"/>
      <c r="S76" s="196"/>
      <c r="T76" s="196"/>
      <c r="U76" s="196"/>
    </row>
    <row r="77" spans="1:21" s="12" customFormat="1" x14ac:dyDescent="0.25">
      <c r="A77" s="211" t="s">
        <v>2331</v>
      </c>
      <c r="B77" s="64">
        <v>4.84</v>
      </c>
      <c r="C77" s="64">
        <v>55.2</v>
      </c>
      <c r="D77" s="64">
        <v>31.34</v>
      </c>
      <c r="E77" s="64">
        <v>7.69</v>
      </c>
      <c r="F77" s="64">
        <v>4.67</v>
      </c>
      <c r="G77" s="64">
        <v>101.12</v>
      </c>
      <c r="H77" s="64">
        <v>51.46</v>
      </c>
      <c r="I77" s="64">
        <v>5.68</v>
      </c>
      <c r="J77" s="64">
        <v>2.1800000000000002</v>
      </c>
      <c r="K77" s="64">
        <v>357.7</v>
      </c>
      <c r="L77" s="64">
        <v>19.899999999999999</v>
      </c>
      <c r="M77" s="64">
        <v>43.82</v>
      </c>
      <c r="N77" s="64">
        <v>39.6</v>
      </c>
      <c r="O77" s="64">
        <v>0</v>
      </c>
      <c r="P77" s="64">
        <v>0.95</v>
      </c>
      <c r="Q77" s="64">
        <v>10.49</v>
      </c>
      <c r="R77" s="196"/>
      <c r="S77" s="196"/>
      <c r="T77" s="196"/>
      <c r="U77" s="196"/>
    </row>
    <row r="78" spans="1:21" s="12" customFormat="1" x14ac:dyDescent="0.25">
      <c r="A78" s="211" t="s">
        <v>2332</v>
      </c>
      <c r="B78" s="64">
        <v>6.05</v>
      </c>
      <c r="C78" s="64">
        <v>57.94</v>
      </c>
      <c r="D78" s="64">
        <v>33.75</v>
      </c>
      <c r="E78" s="64">
        <v>7.56</v>
      </c>
      <c r="F78" s="64">
        <v>4.16</v>
      </c>
      <c r="G78" s="64">
        <v>100.92</v>
      </c>
      <c r="H78" s="64">
        <v>50.98</v>
      </c>
      <c r="I78" s="64">
        <v>6.08</v>
      </c>
      <c r="J78" s="64">
        <v>2.08</v>
      </c>
      <c r="K78" s="64">
        <v>7.51</v>
      </c>
      <c r="L78" s="64">
        <v>19.29</v>
      </c>
      <c r="M78" s="64">
        <v>45.36</v>
      </c>
      <c r="N78" s="64">
        <v>35.6</v>
      </c>
      <c r="O78" s="64">
        <v>0</v>
      </c>
      <c r="P78" s="64">
        <v>0.98</v>
      </c>
      <c r="Q78" s="64">
        <v>10.57</v>
      </c>
      <c r="R78" s="196"/>
      <c r="S78" s="196"/>
      <c r="T78" s="196"/>
      <c r="U78" s="196"/>
    </row>
    <row r="79" spans="1:21" s="12" customFormat="1" x14ac:dyDescent="0.25">
      <c r="A79" s="211" t="s">
        <v>2333</v>
      </c>
      <c r="B79" s="64">
        <v>8.3000000000000007</v>
      </c>
      <c r="C79" s="64">
        <v>60.9</v>
      </c>
      <c r="D79" s="64">
        <v>37.1</v>
      </c>
      <c r="E79" s="64">
        <v>8.2200000000000006</v>
      </c>
      <c r="F79" s="64">
        <v>4.17</v>
      </c>
      <c r="G79" s="64">
        <v>100.92</v>
      </c>
      <c r="H79" s="64">
        <v>50.98</v>
      </c>
      <c r="I79" s="64">
        <v>6.6</v>
      </c>
      <c r="J79" s="64">
        <v>1.05</v>
      </c>
      <c r="K79" s="64">
        <v>54.27</v>
      </c>
      <c r="L79" s="64">
        <v>18.75</v>
      </c>
      <c r="M79" s="64">
        <v>47</v>
      </c>
      <c r="N79" s="64">
        <v>34.4</v>
      </c>
      <c r="O79" s="64">
        <v>0</v>
      </c>
      <c r="P79" s="64">
        <v>1.06</v>
      </c>
      <c r="Q79" s="64">
        <v>10.63</v>
      </c>
      <c r="R79" s="196"/>
      <c r="S79" s="196"/>
      <c r="T79" s="196"/>
      <c r="U79" s="196"/>
    </row>
    <row r="80" spans="1:21" s="12" customFormat="1" x14ac:dyDescent="0.25">
      <c r="A80" s="211" t="s">
        <v>2334</v>
      </c>
      <c r="B80" s="64">
        <v>9.68</v>
      </c>
      <c r="C80" s="64">
        <v>62.99</v>
      </c>
      <c r="D80" s="64">
        <v>39.29</v>
      </c>
      <c r="E80" s="64">
        <v>7.97</v>
      </c>
      <c r="F80" s="64">
        <v>4.22</v>
      </c>
      <c r="G80" s="64">
        <v>100.92</v>
      </c>
      <c r="H80" s="64">
        <v>50.98</v>
      </c>
      <c r="I80" s="64">
        <v>6.91</v>
      </c>
      <c r="J80" s="64">
        <v>2.56</v>
      </c>
      <c r="K80" s="64">
        <v>2.0099999999999998</v>
      </c>
      <c r="L80" s="64">
        <v>18.38</v>
      </c>
      <c r="M80" s="64">
        <v>49.11</v>
      </c>
      <c r="N80" s="64">
        <v>33.9</v>
      </c>
      <c r="O80" s="64">
        <v>0</v>
      </c>
      <c r="P80" s="64">
        <v>1.07</v>
      </c>
      <c r="Q80" s="64">
        <v>10.69</v>
      </c>
      <c r="R80" s="196"/>
      <c r="S80" s="196"/>
      <c r="T80" s="196"/>
      <c r="U80" s="196"/>
    </row>
    <row r="81" spans="1:26" s="12" customFormat="1" x14ac:dyDescent="0.25">
      <c r="A81" s="211" t="s">
        <v>2335</v>
      </c>
      <c r="B81" s="64">
        <v>10.88</v>
      </c>
      <c r="C81" s="64">
        <v>64.459999999999994</v>
      </c>
      <c r="D81" s="64">
        <v>41.02</v>
      </c>
      <c r="E81" s="64">
        <v>8.18</v>
      </c>
      <c r="F81" s="64">
        <v>4.1100000000000003</v>
      </c>
      <c r="G81" s="64">
        <v>102.98</v>
      </c>
      <c r="H81" s="64">
        <v>52.5</v>
      </c>
      <c r="I81" s="64">
        <v>7.04</v>
      </c>
      <c r="J81" s="64">
        <v>2.88</v>
      </c>
      <c r="K81" s="64">
        <v>354.13</v>
      </c>
      <c r="L81" s="64">
        <v>18.34</v>
      </c>
      <c r="M81" s="64">
        <v>48.92</v>
      </c>
      <c r="N81" s="64">
        <v>33.5</v>
      </c>
      <c r="O81" s="64">
        <v>0</v>
      </c>
      <c r="P81" s="64">
        <v>1.1599999999999999</v>
      </c>
      <c r="Q81" s="64">
        <v>10.71</v>
      </c>
      <c r="R81" s="196"/>
      <c r="S81" s="196"/>
      <c r="T81" s="196"/>
      <c r="U81" s="196"/>
    </row>
    <row r="82" spans="1:26" s="12" customFormat="1" x14ac:dyDescent="0.25">
      <c r="A82" s="211" t="s">
        <v>2336</v>
      </c>
      <c r="B82" s="64">
        <v>12.09</v>
      </c>
      <c r="C82" s="64">
        <v>65.61</v>
      </c>
      <c r="D82" s="64">
        <v>42.6</v>
      </c>
      <c r="E82" s="64">
        <v>8.3699999999999992</v>
      </c>
      <c r="F82" s="64">
        <v>4.28</v>
      </c>
      <c r="G82" s="64">
        <v>104.23</v>
      </c>
      <c r="H82" s="64">
        <v>52.8</v>
      </c>
      <c r="I82" s="64">
        <v>7.21</v>
      </c>
      <c r="J82" s="64">
        <v>2.69</v>
      </c>
      <c r="K82" s="64">
        <v>84.99</v>
      </c>
      <c r="L82" s="64">
        <v>18.25</v>
      </c>
      <c r="M82" s="64">
        <v>48.05</v>
      </c>
      <c r="N82" s="64">
        <v>34</v>
      </c>
      <c r="O82" s="64">
        <v>0</v>
      </c>
      <c r="P82" s="64">
        <v>1.18</v>
      </c>
      <c r="Q82" s="64">
        <v>10.7</v>
      </c>
      <c r="R82" s="196"/>
      <c r="S82" s="196"/>
      <c r="T82" s="196"/>
      <c r="U82" s="196"/>
    </row>
    <row r="83" spans="1:26" s="12" customFormat="1" x14ac:dyDescent="0.25">
      <c r="A83" s="211" t="s">
        <v>2337</v>
      </c>
      <c r="B83" s="64">
        <v>11.49</v>
      </c>
      <c r="C83" s="64">
        <v>65.97</v>
      </c>
      <c r="D83" s="64">
        <v>42.31</v>
      </c>
      <c r="E83" s="64">
        <v>8.43</v>
      </c>
      <c r="F83" s="64">
        <v>4.41</v>
      </c>
      <c r="G83" s="64">
        <v>104.23</v>
      </c>
      <c r="H83" s="64">
        <v>52.8</v>
      </c>
      <c r="I83" s="64">
        <v>7.41</v>
      </c>
      <c r="J83" s="64">
        <v>2.82</v>
      </c>
      <c r="K83" s="64">
        <v>79.040000000000006</v>
      </c>
      <c r="L83" s="64">
        <v>18.010000000000002</v>
      </c>
      <c r="M83" s="64">
        <v>53.63</v>
      </c>
      <c r="N83" s="64">
        <v>34</v>
      </c>
      <c r="O83" s="64">
        <v>0</v>
      </c>
      <c r="P83" s="64">
        <v>1.2</v>
      </c>
      <c r="Q83" s="64">
        <v>10.68</v>
      </c>
      <c r="R83" s="196"/>
      <c r="S83" s="196"/>
      <c r="T83" s="196"/>
      <c r="U83" s="196"/>
    </row>
    <row r="84" spans="1:26" s="12" customFormat="1" x14ac:dyDescent="0.25">
      <c r="A84" s="211" t="s">
        <v>2338</v>
      </c>
      <c r="B84" s="64">
        <v>11.01</v>
      </c>
      <c r="C84" s="64">
        <v>66.19</v>
      </c>
      <c r="D84" s="64">
        <v>42.03</v>
      </c>
      <c r="E84" s="64">
        <v>8.58</v>
      </c>
      <c r="F84" s="64">
        <v>4.2</v>
      </c>
      <c r="G84" s="64">
        <v>104.23</v>
      </c>
      <c r="H84" s="64">
        <v>52.8</v>
      </c>
      <c r="I84" s="64">
        <v>7.41</v>
      </c>
      <c r="J84" s="64">
        <v>1.97</v>
      </c>
      <c r="K84" s="64">
        <v>110.9</v>
      </c>
      <c r="L84" s="64">
        <v>17.54</v>
      </c>
      <c r="M84" s="64">
        <v>54.55</v>
      </c>
      <c r="N84" s="64">
        <v>34</v>
      </c>
      <c r="O84" s="64">
        <v>0</v>
      </c>
      <c r="P84" s="64">
        <v>1.24</v>
      </c>
      <c r="Q84" s="64">
        <v>10.68</v>
      </c>
      <c r="R84" s="196"/>
      <c r="S84" s="196"/>
      <c r="T84" s="196"/>
      <c r="U84" s="196"/>
    </row>
    <row r="85" spans="1:26" s="12" customFormat="1" x14ac:dyDescent="0.25">
      <c r="A85" s="211" t="s">
        <v>2339</v>
      </c>
      <c r="B85" s="64">
        <v>10.57</v>
      </c>
      <c r="C85" s="64">
        <v>63.92</v>
      </c>
      <c r="D85" s="64">
        <v>40.5</v>
      </c>
      <c r="E85" s="64">
        <v>8.17</v>
      </c>
      <c r="F85" s="64">
        <v>5.45</v>
      </c>
      <c r="G85" s="64">
        <v>107.76</v>
      </c>
      <c r="H85" s="64">
        <v>44.27</v>
      </c>
      <c r="I85" s="64">
        <v>7.53</v>
      </c>
      <c r="J85" s="64">
        <v>1.59</v>
      </c>
      <c r="K85" s="64">
        <v>203.46</v>
      </c>
      <c r="L85" s="64">
        <v>17.36</v>
      </c>
      <c r="M85" s="64">
        <v>54.32</v>
      </c>
      <c r="N85" s="64">
        <v>34</v>
      </c>
      <c r="O85" s="64">
        <v>0</v>
      </c>
      <c r="P85" s="64">
        <v>1.31</v>
      </c>
      <c r="Q85" s="64">
        <v>10.61</v>
      </c>
      <c r="R85" s="196"/>
      <c r="S85" s="196"/>
      <c r="T85" s="196"/>
      <c r="U85" s="196"/>
    </row>
    <row r="86" spans="1:26" s="12" customFormat="1" x14ac:dyDescent="0.25">
      <c r="A86" s="211" t="s">
        <v>2340</v>
      </c>
      <c r="B86" s="64">
        <v>11.21</v>
      </c>
      <c r="C86" s="64">
        <v>62.14</v>
      </c>
      <c r="D86" s="64">
        <v>40.08</v>
      </c>
      <c r="E86" s="64">
        <v>8.31</v>
      </c>
      <c r="F86" s="64">
        <v>3.86</v>
      </c>
      <c r="G86" s="64">
        <v>109.9</v>
      </c>
      <c r="H86" s="64">
        <v>42.56</v>
      </c>
      <c r="I86" s="64">
        <v>6.97</v>
      </c>
      <c r="J86" s="64">
        <v>1.65</v>
      </c>
      <c r="K86" s="64">
        <v>291.94</v>
      </c>
      <c r="L86" s="64">
        <v>16.66</v>
      </c>
      <c r="M86" s="64">
        <v>65.83</v>
      </c>
      <c r="N86" s="64">
        <v>34.5</v>
      </c>
      <c r="O86" s="64">
        <v>0</v>
      </c>
      <c r="P86" s="64">
        <v>1.5</v>
      </c>
      <c r="Q86" s="64">
        <v>10.55</v>
      </c>
      <c r="R86" s="196"/>
      <c r="S86" s="196"/>
      <c r="T86" s="196"/>
      <c r="U86" s="196"/>
    </row>
    <row r="87" spans="1:26" s="12" customFormat="1" x14ac:dyDescent="0.25">
      <c r="A87" s="211" t="s">
        <v>2341</v>
      </c>
      <c r="B87" s="64">
        <v>12.01</v>
      </c>
      <c r="C87" s="64">
        <v>60.97</v>
      </c>
      <c r="D87" s="64">
        <v>40.11</v>
      </c>
      <c r="E87" s="64">
        <v>8.0299999999999994</v>
      </c>
      <c r="F87" s="64">
        <v>4.12</v>
      </c>
      <c r="G87" s="64">
        <v>109.9</v>
      </c>
      <c r="H87" s="64">
        <v>42.56</v>
      </c>
      <c r="I87" s="64">
        <v>6.99</v>
      </c>
      <c r="J87" s="64">
        <v>2.7</v>
      </c>
      <c r="K87" s="64">
        <v>288.61</v>
      </c>
      <c r="L87" s="64">
        <v>16.18</v>
      </c>
      <c r="M87" s="64">
        <v>64.72</v>
      </c>
      <c r="N87" s="64">
        <v>34.1</v>
      </c>
      <c r="O87" s="64">
        <v>0</v>
      </c>
      <c r="P87" s="64">
        <v>1.55</v>
      </c>
      <c r="Q87" s="64">
        <v>10.56</v>
      </c>
      <c r="R87" s="196"/>
      <c r="S87" s="196"/>
      <c r="T87" s="196"/>
      <c r="U87" s="196"/>
    </row>
    <row r="88" spans="1:26" s="12" customFormat="1" x14ac:dyDescent="0.25">
      <c r="A88" s="211" t="s">
        <v>2342</v>
      </c>
      <c r="B88" s="64">
        <v>13.24</v>
      </c>
      <c r="C88" s="64">
        <v>59.87</v>
      </c>
      <c r="D88" s="64">
        <v>40.520000000000003</v>
      </c>
      <c r="E88" s="64">
        <v>5.2</v>
      </c>
      <c r="F88" s="64">
        <v>4.13</v>
      </c>
      <c r="G88" s="64">
        <v>109.9</v>
      </c>
      <c r="H88" s="64">
        <v>42.56</v>
      </c>
      <c r="I88" s="64">
        <v>7.43</v>
      </c>
      <c r="J88" s="64">
        <v>1.87</v>
      </c>
      <c r="K88" s="64">
        <v>249.66</v>
      </c>
      <c r="L88" s="64">
        <v>15.68</v>
      </c>
      <c r="M88" s="64">
        <v>68.58</v>
      </c>
      <c r="N88" s="64">
        <v>34</v>
      </c>
      <c r="O88" s="64">
        <v>0</v>
      </c>
      <c r="P88" s="64">
        <v>1.62</v>
      </c>
      <c r="Q88" s="64">
        <v>10.59</v>
      </c>
      <c r="R88" s="196"/>
      <c r="S88" s="196"/>
      <c r="T88" s="196"/>
      <c r="U88" s="196"/>
    </row>
    <row r="89" spans="1:26" s="12" customFormat="1" x14ac:dyDescent="0.25">
      <c r="A89" s="211" t="s">
        <v>2343</v>
      </c>
      <c r="B89" s="64">
        <v>15.9</v>
      </c>
      <c r="C89" s="64">
        <v>58.87</v>
      </c>
      <c r="D89" s="64">
        <v>42.13</v>
      </c>
      <c r="E89" s="64">
        <v>6.34</v>
      </c>
      <c r="F89" s="64">
        <v>3.83</v>
      </c>
      <c r="G89" s="64">
        <v>121.68</v>
      </c>
      <c r="H89" s="64">
        <v>65.73</v>
      </c>
      <c r="I89" s="64">
        <v>7.76</v>
      </c>
      <c r="J89" s="64">
        <v>1.21</v>
      </c>
      <c r="K89" s="64">
        <v>303.86</v>
      </c>
      <c r="L89" s="64">
        <v>15.57</v>
      </c>
      <c r="M89" s="64">
        <v>65.83</v>
      </c>
      <c r="N89" s="64">
        <v>33.9</v>
      </c>
      <c r="O89" s="64">
        <v>0</v>
      </c>
      <c r="P89" s="64">
        <v>1.55</v>
      </c>
      <c r="Q89" s="64">
        <v>10.61</v>
      </c>
      <c r="R89" s="196"/>
      <c r="S89" s="196"/>
      <c r="T89" s="196"/>
      <c r="U89" s="196"/>
    </row>
    <row r="90" spans="1:26" s="12" customFormat="1" x14ac:dyDescent="0.25">
      <c r="A90" s="211" t="s">
        <v>2344</v>
      </c>
      <c r="B90" s="64">
        <v>19.39</v>
      </c>
      <c r="C90" s="64">
        <v>58.21</v>
      </c>
      <c r="D90" s="64">
        <v>44.58</v>
      </c>
      <c r="E90" s="64">
        <v>7.2</v>
      </c>
      <c r="F90" s="64">
        <v>3.75</v>
      </c>
      <c r="G90" s="64">
        <v>128.83000000000001</v>
      </c>
      <c r="H90" s="64">
        <v>73.69</v>
      </c>
      <c r="I90" s="64">
        <v>7.97</v>
      </c>
      <c r="J90" s="64">
        <v>2.82</v>
      </c>
      <c r="K90" s="64">
        <v>327.66000000000003</v>
      </c>
      <c r="L90" s="64">
        <v>15.31</v>
      </c>
      <c r="M90" s="64">
        <v>72.55</v>
      </c>
      <c r="N90" s="64">
        <v>33.9</v>
      </c>
      <c r="O90" s="64">
        <v>0</v>
      </c>
      <c r="P90" s="64">
        <v>2.1</v>
      </c>
      <c r="Q90" s="64">
        <v>10.64</v>
      </c>
      <c r="R90" s="196"/>
      <c r="S90" s="196"/>
      <c r="T90" s="196"/>
      <c r="U90" s="196"/>
    </row>
    <row r="91" spans="1:26" s="12" customFormat="1" x14ac:dyDescent="0.25">
      <c r="A91" s="211" t="s">
        <v>2345</v>
      </c>
      <c r="B91" s="64">
        <v>24.66</v>
      </c>
      <c r="C91" s="64">
        <v>57.78</v>
      </c>
      <c r="D91" s="64">
        <v>48.59</v>
      </c>
      <c r="E91" s="64">
        <v>7.53</v>
      </c>
      <c r="F91" s="64">
        <v>3.6</v>
      </c>
      <c r="G91" s="64">
        <v>128.83000000000001</v>
      </c>
      <c r="H91" s="64">
        <v>73.69</v>
      </c>
      <c r="I91" s="64">
        <v>8.52</v>
      </c>
      <c r="J91" s="64">
        <v>2.67</v>
      </c>
      <c r="K91" s="64">
        <v>317.39</v>
      </c>
      <c r="L91" s="64">
        <v>15.08</v>
      </c>
      <c r="M91" s="64">
        <v>74.75</v>
      </c>
      <c r="N91" s="64">
        <v>33.9</v>
      </c>
      <c r="O91" s="64">
        <v>0</v>
      </c>
      <c r="P91" s="64">
        <v>2.1</v>
      </c>
      <c r="Q91" s="64">
        <v>10.71</v>
      </c>
      <c r="R91" s="196"/>
      <c r="S91" s="196"/>
      <c r="T91" s="196"/>
      <c r="U91" s="196"/>
    </row>
    <row r="92" spans="1:26" s="12" customFormat="1" x14ac:dyDescent="0.25">
      <c r="A92" s="211" t="s">
        <v>2346</v>
      </c>
      <c r="B92" s="64">
        <v>30.75</v>
      </c>
      <c r="C92" s="64">
        <v>57.53</v>
      </c>
      <c r="D92" s="64">
        <v>53.34</v>
      </c>
      <c r="E92" s="64">
        <v>7.91</v>
      </c>
      <c r="F92" s="64">
        <v>3.63</v>
      </c>
      <c r="G92" s="64">
        <v>128.83000000000001</v>
      </c>
      <c r="H92" s="64">
        <v>73.69</v>
      </c>
      <c r="I92" s="64">
        <v>9.16</v>
      </c>
      <c r="J92" s="64">
        <v>2.64</v>
      </c>
      <c r="K92" s="64">
        <v>258.5</v>
      </c>
      <c r="L92" s="64">
        <v>14.93</v>
      </c>
      <c r="M92" s="64">
        <v>73.13</v>
      </c>
      <c r="N92" s="64">
        <v>33.799999999999997</v>
      </c>
      <c r="O92" s="64">
        <v>0</v>
      </c>
      <c r="P92" s="64">
        <v>1.84</v>
      </c>
      <c r="Q92" s="64">
        <v>10.81</v>
      </c>
      <c r="R92" s="196"/>
      <c r="S92" s="196"/>
      <c r="T92" s="196"/>
      <c r="U92" s="196"/>
    </row>
    <row r="93" spans="1:26" s="12" customFormat="1" x14ac:dyDescent="0.25">
      <c r="A93" s="211" t="s">
        <v>2347</v>
      </c>
      <c r="B93" s="64">
        <v>38</v>
      </c>
      <c r="C93" s="64">
        <v>58.03</v>
      </c>
      <c r="D93" s="64">
        <v>59.42</v>
      </c>
      <c r="E93" s="64">
        <v>8.49</v>
      </c>
      <c r="F93" s="64">
        <v>4.03</v>
      </c>
      <c r="G93" s="64">
        <v>145.81</v>
      </c>
      <c r="H93" s="64">
        <v>70.22</v>
      </c>
      <c r="I93" s="64">
        <v>9.73</v>
      </c>
      <c r="J93" s="64">
        <v>2.86</v>
      </c>
      <c r="K93" s="64">
        <v>332.99</v>
      </c>
      <c r="L93" s="64">
        <v>14.8</v>
      </c>
      <c r="M93" s="64">
        <v>76.44</v>
      </c>
      <c r="N93" s="64">
        <v>34.1</v>
      </c>
      <c r="O93" s="64">
        <v>0</v>
      </c>
      <c r="P93" s="64">
        <v>1.8</v>
      </c>
      <c r="Q93" s="64">
        <v>11.01</v>
      </c>
      <c r="R93" s="196"/>
      <c r="S93" s="196"/>
      <c r="T93" s="196"/>
      <c r="U93" s="196"/>
    </row>
    <row r="94" spans="1:26" s="12" customFormat="1" x14ac:dyDescent="0.25">
      <c r="A94" s="211" t="s">
        <v>2348</v>
      </c>
      <c r="B94" s="64">
        <v>46.61</v>
      </c>
      <c r="C94" s="64">
        <v>58.83</v>
      </c>
      <c r="D94" s="64">
        <v>66.739999999999995</v>
      </c>
      <c r="E94" s="64">
        <v>9.6</v>
      </c>
      <c r="F94" s="64">
        <v>4.43</v>
      </c>
      <c r="G94" s="64">
        <v>156.12</v>
      </c>
      <c r="H94" s="64">
        <v>69.53</v>
      </c>
      <c r="I94" s="64">
        <v>9.1199999999999992</v>
      </c>
      <c r="J94" s="64">
        <v>0.75</v>
      </c>
      <c r="K94" s="64">
        <v>276.2</v>
      </c>
      <c r="L94" s="64">
        <v>14.6</v>
      </c>
      <c r="M94" s="64">
        <v>75.400000000000006</v>
      </c>
      <c r="N94" s="64">
        <v>33.9</v>
      </c>
      <c r="O94" s="64">
        <v>0</v>
      </c>
      <c r="P94" s="64">
        <v>1.92</v>
      </c>
      <c r="Q94" s="64">
        <v>11.12</v>
      </c>
      <c r="R94" s="196"/>
      <c r="S94" s="196"/>
      <c r="T94" s="196"/>
      <c r="U94" s="196"/>
    </row>
    <row r="95" spans="1:26" s="12" customFormat="1" x14ac:dyDescent="0.25">
      <c r="A95" s="211" t="s">
        <v>2349</v>
      </c>
      <c r="B95" s="64">
        <v>51.46</v>
      </c>
      <c r="C95" s="64">
        <v>59.45</v>
      </c>
      <c r="D95" s="64">
        <v>70.95</v>
      </c>
      <c r="E95" s="64">
        <v>8.76</v>
      </c>
      <c r="F95" s="64">
        <v>4.63</v>
      </c>
      <c r="G95" s="64">
        <v>156.12</v>
      </c>
      <c r="H95" s="64">
        <v>69.53</v>
      </c>
      <c r="I95" s="64">
        <v>8.7899999999999991</v>
      </c>
      <c r="J95" s="64">
        <v>2.87</v>
      </c>
      <c r="K95" s="64">
        <v>276.20999999999998</v>
      </c>
      <c r="L95" s="64">
        <v>14.86</v>
      </c>
      <c r="M95" s="64">
        <v>70.650000000000006</v>
      </c>
      <c r="N95" s="64">
        <v>33.700000000000003</v>
      </c>
      <c r="O95" s="64">
        <v>0</v>
      </c>
      <c r="P95" s="64">
        <v>1.97</v>
      </c>
      <c r="Q95" s="64">
        <v>11.17</v>
      </c>
      <c r="R95" s="196"/>
      <c r="S95" s="196"/>
      <c r="T95" s="196"/>
      <c r="U95" s="196"/>
    </row>
    <row r="96" spans="1:26" s="12" customFormat="1" x14ac:dyDescent="0.25">
      <c r="A96" s="211" t="s">
        <v>2350</v>
      </c>
      <c r="B96" s="64">
        <v>54.98</v>
      </c>
      <c r="C96" s="64">
        <v>59.54</v>
      </c>
      <c r="D96" s="64">
        <v>73.819999999999993</v>
      </c>
      <c r="E96" s="64">
        <v>8.75</v>
      </c>
      <c r="F96" s="64">
        <v>4.49</v>
      </c>
      <c r="G96" s="64">
        <v>156.12</v>
      </c>
      <c r="H96" s="64">
        <v>69.53</v>
      </c>
      <c r="I96" s="64">
        <v>8.91</v>
      </c>
      <c r="J96" s="64">
        <v>0.06</v>
      </c>
      <c r="K96" s="64">
        <v>158.02000000000001</v>
      </c>
      <c r="L96" s="64">
        <v>15.03</v>
      </c>
      <c r="M96" s="64">
        <v>67.37</v>
      </c>
      <c r="N96" s="64">
        <v>33.200000000000003</v>
      </c>
      <c r="O96" s="64">
        <v>0</v>
      </c>
      <c r="P96" s="64">
        <v>2</v>
      </c>
      <c r="Q96" s="64">
        <v>11.24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2351</v>
      </c>
      <c r="B97" s="64">
        <v>56.12</v>
      </c>
      <c r="C97" s="64">
        <v>59.74</v>
      </c>
      <c r="D97" s="64">
        <v>74.84</v>
      </c>
      <c r="E97" s="64">
        <v>8.9</v>
      </c>
      <c r="F97" s="64">
        <v>4.17</v>
      </c>
      <c r="G97" s="64">
        <v>158.18</v>
      </c>
      <c r="H97" s="64">
        <v>78.5</v>
      </c>
      <c r="I97" s="64">
        <v>8.9600000000000009</v>
      </c>
      <c r="J97" s="64">
        <v>1.73</v>
      </c>
      <c r="K97" s="64">
        <v>225.03</v>
      </c>
      <c r="L97" s="64">
        <v>15.55</v>
      </c>
      <c r="M97" s="64">
        <v>62.16</v>
      </c>
      <c r="N97" s="64">
        <v>33.4</v>
      </c>
      <c r="O97" s="64">
        <v>0</v>
      </c>
      <c r="P97" s="64">
        <v>2</v>
      </c>
      <c r="Q97" s="64">
        <v>11.2</v>
      </c>
      <c r="R97" s="196"/>
      <c r="S97" s="196"/>
      <c r="T97" s="196"/>
      <c r="U97" s="196"/>
    </row>
    <row r="98" spans="1:33" s="12" customFormat="1" x14ac:dyDescent="0.25">
      <c r="A98" s="211" t="s">
        <v>2352</v>
      </c>
      <c r="B98" s="64">
        <v>54.54</v>
      </c>
      <c r="C98" s="64">
        <v>59.39</v>
      </c>
      <c r="D98" s="64">
        <v>73.38</v>
      </c>
      <c r="E98" s="64">
        <v>8.06</v>
      </c>
      <c r="F98" s="64">
        <v>4.24</v>
      </c>
      <c r="G98" s="64">
        <v>159.44</v>
      </c>
      <c r="H98" s="64">
        <v>80.27</v>
      </c>
      <c r="I98" s="64">
        <v>8.99</v>
      </c>
      <c r="J98" s="64">
        <v>2.44</v>
      </c>
      <c r="K98" s="64">
        <v>251.08</v>
      </c>
      <c r="L98" s="64">
        <v>15.44</v>
      </c>
      <c r="M98" s="64">
        <v>62.64</v>
      </c>
      <c r="N98" s="64">
        <v>33.700000000000003</v>
      </c>
      <c r="O98" s="64">
        <v>0</v>
      </c>
      <c r="P98" s="64">
        <v>1.96</v>
      </c>
      <c r="Q98" s="64">
        <v>11.18</v>
      </c>
      <c r="R98" s="196"/>
      <c r="S98" s="196"/>
      <c r="T98" s="196"/>
      <c r="U98" s="196"/>
    </row>
    <row r="99" spans="1:33" s="12" customFormat="1" x14ac:dyDescent="0.25">
      <c r="A99" s="211" t="s">
        <v>2353</v>
      </c>
      <c r="B99" s="64">
        <v>53.09</v>
      </c>
      <c r="C99" s="64">
        <v>59.16</v>
      </c>
      <c r="D99" s="64">
        <v>72.11</v>
      </c>
      <c r="E99" s="64">
        <v>7.98</v>
      </c>
      <c r="F99" s="64">
        <v>4.09</v>
      </c>
      <c r="G99" s="64">
        <v>159.44</v>
      </c>
      <c r="H99" s="64">
        <v>80.27</v>
      </c>
      <c r="I99" s="64">
        <v>8.91</v>
      </c>
      <c r="J99" s="64">
        <v>1.36</v>
      </c>
      <c r="K99" s="64">
        <v>273.92</v>
      </c>
      <c r="L99" s="64">
        <v>15.34</v>
      </c>
      <c r="M99" s="64">
        <v>64.180000000000007</v>
      </c>
      <c r="N99" s="64">
        <v>33.799999999999997</v>
      </c>
      <c r="O99" s="64">
        <v>0</v>
      </c>
      <c r="P99" s="64">
        <v>1.93</v>
      </c>
      <c r="Q99" s="64">
        <v>11.17</v>
      </c>
      <c r="R99" s="196"/>
      <c r="S99" s="196"/>
      <c r="T99" s="196"/>
      <c r="U99" s="196"/>
    </row>
    <row r="100" spans="1:33" s="12" customFormat="1" x14ac:dyDescent="0.25">
      <c r="A100" s="211" t="s">
        <v>2354</v>
      </c>
      <c r="B100" s="64">
        <v>54.33</v>
      </c>
      <c r="C100" s="64">
        <v>59.26</v>
      </c>
      <c r="D100" s="64">
        <v>73.150000000000006</v>
      </c>
      <c r="E100" s="64">
        <v>7.5</v>
      </c>
      <c r="F100" s="64">
        <v>4.13</v>
      </c>
      <c r="G100" s="64">
        <v>159.44</v>
      </c>
      <c r="H100" s="64">
        <v>80.27</v>
      </c>
      <c r="I100" s="64">
        <v>8.74</v>
      </c>
      <c r="J100" s="64">
        <v>1.19</v>
      </c>
      <c r="K100" s="64">
        <v>297.95999999999998</v>
      </c>
      <c r="L100" s="64">
        <v>15.22</v>
      </c>
      <c r="M100" s="64">
        <v>64.95</v>
      </c>
      <c r="N100" s="64">
        <v>33.799999999999997</v>
      </c>
      <c r="O100" s="64">
        <v>0</v>
      </c>
      <c r="P100" s="64">
        <v>1.91</v>
      </c>
      <c r="Q100" s="64">
        <v>11.17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2355</v>
      </c>
      <c r="B101" s="64">
        <v>54.88</v>
      </c>
      <c r="C101" s="64">
        <v>58.95</v>
      </c>
      <c r="D101" s="64">
        <v>73.430000000000007</v>
      </c>
      <c r="E101" s="64">
        <v>7.3</v>
      </c>
      <c r="F101" s="64">
        <v>3.85</v>
      </c>
      <c r="G101" s="64">
        <v>148.41</v>
      </c>
      <c r="H101" s="64">
        <v>68.05</v>
      </c>
      <c r="I101" s="64">
        <v>8.5500000000000007</v>
      </c>
      <c r="J101" s="64">
        <v>1.59</v>
      </c>
      <c r="K101" s="64">
        <v>307.70999999999998</v>
      </c>
      <c r="L101" s="64">
        <v>14.67</v>
      </c>
      <c r="M101" s="64">
        <v>71.02</v>
      </c>
      <c r="N101" s="64">
        <v>34.200000000000003</v>
      </c>
      <c r="O101" s="64">
        <v>0</v>
      </c>
      <c r="P101" s="64">
        <v>1.85</v>
      </c>
      <c r="Q101" s="64">
        <v>11.15</v>
      </c>
      <c r="R101" s="196"/>
      <c r="S101" s="196"/>
      <c r="T101" s="196"/>
      <c r="U101" s="196"/>
    </row>
    <row r="102" spans="1:33" s="12" customFormat="1" x14ac:dyDescent="0.25">
      <c r="A102" s="211" t="s">
        <v>2356</v>
      </c>
      <c r="B102" s="64">
        <v>54.6</v>
      </c>
      <c r="C102" s="64">
        <v>56.95</v>
      </c>
      <c r="D102" s="64">
        <v>72.17</v>
      </c>
      <c r="E102" s="64">
        <v>7.11</v>
      </c>
      <c r="F102" s="64">
        <v>4.42</v>
      </c>
      <c r="G102" s="64">
        <v>141.72</v>
      </c>
      <c r="H102" s="64">
        <v>65.599999999999994</v>
      </c>
      <c r="I102" s="64">
        <v>8.36</v>
      </c>
      <c r="J102" s="64">
        <v>1.42</v>
      </c>
      <c r="K102" s="64">
        <v>299.06</v>
      </c>
      <c r="L102" s="64">
        <v>14.41</v>
      </c>
      <c r="M102" s="64">
        <v>72.27</v>
      </c>
      <c r="N102" s="64">
        <v>34.1</v>
      </c>
      <c r="O102" s="64">
        <v>0</v>
      </c>
      <c r="P102" s="64">
        <v>1.83</v>
      </c>
      <c r="Q102" s="64">
        <v>11.05</v>
      </c>
      <c r="R102" s="196"/>
      <c r="S102" s="196"/>
      <c r="T102" s="196"/>
      <c r="U102" s="196"/>
    </row>
    <row r="103" spans="1:33" s="12" customFormat="1" x14ac:dyDescent="0.25">
      <c r="A103" s="211" t="s">
        <v>2357</v>
      </c>
      <c r="B103" s="64">
        <v>53.8</v>
      </c>
      <c r="C103" s="64">
        <v>56.25</v>
      </c>
      <c r="D103" s="64">
        <v>71.16</v>
      </c>
      <c r="E103" s="64">
        <v>7.24</v>
      </c>
      <c r="F103" s="64">
        <v>3.95</v>
      </c>
      <c r="G103" s="64">
        <v>141.72</v>
      </c>
      <c r="H103" s="64">
        <v>65.599999999999994</v>
      </c>
      <c r="I103" s="64">
        <v>8.02</v>
      </c>
      <c r="J103" s="64">
        <v>1.91</v>
      </c>
      <c r="K103" s="64">
        <v>283.86</v>
      </c>
      <c r="L103" s="64">
        <v>13.91</v>
      </c>
      <c r="M103" s="64">
        <v>75.19</v>
      </c>
      <c r="N103" s="64">
        <v>34.200000000000003</v>
      </c>
      <c r="O103" s="64">
        <v>0</v>
      </c>
      <c r="P103" s="64">
        <v>1.81</v>
      </c>
      <c r="Q103" s="64">
        <v>11.04</v>
      </c>
      <c r="R103" s="196"/>
      <c r="S103" s="196"/>
      <c r="T103" s="196"/>
      <c r="U103" s="196"/>
    </row>
    <row r="104" spans="1:33" s="12" customFormat="1" x14ac:dyDescent="0.25">
      <c r="A104" s="211" t="s">
        <v>2358</v>
      </c>
      <c r="B104" s="64">
        <v>52.48</v>
      </c>
      <c r="C104" s="64">
        <v>55.28</v>
      </c>
      <c r="D104" s="64">
        <v>69.59</v>
      </c>
      <c r="E104" s="64">
        <v>5.29</v>
      </c>
      <c r="F104" s="64">
        <v>4.0199999999999996</v>
      </c>
      <c r="G104" s="64">
        <v>141.72</v>
      </c>
      <c r="H104" s="64">
        <v>65.599999999999994</v>
      </c>
      <c r="I104" s="64">
        <v>7.94</v>
      </c>
      <c r="J104" s="64">
        <v>2</v>
      </c>
      <c r="K104" s="64">
        <v>337.67</v>
      </c>
      <c r="L104" s="64">
        <v>13.53</v>
      </c>
      <c r="M104" s="64">
        <v>81.59</v>
      </c>
      <c r="N104" s="64">
        <v>34.299999999999997</v>
      </c>
      <c r="O104" s="64">
        <v>0</v>
      </c>
      <c r="P104" s="64">
        <v>1.78</v>
      </c>
      <c r="Q104" s="64">
        <v>11.04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1.91</v>
      </c>
      <c r="C106" s="67">
        <f>MIN(C9:C104)</f>
        <v>42.01</v>
      </c>
      <c r="D106" s="67">
        <f t="shared" ref="D106:Q106" si="0">MIN(D9:D104)</f>
        <v>25.79</v>
      </c>
      <c r="E106" s="67">
        <f t="shared" si="0"/>
        <v>4.3099999999999996</v>
      </c>
      <c r="F106" s="67">
        <f t="shared" si="0"/>
        <v>3.52</v>
      </c>
      <c r="G106" s="67">
        <f t="shared" si="0"/>
        <v>89.74</v>
      </c>
      <c r="H106" s="67">
        <f t="shared" si="0"/>
        <v>42.56</v>
      </c>
      <c r="I106" s="67">
        <f t="shared" si="0"/>
        <v>3.52</v>
      </c>
      <c r="J106" s="67">
        <f t="shared" si="0"/>
        <v>0.03</v>
      </c>
      <c r="K106" s="67">
        <f t="shared" si="0"/>
        <v>2.0099999999999998</v>
      </c>
      <c r="L106" s="67">
        <f t="shared" si="0"/>
        <v>12.44</v>
      </c>
      <c r="M106" s="67">
        <f t="shared" si="0"/>
        <v>34.15</v>
      </c>
      <c r="N106" s="67">
        <f t="shared" si="0"/>
        <v>32.799999999999997</v>
      </c>
      <c r="O106" s="67">
        <f t="shared" si="0"/>
        <v>0</v>
      </c>
      <c r="P106" s="67">
        <f t="shared" si="0"/>
        <v>0.77</v>
      </c>
      <c r="Q106" s="67">
        <f t="shared" si="0"/>
        <v>10.31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56.12</v>
      </c>
      <c r="C107" s="66">
        <f t="shared" ref="C107:Q107" si="1">MAX(C9:C104)</f>
        <v>66.19</v>
      </c>
      <c r="D107" s="66">
        <f t="shared" si="1"/>
        <v>74.84</v>
      </c>
      <c r="E107" s="66">
        <f t="shared" si="1"/>
        <v>9.6</v>
      </c>
      <c r="F107" s="66">
        <f t="shared" si="1"/>
        <v>8.7799999999999994</v>
      </c>
      <c r="G107" s="66">
        <f t="shared" si="1"/>
        <v>198.46</v>
      </c>
      <c r="H107" s="66">
        <f t="shared" si="1"/>
        <v>102.43</v>
      </c>
      <c r="I107" s="66">
        <f t="shared" si="1"/>
        <v>9.73</v>
      </c>
      <c r="J107" s="66">
        <f t="shared" si="1"/>
        <v>3.85</v>
      </c>
      <c r="K107" s="66">
        <f t="shared" si="1"/>
        <v>357.7</v>
      </c>
      <c r="L107" s="66">
        <f t="shared" si="1"/>
        <v>25.81</v>
      </c>
      <c r="M107" s="66">
        <f t="shared" si="1"/>
        <v>95.83</v>
      </c>
      <c r="N107" s="66">
        <f t="shared" si="1"/>
        <v>517.6</v>
      </c>
      <c r="O107" s="66">
        <f t="shared" si="1"/>
        <v>0</v>
      </c>
      <c r="P107" s="66">
        <f t="shared" si="1"/>
        <v>2.1</v>
      </c>
      <c r="Q107" s="66">
        <f t="shared" si="1"/>
        <v>11.24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21.340937499999985</v>
      </c>
      <c r="C108" s="67">
        <f t="shared" ref="C108:Q108" si="2">AVERAGE(C9:C104)</f>
        <v>51.40781249999997</v>
      </c>
      <c r="D108" s="67">
        <f t="shared" si="2"/>
        <v>42.596250000000012</v>
      </c>
      <c r="E108" s="67">
        <f t="shared" si="2"/>
        <v>6.9527083333333337</v>
      </c>
      <c r="F108" s="67">
        <f t="shared" si="2"/>
        <v>4.6890625000000012</v>
      </c>
      <c r="G108" s="67">
        <f t="shared" si="2"/>
        <v>131.52291666666665</v>
      </c>
      <c r="H108" s="67">
        <f t="shared" si="2"/>
        <v>66.287812499999987</v>
      </c>
      <c r="I108" s="67">
        <f t="shared" si="2"/>
        <v>6.9217708333333325</v>
      </c>
      <c r="J108" s="67">
        <f t="shared" si="2"/>
        <v>2.0471874999999997</v>
      </c>
      <c r="K108" s="67">
        <f t="shared" si="2"/>
        <v>228.14937499999996</v>
      </c>
      <c r="L108" s="67">
        <f t="shared" si="2"/>
        <v>17.288854166666667</v>
      </c>
      <c r="M108" s="67">
        <f t="shared" si="2"/>
        <v>63.235520833333339</v>
      </c>
      <c r="N108" s="67">
        <f t="shared" si="2"/>
        <v>136.18229166666666</v>
      </c>
      <c r="O108" s="67">
        <f t="shared" si="2"/>
        <v>0</v>
      </c>
      <c r="P108" s="67">
        <f t="shared" si="2"/>
        <v>1.2945833333333334</v>
      </c>
      <c r="Q108" s="67">
        <f t="shared" si="2"/>
        <v>10.682187499999998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17.692632488552984</v>
      </c>
      <c r="C109" s="67">
        <f t="shared" ref="C109:Q109" si="3">STDEV(C9:C104)</f>
        <v>6.5580530170930604</v>
      </c>
      <c r="D109" s="67">
        <f t="shared" si="3"/>
        <v>14.880184651514135</v>
      </c>
      <c r="E109" s="67">
        <f t="shared" si="3"/>
        <v>1.0090730286718499</v>
      </c>
      <c r="F109" s="67">
        <f t="shared" si="3"/>
        <v>1.1417780023187287</v>
      </c>
      <c r="G109" s="67">
        <f t="shared" si="3"/>
        <v>26.282558111363674</v>
      </c>
      <c r="H109" s="67">
        <f t="shared" si="3"/>
        <v>14.5794533290861</v>
      </c>
      <c r="I109" s="67">
        <f t="shared" si="3"/>
        <v>1.1935572614682273</v>
      </c>
      <c r="J109" s="67">
        <f t="shared" si="3"/>
        <v>0.86559952223573788</v>
      </c>
      <c r="K109" s="67">
        <f t="shared" si="3"/>
        <v>113.95283634549975</v>
      </c>
      <c r="L109" s="67">
        <f t="shared" si="3"/>
        <v>4.319056639150852</v>
      </c>
      <c r="M109" s="67">
        <f t="shared" si="3"/>
        <v>20.135887045131536</v>
      </c>
      <c r="N109" s="67">
        <f t="shared" si="3"/>
        <v>158.02994852395059</v>
      </c>
      <c r="O109" s="67">
        <f t="shared" si="3"/>
        <v>0</v>
      </c>
      <c r="P109" s="67">
        <f t="shared" si="3"/>
        <v>0.37593649146369812</v>
      </c>
      <c r="Q109" s="67">
        <f t="shared" si="3"/>
        <v>0.24034713108554592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2359</v>
      </c>
      <c r="B9" s="64">
        <v>50.56</v>
      </c>
      <c r="C9" s="64">
        <v>54.84</v>
      </c>
      <c r="D9" s="64">
        <v>67.819999999999993</v>
      </c>
      <c r="E9" s="64">
        <v>6.59</v>
      </c>
      <c r="F9" s="64">
        <v>3.7</v>
      </c>
      <c r="G9" s="64">
        <v>131.35</v>
      </c>
      <c r="H9" s="64">
        <v>66.22</v>
      </c>
      <c r="I9" s="64">
        <v>7.92</v>
      </c>
      <c r="J9" s="64">
        <v>1.62</v>
      </c>
      <c r="K9" s="64">
        <v>287.87</v>
      </c>
      <c r="L9" s="64">
        <v>13.15</v>
      </c>
      <c r="M9" s="64">
        <v>80.83</v>
      </c>
      <c r="N9" s="64">
        <v>34.1</v>
      </c>
      <c r="O9" s="64">
        <v>0</v>
      </c>
      <c r="P9" s="64">
        <v>1.73</v>
      </c>
      <c r="Q9" s="64">
        <v>11.06</v>
      </c>
      <c r="S9" s="196"/>
      <c r="T9" s="196"/>
      <c r="U9" s="196"/>
    </row>
    <row r="10" spans="1:21" s="12" customFormat="1" x14ac:dyDescent="0.25">
      <c r="A10" s="211" t="s">
        <v>2360</v>
      </c>
      <c r="B10" s="64">
        <v>48.66</v>
      </c>
      <c r="C10" s="64">
        <v>53.36</v>
      </c>
      <c r="D10" s="64">
        <v>65.52</v>
      </c>
      <c r="E10" s="64">
        <v>7.34</v>
      </c>
      <c r="F10" s="64">
        <v>3.76</v>
      </c>
      <c r="G10" s="64">
        <v>125.05</v>
      </c>
      <c r="H10" s="64">
        <v>66.42</v>
      </c>
      <c r="I10" s="64">
        <v>7.69</v>
      </c>
      <c r="J10" s="64">
        <v>0.85</v>
      </c>
      <c r="K10" s="64">
        <v>293.27</v>
      </c>
      <c r="L10" s="64">
        <v>12.92</v>
      </c>
      <c r="M10" s="64">
        <v>82.89</v>
      </c>
      <c r="N10" s="64">
        <v>33.799999999999997</v>
      </c>
      <c r="O10" s="64">
        <v>0</v>
      </c>
      <c r="P10" s="64">
        <v>1.71</v>
      </c>
      <c r="Q10" s="64">
        <v>11.05</v>
      </c>
      <c r="S10" s="196"/>
      <c r="T10" s="196"/>
      <c r="U10" s="196"/>
    </row>
    <row r="11" spans="1:21" s="12" customFormat="1" x14ac:dyDescent="0.25">
      <c r="A11" s="211" t="s">
        <v>2361</v>
      </c>
      <c r="B11" s="64">
        <v>46.46</v>
      </c>
      <c r="C11" s="64">
        <v>52.33</v>
      </c>
      <c r="D11" s="64">
        <v>63.22</v>
      </c>
      <c r="E11" s="64">
        <v>6.68</v>
      </c>
      <c r="F11" s="64">
        <v>3.76</v>
      </c>
      <c r="G11" s="64">
        <v>125.05</v>
      </c>
      <c r="H11" s="64">
        <v>66.42</v>
      </c>
      <c r="I11" s="64">
        <v>7.63</v>
      </c>
      <c r="J11" s="64">
        <v>0.82</v>
      </c>
      <c r="K11" s="64">
        <v>257.95999999999998</v>
      </c>
      <c r="L11" s="64">
        <v>12.98</v>
      </c>
      <c r="M11" s="64">
        <v>85.16</v>
      </c>
      <c r="N11" s="64">
        <v>33.9</v>
      </c>
      <c r="O11" s="64">
        <v>0</v>
      </c>
      <c r="P11" s="64">
        <v>1.67</v>
      </c>
      <c r="Q11" s="64">
        <v>11.03</v>
      </c>
      <c r="S11" s="196"/>
      <c r="T11" s="196"/>
      <c r="U11" s="196"/>
    </row>
    <row r="12" spans="1:21" s="12" customFormat="1" x14ac:dyDescent="0.25">
      <c r="A12" s="211" t="s">
        <v>2362</v>
      </c>
      <c r="B12" s="64">
        <v>43.81</v>
      </c>
      <c r="C12" s="64">
        <v>50.92</v>
      </c>
      <c r="D12" s="64">
        <v>60.36</v>
      </c>
      <c r="E12" s="64">
        <v>6.52</v>
      </c>
      <c r="F12" s="64">
        <v>3.89</v>
      </c>
      <c r="G12" s="64">
        <v>125.05</v>
      </c>
      <c r="H12" s="64">
        <v>66.42</v>
      </c>
      <c r="I12" s="64">
        <v>7.55</v>
      </c>
      <c r="J12" s="64">
        <v>0.97</v>
      </c>
      <c r="K12" s="64">
        <v>286.89999999999998</v>
      </c>
      <c r="L12" s="64">
        <v>12.88</v>
      </c>
      <c r="M12" s="64">
        <v>83.71</v>
      </c>
      <c r="N12" s="64">
        <v>33.700000000000003</v>
      </c>
      <c r="O12" s="64">
        <v>0</v>
      </c>
      <c r="P12" s="64">
        <v>1.62</v>
      </c>
      <c r="Q12" s="64">
        <v>11.02</v>
      </c>
      <c r="S12" s="196"/>
      <c r="T12" s="196"/>
      <c r="U12" s="196"/>
    </row>
    <row r="13" spans="1:21" s="12" customFormat="1" x14ac:dyDescent="0.25">
      <c r="A13" s="211" t="s">
        <v>2363</v>
      </c>
      <c r="B13" s="64">
        <v>41.28</v>
      </c>
      <c r="C13" s="64">
        <v>50.81</v>
      </c>
      <c r="D13" s="64">
        <v>58.28</v>
      </c>
      <c r="E13" s="64">
        <v>6.11</v>
      </c>
      <c r="F13" s="64">
        <v>3.65</v>
      </c>
      <c r="G13" s="64">
        <v>124.68</v>
      </c>
      <c r="H13" s="64">
        <v>67.91</v>
      </c>
      <c r="I13" s="64">
        <v>7.35</v>
      </c>
      <c r="J13" s="64">
        <v>0.62</v>
      </c>
      <c r="K13" s="64">
        <v>273.42</v>
      </c>
      <c r="L13" s="64">
        <v>12.93</v>
      </c>
      <c r="M13" s="64">
        <v>84.32</v>
      </c>
      <c r="N13" s="64">
        <v>33.700000000000003</v>
      </c>
      <c r="O13" s="64">
        <v>0</v>
      </c>
      <c r="P13" s="64">
        <v>1.48</v>
      </c>
      <c r="Q13" s="64">
        <v>11.02</v>
      </c>
      <c r="S13" s="196"/>
      <c r="T13" s="196"/>
      <c r="U13" s="196"/>
    </row>
    <row r="14" spans="1:21" s="12" customFormat="1" x14ac:dyDescent="0.25">
      <c r="A14" s="211" t="s">
        <v>2364</v>
      </c>
      <c r="B14" s="64">
        <v>38.97</v>
      </c>
      <c r="C14" s="64">
        <v>50.84</v>
      </c>
      <c r="D14" s="64">
        <v>56.43</v>
      </c>
      <c r="E14" s="64">
        <v>6.43</v>
      </c>
      <c r="F14" s="64">
        <v>3.73</v>
      </c>
      <c r="G14" s="64">
        <v>124.46</v>
      </c>
      <c r="H14" s="64">
        <v>68.23</v>
      </c>
      <c r="I14" s="64">
        <v>7.17</v>
      </c>
      <c r="J14" s="64">
        <v>0.51</v>
      </c>
      <c r="K14" s="64">
        <v>339.48</v>
      </c>
      <c r="L14" s="64">
        <v>12.71</v>
      </c>
      <c r="M14" s="64">
        <v>86.26</v>
      </c>
      <c r="N14" s="64">
        <v>34</v>
      </c>
      <c r="O14" s="64">
        <v>0</v>
      </c>
      <c r="P14" s="64">
        <v>1.53</v>
      </c>
      <c r="Q14" s="64">
        <v>10.96</v>
      </c>
      <c r="S14" s="196"/>
      <c r="T14" s="196"/>
      <c r="U14" s="196"/>
    </row>
    <row r="15" spans="1:21" s="12" customFormat="1" x14ac:dyDescent="0.25">
      <c r="A15" s="211" t="s">
        <v>2365</v>
      </c>
      <c r="B15" s="64">
        <v>37</v>
      </c>
      <c r="C15" s="64">
        <v>50.27</v>
      </c>
      <c r="D15" s="64">
        <v>54.56</v>
      </c>
      <c r="E15" s="64">
        <v>6.41</v>
      </c>
      <c r="F15" s="64">
        <v>3.93</v>
      </c>
      <c r="G15" s="64">
        <v>124.46</v>
      </c>
      <c r="H15" s="64">
        <v>68.23</v>
      </c>
      <c r="I15" s="64">
        <v>7.17</v>
      </c>
      <c r="J15" s="64">
        <v>0.74</v>
      </c>
      <c r="K15" s="64">
        <v>224.45</v>
      </c>
      <c r="L15" s="64">
        <v>12.68</v>
      </c>
      <c r="M15" s="64">
        <v>85.97</v>
      </c>
      <c r="N15" s="64">
        <v>34.1</v>
      </c>
      <c r="O15" s="64">
        <v>0</v>
      </c>
      <c r="P15" s="64">
        <v>1.51</v>
      </c>
      <c r="Q15" s="64">
        <v>10.9</v>
      </c>
      <c r="S15" s="196"/>
      <c r="T15" s="196"/>
      <c r="U15" s="196"/>
    </row>
    <row r="16" spans="1:21" s="12" customFormat="1" x14ac:dyDescent="0.25">
      <c r="A16" s="211" t="s">
        <v>2366</v>
      </c>
      <c r="B16" s="64">
        <v>35.42</v>
      </c>
      <c r="C16" s="64">
        <v>50.03</v>
      </c>
      <c r="D16" s="64">
        <v>53.16</v>
      </c>
      <c r="E16" s="64">
        <v>6.21</v>
      </c>
      <c r="F16" s="64">
        <v>4.32</v>
      </c>
      <c r="G16" s="64">
        <v>124.46</v>
      </c>
      <c r="H16" s="64">
        <v>68.23</v>
      </c>
      <c r="I16" s="64">
        <v>7.1</v>
      </c>
      <c r="J16" s="64">
        <v>1.23</v>
      </c>
      <c r="K16" s="64">
        <v>300.23</v>
      </c>
      <c r="L16" s="64">
        <v>12.51</v>
      </c>
      <c r="M16" s="64">
        <v>86.59</v>
      </c>
      <c r="N16" s="64">
        <v>34.200000000000003</v>
      </c>
      <c r="O16" s="64">
        <v>0</v>
      </c>
      <c r="P16" s="64">
        <v>1.52</v>
      </c>
      <c r="Q16" s="64">
        <v>10.84</v>
      </c>
      <c r="S16" s="196"/>
      <c r="T16" s="196"/>
      <c r="U16" s="196"/>
    </row>
    <row r="17" spans="1:21" s="12" customFormat="1" x14ac:dyDescent="0.25">
      <c r="A17" s="211" t="s">
        <v>2367</v>
      </c>
      <c r="B17" s="64">
        <v>34.56</v>
      </c>
      <c r="C17" s="64">
        <v>49.61</v>
      </c>
      <c r="D17" s="64">
        <v>52.25</v>
      </c>
      <c r="E17" s="64">
        <v>6.77</v>
      </c>
      <c r="F17" s="64">
        <v>4.62</v>
      </c>
      <c r="G17" s="64">
        <v>135.46</v>
      </c>
      <c r="H17" s="64">
        <v>72.2</v>
      </c>
      <c r="I17" s="64">
        <v>7.03</v>
      </c>
      <c r="J17" s="64">
        <v>0.77</v>
      </c>
      <c r="K17" s="64">
        <v>128.81</v>
      </c>
      <c r="L17" s="64">
        <v>12.38</v>
      </c>
      <c r="M17" s="64">
        <v>87.34</v>
      </c>
      <c r="N17" s="64">
        <v>33.9</v>
      </c>
      <c r="O17" s="64">
        <v>0</v>
      </c>
      <c r="P17" s="64">
        <v>1.51</v>
      </c>
      <c r="Q17" s="64">
        <v>10.83</v>
      </c>
      <c r="S17" s="196"/>
      <c r="T17" s="196"/>
      <c r="U17" s="196"/>
    </row>
    <row r="18" spans="1:21" s="12" customFormat="1" x14ac:dyDescent="0.25">
      <c r="A18" s="211" t="s">
        <v>2368</v>
      </c>
      <c r="B18" s="64">
        <v>33.5</v>
      </c>
      <c r="C18" s="64">
        <v>48.98</v>
      </c>
      <c r="D18" s="64">
        <v>51.08</v>
      </c>
      <c r="E18" s="64">
        <v>6.26</v>
      </c>
      <c r="F18" s="64">
        <v>4.3499999999999996</v>
      </c>
      <c r="G18" s="64">
        <v>142.15</v>
      </c>
      <c r="H18" s="64">
        <v>73.069999999999993</v>
      </c>
      <c r="I18" s="64">
        <v>7</v>
      </c>
      <c r="J18" s="64">
        <v>1.76</v>
      </c>
      <c r="K18" s="64">
        <v>117.23</v>
      </c>
      <c r="L18" s="64">
        <v>12.2</v>
      </c>
      <c r="M18" s="64">
        <v>90.05</v>
      </c>
      <c r="N18" s="64">
        <v>34.1</v>
      </c>
      <c r="O18" s="64">
        <v>0</v>
      </c>
      <c r="P18" s="64">
        <v>1.51</v>
      </c>
      <c r="Q18" s="64">
        <v>10.79</v>
      </c>
      <c r="S18" s="196"/>
      <c r="T18" s="196"/>
      <c r="U18" s="196"/>
    </row>
    <row r="19" spans="1:21" s="12" customFormat="1" x14ac:dyDescent="0.25">
      <c r="A19" s="211" t="s">
        <v>2369</v>
      </c>
      <c r="B19" s="64">
        <v>32.33</v>
      </c>
      <c r="C19" s="64">
        <v>48.58</v>
      </c>
      <c r="D19" s="64">
        <v>49.93</v>
      </c>
      <c r="E19" s="64">
        <v>6.99</v>
      </c>
      <c r="F19" s="64">
        <v>4.29</v>
      </c>
      <c r="G19" s="64">
        <v>142.15</v>
      </c>
      <c r="H19" s="64">
        <v>73.069999999999993</v>
      </c>
      <c r="I19" s="64">
        <v>6.99</v>
      </c>
      <c r="J19" s="64">
        <v>1.53</v>
      </c>
      <c r="K19" s="64">
        <v>123.63</v>
      </c>
      <c r="L19" s="64">
        <v>11.99</v>
      </c>
      <c r="M19" s="64">
        <v>90.88</v>
      </c>
      <c r="N19" s="64">
        <v>34.1</v>
      </c>
      <c r="O19" s="64">
        <v>0</v>
      </c>
      <c r="P19" s="64">
        <v>1.51</v>
      </c>
      <c r="Q19" s="64">
        <v>10.8</v>
      </c>
      <c r="S19" s="196"/>
      <c r="T19" s="196"/>
      <c r="U19" s="196"/>
    </row>
    <row r="20" spans="1:21" s="12" customFormat="1" x14ac:dyDescent="0.25">
      <c r="A20" s="211" t="s">
        <v>2370</v>
      </c>
      <c r="B20" s="64">
        <v>31.59</v>
      </c>
      <c r="C20" s="64">
        <v>48.33</v>
      </c>
      <c r="D20" s="64">
        <v>49.2</v>
      </c>
      <c r="E20" s="64">
        <v>6.69</v>
      </c>
      <c r="F20" s="64">
        <v>4.24</v>
      </c>
      <c r="G20" s="64">
        <v>142.15</v>
      </c>
      <c r="H20" s="64">
        <v>73.069999999999993</v>
      </c>
      <c r="I20" s="64">
        <v>6.99</v>
      </c>
      <c r="J20" s="64">
        <v>1.66</v>
      </c>
      <c r="K20" s="64">
        <v>327.17</v>
      </c>
      <c r="L20" s="64">
        <v>11.89</v>
      </c>
      <c r="M20" s="64">
        <v>94.29</v>
      </c>
      <c r="N20" s="64">
        <v>34.1</v>
      </c>
      <c r="O20" s="64">
        <v>0</v>
      </c>
      <c r="P20" s="64">
        <v>1.51</v>
      </c>
      <c r="Q20" s="64">
        <v>10.77</v>
      </c>
      <c r="S20" s="196"/>
      <c r="T20" s="196"/>
      <c r="U20" s="196"/>
    </row>
    <row r="21" spans="1:21" s="12" customFormat="1" x14ac:dyDescent="0.25">
      <c r="A21" s="211" t="s">
        <v>2371</v>
      </c>
      <c r="B21" s="64">
        <v>31.98</v>
      </c>
      <c r="C21" s="64">
        <v>47.72</v>
      </c>
      <c r="D21" s="64">
        <v>49.2</v>
      </c>
      <c r="E21" s="64">
        <v>6.94</v>
      </c>
      <c r="F21" s="64">
        <v>4.22</v>
      </c>
      <c r="G21" s="64">
        <v>151.38999999999999</v>
      </c>
      <c r="H21" s="64">
        <v>77.55</v>
      </c>
      <c r="I21" s="64">
        <v>6.97</v>
      </c>
      <c r="J21" s="64">
        <v>1.67</v>
      </c>
      <c r="K21" s="64">
        <v>307.35000000000002</v>
      </c>
      <c r="L21" s="64">
        <v>11.57</v>
      </c>
      <c r="M21" s="64">
        <v>97.11</v>
      </c>
      <c r="N21" s="64">
        <v>34</v>
      </c>
      <c r="O21" s="64">
        <v>0</v>
      </c>
      <c r="P21" s="64">
        <v>1.51</v>
      </c>
      <c r="Q21" s="64">
        <v>10.76</v>
      </c>
      <c r="S21" s="196"/>
      <c r="T21" s="196"/>
      <c r="U21" s="196"/>
    </row>
    <row r="22" spans="1:21" s="12" customFormat="1" x14ac:dyDescent="0.25">
      <c r="A22" s="211" t="s">
        <v>2372</v>
      </c>
      <c r="B22" s="64">
        <v>32.630000000000003</v>
      </c>
      <c r="C22" s="64">
        <v>45.9</v>
      </c>
      <c r="D22" s="64">
        <v>48.77</v>
      </c>
      <c r="E22" s="64">
        <v>6.68</v>
      </c>
      <c r="F22" s="64">
        <v>4.51</v>
      </c>
      <c r="G22" s="64">
        <v>157.27000000000001</v>
      </c>
      <c r="H22" s="64">
        <v>78.53</v>
      </c>
      <c r="I22" s="64">
        <v>6.96</v>
      </c>
      <c r="J22" s="64">
        <v>1.02</v>
      </c>
      <c r="K22" s="64">
        <v>304.64999999999998</v>
      </c>
      <c r="L22" s="64">
        <v>11.48</v>
      </c>
      <c r="M22" s="64">
        <v>99.21</v>
      </c>
      <c r="N22" s="64">
        <v>34</v>
      </c>
      <c r="O22" s="64">
        <v>0</v>
      </c>
      <c r="P22" s="64">
        <v>1.51</v>
      </c>
      <c r="Q22" s="64">
        <v>10.73</v>
      </c>
      <c r="S22" s="196"/>
      <c r="T22" s="196"/>
      <c r="U22" s="196"/>
    </row>
    <row r="23" spans="1:21" s="12" customFormat="1" x14ac:dyDescent="0.25">
      <c r="A23" s="211" t="s">
        <v>2373</v>
      </c>
      <c r="B23" s="64">
        <v>34</v>
      </c>
      <c r="C23" s="64">
        <v>44.2</v>
      </c>
      <c r="D23" s="64">
        <v>48.98</v>
      </c>
      <c r="E23" s="64">
        <v>6.98</v>
      </c>
      <c r="F23" s="64">
        <v>4.4000000000000004</v>
      </c>
      <c r="G23" s="64">
        <v>157.27000000000001</v>
      </c>
      <c r="H23" s="64">
        <v>78.53</v>
      </c>
      <c r="I23" s="64">
        <v>6.96</v>
      </c>
      <c r="J23" s="64">
        <v>1.04</v>
      </c>
      <c r="K23" s="64">
        <v>311.32</v>
      </c>
      <c r="L23" s="64">
        <v>11.48</v>
      </c>
      <c r="M23" s="64">
        <v>99.92</v>
      </c>
      <c r="N23" s="64">
        <v>33.9</v>
      </c>
      <c r="O23" s="64">
        <v>0</v>
      </c>
      <c r="P23" s="64">
        <v>1.51</v>
      </c>
      <c r="Q23" s="64">
        <v>10.68</v>
      </c>
      <c r="S23" s="196"/>
      <c r="T23" s="196"/>
      <c r="U23" s="196"/>
    </row>
    <row r="24" spans="1:21" s="12" customFormat="1" x14ac:dyDescent="0.25">
      <c r="A24" s="211" t="s">
        <v>2374</v>
      </c>
      <c r="B24" s="64">
        <v>37.020000000000003</v>
      </c>
      <c r="C24" s="64">
        <v>44</v>
      </c>
      <c r="D24" s="64">
        <v>51.3</v>
      </c>
      <c r="E24" s="64">
        <v>7.79</v>
      </c>
      <c r="F24" s="64">
        <v>4.32</v>
      </c>
      <c r="G24" s="64">
        <v>157.27000000000001</v>
      </c>
      <c r="H24" s="64">
        <v>78.53</v>
      </c>
      <c r="I24" s="64">
        <v>7</v>
      </c>
      <c r="J24" s="64">
        <v>0.76</v>
      </c>
      <c r="K24" s="64">
        <v>6.73</v>
      </c>
      <c r="L24" s="64">
        <v>11.54</v>
      </c>
      <c r="M24" s="64">
        <v>99.39</v>
      </c>
      <c r="N24" s="64">
        <v>33.6</v>
      </c>
      <c r="O24" s="64">
        <v>0</v>
      </c>
      <c r="P24" s="64">
        <v>1.51</v>
      </c>
      <c r="Q24" s="64">
        <v>10.73</v>
      </c>
      <c r="S24" s="196"/>
      <c r="T24" s="196"/>
      <c r="U24" s="196"/>
    </row>
    <row r="25" spans="1:21" s="12" customFormat="1" x14ac:dyDescent="0.25">
      <c r="A25" s="211" t="s">
        <v>2375</v>
      </c>
      <c r="B25" s="64">
        <v>39.200000000000003</v>
      </c>
      <c r="C25" s="64">
        <v>43.73</v>
      </c>
      <c r="D25" s="64">
        <v>52.91</v>
      </c>
      <c r="E25" s="64">
        <v>8.76</v>
      </c>
      <c r="F25" s="64">
        <v>4.1399999999999997</v>
      </c>
      <c r="G25" s="64">
        <v>163.86</v>
      </c>
      <c r="H25" s="64">
        <v>82.79</v>
      </c>
      <c r="I25" s="64">
        <v>7.06</v>
      </c>
      <c r="J25" s="64">
        <v>1.19</v>
      </c>
      <c r="K25" s="64">
        <v>73.930000000000007</v>
      </c>
      <c r="L25" s="64">
        <v>12.02</v>
      </c>
      <c r="M25" s="64">
        <v>90.95</v>
      </c>
      <c r="N25" s="64">
        <v>33.5</v>
      </c>
      <c r="O25" s="64">
        <v>0</v>
      </c>
      <c r="P25" s="64">
        <v>1.5</v>
      </c>
      <c r="Q25" s="64">
        <v>10.8</v>
      </c>
      <c r="S25" s="196"/>
      <c r="T25" s="196"/>
      <c r="U25" s="196"/>
    </row>
    <row r="26" spans="1:21" s="12" customFormat="1" x14ac:dyDescent="0.25">
      <c r="A26" s="211" t="s">
        <v>2376</v>
      </c>
      <c r="B26" s="64">
        <v>39.380000000000003</v>
      </c>
      <c r="C26" s="64">
        <v>43.23</v>
      </c>
      <c r="D26" s="64">
        <v>52.79</v>
      </c>
      <c r="E26" s="64">
        <v>8.61</v>
      </c>
      <c r="F26" s="64">
        <v>4.25</v>
      </c>
      <c r="G26" s="64">
        <v>167.85</v>
      </c>
      <c r="H26" s="64">
        <v>84.39</v>
      </c>
      <c r="I26" s="64">
        <v>7.11</v>
      </c>
      <c r="J26" s="64">
        <v>1.5</v>
      </c>
      <c r="K26" s="64">
        <v>106.13</v>
      </c>
      <c r="L26" s="64">
        <v>12.06</v>
      </c>
      <c r="M26" s="64">
        <v>89.05</v>
      </c>
      <c r="N26" s="64">
        <v>33.9</v>
      </c>
      <c r="O26" s="64">
        <v>0</v>
      </c>
      <c r="P26" s="64">
        <v>1.49</v>
      </c>
      <c r="Q26" s="64">
        <v>10.85</v>
      </c>
      <c r="S26" s="196"/>
      <c r="T26" s="196"/>
      <c r="U26" s="196"/>
    </row>
    <row r="27" spans="1:21" s="12" customFormat="1" x14ac:dyDescent="0.25">
      <c r="A27" s="211" t="s">
        <v>2377</v>
      </c>
      <c r="B27" s="64">
        <v>38.6</v>
      </c>
      <c r="C27" s="64">
        <v>42.41</v>
      </c>
      <c r="D27" s="64">
        <v>51.73</v>
      </c>
      <c r="E27" s="64">
        <v>8.82</v>
      </c>
      <c r="F27" s="64">
        <v>4.43</v>
      </c>
      <c r="G27" s="64">
        <v>167.85</v>
      </c>
      <c r="H27" s="64">
        <v>84.39</v>
      </c>
      <c r="I27" s="64">
        <v>7.15</v>
      </c>
      <c r="J27" s="64">
        <v>1.3</v>
      </c>
      <c r="K27" s="64">
        <v>63.28</v>
      </c>
      <c r="L27" s="64">
        <v>11.9</v>
      </c>
      <c r="M27" s="64">
        <v>89.31</v>
      </c>
      <c r="N27" s="64">
        <v>33.799999999999997</v>
      </c>
      <c r="O27" s="64">
        <v>0</v>
      </c>
      <c r="P27" s="64">
        <v>1.48</v>
      </c>
      <c r="Q27" s="64">
        <v>10.86</v>
      </c>
      <c r="S27" s="196"/>
      <c r="T27" s="196"/>
      <c r="U27" s="196"/>
    </row>
    <row r="28" spans="1:21" s="12" customFormat="1" x14ac:dyDescent="0.25">
      <c r="A28" s="211" t="s">
        <v>2378</v>
      </c>
      <c r="B28" s="64">
        <v>37.520000000000003</v>
      </c>
      <c r="C28" s="64">
        <v>42.18</v>
      </c>
      <c r="D28" s="64">
        <v>50.75</v>
      </c>
      <c r="E28" s="64">
        <v>8.93</v>
      </c>
      <c r="F28" s="64">
        <v>4.1399999999999997</v>
      </c>
      <c r="G28" s="64">
        <v>167.85</v>
      </c>
      <c r="H28" s="64">
        <v>84.39</v>
      </c>
      <c r="I28" s="64">
        <v>7.18</v>
      </c>
      <c r="J28" s="64">
        <v>0.6</v>
      </c>
      <c r="K28" s="64">
        <v>296.38</v>
      </c>
      <c r="L28" s="64">
        <v>11.82</v>
      </c>
      <c r="M28" s="64">
        <v>89.03</v>
      </c>
      <c r="N28" s="64">
        <v>34</v>
      </c>
      <c r="O28" s="64">
        <v>0</v>
      </c>
      <c r="P28" s="64">
        <v>1.46</v>
      </c>
      <c r="Q28" s="64">
        <v>10.89</v>
      </c>
      <c r="S28" s="196"/>
      <c r="T28" s="196"/>
      <c r="U28" s="196"/>
    </row>
    <row r="29" spans="1:21" s="12" customFormat="1" x14ac:dyDescent="0.25">
      <c r="A29" s="211" t="s">
        <v>2379</v>
      </c>
      <c r="B29" s="64">
        <v>36.46</v>
      </c>
      <c r="C29" s="64">
        <v>41.36</v>
      </c>
      <c r="D29" s="64">
        <v>49.47</v>
      </c>
      <c r="E29" s="64">
        <v>8.77</v>
      </c>
      <c r="F29" s="64">
        <v>4.1500000000000004</v>
      </c>
      <c r="G29" s="64">
        <v>169.14</v>
      </c>
      <c r="H29" s="64">
        <v>86.42</v>
      </c>
      <c r="I29" s="64">
        <v>7.18</v>
      </c>
      <c r="J29" s="64">
        <v>1.08</v>
      </c>
      <c r="K29" s="64">
        <v>291.56</v>
      </c>
      <c r="L29" s="64">
        <v>11.67</v>
      </c>
      <c r="M29" s="64">
        <v>89.03</v>
      </c>
      <c r="N29" s="64">
        <v>34</v>
      </c>
      <c r="O29" s="64">
        <v>0</v>
      </c>
      <c r="P29" s="64">
        <v>1.44</v>
      </c>
      <c r="Q29" s="64">
        <v>10.87</v>
      </c>
      <c r="S29" s="196"/>
      <c r="T29" s="196"/>
      <c r="U29" s="196"/>
    </row>
    <row r="30" spans="1:21" s="12" customFormat="1" x14ac:dyDescent="0.25">
      <c r="A30" s="211" t="s">
        <v>2380</v>
      </c>
      <c r="B30" s="64">
        <v>35.28</v>
      </c>
      <c r="C30" s="64">
        <v>39.92</v>
      </c>
      <c r="D30" s="64">
        <v>47.78</v>
      </c>
      <c r="E30" s="64">
        <v>8.73</v>
      </c>
      <c r="F30" s="64">
        <v>4.25</v>
      </c>
      <c r="G30" s="64">
        <v>169.92</v>
      </c>
      <c r="H30" s="64">
        <v>86.87</v>
      </c>
      <c r="I30" s="64">
        <v>7.14</v>
      </c>
      <c r="J30" s="64">
        <v>1.69</v>
      </c>
      <c r="K30" s="64">
        <v>136.08000000000001</v>
      </c>
      <c r="L30" s="64">
        <v>11.4</v>
      </c>
      <c r="M30" s="64">
        <v>90.61</v>
      </c>
      <c r="N30" s="64">
        <v>34.1</v>
      </c>
      <c r="O30" s="64">
        <v>0</v>
      </c>
      <c r="P30" s="64">
        <v>1.42</v>
      </c>
      <c r="Q30" s="64">
        <v>10.82</v>
      </c>
      <c r="S30" s="196"/>
      <c r="T30" s="196"/>
      <c r="U30" s="196"/>
    </row>
    <row r="31" spans="1:21" s="12" customFormat="1" x14ac:dyDescent="0.25">
      <c r="A31" s="211" t="s">
        <v>2381</v>
      </c>
      <c r="B31" s="64">
        <v>34.19</v>
      </c>
      <c r="C31" s="64">
        <v>40.75</v>
      </c>
      <c r="D31" s="64">
        <v>47.33</v>
      </c>
      <c r="E31" s="64">
        <v>8.52</v>
      </c>
      <c r="F31" s="64">
        <v>4.58</v>
      </c>
      <c r="G31" s="64">
        <v>169.92</v>
      </c>
      <c r="H31" s="64">
        <v>86.87</v>
      </c>
      <c r="I31" s="64">
        <v>7.05</v>
      </c>
      <c r="J31" s="64">
        <v>0.26</v>
      </c>
      <c r="K31" s="64">
        <v>75.680000000000007</v>
      </c>
      <c r="L31" s="64">
        <v>11.35</v>
      </c>
      <c r="M31" s="64">
        <v>91.76</v>
      </c>
      <c r="N31" s="64">
        <v>34</v>
      </c>
      <c r="O31" s="64">
        <v>0</v>
      </c>
      <c r="P31" s="64">
        <v>1.42</v>
      </c>
      <c r="Q31" s="64">
        <v>10.81</v>
      </c>
      <c r="S31" s="196"/>
      <c r="T31" s="196"/>
      <c r="U31" s="196"/>
    </row>
    <row r="32" spans="1:21" s="12" customFormat="1" x14ac:dyDescent="0.25">
      <c r="A32" s="211" t="s">
        <v>2382</v>
      </c>
      <c r="B32" s="64">
        <v>33.71</v>
      </c>
      <c r="C32" s="64">
        <v>41.57</v>
      </c>
      <c r="D32" s="64">
        <v>47.38</v>
      </c>
      <c r="E32" s="64">
        <v>8.59</v>
      </c>
      <c r="F32" s="64">
        <v>4.7300000000000004</v>
      </c>
      <c r="G32" s="64">
        <v>169.92</v>
      </c>
      <c r="H32" s="64">
        <v>86.87</v>
      </c>
      <c r="I32" s="64">
        <v>6.9</v>
      </c>
      <c r="J32" s="64">
        <v>1.56</v>
      </c>
      <c r="K32" s="64">
        <v>262.16000000000003</v>
      </c>
      <c r="L32" s="64">
        <v>11.22</v>
      </c>
      <c r="M32" s="64">
        <v>93.95</v>
      </c>
      <c r="N32" s="64">
        <v>34.299999999999997</v>
      </c>
      <c r="O32" s="64">
        <v>0</v>
      </c>
      <c r="P32" s="64">
        <v>1.42</v>
      </c>
      <c r="Q32" s="64">
        <v>10.8</v>
      </c>
      <c r="S32" s="196"/>
      <c r="T32" s="196"/>
      <c r="U32" s="196"/>
    </row>
    <row r="33" spans="1:21" s="12" customFormat="1" x14ac:dyDescent="0.25">
      <c r="A33" s="211" t="s">
        <v>2383</v>
      </c>
      <c r="B33" s="64">
        <v>34.08</v>
      </c>
      <c r="C33" s="64">
        <v>42.53</v>
      </c>
      <c r="D33" s="64">
        <v>48.18</v>
      </c>
      <c r="E33" s="64">
        <v>8.3800000000000008</v>
      </c>
      <c r="F33" s="64">
        <v>4.53</v>
      </c>
      <c r="G33" s="64">
        <v>165.17</v>
      </c>
      <c r="H33" s="64">
        <v>84.52</v>
      </c>
      <c r="I33" s="64">
        <v>6.76</v>
      </c>
      <c r="J33" s="64">
        <v>0.83</v>
      </c>
      <c r="K33" s="64">
        <v>309.02</v>
      </c>
      <c r="L33" s="64">
        <v>11.12</v>
      </c>
      <c r="M33" s="64">
        <v>96.87</v>
      </c>
      <c r="N33" s="64">
        <v>34.5</v>
      </c>
      <c r="O33" s="64">
        <v>0</v>
      </c>
      <c r="P33" s="64">
        <v>1.41</v>
      </c>
      <c r="Q33" s="64">
        <v>10.79</v>
      </c>
      <c r="S33" s="196"/>
      <c r="T33" s="196"/>
      <c r="U33" s="196"/>
    </row>
    <row r="34" spans="1:21" s="12" customFormat="1" x14ac:dyDescent="0.25">
      <c r="A34" s="211" t="s">
        <v>2384</v>
      </c>
      <c r="B34" s="64">
        <v>37.24</v>
      </c>
      <c r="C34" s="64">
        <v>43.43</v>
      </c>
      <c r="D34" s="64">
        <v>51.18</v>
      </c>
      <c r="E34" s="64">
        <v>7.94</v>
      </c>
      <c r="F34" s="64">
        <v>4.4400000000000004</v>
      </c>
      <c r="G34" s="64">
        <v>162.29</v>
      </c>
      <c r="H34" s="64">
        <v>84</v>
      </c>
      <c r="I34" s="64">
        <v>6.65</v>
      </c>
      <c r="J34" s="64">
        <v>1.1599999999999999</v>
      </c>
      <c r="K34" s="64">
        <v>232.7</v>
      </c>
      <c r="L34" s="64">
        <v>11.05</v>
      </c>
      <c r="M34" s="64">
        <v>98.08</v>
      </c>
      <c r="N34" s="64">
        <v>37.5</v>
      </c>
      <c r="O34" s="64">
        <v>0</v>
      </c>
      <c r="P34" s="64">
        <v>1.41</v>
      </c>
      <c r="Q34" s="64">
        <v>10.88</v>
      </c>
      <c r="S34" s="196"/>
      <c r="T34" s="196"/>
      <c r="U34" s="196"/>
    </row>
    <row r="35" spans="1:21" s="12" customFormat="1" x14ac:dyDescent="0.25">
      <c r="A35" s="211" t="s">
        <v>2385</v>
      </c>
      <c r="B35" s="64">
        <v>41.25</v>
      </c>
      <c r="C35" s="64">
        <v>43.61</v>
      </c>
      <c r="D35" s="64">
        <v>54.49</v>
      </c>
      <c r="E35" s="64">
        <v>8.11</v>
      </c>
      <c r="F35" s="64">
        <v>4.3600000000000003</v>
      </c>
      <c r="G35" s="64">
        <v>162.29</v>
      </c>
      <c r="H35" s="64">
        <v>84</v>
      </c>
      <c r="I35" s="64">
        <v>6.55</v>
      </c>
      <c r="J35" s="64">
        <v>1.3</v>
      </c>
      <c r="K35" s="64">
        <v>303.16000000000003</v>
      </c>
      <c r="L35" s="64">
        <v>11.11</v>
      </c>
      <c r="M35" s="64">
        <v>99.5</v>
      </c>
      <c r="N35" s="64">
        <v>46.5</v>
      </c>
      <c r="O35" s="64">
        <v>0</v>
      </c>
      <c r="P35" s="64">
        <v>1.42</v>
      </c>
      <c r="Q35" s="64">
        <v>10.94</v>
      </c>
      <c r="S35" s="196"/>
      <c r="T35" s="196"/>
      <c r="U35" s="196"/>
    </row>
    <row r="36" spans="1:21" s="12" customFormat="1" x14ac:dyDescent="0.25">
      <c r="A36" s="211" t="s">
        <v>2386</v>
      </c>
      <c r="B36" s="64">
        <v>45.44</v>
      </c>
      <c r="C36" s="64">
        <v>44.83</v>
      </c>
      <c r="D36" s="64">
        <v>58.49</v>
      </c>
      <c r="E36" s="64">
        <v>8.1199999999999992</v>
      </c>
      <c r="F36" s="64">
        <v>4.4400000000000004</v>
      </c>
      <c r="G36" s="64">
        <v>162.29</v>
      </c>
      <c r="H36" s="64">
        <v>84</v>
      </c>
      <c r="I36" s="64">
        <v>6.47</v>
      </c>
      <c r="J36" s="64">
        <v>1.3</v>
      </c>
      <c r="K36" s="64">
        <v>299.35000000000002</v>
      </c>
      <c r="L36" s="64">
        <v>11.57</v>
      </c>
      <c r="M36" s="64">
        <v>96.89</v>
      </c>
      <c r="N36" s="64">
        <v>60.2</v>
      </c>
      <c r="O36" s="64">
        <v>0</v>
      </c>
      <c r="P36" s="64">
        <v>1.42</v>
      </c>
      <c r="Q36" s="64">
        <v>11</v>
      </c>
      <c r="S36" s="196"/>
      <c r="T36" s="196"/>
      <c r="U36" s="196"/>
    </row>
    <row r="37" spans="1:21" s="12" customFormat="1" x14ac:dyDescent="0.25">
      <c r="A37" s="211" t="s">
        <v>2387</v>
      </c>
      <c r="B37" s="64">
        <v>49.45</v>
      </c>
      <c r="C37" s="64">
        <v>45.67</v>
      </c>
      <c r="D37" s="64">
        <v>62.14</v>
      </c>
      <c r="E37" s="64">
        <v>8.6300000000000008</v>
      </c>
      <c r="F37" s="64">
        <v>4.3499999999999996</v>
      </c>
      <c r="G37" s="64">
        <v>163.32</v>
      </c>
      <c r="H37" s="64">
        <v>81.11</v>
      </c>
      <c r="I37" s="64">
        <v>6.44</v>
      </c>
      <c r="J37" s="64">
        <v>1.3</v>
      </c>
      <c r="K37" s="64">
        <v>346.82</v>
      </c>
      <c r="L37" s="64">
        <v>12.21</v>
      </c>
      <c r="M37" s="64">
        <v>92.54</v>
      </c>
      <c r="N37" s="64">
        <v>76.7</v>
      </c>
      <c r="O37" s="64">
        <v>0</v>
      </c>
      <c r="P37" s="64">
        <v>1.37</v>
      </c>
      <c r="Q37" s="64">
        <v>11.04</v>
      </c>
      <c r="S37" s="196"/>
      <c r="T37" s="196"/>
      <c r="U37" s="196"/>
    </row>
    <row r="38" spans="1:21" s="12" customFormat="1" x14ac:dyDescent="0.25">
      <c r="A38" s="211" t="s">
        <v>2388</v>
      </c>
      <c r="B38" s="64">
        <v>53.79</v>
      </c>
      <c r="C38" s="64">
        <v>46.15</v>
      </c>
      <c r="D38" s="64">
        <v>65.87</v>
      </c>
      <c r="E38" s="64">
        <v>8.0500000000000007</v>
      </c>
      <c r="F38" s="64">
        <v>4.54</v>
      </c>
      <c r="G38" s="64">
        <v>163.95</v>
      </c>
      <c r="H38" s="64">
        <v>80.48</v>
      </c>
      <c r="I38" s="64">
        <v>6.38</v>
      </c>
      <c r="J38" s="64">
        <v>0.67</v>
      </c>
      <c r="K38" s="64">
        <v>88.39</v>
      </c>
      <c r="L38" s="64">
        <v>12.99</v>
      </c>
      <c r="M38" s="64">
        <v>87.6</v>
      </c>
      <c r="N38" s="64">
        <v>103</v>
      </c>
      <c r="O38" s="64">
        <v>0</v>
      </c>
      <c r="P38" s="64">
        <v>1.42</v>
      </c>
      <c r="Q38" s="64">
        <v>11.08</v>
      </c>
      <c r="S38" s="196"/>
      <c r="T38" s="196"/>
      <c r="U38" s="196"/>
    </row>
    <row r="39" spans="1:21" s="12" customFormat="1" x14ac:dyDescent="0.25">
      <c r="A39" s="211" t="s">
        <v>2389</v>
      </c>
      <c r="B39" s="64">
        <v>54.23</v>
      </c>
      <c r="C39" s="64">
        <v>45.29</v>
      </c>
      <c r="D39" s="64">
        <v>65.77</v>
      </c>
      <c r="E39" s="64">
        <v>8.44</v>
      </c>
      <c r="F39" s="64">
        <v>4.26</v>
      </c>
      <c r="G39" s="64">
        <v>163.95</v>
      </c>
      <c r="H39" s="64">
        <v>80.48</v>
      </c>
      <c r="I39" s="64">
        <v>6.36</v>
      </c>
      <c r="J39" s="64">
        <v>1.83</v>
      </c>
      <c r="K39" s="64">
        <v>348.76</v>
      </c>
      <c r="L39" s="64">
        <v>14.23</v>
      </c>
      <c r="M39" s="64">
        <v>78.67</v>
      </c>
      <c r="N39" s="64">
        <v>144.19999999999999</v>
      </c>
      <c r="O39" s="64">
        <v>0</v>
      </c>
      <c r="P39" s="64">
        <v>1.4</v>
      </c>
      <c r="Q39" s="64">
        <v>11.01</v>
      </c>
      <c r="S39" s="196"/>
      <c r="T39" s="196"/>
      <c r="U39" s="196"/>
    </row>
    <row r="40" spans="1:21" s="12" customFormat="1" x14ac:dyDescent="0.25">
      <c r="A40" s="211" t="s">
        <v>2390</v>
      </c>
      <c r="B40" s="64">
        <v>52.62</v>
      </c>
      <c r="C40" s="64">
        <v>45.79</v>
      </c>
      <c r="D40" s="64">
        <v>64.739999999999995</v>
      </c>
      <c r="E40" s="64">
        <v>6.4</v>
      </c>
      <c r="F40" s="64">
        <v>4.2</v>
      </c>
      <c r="G40" s="64">
        <v>163.95</v>
      </c>
      <c r="H40" s="64">
        <v>80.48</v>
      </c>
      <c r="I40" s="64">
        <v>6.33</v>
      </c>
      <c r="J40" s="64">
        <v>1.66</v>
      </c>
      <c r="K40" s="64">
        <v>336.05</v>
      </c>
      <c r="L40" s="64">
        <v>15.69</v>
      </c>
      <c r="M40" s="64">
        <v>69.03</v>
      </c>
      <c r="N40" s="64">
        <v>181.3</v>
      </c>
      <c r="O40" s="64">
        <v>0</v>
      </c>
      <c r="P40" s="64">
        <v>1.38</v>
      </c>
      <c r="Q40" s="64">
        <v>10.98</v>
      </c>
      <c r="S40" s="196"/>
      <c r="T40" s="196"/>
      <c r="U40" s="196"/>
    </row>
    <row r="41" spans="1:21" s="12" customFormat="1" x14ac:dyDescent="0.25">
      <c r="A41" s="211" t="s">
        <v>2391</v>
      </c>
      <c r="B41" s="64">
        <v>50.84</v>
      </c>
      <c r="C41" s="64">
        <v>47.39</v>
      </c>
      <c r="D41" s="64">
        <v>64.150000000000006</v>
      </c>
      <c r="E41" s="64">
        <v>7.66</v>
      </c>
      <c r="F41" s="64">
        <v>4.01</v>
      </c>
      <c r="G41" s="64">
        <v>158.57</v>
      </c>
      <c r="H41" s="64">
        <v>79.150000000000006</v>
      </c>
      <c r="I41" s="64">
        <v>6.31</v>
      </c>
      <c r="J41" s="64">
        <v>1.88</v>
      </c>
      <c r="K41" s="64">
        <v>334.48</v>
      </c>
      <c r="L41" s="64">
        <v>16.84</v>
      </c>
      <c r="M41" s="64">
        <v>65.34</v>
      </c>
      <c r="N41" s="64">
        <v>218.7</v>
      </c>
      <c r="O41" s="64">
        <v>0</v>
      </c>
      <c r="P41" s="64">
        <v>1.34</v>
      </c>
      <c r="Q41" s="64">
        <v>11</v>
      </c>
      <c r="S41" s="196"/>
      <c r="T41" s="196"/>
      <c r="U41" s="196"/>
    </row>
    <row r="42" spans="1:21" s="12" customFormat="1" x14ac:dyDescent="0.25">
      <c r="A42" s="211" t="s">
        <v>2392</v>
      </c>
      <c r="B42" s="64">
        <v>49.45</v>
      </c>
      <c r="C42" s="64">
        <v>48.44</v>
      </c>
      <c r="D42" s="64">
        <v>63.58</v>
      </c>
      <c r="E42" s="64">
        <v>7.74</v>
      </c>
      <c r="F42" s="64">
        <v>3.89</v>
      </c>
      <c r="G42" s="64">
        <v>155.31</v>
      </c>
      <c r="H42" s="64">
        <v>78.650000000000006</v>
      </c>
      <c r="I42" s="64">
        <v>6.28</v>
      </c>
      <c r="J42" s="64">
        <v>2.02</v>
      </c>
      <c r="K42" s="64">
        <v>340.5</v>
      </c>
      <c r="L42" s="64">
        <v>18.7</v>
      </c>
      <c r="M42" s="64">
        <v>57.67</v>
      </c>
      <c r="N42" s="64">
        <v>255.7</v>
      </c>
      <c r="O42" s="64">
        <v>0</v>
      </c>
      <c r="P42" s="64">
        <v>1.34</v>
      </c>
      <c r="Q42" s="64">
        <v>11</v>
      </c>
      <c r="S42" s="196"/>
      <c r="T42" s="196"/>
      <c r="U42" s="196"/>
    </row>
    <row r="43" spans="1:21" s="12" customFormat="1" x14ac:dyDescent="0.25">
      <c r="A43" s="211" t="s">
        <v>2393</v>
      </c>
      <c r="B43" s="64">
        <v>48.16</v>
      </c>
      <c r="C43" s="64">
        <v>49.44</v>
      </c>
      <c r="D43" s="64">
        <v>63.07</v>
      </c>
      <c r="E43" s="64">
        <v>7.6</v>
      </c>
      <c r="F43" s="64">
        <v>3.89</v>
      </c>
      <c r="G43" s="64">
        <v>155.31</v>
      </c>
      <c r="H43" s="64">
        <v>78.650000000000006</v>
      </c>
      <c r="I43" s="64">
        <v>6.23</v>
      </c>
      <c r="J43" s="64">
        <v>1.7</v>
      </c>
      <c r="K43" s="64">
        <v>343.04</v>
      </c>
      <c r="L43" s="64">
        <v>19.8</v>
      </c>
      <c r="M43" s="64">
        <v>54.41</v>
      </c>
      <c r="N43" s="64">
        <v>285</v>
      </c>
      <c r="O43" s="64">
        <v>0</v>
      </c>
      <c r="P43" s="64">
        <v>1.32</v>
      </c>
      <c r="Q43" s="64">
        <v>11.03</v>
      </c>
      <c r="S43" s="196"/>
      <c r="T43" s="196"/>
      <c r="U43" s="196"/>
    </row>
    <row r="44" spans="1:21" s="12" customFormat="1" x14ac:dyDescent="0.25">
      <c r="A44" s="211" t="s">
        <v>2394</v>
      </c>
      <c r="B44" s="64">
        <v>46.45</v>
      </c>
      <c r="C44" s="64">
        <v>50.25</v>
      </c>
      <c r="D44" s="64">
        <v>62.13</v>
      </c>
      <c r="E44" s="64">
        <v>7.68</v>
      </c>
      <c r="F44" s="64">
        <v>3.95</v>
      </c>
      <c r="G44" s="64">
        <v>155.31</v>
      </c>
      <c r="H44" s="64">
        <v>78.650000000000006</v>
      </c>
      <c r="I44" s="64">
        <v>6.2</v>
      </c>
      <c r="J44" s="64">
        <v>1.0900000000000001</v>
      </c>
      <c r="K44" s="64">
        <v>6.24</v>
      </c>
      <c r="L44" s="64">
        <v>19.170000000000002</v>
      </c>
      <c r="M44" s="64">
        <v>54.95</v>
      </c>
      <c r="N44" s="64">
        <v>321</v>
      </c>
      <c r="O44" s="64">
        <v>0</v>
      </c>
      <c r="P44" s="64">
        <v>1.3</v>
      </c>
      <c r="Q44" s="64">
        <v>11.02</v>
      </c>
      <c r="S44" s="196"/>
      <c r="T44" s="196"/>
      <c r="U44" s="196"/>
    </row>
    <row r="45" spans="1:21" s="12" customFormat="1" x14ac:dyDescent="0.25">
      <c r="A45" s="211" t="s">
        <v>2395</v>
      </c>
      <c r="B45" s="64">
        <v>44.42</v>
      </c>
      <c r="C45" s="64">
        <v>51.27</v>
      </c>
      <c r="D45" s="64">
        <v>61.03</v>
      </c>
      <c r="E45" s="64">
        <v>7.9</v>
      </c>
      <c r="F45" s="64">
        <v>4.13</v>
      </c>
      <c r="G45" s="64">
        <v>158.55000000000001</v>
      </c>
      <c r="H45" s="64">
        <v>76.08</v>
      </c>
      <c r="I45" s="64">
        <v>6.23</v>
      </c>
      <c r="J45" s="64">
        <v>1.39</v>
      </c>
      <c r="K45" s="64">
        <v>109.64</v>
      </c>
      <c r="L45" s="64">
        <v>19.45</v>
      </c>
      <c r="M45" s="64">
        <v>52.9</v>
      </c>
      <c r="N45" s="64">
        <v>365.4</v>
      </c>
      <c r="O45" s="64">
        <v>0</v>
      </c>
      <c r="P45" s="64">
        <v>1.31</v>
      </c>
      <c r="Q45" s="64">
        <v>11.04</v>
      </c>
      <c r="S45" s="196"/>
      <c r="T45" s="196"/>
      <c r="U45" s="196"/>
    </row>
    <row r="46" spans="1:21" s="12" customFormat="1" x14ac:dyDescent="0.25">
      <c r="A46" s="211" t="s">
        <v>2396</v>
      </c>
      <c r="B46" s="64">
        <v>41.8</v>
      </c>
      <c r="C46" s="64">
        <v>51.31</v>
      </c>
      <c r="D46" s="64">
        <v>58.95</v>
      </c>
      <c r="E46" s="64">
        <v>7.4</v>
      </c>
      <c r="F46" s="64">
        <v>4.04</v>
      </c>
      <c r="G46" s="64">
        <v>160.52000000000001</v>
      </c>
      <c r="H46" s="64">
        <v>75.52</v>
      </c>
      <c r="I46" s="64">
        <v>6.29</v>
      </c>
      <c r="J46" s="64">
        <v>2</v>
      </c>
      <c r="K46" s="64">
        <v>98.7</v>
      </c>
      <c r="L46" s="64">
        <v>18.510000000000002</v>
      </c>
      <c r="M46" s="64">
        <v>53.67</v>
      </c>
      <c r="N46" s="64">
        <v>404.7</v>
      </c>
      <c r="O46" s="64">
        <v>0</v>
      </c>
      <c r="P46" s="64">
        <v>1.28</v>
      </c>
      <c r="Q46" s="64">
        <v>11.04</v>
      </c>
      <c r="S46" s="196"/>
      <c r="T46" s="196"/>
      <c r="U46" s="196"/>
    </row>
    <row r="47" spans="1:21" s="12" customFormat="1" x14ac:dyDescent="0.25">
      <c r="A47" s="211" t="s">
        <v>2397</v>
      </c>
      <c r="B47" s="64">
        <v>38.07</v>
      </c>
      <c r="C47" s="64">
        <v>52.27</v>
      </c>
      <c r="D47" s="64">
        <v>56.46</v>
      </c>
      <c r="E47" s="64">
        <v>7.24</v>
      </c>
      <c r="F47" s="64">
        <v>4.0599999999999996</v>
      </c>
      <c r="G47" s="64">
        <v>160.52000000000001</v>
      </c>
      <c r="H47" s="64">
        <v>75.52</v>
      </c>
      <c r="I47" s="64">
        <v>6.45</v>
      </c>
      <c r="J47" s="64">
        <v>2.4</v>
      </c>
      <c r="K47" s="64">
        <v>115.27</v>
      </c>
      <c r="L47" s="64">
        <v>18.27</v>
      </c>
      <c r="M47" s="64">
        <v>55.02</v>
      </c>
      <c r="N47" s="64">
        <v>433.7</v>
      </c>
      <c r="O47" s="64">
        <v>0</v>
      </c>
      <c r="P47" s="64">
        <v>1.25</v>
      </c>
      <c r="Q47" s="64">
        <v>11.03</v>
      </c>
      <c r="S47" s="196"/>
      <c r="T47" s="196"/>
      <c r="U47" s="196"/>
    </row>
    <row r="48" spans="1:21" s="12" customFormat="1" x14ac:dyDescent="0.25">
      <c r="A48" s="211" t="s">
        <v>2398</v>
      </c>
      <c r="B48" s="64">
        <v>34.08</v>
      </c>
      <c r="C48" s="64">
        <v>53.38</v>
      </c>
      <c r="D48" s="64">
        <v>53.84</v>
      </c>
      <c r="E48" s="64">
        <v>7.51</v>
      </c>
      <c r="F48" s="64">
        <v>4.22</v>
      </c>
      <c r="G48" s="64">
        <v>160.52000000000001</v>
      </c>
      <c r="H48" s="64">
        <v>75.52</v>
      </c>
      <c r="I48" s="64">
        <v>6.78</v>
      </c>
      <c r="J48" s="64">
        <v>0.7</v>
      </c>
      <c r="K48" s="64">
        <v>82.2</v>
      </c>
      <c r="L48" s="64">
        <v>20.170000000000002</v>
      </c>
      <c r="M48" s="64">
        <v>51.27</v>
      </c>
      <c r="N48" s="64">
        <v>460.3</v>
      </c>
      <c r="O48" s="64">
        <v>0</v>
      </c>
      <c r="P48" s="64">
        <v>1.23</v>
      </c>
      <c r="Q48" s="64">
        <v>10.97</v>
      </c>
      <c r="S48" s="196"/>
      <c r="T48" s="196"/>
      <c r="U48" s="196"/>
    </row>
    <row r="49" spans="1:21" s="12" customFormat="1" x14ac:dyDescent="0.25">
      <c r="A49" s="211" t="s">
        <v>2399</v>
      </c>
      <c r="B49" s="64">
        <v>30.15</v>
      </c>
      <c r="C49" s="64">
        <v>54.64</v>
      </c>
      <c r="D49" s="64">
        <v>51.35</v>
      </c>
      <c r="E49" s="64">
        <v>6.76</v>
      </c>
      <c r="F49" s="64">
        <v>4.09</v>
      </c>
      <c r="G49" s="64">
        <v>150.04</v>
      </c>
      <c r="H49" s="64">
        <v>73.760000000000005</v>
      </c>
      <c r="I49" s="64">
        <v>7.44</v>
      </c>
      <c r="J49" s="64">
        <v>1.52</v>
      </c>
      <c r="K49" s="64">
        <v>110.12</v>
      </c>
      <c r="L49" s="64">
        <v>20.75</v>
      </c>
      <c r="M49" s="64">
        <v>49.17</v>
      </c>
      <c r="N49" s="64">
        <v>493.2</v>
      </c>
      <c r="O49" s="64">
        <v>0</v>
      </c>
      <c r="P49" s="64">
        <v>1.2</v>
      </c>
      <c r="Q49" s="64">
        <v>10.9</v>
      </c>
      <c r="S49" s="196"/>
      <c r="T49" s="196"/>
      <c r="U49" s="196"/>
    </row>
    <row r="50" spans="1:21" s="12" customFormat="1" x14ac:dyDescent="0.25">
      <c r="A50" s="211" t="s">
        <v>2400</v>
      </c>
      <c r="B50" s="64">
        <v>26.36</v>
      </c>
      <c r="C50" s="64">
        <v>55.75</v>
      </c>
      <c r="D50" s="64">
        <v>48.89</v>
      </c>
      <c r="E50" s="64">
        <v>6.56</v>
      </c>
      <c r="F50" s="64">
        <v>4.1399999999999997</v>
      </c>
      <c r="G50" s="64">
        <v>143.68</v>
      </c>
      <c r="H50" s="64">
        <v>73.37</v>
      </c>
      <c r="I50" s="64">
        <v>7.33</v>
      </c>
      <c r="J50" s="64">
        <v>1.96</v>
      </c>
      <c r="K50" s="64">
        <v>120.2</v>
      </c>
      <c r="L50" s="64">
        <v>20.440000000000001</v>
      </c>
      <c r="M50" s="64">
        <v>48.66</v>
      </c>
      <c r="N50" s="64">
        <v>513.4</v>
      </c>
      <c r="O50" s="64">
        <v>0</v>
      </c>
      <c r="P50" s="64">
        <v>1.18</v>
      </c>
      <c r="Q50" s="64">
        <v>10.82</v>
      </c>
      <c r="S50" s="196"/>
      <c r="T50" s="196"/>
      <c r="U50" s="196"/>
    </row>
    <row r="51" spans="1:21" s="12" customFormat="1" x14ac:dyDescent="0.25">
      <c r="A51" s="211" t="s">
        <v>2401</v>
      </c>
      <c r="B51" s="64">
        <v>22.25</v>
      </c>
      <c r="C51" s="64">
        <v>56.69</v>
      </c>
      <c r="D51" s="64">
        <v>46.08</v>
      </c>
      <c r="E51" s="64">
        <v>6.23</v>
      </c>
      <c r="F51" s="64">
        <v>4.34</v>
      </c>
      <c r="G51" s="64">
        <v>143.68</v>
      </c>
      <c r="H51" s="64">
        <v>73.37</v>
      </c>
      <c r="I51" s="64">
        <v>7.6</v>
      </c>
      <c r="J51" s="64">
        <v>2.38</v>
      </c>
      <c r="K51" s="64">
        <v>127.29</v>
      </c>
      <c r="L51" s="64">
        <v>20.62</v>
      </c>
      <c r="M51" s="64">
        <v>47.59</v>
      </c>
      <c r="N51" s="64">
        <v>538.6</v>
      </c>
      <c r="O51" s="64">
        <v>0</v>
      </c>
      <c r="P51" s="64">
        <v>1.1499999999999999</v>
      </c>
      <c r="Q51" s="64">
        <v>10.78</v>
      </c>
      <c r="S51" s="196"/>
      <c r="T51" s="196"/>
      <c r="U51" s="196"/>
    </row>
    <row r="52" spans="1:21" s="12" customFormat="1" x14ac:dyDescent="0.25">
      <c r="A52" s="211" t="s">
        <v>2402</v>
      </c>
      <c r="B52" s="64">
        <v>18.28</v>
      </c>
      <c r="C52" s="64">
        <v>57.34</v>
      </c>
      <c r="D52" s="64">
        <v>43.24</v>
      </c>
      <c r="E52" s="64">
        <v>6.26</v>
      </c>
      <c r="F52" s="64">
        <v>4.5999999999999996</v>
      </c>
      <c r="G52" s="64">
        <v>143.68</v>
      </c>
      <c r="H52" s="64">
        <v>73.37</v>
      </c>
      <c r="I52" s="64">
        <v>7.91</v>
      </c>
      <c r="J52" s="64">
        <v>1.67</v>
      </c>
      <c r="K52" s="64">
        <v>123.53</v>
      </c>
      <c r="L52" s="64">
        <v>21.84</v>
      </c>
      <c r="M52" s="64">
        <v>44.17</v>
      </c>
      <c r="N52" s="64">
        <v>557.6</v>
      </c>
      <c r="O52" s="64">
        <v>0</v>
      </c>
      <c r="P52" s="64">
        <v>1.1200000000000001</v>
      </c>
      <c r="Q52" s="64">
        <v>10.72</v>
      </c>
      <c r="S52" s="196"/>
      <c r="T52" s="196"/>
      <c r="U52" s="196"/>
    </row>
    <row r="53" spans="1:21" s="12" customFormat="1" x14ac:dyDescent="0.25">
      <c r="A53" s="211" t="s">
        <v>2403</v>
      </c>
      <c r="B53" s="64">
        <v>14.49</v>
      </c>
      <c r="C53" s="64">
        <v>58.17</v>
      </c>
      <c r="D53" s="64">
        <v>40.64</v>
      </c>
      <c r="E53" s="64">
        <v>6.25</v>
      </c>
      <c r="F53" s="64">
        <v>4.41</v>
      </c>
      <c r="G53" s="64">
        <v>140.38</v>
      </c>
      <c r="H53" s="64">
        <v>69.989999999999995</v>
      </c>
      <c r="I53" s="64">
        <v>8.0500000000000007</v>
      </c>
      <c r="J53" s="64">
        <v>0.05</v>
      </c>
      <c r="K53" s="64">
        <v>165.77</v>
      </c>
      <c r="L53" s="64">
        <v>23.04</v>
      </c>
      <c r="M53" s="64">
        <v>40.799999999999997</v>
      </c>
      <c r="N53" s="64">
        <v>564.79999999999995</v>
      </c>
      <c r="O53" s="64">
        <v>0</v>
      </c>
      <c r="P53" s="64">
        <v>1.0900000000000001</v>
      </c>
      <c r="Q53" s="64">
        <v>10.68</v>
      </c>
      <c r="S53" s="196"/>
      <c r="T53" s="196"/>
      <c r="U53" s="196"/>
    </row>
    <row r="54" spans="1:21" s="12" customFormat="1" x14ac:dyDescent="0.25">
      <c r="A54" s="211" t="s">
        <v>2404</v>
      </c>
      <c r="B54" s="64">
        <v>11.6</v>
      </c>
      <c r="C54" s="64">
        <v>59.59</v>
      </c>
      <c r="D54" s="64">
        <v>39.06</v>
      </c>
      <c r="E54" s="64">
        <v>6.6</v>
      </c>
      <c r="F54" s="64">
        <v>4.7699999999999996</v>
      </c>
      <c r="G54" s="64">
        <v>138.38</v>
      </c>
      <c r="H54" s="64">
        <v>69.25</v>
      </c>
      <c r="I54" s="64">
        <v>8.0500000000000007</v>
      </c>
      <c r="J54" s="64">
        <v>1.55</v>
      </c>
      <c r="K54" s="64">
        <v>316.8</v>
      </c>
      <c r="L54" s="64">
        <v>25.72</v>
      </c>
      <c r="M54" s="64">
        <v>34.11</v>
      </c>
      <c r="N54" s="64">
        <v>557.20000000000005</v>
      </c>
      <c r="O54" s="64">
        <v>0</v>
      </c>
      <c r="P54" s="64">
        <v>1.0900000000000001</v>
      </c>
      <c r="Q54" s="64">
        <v>10.66</v>
      </c>
      <c r="S54" s="196"/>
      <c r="T54" s="196"/>
      <c r="U54" s="196"/>
    </row>
    <row r="55" spans="1:21" s="12" customFormat="1" x14ac:dyDescent="0.25">
      <c r="A55" s="211" t="s">
        <v>2405</v>
      </c>
      <c r="B55" s="64">
        <v>8.98</v>
      </c>
      <c r="C55" s="64">
        <v>61.08</v>
      </c>
      <c r="D55" s="64">
        <v>37.729999999999997</v>
      </c>
      <c r="E55" s="64">
        <v>6.73</v>
      </c>
      <c r="F55" s="64">
        <v>4.83</v>
      </c>
      <c r="G55" s="64">
        <v>138.38</v>
      </c>
      <c r="H55" s="64">
        <v>69.25</v>
      </c>
      <c r="I55" s="64">
        <v>7.96</v>
      </c>
      <c r="J55" s="64">
        <v>1.1200000000000001</v>
      </c>
      <c r="K55" s="64">
        <v>339.22</v>
      </c>
      <c r="L55" s="64">
        <v>25.27</v>
      </c>
      <c r="M55" s="64">
        <v>34.82</v>
      </c>
      <c r="N55" s="64">
        <v>562</v>
      </c>
      <c r="O55" s="64">
        <v>0</v>
      </c>
      <c r="P55" s="64">
        <v>1.07</v>
      </c>
      <c r="Q55" s="64">
        <v>10.64</v>
      </c>
      <c r="S55" s="196"/>
      <c r="T55" s="196"/>
      <c r="U55" s="196"/>
    </row>
    <row r="56" spans="1:21" s="12" customFormat="1" x14ac:dyDescent="0.25">
      <c r="A56" s="211" t="s">
        <v>2406</v>
      </c>
      <c r="B56" s="64">
        <v>7.16</v>
      </c>
      <c r="C56" s="64">
        <v>59.71</v>
      </c>
      <c r="D56" s="64">
        <v>35.56</v>
      </c>
      <c r="E56" s="64">
        <v>6.17</v>
      </c>
      <c r="F56" s="64">
        <v>4.5</v>
      </c>
      <c r="G56" s="64">
        <v>138.38</v>
      </c>
      <c r="H56" s="64">
        <v>69.25</v>
      </c>
      <c r="I56" s="64">
        <v>7.75</v>
      </c>
      <c r="J56" s="64">
        <v>1.9</v>
      </c>
      <c r="K56" s="64">
        <v>324.83</v>
      </c>
      <c r="L56" s="64">
        <v>26.43</v>
      </c>
      <c r="M56" s="64">
        <v>31.41</v>
      </c>
      <c r="N56" s="64">
        <v>546.70000000000005</v>
      </c>
      <c r="O56" s="64">
        <v>0</v>
      </c>
      <c r="P56" s="64">
        <v>1.05</v>
      </c>
      <c r="Q56" s="64">
        <v>10.56</v>
      </c>
      <c r="S56" s="196"/>
      <c r="T56" s="196"/>
      <c r="U56" s="196"/>
    </row>
    <row r="57" spans="1:21" s="12" customFormat="1" x14ac:dyDescent="0.25">
      <c r="A57" s="211" t="s">
        <v>2407</v>
      </c>
      <c r="B57" s="64">
        <v>5.98</v>
      </c>
      <c r="C57" s="64">
        <v>59.29</v>
      </c>
      <c r="D57" s="64">
        <v>34.39</v>
      </c>
      <c r="E57" s="64">
        <v>6.83</v>
      </c>
      <c r="F57" s="64">
        <v>4.74</v>
      </c>
      <c r="G57" s="64">
        <v>129.24</v>
      </c>
      <c r="H57" s="64">
        <v>65.94</v>
      </c>
      <c r="I57" s="64">
        <v>7.53</v>
      </c>
      <c r="J57" s="64">
        <v>0.95</v>
      </c>
      <c r="K57" s="64">
        <v>333.55</v>
      </c>
      <c r="L57" s="64">
        <v>25.73</v>
      </c>
      <c r="M57" s="64">
        <v>32.51</v>
      </c>
      <c r="N57" s="64">
        <v>524.6</v>
      </c>
      <c r="O57" s="64">
        <v>0</v>
      </c>
      <c r="P57" s="64">
        <v>0.99</v>
      </c>
      <c r="Q57" s="64">
        <v>10.51</v>
      </c>
      <c r="S57" s="196"/>
      <c r="T57" s="196"/>
      <c r="U57" s="196"/>
    </row>
    <row r="58" spans="1:21" s="12" customFormat="1" x14ac:dyDescent="0.25">
      <c r="A58" s="211" t="s">
        <v>2408</v>
      </c>
      <c r="B58" s="64">
        <v>5.05</v>
      </c>
      <c r="C58" s="64">
        <v>58.48</v>
      </c>
      <c r="D58" s="64">
        <v>33.229999999999997</v>
      </c>
      <c r="E58" s="64">
        <v>6.69</v>
      </c>
      <c r="F58" s="64">
        <v>4.97</v>
      </c>
      <c r="G58" s="64">
        <v>123.7</v>
      </c>
      <c r="H58" s="64">
        <v>64.66</v>
      </c>
      <c r="I58" s="64">
        <v>6.98</v>
      </c>
      <c r="J58" s="64">
        <v>2.0099999999999998</v>
      </c>
      <c r="K58" s="64">
        <v>317.52</v>
      </c>
      <c r="L58" s="64">
        <v>26.58</v>
      </c>
      <c r="M58" s="64">
        <v>31.67</v>
      </c>
      <c r="N58" s="64">
        <v>467.8</v>
      </c>
      <c r="O58" s="64">
        <v>0</v>
      </c>
      <c r="P58" s="64">
        <v>1.03</v>
      </c>
      <c r="Q58" s="64">
        <v>10.5</v>
      </c>
      <c r="S58" s="196"/>
      <c r="T58" s="196"/>
      <c r="U58" s="196"/>
    </row>
    <row r="59" spans="1:21" s="12" customFormat="1" x14ac:dyDescent="0.25">
      <c r="A59" s="211" t="s">
        <v>2409</v>
      </c>
      <c r="B59" s="64">
        <v>4.51</v>
      </c>
      <c r="C59" s="64">
        <v>57.5</v>
      </c>
      <c r="D59" s="64">
        <v>32.28</v>
      </c>
      <c r="E59" s="64">
        <v>6.47</v>
      </c>
      <c r="F59" s="64">
        <v>4.9400000000000004</v>
      </c>
      <c r="G59" s="64">
        <v>123.7</v>
      </c>
      <c r="H59" s="64">
        <v>64.66</v>
      </c>
      <c r="I59" s="64">
        <v>6.69</v>
      </c>
      <c r="J59" s="64">
        <v>1.04</v>
      </c>
      <c r="K59" s="64">
        <v>70.7</v>
      </c>
      <c r="L59" s="64">
        <v>25.22</v>
      </c>
      <c r="M59" s="64">
        <v>33.479999999999997</v>
      </c>
      <c r="N59" s="64">
        <v>447.8</v>
      </c>
      <c r="O59" s="64">
        <v>0</v>
      </c>
      <c r="P59" s="64">
        <v>0.99</v>
      </c>
      <c r="Q59" s="64">
        <v>10.49</v>
      </c>
      <c r="S59" s="196"/>
      <c r="T59" s="196"/>
      <c r="U59" s="196"/>
    </row>
    <row r="60" spans="1:21" s="12" customFormat="1" x14ac:dyDescent="0.25">
      <c r="A60" s="211" t="s">
        <v>2410</v>
      </c>
      <c r="B60" s="64">
        <v>3.92</v>
      </c>
      <c r="C60" s="64">
        <v>55.64</v>
      </c>
      <c r="D60" s="64">
        <v>30.83</v>
      </c>
      <c r="E60" s="64">
        <v>6.48</v>
      </c>
      <c r="F60" s="64">
        <v>4.72</v>
      </c>
      <c r="G60" s="64">
        <v>123.7</v>
      </c>
      <c r="H60" s="64">
        <v>64.66</v>
      </c>
      <c r="I60" s="64">
        <v>6.88</v>
      </c>
      <c r="J60" s="64">
        <v>1.96</v>
      </c>
      <c r="K60" s="64">
        <v>107.42</v>
      </c>
      <c r="L60" s="64">
        <v>22.69</v>
      </c>
      <c r="M60" s="64">
        <v>38.01</v>
      </c>
      <c r="N60" s="64">
        <v>415.2</v>
      </c>
      <c r="O60" s="64">
        <v>0</v>
      </c>
      <c r="P60" s="64">
        <v>0.96</v>
      </c>
      <c r="Q60" s="64">
        <v>10.51</v>
      </c>
      <c r="S60" s="196"/>
      <c r="T60" s="196"/>
      <c r="U60" s="196"/>
    </row>
    <row r="61" spans="1:21" s="12" customFormat="1" x14ac:dyDescent="0.25">
      <c r="A61" s="211" t="s">
        <v>2411</v>
      </c>
      <c r="B61" s="64">
        <v>3.39</v>
      </c>
      <c r="C61" s="64">
        <v>53.51</v>
      </c>
      <c r="D61" s="64">
        <v>29.3</v>
      </c>
      <c r="E61" s="64">
        <v>6.55</v>
      </c>
      <c r="F61" s="64">
        <v>6.01</v>
      </c>
      <c r="G61" s="64">
        <v>114.89</v>
      </c>
      <c r="H61" s="64">
        <v>60.37</v>
      </c>
      <c r="I61" s="64">
        <v>6.58</v>
      </c>
      <c r="J61" s="64">
        <v>0.79</v>
      </c>
      <c r="K61" s="64">
        <v>171.64</v>
      </c>
      <c r="L61" s="64">
        <v>22.95</v>
      </c>
      <c r="M61" s="64">
        <v>36.96</v>
      </c>
      <c r="N61" s="64">
        <v>382</v>
      </c>
      <c r="O61" s="64">
        <v>0</v>
      </c>
      <c r="P61" s="64">
        <v>0.93</v>
      </c>
      <c r="Q61" s="64">
        <v>10.47</v>
      </c>
      <c r="S61" s="196"/>
      <c r="T61" s="196"/>
      <c r="U61" s="196"/>
    </row>
    <row r="62" spans="1:21" s="12" customFormat="1" x14ac:dyDescent="0.25">
      <c r="A62" s="211" t="s">
        <v>2412</v>
      </c>
      <c r="B62" s="64">
        <v>3.07</v>
      </c>
      <c r="C62" s="64">
        <v>51.78</v>
      </c>
      <c r="D62" s="64">
        <v>28.14</v>
      </c>
      <c r="E62" s="64">
        <v>6.44</v>
      </c>
      <c r="F62" s="64">
        <v>5</v>
      </c>
      <c r="G62" s="64">
        <v>109.54</v>
      </c>
      <c r="H62" s="64">
        <v>59.51</v>
      </c>
      <c r="I62" s="64">
        <v>6.27</v>
      </c>
      <c r="J62" s="64">
        <v>1.38</v>
      </c>
      <c r="K62" s="64">
        <v>332.84</v>
      </c>
      <c r="L62" s="64">
        <v>24.03</v>
      </c>
      <c r="M62" s="64">
        <v>35.46</v>
      </c>
      <c r="N62" s="64">
        <v>353.6</v>
      </c>
      <c r="O62" s="64">
        <v>0</v>
      </c>
      <c r="P62" s="64">
        <v>1.01</v>
      </c>
      <c r="Q62" s="64">
        <v>10.46</v>
      </c>
      <c r="S62" s="196"/>
      <c r="T62" s="196"/>
      <c r="U62" s="196"/>
    </row>
    <row r="63" spans="1:21" s="12" customFormat="1" x14ac:dyDescent="0.25">
      <c r="A63" s="211" t="s">
        <v>2413</v>
      </c>
      <c r="B63" s="64">
        <v>2.97</v>
      </c>
      <c r="C63" s="64">
        <v>51.35</v>
      </c>
      <c r="D63" s="64">
        <v>27.83</v>
      </c>
      <c r="E63" s="64">
        <v>7.74</v>
      </c>
      <c r="F63" s="64">
        <v>5.0999999999999996</v>
      </c>
      <c r="G63" s="64">
        <v>109.54</v>
      </c>
      <c r="H63" s="64">
        <v>59.51</v>
      </c>
      <c r="I63" s="64">
        <v>5.47</v>
      </c>
      <c r="J63" s="64">
        <v>2.33</v>
      </c>
      <c r="K63" s="64">
        <v>335.03</v>
      </c>
      <c r="L63" s="64">
        <v>24.8</v>
      </c>
      <c r="M63" s="64">
        <v>33.909999999999997</v>
      </c>
      <c r="N63" s="64">
        <v>332.2</v>
      </c>
      <c r="O63" s="64">
        <v>0</v>
      </c>
      <c r="P63" s="64">
        <v>1.03</v>
      </c>
      <c r="Q63" s="64">
        <v>10.47</v>
      </c>
      <c r="S63" s="196"/>
      <c r="T63" s="196"/>
      <c r="U63" s="196"/>
    </row>
    <row r="64" spans="1:21" s="12" customFormat="1" x14ac:dyDescent="0.25">
      <c r="A64" s="211" t="s">
        <v>2414</v>
      </c>
      <c r="B64" s="64">
        <v>2.83</v>
      </c>
      <c r="C64" s="64">
        <v>52.46</v>
      </c>
      <c r="D64" s="64">
        <v>28.3</v>
      </c>
      <c r="E64" s="64">
        <v>7.6</v>
      </c>
      <c r="F64" s="64">
        <v>6.01</v>
      </c>
      <c r="G64" s="64">
        <v>109.54</v>
      </c>
      <c r="H64" s="64">
        <v>59.51</v>
      </c>
      <c r="I64" s="64">
        <v>6.04</v>
      </c>
      <c r="J64" s="64">
        <v>1.65</v>
      </c>
      <c r="K64" s="64">
        <v>327.3</v>
      </c>
      <c r="L64" s="64">
        <v>25.03</v>
      </c>
      <c r="M64" s="64">
        <v>32.869999999999997</v>
      </c>
      <c r="N64" s="64">
        <v>271.10000000000002</v>
      </c>
      <c r="O64" s="64">
        <v>0</v>
      </c>
      <c r="P64" s="64">
        <v>1.04</v>
      </c>
      <c r="Q64" s="64">
        <v>10.49</v>
      </c>
      <c r="S64" s="196"/>
      <c r="T64" s="196"/>
      <c r="U64" s="196"/>
    </row>
    <row r="65" spans="1:21" s="12" customFormat="1" x14ac:dyDescent="0.25">
      <c r="A65" s="211" t="s">
        <v>2415</v>
      </c>
      <c r="B65" s="64">
        <v>2.58</v>
      </c>
      <c r="C65" s="64">
        <v>53.18</v>
      </c>
      <c r="D65" s="64">
        <v>28.47</v>
      </c>
      <c r="E65" s="64">
        <v>7.28</v>
      </c>
      <c r="F65" s="64">
        <v>6.74</v>
      </c>
      <c r="G65" s="64">
        <v>113.25</v>
      </c>
      <c r="H65" s="64">
        <v>59.92</v>
      </c>
      <c r="I65" s="64">
        <v>7.19</v>
      </c>
      <c r="J65" s="64">
        <v>2.64</v>
      </c>
      <c r="K65" s="64">
        <v>335.36</v>
      </c>
      <c r="L65" s="64">
        <v>24.36</v>
      </c>
      <c r="M65" s="64">
        <v>32.840000000000003</v>
      </c>
      <c r="N65" s="64">
        <v>188.6</v>
      </c>
      <c r="O65" s="64">
        <v>0</v>
      </c>
      <c r="P65" s="64">
        <v>1.02</v>
      </c>
      <c r="Q65" s="64">
        <v>10.49</v>
      </c>
      <c r="S65" s="196"/>
      <c r="T65" s="196"/>
      <c r="U65" s="196"/>
    </row>
    <row r="66" spans="1:21" s="12" customFormat="1" x14ac:dyDescent="0.25">
      <c r="A66" s="211" t="s">
        <v>2416</v>
      </c>
      <c r="B66" s="64">
        <v>2.5299999999999998</v>
      </c>
      <c r="C66" s="64">
        <v>53.98</v>
      </c>
      <c r="D66" s="64">
        <v>28.86</v>
      </c>
      <c r="E66" s="64">
        <v>7.49</v>
      </c>
      <c r="F66" s="64">
        <v>6.43</v>
      </c>
      <c r="G66" s="64">
        <v>115.5</v>
      </c>
      <c r="H66" s="64">
        <v>60</v>
      </c>
      <c r="I66" s="64">
        <v>7.35</v>
      </c>
      <c r="J66" s="64">
        <v>2.2999999999999998</v>
      </c>
      <c r="K66" s="64">
        <v>324.33</v>
      </c>
      <c r="L66" s="64">
        <v>24.48</v>
      </c>
      <c r="M66" s="64">
        <v>31.41</v>
      </c>
      <c r="N66" s="64">
        <v>151.6</v>
      </c>
      <c r="O66" s="64">
        <v>0</v>
      </c>
      <c r="P66" s="64">
        <v>1.02</v>
      </c>
      <c r="Q66" s="64">
        <v>10.45</v>
      </c>
      <c r="S66" s="196"/>
      <c r="T66" s="196"/>
      <c r="U66" s="196"/>
    </row>
    <row r="67" spans="1:21" s="12" customFormat="1" x14ac:dyDescent="0.25">
      <c r="A67" s="211" t="s">
        <v>2417</v>
      </c>
      <c r="B67" s="64">
        <v>2.5099999999999998</v>
      </c>
      <c r="C67" s="64">
        <v>54.95</v>
      </c>
      <c r="D67" s="64">
        <v>29.34</v>
      </c>
      <c r="E67" s="64">
        <v>7.36</v>
      </c>
      <c r="F67" s="64">
        <v>6.55</v>
      </c>
      <c r="G67" s="64">
        <v>115.5</v>
      </c>
      <c r="H67" s="64">
        <v>60</v>
      </c>
      <c r="I67" s="64">
        <v>7.13</v>
      </c>
      <c r="J67" s="64">
        <v>1.93</v>
      </c>
      <c r="K67" s="64">
        <v>326.19</v>
      </c>
      <c r="L67" s="64">
        <v>24.14</v>
      </c>
      <c r="M67" s="64">
        <v>32.369999999999997</v>
      </c>
      <c r="N67" s="64">
        <v>151.69999999999999</v>
      </c>
      <c r="O67" s="64">
        <v>0</v>
      </c>
      <c r="P67" s="64">
        <v>1.01</v>
      </c>
      <c r="Q67" s="64">
        <v>10.44</v>
      </c>
      <c r="S67" s="196"/>
      <c r="T67" s="196"/>
      <c r="U67" s="196"/>
    </row>
    <row r="68" spans="1:21" s="12" customFormat="1" x14ac:dyDescent="0.25">
      <c r="A68" s="211" t="s">
        <v>2418</v>
      </c>
      <c r="B68" s="64">
        <v>2.36</v>
      </c>
      <c r="C68" s="64">
        <v>55.33</v>
      </c>
      <c r="D68" s="64">
        <v>29.42</v>
      </c>
      <c r="E68" s="64">
        <v>7.02</v>
      </c>
      <c r="F68" s="64">
        <v>6.46</v>
      </c>
      <c r="G68" s="64">
        <v>115.5</v>
      </c>
      <c r="H68" s="64">
        <v>60</v>
      </c>
      <c r="I68" s="64">
        <v>6.78</v>
      </c>
      <c r="J68" s="64">
        <v>2.21</v>
      </c>
      <c r="K68" s="64">
        <v>340.26</v>
      </c>
      <c r="L68" s="64">
        <v>23.81</v>
      </c>
      <c r="M68" s="64">
        <v>33.28</v>
      </c>
      <c r="N68" s="64">
        <v>146.69999999999999</v>
      </c>
      <c r="O68" s="64">
        <v>0</v>
      </c>
      <c r="P68" s="64">
        <v>1</v>
      </c>
      <c r="Q68" s="64">
        <v>10.42</v>
      </c>
      <c r="S68" s="196"/>
      <c r="T68" s="196"/>
      <c r="U68" s="196"/>
    </row>
    <row r="69" spans="1:21" s="12" customFormat="1" x14ac:dyDescent="0.25">
      <c r="A69" s="211" t="s">
        <v>2419</v>
      </c>
      <c r="B69" s="64">
        <v>2.4900000000000002</v>
      </c>
      <c r="C69" s="64">
        <v>55.71</v>
      </c>
      <c r="D69" s="64">
        <v>29.73</v>
      </c>
      <c r="E69" s="64">
        <v>7.14</v>
      </c>
      <c r="F69" s="64">
        <v>6.02</v>
      </c>
      <c r="G69" s="64">
        <v>112.51</v>
      </c>
      <c r="H69" s="64">
        <v>57.62</v>
      </c>
      <c r="I69" s="64">
        <v>6.58</v>
      </c>
      <c r="J69" s="64">
        <v>2</v>
      </c>
      <c r="K69" s="64">
        <v>333.71</v>
      </c>
      <c r="L69" s="64">
        <v>23.54</v>
      </c>
      <c r="M69" s="64">
        <v>33.67</v>
      </c>
      <c r="N69" s="64">
        <v>115.9</v>
      </c>
      <c r="O69" s="64">
        <v>0</v>
      </c>
      <c r="P69" s="64">
        <v>1</v>
      </c>
      <c r="Q69" s="64">
        <v>10.44</v>
      </c>
      <c r="S69" s="196"/>
      <c r="T69" s="196"/>
      <c r="U69" s="196"/>
    </row>
    <row r="70" spans="1:21" s="12" customFormat="1" x14ac:dyDescent="0.25">
      <c r="A70" s="211" t="s">
        <v>2420</v>
      </c>
      <c r="B70" s="64">
        <v>2.61</v>
      </c>
      <c r="C70" s="64">
        <v>56.49</v>
      </c>
      <c r="D70" s="64">
        <v>30.23</v>
      </c>
      <c r="E70" s="64">
        <v>7.21</v>
      </c>
      <c r="F70" s="64">
        <v>5.93</v>
      </c>
      <c r="G70" s="64">
        <v>110.7</v>
      </c>
      <c r="H70" s="64">
        <v>57.15</v>
      </c>
      <c r="I70" s="64">
        <v>6.3</v>
      </c>
      <c r="J70" s="64">
        <v>2.16</v>
      </c>
      <c r="K70" s="64">
        <v>321.23</v>
      </c>
      <c r="L70" s="64">
        <v>23.37</v>
      </c>
      <c r="M70" s="64">
        <v>34.67</v>
      </c>
      <c r="N70" s="64">
        <v>105.5</v>
      </c>
      <c r="O70" s="64">
        <v>0</v>
      </c>
      <c r="P70" s="64">
        <v>1</v>
      </c>
      <c r="Q70" s="64">
        <v>10.45</v>
      </c>
      <c r="S70" s="196"/>
      <c r="T70" s="196"/>
      <c r="U70" s="196"/>
    </row>
    <row r="71" spans="1:21" s="12" customFormat="1" x14ac:dyDescent="0.25">
      <c r="A71" s="211" t="s">
        <v>2421</v>
      </c>
      <c r="B71" s="64">
        <v>2.78</v>
      </c>
      <c r="C71" s="64">
        <v>57.66</v>
      </c>
      <c r="D71" s="64">
        <v>30.98</v>
      </c>
      <c r="E71" s="64">
        <v>6.7</v>
      </c>
      <c r="F71" s="64">
        <v>5.97</v>
      </c>
      <c r="G71" s="64">
        <v>110.7</v>
      </c>
      <c r="H71" s="64">
        <v>57.15</v>
      </c>
      <c r="I71" s="64">
        <v>6.21</v>
      </c>
      <c r="J71" s="64">
        <v>2.31</v>
      </c>
      <c r="K71" s="64">
        <v>342.8</v>
      </c>
      <c r="L71" s="64">
        <v>23.13</v>
      </c>
      <c r="M71" s="64">
        <v>35.14</v>
      </c>
      <c r="N71" s="64">
        <v>95.8</v>
      </c>
      <c r="O71" s="64">
        <v>0</v>
      </c>
      <c r="P71" s="64">
        <v>1</v>
      </c>
      <c r="Q71" s="64">
        <v>10.47</v>
      </c>
      <c r="S71" s="196"/>
      <c r="T71" s="196"/>
      <c r="U71" s="196"/>
    </row>
    <row r="72" spans="1:21" s="12" customFormat="1" x14ac:dyDescent="0.25">
      <c r="A72" s="211" t="s">
        <v>2422</v>
      </c>
      <c r="B72" s="64">
        <v>3.03</v>
      </c>
      <c r="C72" s="64">
        <v>58.12</v>
      </c>
      <c r="D72" s="64">
        <v>31.42</v>
      </c>
      <c r="E72" s="64">
        <v>7.95</v>
      </c>
      <c r="F72" s="64">
        <v>5.52</v>
      </c>
      <c r="G72" s="64">
        <v>110.7</v>
      </c>
      <c r="H72" s="64">
        <v>57.15</v>
      </c>
      <c r="I72" s="64">
        <v>6.08</v>
      </c>
      <c r="J72" s="64">
        <v>2.4500000000000002</v>
      </c>
      <c r="K72" s="64">
        <v>339.4</v>
      </c>
      <c r="L72" s="64">
        <v>22.08</v>
      </c>
      <c r="M72" s="64">
        <v>41.79</v>
      </c>
      <c r="N72" s="64">
        <v>85</v>
      </c>
      <c r="O72" s="64">
        <v>0</v>
      </c>
      <c r="P72" s="64">
        <v>1.01</v>
      </c>
      <c r="Q72" s="64">
        <v>10.42</v>
      </c>
      <c r="S72" s="196"/>
      <c r="T72" s="196"/>
      <c r="U72" s="196"/>
    </row>
    <row r="73" spans="1:21" s="12" customFormat="1" x14ac:dyDescent="0.25">
      <c r="A73" s="211" t="s">
        <v>2423</v>
      </c>
      <c r="B73" s="64">
        <v>3.21</v>
      </c>
      <c r="C73" s="64">
        <v>57.02</v>
      </c>
      <c r="D73" s="64">
        <v>30.99</v>
      </c>
      <c r="E73" s="64">
        <v>7.48</v>
      </c>
      <c r="F73" s="64">
        <v>5.0599999999999996</v>
      </c>
      <c r="G73" s="64">
        <v>111.82</v>
      </c>
      <c r="H73" s="64">
        <v>58.53</v>
      </c>
      <c r="I73" s="64">
        <v>5.95</v>
      </c>
      <c r="J73" s="64">
        <v>2.21</v>
      </c>
      <c r="K73" s="64">
        <v>339.83</v>
      </c>
      <c r="L73" s="64">
        <v>22.09</v>
      </c>
      <c r="M73" s="64">
        <v>37.18</v>
      </c>
      <c r="N73" s="64">
        <v>73.7</v>
      </c>
      <c r="O73" s="64">
        <v>0</v>
      </c>
      <c r="P73" s="64">
        <v>1.0900000000000001</v>
      </c>
      <c r="Q73" s="64">
        <v>10.38</v>
      </c>
      <c r="S73" s="196"/>
      <c r="T73" s="196"/>
      <c r="U73" s="196"/>
    </row>
    <row r="74" spans="1:21" s="12" customFormat="1" x14ac:dyDescent="0.25">
      <c r="A74" s="211" t="s">
        <v>2424</v>
      </c>
      <c r="B74" s="64">
        <v>3.71</v>
      </c>
      <c r="C74" s="64">
        <v>57.13</v>
      </c>
      <c r="D74" s="64">
        <v>31.45</v>
      </c>
      <c r="E74" s="64">
        <v>7.07</v>
      </c>
      <c r="F74" s="64">
        <v>4.67</v>
      </c>
      <c r="G74" s="64">
        <v>112.49</v>
      </c>
      <c r="H74" s="64">
        <v>59.01</v>
      </c>
      <c r="I74" s="64">
        <v>5.14</v>
      </c>
      <c r="J74" s="64">
        <v>1.97</v>
      </c>
      <c r="K74" s="64">
        <v>344.01</v>
      </c>
      <c r="L74" s="64">
        <v>21.81</v>
      </c>
      <c r="M74" s="64">
        <v>38.6</v>
      </c>
      <c r="N74" s="64">
        <v>64</v>
      </c>
      <c r="O74" s="64">
        <v>0</v>
      </c>
      <c r="P74" s="64">
        <v>1.1399999999999999</v>
      </c>
      <c r="Q74" s="64">
        <v>10.4</v>
      </c>
      <c r="S74" s="196"/>
      <c r="T74" s="196"/>
      <c r="U74" s="196"/>
    </row>
    <row r="75" spans="1:21" s="12" customFormat="1" x14ac:dyDescent="0.25">
      <c r="A75" s="211" t="s">
        <v>2425</v>
      </c>
      <c r="B75" s="64">
        <v>4.5999999999999996</v>
      </c>
      <c r="C75" s="64">
        <v>57.58</v>
      </c>
      <c r="D75" s="64">
        <v>32.39</v>
      </c>
      <c r="E75" s="64">
        <v>7.3</v>
      </c>
      <c r="F75" s="64">
        <v>4.82</v>
      </c>
      <c r="G75" s="64">
        <v>112.49</v>
      </c>
      <c r="H75" s="64">
        <v>59.01</v>
      </c>
      <c r="I75" s="64">
        <v>5.04</v>
      </c>
      <c r="J75" s="64">
        <v>1.7</v>
      </c>
      <c r="K75" s="64">
        <v>342.56</v>
      </c>
      <c r="L75" s="64">
        <v>21.3</v>
      </c>
      <c r="M75" s="64">
        <v>40.04</v>
      </c>
      <c r="N75" s="64">
        <v>54.6</v>
      </c>
      <c r="O75" s="64">
        <v>0</v>
      </c>
      <c r="P75" s="64">
        <v>1.27</v>
      </c>
      <c r="Q75" s="64">
        <v>10.41</v>
      </c>
      <c r="S75" s="196"/>
      <c r="T75" s="196"/>
      <c r="U75" s="196"/>
    </row>
    <row r="76" spans="1:21" s="12" customFormat="1" x14ac:dyDescent="0.25">
      <c r="A76" s="211" t="s">
        <v>2426</v>
      </c>
      <c r="B76" s="64">
        <v>5.43</v>
      </c>
      <c r="C76" s="64">
        <v>58.06</v>
      </c>
      <c r="D76" s="64">
        <v>33.31</v>
      </c>
      <c r="E76" s="64">
        <v>7.67</v>
      </c>
      <c r="F76" s="64">
        <v>4.57</v>
      </c>
      <c r="G76" s="64">
        <v>112.49</v>
      </c>
      <c r="H76" s="64">
        <v>59.01</v>
      </c>
      <c r="I76" s="64">
        <v>4.9000000000000004</v>
      </c>
      <c r="J76" s="64">
        <v>1.72</v>
      </c>
      <c r="K76" s="64">
        <v>346.27</v>
      </c>
      <c r="L76" s="64">
        <v>20.67</v>
      </c>
      <c r="M76" s="64">
        <v>41.66</v>
      </c>
      <c r="N76" s="64">
        <v>46.3</v>
      </c>
      <c r="O76" s="64">
        <v>0</v>
      </c>
      <c r="P76" s="64">
        <v>1.31</v>
      </c>
      <c r="Q76" s="64">
        <v>10.44</v>
      </c>
      <c r="S76" s="196"/>
      <c r="T76" s="196"/>
      <c r="U76" s="196"/>
    </row>
    <row r="77" spans="1:21" s="12" customFormat="1" x14ac:dyDescent="0.25">
      <c r="A77" s="211" t="s">
        <v>2427</v>
      </c>
      <c r="B77" s="64">
        <v>6.07</v>
      </c>
      <c r="C77" s="64">
        <v>58.31</v>
      </c>
      <c r="D77" s="64">
        <v>33.96</v>
      </c>
      <c r="E77" s="64">
        <v>7.02</v>
      </c>
      <c r="F77" s="64">
        <v>4.2699999999999996</v>
      </c>
      <c r="G77" s="64">
        <v>117.24</v>
      </c>
      <c r="H77" s="64">
        <v>60.01</v>
      </c>
      <c r="I77" s="64">
        <v>5.34</v>
      </c>
      <c r="J77" s="64">
        <v>1.56</v>
      </c>
      <c r="K77" s="64">
        <v>330.9</v>
      </c>
      <c r="L77" s="64">
        <v>19.95</v>
      </c>
      <c r="M77" s="64">
        <v>43.76</v>
      </c>
      <c r="N77" s="64">
        <v>39.700000000000003</v>
      </c>
      <c r="O77" s="64">
        <v>0</v>
      </c>
      <c r="P77" s="64">
        <v>1.4</v>
      </c>
      <c r="Q77" s="64">
        <v>10.46</v>
      </c>
      <c r="S77" s="196"/>
      <c r="T77" s="196"/>
      <c r="U77" s="196"/>
    </row>
    <row r="78" spans="1:21" s="12" customFormat="1" x14ac:dyDescent="0.25">
      <c r="A78" s="211" t="s">
        <v>2428</v>
      </c>
      <c r="B78" s="64">
        <v>7.03</v>
      </c>
      <c r="C78" s="64">
        <v>58.7</v>
      </c>
      <c r="D78" s="64">
        <v>34.93</v>
      </c>
      <c r="E78" s="64">
        <v>7.24</v>
      </c>
      <c r="F78" s="64">
        <v>4.0599999999999996</v>
      </c>
      <c r="G78" s="64">
        <v>120.13</v>
      </c>
      <c r="H78" s="64">
        <v>60.2</v>
      </c>
      <c r="I78" s="64">
        <v>5.92</v>
      </c>
      <c r="J78" s="64">
        <v>1.25</v>
      </c>
      <c r="K78" s="64">
        <v>68.16</v>
      </c>
      <c r="L78" s="64">
        <v>19.37</v>
      </c>
      <c r="M78" s="64">
        <v>44.8</v>
      </c>
      <c r="N78" s="64">
        <v>35.5</v>
      </c>
      <c r="O78" s="64">
        <v>0</v>
      </c>
      <c r="P78" s="64">
        <v>1.37</v>
      </c>
      <c r="Q78" s="64">
        <v>10.48</v>
      </c>
      <c r="S78" s="196"/>
      <c r="T78" s="196"/>
      <c r="U78" s="196"/>
    </row>
    <row r="79" spans="1:21" s="12" customFormat="1" x14ac:dyDescent="0.25">
      <c r="A79" s="211" t="s">
        <v>2429</v>
      </c>
      <c r="B79" s="64">
        <v>7.52</v>
      </c>
      <c r="C79" s="64">
        <v>58.82</v>
      </c>
      <c r="D79" s="64">
        <v>35.39</v>
      </c>
      <c r="E79" s="64">
        <v>6.92</v>
      </c>
      <c r="F79" s="64">
        <v>3.98</v>
      </c>
      <c r="G79" s="64">
        <v>120.13</v>
      </c>
      <c r="H79" s="64">
        <v>60.2</v>
      </c>
      <c r="I79" s="64">
        <v>6.64</v>
      </c>
      <c r="J79" s="64">
        <v>0.15</v>
      </c>
      <c r="K79" s="64">
        <v>274.69</v>
      </c>
      <c r="L79" s="64">
        <v>18.79</v>
      </c>
      <c r="M79" s="64">
        <v>48</v>
      </c>
      <c r="N79" s="64">
        <v>34.700000000000003</v>
      </c>
      <c r="O79" s="64">
        <v>0</v>
      </c>
      <c r="P79" s="64">
        <v>1.34</v>
      </c>
      <c r="Q79" s="64">
        <v>10.5</v>
      </c>
      <c r="S79" s="196"/>
      <c r="T79" s="196"/>
      <c r="U79" s="196"/>
    </row>
    <row r="80" spans="1:21" s="12" customFormat="1" x14ac:dyDescent="0.25">
      <c r="A80" s="211" t="s">
        <v>2430</v>
      </c>
      <c r="B80" s="64">
        <v>8.85</v>
      </c>
      <c r="C80" s="64">
        <v>59.59</v>
      </c>
      <c r="D80" s="64">
        <v>36.86</v>
      </c>
      <c r="E80" s="64">
        <v>7.32</v>
      </c>
      <c r="F80" s="64">
        <v>3.84</v>
      </c>
      <c r="G80" s="64">
        <v>120.13</v>
      </c>
      <c r="H80" s="64">
        <v>60.2</v>
      </c>
      <c r="I80" s="64">
        <v>6.49</v>
      </c>
      <c r="J80" s="64">
        <v>1.21</v>
      </c>
      <c r="K80" s="64">
        <v>334.09</v>
      </c>
      <c r="L80" s="64">
        <v>17.899999999999999</v>
      </c>
      <c r="M80" s="64">
        <v>52.46</v>
      </c>
      <c r="N80" s="64">
        <v>34.5</v>
      </c>
      <c r="O80" s="64">
        <v>0</v>
      </c>
      <c r="P80" s="64">
        <v>1.22</v>
      </c>
      <c r="Q80" s="64">
        <v>10.62</v>
      </c>
      <c r="S80" s="196"/>
      <c r="T80" s="196"/>
      <c r="U80" s="196"/>
    </row>
    <row r="81" spans="1:26" s="12" customFormat="1" x14ac:dyDescent="0.25">
      <c r="A81" s="211" t="s">
        <v>2431</v>
      </c>
      <c r="B81" s="64">
        <v>10.199999999999999</v>
      </c>
      <c r="C81" s="64">
        <v>60.79</v>
      </c>
      <c r="D81" s="64">
        <v>38.56</v>
      </c>
      <c r="E81" s="64">
        <v>7.62</v>
      </c>
      <c r="F81" s="64">
        <v>4</v>
      </c>
      <c r="G81" s="64">
        <v>122.09</v>
      </c>
      <c r="H81" s="64">
        <v>60.44</v>
      </c>
      <c r="I81" s="64">
        <v>6.69</v>
      </c>
      <c r="J81" s="64">
        <v>1.17</v>
      </c>
      <c r="K81" s="64">
        <v>329.66</v>
      </c>
      <c r="L81" s="64">
        <v>17.39</v>
      </c>
      <c r="M81" s="64">
        <v>54.25</v>
      </c>
      <c r="N81" s="64">
        <v>34.4</v>
      </c>
      <c r="O81" s="64">
        <v>0</v>
      </c>
      <c r="P81" s="64">
        <v>1.3</v>
      </c>
      <c r="Q81" s="64">
        <v>10.63</v>
      </c>
      <c r="S81" s="196"/>
      <c r="T81" s="196"/>
      <c r="U81" s="196"/>
    </row>
    <row r="82" spans="1:26" s="12" customFormat="1" x14ac:dyDescent="0.25">
      <c r="A82" s="211" t="s">
        <v>2432</v>
      </c>
      <c r="B82" s="64">
        <v>11.24</v>
      </c>
      <c r="C82" s="64">
        <v>62.25</v>
      </c>
      <c r="D82" s="64">
        <v>40.159999999999997</v>
      </c>
      <c r="E82" s="64">
        <v>7.02</v>
      </c>
      <c r="F82" s="64">
        <v>4.28</v>
      </c>
      <c r="G82" s="64">
        <v>123.27</v>
      </c>
      <c r="H82" s="64">
        <v>60.49</v>
      </c>
      <c r="I82" s="64">
        <v>7.37</v>
      </c>
      <c r="J82" s="64">
        <v>1.55</v>
      </c>
      <c r="K82" s="64">
        <v>280.31</v>
      </c>
      <c r="L82" s="64">
        <v>17.04</v>
      </c>
      <c r="M82" s="64">
        <v>58.31</v>
      </c>
      <c r="N82" s="64">
        <v>34.4</v>
      </c>
      <c r="O82" s="64">
        <v>0</v>
      </c>
      <c r="P82" s="64">
        <v>1.32</v>
      </c>
      <c r="Q82" s="64">
        <v>10.66</v>
      </c>
      <c r="S82" s="196"/>
      <c r="T82" s="196"/>
      <c r="U82" s="196"/>
    </row>
    <row r="83" spans="1:26" s="12" customFormat="1" x14ac:dyDescent="0.25">
      <c r="A83" s="211" t="s">
        <v>2433</v>
      </c>
      <c r="B83" s="64">
        <v>13.35</v>
      </c>
      <c r="C83" s="64">
        <v>63.71</v>
      </c>
      <c r="D83" s="64">
        <v>42.62</v>
      </c>
      <c r="E83" s="64">
        <v>7.36</v>
      </c>
      <c r="F83" s="64">
        <v>4.25</v>
      </c>
      <c r="G83" s="64">
        <v>123.27</v>
      </c>
      <c r="H83" s="64">
        <v>60.49</v>
      </c>
      <c r="I83" s="64">
        <v>7.72</v>
      </c>
      <c r="J83" s="64">
        <v>1.28</v>
      </c>
      <c r="K83" s="64">
        <v>292.48</v>
      </c>
      <c r="L83" s="64">
        <v>16.66</v>
      </c>
      <c r="M83" s="64">
        <v>63.15</v>
      </c>
      <c r="N83" s="64">
        <v>34.299999999999997</v>
      </c>
      <c r="O83" s="64">
        <v>0</v>
      </c>
      <c r="P83" s="64">
        <v>1.36</v>
      </c>
      <c r="Q83" s="64">
        <v>10.68</v>
      </c>
      <c r="S83" s="196"/>
      <c r="T83" s="196"/>
      <c r="U83" s="196"/>
    </row>
    <row r="84" spans="1:26" s="12" customFormat="1" x14ac:dyDescent="0.25">
      <c r="A84" s="211" t="s">
        <v>2434</v>
      </c>
      <c r="B84" s="64">
        <v>17.04</v>
      </c>
      <c r="C84" s="64">
        <v>64.819999999999993</v>
      </c>
      <c r="D84" s="64">
        <v>46.16</v>
      </c>
      <c r="E84" s="64">
        <v>7.57</v>
      </c>
      <c r="F84" s="64">
        <v>4.25</v>
      </c>
      <c r="G84" s="64">
        <v>123.27</v>
      </c>
      <c r="H84" s="64">
        <v>60.49</v>
      </c>
      <c r="I84" s="64">
        <v>7.81</v>
      </c>
      <c r="J84" s="64">
        <v>0.79</v>
      </c>
      <c r="K84" s="64">
        <v>229.55</v>
      </c>
      <c r="L84" s="64">
        <v>16.63</v>
      </c>
      <c r="M84" s="64">
        <v>64.63</v>
      </c>
      <c r="N84" s="64">
        <v>34</v>
      </c>
      <c r="O84" s="64">
        <v>0</v>
      </c>
      <c r="P84" s="64">
        <v>1.41</v>
      </c>
      <c r="Q84" s="64">
        <v>10.74</v>
      </c>
      <c r="S84" s="196"/>
      <c r="T84" s="196"/>
      <c r="U84" s="196"/>
    </row>
    <row r="85" spans="1:26" s="12" customFormat="1" x14ac:dyDescent="0.25">
      <c r="A85" s="211" t="s">
        <v>2435</v>
      </c>
      <c r="B85" s="64">
        <v>20.48</v>
      </c>
      <c r="C85" s="64">
        <v>65.760000000000005</v>
      </c>
      <c r="D85" s="64">
        <v>49.41</v>
      </c>
      <c r="E85" s="64">
        <v>7.81</v>
      </c>
      <c r="F85" s="64">
        <v>4.24</v>
      </c>
      <c r="G85" s="64">
        <v>135.88999999999999</v>
      </c>
      <c r="H85" s="64">
        <v>66.63</v>
      </c>
      <c r="I85" s="64">
        <v>7.94</v>
      </c>
      <c r="J85" s="64">
        <v>0.94</v>
      </c>
      <c r="K85" s="64">
        <v>297.01</v>
      </c>
      <c r="L85" s="64">
        <v>16.47</v>
      </c>
      <c r="M85" s="64">
        <v>66.540000000000006</v>
      </c>
      <c r="N85" s="64">
        <v>34.4</v>
      </c>
      <c r="O85" s="64">
        <v>0</v>
      </c>
      <c r="P85" s="64">
        <v>1.36</v>
      </c>
      <c r="Q85" s="64">
        <v>10.8</v>
      </c>
      <c r="S85" s="196"/>
      <c r="T85" s="196"/>
      <c r="U85" s="196"/>
    </row>
    <row r="86" spans="1:26" s="12" customFormat="1" x14ac:dyDescent="0.25">
      <c r="A86" s="211" t="s">
        <v>2436</v>
      </c>
      <c r="B86" s="64">
        <v>27.51</v>
      </c>
      <c r="C86" s="64">
        <v>66.62</v>
      </c>
      <c r="D86" s="64">
        <v>55.49</v>
      </c>
      <c r="E86" s="64">
        <v>8.3800000000000008</v>
      </c>
      <c r="F86" s="64">
        <v>4.7300000000000004</v>
      </c>
      <c r="G86" s="64">
        <v>143.54</v>
      </c>
      <c r="H86" s="64">
        <v>67.849999999999994</v>
      </c>
      <c r="I86" s="64">
        <v>8.1199999999999992</v>
      </c>
      <c r="J86" s="64">
        <v>1.27</v>
      </c>
      <c r="K86" s="64">
        <v>315</v>
      </c>
      <c r="L86" s="64">
        <v>15.9</v>
      </c>
      <c r="M86" s="64">
        <v>67.53</v>
      </c>
      <c r="N86" s="64">
        <v>34.299999999999997</v>
      </c>
      <c r="O86" s="64">
        <v>0</v>
      </c>
      <c r="P86" s="64">
        <v>1.55</v>
      </c>
      <c r="Q86" s="64">
        <v>10.96</v>
      </c>
      <c r="S86" s="196"/>
      <c r="T86" s="196"/>
      <c r="U86" s="196"/>
    </row>
    <row r="87" spans="1:26" s="12" customFormat="1" x14ac:dyDescent="0.25">
      <c r="A87" s="211" t="s">
        <v>2437</v>
      </c>
      <c r="B87" s="64">
        <v>34.840000000000003</v>
      </c>
      <c r="C87" s="64">
        <v>67.3</v>
      </c>
      <c r="D87" s="64">
        <v>61.72</v>
      </c>
      <c r="E87" s="64">
        <v>8.4</v>
      </c>
      <c r="F87" s="64">
        <v>4.4000000000000004</v>
      </c>
      <c r="G87" s="64">
        <v>143.54</v>
      </c>
      <c r="H87" s="64">
        <v>67.849999999999994</v>
      </c>
      <c r="I87" s="64">
        <v>7.95</v>
      </c>
      <c r="J87" s="64">
        <v>1.58</v>
      </c>
      <c r="K87" s="64">
        <v>296.38</v>
      </c>
      <c r="L87" s="64">
        <v>15.66</v>
      </c>
      <c r="M87" s="64">
        <v>65.760000000000005</v>
      </c>
      <c r="N87" s="64">
        <v>34.200000000000003</v>
      </c>
      <c r="O87" s="64">
        <v>0</v>
      </c>
      <c r="P87" s="64">
        <v>1.64</v>
      </c>
      <c r="Q87" s="64">
        <v>11.01</v>
      </c>
      <c r="S87" s="196"/>
      <c r="T87" s="196"/>
      <c r="U87" s="196"/>
    </row>
    <row r="88" spans="1:26" s="12" customFormat="1" x14ac:dyDescent="0.25">
      <c r="A88" s="211" t="s">
        <v>2438</v>
      </c>
      <c r="B88" s="64">
        <v>41.61</v>
      </c>
      <c r="C88" s="64">
        <v>67.739999999999995</v>
      </c>
      <c r="D88" s="64">
        <v>67.39</v>
      </c>
      <c r="E88" s="64">
        <v>6.88</v>
      </c>
      <c r="F88" s="64">
        <v>4.2300000000000004</v>
      </c>
      <c r="G88" s="64">
        <v>143.54</v>
      </c>
      <c r="H88" s="64">
        <v>67.849999999999994</v>
      </c>
      <c r="I88" s="64">
        <v>8.01</v>
      </c>
      <c r="J88" s="64">
        <v>1.29</v>
      </c>
      <c r="K88" s="64">
        <v>282.07</v>
      </c>
      <c r="L88" s="64">
        <v>15.47</v>
      </c>
      <c r="M88" s="64">
        <v>69.13</v>
      </c>
      <c r="N88" s="64">
        <v>34.200000000000003</v>
      </c>
      <c r="O88" s="64">
        <v>0</v>
      </c>
      <c r="P88" s="64">
        <v>1.74</v>
      </c>
      <c r="Q88" s="64">
        <v>11.11</v>
      </c>
      <c r="S88" s="196"/>
      <c r="T88" s="196"/>
      <c r="U88" s="196"/>
    </row>
    <row r="89" spans="1:26" s="12" customFormat="1" x14ac:dyDescent="0.25">
      <c r="A89" s="211" t="s">
        <v>2439</v>
      </c>
      <c r="B89" s="64">
        <v>47.75</v>
      </c>
      <c r="C89" s="64">
        <v>66.540000000000006</v>
      </c>
      <c r="D89" s="64">
        <v>71.69</v>
      </c>
      <c r="E89" s="64">
        <v>8.8800000000000008</v>
      </c>
      <c r="F89" s="64">
        <v>3.89</v>
      </c>
      <c r="G89" s="64">
        <v>149.25</v>
      </c>
      <c r="H89" s="64">
        <v>68.95</v>
      </c>
      <c r="I89" s="64">
        <v>8.19</v>
      </c>
      <c r="J89" s="64">
        <v>1.59</v>
      </c>
      <c r="K89" s="64">
        <v>296.61</v>
      </c>
      <c r="L89" s="64">
        <v>15.36</v>
      </c>
      <c r="M89" s="64">
        <v>68.459999999999994</v>
      </c>
      <c r="N89" s="64">
        <v>34.1</v>
      </c>
      <c r="O89" s="64">
        <v>0</v>
      </c>
      <c r="P89" s="64">
        <v>2.27</v>
      </c>
      <c r="Q89" s="64">
        <v>11.06</v>
      </c>
      <c r="S89" s="196"/>
      <c r="T89" s="196"/>
      <c r="U89" s="196"/>
    </row>
    <row r="90" spans="1:26" s="12" customFormat="1" x14ac:dyDescent="0.25">
      <c r="A90" s="211" t="s">
        <v>2440</v>
      </c>
      <c r="B90" s="64">
        <v>51.82</v>
      </c>
      <c r="C90" s="64">
        <v>65.17</v>
      </c>
      <c r="D90" s="64">
        <v>74.23</v>
      </c>
      <c r="E90" s="64">
        <v>8.6999999999999993</v>
      </c>
      <c r="F90" s="64">
        <v>3.98</v>
      </c>
      <c r="G90" s="64">
        <v>152.71</v>
      </c>
      <c r="H90" s="64">
        <v>69.33</v>
      </c>
      <c r="I90" s="64">
        <v>8.4499999999999993</v>
      </c>
      <c r="J90" s="64">
        <v>1.44</v>
      </c>
      <c r="K90" s="64">
        <v>309.58</v>
      </c>
      <c r="L90" s="64">
        <v>15.2</v>
      </c>
      <c r="M90" s="64">
        <v>70.17</v>
      </c>
      <c r="N90" s="64">
        <v>34</v>
      </c>
      <c r="O90" s="64">
        <v>0</v>
      </c>
      <c r="P90" s="64">
        <v>2.4300000000000002</v>
      </c>
      <c r="Q90" s="64">
        <v>10.98</v>
      </c>
      <c r="S90" s="196"/>
      <c r="T90" s="196"/>
      <c r="U90" s="196"/>
    </row>
    <row r="91" spans="1:26" s="12" customFormat="1" x14ac:dyDescent="0.25">
      <c r="A91" s="211" t="s">
        <v>2441</v>
      </c>
      <c r="B91" s="64">
        <v>55.96</v>
      </c>
      <c r="C91" s="64">
        <v>64.64</v>
      </c>
      <c r="D91" s="64">
        <v>77.27</v>
      </c>
      <c r="E91" s="64">
        <v>8.66</v>
      </c>
      <c r="F91" s="64">
        <v>3.96</v>
      </c>
      <c r="G91" s="64">
        <v>152.71</v>
      </c>
      <c r="H91" s="64">
        <v>69.33</v>
      </c>
      <c r="I91" s="64">
        <v>9.8699999999999992</v>
      </c>
      <c r="J91" s="64">
        <v>1.08</v>
      </c>
      <c r="K91" s="64">
        <v>319.64999999999998</v>
      </c>
      <c r="L91" s="64">
        <v>15.14</v>
      </c>
      <c r="M91" s="64">
        <v>68.849999999999994</v>
      </c>
      <c r="N91" s="64">
        <v>34.1</v>
      </c>
      <c r="O91" s="64">
        <v>0</v>
      </c>
      <c r="P91" s="64">
        <v>2.2400000000000002</v>
      </c>
      <c r="Q91" s="64">
        <v>11.03</v>
      </c>
      <c r="S91" s="196"/>
      <c r="T91" s="196"/>
      <c r="U91" s="196"/>
    </row>
    <row r="92" spans="1:26" s="12" customFormat="1" x14ac:dyDescent="0.25">
      <c r="A92" s="211" t="s">
        <v>2442</v>
      </c>
      <c r="B92" s="64">
        <v>60.1</v>
      </c>
      <c r="C92" s="64">
        <v>63.97</v>
      </c>
      <c r="D92" s="64">
        <v>80.239999999999995</v>
      </c>
      <c r="E92" s="64">
        <v>9.15</v>
      </c>
      <c r="F92" s="64">
        <v>4.1399999999999997</v>
      </c>
      <c r="G92" s="64">
        <v>152.71</v>
      </c>
      <c r="H92" s="64">
        <v>69.33</v>
      </c>
      <c r="I92" s="64">
        <v>9.8000000000000007</v>
      </c>
      <c r="J92" s="64">
        <v>1.26</v>
      </c>
      <c r="K92" s="64">
        <v>176.29</v>
      </c>
      <c r="L92" s="64">
        <v>14.95</v>
      </c>
      <c r="M92" s="64">
        <v>68.95</v>
      </c>
      <c r="N92" s="64">
        <v>34</v>
      </c>
      <c r="O92" s="64">
        <v>0</v>
      </c>
      <c r="P92" s="64">
        <v>2.14</v>
      </c>
      <c r="Q92" s="64">
        <v>11.1</v>
      </c>
      <c r="S92" s="196"/>
      <c r="T92" s="196"/>
      <c r="U92" s="196"/>
    </row>
    <row r="93" spans="1:26" s="12" customFormat="1" x14ac:dyDescent="0.25">
      <c r="A93" s="211" t="s">
        <v>2443</v>
      </c>
      <c r="B93" s="64">
        <v>64.239999999999995</v>
      </c>
      <c r="C93" s="64">
        <v>63.32</v>
      </c>
      <c r="D93" s="64">
        <v>83.22</v>
      </c>
      <c r="E93" s="64">
        <v>8.7200000000000006</v>
      </c>
      <c r="F93" s="64">
        <v>3.97</v>
      </c>
      <c r="G93" s="64">
        <v>164</v>
      </c>
      <c r="H93" s="64">
        <v>73.5</v>
      </c>
      <c r="I93" s="64">
        <v>9.81</v>
      </c>
      <c r="J93" s="64">
        <v>1.56</v>
      </c>
      <c r="K93" s="64">
        <v>327.7</v>
      </c>
      <c r="L93" s="64">
        <v>14.86</v>
      </c>
      <c r="M93" s="64">
        <v>72.06</v>
      </c>
      <c r="N93" s="64">
        <v>34.1</v>
      </c>
      <c r="O93" s="64">
        <v>0</v>
      </c>
      <c r="P93" s="64">
        <v>2.23</v>
      </c>
      <c r="Q93" s="64">
        <v>11.2</v>
      </c>
      <c r="S93" s="196"/>
      <c r="T93" s="196"/>
      <c r="U93" s="196"/>
    </row>
    <row r="94" spans="1:26" s="12" customFormat="1" x14ac:dyDescent="0.25">
      <c r="A94" s="211" t="s">
        <v>2444</v>
      </c>
      <c r="B94" s="64">
        <v>68.62</v>
      </c>
      <c r="C94" s="64">
        <v>62.47</v>
      </c>
      <c r="D94" s="64">
        <v>86.29</v>
      </c>
      <c r="E94" s="64">
        <v>9.08</v>
      </c>
      <c r="F94" s="64">
        <v>3.74</v>
      </c>
      <c r="G94" s="64">
        <v>170.85</v>
      </c>
      <c r="H94" s="64">
        <v>74.319999999999993</v>
      </c>
      <c r="I94" s="64">
        <v>9.39</v>
      </c>
      <c r="J94" s="64">
        <v>1.28</v>
      </c>
      <c r="K94" s="64">
        <v>301.5</v>
      </c>
      <c r="L94" s="64">
        <v>14.77</v>
      </c>
      <c r="M94" s="64">
        <v>72.56</v>
      </c>
      <c r="N94" s="64">
        <v>34</v>
      </c>
      <c r="O94" s="64">
        <v>0</v>
      </c>
      <c r="P94" s="64">
        <v>2.2200000000000002</v>
      </c>
      <c r="Q94" s="64">
        <v>11.24</v>
      </c>
      <c r="S94" s="196"/>
      <c r="T94" s="196"/>
      <c r="U94" s="196"/>
    </row>
    <row r="95" spans="1:26" s="12" customFormat="1" x14ac:dyDescent="0.25">
      <c r="A95" s="211" t="s">
        <v>2445</v>
      </c>
      <c r="B95" s="64">
        <v>73.569999999999993</v>
      </c>
      <c r="C95" s="64">
        <v>61.6</v>
      </c>
      <c r="D95" s="64">
        <v>89.81</v>
      </c>
      <c r="E95" s="64">
        <v>9.16</v>
      </c>
      <c r="F95" s="64">
        <v>3.74</v>
      </c>
      <c r="G95" s="64">
        <v>170.85</v>
      </c>
      <c r="H95" s="64">
        <v>74.319999999999993</v>
      </c>
      <c r="I95" s="64">
        <v>9.5299999999999994</v>
      </c>
      <c r="J95" s="64">
        <v>1.1599999999999999</v>
      </c>
      <c r="K95" s="64">
        <v>304.20999999999998</v>
      </c>
      <c r="L95" s="64">
        <v>14.74</v>
      </c>
      <c r="M95" s="64">
        <v>73.08</v>
      </c>
      <c r="N95" s="64">
        <v>33.799999999999997</v>
      </c>
      <c r="O95" s="64">
        <v>0</v>
      </c>
      <c r="P95" s="64">
        <v>2.33</v>
      </c>
      <c r="Q95" s="64">
        <v>11.29</v>
      </c>
      <c r="S95" s="196"/>
      <c r="T95" s="196"/>
      <c r="U95" s="196"/>
    </row>
    <row r="96" spans="1:26" s="12" customFormat="1" x14ac:dyDescent="0.25">
      <c r="A96" s="211" t="s">
        <v>2446</v>
      </c>
      <c r="B96" s="64">
        <v>79.78</v>
      </c>
      <c r="C96" s="64">
        <v>61.52</v>
      </c>
      <c r="D96" s="64">
        <v>94.74</v>
      </c>
      <c r="E96" s="64">
        <v>8.91</v>
      </c>
      <c r="F96" s="64">
        <v>3.8</v>
      </c>
      <c r="G96" s="64">
        <v>170.85</v>
      </c>
      <c r="H96" s="64">
        <v>74.319999999999993</v>
      </c>
      <c r="I96" s="64">
        <v>9.7100000000000009</v>
      </c>
      <c r="J96" s="64">
        <v>0.97</v>
      </c>
      <c r="K96" s="64">
        <v>328.93</v>
      </c>
      <c r="L96" s="64">
        <v>14.63</v>
      </c>
      <c r="M96" s="64">
        <v>77.61</v>
      </c>
      <c r="N96" s="64">
        <v>34</v>
      </c>
      <c r="O96" s="64">
        <v>0</v>
      </c>
      <c r="P96" s="64">
        <v>2.4300000000000002</v>
      </c>
      <c r="Q96" s="64">
        <v>11.38</v>
      </c>
      <c r="S96" s="196"/>
      <c r="T96" s="196"/>
      <c r="U96" s="196"/>
      <c r="Z96" s="109"/>
    </row>
    <row r="97" spans="1:33" s="12" customFormat="1" x14ac:dyDescent="0.25">
      <c r="A97" s="211" t="s">
        <v>2447</v>
      </c>
      <c r="B97" s="64">
        <v>87.06</v>
      </c>
      <c r="C97" s="64">
        <v>62.05</v>
      </c>
      <c r="D97" s="64">
        <v>100.86</v>
      </c>
      <c r="E97" s="64">
        <v>9.43</v>
      </c>
      <c r="F97" s="64">
        <v>4.17</v>
      </c>
      <c r="G97" s="64">
        <v>188.91</v>
      </c>
      <c r="H97" s="64">
        <v>79.37</v>
      </c>
      <c r="I97" s="64">
        <v>10.36</v>
      </c>
      <c r="J97" s="64">
        <v>1.0900000000000001</v>
      </c>
      <c r="K97" s="64">
        <v>301.32</v>
      </c>
      <c r="L97" s="64">
        <v>14.41</v>
      </c>
      <c r="M97" s="64">
        <v>77.040000000000006</v>
      </c>
      <c r="N97" s="64">
        <v>34</v>
      </c>
      <c r="O97" s="64">
        <v>0</v>
      </c>
      <c r="P97" s="64">
        <v>2.2400000000000002</v>
      </c>
      <c r="Q97" s="64">
        <v>11.6</v>
      </c>
      <c r="S97" s="196"/>
      <c r="T97" s="196"/>
      <c r="U97" s="196"/>
    </row>
    <row r="98" spans="1:33" s="12" customFormat="1" x14ac:dyDescent="0.25">
      <c r="A98" s="211" t="s">
        <v>2448</v>
      </c>
      <c r="B98" s="64">
        <v>92.95</v>
      </c>
      <c r="C98" s="64">
        <v>62.69</v>
      </c>
      <c r="D98" s="64">
        <v>105.91</v>
      </c>
      <c r="E98" s="64">
        <v>9.09</v>
      </c>
      <c r="F98" s="64">
        <v>4.3099999999999996</v>
      </c>
      <c r="G98" s="64">
        <v>199.88</v>
      </c>
      <c r="H98" s="64">
        <v>80.37</v>
      </c>
      <c r="I98" s="64">
        <v>9.9700000000000006</v>
      </c>
      <c r="J98" s="64">
        <v>1.03</v>
      </c>
      <c r="K98" s="64">
        <v>318.10000000000002</v>
      </c>
      <c r="L98" s="64">
        <v>14.25</v>
      </c>
      <c r="M98" s="64">
        <v>74.63</v>
      </c>
      <c r="N98" s="64">
        <v>34</v>
      </c>
      <c r="O98" s="64">
        <v>0</v>
      </c>
      <c r="P98" s="64">
        <v>2.2999999999999998</v>
      </c>
      <c r="Q98" s="64">
        <v>11.7</v>
      </c>
      <c r="S98" s="196"/>
      <c r="T98" s="196"/>
      <c r="U98" s="196"/>
    </row>
    <row r="99" spans="1:33" s="12" customFormat="1" x14ac:dyDescent="0.25">
      <c r="A99" s="211" t="s">
        <v>2449</v>
      </c>
      <c r="B99" s="64">
        <v>96.62</v>
      </c>
      <c r="C99" s="64">
        <v>63.49</v>
      </c>
      <c r="D99" s="64">
        <v>109.28</v>
      </c>
      <c r="E99" s="64">
        <v>9.16</v>
      </c>
      <c r="F99" s="64">
        <v>4.54</v>
      </c>
      <c r="G99" s="64">
        <v>199.88</v>
      </c>
      <c r="H99" s="64">
        <v>80.37</v>
      </c>
      <c r="I99" s="64">
        <v>9.65</v>
      </c>
      <c r="J99" s="64">
        <v>1.67</v>
      </c>
      <c r="K99" s="64">
        <v>336.97</v>
      </c>
      <c r="L99" s="64">
        <v>14.11</v>
      </c>
      <c r="M99" s="64">
        <v>81.58</v>
      </c>
      <c r="N99" s="64">
        <v>34.1</v>
      </c>
      <c r="O99" s="64">
        <v>0</v>
      </c>
      <c r="P99" s="64">
        <v>2.3199999999999998</v>
      </c>
      <c r="Q99" s="64">
        <v>11.77</v>
      </c>
      <c r="S99" s="196"/>
      <c r="T99" s="196"/>
      <c r="U99" s="196"/>
    </row>
    <row r="100" spans="1:33" s="12" customFormat="1" x14ac:dyDescent="0.25">
      <c r="A100" s="211" t="s">
        <v>2450</v>
      </c>
      <c r="B100" s="64">
        <v>101.56</v>
      </c>
      <c r="C100" s="64">
        <v>63.54</v>
      </c>
      <c r="D100" s="64">
        <v>113.27</v>
      </c>
      <c r="E100" s="64">
        <v>9.18</v>
      </c>
      <c r="F100" s="64">
        <v>4.55</v>
      </c>
      <c r="G100" s="64">
        <v>199.88</v>
      </c>
      <c r="H100" s="64">
        <v>80.37</v>
      </c>
      <c r="I100" s="64">
        <v>9.64</v>
      </c>
      <c r="J100" s="64">
        <v>1.01</v>
      </c>
      <c r="K100" s="64">
        <v>311.83</v>
      </c>
      <c r="L100" s="64">
        <v>13.7</v>
      </c>
      <c r="M100" s="64">
        <v>82.29</v>
      </c>
      <c r="N100" s="64">
        <v>34.299999999999997</v>
      </c>
      <c r="O100" s="64">
        <v>0</v>
      </c>
      <c r="P100" s="64">
        <v>2.37</v>
      </c>
      <c r="Q100" s="64">
        <v>11.82</v>
      </c>
      <c r="S100" s="196"/>
      <c r="T100" s="196"/>
      <c r="U100" s="196"/>
      <c r="AB100" s="110"/>
      <c r="AG100" s="109"/>
    </row>
    <row r="101" spans="1:33" s="12" customFormat="1" x14ac:dyDescent="0.25">
      <c r="A101" s="211" t="s">
        <v>2451</v>
      </c>
      <c r="B101" s="64">
        <v>107.89</v>
      </c>
      <c r="C101" s="64">
        <v>63.67</v>
      </c>
      <c r="D101" s="64">
        <v>118.41</v>
      </c>
      <c r="E101" s="64">
        <v>9.8699999999999992</v>
      </c>
      <c r="F101" s="64">
        <v>4.3600000000000003</v>
      </c>
      <c r="G101" s="64">
        <v>225.58</v>
      </c>
      <c r="H101" s="64">
        <v>80.400000000000006</v>
      </c>
      <c r="I101" s="64">
        <v>9.65</v>
      </c>
      <c r="J101" s="64">
        <v>1.23</v>
      </c>
      <c r="K101" s="64">
        <v>308.7</v>
      </c>
      <c r="L101" s="64">
        <v>13.66</v>
      </c>
      <c r="M101" s="64">
        <v>82.7</v>
      </c>
      <c r="N101" s="64">
        <v>34</v>
      </c>
      <c r="O101" s="64">
        <v>0</v>
      </c>
      <c r="P101" s="64">
        <v>2.38</v>
      </c>
      <c r="Q101" s="64">
        <v>11.87</v>
      </c>
      <c r="S101" s="196"/>
      <c r="T101" s="196"/>
      <c r="U101" s="196"/>
    </row>
    <row r="102" spans="1:33" s="12" customFormat="1" x14ac:dyDescent="0.25">
      <c r="A102" s="211" t="s">
        <v>2452</v>
      </c>
      <c r="B102" s="64">
        <v>109.89</v>
      </c>
      <c r="C102" s="64">
        <v>63.5</v>
      </c>
      <c r="D102" s="64">
        <v>119.92</v>
      </c>
      <c r="E102" s="64">
        <v>9.81</v>
      </c>
      <c r="F102" s="64">
        <v>4.3600000000000003</v>
      </c>
      <c r="G102" s="64">
        <v>241.18</v>
      </c>
      <c r="H102" s="64">
        <v>80.41</v>
      </c>
      <c r="I102" s="64">
        <v>9.7100000000000009</v>
      </c>
      <c r="J102" s="64">
        <v>1.55</v>
      </c>
      <c r="K102" s="64">
        <v>310.13</v>
      </c>
      <c r="L102" s="64">
        <v>13.39</v>
      </c>
      <c r="M102" s="64">
        <v>87.66</v>
      </c>
      <c r="N102" s="64">
        <v>34.1</v>
      </c>
      <c r="O102" s="64">
        <v>0</v>
      </c>
      <c r="P102" s="64">
        <v>2.37</v>
      </c>
      <c r="Q102" s="64">
        <v>11.87</v>
      </c>
      <c r="S102" s="196"/>
      <c r="T102" s="196"/>
      <c r="U102" s="196"/>
    </row>
    <row r="103" spans="1:33" s="12" customFormat="1" x14ac:dyDescent="0.25">
      <c r="A103" s="211" t="s">
        <v>2453</v>
      </c>
      <c r="B103" s="64">
        <v>113.21</v>
      </c>
      <c r="C103" s="64">
        <v>63.51</v>
      </c>
      <c r="D103" s="64">
        <v>122.59</v>
      </c>
      <c r="E103" s="64">
        <v>10.08</v>
      </c>
      <c r="F103" s="64">
        <v>4.47</v>
      </c>
      <c r="G103" s="64">
        <v>241.18</v>
      </c>
      <c r="H103" s="64">
        <v>80.41</v>
      </c>
      <c r="I103" s="64">
        <v>9.7200000000000006</v>
      </c>
      <c r="J103" s="64">
        <v>1.26</v>
      </c>
      <c r="K103" s="64">
        <v>321.91000000000003</v>
      </c>
      <c r="L103" s="64">
        <v>13.05</v>
      </c>
      <c r="M103" s="64">
        <v>88.09</v>
      </c>
      <c r="N103" s="64">
        <v>34.1</v>
      </c>
      <c r="O103" s="64">
        <v>0</v>
      </c>
      <c r="P103" s="64">
        <v>2.38</v>
      </c>
      <c r="Q103" s="64">
        <v>11.94</v>
      </c>
      <c r="S103" s="196"/>
      <c r="T103" s="196"/>
      <c r="U103" s="196"/>
    </row>
    <row r="104" spans="1:33" s="12" customFormat="1" x14ac:dyDescent="0.25">
      <c r="A104" s="211" t="s">
        <v>2454</v>
      </c>
      <c r="B104" s="64">
        <v>114.96</v>
      </c>
      <c r="C104" s="64">
        <v>62.86</v>
      </c>
      <c r="D104" s="64">
        <v>123.66</v>
      </c>
      <c r="E104" s="64">
        <v>8.32</v>
      </c>
      <c r="F104" s="64">
        <v>4.58</v>
      </c>
      <c r="G104" s="64">
        <v>241.18</v>
      </c>
      <c r="H104" s="64">
        <v>80.41</v>
      </c>
      <c r="I104" s="64">
        <v>9.68</v>
      </c>
      <c r="J104" s="64">
        <v>1.5</v>
      </c>
      <c r="K104" s="64">
        <v>313.87</v>
      </c>
      <c r="L104" s="64">
        <v>12.87</v>
      </c>
      <c r="M104" s="64">
        <v>88.26</v>
      </c>
      <c r="N104" s="64">
        <v>34</v>
      </c>
      <c r="O104" s="64">
        <v>0</v>
      </c>
      <c r="P104" s="64">
        <v>2.37</v>
      </c>
      <c r="Q104" s="64">
        <v>11.91</v>
      </c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2.36</v>
      </c>
      <c r="C106" s="67">
        <f>MIN(C9:C104)</f>
        <v>39.92</v>
      </c>
      <c r="D106" s="67">
        <f t="shared" ref="D106:Q106" si="0">MIN(D9:D104)</f>
        <v>27.83</v>
      </c>
      <c r="E106" s="67">
        <f t="shared" si="0"/>
        <v>6.11</v>
      </c>
      <c r="F106" s="67">
        <f t="shared" si="0"/>
        <v>3.65</v>
      </c>
      <c r="G106" s="67">
        <f t="shared" si="0"/>
        <v>109.54</v>
      </c>
      <c r="H106" s="67">
        <f t="shared" si="0"/>
        <v>57.15</v>
      </c>
      <c r="I106" s="67">
        <f t="shared" si="0"/>
        <v>4.9000000000000004</v>
      </c>
      <c r="J106" s="67">
        <f t="shared" si="0"/>
        <v>0.05</v>
      </c>
      <c r="K106" s="67">
        <f t="shared" si="0"/>
        <v>6.24</v>
      </c>
      <c r="L106" s="67">
        <f t="shared" si="0"/>
        <v>11.05</v>
      </c>
      <c r="M106" s="67">
        <f t="shared" si="0"/>
        <v>31.41</v>
      </c>
      <c r="N106" s="67">
        <f t="shared" si="0"/>
        <v>33.5</v>
      </c>
      <c r="O106" s="67">
        <f t="shared" si="0"/>
        <v>0</v>
      </c>
      <c r="P106" s="67">
        <f t="shared" si="0"/>
        <v>0.93</v>
      </c>
      <c r="Q106" s="67">
        <f t="shared" si="0"/>
        <v>10.38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114.96</v>
      </c>
      <c r="C107" s="66">
        <f t="shared" ref="C107:Q107" si="1">MAX(C9:C104)</f>
        <v>67.739999999999995</v>
      </c>
      <c r="D107" s="66">
        <f t="shared" si="1"/>
        <v>123.66</v>
      </c>
      <c r="E107" s="66">
        <f t="shared" si="1"/>
        <v>10.08</v>
      </c>
      <c r="F107" s="66">
        <f t="shared" si="1"/>
        <v>6.74</v>
      </c>
      <c r="G107" s="66">
        <f t="shared" si="1"/>
        <v>241.18</v>
      </c>
      <c r="H107" s="66">
        <f t="shared" si="1"/>
        <v>86.87</v>
      </c>
      <c r="I107" s="66">
        <f t="shared" si="1"/>
        <v>10.36</v>
      </c>
      <c r="J107" s="66">
        <f t="shared" si="1"/>
        <v>2.64</v>
      </c>
      <c r="K107" s="66">
        <f t="shared" si="1"/>
        <v>348.76</v>
      </c>
      <c r="L107" s="66">
        <f t="shared" si="1"/>
        <v>26.58</v>
      </c>
      <c r="M107" s="66">
        <f t="shared" si="1"/>
        <v>99.92</v>
      </c>
      <c r="N107" s="66">
        <f t="shared" si="1"/>
        <v>564.79999999999995</v>
      </c>
      <c r="O107" s="66">
        <f t="shared" si="1"/>
        <v>0</v>
      </c>
      <c r="P107" s="66">
        <f t="shared" si="1"/>
        <v>2.4300000000000002</v>
      </c>
      <c r="Q107" s="66">
        <f t="shared" si="1"/>
        <v>11.94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35.062812499999986</v>
      </c>
      <c r="C108" s="67">
        <f t="shared" ref="C108:Q108" si="2">AVERAGE(C9:C104)</f>
        <v>54.521458333333349</v>
      </c>
      <c r="D108" s="67">
        <f t="shared" si="2"/>
        <v>55.226562499999979</v>
      </c>
      <c r="E108" s="67">
        <f t="shared" si="2"/>
        <v>7.6217708333333336</v>
      </c>
      <c r="F108" s="67">
        <f t="shared" si="2"/>
        <v>4.4861458333333335</v>
      </c>
      <c r="G108" s="67">
        <f t="shared" si="2"/>
        <v>146.87020833333335</v>
      </c>
      <c r="H108" s="67">
        <f t="shared" si="2"/>
        <v>71.308541666666628</v>
      </c>
      <c r="I108" s="67">
        <f t="shared" si="2"/>
        <v>7.3257291666666662</v>
      </c>
      <c r="J108" s="67">
        <f t="shared" si="2"/>
        <v>1.4016666666666666</v>
      </c>
      <c r="K108" s="67">
        <f t="shared" si="2"/>
        <v>257.99270833333344</v>
      </c>
      <c r="L108" s="67">
        <f t="shared" si="2"/>
        <v>17.019270833333341</v>
      </c>
      <c r="M108" s="67">
        <f t="shared" si="2"/>
        <v>65.547708333333361</v>
      </c>
      <c r="N108" s="67">
        <f t="shared" si="2"/>
        <v>145.9760416666667</v>
      </c>
      <c r="O108" s="67">
        <f t="shared" si="2"/>
        <v>0</v>
      </c>
      <c r="P108" s="67">
        <f t="shared" si="2"/>
        <v>1.4782291666666667</v>
      </c>
      <c r="Q108" s="67">
        <f t="shared" si="2"/>
        <v>10.87291666666667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28.287923095540457</v>
      </c>
      <c r="C109" s="67">
        <f t="shared" ref="C109:Q109" si="3">STDEV(C9:C104)</f>
        <v>7.477910484841094</v>
      </c>
      <c r="D109" s="67">
        <f t="shared" si="3"/>
        <v>23.498239612816047</v>
      </c>
      <c r="E109" s="67">
        <f t="shared" si="3"/>
        <v>0.99747681127688126</v>
      </c>
      <c r="F109" s="67">
        <f t="shared" si="3"/>
        <v>0.66870081389869107</v>
      </c>
      <c r="G109" s="67">
        <f t="shared" si="3"/>
        <v>29.593635374738611</v>
      </c>
      <c r="H109" s="67">
        <f t="shared" si="3"/>
        <v>8.9537958994371092</v>
      </c>
      <c r="I109" s="67">
        <f t="shared" si="3"/>
        <v>1.2249964509436686</v>
      </c>
      <c r="J109" s="67">
        <f t="shared" si="3"/>
        <v>0.53024853490785762</v>
      </c>
      <c r="K109" s="67">
        <f t="shared" si="3"/>
        <v>97.87025262242409</v>
      </c>
      <c r="L109" s="67">
        <f t="shared" si="3"/>
        <v>4.8051111482388755</v>
      </c>
      <c r="M109" s="67">
        <f t="shared" si="3"/>
        <v>22.781940977295523</v>
      </c>
      <c r="N109" s="67">
        <f t="shared" si="3"/>
        <v>175.34806273285892</v>
      </c>
      <c r="O109" s="67">
        <f t="shared" si="3"/>
        <v>0</v>
      </c>
      <c r="P109" s="67">
        <f t="shared" si="3"/>
        <v>0.42442777524981645</v>
      </c>
      <c r="Q109" s="67">
        <f t="shared" si="3"/>
        <v>0.37054132993902633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2455</v>
      </c>
      <c r="B9" s="64">
        <v>114.24</v>
      </c>
      <c r="C9" s="64">
        <v>62.45</v>
      </c>
      <c r="D9" s="64">
        <v>122.86</v>
      </c>
      <c r="E9" s="64">
        <v>9.31</v>
      </c>
      <c r="F9" s="64">
        <v>4.2300000000000004</v>
      </c>
      <c r="G9" s="64">
        <v>184.15</v>
      </c>
      <c r="H9" s="64">
        <v>76.73</v>
      </c>
      <c r="I9" s="64">
        <v>9.64</v>
      </c>
      <c r="J9" s="64">
        <v>1.44</v>
      </c>
      <c r="K9" s="64">
        <v>328.74</v>
      </c>
      <c r="L9" s="64">
        <v>12.78</v>
      </c>
      <c r="M9" s="64">
        <v>82.63</v>
      </c>
      <c r="N9" s="64">
        <v>34.1</v>
      </c>
      <c r="O9" s="64">
        <v>0</v>
      </c>
      <c r="P9" s="64">
        <v>2.3199999999999998</v>
      </c>
      <c r="Q9" s="64">
        <v>11.89</v>
      </c>
      <c r="R9" s="196"/>
      <c r="S9" s="196"/>
      <c r="T9" s="196"/>
      <c r="U9" s="196"/>
    </row>
    <row r="10" spans="1:21" s="12" customFormat="1" x14ac:dyDescent="0.25">
      <c r="A10" s="211" t="s">
        <v>2456</v>
      </c>
      <c r="B10" s="64">
        <v>111.07</v>
      </c>
      <c r="C10" s="64">
        <v>59.34</v>
      </c>
      <c r="D10" s="64">
        <v>118.7</v>
      </c>
      <c r="E10" s="64">
        <v>9.7799999999999994</v>
      </c>
      <c r="F10" s="64">
        <v>4.21</v>
      </c>
      <c r="G10" s="64">
        <v>114.9</v>
      </c>
      <c r="H10" s="64">
        <v>75.459999999999994</v>
      </c>
      <c r="I10" s="64">
        <v>9.5500000000000007</v>
      </c>
      <c r="J10" s="64">
        <v>1.42</v>
      </c>
      <c r="K10" s="64">
        <v>312.89</v>
      </c>
      <c r="L10" s="64">
        <v>12.8</v>
      </c>
      <c r="M10" s="64">
        <v>82.53</v>
      </c>
      <c r="N10" s="64">
        <v>34.1</v>
      </c>
      <c r="O10" s="64">
        <v>0</v>
      </c>
      <c r="P10" s="64">
        <v>2.2999999999999998</v>
      </c>
      <c r="Q10" s="64">
        <v>11.8</v>
      </c>
      <c r="R10" s="196"/>
      <c r="S10" s="196"/>
      <c r="T10" s="196"/>
      <c r="U10" s="196"/>
    </row>
    <row r="11" spans="1:21" s="12" customFormat="1" x14ac:dyDescent="0.25">
      <c r="A11" s="211" t="s">
        <v>2457</v>
      </c>
      <c r="B11" s="64">
        <v>107.15</v>
      </c>
      <c r="C11" s="64">
        <v>58.74</v>
      </c>
      <c r="D11" s="64">
        <v>115.24</v>
      </c>
      <c r="E11" s="64">
        <v>9.7200000000000006</v>
      </c>
      <c r="F11" s="64">
        <v>3.98</v>
      </c>
      <c r="G11" s="64">
        <v>114.9</v>
      </c>
      <c r="H11" s="64">
        <v>75.459999999999994</v>
      </c>
      <c r="I11" s="64">
        <v>9.3800000000000008</v>
      </c>
      <c r="J11" s="64">
        <v>1.41</v>
      </c>
      <c r="K11" s="64">
        <v>317.39999999999998</v>
      </c>
      <c r="L11" s="64">
        <v>12.85</v>
      </c>
      <c r="M11" s="64">
        <v>85.7</v>
      </c>
      <c r="N11" s="64">
        <v>33.9</v>
      </c>
      <c r="O11" s="64">
        <v>0</v>
      </c>
      <c r="P11" s="64">
        <v>2.2400000000000002</v>
      </c>
      <c r="Q11" s="64">
        <v>11.75</v>
      </c>
      <c r="R11" s="196"/>
      <c r="S11" s="196"/>
      <c r="T11" s="196"/>
      <c r="U11" s="196"/>
    </row>
    <row r="12" spans="1:21" s="12" customFormat="1" x14ac:dyDescent="0.25">
      <c r="A12" s="211" t="s">
        <v>2458</v>
      </c>
      <c r="B12" s="64">
        <v>102.81</v>
      </c>
      <c r="C12" s="64">
        <v>57.53</v>
      </c>
      <c r="D12" s="64">
        <v>111.13</v>
      </c>
      <c r="E12" s="64">
        <v>9.1300000000000008</v>
      </c>
      <c r="F12" s="64">
        <v>4.09</v>
      </c>
      <c r="G12" s="64">
        <v>114.9</v>
      </c>
      <c r="H12" s="64">
        <v>75.459999999999994</v>
      </c>
      <c r="I12" s="64">
        <v>9.3800000000000008</v>
      </c>
      <c r="J12" s="64">
        <v>1.56</v>
      </c>
      <c r="K12" s="64">
        <v>316.85000000000002</v>
      </c>
      <c r="L12" s="64">
        <v>12.73</v>
      </c>
      <c r="M12" s="64">
        <v>86.35</v>
      </c>
      <c r="N12" s="64">
        <v>34</v>
      </c>
      <c r="O12" s="64">
        <v>0</v>
      </c>
      <c r="P12" s="64">
        <v>2.1800000000000002</v>
      </c>
      <c r="Q12" s="64">
        <v>11.7</v>
      </c>
      <c r="R12" s="196"/>
      <c r="S12" s="196"/>
      <c r="T12" s="196"/>
      <c r="U12" s="196"/>
    </row>
    <row r="13" spans="1:21" s="12" customFormat="1" x14ac:dyDescent="0.25">
      <c r="A13" s="211" t="s">
        <v>2459</v>
      </c>
      <c r="B13" s="64">
        <v>98.46</v>
      </c>
      <c r="C13" s="64">
        <v>56.64</v>
      </c>
      <c r="D13" s="64">
        <v>107.18</v>
      </c>
      <c r="E13" s="64">
        <v>9.23</v>
      </c>
      <c r="F13" s="64">
        <v>4.05</v>
      </c>
      <c r="G13" s="209" t="s">
        <v>42</v>
      </c>
      <c r="H13" s="64">
        <v>74.959999999999994</v>
      </c>
      <c r="I13" s="64">
        <v>9.3000000000000007</v>
      </c>
      <c r="J13" s="64">
        <v>1</v>
      </c>
      <c r="K13" s="64">
        <v>4.8</v>
      </c>
      <c r="L13" s="64">
        <v>12.62</v>
      </c>
      <c r="M13" s="64">
        <v>87.44</v>
      </c>
      <c r="N13" s="64">
        <v>34.1</v>
      </c>
      <c r="O13" s="64">
        <v>0</v>
      </c>
      <c r="P13" s="64">
        <v>1.84</v>
      </c>
      <c r="Q13" s="64">
        <v>11.66</v>
      </c>
      <c r="R13" s="196"/>
      <c r="S13" s="196"/>
      <c r="T13" s="196"/>
      <c r="U13" s="196"/>
    </row>
    <row r="14" spans="1:21" s="12" customFormat="1" x14ac:dyDescent="0.25">
      <c r="A14" s="211" t="s">
        <v>2460</v>
      </c>
      <c r="B14" s="64">
        <v>94.25</v>
      </c>
      <c r="C14" s="64">
        <v>55.1</v>
      </c>
      <c r="D14" s="64">
        <v>103</v>
      </c>
      <c r="E14" s="64">
        <v>9.33</v>
      </c>
      <c r="F14" s="64">
        <v>4</v>
      </c>
      <c r="G14" s="209" t="s">
        <v>42</v>
      </c>
      <c r="H14" s="64">
        <v>74.84</v>
      </c>
      <c r="I14" s="64">
        <v>9.0399999999999991</v>
      </c>
      <c r="J14" s="64">
        <v>1.55</v>
      </c>
      <c r="K14" s="64">
        <v>313.63</v>
      </c>
      <c r="L14" s="64">
        <v>12.58</v>
      </c>
      <c r="M14" s="64">
        <v>87.2</v>
      </c>
      <c r="N14" s="64">
        <v>34</v>
      </c>
      <c r="O14" s="64">
        <v>0</v>
      </c>
      <c r="P14" s="64">
        <v>2.02</v>
      </c>
      <c r="Q14" s="64">
        <v>11.64</v>
      </c>
      <c r="R14" s="196"/>
      <c r="S14" s="196"/>
      <c r="T14" s="196"/>
      <c r="U14" s="196"/>
    </row>
    <row r="15" spans="1:21" s="12" customFormat="1" x14ac:dyDescent="0.25">
      <c r="A15" s="211" t="s">
        <v>2461</v>
      </c>
      <c r="B15" s="64">
        <v>90.2</v>
      </c>
      <c r="C15" s="64">
        <v>54.21</v>
      </c>
      <c r="D15" s="64">
        <v>99.28</v>
      </c>
      <c r="E15" s="64">
        <v>9.33</v>
      </c>
      <c r="F15" s="64">
        <v>4.1500000000000004</v>
      </c>
      <c r="G15" s="209" t="s">
        <v>42</v>
      </c>
      <c r="H15" s="64">
        <v>74.84</v>
      </c>
      <c r="I15" s="64">
        <v>9.1199999999999992</v>
      </c>
      <c r="J15" s="64">
        <v>1.62</v>
      </c>
      <c r="K15" s="64">
        <v>327.66000000000003</v>
      </c>
      <c r="L15" s="64">
        <v>12.42</v>
      </c>
      <c r="M15" s="64">
        <v>87.86</v>
      </c>
      <c r="N15" s="64">
        <v>34</v>
      </c>
      <c r="O15" s="64">
        <v>0</v>
      </c>
      <c r="P15" s="64">
        <v>1.98</v>
      </c>
      <c r="Q15" s="64">
        <v>11.6</v>
      </c>
      <c r="R15" s="196"/>
      <c r="S15" s="196"/>
      <c r="T15" s="196"/>
      <c r="U15" s="196"/>
    </row>
    <row r="16" spans="1:21" s="12" customFormat="1" x14ac:dyDescent="0.25">
      <c r="A16" s="211" t="s">
        <v>2462</v>
      </c>
      <c r="B16" s="64">
        <v>86.25</v>
      </c>
      <c r="C16" s="64">
        <v>52.99</v>
      </c>
      <c r="D16" s="64">
        <v>95.47</v>
      </c>
      <c r="E16" s="64">
        <v>9.1199999999999992</v>
      </c>
      <c r="F16" s="64">
        <v>3.96</v>
      </c>
      <c r="G16" s="209" t="s">
        <v>42</v>
      </c>
      <c r="H16" s="64">
        <v>74.84</v>
      </c>
      <c r="I16" s="64">
        <v>9.26</v>
      </c>
      <c r="J16" s="64">
        <v>2.14</v>
      </c>
      <c r="K16" s="64">
        <v>324.5</v>
      </c>
      <c r="L16" s="64">
        <v>12.41</v>
      </c>
      <c r="M16" s="64">
        <v>88.98</v>
      </c>
      <c r="N16" s="64">
        <v>33.299999999999997</v>
      </c>
      <c r="O16" s="64">
        <v>0</v>
      </c>
      <c r="P16" s="64">
        <v>1.98</v>
      </c>
      <c r="Q16" s="64">
        <v>11.58</v>
      </c>
      <c r="R16" s="196"/>
      <c r="S16" s="196"/>
      <c r="T16" s="196"/>
      <c r="U16" s="196"/>
    </row>
    <row r="17" spans="1:21" s="12" customFormat="1" x14ac:dyDescent="0.25">
      <c r="A17" s="211" t="s">
        <v>2463</v>
      </c>
      <c r="B17" s="64">
        <v>82.47</v>
      </c>
      <c r="C17" s="64">
        <v>51.58</v>
      </c>
      <c r="D17" s="64">
        <v>91.71</v>
      </c>
      <c r="E17" s="64">
        <v>9.49</v>
      </c>
      <c r="F17" s="64">
        <v>3.88</v>
      </c>
      <c r="G17" s="209" t="s">
        <v>42</v>
      </c>
      <c r="H17" s="64">
        <v>79.19</v>
      </c>
      <c r="I17" s="64">
        <v>9.3000000000000007</v>
      </c>
      <c r="J17" s="64">
        <v>0.78</v>
      </c>
      <c r="K17" s="64">
        <v>324.98</v>
      </c>
      <c r="L17" s="64">
        <v>12.38</v>
      </c>
      <c r="M17" s="64">
        <v>87</v>
      </c>
      <c r="N17" s="64">
        <v>34.200000000000003</v>
      </c>
      <c r="O17" s="64">
        <v>0</v>
      </c>
      <c r="P17" s="64">
        <v>1.95</v>
      </c>
      <c r="Q17" s="64">
        <v>11.5</v>
      </c>
      <c r="R17" s="196"/>
      <c r="S17" s="196"/>
      <c r="T17" s="196"/>
      <c r="U17" s="196"/>
    </row>
    <row r="18" spans="1:21" s="12" customFormat="1" x14ac:dyDescent="0.25">
      <c r="A18" s="211" t="s">
        <v>2464</v>
      </c>
      <c r="B18" s="64">
        <v>78.61</v>
      </c>
      <c r="C18" s="64">
        <v>49.81</v>
      </c>
      <c r="D18" s="64">
        <v>87.69</v>
      </c>
      <c r="E18" s="64">
        <v>9.4700000000000006</v>
      </c>
      <c r="F18" s="64">
        <v>4.26</v>
      </c>
      <c r="G18" s="209" t="s">
        <v>42</v>
      </c>
      <c r="H18" s="64">
        <v>80.14</v>
      </c>
      <c r="I18" s="64">
        <v>9.15</v>
      </c>
      <c r="J18" s="64">
        <v>1.5</v>
      </c>
      <c r="K18" s="64">
        <v>352.03</v>
      </c>
      <c r="L18" s="64">
        <v>12.32</v>
      </c>
      <c r="M18" s="64">
        <v>87.17</v>
      </c>
      <c r="N18" s="64">
        <v>33.9</v>
      </c>
      <c r="O18" s="64">
        <v>0</v>
      </c>
      <c r="P18" s="64">
        <v>1.95</v>
      </c>
      <c r="Q18" s="64">
        <v>11.34</v>
      </c>
      <c r="R18" s="196"/>
      <c r="S18" s="196"/>
      <c r="T18" s="196"/>
      <c r="U18" s="196"/>
    </row>
    <row r="19" spans="1:21" s="12" customFormat="1" x14ac:dyDescent="0.25">
      <c r="A19" s="211" t="s">
        <v>2465</v>
      </c>
      <c r="B19" s="64">
        <v>74.48</v>
      </c>
      <c r="C19" s="64">
        <v>49.64</v>
      </c>
      <c r="D19" s="64">
        <v>84.29</v>
      </c>
      <c r="E19" s="64">
        <v>9.8699999999999992</v>
      </c>
      <c r="F19" s="64">
        <v>4.37</v>
      </c>
      <c r="G19" s="209" t="s">
        <v>42</v>
      </c>
      <c r="H19" s="64">
        <v>80.14</v>
      </c>
      <c r="I19" s="64">
        <v>9.1199999999999992</v>
      </c>
      <c r="J19" s="64">
        <v>0.64</v>
      </c>
      <c r="K19" s="64">
        <v>61.14</v>
      </c>
      <c r="L19" s="64">
        <v>12.43</v>
      </c>
      <c r="M19" s="64">
        <v>84.47</v>
      </c>
      <c r="N19" s="64">
        <v>34</v>
      </c>
      <c r="O19" s="64">
        <v>0</v>
      </c>
      <c r="P19" s="64">
        <v>1.93</v>
      </c>
      <c r="Q19" s="64">
        <v>11.29</v>
      </c>
      <c r="R19" s="196"/>
      <c r="S19" s="196"/>
      <c r="T19" s="196"/>
      <c r="U19" s="196"/>
    </row>
    <row r="20" spans="1:21" s="12" customFormat="1" x14ac:dyDescent="0.25">
      <c r="A20" s="211" t="s">
        <v>2466</v>
      </c>
      <c r="B20" s="64">
        <v>70</v>
      </c>
      <c r="C20" s="64">
        <v>49.58</v>
      </c>
      <c r="D20" s="64">
        <v>80.66</v>
      </c>
      <c r="E20" s="64">
        <v>9.5399999999999991</v>
      </c>
      <c r="F20" s="64">
        <v>4.8600000000000003</v>
      </c>
      <c r="G20" s="209" t="s">
        <v>42</v>
      </c>
      <c r="H20" s="64">
        <v>80.14</v>
      </c>
      <c r="I20" s="64">
        <v>9.02</v>
      </c>
      <c r="J20" s="64">
        <v>1.71</v>
      </c>
      <c r="K20" s="64">
        <v>349.57</v>
      </c>
      <c r="L20" s="64">
        <v>12.68</v>
      </c>
      <c r="M20" s="64">
        <v>80.91</v>
      </c>
      <c r="N20" s="64">
        <v>33.5</v>
      </c>
      <c r="O20" s="64">
        <v>0</v>
      </c>
      <c r="P20" s="64">
        <v>1.89</v>
      </c>
      <c r="Q20" s="64">
        <v>11.22</v>
      </c>
      <c r="R20" s="196"/>
      <c r="S20" s="196"/>
      <c r="T20" s="196"/>
      <c r="U20" s="196"/>
    </row>
    <row r="21" spans="1:21" s="12" customFormat="1" x14ac:dyDescent="0.25">
      <c r="A21" s="211" t="s">
        <v>2467</v>
      </c>
      <c r="B21" s="64">
        <v>65.510000000000005</v>
      </c>
      <c r="C21" s="64">
        <v>50.36</v>
      </c>
      <c r="D21" s="64">
        <v>77.47</v>
      </c>
      <c r="E21" s="64">
        <v>9.5399999999999991</v>
      </c>
      <c r="F21" s="64">
        <v>4.45</v>
      </c>
      <c r="G21" s="209" t="s">
        <v>42</v>
      </c>
      <c r="H21" s="64">
        <v>92.57</v>
      </c>
      <c r="I21" s="64">
        <v>8.86</v>
      </c>
      <c r="J21" s="64">
        <v>0.94</v>
      </c>
      <c r="K21" s="64">
        <v>306.81</v>
      </c>
      <c r="L21" s="64">
        <v>12.64</v>
      </c>
      <c r="M21" s="64">
        <v>81.290000000000006</v>
      </c>
      <c r="N21" s="64">
        <v>34.1</v>
      </c>
      <c r="O21" s="64">
        <v>0</v>
      </c>
      <c r="P21" s="64">
        <v>1.86</v>
      </c>
      <c r="Q21" s="64">
        <v>11.19</v>
      </c>
      <c r="R21" s="196"/>
      <c r="S21" s="196"/>
      <c r="T21" s="196"/>
      <c r="U21" s="196"/>
    </row>
    <row r="22" spans="1:21" s="12" customFormat="1" x14ac:dyDescent="0.25">
      <c r="A22" s="211" t="s">
        <v>2468</v>
      </c>
      <c r="B22" s="64">
        <v>61.03</v>
      </c>
      <c r="C22" s="64">
        <v>50.12</v>
      </c>
      <c r="D22" s="64">
        <v>73.760000000000005</v>
      </c>
      <c r="E22" s="64">
        <v>9.09</v>
      </c>
      <c r="F22" s="64">
        <v>4.4800000000000004</v>
      </c>
      <c r="G22" s="209" t="s">
        <v>42</v>
      </c>
      <c r="H22" s="64">
        <v>95.28</v>
      </c>
      <c r="I22" s="64">
        <v>8.74</v>
      </c>
      <c r="J22" s="64">
        <v>0.88</v>
      </c>
      <c r="K22" s="64">
        <v>327.64</v>
      </c>
      <c r="L22" s="64">
        <v>12.53</v>
      </c>
      <c r="M22" s="64">
        <v>81.98</v>
      </c>
      <c r="N22" s="64">
        <v>34.299999999999997</v>
      </c>
      <c r="O22" s="64">
        <v>0</v>
      </c>
      <c r="P22" s="64">
        <v>1.84</v>
      </c>
      <c r="Q22" s="64">
        <v>11.16</v>
      </c>
      <c r="R22" s="196"/>
      <c r="S22" s="196"/>
      <c r="T22" s="196"/>
      <c r="U22" s="196"/>
    </row>
    <row r="23" spans="1:21" s="12" customFormat="1" x14ac:dyDescent="0.25">
      <c r="A23" s="211" t="s">
        <v>2469</v>
      </c>
      <c r="B23" s="64">
        <v>57.17</v>
      </c>
      <c r="C23" s="64">
        <v>50.62</v>
      </c>
      <c r="D23" s="64">
        <v>70.92</v>
      </c>
      <c r="E23" s="64">
        <v>9.7899999999999991</v>
      </c>
      <c r="F23" s="64">
        <v>4.3899999999999997</v>
      </c>
      <c r="G23" s="209" t="s">
        <v>42</v>
      </c>
      <c r="H23" s="64">
        <v>95.28</v>
      </c>
      <c r="I23" s="64">
        <v>8.6</v>
      </c>
      <c r="J23" s="64">
        <v>1.1399999999999999</v>
      </c>
      <c r="K23" s="64">
        <v>104.44</v>
      </c>
      <c r="L23" s="64">
        <v>12.47</v>
      </c>
      <c r="M23" s="64">
        <v>81.91</v>
      </c>
      <c r="N23" s="64">
        <v>34.1</v>
      </c>
      <c r="O23" s="64">
        <v>0</v>
      </c>
      <c r="P23" s="64">
        <v>1.81</v>
      </c>
      <c r="Q23" s="64">
        <v>11.12</v>
      </c>
      <c r="R23" s="196"/>
      <c r="S23" s="196"/>
      <c r="T23" s="196"/>
      <c r="U23" s="196"/>
    </row>
    <row r="24" spans="1:21" s="12" customFormat="1" x14ac:dyDescent="0.25">
      <c r="A24" s="211" t="s">
        <v>2470</v>
      </c>
      <c r="B24" s="64">
        <v>53.53</v>
      </c>
      <c r="C24" s="64">
        <v>50.86</v>
      </c>
      <c r="D24" s="64">
        <v>68.13</v>
      </c>
      <c r="E24" s="64">
        <v>8.57</v>
      </c>
      <c r="F24" s="64">
        <v>4.2300000000000004</v>
      </c>
      <c r="G24" s="209" t="s">
        <v>42</v>
      </c>
      <c r="H24" s="64">
        <v>95.28</v>
      </c>
      <c r="I24" s="64">
        <v>8.5299999999999994</v>
      </c>
      <c r="J24" s="64">
        <v>1.46</v>
      </c>
      <c r="K24" s="64">
        <v>84.63</v>
      </c>
      <c r="L24" s="64">
        <v>12.43</v>
      </c>
      <c r="M24" s="64">
        <v>82.41</v>
      </c>
      <c r="N24" s="64">
        <v>34.299999999999997</v>
      </c>
      <c r="O24" s="64">
        <v>0</v>
      </c>
      <c r="P24" s="64">
        <v>1.78</v>
      </c>
      <c r="Q24" s="64">
        <v>11.08</v>
      </c>
      <c r="R24" s="196"/>
      <c r="S24" s="196"/>
      <c r="T24" s="196"/>
      <c r="U24" s="196"/>
    </row>
    <row r="25" spans="1:21" s="12" customFormat="1" x14ac:dyDescent="0.25">
      <c r="A25" s="211" t="s">
        <v>2471</v>
      </c>
      <c r="B25" s="64">
        <v>50.28</v>
      </c>
      <c r="C25" s="64">
        <v>50.34</v>
      </c>
      <c r="D25" s="64">
        <v>65.239999999999995</v>
      </c>
      <c r="E25" s="64">
        <v>9.42</v>
      </c>
      <c r="F25" s="64">
        <v>4.09</v>
      </c>
      <c r="G25" s="209" t="s">
        <v>42</v>
      </c>
      <c r="H25" s="64">
        <v>98.03</v>
      </c>
      <c r="I25" s="64">
        <v>8.58</v>
      </c>
      <c r="J25" s="64">
        <v>1.27</v>
      </c>
      <c r="K25" s="64">
        <v>74.28</v>
      </c>
      <c r="L25" s="64">
        <v>12.31</v>
      </c>
      <c r="M25" s="64">
        <v>82.2</v>
      </c>
      <c r="N25" s="64">
        <v>33.9</v>
      </c>
      <c r="O25" s="64">
        <v>0</v>
      </c>
      <c r="P25" s="64">
        <v>1.74</v>
      </c>
      <c r="Q25" s="64">
        <v>11.02</v>
      </c>
      <c r="R25" s="196"/>
      <c r="S25" s="196"/>
      <c r="T25" s="196"/>
      <c r="U25" s="196"/>
    </row>
    <row r="26" spans="1:21" s="12" customFormat="1" x14ac:dyDescent="0.25">
      <c r="A26" s="211" t="s">
        <v>2472</v>
      </c>
      <c r="B26" s="64">
        <v>47.37</v>
      </c>
      <c r="C26" s="64">
        <v>49.92</v>
      </c>
      <c r="D26" s="64">
        <v>62.69</v>
      </c>
      <c r="E26" s="64">
        <v>8.76</v>
      </c>
      <c r="F26" s="64">
        <v>4.43</v>
      </c>
      <c r="G26" s="209" t="s">
        <v>42</v>
      </c>
      <c r="H26" s="64">
        <v>99</v>
      </c>
      <c r="I26" s="64">
        <v>8.6300000000000008</v>
      </c>
      <c r="J26" s="64">
        <v>0.88</v>
      </c>
      <c r="K26" s="64">
        <v>24.64</v>
      </c>
      <c r="L26" s="64">
        <v>12.65</v>
      </c>
      <c r="M26" s="64">
        <v>76.78</v>
      </c>
      <c r="N26" s="64">
        <v>33.6</v>
      </c>
      <c r="O26" s="64">
        <v>0</v>
      </c>
      <c r="P26" s="64">
        <v>1.7</v>
      </c>
      <c r="Q26" s="64">
        <v>10.96</v>
      </c>
      <c r="R26" s="196"/>
      <c r="S26" s="196"/>
      <c r="T26" s="196"/>
      <c r="U26" s="196"/>
    </row>
    <row r="27" spans="1:21" s="12" customFormat="1" x14ac:dyDescent="0.25">
      <c r="A27" s="211" t="s">
        <v>2473</v>
      </c>
      <c r="B27" s="64">
        <v>44.3</v>
      </c>
      <c r="C27" s="64">
        <v>48.5</v>
      </c>
      <c r="D27" s="64">
        <v>59.49</v>
      </c>
      <c r="E27" s="64">
        <v>7.88</v>
      </c>
      <c r="F27" s="64">
        <v>4.45</v>
      </c>
      <c r="G27" s="209" t="s">
        <v>42</v>
      </c>
      <c r="H27" s="64">
        <v>99</v>
      </c>
      <c r="I27" s="64">
        <v>8.58</v>
      </c>
      <c r="J27" s="64">
        <v>1.0900000000000001</v>
      </c>
      <c r="K27" s="64">
        <v>323.5</v>
      </c>
      <c r="L27" s="64">
        <v>12.52</v>
      </c>
      <c r="M27" s="64">
        <v>75.62</v>
      </c>
      <c r="N27" s="64">
        <v>34</v>
      </c>
      <c r="O27" s="64">
        <v>0</v>
      </c>
      <c r="P27" s="64">
        <v>1.64</v>
      </c>
      <c r="Q27" s="64">
        <v>10.9</v>
      </c>
      <c r="R27" s="196"/>
      <c r="S27" s="196"/>
      <c r="T27" s="196"/>
      <c r="U27" s="196"/>
    </row>
    <row r="28" spans="1:21" s="12" customFormat="1" x14ac:dyDescent="0.25">
      <c r="A28" s="211" t="s">
        <v>2474</v>
      </c>
      <c r="B28" s="64">
        <v>41.74</v>
      </c>
      <c r="C28" s="64">
        <v>49.03</v>
      </c>
      <c r="D28" s="64">
        <v>57.71</v>
      </c>
      <c r="E28" s="64">
        <v>7.9</v>
      </c>
      <c r="F28" s="64">
        <v>4.1399999999999997</v>
      </c>
      <c r="G28" s="209" t="s">
        <v>42</v>
      </c>
      <c r="H28" s="64">
        <v>99</v>
      </c>
      <c r="I28" s="64">
        <v>8.43</v>
      </c>
      <c r="J28" s="64">
        <v>1.1599999999999999</v>
      </c>
      <c r="K28" s="64">
        <v>358.7</v>
      </c>
      <c r="L28" s="64">
        <v>12.39</v>
      </c>
      <c r="M28" s="64">
        <v>76.959999999999994</v>
      </c>
      <c r="N28" s="64">
        <v>33.799999999999997</v>
      </c>
      <c r="O28" s="64">
        <v>0</v>
      </c>
      <c r="P28" s="64">
        <v>1.59</v>
      </c>
      <c r="Q28" s="64">
        <v>10.88</v>
      </c>
      <c r="R28" s="196"/>
      <c r="S28" s="196"/>
      <c r="T28" s="196"/>
      <c r="U28" s="196"/>
    </row>
    <row r="29" spans="1:21" s="12" customFormat="1" x14ac:dyDescent="0.25">
      <c r="A29" s="211" t="s">
        <v>2475</v>
      </c>
      <c r="B29" s="64">
        <v>39.43</v>
      </c>
      <c r="C29" s="64">
        <v>49.31</v>
      </c>
      <c r="D29" s="64">
        <v>56.01</v>
      </c>
      <c r="E29" s="64">
        <v>7.88</v>
      </c>
      <c r="F29" s="64">
        <v>3.96</v>
      </c>
      <c r="G29" s="209" t="s">
        <v>42</v>
      </c>
      <c r="H29" s="64">
        <v>87.25</v>
      </c>
      <c r="I29" s="64">
        <v>8.2799999999999994</v>
      </c>
      <c r="J29" s="64">
        <v>1.87</v>
      </c>
      <c r="K29" s="64">
        <v>338.32</v>
      </c>
      <c r="L29" s="64">
        <v>12.5</v>
      </c>
      <c r="M29" s="64">
        <v>75.08</v>
      </c>
      <c r="N29" s="64">
        <v>33.4</v>
      </c>
      <c r="O29" s="64">
        <v>0</v>
      </c>
      <c r="P29" s="64">
        <v>1.49</v>
      </c>
      <c r="Q29" s="64">
        <v>10.86</v>
      </c>
      <c r="R29" s="196"/>
      <c r="S29" s="196"/>
      <c r="T29" s="196"/>
      <c r="U29" s="196"/>
    </row>
    <row r="30" spans="1:21" s="12" customFormat="1" x14ac:dyDescent="0.25">
      <c r="A30" s="211" t="s">
        <v>2476</v>
      </c>
      <c r="B30" s="64">
        <v>36.89</v>
      </c>
      <c r="C30" s="64">
        <v>49.18</v>
      </c>
      <c r="D30" s="64">
        <v>53.9</v>
      </c>
      <c r="E30" s="64">
        <v>7.22</v>
      </c>
      <c r="F30" s="64">
        <v>3.98</v>
      </c>
      <c r="G30" s="209" t="s">
        <v>42</v>
      </c>
      <c r="H30" s="64">
        <v>84.69</v>
      </c>
      <c r="I30" s="64">
        <v>8.1</v>
      </c>
      <c r="J30" s="64">
        <v>2.27</v>
      </c>
      <c r="K30" s="64">
        <v>345.83</v>
      </c>
      <c r="L30" s="64">
        <v>12.61</v>
      </c>
      <c r="M30" s="64">
        <v>73.63</v>
      </c>
      <c r="N30" s="64">
        <v>33.6</v>
      </c>
      <c r="O30" s="64">
        <v>0</v>
      </c>
      <c r="P30" s="64">
        <v>1.45</v>
      </c>
      <c r="Q30" s="64">
        <v>10.89</v>
      </c>
      <c r="R30" s="196"/>
      <c r="S30" s="196"/>
      <c r="T30" s="196"/>
      <c r="U30" s="196"/>
    </row>
    <row r="31" spans="1:21" s="12" customFormat="1" x14ac:dyDescent="0.25">
      <c r="A31" s="211" t="s">
        <v>2477</v>
      </c>
      <c r="B31" s="64">
        <v>34.65</v>
      </c>
      <c r="C31" s="64">
        <v>49.14</v>
      </c>
      <c r="D31" s="64">
        <v>52.08</v>
      </c>
      <c r="E31" s="64">
        <v>7.6</v>
      </c>
      <c r="F31" s="64">
        <v>3.94</v>
      </c>
      <c r="G31" s="209" t="s">
        <v>42</v>
      </c>
      <c r="H31" s="64">
        <v>84.69</v>
      </c>
      <c r="I31" s="64">
        <v>7.67</v>
      </c>
      <c r="J31" s="64">
        <v>0.83</v>
      </c>
      <c r="K31" s="64">
        <v>9.48</v>
      </c>
      <c r="L31" s="64">
        <v>12.36</v>
      </c>
      <c r="M31" s="64">
        <v>74.97</v>
      </c>
      <c r="N31" s="64">
        <v>34.299999999999997</v>
      </c>
      <c r="O31" s="64">
        <v>0</v>
      </c>
      <c r="P31" s="64">
        <v>1.41</v>
      </c>
      <c r="Q31" s="64">
        <v>10.88</v>
      </c>
      <c r="R31" s="196"/>
      <c r="S31" s="196"/>
      <c r="T31" s="196"/>
      <c r="U31" s="196"/>
    </row>
    <row r="32" spans="1:21" s="12" customFormat="1" x14ac:dyDescent="0.25">
      <c r="A32" s="211" t="s">
        <v>2478</v>
      </c>
      <c r="B32" s="64">
        <v>32.78</v>
      </c>
      <c r="C32" s="64">
        <v>49.07</v>
      </c>
      <c r="D32" s="64">
        <v>50.55</v>
      </c>
      <c r="E32" s="64">
        <v>7.12</v>
      </c>
      <c r="F32" s="64">
        <v>4.05</v>
      </c>
      <c r="G32" s="209" t="s">
        <v>42</v>
      </c>
      <c r="H32" s="64">
        <v>84.69</v>
      </c>
      <c r="I32" s="64">
        <v>7.46</v>
      </c>
      <c r="J32" s="64">
        <v>1.49</v>
      </c>
      <c r="K32" s="64">
        <v>78.319999999999993</v>
      </c>
      <c r="L32" s="64">
        <v>12.11</v>
      </c>
      <c r="M32" s="64">
        <v>75.91</v>
      </c>
      <c r="N32" s="64">
        <v>34.299999999999997</v>
      </c>
      <c r="O32" s="64">
        <v>0</v>
      </c>
      <c r="P32" s="64">
        <v>1.35</v>
      </c>
      <c r="Q32" s="64">
        <v>10.85</v>
      </c>
      <c r="R32" s="196"/>
      <c r="S32" s="196"/>
      <c r="T32" s="196"/>
      <c r="U32" s="196"/>
    </row>
    <row r="33" spans="1:21" s="12" customFormat="1" x14ac:dyDescent="0.25">
      <c r="A33" s="211" t="s">
        <v>2479</v>
      </c>
      <c r="B33" s="64">
        <v>31.1</v>
      </c>
      <c r="C33" s="64">
        <v>48.27</v>
      </c>
      <c r="D33" s="64">
        <v>48.79</v>
      </c>
      <c r="E33" s="64">
        <v>6.82</v>
      </c>
      <c r="F33" s="64">
        <v>3.14</v>
      </c>
      <c r="G33" s="209" t="s">
        <v>42</v>
      </c>
      <c r="H33" s="64">
        <v>77.87</v>
      </c>
      <c r="I33" s="64">
        <v>7.35</v>
      </c>
      <c r="J33" s="64">
        <v>0.91</v>
      </c>
      <c r="K33" s="64">
        <v>76.48</v>
      </c>
      <c r="L33" s="64">
        <v>11.91</v>
      </c>
      <c r="M33" s="64">
        <v>77.650000000000006</v>
      </c>
      <c r="N33" s="64">
        <v>34.5</v>
      </c>
      <c r="O33" s="64">
        <v>0</v>
      </c>
      <c r="P33" s="64">
        <v>1.31</v>
      </c>
      <c r="Q33" s="64">
        <v>10.84</v>
      </c>
      <c r="R33" s="196"/>
      <c r="S33" s="196"/>
      <c r="T33" s="196"/>
      <c r="U33" s="196"/>
    </row>
    <row r="34" spans="1:21" s="12" customFormat="1" x14ac:dyDescent="0.25">
      <c r="A34" s="211" t="s">
        <v>2480</v>
      </c>
      <c r="B34" s="64">
        <v>29.7</v>
      </c>
      <c r="C34" s="64">
        <v>47.81</v>
      </c>
      <c r="D34" s="64">
        <v>47.42</v>
      </c>
      <c r="E34" s="64">
        <v>7.16</v>
      </c>
      <c r="F34" s="64">
        <v>3.85</v>
      </c>
      <c r="G34" s="209" t="s">
        <v>42</v>
      </c>
      <c r="H34" s="64">
        <v>76.38</v>
      </c>
      <c r="I34" s="64">
        <v>7.18</v>
      </c>
      <c r="J34" s="64">
        <v>1.51</v>
      </c>
      <c r="K34" s="64">
        <v>107.7</v>
      </c>
      <c r="L34" s="64">
        <v>11.74</v>
      </c>
      <c r="M34" s="64">
        <v>79.77</v>
      </c>
      <c r="N34" s="64">
        <v>36.700000000000003</v>
      </c>
      <c r="O34" s="64">
        <v>0</v>
      </c>
      <c r="P34" s="64">
        <v>1.29</v>
      </c>
      <c r="Q34" s="64">
        <v>10.84</v>
      </c>
      <c r="R34" s="196"/>
      <c r="S34" s="196"/>
      <c r="T34" s="196"/>
      <c r="U34" s="196"/>
    </row>
    <row r="35" spans="1:21" s="12" customFormat="1" x14ac:dyDescent="0.25">
      <c r="A35" s="211" t="s">
        <v>2481</v>
      </c>
      <c r="B35" s="64">
        <v>28.39</v>
      </c>
      <c r="C35" s="64">
        <v>47.94</v>
      </c>
      <c r="D35" s="64">
        <v>46.43</v>
      </c>
      <c r="E35" s="64">
        <v>6.99</v>
      </c>
      <c r="F35" s="64">
        <v>4.33</v>
      </c>
      <c r="G35" s="209" t="s">
        <v>42</v>
      </c>
      <c r="H35" s="64">
        <v>76.38</v>
      </c>
      <c r="I35" s="64">
        <v>7</v>
      </c>
      <c r="J35" s="64">
        <v>1.0900000000000001</v>
      </c>
      <c r="K35" s="64">
        <v>67.180000000000007</v>
      </c>
      <c r="L35" s="64">
        <v>11.75</v>
      </c>
      <c r="M35" s="64">
        <v>80.95</v>
      </c>
      <c r="N35" s="64">
        <v>44.4</v>
      </c>
      <c r="O35" s="64">
        <v>0</v>
      </c>
      <c r="P35" s="64">
        <v>1.27</v>
      </c>
      <c r="Q35" s="64">
        <v>10.8</v>
      </c>
      <c r="R35" s="196"/>
      <c r="S35" s="196"/>
      <c r="T35" s="196"/>
      <c r="U35" s="196"/>
    </row>
    <row r="36" spans="1:21" s="12" customFormat="1" x14ac:dyDescent="0.25">
      <c r="A36" s="211" t="s">
        <v>2482</v>
      </c>
      <c r="B36" s="64">
        <v>27.73</v>
      </c>
      <c r="C36" s="64">
        <v>48.13</v>
      </c>
      <c r="D36" s="64">
        <v>46</v>
      </c>
      <c r="E36" s="64">
        <v>7.38</v>
      </c>
      <c r="F36" s="64">
        <v>4.28</v>
      </c>
      <c r="G36" s="209" t="s">
        <v>42</v>
      </c>
      <c r="H36" s="64">
        <v>76.38</v>
      </c>
      <c r="I36" s="64">
        <v>6.92</v>
      </c>
      <c r="J36" s="64">
        <v>0.45</v>
      </c>
      <c r="K36" s="64">
        <v>25.96</v>
      </c>
      <c r="L36" s="64">
        <v>11.87</v>
      </c>
      <c r="M36" s="64">
        <v>81.760000000000005</v>
      </c>
      <c r="N36" s="64">
        <v>56.1</v>
      </c>
      <c r="O36" s="64">
        <v>0</v>
      </c>
      <c r="P36" s="64">
        <v>1.27</v>
      </c>
      <c r="Q36" s="64">
        <v>10.74</v>
      </c>
      <c r="R36" s="196"/>
      <c r="S36" s="196"/>
      <c r="T36" s="196"/>
      <c r="U36" s="196"/>
    </row>
    <row r="37" spans="1:21" s="12" customFormat="1" x14ac:dyDescent="0.25">
      <c r="A37" s="211" t="s">
        <v>2483</v>
      </c>
      <c r="B37" s="64">
        <v>28.45</v>
      </c>
      <c r="C37" s="64">
        <v>48.82</v>
      </c>
      <c r="D37" s="64">
        <v>46.95</v>
      </c>
      <c r="E37" s="64">
        <v>7.28</v>
      </c>
      <c r="F37" s="64">
        <v>4.2699999999999996</v>
      </c>
      <c r="G37" s="209" t="s">
        <v>42</v>
      </c>
      <c r="H37" s="64">
        <v>75.17</v>
      </c>
      <c r="I37" s="64">
        <v>6.86</v>
      </c>
      <c r="J37" s="64">
        <v>0.77</v>
      </c>
      <c r="K37" s="64">
        <v>30.75</v>
      </c>
      <c r="L37" s="64">
        <v>12.26</v>
      </c>
      <c r="M37" s="64">
        <v>79.89</v>
      </c>
      <c r="N37" s="64">
        <v>75.3</v>
      </c>
      <c r="O37" s="64">
        <v>0</v>
      </c>
      <c r="P37" s="64">
        <v>1.3</v>
      </c>
      <c r="Q37" s="64">
        <v>10.73</v>
      </c>
      <c r="R37" s="196"/>
      <c r="S37" s="196"/>
      <c r="T37" s="196"/>
      <c r="U37" s="196"/>
    </row>
    <row r="38" spans="1:21" s="12" customFormat="1" x14ac:dyDescent="0.25">
      <c r="A38" s="211" t="s">
        <v>2484</v>
      </c>
      <c r="B38" s="64">
        <v>28.71</v>
      </c>
      <c r="C38" s="64">
        <v>49.21</v>
      </c>
      <c r="D38" s="64">
        <v>47.36</v>
      </c>
      <c r="E38" s="64">
        <v>7.32</v>
      </c>
      <c r="F38" s="64">
        <v>4.54</v>
      </c>
      <c r="G38" s="209" t="s">
        <v>42</v>
      </c>
      <c r="H38" s="64">
        <v>74.930000000000007</v>
      </c>
      <c r="I38" s="64">
        <v>6.8</v>
      </c>
      <c r="J38" s="64">
        <v>1.67</v>
      </c>
      <c r="K38" s="64">
        <v>339.59</v>
      </c>
      <c r="L38" s="64">
        <v>13.04</v>
      </c>
      <c r="M38" s="64">
        <v>75.17</v>
      </c>
      <c r="N38" s="64">
        <v>104.2</v>
      </c>
      <c r="O38" s="64">
        <v>0</v>
      </c>
      <c r="P38" s="64">
        <v>1.36</v>
      </c>
      <c r="Q38" s="64">
        <v>10.75</v>
      </c>
      <c r="R38" s="196"/>
      <c r="S38" s="196"/>
      <c r="T38" s="196"/>
      <c r="U38" s="196"/>
    </row>
    <row r="39" spans="1:21" s="12" customFormat="1" x14ac:dyDescent="0.25">
      <c r="A39" s="211" t="s">
        <v>2485</v>
      </c>
      <c r="B39" s="64">
        <v>28.51</v>
      </c>
      <c r="C39" s="64">
        <v>50.1</v>
      </c>
      <c r="D39" s="64">
        <v>47.66</v>
      </c>
      <c r="E39" s="64">
        <v>7.93</v>
      </c>
      <c r="F39" s="64">
        <v>4.32</v>
      </c>
      <c r="G39" s="209" t="s">
        <v>42</v>
      </c>
      <c r="H39" s="64">
        <v>74.930000000000007</v>
      </c>
      <c r="I39" s="64">
        <v>6.73</v>
      </c>
      <c r="J39" s="64">
        <v>1.0900000000000001</v>
      </c>
      <c r="K39" s="64">
        <v>325.64999999999998</v>
      </c>
      <c r="L39" s="64">
        <v>14.34</v>
      </c>
      <c r="M39" s="64">
        <v>69.75</v>
      </c>
      <c r="N39" s="64">
        <v>163.69999999999999</v>
      </c>
      <c r="O39" s="64">
        <v>0</v>
      </c>
      <c r="P39" s="64">
        <v>1.36</v>
      </c>
      <c r="Q39" s="64">
        <v>10.74</v>
      </c>
      <c r="R39" s="196"/>
      <c r="S39" s="196"/>
      <c r="T39" s="196"/>
      <c r="U39" s="196"/>
    </row>
    <row r="40" spans="1:21" s="12" customFormat="1" x14ac:dyDescent="0.25">
      <c r="A40" s="211" t="s">
        <v>2486</v>
      </c>
      <c r="B40" s="64">
        <v>28.68</v>
      </c>
      <c r="C40" s="64">
        <v>51.2</v>
      </c>
      <c r="D40" s="64">
        <v>48.37</v>
      </c>
      <c r="E40" s="64">
        <v>7.45</v>
      </c>
      <c r="F40" s="64">
        <v>4.1900000000000004</v>
      </c>
      <c r="G40" s="209" t="s">
        <v>42</v>
      </c>
      <c r="H40" s="64">
        <v>74.930000000000007</v>
      </c>
      <c r="I40" s="64">
        <v>6.64</v>
      </c>
      <c r="J40" s="64">
        <v>1.63</v>
      </c>
      <c r="K40" s="64">
        <v>336.96</v>
      </c>
      <c r="L40" s="64">
        <v>16.13</v>
      </c>
      <c r="M40" s="64">
        <v>62.76</v>
      </c>
      <c r="N40" s="64">
        <v>207.2</v>
      </c>
      <c r="O40" s="64">
        <v>0</v>
      </c>
      <c r="P40" s="64">
        <v>1.36</v>
      </c>
      <c r="Q40" s="64">
        <v>10.73</v>
      </c>
      <c r="R40" s="196"/>
      <c r="S40" s="196"/>
      <c r="T40" s="196"/>
      <c r="U40" s="196"/>
    </row>
    <row r="41" spans="1:21" s="12" customFormat="1" x14ac:dyDescent="0.25">
      <c r="A41" s="211" t="s">
        <v>2487</v>
      </c>
      <c r="B41" s="64">
        <v>29.03</v>
      </c>
      <c r="C41" s="64">
        <v>52.58</v>
      </c>
      <c r="D41" s="64">
        <v>49.38</v>
      </c>
      <c r="E41" s="64">
        <v>7.91</v>
      </c>
      <c r="F41" s="64">
        <v>4.1900000000000004</v>
      </c>
      <c r="G41" s="209" t="s">
        <v>42</v>
      </c>
      <c r="H41" s="64">
        <v>74.59</v>
      </c>
      <c r="I41" s="64">
        <v>6.57</v>
      </c>
      <c r="J41" s="64">
        <v>2.02</v>
      </c>
      <c r="K41" s="64">
        <v>339.28</v>
      </c>
      <c r="L41" s="64">
        <v>18.07</v>
      </c>
      <c r="M41" s="64">
        <v>54.78</v>
      </c>
      <c r="N41" s="64">
        <v>242.7</v>
      </c>
      <c r="O41" s="64">
        <v>0</v>
      </c>
      <c r="P41" s="64">
        <v>1.35</v>
      </c>
      <c r="Q41" s="64">
        <v>10.75</v>
      </c>
      <c r="R41" s="196"/>
      <c r="S41" s="196"/>
      <c r="T41" s="196"/>
      <c r="U41" s="196"/>
    </row>
    <row r="42" spans="1:21" s="12" customFormat="1" x14ac:dyDescent="0.25">
      <c r="A42" s="211" t="s">
        <v>2488</v>
      </c>
      <c r="B42" s="64">
        <v>28.84</v>
      </c>
      <c r="C42" s="64">
        <v>53.76</v>
      </c>
      <c r="D42" s="64">
        <v>49.84</v>
      </c>
      <c r="E42" s="64">
        <v>8</v>
      </c>
      <c r="F42" s="64">
        <v>4.1500000000000004</v>
      </c>
      <c r="G42" s="209" t="s">
        <v>42</v>
      </c>
      <c r="H42" s="64">
        <v>74.47</v>
      </c>
      <c r="I42" s="64">
        <v>6.48</v>
      </c>
      <c r="J42" s="64">
        <v>1.45</v>
      </c>
      <c r="K42" s="64">
        <v>354.37</v>
      </c>
      <c r="L42" s="64">
        <v>19.420000000000002</v>
      </c>
      <c r="M42" s="64">
        <v>51.34</v>
      </c>
      <c r="N42" s="64">
        <v>281.2</v>
      </c>
      <c r="O42" s="64">
        <v>0</v>
      </c>
      <c r="P42" s="64">
        <v>1.35</v>
      </c>
      <c r="Q42" s="64">
        <v>10.76</v>
      </c>
      <c r="R42" s="196"/>
      <c r="S42" s="196"/>
      <c r="T42" s="196"/>
      <c r="U42" s="196"/>
    </row>
    <row r="43" spans="1:21" s="12" customFormat="1" x14ac:dyDescent="0.25">
      <c r="A43" s="211" t="s">
        <v>2489</v>
      </c>
      <c r="B43" s="64">
        <v>28.39</v>
      </c>
      <c r="C43" s="64">
        <v>53.37</v>
      </c>
      <c r="D43" s="64">
        <v>49.27</v>
      </c>
      <c r="E43" s="64">
        <v>7.92</v>
      </c>
      <c r="F43" s="64">
        <v>4.25</v>
      </c>
      <c r="G43" s="209" t="s">
        <v>42</v>
      </c>
      <c r="H43" s="64">
        <v>74.47</v>
      </c>
      <c r="I43" s="64">
        <v>6.41</v>
      </c>
      <c r="J43" s="64">
        <v>1.36</v>
      </c>
      <c r="K43" s="64">
        <v>117.07</v>
      </c>
      <c r="L43" s="64">
        <v>17.73</v>
      </c>
      <c r="M43" s="64">
        <v>57.16</v>
      </c>
      <c r="N43" s="64">
        <v>321.2</v>
      </c>
      <c r="O43" s="64">
        <v>0</v>
      </c>
      <c r="P43" s="64">
        <v>1.34</v>
      </c>
      <c r="Q43" s="64">
        <v>10.7</v>
      </c>
      <c r="R43" s="196"/>
      <c r="S43" s="196"/>
      <c r="T43" s="196"/>
      <c r="U43" s="196"/>
    </row>
    <row r="44" spans="1:21" s="12" customFormat="1" x14ac:dyDescent="0.25">
      <c r="A44" s="211" t="s">
        <v>2490</v>
      </c>
      <c r="B44" s="64">
        <v>27.09</v>
      </c>
      <c r="C44" s="64">
        <v>52.65</v>
      </c>
      <c r="D44" s="64">
        <v>47.85</v>
      </c>
      <c r="E44" s="64">
        <v>7.1</v>
      </c>
      <c r="F44" s="64">
        <v>4.3499999999999996</v>
      </c>
      <c r="G44" s="209" t="s">
        <v>42</v>
      </c>
      <c r="H44" s="64">
        <v>74.47</v>
      </c>
      <c r="I44" s="64">
        <v>6.36</v>
      </c>
      <c r="J44" s="64">
        <v>1.49</v>
      </c>
      <c r="K44" s="64">
        <v>118.99</v>
      </c>
      <c r="L44" s="64">
        <v>18.78</v>
      </c>
      <c r="M44" s="64">
        <v>53.29</v>
      </c>
      <c r="N44" s="64">
        <v>358.5</v>
      </c>
      <c r="O44" s="64">
        <v>0</v>
      </c>
      <c r="P44" s="64">
        <v>1.32</v>
      </c>
      <c r="Q44" s="64">
        <v>10.65</v>
      </c>
      <c r="R44" s="196"/>
      <c r="S44" s="196"/>
      <c r="T44" s="196"/>
      <c r="U44" s="196"/>
    </row>
    <row r="45" spans="1:21" s="12" customFormat="1" x14ac:dyDescent="0.25">
      <c r="A45" s="211" t="s">
        <v>2491</v>
      </c>
      <c r="B45" s="64">
        <v>25.68</v>
      </c>
      <c r="C45" s="64">
        <v>52.65</v>
      </c>
      <c r="D45" s="64">
        <v>46.73</v>
      </c>
      <c r="E45" s="64">
        <v>6.88</v>
      </c>
      <c r="F45" s="64">
        <v>4.07</v>
      </c>
      <c r="G45" s="209" t="s">
        <v>42</v>
      </c>
      <c r="H45" s="64">
        <v>71.48</v>
      </c>
      <c r="I45" s="64">
        <v>6.49</v>
      </c>
      <c r="J45" s="64">
        <v>2.33</v>
      </c>
      <c r="K45" s="64">
        <v>117.83</v>
      </c>
      <c r="L45" s="64">
        <v>17.93</v>
      </c>
      <c r="M45" s="64">
        <v>55.35</v>
      </c>
      <c r="N45" s="64">
        <v>396.8</v>
      </c>
      <c r="O45" s="64">
        <v>0</v>
      </c>
      <c r="P45" s="64">
        <v>1.29</v>
      </c>
      <c r="Q45" s="64">
        <v>10.68</v>
      </c>
      <c r="R45" s="196"/>
      <c r="S45" s="196"/>
      <c r="T45" s="196"/>
      <c r="U45" s="196"/>
    </row>
    <row r="46" spans="1:21" s="12" customFormat="1" x14ac:dyDescent="0.25">
      <c r="A46" s="211" t="s">
        <v>2492</v>
      </c>
      <c r="B46" s="64">
        <v>24.52</v>
      </c>
      <c r="C46" s="64">
        <v>52.6</v>
      </c>
      <c r="D46" s="64">
        <v>45.76</v>
      </c>
      <c r="E46" s="64">
        <v>7.14</v>
      </c>
      <c r="F46" s="64">
        <v>4.18</v>
      </c>
      <c r="G46" s="209" t="s">
        <v>42</v>
      </c>
      <c r="H46" s="64">
        <v>70.819999999999993</v>
      </c>
      <c r="I46" s="64">
        <v>6.65</v>
      </c>
      <c r="J46" s="64">
        <v>0.82</v>
      </c>
      <c r="K46" s="64">
        <v>94.33</v>
      </c>
      <c r="L46" s="64">
        <v>19.760000000000002</v>
      </c>
      <c r="M46" s="64">
        <v>50.22</v>
      </c>
      <c r="N46" s="64">
        <v>423.1</v>
      </c>
      <c r="O46" s="64">
        <v>0</v>
      </c>
      <c r="P46" s="64">
        <v>1.26</v>
      </c>
      <c r="Q46" s="64">
        <v>10.69</v>
      </c>
      <c r="R46" s="196"/>
      <c r="S46" s="196"/>
      <c r="T46" s="196"/>
      <c r="U46" s="196"/>
    </row>
    <row r="47" spans="1:21" s="12" customFormat="1" x14ac:dyDescent="0.25">
      <c r="A47" s="211" t="s">
        <v>2493</v>
      </c>
      <c r="B47" s="64">
        <v>23.71</v>
      </c>
      <c r="C47" s="64">
        <v>52.54</v>
      </c>
      <c r="D47" s="64">
        <v>45.09</v>
      </c>
      <c r="E47" s="64">
        <v>6.84</v>
      </c>
      <c r="F47" s="64">
        <v>4</v>
      </c>
      <c r="G47" s="209" t="s">
        <v>42</v>
      </c>
      <c r="H47" s="64">
        <v>70.819999999999993</v>
      </c>
      <c r="I47" s="64">
        <v>6.89</v>
      </c>
      <c r="J47" s="64">
        <v>0.74</v>
      </c>
      <c r="K47" s="64">
        <v>108.83</v>
      </c>
      <c r="L47" s="64">
        <v>19.79</v>
      </c>
      <c r="M47" s="64">
        <v>50.8</v>
      </c>
      <c r="N47" s="64">
        <v>446.8</v>
      </c>
      <c r="O47" s="64">
        <v>0</v>
      </c>
      <c r="P47" s="64">
        <v>1.24</v>
      </c>
      <c r="Q47" s="64">
        <v>10.67</v>
      </c>
      <c r="R47" s="196"/>
      <c r="S47" s="196"/>
      <c r="T47" s="196"/>
      <c r="U47" s="196"/>
    </row>
    <row r="48" spans="1:21" s="12" customFormat="1" x14ac:dyDescent="0.25">
      <c r="A48" s="211" t="s">
        <v>2494</v>
      </c>
      <c r="B48" s="64">
        <v>22.69</v>
      </c>
      <c r="C48" s="64">
        <v>52.71</v>
      </c>
      <c r="D48" s="64">
        <v>44.36</v>
      </c>
      <c r="E48" s="64">
        <v>6.78</v>
      </c>
      <c r="F48" s="64">
        <v>3.92</v>
      </c>
      <c r="G48" s="209" t="s">
        <v>42</v>
      </c>
      <c r="H48" s="64">
        <v>70.819999999999993</v>
      </c>
      <c r="I48" s="64">
        <v>7.06</v>
      </c>
      <c r="J48" s="64">
        <v>1.37</v>
      </c>
      <c r="K48" s="64">
        <v>325.77999999999997</v>
      </c>
      <c r="L48" s="64">
        <v>22.72</v>
      </c>
      <c r="M48" s="64">
        <v>42.34</v>
      </c>
      <c r="N48" s="64">
        <v>469.7</v>
      </c>
      <c r="O48" s="64">
        <v>0</v>
      </c>
      <c r="P48" s="64">
        <v>1.21</v>
      </c>
      <c r="Q48" s="64">
        <v>10.71</v>
      </c>
      <c r="R48" s="196"/>
      <c r="S48" s="196"/>
      <c r="T48" s="196"/>
      <c r="U48" s="196"/>
    </row>
    <row r="49" spans="1:21" s="12" customFormat="1" x14ac:dyDescent="0.25">
      <c r="A49" s="211" t="s">
        <v>2495</v>
      </c>
      <c r="B49" s="64">
        <v>21.68</v>
      </c>
      <c r="C49" s="64">
        <v>53</v>
      </c>
      <c r="D49" s="64">
        <v>43.7</v>
      </c>
      <c r="E49" s="64">
        <v>6.71</v>
      </c>
      <c r="F49" s="64">
        <v>3.81</v>
      </c>
      <c r="G49" s="209" t="s">
        <v>42</v>
      </c>
      <c r="H49" s="64">
        <v>64.92</v>
      </c>
      <c r="I49" s="64">
        <v>7.1</v>
      </c>
      <c r="J49" s="64">
        <v>1.51</v>
      </c>
      <c r="K49" s="64">
        <v>118.54</v>
      </c>
      <c r="L49" s="64">
        <v>21.93</v>
      </c>
      <c r="M49" s="64">
        <v>45.26</v>
      </c>
      <c r="N49" s="64">
        <v>491.6</v>
      </c>
      <c r="O49" s="64">
        <v>0</v>
      </c>
      <c r="P49" s="64">
        <v>1.2</v>
      </c>
      <c r="Q49" s="64">
        <v>10.71</v>
      </c>
      <c r="R49" s="196"/>
      <c r="S49" s="196"/>
      <c r="T49" s="196"/>
      <c r="U49" s="196"/>
    </row>
    <row r="50" spans="1:21" s="12" customFormat="1" x14ac:dyDescent="0.25">
      <c r="A50" s="211" t="s">
        <v>2496</v>
      </c>
      <c r="B50" s="64">
        <v>20.399999999999999</v>
      </c>
      <c r="C50" s="64">
        <v>52.69</v>
      </c>
      <c r="D50" s="64">
        <v>42.51</v>
      </c>
      <c r="E50" s="64">
        <v>6.64</v>
      </c>
      <c r="F50" s="64">
        <v>3.75</v>
      </c>
      <c r="G50" s="209" t="s">
        <v>42</v>
      </c>
      <c r="H50" s="64">
        <v>63.74</v>
      </c>
      <c r="I50" s="64">
        <v>7.01</v>
      </c>
      <c r="J50" s="64">
        <v>0.62</v>
      </c>
      <c r="K50" s="64">
        <v>69.28</v>
      </c>
      <c r="L50" s="64">
        <v>22.2</v>
      </c>
      <c r="M50" s="64">
        <v>44.68</v>
      </c>
      <c r="N50" s="64">
        <v>523.5</v>
      </c>
      <c r="O50" s="64">
        <v>0</v>
      </c>
      <c r="P50" s="64">
        <v>1.17</v>
      </c>
      <c r="Q50" s="64">
        <v>10.69</v>
      </c>
      <c r="R50" s="196"/>
      <c r="S50" s="196"/>
      <c r="T50" s="196"/>
      <c r="U50" s="196"/>
    </row>
    <row r="51" spans="1:21" s="12" customFormat="1" x14ac:dyDescent="0.25">
      <c r="A51" s="211" t="s">
        <v>2497</v>
      </c>
      <c r="B51" s="64">
        <v>18.87</v>
      </c>
      <c r="C51" s="64">
        <v>53.72</v>
      </c>
      <c r="D51" s="64">
        <v>41.83</v>
      </c>
      <c r="E51" s="64">
        <v>6.49</v>
      </c>
      <c r="F51" s="64">
        <v>3.86</v>
      </c>
      <c r="G51" s="209" t="s">
        <v>42</v>
      </c>
      <c r="H51" s="64">
        <v>63.74</v>
      </c>
      <c r="I51" s="64">
        <v>7.25</v>
      </c>
      <c r="J51" s="64">
        <v>1.65</v>
      </c>
      <c r="K51" s="64">
        <v>345.11</v>
      </c>
      <c r="L51" s="64">
        <v>23.37</v>
      </c>
      <c r="M51" s="64">
        <v>40.5</v>
      </c>
      <c r="N51" s="64">
        <v>550.4</v>
      </c>
      <c r="O51" s="64">
        <v>0</v>
      </c>
      <c r="P51" s="64">
        <v>1.1499999999999999</v>
      </c>
      <c r="Q51" s="64">
        <v>10.73</v>
      </c>
      <c r="R51" s="196"/>
      <c r="S51" s="196"/>
      <c r="T51" s="196"/>
      <c r="U51" s="196"/>
    </row>
    <row r="52" spans="1:21" s="12" customFormat="1" x14ac:dyDescent="0.25">
      <c r="A52" s="211" t="s">
        <v>2498</v>
      </c>
      <c r="B52" s="64">
        <v>16.73</v>
      </c>
      <c r="C52" s="64">
        <v>55.3</v>
      </c>
      <c r="D52" s="64">
        <v>40.93</v>
      </c>
      <c r="E52" s="64">
        <v>7.15</v>
      </c>
      <c r="F52" s="64">
        <v>4.1900000000000004</v>
      </c>
      <c r="G52" s="209" t="s">
        <v>42</v>
      </c>
      <c r="H52" s="64">
        <v>63.74</v>
      </c>
      <c r="I52" s="64">
        <v>7.37</v>
      </c>
      <c r="J52" s="64">
        <v>0.85</v>
      </c>
      <c r="K52" s="64">
        <v>63.1</v>
      </c>
      <c r="L52" s="64">
        <v>23.37</v>
      </c>
      <c r="M52" s="64">
        <v>39.46</v>
      </c>
      <c r="N52" s="64">
        <v>569</v>
      </c>
      <c r="O52" s="64">
        <v>0</v>
      </c>
      <c r="P52" s="64">
        <v>1.1299999999999999</v>
      </c>
      <c r="Q52" s="64">
        <v>10.67</v>
      </c>
      <c r="R52" s="196"/>
      <c r="S52" s="196"/>
      <c r="T52" s="196"/>
      <c r="U52" s="196"/>
    </row>
    <row r="53" spans="1:21" s="12" customFormat="1" x14ac:dyDescent="0.25">
      <c r="A53" s="211" t="s">
        <v>2499</v>
      </c>
      <c r="B53" s="64">
        <v>13.9</v>
      </c>
      <c r="C53" s="64">
        <v>56.61</v>
      </c>
      <c r="D53" s="64">
        <v>39.35</v>
      </c>
      <c r="E53" s="64">
        <v>6.52</v>
      </c>
      <c r="F53" s="64">
        <v>4.7300000000000004</v>
      </c>
      <c r="G53" s="209" t="s">
        <v>42</v>
      </c>
      <c r="H53" s="64">
        <v>59.78</v>
      </c>
      <c r="I53" s="64">
        <v>7.34</v>
      </c>
      <c r="J53" s="64">
        <v>2.93</v>
      </c>
      <c r="K53" s="64">
        <v>117.89</v>
      </c>
      <c r="L53" s="64">
        <v>21.06</v>
      </c>
      <c r="M53" s="64">
        <v>43.27</v>
      </c>
      <c r="N53" s="64">
        <v>585</v>
      </c>
      <c r="O53" s="64">
        <v>0</v>
      </c>
      <c r="P53" s="64">
        <v>1.1000000000000001</v>
      </c>
      <c r="Q53" s="64">
        <v>10.65</v>
      </c>
      <c r="R53" s="196"/>
      <c r="S53" s="196"/>
      <c r="T53" s="196"/>
      <c r="U53" s="196"/>
    </row>
    <row r="54" spans="1:21" s="12" customFormat="1" x14ac:dyDescent="0.25">
      <c r="A54" s="211" t="s">
        <v>2500</v>
      </c>
      <c r="B54" s="64">
        <v>11.17</v>
      </c>
      <c r="C54" s="64">
        <v>56.99</v>
      </c>
      <c r="D54" s="64">
        <v>37.35</v>
      </c>
      <c r="E54" s="64">
        <v>6.92</v>
      </c>
      <c r="F54" s="64">
        <v>4.5199999999999996</v>
      </c>
      <c r="G54" s="209" t="s">
        <v>42</v>
      </c>
      <c r="H54" s="64">
        <v>58.92</v>
      </c>
      <c r="I54" s="64">
        <v>7.24</v>
      </c>
      <c r="J54" s="64">
        <v>1.27</v>
      </c>
      <c r="K54" s="64">
        <v>98.32</v>
      </c>
      <c r="L54" s="64">
        <v>21.88</v>
      </c>
      <c r="M54" s="64">
        <v>40.79</v>
      </c>
      <c r="N54" s="64">
        <v>580</v>
      </c>
      <c r="O54" s="64">
        <v>0</v>
      </c>
      <c r="P54" s="64">
        <v>1.05</v>
      </c>
      <c r="Q54" s="64">
        <v>10.59</v>
      </c>
      <c r="R54" s="196"/>
      <c r="S54" s="196"/>
      <c r="T54" s="196"/>
      <c r="U54" s="196"/>
    </row>
    <row r="55" spans="1:21" s="12" customFormat="1" x14ac:dyDescent="0.25">
      <c r="A55" s="211" t="s">
        <v>2501</v>
      </c>
      <c r="B55" s="64">
        <v>9.0399999999999991</v>
      </c>
      <c r="C55" s="64">
        <v>57.46</v>
      </c>
      <c r="D55" s="64">
        <v>35.9</v>
      </c>
      <c r="E55" s="64">
        <v>6.44</v>
      </c>
      <c r="F55" s="64">
        <v>4.5999999999999996</v>
      </c>
      <c r="G55" s="209" t="s">
        <v>42</v>
      </c>
      <c r="H55" s="64">
        <v>58.92</v>
      </c>
      <c r="I55" s="64">
        <v>7.47</v>
      </c>
      <c r="J55" s="64">
        <v>0.83</v>
      </c>
      <c r="K55" s="64">
        <v>51.27</v>
      </c>
      <c r="L55" s="64">
        <v>22.36</v>
      </c>
      <c r="M55" s="64">
        <v>40.44</v>
      </c>
      <c r="N55" s="64">
        <v>558.9</v>
      </c>
      <c r="O55" s="64">
        <v>0</v>
      </c>
      <c r="P55" s="64">
        <v>1.01</v>
      </c>
      <c r="Q55" s="64">
        <v>10.57</v>
      </c>
      <c r="R55" s="196"/>
      <c r="S55" s="196"/>
      <c r="T55" s="196"/>
      <c r="U55" s="196"/>
    </row>
    <row r="56" spans="1:21" s="12" customFormat="1" x14ac:dyDescent="0.25">
      <c r="A56" s="211" t="s">
        <v>2502</v>
      </c>
      <c r="B56" s="64">
        <v>7.6</v>
      </c>
      <c r="C56" s="64">
        <v>58.53</v>
      </c>
      <c r="D56" s="64">
        <v>35.299999999999997</v>
      </c>
      <c r="E56" s="64">
        <v>6.3</v>
      </c>
      <c r="F56" s="64">
        <v>4.67</v>
      </c>
      <c r="G56" s="209" t="s">
        <v>42</v>
      </c>
      <c r="H56" s="64">
        <v>58.92</v>
      </c>
      <c r="I56" s="64">
        <v>7.7</v>
      </c>
      <c r="J56" s="64">
        <v>2.66</v>
      </c>
      <c r="K56" s="64">
        <v>339.82</v>
      </c>
      <c r="L56" s="64">
        <v>25.77</v>
      </c>
      <c r="M56" s="64">
        <v>31.85</v>
      </c>
      <c r="N56" s="64">
        <v>541.4</v>
      </c>
      <c r="O56" s="64">
        <v>0</v>
      </c>
      <c r="P56" s="64">
        <v>0.99</v>
      </c>
      <c r="Q56" s="64">
        <v>10.56</v>
      </c>
      <c r="R56" s="196"/>
      <c r="S56" s="196"/>
      <c r="T56" s="196"/>
      <c r="U56" s="196"/>
    </row>
    <row r="57" spans="1:21" s="12" customFormat="1" x14ac:dyDescent="0.25">
      <c r="A57" s="211" t="s">
        <v>2503</v>
      </c>
      <c r="B57" s="64">
        <v>6.54</v>
      </c>
      <c r="C57" s="64">
        <v>59.76</v>
      </c>
      <c r="D57" s="64">
        <v>35.090000000000003</v>
      </c>
      <c r="E57" s="64">
        <v>6.9</v>
      </c>
      <c r="F57" s="64">
        <v>4.68</v>
      </c>
      <c r="G57" s="209" t="s">
        <v>42</v>
      </c>
      <c r="H57" s="64">
        <v>55.91</v>
      </c>
      <c r="I57" s="64">
        <v>7.81</v>
      </c>
      <c r="J57" s="64">
        <v>0.35</v>
      </c>
      <c r="K57" s="64">
        <v>77.16</v>
      </c>
      <c r="L57" s="64">
        <v>24.93</v>
      </c>
      <c r="M57" s="64">
        <v>34.44</v>
      </c>
      <c r="N57" s="64">
        <v>524.79999999999995</v>
      </c>
      <c r="O57" s="64">
        <v>0</v>
      </c>
      <c r="P57" s="64">
        <v>0.98</v>
      </c>
      <c r="Q57" s="64">
        <v>10.56</v>
      </c>
      <c r="R57" s="196"/>
      <c r="S57" s="196"/>
      <c r="T57" s="196"/>
      <c r="U57" s="196"/>
    </row>
    <row r="58" spans="1:21" s="12" customFormat="1" x14ac:dyDescent="0.25">
      <c r="A58" s="211" t="s">
        <v>2504</v>
      </c>
      <c r="B58" s="64">
        <v>5.54</v>
      </c>
      <c r="C58" s="64">
        <v>60.31</v>
      </c>
      <c r="D58" s="64">
        <v>34.57</v>
      </c>
      <c r="E58" s="64">
        <v>7.17</v>
      </c>
      <c r="F58" s="64">
        <v>5.33</v>
      </c>
      <c r="G58" s="209" t="s">
        <v>42</v>
      </c>
      <c r="H58" s="64">
        <v>54.78</v>
      </c>
      <c r="I58" s="64">
        <v>7.63</v>
      </c>
      <c r="J58" s="64">
        <v>1.76</v>
      </c>
      <c r="K58" s="64">
        <v>335.33</v>
      </c>
      <c r="L58" s="64">
        <v>24.65</v>
      </c>
      <c r="M58" s="64">
        <v>34.729999999999997</v>
      </c>
      <c r="N58" s="64">
        <v>470.8</v>
      </c>
      <c r="O58" s="64">
        <v>0</v>
      </c>
      <c r="P58" s="64">
        <v>0.94</v>
      </c>
      <c r="Q58" s="64">
        <v>10.55</v>
      </c>
      <c r="R58" s="196"/>
      <c r="S58" s="196"/>
      <c r="T58" s="196"/>
      <c r="U58" s="196"/>
    </row>
    <row r="59" spans="1:21" s="12" customFormat="1" x14ac:dyDescent="0.25">
      <c r="A59" s="211" t="s">
        <v>2505</v>
      </c>
      <c r="B59" s="64">
        <v>4.78</v>
      </c>
      <c r="C59" s="64">
        <v>60.63</v>
      </c>
      <c r="D59" s="64">
        <v>34.130000000000003</v>
      </c>
      <c r="E59" s="64">
        <v>6.91</v>
      </c>
      <c r="F59" s="64">
        <v>5.19</v>
      </c>
      <c r="G59" s="209" t="s">
        <v>42</v>
      </c>
      <c r="H59" s="64">
        <v>54.78</v>
      </c>
      <c r="I59" s="64">
        <v>7.29</v>
      </c>
      <c r="J59" s="64">
        <v>1.19</v>
      </c>
      <c r="K59" s="64">
        <v>348.31</v>
      </c>
      <c r="L59" s="64">
        <v>24.96</v>
      </c>
      <c r="M59" s="64">
        <v>34.36</v>
      </c>
      <c r="N59" s="64">
        <v>480.2</v>
      </c>
      <c r="O59" s="64">
        <v>0</v>
      </c>
      <c r="P59" s="64">
        <v>0.93</v>
      </c>
      <c r="Q59" s="64">
        <v>10.54</v>
      </c>
      <c r="R59" s="196"/>
      <c r="S59" s="196"/>
      <c r="T59" s="196"/>
      <c r="U59" s="196"/>
    </row>
    <row r="60" spans="1:21" s="12" customFormat="1" x14ac:dyDescent="0.25">
      <c r="A60" s="211" t="s">
        <v>2506</v>
      </c>
      <c r="B60" s="64">
        <v>4.2699999999999996</v>
      </c>
      <c r="C60" s="64">
        <v>58.57</v>
      </c>
      <c r="D60" s="64">
        <v>32.65</v>
      </c>
      <c r="E60" s="64">
        <v>6.91</v>
      </c>
      <c r="F60" s="64">
        <v>4.93</v>
      </c>
      <c r="G60" s="209" t="s">
        <v>42</v>
      </c>
      <c r="H60" s="64">
        <v>54.78</v>
      </c>
      <c r="I60" s="64">
        <v>7.18</v>
      </c>
      <c r="J60" s="64">
        <v>1.48</v>
      </c>
      <c r="K60" s="64">
        <v>125.19</v>
      </c>
      <c r="L60" s="64">
        <v>23.32</v>
      </c>
      <c r="M60" s="64">
        <v>36.799999999999997</v>
      </c>
      <c r="N60" s="64">
        <v>431.3</v>
      </c>
      <c r="O60" s="64">
        <v>0</v>
      </c>
      <c r="P60" s="64">
        <v>0.84</v>
      </c>
      <c r="Q60" s="64">
        <v>10.46</v>
      </c>
      <c r="R60" s="196"/>
      <c r="S60" s="196"/>
      <c r="T60" s="196"/>
      <c r="U60" s="196"/>
    </row>
    <row r="61" spans="1:21" s="12" customFormat="1" x14ac:dyDescent="0.25">
      <c r="A61" s="211" t="s">
        <v>2507</v>
      </c>
      <c r="B61" s="64">
        <v>3.98</v>
      </c>
      <c r="C61" s="64">
        <v>56.79</v>
      </c>
      <c r="D61" s="64">
        <v>31.49</v>
      </c>
      <c r="E61" s="64">
        <v>6.37</v>
      </c>
      <c r="F61" s="64">
        <v>6.43</v>
      </c>
      <c r="G61" s="209" t="s">
        <v>42</v>
      </c>
      <c r="H61" s="64">
        <v>48.56</v>
      </c>
      <c r="I61" s="64">
        <v>6.65</v>
      </c>
      <c r="J61" s="64">
        <v>0.42</v>
      </c>
      <c r="K61" s="64">
        <v>18.59</v>
      </c>
      <c r="L61" s="64">
        <v>23.59</v>
      </c>
      <c r="M61" s="64">
        <v>36.6</v>
      </c>
      <c r="N61" s="64">
        <v>408.8</v>
      </c>
      <c r="O61" s="64">
        <v>0</v>
      </c>
      <c r="P61" s="64">
        <v>0.9</v>
      </c>
      <c r="Q61" s="64">
        <v>10.42</v>
      </c>
      <c r="R61" s="196"/>
      <c r="S61" s="196"/>
      <c r="T61" s="196"/>
      <c r="U61" s="196"/>
    </row>
    <row r="62" spans="1:21" s="12" customFormat="1" x14ac:dyDescent="0.25">
      <c r="A62" s="211" t="s">
        <v>2508</v>
      </c>
      <c r="B62" s="64">
        <v>3.92</v>
      </c>
      <c r="C62" s="64">
        <v>55.15</v>
      </c>
      <c r="D62" s="64">
        <v>30.58</v>
      </c>
      <c r="E62" s="64">
        <v>6</v>
      </c>
      <c r="F62" s="64">
        <v>4.79</v>
      </c>
      <c r="G62" s="209" t="s">
        <v>42</v>
      </c>
      <c r="H62" s="64">
        <v>47.2</v>
      </c>
      <c r="I62" s="64">
        <v>5.94</v>
      </c>
      <c r="J62" s="64">
        <v>1.1000000000000001</v>
      </c>
      <c r="K62" s="64">
        <v>96.13</v>
      </c>
      <c r="L62" s="64">
        <v>22.89</v>
      </c>
      <c r="M62" s="64">
        <v>37.340000000000003</v>
      </c>
      <c r="N62" s="64">
        <v>370.3</v>
      </c>
      <c r="O62" s="64">
        <v>0</v>
      </c>
      <c r="P62" s="64">
        <v>0.93</v>
      </c>
      <c r="Q62" s="64">
        <v>10.42</v>
      </c>
      <c r="R62" s="196"/>
      <c r="S62" s="196"/>
      <c r="T62" s="196"/>
      <c r="U62" s="196"/>
    </row>
    <row r="63" spans="1:21" s="12" customFormat="1" x14ac:dyDescent="0.25">
      <c r="A63" s="211" t="s">
        <v>2509</v>
      </c>
      <c r="B63" s="64">
        <v>3.85</v>
      </c>
      <c r="C63" s="64">
        <v>53.87</v>
      </c>
      <c r="D63" s="64">
        <v>29.86</v>
      </c>
      <c r="E63" s="64">
        <v>6.41</v>
      </c>
      <c r="F63" s="64">
        <v>4.54</v>
      </c>
      <c r="G63" s="209" t="s">
        <v>42</v>
      </c>
      <c r="H63" s="64">
        <v>47.2</v>
      </c>
      <c r="I63" s="64">
        <v>5.45</v>
      </c>
      <c r="J63" s="64">
        <v>0.55000000000000004</v>
      </c>
      <c r="K63" s="64">
        <v>62.13</v>
      </c>
      <c r="L63" s="64">
        <v>23.1</v>
      </c>
      <c r="M63" s="64">
        <v>36.840000000000003</v>
      </c>
      <c r="N63" s="64">
        <v>338.1</v>
      </c>
      <c r="O63" s="64">
        <v>0</v>
      </c>
      <c r="P63" s="64">
        <v>0.91</v>
      </c>
      <c r="Q63" s="64">
        <v>10.44</v>
      </c>
      <c r="R63" s="196"/>
      <c r="S63" s="196"/>
      <c r="T63" s="196"/>
      <c r="U63" s="196"/>
    </row>
    <row r="64" spans="1:21" s="12" customFormat="1" x14ac:dyDescent="0.25">
      <c r="A64" s="211" t="s">
        <v>2510</v>
      </c>
      <c r="B64" s="64">
        <v>3.88</v>
      </c>
      <c r="C64" s="64">
        <v>52.78</v>
      </c>
      <c r="D64" s="64">
        <v>29.31</v>
      </c>
      <c r="E64" s="64">
        <v>6.34</v>
      </c>
      <c r="F64" s="64">
        <v>4.55</v>
      </c>
      <c r="G64" s="209" t="s">
        <v>42</v>
      </c>
      <c r="H64" s="64">
        <v>47.2</v>
      </c>
      <c r="I64" s="64">
        <v>5.24</v>
      </c>
      <c r="J64" s="64">
        <v>1.49</v>
      </c>
      <c r="K64" s="64">
        <v>348.66</v>
      </c>
      <c r="L64" s="64">
        <v>23.47</v>
      </c>
      <c r="M64" s="64">
        <v>35.869999999999997</v>
      </c>
      <c r="N64" s="64">
        <v>291.10000000000002</v>
      </c>
      <c r="O64" s="64">
        <v>0</v>
      </c>
      <c r="P64" s="64">
        <v>0.89</v>
      </c>
      <c r="Q64" s="64">
        <v>10.43</v>
      </c>
      <c r="R64" s="196"/>
      <c r="S64" s="196"/>
      <c r="T64" s="196"/>
      <c r="U64" s="196"/>
    </row>
    <row r="65" spans="1:21" s="12" customFormat="1" x14ac:dyDescent="0.25">
      <c r="A65" s="211" t="s">
        <v>2511</v>
      </c>
      <c r="B65" s="64">
        <v>3.84</v>
      </c>
      <c r="C65" s="64">
        <v>52.47</v>
      </c>
      <c r="D65" s="64">
        <v>29.12</v>
      </c>
      <c r="E65" s="64">
        <v>6.73</v>
      </c>
      <c r="F65" s="64">
        <v>4.8899999999999997</v>
      </c>
      <c r="G65" s="209" t="s">
        <v>42</v>
      </c>
      <c r="H65" s="64">
        <v>46.6</v>
      </c>
      <c r="I65" s="64">
        <v>5.18</v>
      </c>
      <c r="J65" s="64">
        <v>1.69</v>
      </c>
      <c r="K65" s="64">
        <v>333.09</v>
      </c>
      <c r="L65" s="64">
        <v>23.99</v>
      </c>
      <c r="M65" s="64">
        <v>31.9</v>
      </c>
      <c r="N65" s="64">
        <v>186.4</v>
      </c>
      <c r="O65" s="64">
        <v>0</v>
      </c>
      <c r="P65" s="64">
        <v>0.91</v>
      </c>
      <c r="Q65" s="64">
        <v>10.43</v>
      </c>
      <c r="R65" s="196"/>
      <c r="S65" s="196"/>
      <c r="T65" s="196"/>
      <c r="U65" s="196"/>
    </row>
    <row r="66" spans="1:21" s="12" customFormat="1" x14ac:dyDescent="0.25">
      <c r="A66" s="211" t="s">
        <v>2512</v>
      </c>
      <c r="B66" s="64">
        <v>3.84</v>
      </c>
      <c r="C66" s="64">
        <v>52.19</v>
      </c>
      <c r="D66" s="64">
        <v>28.97</v>
      </c>
      <c r="E66" s="64">
        <v>6.64</v>
      </c>
      <c r="F66" s="64">
        <v>5.04</v>
      </c>
      <c r="G66" s="209" t="s">
        <v>42</v>
      </c>
      <c r="H66" s="64">
        <v>46.48</v>
      </c>
      <c r="I66" s="64">
        <v>5.0599999999999996</v>
      </c>
      <c r="J66" s="64">
        <v>2.75</v>
      </c>
      <c r="K66" s="64">
        <v>337.41</v>
      </c>
      <c r="L66" s="64">
        <v>24.1</v>
      </c>
      <c r="M66" s="64">
        <v>31.92</v>
      </c>
      <c r="N66" s="64">
        <v>146.1</v>
      </c>
      <c r="O66" s="64">
        <v>0</v>
      </c>
      <c r="P66" s="64">
        <v>0.91</v>
      </c>
      <c r="Q66" s="64">
        <v>10.46</v>
      </c>
      <c r="R66" s="196"/>
      <c r="S66" s="196"/>
      <c r="T66" s="196"/>
      <c r="U66" s="196"/>
    </row>
    <row r="67" spans="1:21" s="12" customFormat="1" x14ac:dyDescent="0.25">
      <c r="A67" s="211" t="s">
        <v>2513</v>
      </c>
      <c r="B67" s="64">
        <v>3.89</v>
      </c>
      <c r="C67" s="64">
        <v>52.46</v>
      </c>
      <c r="D67" s="64">
        <v>29.16</v>
      </c>
      <c r="E67" s="64">
        <v>7.03</v>
      </c>
      <c r="F67" s="64">
        <v>5.12</v>
      </c>
      <c r="G67" s="209" t="s">
        <v>42</v>
      </c>
      <c r="H67" s="64">
        <v>46.48</v>
      </c>
      <c r="I67" s="64">
        <v>4.96</v>
      </c>
      <c r="J67" s="64">
        <v>2.93</v>
      </c>
      <c r="K67" s="64">
        <v>340.49</v>
      </c>
      <c r="L67" s="64">
        <v>23.91</v>
      </c>
      <c r="M67" s="64">
        <v>32.950000000000003</v>
      </c>
      <c r="N67" s="64">
        <v>149</v>
      </c>
      <c r="O67" s="64">
        <v>0</v>
      </c>
      <c r="P67" s="64">
        <v>0.91</v>
      </c>
      <c r="Q67" s="64">
        <v>10.45</v>
      </c>
      <c r="R67" s="196"/>
      <c r="S67" s="196"/>
      <c r="T67" s="196"/>
      <c r="U67" s="196"/>
    </row>
    <row r="68" spans="1:21" s="12" customFormat="1" x14ac:dyDescent="0.25">
      <c r="A68" s="211" t="s">
        <v>2514</v>
      </c>
      <c r="B68" s="64">
        <v>3.67</v>
      </c>
      <c r="C68" s="64">
        <v>53.02</v>
      </c>
      <c r="D68" s="64">
        <v>29.27</v>
      </c>
      <c r="E68" s="64">
        <v>7.03</v>
      </c>
      <c r="F68" s="64">
        <v>5.34</v>
      </c>
      <c r="G68" s="209" t="s">
        <v>42</v>
      </c>
      <c r="H68" s="64">
        <v>46.48</v>
      </c>
      <c r="I68" s="64">
        <v>5.78</v>
      </c>
      <c r="J68" s="64">
        <v>2.08</v>
      </c>
      <c r="K68" s="64">
        <v>333.79</v>
      </c>
      <c r="L68" s="64">
        <v>23.49</v>
      </c>
      <c r="M68" s="64">
        <v>33.4</v>
      </c>
      <c r="N68" s="64">
        <v>152.6</v>
      </c>
      <c r="O68" s="64">
        <v>0</v>
      </c>
      <c r="P68" s="64">
        <v>0.93</v>
      </c>
      <c r="Q68" s="64">
        <v>10.49</v>
      </c>
      <c r="R68" s="196"/>
      <c r="S68" s="196"/>
      <c r="T68" s="196"/>
      <c r="U68" s="196"/>
    </row>
    <row r="69" spans="1:21" s="12" customFormat="1" x14ac:dyDescent="0.25">
      <c r="A69" s="211" t="s">
        <v>2515</v>
      </c>
      <c r="B69" s="64">
        <v>3.62</v>
      </c>
      <c r="C69" s="64">
        <v>53.83</v>
      </c>
      <c r="D69" s="64">
        <v>29.65</v>
      </c>
      <c r="E69" s="64">
        <v>6.51</v>
      </c>
      <c r="F69" s="64">
        <v>5.29</v>
      </c>
      <c r="G69" s="209" t="s">
        <v>42</v>
      </c>
      <c r="H69" s="64">
        <v>45.38</v>
      </c>
      <c r="I69" s="64">
        <v>6.76</v>
      </c>
      <c r="J69" s="64">
        <v>2.3199999999999998</v>
      </c>
      <c r="K69" s="64">
        <v>340.9</v>
      </c>
      <c r="L69" s="64">
        <v>23.11</v>
      </c>
      <c r="M69" s="64">
        <v>32.450000000000003</v>
      </c>
      <c r="N69" s="64">
        <v>105.3</v>
      </c>
      <c r="O69" s="64">
        <v>0</v>
      </c>
      <c r="P69" s="64">
        <v>0.93</v>
      </c>
      <c r="Q69" s="64">
        <v>10.46</v>
      </c>
      <c r="R69" s="196"/>
      <c r="S69" s="196"/>
      <c r="T69" s="196"/>
      <c r="U69" s="196"/>
    </row>
    <row r="70" spans="1:21" s="12" customFormat="1" x14ac:dyDescent="0.25">
      <c r="A70" s="211" t="s">
        <v>2516</v>
      </c>
      <c r="B70" s="64">
        <v>4.25</v>
      </c>
      <c r="C70" s="64">
        <v>55.15</v>
      </c>
      <c r="D70" s="64">
        <v>30.84</v>
      </c>
      <c r="E70" s="64">
        <v>6.91</v>
      </c>
      <c r="F70" s="64">
        <v>5.0199999999999996</v>
      </c>
      <c r="G70" s="209" t="s">
        <v>42</v>
      </c>
      <c r="H70" s="64">
        <v>45.13</v>
      </c>
      <c r="I70" s="64">
        <v>6.7</v>
      </c>
      <c r="J70" s="64">
        <v>2.5499999999999998</v>
      </c>
      <c r="K70" s="64">
        <v>341.29</v>
      </c>
      <c r="L70" s="64">
        <v>23.01</v>
      </c>
      <c r="M70" s="64">
        <v>31.97</v>
      </c>
      <c r="N70" s="64">
        <v>94.6</v>
      </c>
      <c r="O70" s="64">
        <v>0</v>
      </c>
      <c r="P70" s="64">
        <v>0.94</v>
      </c>
      <c r="Q70" s="64">
        <v>10.43</v>
      </c>
      <c r="R70" s="196"/>
      <c r="S70" s="196"/>
      <c r="T70" s="196"/>
      <c r="U70" s="196"/>
    </row>
    <row r="71" spans="1:21" s="12" customFormat="1" x14ac:dyDescent="0.25">
      <c r="A71" s="211" t="s">
        <v>2517</v>
      </c>
      <c r="B71" s="64">
        <v>4.74</v>
      </c>
      <c r="C71" s="64">
        <v>56.53</v>
      </c>
      <c r="D71" s="64">
        <v>31.96</v>
      </c>
      <c r="E71" s="64">
        <v>6.66</v>
      </c>
      <c r="F71" s="64">
        <v>4.92</v>
      </c>
      <c r="G71" s="209" t="s">
        <v>42</v>
      </c>
      <c r="H71" s="64">
        <v>45.13</v>
      </c>
      <c r="I71" s="64">
        <v>6.57</v>
      </c>
      <c r="J71" s="64">
        <v>2.77</v>
      </c>
      <c r="K71" s="64">
        <v>340.84</v>
      </c>
      <c r="L71" s="64">
        <v>22.64</v>
      </c>
      <c r="M71" s="64">
        <v>33.659999999999997</v>
      </c>
      <c r="N71" s="64">
        <v>86.3</v>
      </c>
      <c r="O71" s="64">
        <v>0</v>
      </c>
      <c r="P71" s="64">
        <v>0.93</v>
      </c>
      <c r="Q71" s="64">
        <v>10.42</v>
      </c>
      <c r="R71" s="196"/>
      <c r="S71" s="196"/>
      <c r="T71" s="196"/>
      <c r="U71" s="196"/>
    </row>
    <row r="72" spans="1:21" s="12" customFormat="1" x14ac:dyDescent="0.25">
      <c r="A72" s="211" t="s">
        <v>2518</v>
      </c>
      <c r="B72" s="64">
        <v>4.79</v>
      </c>
      <c r="C72" s="64">
        <v>57.8</v>
      </c>
      <c r="D72" s="64">
        <v>32.659999999999997</v>
      </c>
      <c r="E72" s="64">
        <v>5.86</v>
      </c>
      <c r="F72" s="64">
        <v>5.07</v>
      </c>
      <c r="G72" s="209" t="s">
        <v>42</v>
      </c>
      <c r="H72" s="64">
        <v>45.13</v>
      </c>
      <c r="I72" s="64">
        <v>6.3</v>
      </c>
      <c r="J72" s="64">
        <v>2.2999999999999998</v>
      </c>
      <c r="K72" s="64">
        <v>345.62</v>
      </c>
      <c r="L72" s="64">
        <v>22.22</v>
      </c>
      <c r="M72" s="64">
        <v>33.33</v>
      </c>
      <c r="N72" s="64">
        <v>77.599999999999994</v>
      </c>
      <c r="O72" s="64">
        <v>0</v>
      </c>
      <c r="P72" s="64">
        <v>0.93</v>
      </c>
      <c r="Q72" s="64">
        <v>10.41</v>
      </c>
      <c r="R72" s="196"/>
      <c r="S72" s="196"/>
      <c r="T72" s="196"/>
      <c r="U72" s="196"/>
    </row>
    <row r="73" spans="1:21" s="12" customFormat="1" x14ac:dyDescent="0.25">
      <c r="A73" s="211" t="s">
        <v>2519</v>
      </c>
      <c r="B73" s="64">
        <v>4.59</v>
      </c>
      <c r="C73" s="64">
        <v>58.45</v>
      </c>
      <c r="D73" s="64">
        <v>32.840000000000003</v>
      </c>
      <c r="E73" s="64">
        <v>6.51</v>
      </c>
      <c r="F73" s="64">
        <v>4.91</v>
      </c>
      <c r="G73" s="209" t="s">
        <v>42</v>
      </c>
      <c r="H73" s="64">
        <v>46.58</v>
      </c>
      <c r="I73" s="64">
        <v>6.23</v>
      </c>
      <c r="J73" s="64">
        <v>2.1800000000000002</v>
      </c>
      <c r="K73" s="64">
        <v>344.52</v>
      </c>
      <c r="L73" s="64">
        <v>21.82</v>
      </c>
      <c r="M73" s="64">
        <v>33.200000000000003</v>
      </c>
      <c r="N73" s="64">
        <v>69</v>
      </c>
      <c r="O73" s="64">
        <v>0</v>
      </c>
      <c r="P73" s="64">
        <v>0.94</v>
      </c>
      <c r="Q73" s="64">
        <v>10.4</v>
      </c>
      <c r="R73" s="196"/>
      <c r="S73" s="196"/>
      <c r="T73" s="196"/>
      <c r="U73" s="196"/>
    </row>
    <row r="74" spans="1:21" s="12" customFormat="1" x14ac:dyDescent="0.25">
      <c r="A74" s="211" t="s">
        <v>2520</v>
      </c>
      <c r="B74" s="64">
        <v>4.42</v>
      </c>
      <c r="C74" s="64">
        <v>58.66</v>
      </c>
      <c r="D74" s="64">
        <v>32.81</v>
      </c>
      <c r="E74" s="64">
        <v>7.08</v>
      </c>
      <c r="F74" s="64">
        <v>4.92</v>
      </c>
      <c r="G74" s="209" t="s">
        <v>42</v>
      </c>
      <c r="H74" s="64">
        <v>47.08</v>
      </c>
      <c r="I74" s="64">
        <v>6.13</v>
      </c>
      <c r="J74" s="64">
        <v>2.71</v>
      </c>
      <c r="K74" s="64">
        <v>343.24</v>
      </c>
      <c r="L74" s="64">
        <v>21.43</v>
      </c>
      <c r="M74" s="64">
        <v>34.08</v>
      </c>
      <c r="N74" s="64">
        <v>61.6</v>
      </c>
      <c r="O74" s="64">
        <v>0</v>
      </c>
      <c r="P74" s="64">
        <v>0.93</v>
      </c>
      <c r="Q74" s="64">
        <v>10.43</v>
      </c>
      <c r="R74" s="196"/>
      <c r="S74" s="196"/>
      <c r="T74" s="196"/>
      <c r="U74" s="196"/>
    </row>
    <row r="75" spans="1:21" s="12" customFormat="1" x14ac:dyDescent="0.25">
      <c r="A75" s="211" t="s">
        <v>2521</v>
      </c>
      <c r="B75" s="64">
        <v>4.51</v>
      </c>
      <c r="C75" s="64">
        <v>59.19</v>
      </c>
      <c r="D75" s="64">
        <v>33.17</v>
      </c>
      <c r="E75" s="64">
        <v>6.87</v>
      </c>
      <c r="F75" s="64">
        <v>5.01</v>
      </c>
      <c r="G75" s="209" t="s">
        <v>42</v>
      </c>
      <c r="H75" s="64">
        <v>47.08</v>
      </c>
      <c r="I75" s="64">
        <v>5.96</v>
      </c>
      <c r="J75" s="64">
        <v>2.12</v>
      </c>
      <c r="K75" s="64">
        <v>347.95</v>
      </c>
      <c r="L75" s="64">
        <v>21.1</v>
      </c>
      <c r="M75" s="64">
        <v>35.24</v>
      </c>
      <c r="N75" s="64">
        <v>54</v>
      </c>
      <c r="O75" s="64">
        <v>0</v>
      </c>
      <c r="P75" s="64">
        <v>0.93</v>
      </c>
      <c r="Q75" s="64">
        <v>10.45</v>
      </c>
      <c r="R75" s="196"/>
      <c r="S75" s="196"/>
      <c r="T75" s="196"/>
      <c r="U75" s="196"/>
    </row>
    <row r="76" spans="1:21" s="12" customFormat="1" x14ac:dyDescent="0.25">
      <c r="A76" s="211" t="s">
        <v>2522</v>
      </c>
      <c r="B76" s="64">
        <v>5.03</v>
      </c>
      <c r="C76" s="64">
        <v>59.72</v>
      </c>
      <c r="D76" s="64">
        <v>33.86</v>
      </c>
      <c r="E76" s="64">
        <v>6.75</v>
      </c>
      <c r="F76" s="64">
        <v>4.2300000000000004</v>
      </c>
      <c r="G76" s="209" t="s">
        <v>42</v>
      </c>
      <c r="H76" s="64">
        <v>47.08</v>
      </c>
      <c r="I76" s="64">
        <v>5.86</v>
      </c>
      <c r="J76" s="64">
        <v>1.53</v>
      </c>
      <c r="K76" s="64">
        <v>350.81</v>
      </c>
      <c r="L76" s="64">
        <v>20.48</v>
      </c>
      <c r="M76" s="64">
        <v>37.35</v>
      </c>
      <c r="N76" s="64">
        <v>46.6</v>
      </c>
      <c r="O76" s="64">
        <v>0</v>
      </c>
      <c r="P76" s="64">
        <v>1.03</v>
      </c>
      <c r="Q76" s="64">
        <v>10.43</v>
      </c>
      <c r="R76" s="196"/>
      <c r="S76" s="196"/>
      <c r="T76" s="196"/>
      <c r="U76" s="196"/>
    </row>
    <row r="77" spans="1:21" s="12" customFormat="1" x14ac:dyDescent="0.25">
      <c r="A77" s="211" t="s">
        <v>2523</v>
      </c>
      <c r="B77" s="64">
        <v>5.65</v>
      </c>
      <c r="C77" s="64">
        <v>58.39</v>
      </c>
      <c r="D77" s="64">
        <v>33.659999999999997</v>
      </c>
      <c r="E77" s="64">
        <v>6.29</v>
      </c>
      <c r="F77" s="64">
        <v>4.43</v>
      </c>
      <c r="G77" s="209" t="s">
        <v>42</v>
      </c>
      <c r="H77" s="64">
        <v>44.42</v>
      </c>
      <c r="I77" s="64">
        <v>5.78</v>
      </c>
      <c r="J77" s="64">
        <v>1.68</v>
      </c>
      <c r="K77" s="64">
        <v>342.74</v>
      </c>
      <c r="L77" s="64">
        <v>19.84</v>
      </c>
      <c r="M77" s="64">
        <v>40.119999999999997</v>
      </c>
      <c r="N77" s="64">
        <v>39.700000000000003</v>
      </c>
      <c r="O77" s="64">
        <v>0</v>
      </c>
      <c r="P77" s="64">
        <v>1.1200000000000001</v>
      </c>
      <c r="Q77" s="64">
        <v>10.36</v>
      </c>
      <c r="R77" s="196"/>
      <c r="S77" s="196"/>
      <c r="T77" s="196"/>
      <c r="U77" s="196"/>
    </row>
    <row r="78" spans="1:21" s="12" customFormat="1" x14ac:dyDescent="0.25">
      <c r="A78" s="211" t="s">
        <v>2524</v>
      </c>
      <c r="B78" s="64">
        <v>7.04</v>
      </c>
      <c r="C78" s="64">
        <v>58.32</v>
      </c>
      <c r="D78" s="64">
        <v>34.74</v>
      </c>
      <c r="E78" s="64">
        <v>5.61</v>
      </c>
      <c r="F78" s="64">
        <v>4</v>
      </c>
      <c r="G78" s="209" t="s">
        <v>42</v>
      </c>
      <c r="H78" s="64">
        <v>43.88</v>
      </c>
      <c r="I78" s="64">
        <v>5.2</v>
      </c>
      <c r="J78" s="64">
        <v>0.88</v>
      </c>
      <c r="K78" s="64">
        <v>41.23</v>
      </c>
      <c r="L78" s="64">
        <v>19.23</v>
      </c>
      <c r="M78" s="64">
        <v>41.95</v>
      </c>
      <c r="N78" s="64">
        <v>35.799999999999997</v>
      </c>
      <c r="O78" s="64">
        <v>0</v>
      </c>
      <c r="P78" s="64">
        <v>1.1499999999999999</v>
      </c>
      <c r="Q78" s="64">
        <v>10.37</v>
      </c>
      <c r="R78" s="196"/>
      <c r="S78" s="196"/>
      <c r="T78" s="196"/>
      <c r="U78" s="196"/>
    </row>
    <row r="79" spans="1:21" s="12" customFormat="1" x14ac:dyDescent="0.25">
      <c r="A79" s="211" t="s">
        <v>2525</v>
      </c>
      <c r="B79" s="64">
        <v>8.7899999999999991</v>
      </c>
      <c r="C79" s="64">
        <v>58.42</v>
      </c>
      <c r="D79" s="64">
        <v>36.200000000000003</v>
      </c>
      <c r="E79" s="64">
        <v>5.81</v>
      </c>
      <c r="F79" s="64">
        <v>3.87</v>
      </c>
      <c r="G79" s="209" t="s">
        <v>42</v>
      </c>
      <c r="H79" s="64">
        <v>43.88</v>
      </c>
      <c r="I79" s="64">
        <v>5.0199999999999996</v>
      </c>
      <c r="J79" s="64">
        <v>0.94</v>
      </c>
      <c r="K79" s="64">
        <v>14.85</v>
      </c>
      <c r="L79" s="64">
        <v>18.63</v>
      </c>
      <c r="M79" s="64">
        <v>44.3</v>
      </c>
      <c r="N79" s="64">
        <v>34.5</v>
      </c>
      <c r="O79" s="64">
        <v>0</v>
      </c>
      <c r="P79" s="64">
        <v>1.29</v>
      </c>
      <c r="Q79" s="64">
        <v>10.39</v>
      </c>
      <c r="R79" s="196"/>
      <c r="S79" s="196"/>
      <c r="T79" s="196"/>
      <c r="U79" s="196"/>
    </row>
    <row r="80" spans="1:21" s="12" customFormat="1" x14ac:dyDescent="0.25">
      <c r="A80" s="211" t="s">
        <v>2526</v>
      </c>
      <c r="B80" s="64">
        <v>10.68</v>
      </c>
      <c r="C80" s="64">
        <v>58.34</v>
      </c>
      <c r="D80" s="64">
        <v>37.67</v>
      </c>
      <c r="E80" s="64">
        <v>6.38</v>
      </c>
      <c r="F80" s="64">
        <v>3.78</v>
      </c>
      <c r="G80" s="209" t="s">
        <v>42</v>
      </c>
      <c r="H80" s="64">
        <v>43.88</v>
      </c>
      <c r="I80" s="64">
        <v>5.57</v>
      </c>
      <c r="J80" s="64">
        <v>0.95</v>
      </c>
      <c r="K80" s="64">
        <v>76.540000000000006</v>
      </c>
      <c r="L80" s="64">
        <v>18.16</v>
      </c>
      <c r="M80" s="64">
        <v>45.37</v>
      </c>
      <c r="N80" s="64">
        <v>34.5</v>
      </c>
      <c r="O80" s="64">
        <v>0</v>
      </c>
      <c r="P80" s="64">
        <v>1.1499999999999999</v>
      </c>
      <c r="Q80" s="64">
        <v>10.41</v>
      </c>
      <c r="R80" s="196"/>
      <c r="S80" s="196"/>
      <c r="T80" s="196"/>
      <c r="U80" s="196"/>
    </row>
    <row r="81" spans="1:26" s="12" customFormat="1" x14ac:dyDescent="0.25">
      <c r="A81" s="211" t="s">
        <v>2527</v>
      </c>
      <c r="B81" s="64">
        <v>11.01</v>
      </c>
      <c r="C81" s="64">
        <v>57.47</v>
      </c>
      <c r="D81" s="64">
        <v>37.479999999999997</v>
      </c>
      <c r="E81" s="64">
        <v>6.73</v>
      </c>
      <c r="F81" s="64">
        <v>3.63</v>
      </c>
      <c r="G81" s="209" t="s">
        <v>42</v>
      </c>
      <c r="H81" s="64">
        <v>44.62</v>
      </c>
      <c r="I81" s="64">
        <v>6.32</v>
      </c>
      <c r="J81" s="64">
        <v>0.71</v>
      </c>
      <c r="K81" s="64">
        <v>337.78</v>
      </c>
      <c r="L81" s="64">
        <v>17.5</v>
      </c>
      <c r="M81" s="64">
        <v>48.96</v>
      </c>
      <c r="N81" s="64">
        <v>34.299999999999997</v>
      </c>
      <c r="O81" s="64">
        <v>0</v>
      </c>
      <c r="P81" s="64">
        <v>1.1399999999999999</v>
      </c>
      <c r="Q81" s="64">
        <v>10.44</v>
      </c>
      <c r="R81" s="196"/>
      <c r="S81" s="196"/>
      <c r="T81" s="196"/>
      <c r="U81" s="196"/>
    </row>
    <row r="82" spans="1:26" s="12" customFormat="1" x14ac:dyDescent="0.25">
      <c r="A82" s="211" t="s">
        <v>2528</v>
      </c>
      <c r="B82" s="64">
        <v>10.92</v>
      </c>
      <c r="C82" s="64">
        <v>56.32</v>
      </c>
      <c r="D82" s="64">
        <v>36.799999999999997</v>
      </c>
      <c r="E82" s="64">
        <v>6.42</v>
      </c>
      <c r="F82" s="64">
        <v>3.56</v>
      </c>
      <c r="G82" s="209" t="s">
        <v>42</v>
      </c>
      <c r="H82" s="64">
        <v>44.78</v>
      </c>
      <c r="I82" s="64">
        <v>6.78</v>
      </c>
      <c r="J82" s="64">
        <v>1.43</v>
      </c>
      <c r="K82" s="64">
        <v>351.79</v>
      </c>
      <c r="L82" s="64">
        <v>16.920000000000002</v>
      </c>
      <c r="M82" s="64">
        <v>56.01</v>
      </c>
      <c r="N82" s="64">
        <v>34.6</v>
      </c>
      <c r="O82" s="64">
        <v>0</v>
      </c>
      <c r="P82" s="64">
        <v>1.22</v>
      </c>
      <c r="Q82" s="64">
        <v>10.46</v>
      </c>
      <c r="R82" s="196"/>
      <c r="S82" s="196"/>
      <c r="T82" s="196"/>
      <c r="U82" s="196"/>
    </row>
    <row r="83" spans="1:26" s="12" customFormat="1" x14ac:dyDescent="0.25">
      <c r="A83" s="211" t="s">
        <v>2529</v>
      </c>
      <c r="B83" s="64">
        <v>11.49</v>
      </c>
      <c r="C83" s="64">
        <v>55.59</v>
      </c>
      <c r="D83" s="64">
        <v>36.880000000000003</v>
      </c>
      <c r="E83" s="64">
        <v>5.98</v>
      </c>
      <c r="F83" s="64">
        <v>3.41</v>
      </c>
      <c r="G83" s="209" t="s">
        <v>42</v>
      </c>
      <c r="H83" s="64">
        <v>44.78</v>
      </c>
      <c r="I83" s="64">
        <v>6.88</v>
      </c>
      <c r="J83" s="64">
        <v>1.56</v>
      </c>
      <c r="K83" s="64">
        <v>340.13</v>
      </c>
      <c r="L83" s="64">
        <v>16.5</v>
      </c>
      <c r="M83" s="64">
        <v>57.61</v>
      </c>
      <c r="N83" s="64">
        <v>34.299999999999997</v>
      </c>
      <c r="O83" s="64">
        <v>0</v>
      </c>
      <c r="P83" s="64">
        <v>1.49</v>
      </c>
      <c r="Q83" s="64">
        <v>10.47</v>
      </c>
      <c r="R83" s="196"/>
      <c r="S83" s="196"/>
      <c r="T83" s="196"/>
      <c r="U83" s="196"/>
    </row>
    <row r="84" spans="1:26" s="12" customFormat="1" x14ac:dyDescent="0.25">
      <c r="A84" s="211" t="s">
        <v>2530</v>
      </c>
      <c r="B84" s="64">
        <v>13.89</v>
      </c>
      <c r="C84" s="64">
        <v>55.75</v>
      </c>
      <c r="D84" s="64">
        <v>38.89</v>
      </c>
      <c r="E84" s="64">
        <v>6.38</v>
      </c>
      <c r="F84" s="64">
        <v>3.63</v>
      </c>
      <c r="G84" s="209" t="s">
        <v>42</v>
      </c>
      <c r="H84" s="64">
        <v>44.78</v>
      </c>
      <c r="I84" s="64">
        <v>7</v>
      </c>
      <c r="J84" s="64">
        <v>0.75</v>
      </c>
      <c r="K84" s="64">
        <v>164.89</v>
      </c>
      <c r="L84" s="64">
        <v>15.96</v>
      </c>
      <c r="M84" s="64">
        <v>58.59</v>
      </c>
      <c r="N84" s="64">
        <v>34.4</v>
      </c>
      <c r="O84" s="64">
        <v>0</v>
      </c>
      <c r="P84" s="64">
        <v>1.2</v>
      </c>
      <c r="Q84" s="64">
        <v>10.53</v>
      </c>
      <c r="R84" s="196"/>
      <c r="S84" s="196"/>
      <c r="T84" s="196"/>
      <c r="U84" s="196"/>
    </row>
    <row r="85" spans="1:26" s="12" customFormat="1" x14ac:dyDescent="0.25">
      <c r="A85" s="211" t="s">
        <v>2531</v>
      </c>
      <c r="B85" s="64">
        <v>16.45</v>
      </c>
      <c r="C85" s="64">
        <v>56.56</v>
      </c>
      <c r="D85" s="64">
        <v>41.37</v>
      </c>
      <c r="E85" s="64">
        <v>6.78</v>
      </c>
      <c r="F85" s="64">
        <v>4.0599999999999996</v>
      </c>
      <c r="G85" s="209" t="s">
        <v>42</v>
      </c>
      <c r="H85" s="64">
        <v>44.68</v>
      </c>
      <c r="I85" s="64">
        <v>7.56</v>
      </c>
      <c r="J85" s="64">
        <v>1.61</v>
      </c>
      <c r="K85" s="64">
        <v>303.12</v>
      </c>
      <c r="L85" s="64">
        <v>15.59</v>
      </c>
      <c r="M85" s="64">
        <v>61.86</v>
      </c>
      <c r="N85" s="64">
        <v>34.4</v>
      </c>
      <c r="O85" s="64">
        <v>0</v>
      </c>
      <c r="P85" s="64">
        <v>1.1200000000000001</v>
      </c>
      <c r="Q85" s="64">
        <v>10.58</v>
      </c>
      <c r="R85" s="196"/>
      <c r="S85" s="196"/>
      <c r="T85" s="196"/>
      <c r="U85" s="196"/>
    </row>
    <row r="86" spans="1:26" s="12" customFormat="1" x14ac:dyDescent="0.25">
      <c r="A86" s="211" t="s">
        <v>2532</v>
      </c>
      <c r="B86" s="64">
        <v>20.3</v>
      </c>
      <c r="C86" s="64">
        <v>57.86</v>
      </c>
      <c r="D86" s="64">
        <v>45.13</v>
      </c>
      <c r="E86" s="64">
        <v>7.4</v>
      </c>
      <c r="F86" s="64">
        <v>4.1399999999999997</v>
      </c>
      <c r="G86" s="209" t="s">
        <v>42</v>
      </c>
      <c r="H86" s="64">
        <v>44.66</v>
      </c>
      <c r="I86" s="64">
        <v>7.84</v>
      </c>
      <c r="J86" s="64">
        <v>1.61</v>
      </c>
      <c r="K86" s="64">
        <v>310.14</v>
      </c>
      <c r="L86" s="64">
        <v>15.26</v>
      </c>
      <c r="M86" s="64">
        <v>70.650000000000006</v>
      </c>
      <c r="N86" s="64">
        <v>34.4</v>
      </c>
      <c r="O86" s="64">
        <v>0</v>
      </c>
      <c r="P86" s="64">
        <v>1.28</v>
      </c>
      <c r="Q86" s="64">
        <v>10.65</v>
      </c>
      <c r="R86" s="196"/>
      <c r="S86" s="196"/>
      <c r="T86" s="196"/>
      <c r="U86" s="196"/>
    </row>
    <row r="87" spans="1:26" s="12" customFormat="1" x14ac:dyDescent="0.25">
      <c r="A87" s="211" t="s">
        <v>2533</v>
      </c>
      <c r="B87" s="64">
        <v>26.88</v>
      </c>
      <c r="C87" s="64">
        <v>58.72</v>
      </c>
      <c r="D87" s="64">
        <v>50.85</v>
      </c>
      <c r="E87" s="64">
        <v>7.85</v>
      </c>
      <c r="F87" s="64">
        <v>4.43</v>
      </c>
      <c r="G87" s="209" t="s">
        <v>42</v>
      </c>
      <c r="H87" s="64">
        <v>44.66</v>
      </c>
      <c r="I87" s="64">
        <v>8.0299999999999994</v>
      </c>
      <c r="J87" s="64">
        <v>1.64</v>
      </c>
      <c r="K87" s="64">
        <v>306.27999999999997</v>
      </c>
      <c r="L87" s="64">
        <v>14.8</v>
      </c>
      <c r="M87" s="64">
        <v>73.77</v>
      </c>
      <c r="N87" s="64">
        <v>34.4</v>
      </c>
      <c r="O87" s="64">
        <v>0</v>
      </c>
      <c r="P87" s="64">
        <v>1.4</v>
      </c>
      <c r="Q87" s="64">
        <v>10.75</v>
      </c>
      <c r="R87" s="196"/>
      <c r="S87" s="196"/>
      <c r="T87" s="196"/>
      <c r="U87" s="196"/>
    </row>
    <row r="88" spans="1:26" s="12" customFormat="1" x14ac:dyDescent="0.25">
      <c r="A88" s="211" t="s">
        <v>2534</v>
      </c>
      <c r="B88" s="64">
        <v>34.549999999999997</v>
      </c>
      <c r="C88" s="64">
        <v>59.44</v>
      </c>
      <c r="D88" s="64">
        <v>57.39</v>
      </c>
      <c r="E88" s="64">
        <v>7.77</v>
      </c>
      <c r="F88" s="64">
        <v>4.17</v>
      </c>
      <c r="G88" s="209" t="s">
        <v>42</v>
      </c>
      <c r="H88" s="64">
        <v>44.66</v>
      </c>
      <c r="I88" s="64">
        <v>8.19</v>
      </c>
      <c r="J88" s="64">
        <v>1.65</v>
      </c>
      <c r="K88" s="64">
        <v>291.32</v>
      </c>
      <c r="L88" s="64">
        <v>14.71</v>
      </c>
      <c r="M88" s="64">
        <v>70.430000000000007</v>
      </c>
      <c r="N88" s="64">
        <v>34.200000000000003</v>
      </c>
      <c r="O88" s="64">
        <v>0</v>
      </c>
      <c r="P88" s="64">
        <v>1.51</v>
      </c>
      <c r="Q88" s="64">
        <v>10.86</v>
      </c>
      <c r="R88" s="196"/>
      <c r="S88" s="196"/>
      <c r="T88" s="196"/>
      <c r="U88" s="196"/>
    </row>
    <row r="89" spans="1:26" s="12" customFormat="1" x14ac:dyDescent="0.25">
      <c r="A89" s="211" t="s">
        <v>2535</v>
      </c>
      <c r="B89" s="64">
        <v>40.31</v>
      </c>
      <c r="C89" s="64">
        <v>60.27</v>
      </c>
      <c r="D89" s="64">
        <v>62.44</v>
      </c>
      <c r="E89" s="64">
        <v>8.3699999999999992</v>
      </c>
      <c r="F89" s="64">
        <v>4</v>
      </c>
      <c r="G89" s="209" t="s">
        <v>42</v>
      </c>
      <c r="H89" s="64">
        <v>57.08</v>
      </c>
      <c r="I89" s="64">
        <v>8.43</v>
      </c>
      <c r="J89" s="64">
        <v>1.24</v>
      </c>
      <c r="K89" s="64">
        <v>209.41</v>
      </c>
      <c r="L89" s="64">
        <v>14.93</v>
      </c>
      <c r="M89" s="64">
        <v>68.819999999999993</v>
      </c>
      <c r="N89" s="64">
        <v>34</v>
      </c>
      <c r="O89" s="64">
        <v>0</v>
      </c>
      <c r="P89" s="64">
        <v>1.57</v>
      </c>
      <c r="Q89" s="64">
        <v>10.9</v>
      </c>
      <c r="R89" s="196"/>
      <c r="S89" s="196"/>
      <c r="T89" s="196"/>
      <c r="U89" s="196"/>
    </row>
    <row r="90" spans="1:26" s="12" customFormat="1" x14ac:dyDescent="0.25">
      <c r="A90" s="211" t="s">
        <v>2536</v>
      </c>
      <c r="B90" s="64">
        <v>42.8</v>
      </c>
      <c r="C90" s="64">
        <v>60.73</v>
      </c>
      <c r="D90" s="64">
        <v>64.680000000000007</v>
      </c>
      <c r="E90" s="64">
        <v>8.61</v>
      </c>
      <c r="F90" s="64">
        <v>4.29</v>
      </c>
      <c r="G90" s="209" t="s">
        <v>42</v>
      </c>
      <c r="H90" s="64">
        <v>61.35</v>
      </c>
      <c r="I90" s="64">
        <v>8.23</v>
      </c>
      <c r="J90" s="64">
        <v>0.91</v>
      </c>
      <c r="K90" s="64">
        <v>258.83</v>
      </c>
      <c r="L90" s="64">
        <v>15.06</v>
      </c>
      <c r="M90" s="64">
        <v>66.81</v>
      </c>
      <c r="N90" s="64">
        <v>34</v>
      </c>
      <c r="O90" s="64">
        <v>0</v>
      </c>
      <c r="P90" s="64">
        <v>1.61</v>
      </c>
      <c r="Q90" s="64">
        <v>10.89</v>
      </c>
      <c r="R90" s="196"/>
      <c r="S90" s="196"/>
      <c r="T90" s="196"/>
      <c r="U90" s="196"/>
    </row>
    <row r="91" spans="1:26" s="12" customFormat="1" x14ac:dyDescent="0.25">
      <c r="A91" s="211" t="s">
        <v>2537</v>
      </c>
      <c r="B91" s="64">
        <v>43.44</v>
      </c>
      <c r="C91" s="64">
        <v>61.15</v>
      </c>
      <c r="D91" s="64">
        <v>65.41</v>
      </c>
      <c r="E91" s="64">
        <v>8.64</v>
      </c>
      <c r="F91" s="64">
        <v>4.2699999999999996</v>
      </c>
      <c r="G91" s="209" t="s">
        <v>42</v>
      </c>
      <c r="H91" s="64">
        <v>61.35</v>
      </c>
      <c r="I91" s="64">
        <v>8.17</v>
      </c>
      <c r="J91" s="64">
        <v>1.44</v>
      </c>
      <c r="K91" s="64">
        <v>312.10000000000002</v>
      </c>
      <c r="L91" s="64">
        <v>14.98</v>
      </c>
      <c r="M91" s="64">
        <v>66.37</v>
      </c>
      <c r="N91" s="64">
        <v>34.1</v>
      </c>
      <c r="O91" s="64">
        <v>0</v>
      </c>
      <c r="P91" s="64">
        <v>1.64</v>
      </c>
      <c r="Q91" s="64">
        <v>10.93</v>
      </c>
      <c r="R91" s="196"/>
      <c r="S91" s="196"/>
      <c r="T91" s="196"/>
      <c r="U91" s="196"/>
    </row>
    <row r="92" spans="1:26" s="12" customFormat="1" x14ac:dyDescent="0.25">
      <c r="A92" s="211" t="s">
        <v>2538</v>
      </c>
      <c r="B92" s="64">
        <v>46.62</v>
      </c>
      <c r="C92" s="64">
        <v>61.85</v>
      </c>
      <c r="D92" s="64">
        <v>68.319999999999993</v>
      </c>
      <c r="E92" s="64">
        <v>9.57</v>
      </c>
      <c r="F92" s="64">
        <v>4.0999999999999996</v>
      </c>
      <c r="G92" s="209" t="s">
        <v>42</v>
      </c>
      <c r="H92" s="64">
        <v>61.35</v>
      </c>
      <c r="I92" s="64">
        <v>8.24</v>
      </c>
      <c r="J92" s="64">
        <v>1.63</v>
      </c>
      <c r="K92" s="64">
        <v>272.92</v>
      </c>
      <c r="L92" s="64">
        <v>14.69</v>
      </c>
      <c r="M92" s="64">
        <v>67.66</v>
      </c>
      <c r="N92" s="64">
        <v>34.299999999999997</v>
      </c>
      <c r="O92" s="64">
        <v>0</v>
      </c>
      <c r="P92" s="64">
        <v>1.7</v>
      </c>
      <c r="Q92" s="64">
        <v>11.01</v>
      </c>
      <c r="R92" s="196"/>
      <c r="S92" s="196"/>
      <c r="T92" s="196"/>
      <c r="U92" s="196"/>
    </row>
    <row r="93" spans="1:26" s="12" customFormat="1" x14ac:dyDescent="0.25">
      <c r="A93" s="211" t="s">
        <v>2539</v>
      </c>
      <c r="B93" s="64">
        <v>49.22</v>
      </c>
      <c r="C93" s="64">
        <v>61.06</v>
      </c>
      <c r="D93" s="64">
        <v>69.989999999999995</v>
      </c>
      <c r="E93" s="64">
        <v>9.4600000000000009</v>
      </c>
      <c r="F93" s="64">
        <v>4.55</v>
      </c>
      <c r="G93" s="209" t="s">
        <v>42</v>
      </c>
      <c r="H93" s="64">
        <v>60.55</v>
      </c>
      <c r="I93" s="64">
        <v>8.2899999999999991</v>
      </c>
      <c r="J93" s="64">
        <v>1.31</v>
      </c>
      <c r="K93" s="64">
        <v>310.08999999999997</v>
      </c>
      <c r="L93" s="64">
        <v>14.49</v>
      </c>
      <c r="M93" s="64">
        <v>68.92</v>
      </c>
      <c r="N93" s="64">
        <v>34.200000000000003</v>
      </c>
      <c r="O93" s="64">
        <v>0</v>
      </c>
      <c r="P93" s="64">
        <v>1.88</v>
      </c>
      <c r="Q93" s="64">
        <v>10.96</v>
      </c>
      <c r="R93" s="196"/>
      <c r="S93" s="196"/>
      <c r="T93" s="196"/>
      <c r="U93" s="196"/>
    </row>
    <row r="94" spans="1:26" s="12" customFormat="1" x14ac:dyDescent="0.25">
      <c r="A94" s="211" t="s">
        <v>2540</v>
      </c>
      <c r="B94" s="64">
        <v>53.47</v>
      </c>
      <c r="C94" s="64">
        <v>60.06</v>
      </c>
      <c r="D94" s="64">
        <v>72.88</v>
      </c>
      <c r="E94" s="64">
        <v>9.2899999999999991</v>
      </c>
      <c r="F94" s="64">
        <v>4.22</v>
      </c>
      <c r="G94" s="209" t="s">
        <v>42</v>
      </c>
      <c r="H94" s="64">
        <v>60.38</v>
      </c>
      <c r="I94" s="64">
        <v>8.3000000000000007</v>
      </c>
      <c r="J94" s="64">
        <v>1.41</v>
      </c>
      <c r="K94" s="64">
        <v>291.58</v>
      </c>
      <c r="L94" s="64">
        <v>14.32</v>
      </c>
      <c r="M94" s="64">
        <v>66.8</v>
      </c>
      <c r="N94" s="64">
        <v>34.1</v>
      </c>
      <c r="O94" s="64">
        <v>0</v>
      </c>
      <c r="P94" s="64">
        <v>1.92</v>
      </c>
      <c r="Q94" s="64">
        <v>10.89</v>
      </c>
      <c r="R94" s="196"/>
      <c r="S94" s="196"/>
      <c r="T94" s="196"/>
      <c r="U94" s="196"/>
    </row>
    <row r="95" spans="1:26" s="12" customFormat="1" x14ac:dyDescent="0.25">
      <c r="A95" s="211" t="s">
        <v>2541</v>
      </c>
      <c r="B95" s="64">
        <v>57.73</v>
      </c>
      <c r="C95" s="64">
        <v>60</v>
      </c>
      <c r="D95" s="64">
        <v>76.27</v>
      </c>
      <c r="E95" s="64">
        <v>9.33</v>
      </c>
      <c r="F95" s="64">
        <v>4.3899999999999997</v>
      </c>
      <c r="G95" s="209" t="s">
        <v>42</v>
      </c>
      <c r="H95" s="64">
        <v>60.38</v>
      </c>
      <c r="I95" s="64">
        <v>8.44</v>
      </c>
      <c r="J95" s="64">
        <v>1.52</v>
      </c>
      <c r="K95" s="64">
        <v>276.02</v>
      </c>
      <c r="L95" s="64">
        <v>14.59</v>
      </c>
      <c r="M95" s="64">
        <v>61.14</v>
      </c>
      <c r="N95" s="64">
        <v>33.799999999999997</v>
      </c>
      <c r="O95" s="64">
        <v>0</v>
      </c>
      <c r="P95" s="64">
        <v>1.8</v>
      </c>
      <c r="Q95" s="64">
        <v>10.95</v>
      </c>
      <c r="R95" s="196"/>
      <c r="S95" s="196"/>
      <c r="T95" s="196"/>
      <c r="U95" s="196"/>
    </row>
    <row r="96" spans="1:26" s="12" customFormat="1" x14ac:dyDescent="0.25">
      <c r="A96" s="211" t="s">
        <v>2542</v>
      </c>
      <c r="B96" s="64">
        <v>60.48</v>
      </c>
      <c r="C96" s="64">
        <v>59.64</v>
      </c>
      <c r="D96" s="64">
        <v>78.290000000000006</v>
      </c>
      <c r="E96" s="64">
        <v>9.16</v>
      </c>
      <c r="F96" s="64">
        <v>3.95</v>
      </c>
      <c r="G96" s="209" t="s">
        <v>42</v>
      </c>
      <c r="H96" s="64">
        <v>60.38</v>
      </c>
      <c r="I96" s="64">
        <v>8.26</v>
      </c>
      <c r="J96" s="64">
        <v>1.49</v>
      </c>
      <c r="K96" s="64">
        <v>309.29000000000002</v>
      </c>
      <c r="L96" s="64">
        <v>14.39</v>
      </c>
      <c r="M96" s="64">
        <v>64.75</v>
      </c>
      <c r="N96" s="64">
        <v>34.299999999999997</v>
      </c>
      <c r="O96" s="64">
        <v>0</v>
      </c>
      <c r="P96" s="64">
        <v>1.99</v>
      </c>
      <c r="Q96" s="64">
        <v>11.03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2543</v>
      </c>
      <c r="B97" s="64">
        <v>64.84</v>
      </c>
      <c r="C97" s="64">
        <v>59.21</v>
      </c>
      <c r="D97" s="64">
        <v>81.56</v>
      </c>
      <c r="E97" s="64">
        <v>8.9600000000000009</v>
      </c>
      <c r="F97" s="64">
        <v>3.52</v>
      </c>
      <c r="G97" s="209" t="s">
        <v>42</v>
      </c>
      <c r="H97" s="64">
        <v>61.25</v>
      </c>
      <c r="I97" s="64">
        <v>7.97</v>
      </c>
      <c r="J97" s="64">
        <v>1.55</v>
      </c>
      <c r="K97" s="64">
        <v>309.99</v>
      </c>
      <c r="L97" s="64">
        <v>13.91</v>
      </c>
      <c r="M97" s="64">
        <v>68.290000000000006</v>
      </c>
      <c r="N97" s="64">
        <v>34.4</v>
      </c>
      <c r="O97" s="64">
        <v>0</v>
      </c>
      <c r="P97" s="64">
        <v>2.11</v>
      </c>
      <c r="Q97" s="64">
        <v>11.08</v>
      </c>
      <c r="R97" s="196"/>
      <c r="S97" s="196"/>
      <c r="T97" s="196"/>
      <c r="U97" s="196"/>
    </row>
    <row r="98" spans="1:33" s="12" customFormat="1" x14ac:dyDescent="0.25">
      <c r="A98" s="211" t="s">
        <v>2544</v>
      </c>
      <c r="B98" s="64">
        <v>69.02</v>
      </c>
      <c r="C98" s="64">
        <v>58.35</v>
      </c>
      <c r="D98" s="64">
        <v>84.46</v>
      </c>
      <c r="E98" s="64">
        <v>9.42</v>
      </c>
      <c r="F98" s="64">
        <v>3.86</v>
      </c>
      <c r="G98" s="209" t="s">
        <v>42</v>
      </c>
      <c r="H98" s="64">
        <v>61.44</v>
      </c>
      <c r="I98" s="64">
        <v>8.2799999999999994</v>
      </c>
      <c r="J98" s="64">
        <v>1.0900000000000001</v>
      </c>
      <c r="K98" s="64">
        <v>289.91000000000003</v>
      </c>
      <c r="L98" s="64">
        <v>13.66</v>
      </c>
      <c r="M98" s="64">
        <v>66.930000000000007</v>
      </c>
      <c r="N98" s="64">
        <v>34.299999999999997</v>
      </c>
      <c r="O98" s="64">
        <v>0</v>
      </c>
      <c r="P98" s="64">
        <v>1.94</v>
      </c>
      <c r="Q98" s="64">
        <v>11.14</v>
      </c>
      <c r="R98" s="196"/>
      <c r="S98" s="196"/>
      <c r="T98" s="196"/>
      <c r="U98" s="196"/>
    </row>
    <row r="99" spans="1:33" s="12" customFormat="1" x14ac:dyDescent="0.25">
      <c r="A99" s="211" t="s">
        <v>2545</v>
      </c>
      <c r="B99" s="64">
        <v>72.25</v>
      </c>
      <c r="C99" s="64">
        <v>57.84</v>
      </c>
      <c r="D99" s="64">
        <v>86.78</v>
      </c>
      <c r="E99" s="64">
        <v>9.32</v>
      </c>
      <c r="F99" s="64">
        <v>3.82</v>
      </c>
      <c r="G99" s="209" t="s">
        <v>42</v>
      </c>
      <c r="H99" s="64">
        <v>61.44</v>
      </c>
      <c r="I99" s="64">
        <v>8.48</v>
      </c>
      <c r="J99" s="64">
        <v>1.41</v>
      </c>
      <c r="K99" s="64">
        <v>266.58</v>
      </c>
      <c r="L99" s="64">
        <v>13.47</v>
      </c>
      <c r="M99" s="64">
        <v>65.83</v>
      </c>
      <c r="N99" s="64">
        <v>34.4</v>
      </c>
      <c r="O99" s="64">
        <v>0</v>
      </c>
      <c r="P99" s="64">
        <v>1.87</v>
      </c>
      <c r="Q99" s="64">
        <v>11.2</v>
      </c>
      <c r="R99" s="196"/>
      <c r="S99" s="196"/>
      <c r="T99" s="196"/>
      <c r="U99" s="196"/>
    </row>
    <row r="100" spans="1:33" s="12" customFormat="1" x14ac:dyDescent="0.25">
      <c r="A100" s="211" t="s">
        <v>2546</v>
      </c>
      <c r="B100" s="64">
        <v>75.489999999999995</v>
      </c>
      <c r="C100" s="64">
        <v>57.23</v>
      </c>
      <c r="D100" s="64">
        <v>89.06</v>
      </c>
      <c r="E100" s="64">
        <v>8.92</v>
      </c>
      <c r="F100" s="64">
        <v>3.89</v>
      </c>
      <c r="G100" s="209" t="s">
        <v>42</v>
      </c>
      <c r="H100" s="64">
        <v>61.44</v>
      </c>
      <c r="I100" s="64">
        <v>7.88</v>
      </c>
      <c r="J100" s="64">
        <v>1.68</v>
      </c>
      <c r="K100" s="64">
        <v>302.35000000000002</v>
      </c>
      <c r="L100" s="64">
        <v>13.21</v>
      </c>
      <c r="M100" s="64">
        <v>69.84</v>
      </c>
      <c r="N100" s="64">
        <v>34.4</v>
      </c>
      <c r="O100" s="64">
        <v>0</v>
      </c>
      <c r="P100" s="64">
        <v>1.93</v>
      </c>
      <c r="Q100" s="64">
        <v>11.28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2547</v>
      </c>
      <c r="B101" s="64">
        <v>80.62</v>
      </c>
      <c r="C101" s="64">
        <v>57.8</v>
      </c>
      <c r="D101" s="64">
        <v>93.48</v>
      </c>
      <c r="E101" s="64">
        <v>9.0299999999999994</v>
      </c>
      <c r="F101" s="64">
        <v>3.75</v>
      </c>
      <c r="G101" s="209" t="s">
        <v>42</v>
      </c>
      <c r="H101" s="64">
        <v>60.98</v>
      </c>
      <c r="I101" s="64">
        <v>8</v>
      </c>
      <c r="J101" s="64">
        <v>1.07</v>
      </c>
      <c r="K101" s="64">
        <v>300.11</v>
      </c>
      <c r="L101" s="64">
        <v>12.95</v>
      </c>
      <c r="M101" s="64">
        <v>71.489999999999995</v>
      </c>
      <c r="N101" s="64">
        <v>34.299999999999997</v>
      </c>
      <c r="O101" s="64">
        <v>0</v>
      </c>
      <c r="P101" s="64">
        <v>1.92</v>
      </c>
      <c r="Q101" s="64">
        <v>11.43</v>
      </c>
      <c r="R101" s="196"/>
      <c r="S101" s="196"/>
      <c r="T101" s="196"/>
      <c r="U101" s="196"/>
    </row>
    <row r="102" spans="1:33" s="12" customFormat="1" x14ac:dyDescent="0.25">
      <c r="A102" s="211" t="s">
        <v>2548</v>
      </c>
      <c r="B102" s="64">
        <v>86.51</v>
      </c>
      <c r="C102" s="64">
        <v>58.35</v>
      </c>
      <c r="D102" s="64">
        <v>98.49</v>
      </c>
      <c r="E102" s="64">
        <v>9.14</v>
      </c>
      <c r="F102" s="64">
        <v>4.22</v>
      </c>
      <c r="G102" s="209" t="s">
        <v>42</v>
      </c>
      <c r="H102" s="64">
        <v>60.89</v>
      </c>
      <c r="I102" s="64">
        <v>8.36</v>
      </c>
      <c r="J102" s="64">
        <v>1.73</v>
      </c>
      <c r="K102" s="64">
        <v>298.10000000000002</v>
      </c>
      <c r="L102" s="64">
        <v>12.82</v>
      </c>
      <c r="M102" s="64">
        <v>76.47</v>
      </c>
      <c r="N102" s="64">
        <v>34.299999999999997</v>
      </c>
      <c r="O102" s="64">
        <v>0</v>
      </c>
      <c r="P102" s="64">
        <v>1.92</v>
      </c>
      <c r="Q102" s="64">
        <v>11.55</v>
      </c>
      <c r="R102" s="196"/>
      <c r="S102" s="196"/>
      <c r="T102" s="196"/>
      <c r="U102" s="196"/>
    </row>
    <row r="103" spans="1:33" s="12" customFormat="1" x14ac:dyDescent="0.25">
      <c r="A103" s="211" t="s">
        <v>2549</v>
      </c>
      <c r="B103" s="64">
        <v>93.37</v>
      </c>
      <c r="C103" s="64">
        <v>59.42</v>
      </c>
      <c r="D103" s="64">
        <v>104.54</v>
      </c>
      <c r="E103" s="64">
        <v>8.76</v>
      </c>
      <c r="F103" s="64">
        <v>4.62</v>
      </c>
      <c r="G103" s="209" t="s">
        <v>42</v>
      </c>
      <c r="H103" s="64">
        <v>60.89</v>
      </c>
      <c r="I103" s="64">
        <v>8.4</v>
      </c>
      <c r="J103" s="64">
        <v>1.61</v>
      </c>
      <c r="K103" s="64">
        <v>301.23</v>
      </c>
      <c r="L103" s="64">
        <v>12.54</v>
      </c>
      <c r="M103" s="64">
        <v>78.56</v>
      </c>
      <c r="N103" s="64">
        <v>34.4</v>
      </c>
      <c r="O103" s="64">
        <v>0</v>
      </c>
      <c r="P103" s="64">
        <v>1.93</v>
      </c>
      <c r="Q103" s="64">
        <v>11.62</v>
      </c>
      <c r="R103" s="196"/>
      <c r="S103" s="196"/>
      <c r="T103" s="196"/>
      <c r="U103" s="196"/>
    </row>
    <row r="104" spans="1:33" s="12" customFormat="1" x14ac:dyDescent="0.25">
      <c r="A104" s="211" t="s">
        <v>2550</v>
      </c>
      <c r="B104" s="64">
        <v>97.86</v>
      </c>
      <c r="C104" s="64">
        <v>60.17</v>
      </c>
      <c r="D104" s="64">
        <v>108.54</v>
      </c>
      <c r="E104" s="64">
        <v>7.08</v>
      </c>
      <c r="F104" s="64">
        <v>4.55</v>
      </c>
      <c r="G104" s="209" t="s">
        <v>42</v>
      </c>
      <c r="H104" s="64">
        <v>60.89</v>
      </c>
      <c r="I104" s="64">
        <v>8.34</v>
      </c>
      <c r="J104" s="64">
        <v>1.0900000000000001</v>
      </c>
      <c r="K104" s="64">
        <v>291.45999999999998</v>
      </c>
      <c r="L104" s="64">
        <v>12.45</v>
      </c>
      <c r="M104" s="64">
        <v>78.430000000000007</v>
      </c>
      <c r="N104" s="64">
        <v>34.299999999999997</v>
      </c>
      <c r="O104" s="64">
        <v>0</v>
      </c>
      <c r="P104" s="64">
        <v>1.92</v>
      </c>
      <c r="Q104" s="64">
        <v>11.63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3.62</v>
      </c>
      <c r="C106" s="67">
        <f>MIN(C9:C104)</f>
        <v>47.81</v>
      </c>
      <c r="D106" s="67">
        <f t="shared" ref="D106:Q106" si="0">MIN(D9:D104)</f>
        <v>28.97</v>
      </c>
      <c r="E106" s="67">
        <f t="shared" si="0"/>
        <v>5.61</v>
      </c>
      <c r="F106" s="67">
        <f t="shared" si="0"/>
        <v>3.14</v>
      </c>
      <c r="G106" s="67">
        <f t="shared" si="0"/>
        <v>114.9</v>
      </c>
      <c r="H106" s="67">
        <f t="shared" si="0"/>
        <v>43.88</v>
      </c>
      <c r="I106" s="67">
        <f t="shared" si="0"/>
        <v>4.96</v>
      </c>
      <c r="J106" s="67">
        <f t="shared" si="0"/>
        <v>0.35</v>
      </c>
      <c r="K106" s="67">
        <f t="shared" si="0"/>
        <v>4.8</v>
      </c>
      <c r="L106" s="67">
        <f t="shared" si="0"/>
        <v>11.74</v>
      </c>
      <c r="M106" s="67">
        <f t="shared" si="0"/>
        <v>31.85</v>
      </c>
      <c r="N106" s="67">
        <f t="shared" si="0"/>
        <v>33.299999999999997</v>
      </c>
      <c r="O106" s="67">
        <f t="shared" si="0"/>
        <v>0</v>
      </c>
      <c r="P106" s="67">
        <f t="shared" si="0"/>
        <v>0.84</v>
      </c>
      <c r="Q106" s="67">
        <f t="shared" si="0"/>
        <v>10.36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114.24</v>
      </c>
      <c r="C107" s="66">
        <f t="shared" ref="C107:Q107" si="1">MAX(C9:C104)</f>
        <v>62.45</v>
      </c>
      <c r="D107" s="66">
        <f t="shared" si="1"/>
        <v>122.86</v>
      </c>
      <c r="E107" s="66">
        <f t="shared" si="1"/>
        <v>9.8699999999999992</v>
      </c>
      <c r="F107" s="66">
        <f t="shared" si="1"/>
        <v>6.43</v>
      </c>
      <c r="G107" s="66">
        <f t="shared" si="1"/>
        <v>184.15</v>
      </c>
      <c r="H107" s="66">
        <f t="shared" si="1"/>
        <v>99</v>
      </c>
      <c r="I107" s="66">
        <f t="shared" si="1"/>
        <v>9.64</v>
      </c>
      <c r="J107" s="66">
        <f t="shared" si="1"/>
        <v>2.93</v>
      </c>
      <c r="K107" s="66">
        <f t="shared" si="1"/>
        <v>358.7</v>
      </c>
      <c r="L107" s="66">
        <f t="shared" si="1"/>
        <v>25.77</v>
      </c>
      <c r="M107" s="66">
        <f t="shared" si="1"/>
        <v>88.98</v>
      </c>
      <c r="N107" s="66">
        <f t="shared" si="1"/>
        <v>585</v>
      </c>
      <c r="O107" s="66">
        <f t="shared" si="1"/>
        <v>0</v>
      </c>
      <c r="P107" s="66">
        <f t="shared" si="1"/>
        <v>2.3199999999999998</v>
      </c>
      <c r="Q107" s="66">
        <f t="shared" si="1"/>
        <v>11.89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36.821979166666672</v>
      </c>
      <c r="C108" s="67">
        <f t="shared" ref="C108:Q108" si="2">AVERAGE(C9:C104)</f>
        <v>55.045208333333363</v>
      </c>
      <c r="D108" s="67">
        <f t="shared" si="2"/>
        <v>56.911770833333343</v>
      </c>
      <c r="E108" s="67">
        <f t="shared" si="2"/>
        <v>7.7105208333333328</v>
      </c>
      <c r="F108" s="67">
        <f t="shared" si="2"/>
        <v>4.3135416666666675</v>
      </c>
      <c r="G108" s="67">
        <f t="shared" si="2"/>
        <v>132.21250000000001</v>
      </c>
      <c r="H108" s="67">
        <f t="shared" si="2"/>
        <v>64.471979166666657</v>
      </c>
      <c r="I108" s="67">
        <f t="shared" si="2"/>
        <v>7.4532291666666666</v>
      </c>
      <c r="J108" s="67">
        <f t="shared" si="2"/>
        <v>1.4471874999999998</v>
      </c>
      <c r="K108" s="67">
        <f t="shared" si="2"/>
        <v>237.42802083333333</v>
      </c>
      <c r="L108" s="67">
        <f t="shared" si="2"/>
        <v>16.952812500000004</v>
      </c>
      <c r="M108" s="67">
        <f t="shared" si="2"/>
        <v>60.222604166666684</v>
      </c>
      <c r="N108" s="67">
        <f t="shared" si="2"/>
        <v>149.87812499999993</v>
      </c>
      <c r="O108" s="67">
        <f t="shared" si="2"/>
        <v>0</v>
      </c>
      <c r="P108" s="67">
        <f t="shared" si="2"/>
        <v>1.428958333333334</v>
      </c>
      <c r="Q108" s="67">
        <f t="shared" si="2"/>
        <v>10.849479166666663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31.235454943306802</v>
      </c>
      <c r="C109" s="67">
        <f t="shared" ref="C109:Q109" si="3">STDEV(C9:C104)</f>
        <v>4.0857271411500085</v>
      </c>
      <c r="D109" s="67">
        <f t="shared" si="3"/>
        <v>25.254369043365731</v>
      </c>
      <c r="E109" s="67">
        <f t="shared" si="3"/>
        <v>1.2147465577483247</v>
      </c>
      <c r="F109" s="67">
        <f t="shared" si="3"/>
        <v>0.49513630056817437</v>
      </c>
      <c r="G109" s="67">
        <f t="shared" si="3"/>
        <v>34.625</v>
      </c>
      <c r="H109" s="67">
        <f t="shared" si="3"/>
        <v>15.982231292729393</v>
      </c>
      <c r="I109" s="67">
        <f t="shared" si="3"/>
        <v>1.1959620613518558</v>
      </c>
      <c r="J109" s="67">
        <f t="shared" si="3"/>
        <v>0.57506741595637001</v>
      </c>
      <c r="K109" s="67">
        <f t="shared" si="3"/>
        <v>121.8206010632442</v>
      </c>
      <c r="L109" s="67">
        <f t="shared" si="3"/>
        <v>4.5283169182204954</v>
      </c>
      <c r="M109" s="67">
        <f t="shared" si="3"/>
        <v>19.136121602587938</v>
      </c>
      <c r="N109" s="67">
        <f t="shared" si="3"/>
        <v>181.14052887373921</v>
      </c>
      <c r="O109" s="67">
        <f t="shared" si="3"/>
        <v>0</v>
      </c>
      <c r="P109" s="67">
        <f t="shared" si="3"/>
        <v>0.40810339032282139</v>
      </c>
      <c r="Q109" s="67">
        <f t="shared" si="3"/>
        <v>0.39989043181369122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COUNT(G9:G104)+92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2551</v>
      </c>
      <c r="B9" s="64">
        <v>100.18</v>
      </c>
      <c r="C9" s="64">
        <v>60.26</v>
      </c>
      <c r="D9" s="64">
        <v>110.45</v>
      </c>
      <c r="E9" s="64">
        <v>8.39</v>
      </c>
      <c r="F9" s="64">
        <v>4.33</v>
      </c>
      <c r="G9" s="209" t="s">
        <v>42</v>
      </c>
      <c r="H9" s="64">
        <v>55.66</v>
      </c>
      <c r="I9" s="64">
        <v>8.26</v>
      </c>
      <c r="J9" s="64">
        <v>1.1299999999999999</v>
      </c>
      <c r="K9" s="64">
        <v>308.13</v>
      </c>
      <c r="L9" s="64">
        <v>12.47</v>
      </c>
      <c r="M9" s="64">
        <v>80.62</v>
      </c>
      <c r="N9" s="64">
        <v>34.4</v>
      </c>
      <c r="O9" s="64">
        <v>0</v>
      </c>
      <c r="P9" s="64">
        <v>1.91</v>
      </c>
      <c r="Q9" s="64">
        <v>11.61</v>
      </c>
      <c r="R9" s="196"/>
      <c r="S9" s="196"/>
      <c r="T9" s="196"/>
      <c r="U9" s="196"/>
    </row>
    <row r="10" spans="1:21" s="12" customFormat="1" x14ac:dyDescent="0.25">
      <c r="A10" s="211" t="s">
        <v>2552</v>
      </c>
      <c r="B10" s="64">
        <v>101.27</v>
      </c>
      <c r="C10" s="64">
        <v>60</v>
      </c>
      <c r="D10" s="64">
        <v>111.19</v>
      </c>
      <c r="E10" s="64">
        <v>8.2799999999999994</v>
      </c>
      <c r="F10" s="64">
        <v>4.32</v>
      </c>
      <c r="G10" s="209" t="s">
        <v>42</v>
      </c>
      <c r="H10" s="64">
        <v>53.7</v>
      </c>
      <c r="I10" s="64">
        <v>8.16</v>
      </c>
      <c r="J10" s="64">
        <v>1.71</v>
      </c>
      <c r="K10" s="64">
        <v>280.18</v>
      </c>
      <c r="L10" s="64">
        <v>12.21</v>
      </c>
      <c r="M10" s="64">
        <v>79.63</v>
      </c>
      <c r="N10" s="64">
        <v>34.4</v>
      </c>
      <c r="O10" s="64">
        <v>0</v>
      </c>
      <c r="P10" s="64">
        <v>1.88</v>
      </c>
      <c r="Q10" s="64">
        <v>11.65</v>
      </c>
      <c r="R10" s="196"/>
      <c r="S10" s="196"/>
      <c r="T10" s="196"/>
      <c r="U10" s="196"/>
    </row>
    <row r="11" spans="1:21" s="12" customFormat="1" x14ac:dyDescent="0.25">
      <c r="A11" s="211" t="s">
        <v>2553</v>
      </c>
      <c r="B11" s="64">
        <v>100.61</v>
      </c>
      <c r="C11" s="64">
        <v>59.91</v>
      </c>
      <c r="D11" s="64">
        <v>110.6</v>
      </c>
      <c r="E11" s="64">
        <v>8.33</v>
      </c>
      <c r="F11" s="64">
        <v>4.25</v>
      </c>
      <c r="G11" s="209" t="s">
        <v>42</v>
      </c>
      <c r="H11" s="64">
        <v>53.7</v>
      </c>
      <c r="I11" s="64">
        <v>8.06</v>
      </c>
      <c r="J11" s="64">
        <v>1.63</v>
      </c>
      <c r="K11" s="64">
        <v>304.55</v>
      </c>
      <c r="L11" s="64">
        <v>12.07</v>
      </c>
      <c r="M11" s="64">
        <v>81.34</v>
      </c>
      <c r="N11" s="64">
        <v>34.4</v>
      </c>
      <c r="O11" s="64">
        <v>0</v>
      </c>
      <c r="P11" s="64">
        <v>1.85</v>
      </c>
      <c r="Q11" s="64">
        <v>11.64</v>
      </c>
      <c r="R11" s="196"/>
      <c r="S11" s="196"/>
      <c r="T11" s="196"/>
      <c r="U11" s="196"/>
    </row>
    <row r="12" spans="1:21" s="12" customFormat="1" x14ac:dyDescent="0.25">
      <c r="A12" s="211" t="s">
        <v>2554</v>
      </c>
      <c r="B12" s="64">
        <v>99.73</v>
      </c>
      <c r="C12" s="64">
        <v>59.42</v>
      </c>
      <c r="D12" s="64">
        <v>109.65</v>
      </c>
      <c r="E12" s="64">
        <v>8.1300000000000008</v>
      </c>
      <c r="F12" s="64">
        <v>4.25</v>
      </c>
      <c r="G12" s="209" t="s">
        <v>42</v>
      </c>
      <c r="H12" s="64">
        <v>53.7</v>
      </c>
      <c r="I12" s="64">
        <v>7.95</v>
      </c>
      <c r="J12" s="64">
        <v>1.33</v>
      </c>
      <c r="K12" s="64">
        <v>336.4</v>
      </c>
      <c r="L12" s="64">
        <v>11.92</v>
      </c>
      <c r="M12" s="64">
        <v>85.43</v>
      </c>
      <c r="N12" s="64">
        <v>34.4</v>
      </c>
      <c r="O12" s="64">
        <v>0</v>
      </c>
      <c r="P12" s="64">
        <v>1.82</v>
      </c>
      <c r="Q12" s="64">
        <v>11.64</v>
      </c>
      <c r="R12" s="196"/>
      <c r="S12" s="196"/>
      <c r="T12" s="196"/>
      <c r="U12" s="196"/>
    </row>
    <row r="13" spans="1:21" s="12" customFormat="1" x14ac:dyDescent="0.25">
      <c r="A13" s="211" t="s">
        <v>2555</v>
      </c>
      <c r="B13" s="64">
        <v>99.22</v>
      </c>
      <c r="C13" s="64">
        <v>58.51</v>
      </c>
      <c r="D13" s="64">
        <v>108.76</v>
      </c>
      <c r="E13" s="64">
        <v>8.0299999999999994</v>
      </c>
      <c r="F13" s="64">
        <v>4.3099999999999996</v>
      </c>
      <c r="G13" s="209" t="s">
        <v>42</v>
      </c>
      <c r="H13" s="64">
        <v>57.9</v>
      </c>
      <c r="I13" s="64">
        <v>7.86</v>
      </c>
      <c r="J13" s="64">
        <v>1.46</v>
      </c>
      <c r="K13" s="64">
        <v>298.92</v>
      </c>
      <c r="L13" s="64">
        <v>11.82</v>
      </c>
      <c r="M13" s="64">
        <v>87.02</v>
      </c>
      <c r="N13" s="64">
        <v>34.4</v>
      </c>
      <c r="O13" s="64">
        <v>0</v>
      </c>
      <c r="P13" s="64">
        <v>1.63</v>
      </c>
      <c r="Q13" s="64">
        <v>11.6</v>
      </c>
      <c r="R13" s="196"/>
      <c r="S13" s="196"/>
      <c r="T13" s="196"/>
      <c r="U13" s="196"/>
    </row>
    <row r="14" spans="1:21" s="12" customFormat="1" x14ac:dyDescent="0.25">
      <c r="A14" s="211" t="s">
        <v>2556</v>
      </c>
      <c r="B14" s="64">
        <v>97.33</v>
      </c>
      <c r="C14" s="64">
        <v>55.05</v>
      </c>
      <c r="D14" s="64">
        <v>105.44</v>
      </c>
      <c r="E14" s="64">
        <v>8.0299999999999994</v>
      </c>
      <c r="F14" s="64">
        <v>4.13</v>
      </c>
      <c r="G14" s="209" t="s">
        <v>42</v>
      </c>
      <c r="H14" s="64">
        <v>58.82</v>
      </c>
      <c r="I14" s="64">
        <v>7.81</v>
      </c>
      <c r="J14" s="64">
        <v>1.86</v>
      </c>
      <c r="K14" s="64">
        <v>330.86</v>
      </c>
      <c r="L14" s="64">
        <v>11.67</v>
      </c>
      <c r="M14" s="64">
        <v>90.25</v>
      </c>
      <c r="N14" s="64">
        <v>34.200000000000003</v>
      </c>
      <c r="O14" s="64">
        <v>0</v>
      </c>
      <c r="P14" s="64">
        <v>1.68</v>
      </c>
      <c r="Q14" s="64">
        <v>11.49</v>
      </c>
      <c r="R14" s="196"/>
      <c r="S14" s="196"/>
      <c r="T14" s="196"/>
      <c r="U14" s="196"/>
    </row>
    <row r="15" spans="1:21" s="12" customFormat="1" x14ac:dyDescent="0.25">
      <c r="A15" s="211" t="s">
        <v>2557</v>
      </c>
      <c r="B15" s="64">
        <v>95.3</v>
      </c>
      <c r="C15" s="64">
        <v>53.99</v>
      </c>
      <c r="D15" s="64">
        <v>103.25</v>
      </c>
      <c r="E15" s="64">
        <v>8.24</v>
      </c>
      <c r="F15" s="64">
        <v>4.04</v>
      </c>
      <c r="G15" s="209" t="s">
        <v>42</v>
      </c>
      <c r="H15" s="64">
        <v>58.82</v>
      </c>
      <c r="I15" s="64">
        <v>7.73</v>
      </c>
      <c r="J15" s="64">
        <v>2.19</v>
      </c>
      <c r="K15" s="64">
        <v>322.76</v>
      </c>
      <c r="L15" s="64">
        <v>11.65</v>
      </c>
      <c r="M15" s="64">
        <v>93.15</v>
      </c>
      <c r="N15" s="64">
        <v>33</v>
      </c>
      <c r="O15" s="64">
        <v>0</v>
      </c>
      <c r="P15" s="64">
        <v>1.66</v>
      </c>
      <c r="Q15" s="64">
        <v>11.47</v>
      </c>
      <c r="R15" s="196"/>
      <c r="S15" s="196"/>
      <c r="T15" s="196"/>
      <c r="U15" s="196"/>
    </row>
    <row r="16" spans="1:21" s="12" customFormat="1" x14ac:dyDescent="0.25">
      <c r="A16" s="211" t="s">
        <v>2558</v>
      </c>
      <c r="B16" s="64">
        <v>91.91</v>
      </c>
      <c r="C16" s="64">
        <v>53.16</v>
      </c>
      <c r="D16" s="64">
        <v>100.1</v>
      </c>
      <c r="E16" s="64">
        <v>8.18</v>
      </c>
      <c r="F16" s="64">
        <v>3.92</v>
      </c>
      <c r="G16" s="209" t="s">
        <v>42</v>
      </c>
      <c r="H16" s="64">
        <v>58.82</v>
      </c>
      <c r="I16" s="64">
        <v>7.73</v>
      </c>
      <c r="J16" s="64">
        <v>2.2599999999999998</v>
      </c>
      <c r="K16" s="64">
        <v>325.11</v>
      </c>
      <c r="L16" s="64">
        <v>11.98</v>
      </c>
      <c r="M16" s="64">
        <v>88.09</v>
      </c>
      <c r="N16" s="64">
        <v>33.4</v>
      </c>
      <c r="O16" s="64">
        <v>0</v>
      </c>
      <c r="P16" s="64">
        <v>1.66</v>
      </c>
      <c r="Q16" s="64">
        <v>11.5</v>
      </c>
      <c r="R16" s="196"/>
      <c r="S16" s="196"/>
      <c r="T16" s="196"/>
      <c r="U16" s="196"/>
    </row>
    <row r="17" spans="1:21" s="12" customFormat="1" x14ac:dyDescent="0.25">
      <c r="A17" s="211" t="s">
        <v>2559</v>
      </c>
      <c r="B17" s="64">
        <v>88.21</v>
      </c>
      <c r="C17" s="64">
        <v>51.98</v>
      </c>
      <c r="D17" s="64">
        <v>96.52</v>
      </c>
      <c r="E17" s="64">
        <v>8.69</v>
      </c>
      <c r="F17" s="64">
        <v>4.0999999999999996</v>
      </c>
      <c r="G17" s="209" t="s">
        <v>42</v>
      </c>
      <c r="H17" s="64">
        <v>62.33</v>
      </c>
      <c r="I17" s="64">
        <v>7.71</v>
      </c>
      <c r="J17" s="64">
        <v>1.79</v>
      </c>
      <c r="K17" s="64">
        <v>322.14</v>
      </c>
      <c r="L17" s="64">
        <v>11.85</v>
      </c>
      <c r="M17" s="64">
        <v>84.46</v>
      </c>
      <c r="N17" s="64">
        <v>34.1</v>
      </c>
      <c r="O17" s="64">
        <v>0</v>
      </c>
      <c r="P17" s="64">
        <v>1.64</v>
      </c>
      <c r="Q17" s="64">
        <v>11.48</v>
      </c>
      <c r="R17" s="196"/>
      <c r="S17" s="196"/>
      <c r="T17" s="196"/>
      <c r="U17" s="196"/>
    </row>
    <row r="18" spans="1:21" s="12" customFormat="1" x14ac:dyDescent="0.25">
      <c r="A18" s="211" t="s">
        <v>2560</v>
      </c>
      <c r="B18" s="64">
        <v>84.17</v>
      </c>
      <c r="C18" s="64">
        <v>50.85</v>
      </c>
      <c r="D18" s="64">
        <v>92.69</v>
      </c>
      <c r="E18" s="64">
        <v>8.83</v>
      </c>
      <c r="F18" s="64">
        <v>4.05</v>
      </c>
      <c r="G18" s="209" t="s">
        <v>42</v>
      </c>
      <c r="H18" s="64">
        <v>63.09</v>
      </c>
      <c r="I18" s="64">
        <v>7.69</v>
      </c>
      <c r="J18" s="64">
        <v>1.69</v>
      </c>
      <c r="K18" s="64">
        <v>308.04000000000002</v>
      </c>
      <c r="L18" s="64">
        <v>11.56</v>
      </c>
      <c r="M18" s="64">
        <v>85.1</v>
      </c>
      <c r="N18" s="64">
        <v>34.4</v>
      </c>
      <c r="O18" s="64">
        <v>0</v>
      </c>
      <c r="P18" s="64">
        <v>1.63</v>
      </c>
      <c r="Q18" s="64">
        <v>11.47</v>
      </c>
      <c r="R18" s="196"/>
      <c r="S18" s="196"/>
      <c r="T18" s="196"/>
      <c r="U18" s="196"/>
    </row>
    <row r="19" spans="1:21" s="12" customFormat="1" x14ac:dyDescent="0.25">
      <c r="A19" s="211" t="s">
        <v>2561</v>
      </c>
      <c r="B19" s="64">
        <v>80.52</v>
      </c>
      <c r="C19" s="64">
        <v>49.52</v>
      </c>
      <c r="D19" s="64">
        <v>89.07</v>
      </c>
      <c r="E19" s="64">
        <v>8.65</v>
      </c>
      <c r="F19" s="64">
        <v>4.13</v>
      </c>
      <c r="G19" s="209" t="s">
        <v>42</v>
      </c>
      <c r="H19" s="64">
        <v>63.09</v>
      </c>
      <c r="I19" s="64">
        <v>7.69</v>
      </c>
      <c r="J19" s="64">
        <v>1.7</v>
      </c>
      <c r="K19" s="64">
        <v>326.52999999999997</v>
      </c>
      <c r="L19" s="64">
        <v>11.3</v>
      </c>
      <c r="M19" s="64">
        <v>85.99</v>
      </c>
      <c r="N19" s="64">
        <v>34.299999999999997</v>
      </c>
      <c r="O19" s="64">
        <v>0</v>
      </c>
      <c r="P19" s="64">
        <v>1.62</v>
      </c>
      <c r="Q19" s="64">
        <v>11.41</v>
      </c>
      <c r="R19" s="196"/>
      <c r="S19" s="196"/>
      <c r="T19" s="196"/>
      <c r="U19" s="196"/>
    </row>
    <row r="20" spans="1:21" s="12" customFormat="1" x14ac:dyDescent="0.25">
      <c r="A20" s="211" t="s">
        <v>2562</v>
      </c>
      <c r="B20" s="64">
        <v>76.94</v>
      </c>
      <c r="C20" s="64">
        <v>48.57</v>
      </c>
      <c r="D20" s="64">
        <v>85.7</v>
      </c>
      <c r="E20" s="64">
        <v>8.77</v>
      </c>
      <c r="F20" s="64">
        <v>4.17</v>
      </c>
      <c r="G20" s="209" t="s">
        <v>42</v>
      </c>
      <c r="H20" s="64">
        <v>63.09</v>
      </c>
      <c r="I20" s="64">
        <v>7.69</v>
      </c>
      <c r="J20" s="64">
        <v>1.05</v>
      </c>
      <c r="K20" s="64">
        <v>358.98</v>
      </c>
      <c r="L20" s="64">
        <v>11.36</v>
      </c>
      <c r="M20" s="64">
        <v>84.9</v>
      </c>
      <c r="N20" s="64">
        <v>34.1</v>
      </c>
      <c r="O20" s="64">
        <v>0</v>
      </c>
      <c r="P20" s="64">
        <v>1.6</v>
      </c>
      <c r="Q20" s="64">
        <v>11.39</v>
      </c>
      <c r="R20" s="196"/>
      <c r="S20" s="196"/>
      <c r="T20" s="196"/>
      <c r="U20" s="196"/>
    </row>
    <row r="21" spans="1:21" s="12" customFormat="1" x14ac:dyDescent="0.25">
      <c r="A21" s="211" t="s">
        <v>2563</v>
      </c>
      <c r="B21" s="64">
        <v>73.819999999999993</v>
      </c>
      <c r="C21" s="64">
        <v>47.89</v>
      </c>
      <c r="D21" s="64">
        <v>82.85</v>
      </c>
      <c r="E21" s="64">
        <v>8.9</v>
      </c>
      <c r="F21" s="64">
        <v>5.52</v>
      </c>
      <c r="G21" s="209" t="s">
        <v>42</v>
      </c>
      <c r="H21" s="64">
        <v>77.67</v>
      </c>
      <c r="I21" s="64">
        <v>7.68</v>
      </c>
      <c r="J21" s="64">
        <v>0.13</v>
      </c>
      <c r="K21" s="64">
        <v>7.15</v>
      </c>
      <c r="L21" s="64">
        <v>11.49</v>
      </c>
      <c r="M21" s="64">
        <v>82.94</v>
      </c>
      <c r="N21" s="64">
        <v>34.1</v>
      </c>
      <c r="O21" s="64">
        <v>0</v>
      </c>
      <c r="P21" s="64">
        <v>1.59</v>
      </c>
      <c r="Q21" s="64">
        <v>11.33</v>
      </c>
      <c r="R21" s="196"/>
      <c r="S21" s="196"/>
      <c r="T21" s="196"/>
      <c r="U21" s="196"/>
    </row>
    <row r="22" spans="1:21" s="12" customFormat="1" x14ac:dyDescent="0.25">
      <c r="A22" s="211" t="s">
        <v>2564</v>
      </c>
      <c r="B22" s="64">
        <v>71.02</v>
      </c>
      <c r="C22" s="64">
        <v>47.88</v>
      </c>
      <c r="D22" s="64">
        <v>80.59</v>
      </c>
      <c r="E22" s="64">
        <v>9.51</v>
      </c>
      <c r="F22" s="64">
        <v>4.72</v>
      </c>
      <c r="G22" s="209" t="s">
        <v>42</v>
      </c>
      <c r="H22" s="64">
        <v>80.849999999999994</v>
      </c>
      <c r="I22" s="64">
        <v>7.66</v>
      </c>
      <c r="J22" s="64">
        <v>2.02</v>
      </c>
      <c r="K22" s="64">
        <v>348.22</v>
      </c>
      <c r="L22" s="64">
        <v>11.86</v>
      </c>
      <c r="M22" s="64">
        <v>76.81</v>
      </c>
      <c r="N22" s="64">
        <v>33.299999999999997</v>
      </c>
      <c r="O22" s="64">
        <v>0</v>
      </c>
      <c r="P22" s="64">
        <v>1.58</v>
      </c>
      <c r="Q22" s="64">
        <v>11.3</v>
      </c>
      <c r="R22" s="196"/>
      <c r="S22" s="196"/>
      <c r="T22" s="196"/>
      <c r="U22" s="196"/>
    </row>
    <row r="23" spans="1:21" s="12" customFormat="1" x14ac:dyDescent="0.25">
      <c r="A23" s="211" t="s">
        <v>2565</v>
      </c>
      <c r="B23" s="64">
        <v>67.28</v>
      </c>
      <c r="C23" s="64">
        <v>47.67</v>
      </c>
      <c r="D23" s="64">
        <v>77.489999999999995</v>
      </c>
      <c r="E23" s="64">
        <v>9.39</v>
      </c>
      <c r="F23" s="64">
        <v>4.71</v>
      </c>
      <c r="G23" s="209" t="s">
        <v>42</v>
      </c>
      <c r="H23" s="64">
        <v>80.849999999999994</v>
      </c>
      <c r="I23" s="64">
        <v>7.58</v>
      </c>
      <c r="J23" s="64">
        <v>2.04</v>
      </c>
      <c r="K23" s="64">
        <v>342.93</v>
      </c>
      <c r="L23" s="64">
        <v>12.24</v>
      </c>
      <c r="M23" s="64">
        <v>73.05</v>
      </c>
      <c r="N23" s="64">
        <v>33.5</v>
      </c>
      <c r="O23" s="64">
        <v>0</v>
      </c>
      <c r="P23" s="64">
        <v>1.55</v>
      </c>
      <c r="Q23" s="64">
        <v>11.19</v>
      </c>
      <c r="R23" s="196"/>
      <c r="S23" s="196"/>
      <c r="T23" s="196"/>
      <c r="U23" s="196"/>
    </row>
    <row r="24" spans="1:21" s="12" customFormat="1" x14ac:dyDescent="0.25">
      <c r="A24" s="211" t="s">
        <v>2566</v>
      </c>
      <c r="B24" s="64">
        <v>63.08</v>
      </c>
      <c r="C24" s="64">
        <v>47.35</v>
      </c>
      <c r="D24" s="64">
        <v>73.95</v>
      </c>
      <c r="E24" s="64">
        <v>7.12</v>
      </c>
      <c r="F24" s="64">
        <v>4.78</v>
      </c>
      <c r="G24" s="209" t="s">
        <v>42</v>
      </c>
      <c r="H24" s="64">
        <v>80.849999999999994</v>
      </c>
      <c r="I24" s="64">
        <v>7.43</v>
      </c>
      <c r="J24" s="64">
        <v>1.1399999999999999</v>
      </c>
      <c r="K24" s="64">
        <v>82.78</v>
      </c>
      <c r="L24" s="64">
        <v>12.12</v>
      </c>
      <c r="M24" s="64">
        <v>72.83</v>
      </c>
      <c r="N24" s="64">
        <v>34.4</v>
      </c>
      <c r="O24" s="64">
        <v>0</v>
      </c>
      <c r="P24" s="64">
        <v>1.56</v>
      </c>
      <c r="Q24" s="64">
        <v>11.11</v>
      </c>
      <c r="R24" s="196"/>
      <c r="S24" s="196"/>
      <c r="T24" s="196"/>
      <c r="U24" s="196"/>
    </row>
    <row r="25" spans="1:21" s="12" customFormat="1" x14ac:dyDescent="0.25">
      <c r="A25" s="211" t="s">
        <v>2567</v>
      </c>
      <c r="B25" s="64">
        <v>59.32</v>
      </c>
      <c r="C25" s="64">
        <v>46.72</v>
      </c>
      <c r="D25" s="64">
        <v>70.599999999999994</v>
      </c>
      <c r="E25" s="64">
        <v>8.2899999999999991</v>
      </c>
      <c r="F25" s="64">
        <v>4.54</v>
      </c>
      <c r="G25" s="209" t="s">
        <v>42</v>
      </c>
      <c r="H25" s="64">
        <v>88.82</v>
      </c>
      <c r="I25" s="64">
        <v>7.29</v>
      </c>
      <c r="J25" s="64">
        <v>1.1399999999999999</v>
      </c>
      <c r="K25" s="64">
        <v>115.59</v>
      </c>
      <c r="L25" s="64">
        <v>11.72</v>
      </c>
      <c r="M25" s="64">
        <v>75.209999999999994</v>
      </c>
      <c r="N25" s="64">
        <v>34.4</v>
      </c>
      <c r="O25" s="64">
        <v>0</v>
      </c>
      <c r="P25" s="64">
        <v>1.57</v>
      </c>
      <c r="Q25" s="64">
        <v>11.06</v>
      </c>
      <c r="R25" s="196"/>
      <c r="S25" s="196"/>
      <c r="T25" s="196"/>
      <c r="U25" s="196"/>
    </row>
    <row r="26" spans="1:21" s="12" customFormat="1" x14ac:dyDescent="0.25">
      <c r="A26" s="211" t="s">
        <v>2568</v>
      </c>
      <c r="B26" s="64">
        <v>56.1</v>
      </c>
      <c r="C26" s="64">
        <v>46.33</v>
      </c>
      <c r="D26" s="64">
        <v>67.819999999999993</v>
      </c>
      <c r="E26" s="64">
        <v>8</v>
      </c>
      <c r="F26" s="64">
        <v>4.3899999999999997</v>
      </c>
      <c r="G26" s="209" t="s">
        <v>42</v>
      </c>
      <c r="H26" s="64">
        <v>91.9</v>
      </c>
      <c r="I26" s="64">
        <v>7.12</v>
      </c>
      <c r="J26" s="64">
        <v>0.92</v>
      </c>
      <c r="K26" s="64">
        <v>72.010000000000005</v>
      </c>
      <c r="L26" s="64">
        <v>11.55</v>
      </c>
      <c r="M26" s="64">
        <v>77.05</v>
      </c>
      <c r="N26" s="64">
        <v>34.299999999999997</v>
      </c>
      <c r="O26" s="64">
        <v>0</v>
      </c>
      <c r="P26" s="64">
        <v>1.57</v>
      </c>
      <c r="Q26" s="64">
        <v>10.98</v>
      </c>
      <c r="R26" s="196"/>
      <c r="S26" s="196"/>
      <c r="T26" s="196"/>
      <c r="U26" s="196"/>
    </row>
    <row r="27" spans="1:21" s="12" customFormat="1" x14ac:dyDescent="0.25">
      <c r="A27" s="211" t="s">
        <v>2569</v>
      </c>
      <c r="B27" s="64">
        <v>52.7</v>
      </c>
      <c r="C27" s="64">
        <v>46.5</v>
      </c>
      <c r="D27" s="64">
        <v>65.180000000000007</v>
      </c>
      <c r="E27" s="64">
        <v>7.79</v>
      </c>
      <c r="F27" s="64">
        <v>4.4000000000000004</v>
      </c>
      <c r="G27" s="209" t="s">
        <v>42</v>
      </c>
      <c r="H27" s="64">
        <v>91.9</v>
      </c>
      <c r="I27" s="64">
        <v>6.98</v>
      </c>
      <c r="J27" s="64">
        <v>0.23</v>
      </c>
      <c r="K27" s="64">
        <v>71.45</v>
      </c>
      <c r="L27" s="64">
        <v>11.52</v>
      </c>
      <c r="M27" s="64">
        <v>77.55</v>
      </c>
      <c r="N27" s="64">
        <v>34.1</v>
      </c>
      <c r="O27" s="64">
        <v>0</v>
      </c>
      <c r="P27" s="64">
        <v>1.53</v>
      </c>
      <c r="Q27" s="64">
        <v>10.96</v>
      </c>
      <c r="R27" s="196"/>
      <c r="S27" s="196"/>
      <c r="T27" s="196"/>
      <c r="U27" s="196"/>
    </row>
    <row r="28" spans="1:21" s="12" customFormat="1" x14ac:dyDescent="0.25">
      <c r="A28" s="211" t="s">
        <v>2570</v>
      </c>
      <c r="B28" s="64">
        <v>49.64</v>
      </c>
      <c r="C28" s="64">
        <v>46.29</v>
      </c>
      <c r="D28" s="64">
        <v>62.62</v>
      </c>
      <c r="E28" s="64">
        <v>7.15</v>
      </c>
      <c r="F28" s="64">
        <v>4.1399999999999997</v>
      </c>
      <c r="G28" s="209" t="s">
        <v>42</v>
      </c>
      <c r="H28" s="64">
        <v>91.9</v>
      </c>
      <c r="I28" s="64">
        <v>6.8</v>
      </c>
      <c r="J28" s="64">
        <v>0.15</v>
      </c>
      <c r="K28" s="64">
        <v>356.49</v>
      </c>
      <c r="L28" s="64">
        <v>11.35</v>
      </c>
      <c r="M28" s="64">
        <v>78.53</v>
      </c>
      <c r="N28" s="64">
        <v>34.299999999999997</v>
      </c>
      <c r="O28" s="64">
        <v>0</v>
      </c>
      <c r="P28" s="64">
        <v>1.48</v>
      </c>
      <c r="Q28" s="64">
        <v>10.93</v>
      </c>
      <c r="R28" s="196"/>
      <c r="S28" s="196"/>
      <c r="T28" s="196"/>
      <c r="U28" s="196"/>
    </row>
    <row r="29" spans="1:21" s="12" customFormat="1" x14ac:dyDescent="0.25">
      <c r="A29" s="211" t="s">
        <v>2571</v>
      </c>
      <c r="B29" s="64">
        <v>47.04</v>
      </c>
      <c r="C29" s="64">
        <v>46.07</v>
      </c>
      <c r="D29" s="64">
        <v>60.41</v>
      </c>
      <c r="E29" s="64">
        <v>7.12</v>
      </c>
      <c r="F29" s="64">
        <v>4.03</v>
      </c>
      <c r="G29" s="209" t="s">
        <v>42</v>
      </c>
      <c r="H29" s="64">
        <v>77.67</v>
      </c>
      <c r="I29" s="64">
        <v>6.6</v>
      </c>
      <c r="J29" s="64">
        <v>0.72</v>
      </c>
      <c r="K29" s="64">
        <v>42.39</v>
      </c>
      <c r="L29" s="64">
        <v>11.23</v>
      </c>
      <c r="M29" s="64">
        <v>79.040000000000006</v>
      </c>
      <c r="N29" s="64">
        <v>34.200000000000003</v>
      </c>
      <c r="O29" s="64">
        <v>0</v>
      </c>
      <c r="P29" s="64">
        <v>1.43</v>
      </c>
      <c r="Q29" s="64">
        <v>10.87</v>
      </c>
      <c r="R29" s="196"/>
      <c r="S29" s="196"/>
      <c r="T29" s="196"/>
      <c r="U29" s="196"/>
    </row>
    <row r="30" spans="1:21" s="12" customFormat="1" x14ac:dyDescent="0.25">
      <c r="A30" s="211" t="s">
        <v>2572</v>
      </c>
      <c r="B30" s="64">
        <v>44.48</v>
      </c>
      <c r="C30" s="64">
        <v>45.53</v>
      </c>
      <c r="D30" s="64">
        <v>58.08</v>
      </c>
      <c r="E30" s="64">
        <v>6.88</v>
      </c>
      <c r="F30" s="64">
        <v>4.3099999999999996</v>
      </c>
      <c r="G30" s="209" t="s">
        <v>42</v>
      </c>
      <c r="H30" s="64">
        <v>74.569999999999993</v>
      </c>
      <c r="I30" s="64">
        <v>6.41</v>
      </c>
      <c r="J30" s="64">
        <v>1.27</v>
      </c>
      <c r="K30" s="64">
        <v>61.32</v>
      </c>
      <c r="L30" s="64">
        <v>11.28</v>
      </c>
      <c r="M30" s="64">
        <v>79.150000000000006</v>
      </c>
      <c r="N30" s="64">
        <v>34.200000000000003</v>
      </c>
      <c r="O30" s="64">
        <v>0</v>
      </c>
      <c r="P30" s="64">
        <v>1.37</v>
      </c>
      <c r="Q30" s="64">
        <v>10.84</v>
      </c>
      <c r="R30" s="196"/>
      <c r="S30" s="196"/>
      <c r="T30" s="196"/>
      <c r="U30" s="196"/>
    </row>
    <row r="31" spans="1:21" s="12" customFormat="1" x14ac:dyDescent="0.25">
      <c r="A31" s="211" t="s">
        <v>2573</v>
      </c>
      <c r="B31" s="64">
        <v>42.03</v>
      </c>
      <c r="C31" s="64">
        <v>43.83</v>
      </c>
      <c r="D31" s="64">
        <v>55.23</v>
      </c>
      <c r="E31" s="64">
        <v>6.4</v>
      </c>
      <c r="F31" s="64">
        <v>4.0999999999999996</v>
      </c>
      <c r="G31" s="209" t="s">
        <v>42</v>
      </c>
      <c r="H31" s="64">
        <v>74.569999999999993</v>
      </c>
      <c r="I31" s="64">
        <v>6.23</v>
      </c>
      <c r="J31" s="64">
        <v>1.5</v>
      </c>
      <c r="K31" s="64">
        <v>88.67</v>
      </c>
      <c r="L31" s="64">
        <v>11.25</v>
      </c>
      <c r="M31" s="64">
        <v>80.010000000000005</v>
      </c>
      <c r="N31" s="64">
        <v>34.1</v>
      </c>
      <c r="O31" s="64">
        <v>0</v>
      </c>
      <c r="P31" s="64">
        <v>1.33</v>
      </c>
      <c r="Q31" s="64">
        <v>10.79</v>
      </c>
      <c r="R31" s="196"/>
      <c r="S31" s="196"/>
      <c r="T31" s="196"/>
      <c r="U31" s="196"/>
    </row>
    <row r="32" spans="1:21" s="12" customFormat="1" x14ac:dyDescent="0.25">
      <c r="A32" s="211" t="s">
        <v>2574</v>
      </c>
      <c r="B32" s="64">
        <v>40.450000000000003</v>
      </c>
      <c r="C32" s="64">
        <v>44.16</v>
      </c>
      <c r="D32" s="64">
        <v>54.13</v>
      </c>
      <c r="E32" s="64">
        <v>5.96</v>
      </c>
      <c r="F32" s="64">
        <v>3.85</v>
      </c>
      <c r="G32" s="209" t="s">
        <v>42</v>
      </c>
      <c r="H32" s="64">
        <v>74.569999999999993</v>
      </c>
      <c r="I32" s="64">
        <v>6.09</v>
      </c>
      <c r="J32" s="64">
        <v>0.93</v>
      </c>
      <c r="K32" s="64">
        <v>102.23</v>
      </c>
      <c r="L32" s="64">
        <v>11.2</v>
      </c>
      <c r="M32" s="64">
        <v>80.790000000000006</v>
      </c>
      <c r="N32" s="64">
        <v>34.1</v>
      </c>
      <c r="O32" s="64">
        <v>0</v>
      </c>
      <c r="P32" s="64">
        <v>1.29</v>
      </c>
      <c r="Q32" s="64">
        <v>10.78</v>
      </c>
      <c r="R32" s="196"/>
      <c r="S32" s="196"/>
      <c r="T32" s="196"/>
      <c r="U32" s="196"/>
    </row>
    <row r="33" spans="1:21" s="12" customFormat="1" x14ac:dyDescent="0.25">
      <c r="A33" s="211" t="s">
        <v>2575</v>
      </c>
      <c r="B33" s="64">
        <v>38.97</v>
      </c>
      <c r="C33" s="64">
        <v>44.4</v>
      </c>
      <c r="D33" s="64">
        <v>53.07</v>
      </c>
      <c r="E33" s="64">
        <v>6.5</v>
      </c>
      <c r="F33" s="64">
        <v>3.91</v>
      </c>
      <c r="G33" s="209" t="s">
        <v>42</v>
      </c>
      <c r="H33" s="64">
        <v>53.76</v>
      </c>
      <c r="I33" s="64">
        <v>6.02</v>
      </c>
      <c r="J33" s="64">
        <v>1.1599999999999999</v>
      </c>
      <c r="K33" s="64">
        <v>70.89</v>
      </c>
      <c r="L33" s="64">
        <v>11.26</v>
      </c>
      <c r="M33" s="64">
        <v>80.36</v>
      </c>
      <c r="N33" s="64">
        <v>34.799999999999997</v>
      </c>
      <c r="O33" s="64">
        <v>0</v>
      </c>
      <c r="P33" s="64">
        <v>1.25</v>
      </c>
      <c r="Q33" s="64">
        <v>10.79</v>
      </c>
      <c r="R33" s="196"/>
      <c r="S33" s="196"/>
      <c r="T33" s="196"/>
      <c r="U33" s="196"/>
    </row>
    <row r="34" spans="1:21" s="12" customFormat="1" x14ac:dyDescent="0.25">
      <c r="A34" s="211" t="s">
        <v>2576</v>
      </c>
      <c r="B34" s="64">
        <v>37.31</v>
      </c>
      <c r="C34" s="64">
        <v>44.4</v>
      </c>
      <c r="D34" s="64">
        <v>51.73</v>
      </c>
      <c r="E34" s="64">
        <v>6.37</v>
      </c>
      <c r="F34" s="64">
        <v>3.56</v>
      </c>
      <c r="G34" s="209" t="s">
        <v>42</v>
      </c>
      <c r="H34" s="64">
        <v>49.22</v>
      </c>
      <c r="I34" s="64">
        <v>5.99</v>
      </c>
      <c r="J34" s="64">
        <v>0.78</v>
      </c>
      <c r="K34" s="64">
        <v>68.77</v>
      </c>
      <c r="L34" s="64">
        <v>11.19</v>
      </c>
      <c r="M34" s="64">
        <v>80.8</v>
      </c>
      <c r="N34" s="64">
        <v>38.4</v>
      </c>
      <c r="O34" s="64">
        <v>0</v>
      </c>
      <c r="P34" s="64">
        <v>1.22</v>
      </c>
      <c r="Q34" s="64">
        <v>10.79</v>
      </c>
      <c r="R34" s="196"/>
      <c r="S34" s="196"/>
      <c r="T34" s="196"/>
      <c r="U34" s="196"/>
    </row>
    <row r="35" spans="1:21" s="12" customFormat="1" x14ac:dyDescent="0.25">
      <c r="A35" s="211" t="s">
        <v>2577</v>
      </c>
      <c r="B35" s="64">
        <v>35.65</v>
      </c>
      <c r="C35" s="64">
        <v>43.37</v>
      </c>
      <c r="D35" s="64">
        <v>49.87</v>
      </c>
      <c r="E35" s="64">
        <v>6.18</v>
      </c>
      <c r="F35" s="64">
        <v>3.66</v>
      </c>
      <c r="G35" s="209" t="s">
        <v>42</v>
      </c>
      <c r="H35" s="64">
        <v>49.22</v>
      </c>
      <c r="I35" s="64">
        <v>5.94</v>
      </c>
      <c r="J35" s="64">
        <v>0.67</v>
      </c>
      <c r="K35" s="64">
        <v>358.56</v>
      </c>
      <c r="L35" s="64">
        <v>11.3</v>
      </c>
      <c r="M35" s="64">
        <v>81.14</v>
      </c>
      <c r="N35" s="64">
        <v>49.4</v>
      </c>
      <c r="O35" s="64">
        <v>0</v>
      </c>
      <c r="P35" s="64">
        <v>1.18</v>
      </c>
      <c r="Q35" s="64">
        <v>10.81</v>
      </c>
      <c r="R35" s="196"/>
      <c r="S35" s="196"/>
      <c r="T35" s="196"/>
      <c r="U35" s="196"/>
    </row>
    <row r="36" spans="1:21" s="12" customFormat="1" x14ac:dyDescent="0.25">
      <c r="A36" s="211" t="s">
        <v>2578</v>
      </c>
      <c r="B36" s="64">
        <v>35.72</v>
      </c>
      <c r="C36" s="64">
        <v>43.8</v>
      </c>
      <c r="D36" s="64">
        <v>50.15</v>
      </c>
      <c r="E36" s="64">
        <v>6.57</v>
      </c>
      <c r="F36" s="64">
        <v>3.76</v>
      </c>
      <c r="G36" s="209" t="s">
        <v>42</v>
      </c>
      <c r="H36" s="64">
        <v>49.22</v>
      </c>
      <c r="I36" s="64">
        <v>5.88</v>
      </c>
      <c r="J36" s="64">
        <v>1.01</v>
      </c>
      <c r="K36" s="64">
        <v>332.41</v>
      </c>
      <c r="L36" s="64">
        <v>11.68</v>
      </c>
      <c r="M36" s="64">
        <v>81.06</v>
      </c>
      <c r="N36" s="64">
        <v>69.599999999999994</v>
      </c>
      <c r="O36" s="64">
        <v>0</v>
      </c>
      <c r="P36" s="64">
        <v>1.17</v>
      </c>
      <c r="Q36" s="64">
        <v>10.79</v>
      </c>
      <c r="R36" s="196"/>
      <c r="S36" s="196"/>
      <c r="T36" s="196"/>
      <c r="U36" s="196"/>
    </row>
    <row r="37" spans="1:21" s="12" customFormat="1" x14ac:dyDescent="0.25">
      <c r="A37" s="211" t="s">
        <v>2579</v>
      </c>
      <c r="B37" s="64">
        <v>37.47</v>
      </c>
      <c r="C37" s="64">
        <v>44.72</v>
      </c>
      <c r="D37" s="64">
        <v>52.04</v>
      </c>
      <c r="E37" s="64">
        <v>7.39</v>
      </c>
      <c r="F37" s="64">
        <v>3.88</v>
      </c>
      <c r="G37" s="209" t="s">
        <v>42</v>
      </c>
      <c r="H37" s="64">
        <v>43.59</v>
      </c>
      <c r="I37" s="64">
        <v>5.81</v>
      </c>
      <c r="J37" s="64">
        <v>0.3</v>
      </c>
      <c r="K37" s="64">
        <v>111.55</v>
      </c>
      <c r="L37" s="64">
        <v>12.45</v>
      </c>
      <c r="M37" s="64">
        <v>75.11</v>
      </c>
      <c r="N37" s="64">
        <v>93.5</v>
      </c>
      <c r="O37" s="64">
        <v>0</v>
      </c>
      <c r="P37" s="64">
        <v>1.1599999999999999</v>
      </c>
      <c r="Q37" s="64">
        <v>10.78</v>
      </c>
      <c r="R37" s="196"/>
      <c r="S37" s="196"/>
      <c r="T37" s="196"/>
      <c r="U37" s="196"/>
    </row>
    <row r="38" spans="1:21" s="12" customFormat="1" x14ac:dyDescent="0.25">
      <c r="A38" s="211" t="s">
        <v>2580</v>
      </c>
      <c r="B38" s="64">
        <v>38.32</v>
      </c>
      <c r="C38" s="64">
        <v>45.42</v>
      </c>
      <c r="D38" s="64">
        <v>53.08</v>
      </c>
      <c r="E38" s="64">
        <v>6.97</v>
      </c>
      <c r="F38" s="64">
        <v>3.94</v>
      </c>
      <c r="G38" s="209" t="s">
        <v>42</v>
      </c>
      <c r="H38" s="64">
        <v>42.36</v>
      </c>
      <c r="I38" s="64">
        <v>5.79</v>
      </c>
      <c r="J38" s="64">
        <v>1.1599999999999999</v>
      </c>
      <c r="K38" s="64">
        <v>335.87</v>
      </c>
      <c r="L38" s="64">
        <v>13.46</v>
      </c>
      <c r="M38" s="64">
        <v>70.930000000000007</v>
      </c>
      <c r="N38" s="64">
        <v>129.19999999999999</v>
      </c>
      <c r="O38" s="64">
        <v>0</v>
      </c>
      <c r="P38" s="64">
        <v>1.2</v>
      </c>
      <c r="Q38" s="64">
        <v>10.81</v>
      </c>
      <c r="R38" s="196"/>
      <c r="S38" s="196"/>
      <c r="T38" s="196"/>
      <c r="U38" s="196"/>
    </row>
    <row r="39" spans="1:21" s="12" customFormat="1" x14ac:dyDescent="0.25">
      <c r="A39" s="211" t="s">
        <v>2581</v>
      </c>
      <c r="B39" s="64">
        <v>38.08</v>
      </c>
      <c r="C39" s="64">
        <v>46.83</v>
      </c>
      <c r="D39" s="64">
        <v>53.63</v>
      </c>
      <c r="E39" s="64">
        <v>7.29</v>
      </c>
      <c r="F39" s="64">
        <v>4.04</v>
      </c>
      <c r="G39" s="209" t="s">
        <v>42</v>
      </c>
      <c r="H39" s="64">
        <v>42.36</v>
      </c>
      <c r="I39" s="64">
        <v>5.79</v>
      </c>
      <c r="J39" s="64">
        <v>1.44</v>
      </c>
      <c r="K39" s="64">
        <v>330.99</v>
      </c>
      <c r="L39" s="64">
        <v>14.89</v>
      </c>
      <c r="M39" s="64">
        <v>64.59</v>
      </c>
      <c r="N39" s="64">
        <v>198.9</v>
      </c>
      <c r="O39" s="64">
        <v>0</v>
      </c>
      <c r="P39" s="64">
        <v>1.19</v>
      </c>
      <c r="Q39" s="64">
        <v>10.86</v>
      </c>
      <c r="R39" s="196"/>
      <c r="S39" s="196"/>
      <c r="T39" s="196"/>
      <c r="U39" s="196"/>
    </row>
    <row r="40" spans="1:21" s="12" customFormat="1" x14ac:dyDescent="0.25">
      <c r="A40" s="211" t="s">
        <v>2582</v>
      </c>
      <c r="B40" s="64">
        <v>36.880000000000003</v>
      </c>
      <c r="C40" s="64">
        <v>47.6</v>
      </c>
      <c r="D40" s="64">
        <v>53.07</v>
      </c>
      <c r="E40" s="64">
        <v>5.08</v>
      </c>
      <c r="F40" s="64">
        <v>4.25</v>
      </c>
      <c r="G40" s="209" t="s">
        <v>42</v>
      </c>
      <c r="H40" s="64">
        <v>42.36</v>
      </c>
      <c r="I40" s="64">
        <v>5.73</v>
      </c>
      <c r="J40" s="64">
        <v>0.65</v>
      </c>
      <c r="K40" s="64">
        <v>71.989999999999995</v>
      </c>
      <c r="L40" s="64">
        <v>15.96</v>
      </c>
      <c r="M40" s="64">
        <v>60.61</v>
      </c>
      <c r="N40" s="64">
        <v>226.9</v>
      </c>
      <c r="O40" s="64">
        <v>0</v>
      </c>
      <c r="P40" s="64">
        <v>1.1599999999999999</v>
      </c>
      <c r="Q40" s="64">
        <v>10.81</v>
      </c>
      <c r="R40" s="196"/>
      <c r="S40" s="196"/>
      <c r="T40" s="196"/>
      <c r="U40" s="196"/>
    </row>
    <row r="41" spans="1:21" s="12" customFormat="1" x14ac:dyDescent="0.25">
      <c r="A41" s="211" t="s">
        <v>2583</v>
      </c>
      <c r="B41" s="64">
        <v>35.47</v>
      </c>
      <c r="C41" s="64">
        <v>48.73</v>
      </c>
      <c r="D41" s="64">
        <v>52.52</v>
      </c>
      <c r="E41" s="64">
        <v>5.65</v>
      </c>
      <c r="F41" s="64">
        <v>4.1100000000000003</v>
      </c>
      <c r="G41" s="209" t="s">
        <v>42</v>
      </c>
      <c r="H41" s="64">
        <v>37.4</v>
      </c>
      <c r="I41" s="64">
        <v>5.62</v>
      </c>
      <c r="J41" s="64">
        <v>2.04</v>
      </c>
      <c r="K41" s="64">
        <v>340.28</v>
      </c>
      <c r="L41" s="64">
        <v>17.77</v>
      </c>
      <c r="M41" s="64">
        <v>54.46</v>
      </c>
      <c r="N41" s="64">
        <v>256.5</v>
      </c>
      <c r="O41" s="64">
        <v>0</v>
      </c>
      <c r="P41" s="64">
        <v>1.1399999999999999</v>
      </c>
      <c r="Q41" s="64">
        <v>10.77</v>
      </c>
      <c r="R41" s="196"/>
      <c r="S41" s="196"/>
      <c r="T41" s="196"/>
      <c r="U41" s="196"/>
    </row>
    <row r="42" spans="1:21" s="12" customFormat="1" x14ac:dyDescent="0.25">
      <c r="A42" s="211" t="s">
        <v>2584</v>
      </c>
      <c r="B42" s="64">
        <v>35.28</v>
      </c>
      <c r="C42" s="64">
        <v>50.29</v>
      </c>
      <c r="D42" s="64">
        <v>53.19</v>
      </c>
      <c r="E42" s="64">
        <v>5.98</v>
      </c>
      <c r="F42" s="64">
        <v>3.84</v>
      </c>
      <c r="G42" s="209" t="s">
        <v>42</v>
      </c>
      <c r="H42" s="64">
        <v>35.53</v>
      </c>
      <c r="I42" s="64">
        <v>5.53</v>
      </c>
      <c r="J42" s="64">
        <v>1.67</v>
      </c>
      <c r="K42" s="64">
        <v>333.1</v>
      </c>
      <c r="L42" s="64">
        <v>19.329999999999998</v>
      </c>
      <c r="M42" s="64">
        <v>50.38</v>
      </c>
      <c r="N42" s="64">
        <v>302.2</v>
      </c>
      <c r="O42" s="64">
        <v>0</v>
      </c>
      <c r="P42" s="64">
        <v>1.1200000000000001</v>
      </c>
      <c r="Q42" s="64">
        <v>10.74</v>
      </c>
      <c r="R42" s="196"/>
      <c r="S42" s="196"/>
      <c r="T42" s="196"/>
      <c r="U42" s="196"/>
    </row>
    <row r="43" spans="1:21" s="12" customFormat="1" x14ac:dyDescent="0.25">
      <c r="A43" s="211" t="s">
        <v>2585</v>
      </c>
      <c r="B43" s="64">
        <v>35.56</v>
      </c>
      <c r="C43" s="64">
        <v>51.95</v>
      </c>
      <c r="D43" s="64">
        <v>54.28</v>
      </c>
      <c r="E43" s="64">
        <v>5.82</v>
      </c>
      <c r="F43" s="64">
        <v>3.99</v>
      </c>
      <c r="G43" s="209" t="s">
        <v>42</v>
      </c>
      <c r="H43" s="64">
        <v>35.53</v>
      </c>
      <c r="I43" s="64">
        <v>5.47</v>
      </c>
      <c r="J43" s="64">
        <v>1.29</v>
      </c>
      <c r="K43" s="64">
        <v>95.68</v>
      </c>
      <c r="L43" s="64">
        <v>19.100000000000001</v>
      </c>
      <c r="M43" s="64">
        <v>52.55</v>
      </c>
      <c r="N43" s="64">
        <v>344.4</v>
      </c>
      <c r="O43" s="64">
        <v>0</v>
      </c>
      <c r="P43" s="64">
        <v>1.1100000000000001</v>
      </c>
      <c r="Q43" s="64">
        <v>10.77</v>
      </c>
      <c r="R43" s="196"/>
      <c r="S43" s="196"/>
      <c r="T43" s="196"/>
      <c r="U43" s="196"/>
    </row>
    <row r="44" spans="1:21" s="12" customFormat="1" x14ac:dyDescent="0.25">
      <c r="A44" s="211" t="s">
        <v>2586</v>
      </c>
      <c r="B44" s="64">
        <v>34.1</v>
      </c>
      <c r="C44" s="64">
        <v>52.82</v>
      </c>
      <c r="D44" s="64">
        <v>53.57</v>
      </c>
      <c r="E44" s="64">
        <v>5.29</v>
      </c>
      <c r="F44" s="64">
        <v>3.9</v>
      </c>
      <c r="G44" s="209" t="s">
        <v>42</v>
      </c>
      <c r="H44" s="64">
        <v>35.53</v>
      </c>
      <c r="I44" s="64">
        <v>5.41</v>
      </c>
      <c r="J44" s="64">
        <v>2.1800000000000002</v>
      </c>
      <c r="K44" s="64">
        <v>113.97</v>
      </c>
      <c r="L44" s="64">
        <v>17.8</v>
      </c>
      <c r="M44" s="64">
        <v>58.19</v>
      </c>
      <c r="N44" s="64">
        <v>383.1</v>
      </c>
      <c r="O44" s="64">
        <v>0</v>
      </c>
      <c r="P44" s="64">
        <v>1.08</v>
      </c>
      <c r="Q44" s="64">
        <v>10.77</v>
      </c>
      <c r="R44" s="196"/>
      <c r="S44" s="196"/>
      <c r="T44" s="196"/>
      <c r="U44" s="196"/>
    </row>
    <row r="45" spans="1:21" s="12" customFormat="1" x14ac:dyDescent="0.25">
      <c r="A45" s="211" t="s">
        <v>2587</v>
      </c>
      <c r="B45" s="64">
        <v>31.36</v>
      </c>
      <c r="C45" s="64">
        <v>53.65</v>
      </c>
      <c r="D45" s="64">
        <v>51.8</v>
      </c>
      <c r="E45" s="64">
        <v>5.28</v>
      </c>
      <c r="F45" s="64">
        <v>3.96</v>
      </c>
      <c r="G45" s="209" t="s">
        <v>42</v>
      </c>
      <c r="H45" s="64">
        <v>32.89</v>
      </c>
      <c r="I45" s="64">
        <v>5.52</v>
      </c>
      <c r="J45" s="64">
        <v>1.83</v>
      </c>
      <c r="K45" s="64">
        <v>106.71</v>
      </c>
      <c r="L45" s="64">
        <v>18.2</v>
      </c>
      <c r="M45" s="64">
        <v>56.7</v>
      </c>
      <c r="N45" s="64">
        <v>418.2</v>
      </c>
      <c r="O45" s="64">
        <v>0</v>
      </c>
      <c r="P45" s="64">
        <v>1.05</v>
      </c>
      <c r="Q45" s="64">
        <v>10.77</v>
      </c>
      <c r="R45" s="196"/>
      <c r="S45" s="196"/>
      <c r="T45" s="196"/>
      <c r="U45" s="196"/>
    </row>
    <row r="46" spans="1:21" s="12" customFormat="1" x14ac:dyDescent="0.25">
      <c r="A46" s="211" t="s">
        <v>2588</v>
      </c>
      <c r="B46" s="64">
        <v>28.69</v>
      </c>
      <c r="C46" s="64">
        <v>54.61</v>
      </c>
      <c r="D46" s="64">
        <v>50.16</v>
      </c>
      <c r="E46" s="64">
        <v>5.35</v>
      </c>
      <c r="F46" s="64">
        <v>3.94</v>
      </c>
      <c r="G46" s="209" t="s">
        <v>42</v>
      </c>
      <c r="H46" s="64">
        <v>32.31</v>
      </c>
      <c r="I46" s="64">
        <v>5.82</v>
      </c>
      <c r="J46" s="64">
        <v>0.25</v>
      </c>
      <c r="K46" s="64">
        <v>60.13</v>
      </c>
      <c r="L46" s="64">
        <v>19.98</v>
      </c>
      <c r="M46" s="64">
        <v>51.55</v>
      </c>
      <c r="N46" s="64">
        <v>442.1</v>
      </c>
      <c r="O46" s="64">
        <v>0</v>
      </c>
      <c r="P46" s="64">
        <v>1.03</v>
      </c>
      <c r="Q46" s="64">
        <v>10.76</v>
      </c>
      <c r="R46" s="196"/>
      <c r="S46" s="196"/>
      <c r="T46" s="196"/>
      <c r="U46" s="196"/>
    </row>
    <row r="47" spans="1:21" s="12" customFormat="1" x14ac:dyDescent="0.25">
      <c r="A47" s="211" t="s">
        <v>2589</v>
      </c>
      <c r="B47" s="64">
        <v>25.99</v>
      </c>
      <c r="C47" s="64">
        <v>54.77</v>
      </c>
      <c r="D47" s="64">
        <v>48.08</v>
      </c>
      <c r="E47" s="64">
        <v>5.13</v>
      </c>
      <c r="F47" s="64">
        <v>3.9</v>
      </c>
      <c r="G47" s="209" t="s">
        <v>42</v>
      </c>
      <c r="H47" s="64">
        <v>32.31</v>
      </c>
      <c r="I47" s="64">
        <v>6.17</v>
      </c>
      <c r="J47" s="64">
        <v>0.39</v>
      </c>
      <c r="K47" s="64">
        <v>76.52</v>
      </c>
      <c r="L47" s="64">
        <v>20.71</v>
      </c>
      <c r="M47" s="64">
        <v>49.28</v>
      </c>
      <c r="N47" s="64">
        <v>476.1</v>
      </c>
      <c r="O47" s="64">
        <v>0</v>
      </c>
      <c r="P47" s="64">
        <v>1.01</v>
      </c>
      <c r="Q47" s="64">
        <v>10.73</v>
      </c>
      <c r="R47" s="196"/>
      <c r="S47" s="196"/>
      <c r="T47" s="196"/>
      <c r="U47" s="196"/>
    </row>
    <row r="48" spans="1:21" s="12" customFormat="1" x14ac:dyDescent="0.25">
      <c r="A48" s="211" t="s">
        <v>2590</v>
      </c>
      <c r="B48" s="64">
        <v>23.4</v>
      </c>
      <c r="C48" s="64">
        <v>54.3</v>
      </c>
      <c r="D48" s="64">
        <v>45.76</v>
      </c>
      <c r="E48" s="64">
        <v>5.16</v>
      </c>
      <c r="F48" s="64">
        <v>3.94</v>
      </c>
      <c r="G48" s="209" t="s">
        <v>42</v>
      </c>
      <c r="H48" s="64">
        <v>32.31</v>
      </c>
      <c r="I48" s="64">
        <v>6.32</v>
      </c>
      <c r="J48" s="64">
        <v>2.0499999999999998</v>
      </c>
      <c r="K48" s="64">
        <v>110.82</v>
      </c>
      <c r="L48" s="64">
        <v>20.38</v>
      </c>
      <c r="M48" s="64">
        <v>50.07</v>
      </c>
      <c r="N48" s="64">
        <v>502.8</v>
      </c>
      <c r="O48" s="64">
        <v>0</v>
      </c>
      <c r="P48" s="64">
        <v>0.99</v>
      </c>
      <c r="Q48" s="64">
        <v>10.68</v>
      </c>
      <c r="R48" s="196"/>
      <c r="S48" s="196"/>
      <c r="T48" s="196"/>
      <c r="U48" s="196"/>
    </row>
    <row r="49" spans="1:21" s="12" customFormat="1" x14ac:dyDescent="0.25">
      <c r="A49" s="211" t="s">
        <v>2591</v>
      </c>
      <c r="B49" s="64">
        <v>21.05</v>
      </c>
      <c r="C49" s="64">
        <v>54.51</v>
      </c>
      <c r="D49" s="64">
        <v>43.99</v>
      </c>
      <c r="E49" s="64">
        <v>5.0599999999999996</v>
      </c>
      <c r="F49" s="64">
        <v>3.77</v>
      </c>
      <c r="G49" s="209" t="s">
        <v>42</v>
      </c>
      <c r="H49" s="64">
        <v>35.39</v>
      </c>
      <c r="I49" s="64">
        <v>6.28</v>
      </c>
      <c r="J49" s="64">
        <v>0.5</v>
      </c>
      <c r="K49" s="64">
        <v>102.44</v>
      </c>
      <c r="L49" s="64">
        <v>21.64</v>
      </c>
      <c r="M49" s="64">
        <v>45.95</v>
      </c>
      <c r="N49" s="64">
        <v>527.4</v>
      </c>
      <c r="O49" s="64">
        <v>0</v>
      </c>
      <c r="P49" s="64">
        <v>0.96</v>
      </c>
      <c r="Q49" s="64">
        <v>10.64</v>
      </c>
      <c r="R49" s="196"/>
      <c r="S49" s="196"/>
      <c r="T49" s="196"/>
      <c r="U49" s="196"/>
    </row>
    <row r="50" spans="1:21" s="12" customFormat="1" x14ac:dyDescent="0.25">
      <c r="A50" s="211" t="s">
        <v>2592</v>
      </c>
      <c r="B50" s="64">
        <v>19.03</v>
      </c>
      <c r="C50" s="64">
        <v>54.25</v>
      </c>
      <c r="D50" s="64">
        <v>42.23</v>
      </c>
      <c r="E50" s="64">
        <v>5.0199999999999996</v>
      </c>
      <c r="F50" s="64">
        <v>3.86</v>
      </c>
      <c r="G50" s="209" t="s">
        <v>42</v>
      </c>
      <c r="H50" s="64">
        <v>36.07</v>
      </c>
      <c r="I50" s="64">
        <v>6.54</v>
      </c>
      <c r="J50" s="64">
        <v>2.52</v>
      </c>
      <c r="K50" s="64">
        <v>111.37</v>
      </c>
      <c r="L50" s="64">
        <v>21.09</v>
      </c>
      <c r="M50" s="64">
        <v>47.1</v>
      </c>
      <c r="N50" s="64">
        <v>566.9</v>
      </c>
      <c r="O50" s="64">
        <v>0</v>
      </c>
      <c r="P50" s="64">
        <v>0.94</v>
      </c>
      <c r="Q50" s="64">
        <v>10.63</v>
      </c>
      <c r="R50" s="196"/>
      <c r="S50" s="196"/>
      <c r="T50" s="196"/>
      <c r="U50" s="196"/>
    </row>
    <row r="51" spans="1:21" s="12" customFormat="1" x14ac:dyDescent="0.25">
      <c r="A51" s="211" t="s">
        <v>2593</v>
      </c>
      <c r="B51" s="64">
        <v>16.559999999999999</v>
      </c>
      <c r="C51" s="64">
        <v>53.7</v>
      </c>
      <c r="D51" s="64">
        <v>39.96</v>
      </c>
      <c r="E51" s="64">
        <v>5.29</v>
      </c>
      <c r="F51" s="64">
        <v>3.72</v>
      </c>
      <c r="G51" s="209" t="s">
        <v>42</v>
      </c>
      <c r="H51" s="64">
        <v>36.07</v>
      </c>
      <c r="I51" s="64">
        <v>6.78</v>
      </c>
      <c r="J51" s="64">
        <v>1.53</v>
      </c>
      <c r="K51" s="64">
        <v>106.17</v>
      </c>
      <c r="L51" s="64">
        <v>21.66</v>
      </c>
      <c r="M51" s="64">
        <v>44.33</v>
      </c>
      <c r="N51" s="64">
        <v>591.79999999999995</v>
      </c>
      <c r="O51" s="64">
        <v>0</v>
      </c>
      <c r="P51" s="64">
        <v>0.91</v>
      </c>
      <c r="Q51" s="64">
        <v>10.64</v>
      </c>
      <c r="R51" s="196"/>
      <c r="S51" s="196"/>
      <c r="T51" s="196"/>
      <c r="U51" s="196"/>
    </row>
    <row r="52" spans="1:21" s="12" customFormat="1" x14ac:dyDescent="0.25">
      <c r="A52" s="211" t="s">
        <v>2594</v>
      </c>
      <c r="B52" s="64">
        <v>14.35</v>
      </c>
      <c r="C52" s="64">
        <v>53.39</v>
      </c>
      <c r="D52" s="64">
        <v>38.03</v>
      </c>
      <c r="E52" s="64">
        <v>4.96</v>
      </c>
      <c r="F52" s="64">
        <v>3.86</v>
      </c>
      <c r="G52" s="209" t="s">
        <v>42</v>
      </c>
      <c r="H52" s="64">
        <v>36.07</v>
      </c>
      <c r="I52" s="64">
        <v>7.13</v>
      </c>
      <c r="J52" s="64">
        <v>2.15</v>
      </c>
      <c r="K52" s="64">
        <v>109.24</v>
      </c>
      <c r="L52" s="64">
        <v>21.74</v>
      </c>
      <c r="M52" s="64">
        <v>42.87</v>
      </c>
      <c r="N52" s="64">
        <v>600.6</v>
      </c>
      <c r="O52" s="64">
        <v>0</v>
      </c>
      <c r="P52" s="64">
        <v>0.88</v>
      </c>
      <c r="Q52" s="64">
        <v>10.61</v>
      </c>
      <c r="R52" s="196"/>
      <c r="S52" s="196"/>
      <c r="T52" s="196"/>
      <c r="U52" s="196"/>
    </row>
    <row r="53" spans="1:21" s="12" customFormat="1" x14ac:dyDescent="0.25">
      <c r="A53" s="211" t="s">
        <v>2595</v>
      </c>
      <c r="B53" s="64">
        <v>12.02</v>
      </c>
      <c r="C53" s="64">
        <v>53.15</v>
      </c>
      <c r="D53" s="64">
        <v>36.04</v>
      </c>
      <c r="E53" s="64">
        <v>5.17</v>
      </c>
      <c r="F53" s="64">
        <v>3.95</v>
      </c>
      <c r="G53" s="209" t="s">
        <v>42</v>
      </c>
      <c r="H53" s="64">
        <v>40.79</v>
      </c>
      <c r="I53" s="64">
        <v>7.33</v>
      </c>
      <c r="J53" s="64">
        <v>1.82</v>
      </c>
      <c r="K53" s="64">
        <v>107.97</v>
      </c>
      <c r="L53" s="64">
        <v>21.78</v>
      </c>
      <c r="M53" s="64">
        <v>41.71</v>
      </c>
      <c r="N53" s="64">
        <v>606.1</v>
      </c>
      <c r="O53" s="64">
        <v>0</v>
      </c>
      <c r="P53" s="64">
        <v>0.84</v>
      </c>
      <c r="Q53" s="64">
        <v>10.6</v>
      </c>
      <c r="R53" s="196"/>
      <c r="S53" s="196"/>
      <c r="T53" s="196"/>
      <c r="U53" s="196"/>
    </row>
    <row r="54" spans="1:21" s="12" customFormat="1" x14ac:dyDescent="0.25">
      <c r="A54" s="211" t="s">
        <v>2596</v>
      </c>
      <c r="B54" s="64">
        <v>10.11</v>
      </c>
      <c r="C54" s="64">
        <v>52.57</v>
      </c>
      <c r="D54" s="64">
        <v>34.19</v>
      </c>
      <c r="E54" s="64">
        <v>4.93</v>
      </c>
      <c r="F54" s="64">
        <v>3.96</v>
      </c>
      <c r="G54" s="209" t="s">
        <v>42</v>
      </c>
      <c r="H54" s="64">
        <v>41.82</v>
      </c>
      <c r="I54" s="64">
        <v>7.48</v>
      </c>
      <c r="J54" s="64">
        <v>2.25</v>
      </c>
      <c r="K54" s="64">
        <v>107.76</v>
      </c>
      <c r="L54" s="64">
        <v>22.24</v>
      </c>
      <c r="M54" s="64">
        <v>39.229999999999997</v>
      </c>
      <c r="N54" s="64">
        <v>601</v>
      </c>
      <c r="O54" s="64">
        <v>0</v>
      </c>
      <c r="P54" s="64">
        <v>0.81</v>
      </c>
      <c r="Q54" s="64">
        <v>10.6</v>
      </c>
      <c r="R54" s="196"/>
      <c r="S54" s="196"/>
      <c r="T54" s="196"/>
      <c r="U54" s="196"/>
    </row>
    <row r="55" spans="1:21" s="12" customFormat="1" x14ac:dyDescent="0.25">
      <c r="A55" s="211" t="s">
        <v>2597</v>
      </c>
      <c r="B55" s="64">
        <v>8.4700000000000006</v>
      </c>
      <c r="C55" s="64">
        <v>51.24</v>
      </c>
      <c r="D55" s="64">
        <v>32.19</v>
      </c>
      <c r="E55" s="64">
        <v>5.41</v>
      </c>
      <c r="F55" s="64">
        <v>4.22</v>
      </c>
      <c r="G55" s="209" t="s">
        <v>42</v>
      </c>
      <c r="H55" s="64">
        <v>41.82</v>
      </c>
      <c r="I55" s="64">
        <v>7.61</v>
      </c>
      <c r="J55" s="64">
        <v>0.57999999999999996</v>
      </c>
      <c r="K55" s="64">
        <v>14.78</v>
      </c>
      <c r="L55" s="64">
        <v>23.25</v>
      </c>
      <c r="M55" s="64">
        <v>35.26</v>
      </c>
      <c r="N55" s="64">
        <v>591.1</v>
      </c>
      <c r="O55" s="64">
        <v>0</v>
      </c>
      <c r="P55" s="64">
        <v>0.79</v>
      </c>
      <c r="Q55" s="64">
        <v>10.5</v>
      </c>
      <c r="R55" s="196"/>
      <c r="S55" s="196"/>
      <c r="T55" s="196"/>
      <c r="U55" s="196"/>
    </row>
    <row r="56" spans="1:21" s="12" customFormat="1" x14ac:dyDescent="0.25">
      <c r="A56" s="211" t="s">
        <v>2598</v>
      </c>
      <c r="B56" s="64">
        <v>6.92</v>
      </c>
      <c r="C56" s="64">
        <v>51.89</v>
      </c>
      <c r="D56" s="64">
        <v>31.29</v>
      </c>
      <c r="E56" s="64">
        <v>5.44</v>
      </c>
      <c r="F56" s="64">
        <v>4.92</v>
      </c>
      <c r="G56" s="209" t="s">
        <v>42</v>
      </c>
      <c r="H56" s="64">
        <v>41.82</v>
      </c>
      <c r="I56" s="64">
        <v>7.92</v>
      </c>
      <c r="J56" s="64">
        <v>1.52</v>
      </c>
      <c r="K56" s="64">
        <v>351.59</v>
      </c>
      <c r="L56" s="64">
        <v>24.19</v>
      </c>
      <c r="M56" s="64">
        <v>31.18</v>
      </c>
      <c r="N56" s="64">
        <v>581.70000000000005</v>
      </c>
      <c r="O56" s="64">
        <v>0</v>
      </c>
      <c r="P56" s="64">
        <v>0.77</v>
      </c>
      <c r="Q56" s="64">
        <v>10.46</v>
      </c>
      <c r="R56" s="196"/>
      <c r="S56" s="196"/>
      <c r="T56" s="196"/>
      <c r="U56" s="196"/>
    </row>
    <row r="57" spans="1:21" s="12" customFormat="1" x14ac:dyDescent="0.25">
      <c r="A57" s="211" t="s">
        <v>2599</v>
      </c>
      <c r="B57" s="64">
        <v>5.5</v>
      </c>
      <c r="C57" s="64">
        <v>53.21</v>
      </c>
      <c r="D57" s="64">
        <v>30.83</v>
      </c>
      <c r="E57" s="64">
        <v>6.11</v>
      </c>
      <c r="F57" s="64">
        <v>5.16</v>
      </c>
      <c r="G57" s="209" t="s">
        <v>42</v>
      </c>
      <c r="H57" s="64">
        <v>39.22</v>
      </c>
      <c r="I57" s="64">
        <v>8.08</v>
      </c>
      <c r="J57" s="64">
        <v>1.75</v>
      </c>
      <c r="K57" s="64">
        <v>111.43</v>
      </c>
      <c r="L57" s="64">
        <v>23.17</v>
      </c>
      <c r="M57" s="64">
        <v>35.57</v>
      </c>
      <c r="N57" s="64">
        <v>567.1</v>
      </c>
      <c r="O57" s="64">
        <v>0</v>
      </c>
      <c r="P57" s="64">
        <v>0.76</v>
      </c>
      <c r="Q57" s="64">
        <v>10.48</v>
      </c>
      <c r="R57" s="196"/>
      <c r="S57" s="196"/>
      <c r="T57" s="196"/>
      <c r="U57" s="196"/>
    </row>
    <row r="58" spans="1:21" s="12" customFormat="1" x14ac:dyDescent="0.25">
      <c r="A58" s="211" t="s">
        <v>2600</v>
      </c>
      <c r="B58" s="64">
        <v>4.5199999999999996</v>
      </c>
      <c r="C58" s="64">
        <v>53.42</v>
      </c>
      <c r="D58" s="64">
        <v>30.16</v>
      </c>
      <c r="E58" s="64">
        <v>6.32</v>
      </c>
      <c r="F58" s="64">
        <v>5.15</v>
      </c>
      <c r="G58" s="209" t="s">
        <v>42</v>
      </c>
      <c r="H58" s="64">
        <v>38.299999999999997</v>
      </c>
      <c r="I58" s="64">
        <v>7.82</v>
      </c>
      <c r="J58" s="64">
        <v>0.68</v>
      </c>
      <c r="K58" s="64">
        <v>47.55</v>
      </c>
      <c r="L58" s="64">
        <v>23.47</v>
      </c>
      <c r="M58" s="64">
        <v>34.85</v>
      </c>
      <c r="N58" s="64">
        <v>544.70000000000005</v>
      </c>
      <c r="O58" s="64">
        <v>0</v>
      </c>
      <c r="P58" s="64">
        <v>0.74</v>
      </c>
      <c r="Q58" s="64">
        <v>10.41</v>
      </c>
      <c r="R58" s="196"/>
      <c r="S58" s="196"/>
      <c r="T58" s="196"/>
      <c r="U58" s="196"/>
    </row>
    <row r="59" spans="1:21" s="12" customFormat="1" x14ac:dyDescent="0.25">
      <c r="A59" s="211" t="s">
        <v>2601</v>
      </c>
      <c r="B59" s="64">
        <v>4.12</v>
      </c>
      <c r="C59" s="64">
        <v>53.78</v>
      </c>
      <c r="D59" s="64">
        <v>30.02</v>
      </c>
      <c r="E59" s="64">
        <v>6.33</v>
      </c>
      <c r="F59" s="64">
        <v>5.35</v>
      </c>
      <c r="G59" s="209" t="s">
        <v>42</v>
      </c>
      <c r="H59" s="64">
        <v>38.299999999999997</v>
      </c>
      <c r="I59" s="64">
        <v>7.77</v>
      </c>
      <c r="J59" s="64">
        <v>1.89</v>
      </c>
      <c r="K59" s="64">
        <v>101.93</v>
      </c>
      <c r="L59" s="64">
        <v>23.13</v>
      </c>
      <c r="M59" s="64">
        <v>34.200000000000003</v>
      </c>
      <c r="N59" s="64">
        <v>554.9</v>
      </c>
      <c r="O59" s="64">
        <v>0</v>
      </c>
      <c r="P59" s="64">
        <v>0.72</v>
      </c>
      <c r="Q59" s="64">
        <v>10.41</v>
      </c>
      <c r="R59" s="196"/>
      <c r="S59" s="196"/>
      <c r="T59" s="196"/>
      <c r="U59" s="196"/>
    </row>
    <row r="60" spans="1:21" s="12" customFormat="1" x14ac:dyDescent="0.25">
      <c r="A60" s="211" t="s">
        <v>2602</v>
      </c>
      <c r="B60" s="64">
        <v>3.77</v>
      </c>
      <c r="C60" s="64">
        <v>53.56</v>
      </c>
      <c r="D60" s="64">
        <v>29.63</v>
      </c>
      <c r="E60" s="64">
        <v>6.01</v>
      </c>
      <c r="F60" s="64">
        <v>5.13</v>
      </c>
      <c r="G60" s="209" t="s">
        <v>42</v>
      </c>
      <c r="H60" s="64">
        <v>38.299999999999997</v>
      </c>
      <c r="I60" s="64">
        <v>7.71</v>
      </c>
      <c r="J60" s="64">
        <v>1.77</v>
      </c>
      <c r="K60" s="64">
        <v>105.41</v>
      </c>
      <c r="L60" s="64">
        <v>23</v>
      </c>
      <c r="M60" s="64">
        <v>33.65</v>
      </c>
      <c r="N60" s="64">
        <v>540.70000000000005</v>
      </c>
      <c r="O60" s="64">
        <v>0</v>
      </c>
      <c r="P60" s="64">
        <v>0.69</v>
      </c>
      <c r="Q60" s="64">
        <v>10.39</v>
      </c>
      <c r="R60" s="196"/>
      <c r="S60" s="196"/>
      <c r="T60" s="196"/>
      <c r="U60" s="196"/>
    </row>
    <row r="61" spans="1:21" s="12" customFormat="1" x14ac:dyDescent="0.25">
      <c r="A61" s="211" t="s">
        <v>2603</v>
      </c>
      <c r="B61" s="64">
        <v>3.51</v>
      </c>
      <c r="C61" s="64">
        <v>53.31</v>
      </c>
      <c r="D61" s="64">
        <v>29.26</v>
      </c>
      <c r="E61" s="64">
        <v>7.19</v>
      </c>
      <c r="F61" s="64">
        <v>5.83</v>
      </c>
      <c r="G61" s="209" t="s">
        <v>42</v>
      </c>
      <c r="H61" s="64">
        <v>37.9</v>
      </c>
      <c r="I61" s="64">
        <v>7.47</v>
      </c>
      <c r="J61" s="64">
        <v>1.3</v>
      </c>
      <c r="K61" s="64">
        <v>103.53</v>
      </c>
      <c r="L61" s="64">
        <v>22.76</v>
      </c>
      <c r="M61" s="64">
        <v>34.04</v>
      </c>
      <c r="N61" s="64">
        <v>492.9</v>
      </c>
      <c r="O61" s="64">
        <v>0</v>
      </c>
      <c r="P61" s="64">
        <v>0.65</v>
      </c>
      <c r="Q61" s="64">
        <v>10.39</v>
      </c>
      <c r="R61" s="196"/>
      <c r="S61" s="196"/>
      <c r="T61" s="196"/>
      <c r="U61" s="196"/>
    </row>
    <row r="62" spans="1:21" s="12" customFormat="1" x14ac:dyDescent="0.25">
      <c r="A62" s="211" t="s">
        <v>2604</v>
      </c>
      <c r="B62" s="64">
        <v>3.09</v>
      </c>
      <c r="C62" s="64">
        <v>53.32</v>
      </c>
      <c r="D62" s="64">
        <v>28.96</v>
      </c>
      <c r="E62" s="64">
        <v>7.4</v>
      </c>
      <c r="F62" s="64">
        <v>5.54</v>
      </c>
      <c r="G62" s="209" t="s">
        <v>42</v>
      </c>
      <c r="H62" s="64">
        <v>38.659999999999997</v>
      </c>
      <c r="I62" s="64">
        <v>7.44</v>
      </c>
      <c r="J62" s="64">
        <v>1.88</v>
      </c>
      <c r="K62" s="64">
        <v>105.37</v>
      </c>
      <c r="L62" s="64">
        <v>23.05</v>
      </c>
      <c r="M62" s="64">
        <v>32.17</v>
      </c>
      <c r="N62" s="64">
        <v>487.1</v>
      </c>
      <c r="O62" s="64">
        <v>0</v>
      </c>
      <c r="P62" s="64">
        <v>0.64</v>
      </c>
      <c r="Q62" s="64">
        <v>10.43</v>
      </c>
      <c r="R62" s="196"/>
      <c r="S62" s="196"/>
      <c r="T62" s="196"/>
      <c r="U62" s="196"/>
    </row>
    <row r="63" spans="1:21" s="12" customFormat="1" x14ac:dyDescent="0.25">
      <c r="A63" s="211" t="s">
        <v>2605</v>
      </c>
      <c r="B63" s="64">
        <v>2.63</v>
      </c>
      <c r="C63" s="64">
        <v>53.74</v>
      </c>
      <c r="D63" s="64">
        <v>28.81</v>
      </c>
      <c r="E63" s="64">
        <v>7.76</v>
      </c>
      <c r="F63" s="64">
        <v>5.24</v>
      </c>
      <c r="G63" s="209" t="s">
        <v>42</v>
      </c>
      <c r="H63" s="64">
        <v>38.659999999999997</v>
      </c>
      <c r="I63" s="64">
        <v>6.75</v>
      </c>
      <c r="J63" s="64">
        <v>0.6</v>
      </c>
      <c r="K63" s="64">
        <v>10.52</v>
      </c>
      <c r="L63" s="64">
        <v>23.32</v>
      </c>
      <c r="M63" s="64">
        <v>32.159999999999997</v>
      </c>
      <c r="N63" s="64">
        <v>457.3</v>
      </c>
      <c r="O63" s="64">
        <v>0</v>
      </c>
      <c r="P63" s="64">
        <v>0.63</v>
      </c>
      <c r="Q63" s="64">
        <v>10.48</v>
      </c>
      <c r="R63" s="196"/>
      <c r="S63" s="196"/>
      <c r="T63" s="196"/>
      <c r="U63" s="196"/>
    </row>
    <row r="64" spans="1:21" s="12" customFormat="1" x14ac:dyDescent="0.25">
      <c r="A64" s="211" t="s">
        <v>2606</v>
      </c>
      <c r="B64" s="64">
        <v>3.3</v>
      </c>
      <c r="C64" s="64">
        <v>54.35</v>
      </c>
      <c r="D64" s="64">
        <v>29.66</v>
      </c>
      <c r="E64" s="64">
        <v>6.99</v>
      </c>
      <c r="F64" s="64">
        <v>1.63</v>
      </c>
      <c r="G64" s="208" t="s">
        <v>40</v>
      </c>
      <c r="H64" s="208" t="s">
        <v>40</v>
      </c>
      <c r="I64" s="64">
        <v>6.3</v>
      </c>
      <c r="J64" s="64">
        <v>1.02</v>
      </c>
      <c r="K64" s="64">
        <v>48.9</v>
      </c>
      <c r="L64" s="64">
        <v>23.39</v>
      </c>
      <c r="M64" s="64">
        <v>32.090000000000003</v>
      </c>
      <c r="N64" s="64">
        <v>353.5</v>
      </c>
      <c r="O64" s="64">
        <v>0</v>
      </c>
      <c r="P64" s="64">
        <v>0.57999999999999996</v>
      </c>
      <c r="Q64" s="64">
        <v>10.46</v>
      </c>
      <c r="R64" s="196"/>
      <c r="S64" s="196"/>
      <c r="T64" s="196"/>
      <c r="U64" s="196"/>
    </row>
    <row r="65" spans="1:21" s="12" customFormat="1" x14ac:dyDescent="0.25">
      <c r="A65" s="211" t="s">
        <v>2607</v>
      </c>
      <c r="B65" s="64">
        <v>3.2</v>
      </c>
      <c r="C65" s="64">
        <v>55.26</v>
      </c>
      <c r="D65" s="64">
        <v>30.06</v>
      </c>
      <c r="E65" s="64">
        <v>7.5</v>
      </c>
      <c r="F65" s="64">
        <v>352.43</v>
      </c>
      <c r="G65" s="208" t="s">
        <v>40</v>
      </c>
      <c r="H65" s="208" t="s">
        <v>40</v>
      </c>
      <c r="I65" s="64">
        <v>5.48</v>
      </c>
      <c r="J65" s="64">
        <v>0.85</v>
      </c>
      <c r="K65" s="64">
        <v>15.29</v>
      </c>
      <c r="L65" s="64">
        <v>23.34</v>
      </c>
      <c r="M65" s="64">
        <v>29.45</v>
      </c>
      <c r="N65" s="64">
        <v>185.6</v>
      </c>
      <c r="O65" s="64">
        <v>0</v>
      </c>
      <c r="P65" s="64">
        <v>0.56000000000000005</v>
      </c>
      <c r="Q65" s="64">
        <v>10.43</v>
      </c>
      <c r="R65" s="196"/>
      <c r="S65" s="196"/>
      <c r="T65" s="196"/>
      <c r="U65" s="196"/>
    </row>
    <row r="66" spans="1:21" s="12" customFormat="1" x14ac:dyDescent="0.25">
      <c r="A66" s="211" t="s">
        <v>2608</v>
      </c>
      <c r="B66" s="64">
        <v>2.82</v>
      </c>
      <c r="C66" s="64">
        <v>54.94</v>
      </c>
      <c r="D66" s="64">
        <v>29.59</v>
      </c>
      <c r="E66" s="64">
        <v>6.72</v>
      </c>
      <c r="F66" s="64">
        <v>337.48</v>
      </c>
      <c r="G66" s="208" t="s">
        <v>40</v>
      </c>
      <c r="H66" s="208" t="s">
        <v>40</v>
      </c>
      <c r="I66" s="64">
        <v>3.65</v>
      </c>
      <c r="J66" s="64">
        <v>2.16</v>
      </c>
      <c r="K66" s="64">
        <v>107.99</v>
      </c>
      <c r="L66" s="64">
        <v>22.84</v>
      </c>
      <c r="M66" s="64">
        <v>30.38</v>
      </c>
      <c r="N66" s="64">
        <v>124.4</v>
      </c>
      <c r="O66" s="64">
        <v>0</v>
      </c>
      <c r="P66" s="64">
        <v>0.51</v>
      </c>
      <c r="Q66" s="64">
        <v>10.45</v>
      </c>
      <c r="R66" s="196"/>
      <c r="S66" s="196"/>
      <c r="T66" s="196"/>
      <c r="U66" s="196"/>
    </row>
    <row r="67" spans="1:21" s="12" customFormat="1" x14ac:dyDescent="0.25">
      <c r="A67" s="211" t="s">
        <v>2609</v>
      </c>
      <c r="B67" s="64">
        <v>2.75</v>
      </c>
      <c r="C67" s="64">
        <v>54.02</v>
      </c>
      <c r="D67" s="64">
        <v>29.05</v>
      </c>
      <c r="E67" s="64">
        <v>6.84</v>
      </c>
      <c r="F67" s="64">
        <v>2.5099999999999998</v>
      </c>
      <c r="G67" s="208" t="s">
        <v>40</v>
      </c>
      <c r="H67" s="208" t="s">
        <v>40</v>
      </c>
      <c r="I67" s="64">
        <v>2.5499999999999998</v>
      </c>
      <c r="J67" s="64">
        <v>0.92</v>
      </c>
      <c r="K67" s="64">
        <v>346.2</v>
      </c>
      <c r="L67" s="64">
        <v>23.09</v>
      </c>
      <c r="M67" s="64">
        <v>29.33</v>
      </c>
      <c r="N67" s="64">
        <v>138.4</v>
      </c>
      <c r="O67" s="64">
        <v>0</v>
      </c>
      <c r="P67" s="64">
        <v>0.54</v>
      </c>
      <c r="Q67" s="64">
        <v>10.45</v>
      </c>
      <c r="R67" s="196"/>
      <c r="S67" s="196"/>
      <c r="T67" s="196"/>
      <c r="U67" s="196"/>
    </row>
    <row r="68" spans="1:21" s="12" customFormat="1" x14ac:dyDescent="0.25">
      <c r="A68" s="211" t="s">
        <v>2610</v>
      </c>
      <c r="B68" s="64">
        <v>2.87</v>
      </c>
      <c r="C68" s="64">
        <v>53.9</v>
      </c>
      <c r="D68" s="64">
        <v>29.08</v>
      </c>
      <c r="E68" s="64">
        <v>6.79</v>
      </c>
      <c r="F68" s="64">
        <v>8.48</v>
      </c>
      <c r="G68" s="64">
        <v>28.15</v>
      </c>
      <c r="H68" s="64">
        <v>13.42</v>
      </c>
      <c r="I68" s="64">
        <v>2.5099999999999998</v>
      </c>
      <c r="J68" s="64">
        <v>0.62</v>
      </c>
      <c r="K68" s="64">
        <v>65.34</v>
      </c>
      <c r="L68" s="64">
        <v>22.91</v>
      </c>
      <c r="M68" s="64">
        <v>29.89</v>
      </c>
      <c r="N68" s="64">
        <v>185.8</v>
      </c>
      <c r="O68" s="64">
        <v>0</v>
      </c>
      <c r="P68" s="64">
        <v>0.49</v>
      </c>
      <c r="Q68" s="64">
        <v>10.46</v>
      </c>
      <c r="R68" s="196"/>
      <c r="S68" s="196"/>
      <c r="T68" s="196"/>
      <c r="U68" s="196"/>
    </row>
    <row r="69" spans="1:21" s="12" customFormat="1" x14ac:dyDescent="0.25">
      <c r="A69" s="211" t="s">
        <v>2611</v>
      </c>
      <c r="B69" s="64">
        <v>2.75</v>
      </c>
      <c r="C69" s="64">
        <v>53.21</v>
      </c>
      <c r="D69" s="64">
        <v>28.63</v>
      </c>
      <c r="E69" s="64">
        <v>6.59</v>
      </c>
      <c r="F69" s="64">
        <v>7.99</v>
      </c>
      <c r="G69" s="64">
        <v>49.68</v>
      </c>
      <c r="H69" s="64">
        <v>17.98</v>
      </c>
      <c r="I69" s="64">
        <v>1.93</v>
      </c>
      <c r="J69" s="64">
        <v>1.36</v>
      </c>
      <c r="K69" s="64">
        <v>87.66</v>
      </c>
      <c r="L69" s="64">
        <v>22.25</v>
      </c>
      <c r="M69" s="64">
        <v>30.95</v>
      </c>
      <c r="N69" s="64">
        <v>97.4</v>
      </c>
      <c r="O69" s="64">
        <v>0</v>
      </c>
      <c r="P69" s="64">
        <v>0.45</v>
      </c>
      <c r="Q69" s="64">
        <v>10.47</v>
      </c>
      <c r="R69" s="196"/>
      <c r="S69" s="196"/>
      <c r="T69" s="196"/>
      <c r="U69" s="196"/>
    </row>
    <row r="70" spans="1:21" s="12" customFormat="1" x14ac:dyDescent="0.25">
      <c r="A70" s="211" t="s">
        <v>2612</v>
      </c>
      <c r="B70" s="64">
        <v>2.85</v>
      </c>
      <c r="C70" s="64">
        <v>53.8</v>
      </c>
      <c r="D70" s="64">
        <v>29.01</v>
      </c>
      <c r="E70" s="64">
        <v>7.31</v>
      </c>
      <c r="F70" s="64">
        <v>10.83</v>
      </c>
      <c r="G70" s="64">
        <v>49.68</v>
      </c>
      <c r="H70" s="64">
        <v>17.98</v>
      </c>
      <c r="I70" s="64">
        <v>1.69</v>
      </c>
      <c r="J70" s="64">
        <v>0.98</v>
      </c>
      <c r="K70" s="64">
        <v>1.39</v>
      </c>
      <c r="L70" s="64">
        <v>22.36</v>
      </c>
      <c r="M70" s="64">
        <v>30.41</v>
      </c>
      <c r="N70" s="64">
        <v>88.5</v>
      </c>
      <c r="O70" s="64">
        <v>0</v>
      </c>
      <c r="P70" s="64">
        <v>0.51</v>
      </c>
      <c r="Q70" s="64">
        <v>10.48</v>
      </c>
      <c r="R70" s="196"/>
      <c r="S70" s="196"/>
      <c r="T70" s="196"/>
      <c r="U70" s="196"/>
    </row>
    <row r="71" spans="1:21" s="12" customFormat="1" x14ac:dyDescent="0.25">
      <c r="A71" s="211" t="s">
        <v>2613</v>
      </c>
      <c r="B71" s="64">
        <v>2.38</v>
      </c>
      <c r="C71" s="64">
        <v>56.94</v>
      </c>
      <c r="D71" s="64">
        <v>30.28</v>
      </c>
      <c r="E71" s="64">
        <v>7.48</v>
      </c>
      <c r="F71" s="64">
        <v>10.97</v>
      </c>
      <c r="G71" s="64">
        <v>49.68</v>
      </c>
      <c r="H71" s="64">
        <v>17.98</v>
      </c>
      <c r="I71" s="64">
        <v>1.62</v>
      </c>
      <c r="J71" s="64">
        <v>1.33</v>
      </c>
      <c r="K71" s="64">
        <v>85.36</v>
      </c>
      <c r="L71" s="64">
        <v>22.18</v>
      </c>
      <c r="M71" s="64">
        <v>30.55</v>
      </c>
      <c r="N71" s="64">
        <v>80.2</v>
      </c>
      <c r="O71" s="64">
        <v>0</v>
      </c>
      <c r="P71" s="64">
        <v>0.54</v>
      </c>
      <c r="Q71" s="64">
        <v>10.43</v>
      </c>
      <c r="R71" s="196"/>
      <c r="S71" s="196"/>
      <c r="T71" s="196"/>
      <c r="U71" s="196"/>
    </row>
    <row r="72" spans="1:21" s="12" customFormat="1" x14ac:dyDescent="0.25">
      <c r="A72" s="211" t="s">
        <v>2614</v>
      </c>
      <c r="B72" s="64">
        <v>2.16</v>
      </c>
      <c r="C72" s="64">
        <v>55.66</v>
      </c>
      <c r="D72" s="64">
        <v>29.44</v>
      </c>
      <c r="E72" s="64">
        <v>8.9700000000000006</v>
      </c>
      <c r="F72" s="64">
        <v>14.48</v>
      </c>
      <c r="G72" s="64">
        <v>55.79</v>
      </c>
      <c r="H72" s="64">
        <v>19.52</v>
      </c>
      <c r="I72" s="64">
        <v>2.06</v>
      </c>
      <c r="J72" s="64">
        <v>0.34</v>
      </c>
      <c r="K72" s="64">
        <v>44.57</v>
      </c>
      <c r="L72" s="64">
        <v>21.85</v>
      </c>
      <c r="M72" s="64">
        <v>29.46</v>
      </c>
      <c r="N72" s="64">
        <v>72.8</v>
      </c>
      <c r="O72" s="64">
        <v>0</v>
      </c>
      <c r="P72" s="64">
        <v>0.5</v>
      </c>
      <c r="Q72" s="64">
        <v>10.46</v>
      </c>
      <c r="R72" s="196"/>
      <c r="S72" s="196"/>
      <c r="T72" s="196"/>
      <c r="U72" s="196"/>
    </row>
    <row r="73" spans="1:21" s="12" customFormat="1" x14ac:dyDescent="0.25">
      <c r="A73" s="211" t="s">
        <v>2615</v>
      </c>
      <c r="B73" s="64">
        <v>2.2400000000000002</v>
      </c>
      <c r="C73" s="64">
        <v>58.28</v>
      </c>
      <c r="D73" s="64">
        <v>30.86</v>
      </c>
      <c r="E73" s="64">
        <v>11.56</v>
      </c>
      <c r="F73" s="64">
        <v>24.52</v>
      </c>
      <c r="G73" s="64">
        <v>60.46</v>
      </c>
      <c r="H73" s="64">
        <v>20.05</v>
      </c>
      <c r="I73" s="64">
        <v>3.05</v>
      </c>
      <c r="J73" s="64">
        <v>0.88</v>
      </c>
      <c r="K73" s="64">
        <v>76.19</v>
      </c>
      <c r="L73" s="64">
        <v>21.68</v>
      </c>
      <c r="M73" s="64">
        <v>30.13</v>
      </c>
      <c r="N73" s="64">
        <v>67.400000000000006</v>
      </c>
      <c r="O73" s="64">
        <v>0</v>
      </c>
      <c r="P73" s="64">
        <v>0.53</v>
      </c>
      <c r="Q73" s="64">
        <v>10.37</v>
      </c>
      <c r="R73" s="196"/>
      <c r="S73" s="196"/>
      <c r="T73" s="196"/>
      <c r="U73" s="196"/>
    </row>
    <row r="74" spans="1:21" s="12" customFormat="1" x14ac:dyDescent="0.25">
      <c r="A74" s="211" t="s">
        <v>2616</v>
      </c>
      <c r="B74" s="64">
        <v>2.02</v>
      </c>
      <c r="C74" s="64">
        <v>57.39</v>
      </c>
      <c r="D74" s="64">
        <v>30.23</v>
      </c>
      <c r="E74" s="64">
        <v>9.92</v>
      </c>
      <c r="F74" s="64">
        <v>16.98</v>
      </c>
      <c r="G74" s="64">
        <v>60.46</v>
      </c>
      <c r="H74" s="64">
        <v>20.05</v>
      </c>
      <c r="I74" s="64">
        <v>2.97</v>
      </c>
      <c r="J74" s="64">
        <v>0.66</v>
      </c>
      <c r="K74" s="64">
        <v>88.63</v>
      </c>
      <c r="L74" s="64">
        <v>21.35</v>
      </c>
      <c r="M74" s="64">
        <v>30.54</v>
      </c>
      <c r="N74" s="64">
        <v>61.3</v>
      </c>
      <c r="O74" s="64">
        <v>0</v>
      </c>
      <c r="P74" s="64">
        <v>0.47</v>
      </c>
      <c r="Q74" s="64">
        <v>10.32</v>
      </c>
      <c r="R74" s="196"/>
      <c r="S74" s="196"/>
      <c r="T74" s="196"/>
      <c r="U74" s="196"/>
    </row>
    <row r="75" spans="1:21" s="12" customFormat="1" x14ac:dyDescent="0.25">
      <c r="A75" s="211" t="s">
        <v>2617</v>
      </c>
      <c r="B75" s="64">
        <v>2.12</v>
      </c>
      <c r="C75" s="64">
        <v>54.95</v>
      </c>
      <c r="D75" s="64">
        <v>29.04</v>
      </c>
      <c r="E75" s="64">
        <v>7.73</v>
      </c>
      <c r="F75" s="64">
        <v>10.91</v>
      </c>
      <c r="G75" s="64">
        <v>60.46</v>
      </c>
      <c r="H75" s="64">
        <v>20.05</v>
      </c>
      <c r="I75" s="64">
        <v>2.1800000000000002</v>
      </c>
      <c r="J75" s="64">
        <v>0.78</v>
      </c>
      <c r="K75" s="64">
        <v>37.29</v>
      </c>
      <c r="L75" s="64">
        <v>21.07</v>
      </c>
      <c r="M75" s="64">
        <v>31.17</v>
      </c>
      <c r="N75" s="64">
        <v>54.3</v>
      </c>
      <c r="O75" s="64">
        <v>0</v>
      </c>
      <c r="P75" s="64">
        <v>0.48</v>
      </c>
      <c r="Q75" s="64">
        <v>10.32</v>
      </c>
      <c r="R75" s="196"/>
      <c r="S75" s="196"/>
      <c r="T75" s="196"/>
      <c r="U75" s="196"/>
    </row>
    <row r="76" spans="1:21" s="12" customFormat="1" x14ac:dyDescent="0.25">
      <c r="A76" s="211" t="s">
        <v>2618</v>
      </c>
      <c r="B76" s="64">
        <v>2.58</v>
      </c>
      <c r="C76" s="64">
        <v>54</v>
      </c>
      <c r="D76" s="64">
        <v>28.9</v>
      </c>
      <c r="E76" s="64">
        <v>7.13</v>
      </c>
      <c r="F76" s="64">
        <v>7.31</v>
      </c>
      <c r="G76" s="64">
        <v>67.7</v>
      </c>
      <c r="H76" s="64">
        <v>22.72</v>
      </c>
      <c r="I76" s="64">
        <v>2.2999999999999998</v>
      </c>
      <c r="J76" s="64">
        <v>0.38</v>
      </c>
      <c r="K76" s="64">
        <v>47.54</v>
      </c>
      <c r="L76" s="64">
        <v>20.61</v>
      </c>
      <c r="M76" s="64">
        <v>32.26</v>
      </c>
      <c r="N76" s="64">
        <v>46.8</v>
      </c>
      <c r="O76" s="64">
        <v>0</v>
      </c>
      <c r="P76" s="64">
        <v>0.5</v>
      </c>
      <c r="Q76" s="64">
        <v>10.31</v>
      </c>
      <c r="R76" s="196"/>
      <c r="S76" s="196"/>
      <c r="T76" s="196"/>
      <c r="U76" s="196"/>
    </row>
    <row r="77" spans="1:21" s="12" customFormat="1" x14ac:dyDescent="0.25">
      <c r="A77" s="211" t="s">
        <v>2619</v>
      </c>
      <c r="B77" s="64">
        <v>2.89</v>
      </c>
      <c r="C77" s="64">
        <v>53.11</v>
      </c>
      <c r="D77" s="64">
        <v>28.69</v>
      </c>
      <c r="E77" s="64">
        <v>6.66</v>
      </c>
      <c r="F77" s="64">
        <v>6.01</v>
      </c>
      <c r="G77" s="64">
        <v>73.489999999999995</v>
      </c>
      <c r="H77" s="64">
        <v>23.63</v>
      </c>
      <c r="I77" s="64">
        <v>2.74</v>
      </c>
      <c r="J77" s="64">
        <v>1.41</v>
      </c>
      <c r="K77" s="64">
        <v>65.739999999999995</v>
      </c>
      <c r="L77" s="64">
        <v>20.12</v>
      </c>
      <c r="M77" s="64">
        <v>33.770000000000003</v>
      </c>
      <c r="N77" s="64">
        <v>40.6</v>
      </c>
      <c r="O77" s="64">
        <v>0</v>
      </c>
      <c r="P77" s="64">
        <v>0.51</v>
      </c>
      <c r="Q77" s="64">
        <v>10.28</v>
      </c>
      <c r="R77" s="196"/>
      <c r="S77" s="196"/>
      <c r="T77" s="196"/>
      <c r="U77" s="196"/>
    </row>
    <row r="78" spans="1:21" s="12" customFormat="1" x14ac:dyDescent="0.25">
      <c r="A78" s="211" t="s">
        <v>2620</v>
      </c>
      <c r="B78" s="64">
        <v>2.99</v>
      </c>
      <c r="C78" s="64">
        <v>52.09</v>
      </c>
      <c r="D78" s="64">
        <v>28.24</v>
      </c>
      <c r="E78" s="64">
        <v>6.39</v>
      </c>
      <c r="F78" s="64">
        <v>5.8</v>
      </c>
      <c r="G78" s="64">
        <v>73.489999999999995</v>
      </c>
      <c r="H78" s="64">
        <v>23.63</v>
      </c>
      <c r="I78" s="64">
        <v>2.93</v>
      </c>
      <c r="J78" s="64">
        <v>1.64</v>
      </c>
      <c r="K78" s="64">
        <v>43.09</v>
      </c>
      <c r="L78" s="64">
        <v>19.579999999999998</v>
      </c>
      <c r="M78" s="64">
        <v>36.119999999999997</v>
      </c>
      <c r="N78" s="64">
        <v>36.299999999999997</v>
      </c>
      <c r="O78" s="64">
        <v>0</v>
      </c>
      <c r="P78" s="64">
        <v>0.53</v>
      </c>
      <c r="Q78" s="64">
        <v>10.3</v>
      </c>
      <c r="R78" s="196"/>
      <c r="S78" s="196"/>
      <c r="T78" s="196"/>
      <c r="U78" s="196"/>
    </row>
    <row r="79" spans="1:21" s="12" customFormat="1" x14ac:dyDescent="0.25">
      <c r="A79" s="211" t="s">
        <v>2621</v>
      </c>
      <c r="B79" s="64">
        <v>3.52</v>
      </c>
      <c r="C79" s="64">
        <v>52.48</v>
      </c>
      <c r="D79" s="64">
        <v>28.87</v>
      </c>
      <c r="E79" s="64">
        <v>5.99</v>
      </c>
      <c r="F79" s="64">
        <v>4.87</v>
      </c>
      <c r="G79" s="64">
        <v>73.489999999999995</v>
      </c>
      <c r="H79" s="64">
        <v>23.63</v>
      </c>
      <c r="I79" s="64">
        <v>3.08</v>
      </c>
      <c r="J79" s="64">
        <v>1.69</v>
      </c>
      <c r="K79" s="64">
        <v>50.9</v>
      </c>
      <c r="L79" s="64">
        <v>18.98</v>
      </c>
      <c r="M79" s="64">
        <v>38.99</v>
      </c>
      <c r="N79" s="64">
        <v>34.799999999999997</v>
      </c>
      <c r="O79" s="64">
        <v>0</v>
      </c>
      <c r="P79" s="64">
        <v>0.55000000000000004</v>
      </c>
      <c r="Q79" s="64">
        <v>10.3</v>
      </c>
      <c r="R79" s="196"/>
      <c r="S79" s="196"/>
      <c r="T79" s="196"/>
      <c r="U79" s="196"/>
    </row>
    <row r="80" spans="1:21" s="12" customFormat="1" x14ac:dyDescent="0.25">
      <c r="A80" s="211" t="s">
        <v>2622</v>
      </c>
      <c r="B80" s="64">
        <v>5.42</v>
      </c>
      <c r="C80" s="64">
        <v>54.23</v>
      </c>
      <c r="D80" s="64">
        <v>31.31</v>
      </c>
      <c r="E80" s="64">
        <v>6.35</v>
      </c>
      <c r="F80" s="64">
        <v>4.21</v>
      </c>
      <c r="G80" s="64">
        <v>73.23</v>
      </c>
      <c r="H80" s="64">
        <v>25.42</v>
      </c>
      <c r="I80" s="64">
        <v>3.2</v>
      </c>
      <c r="J80" s="64">
        <v>1.89</v>
      </c>
      <c r="K80" s="64">
        <v>325.75</v>
      </c>
      <c r="L80" s="64">
        <v>18.399999999999999</v>
      </c>
      <c r="M80" s="64">
        <v>42.93</v>
      </c>
      <c r="N80" s="64">
        <v>34.6</v>
      </c>
      <c r="O80" s="64">
        <v>0</v>
      </c>
      <c r="P80" s="64">
        <v>0.8</v>
      </c>
      <c r="Q80" s="64">
        <v>10.31</v>
      </c>
      <c r="R80" s="196"/>
      <c r="S80" s="196"/>
      <c r="T80" s="196"/>
      <c r="U80" s="196"/>
    </row>
    <row r="81" spans="1:26" s="12" customFormat="1" x14ac:dyDescent="0.25">
      <c r="A81" s="211" t="s">
        <v>2623</v>
      </c>
      <c r="B81" s="64">
        <v>7.29</v>
      </c>
      <c r="C81" s="64">
        <v>54.29</v>
      </c>
      <c r="D81" s="64">
        <v>32.83</v>
      </c>
      <c r="E81" s="64">
        <v>6.26</v>
      </c>
      <c r="F81" s="64">
        <v>4.0199999999999996</v>
      </c>
      <c r="G81" s="64">
        <v>73.02</v>
      </c>
      <c r="H81" s="64">
        <v>26.55</v>
      </c>
      <c r="I81" s="64">
        <v>3.56</v>
      </c>
      <c r="J81" s="64">
        <v>1.87</v>
      </c>
      <c r="K81" s="64">
        <v>295.89</v>
      </c>
      <c r="L81" s="64">
        <v>17.59</v>
      </c>
      <c r="M81" s="64">
        <v>45.74</v>
      </c>
      <c r="N81" s="64">
        <v>34.799999999999997</v>
      </c>
      <c r="O81" s="64">
        <v>0</v>
      </c>
      <c r="P81" s="64">
        <v>0.94</v>
      </c>
      <c r="Q81" s="64">
        <v>10.28</v>
      </c>
      <c r="R81" s="196"/>
      <c r="S81" s="196"/>
      <c r="T81" s="196"/>
      <c r="U81" s="196"/>
    </row>
    <row r="82" spans="1:26" s="12" customFormat="1" x14ac:dyDescent="0.25">
      <c r="A82" s="211" t="s">
        <v>2624</v>
      </c>
      <c r="B82" s="64">
        <v>10.210000000000001</v>
      </c>
      <c r="C82" s="64">
        <v>54.83</v>
      </c>
      <c r="D82" s="64">
        <v>35.46</v>
      </c>
      <c r="E82" s="64">
        <v>6.02</v>
      </c>
      <c r="F82" s="64">
        <v>3.94</v>
      </c>
      <c r="G82" s="64">
        <v>73.02</v>
      </c>
      <c r="H82" s="64">
        <v>26.55</v>
      </c>
      <c r="I82" s="64">
        <v>3.91</v>
      </c>
      <c r="J82" s="64">
        <v>2.06</v>
      </c>
      <c r="K82" s="64">
        <v>314.97000000000003</v>
      </c>
      <c r="L82" s="64">
        <v>16.78</v>
      </c>
      <c r="M82" s="64">
        <v>52.4</v>
      </c>
      <c r="N82" s="64">
        <v>34.6</v>
      </c>
      <c r="O82" s="64">
        <v>0</v>
      </c>
      <c r="P82" s="64">
        <v>1.0900000000000001</v>
      </c>
      <c r="Q82" s="64">
        <v>10.29</v>
      </c>
      <c r="R82" s="196"/>
      <c r="S82" s="196"/>
      <c r="T82" s="196"/>
      <c r="U82" s="196"/>
    </row>
    <row r="83" spans="1:26" s="12" customFormat="1" x14ac:dyDescent="0.25">
      <c r="A83" s="211" t="s">
        <v>2625</v>
      </c>
      <c r="B83" s="64">
        <v>15.75</v>
      </c>
      <c r="C83" s="64">
        <v>55.32</v>
      </c>
      <c r="D83" s="64">
        <v>40.15</v>
      </c>
      <c r="E83" s="64">
        <v>6.33</v>
      </c>
      <c r="F83" s="64">
        <v>3.88</v>
      </c>
      <c r="G83" s="64">
        <v>73.02</v>
      </c>
      <c r="H83" s="64">
        <v>26.55</v>
      </c>
      <c r="I83" s="64">
        <v>5.31</v>
      </c>
      <c r="J83" s="64">
        <v>1.99</v>
      </c>
      <c r="K83" s="64">
        <v>285.68</v>
      </c>
      <c r="L83" s="64">
        <v>16.440000000000001</v>
      </c>
      <c r="M83" s="64">
        <v>54.1</v>
      </c>
      <c r="N83" s="64">
        <v>34.4</v>
      </c>
      <c r="O83" s="64">
        <v>0</v>
      </c>
      <c r="P83" s="64">
        <v>1.3</v>
      </c>
      <c r="Q83" s="64">
        <v>10.32</v>
      </c>
      <c r="R83" s="196"/>
      <c r="S83" s="196"/>
      <c r="T83" s="196"/>
      <c r="U83" s="196"/>
    </row>
    <row r="84" spans="1:26" s="12" customFormat="1" x14ac:dyDescent="0.25">
      <c r="A84" s="211" t="s">
        <v>2626</v>
      </c>
      <c r="B84" s="64">
        <v>19.23</v>
      </c>
      <c r="C84" s="64">
        <v>55.79</v>
      </c>
      <c r="D84" s="64">
        <v>43.19</v>
      </c>
      <c r="E84" s="64">
        <v>6.4</v>
      </c>
      <c r="F84" s="64">
        <v>3.72</v>
      </c>
      <c r="G84" s="64">
        <v>80.150000000000006</v>
      </c>
      <c r="H84" s="64">
        <v>30.56</v>
      </c>
      <c r="I84" s="64">
        <v>7.16</v>
      </c>
      <c r="J84" s="64">
        <v>1.83</v>
      </c>
      <c r="K84" s="64">
        <v>301.54000000000002</v>
      </c>
      <c r="L84" s="64">
        <v>16.29</v>
      </c>
      <c r="M84" s="64">
        <v>54.27</v>
      </c>
      <c r="N84" s="64">
        <v>34.299999999999997</v>
      </c>
      <c r="O84" s="64">
        <v>0</v>
      </c>
      <c r="P84" s="64">
        <v>1.29</v>
      </c>
      <c r="Q84" s="64">
        <v>10.42</v>
      </c>
      <c r="R84" s="196"/>
      <c r="S84" s="196"/>
      <c r="T84" s="196"/>
      <c r="U84" s="196"/>
    </row>
    <row r="85" spans="1:26" s="12" customFormat="1" x14ac:dyDescent="0.25">
      <c r="A85" s="211" t="s">
        <v>2627</v>
      </c>
      <c r="B85" s="64">
        <v>24.33</v>
      </c>
      <c r="C85" s="64">
        <v>56.14</v>
      </c>
      <c r="D85" s="64">
        <v>47.46</v>
      </c>
      <c r="E85" s="64">
        <v>7.01</v>
      </c>
      <c r="F85" s="64">
        <v>3.83</v>
      </c>
      <c r="G85" s="64">
        <v>85.84</v>
      </c>
      <c r="H85" s="64">
        <v>31.92</v>
      </c>
      <c r="I85" s="64">
        <v>6.81</v>
      </c>
      <c r="J85" s="64">
        <v>1.42</v>
      </c>
      <c r="K85" s="64">
        <v>307.3</v>
      </c>
      <c r="L85" s="64">
        <v>16.09</v>
      </c>
      <c r="M85" s="64">
        <v>57.76</v>
      </c>
      <c r="N85" s="64">
        <v>34.200000000000003</v>
      </c>
      <c r="O85" s="64">
        <v>0</v>
      </c>
      <c r="P85" s="64">
        <v>1.52</v>
      </c>
      <c r="Q85" s="64">
        <v>10.5</v>
      </c>
      <c r="R85" s="196"/>
      <c r="S85" s="196"/>
      <c r="T85" s="196"/>
      <c r="U85" s="196"/>
    </row>
    <row r="86" spans="1:26" s="12" customFormat="1" x14ac:dyDescent="0.25">
      <c r="A86" s="211" t="s">
        <v>2628</v>
      </c>
      <c r="B86" s="64">
        <v>29.9</v>
      </c>
      <c r="C86" s="64">
        <v>56.38</v>
      </c>
      <c r="D86" s="64">
        <v>52.05</v>
      </c>
      <c r="E86" s="64">
        <v>7.39</v>
      </c>
      <c r="F86" s="64">
        <v>4.1100000000000003</v>
      </c>
      <c r="G86" s="64">
        <v>85.84</v>
      </c>
      <c r="H86" s="64">
        <v>31.92</v>
      </c>
      <c r="I86" s="64">
        <v>7.93</v>
      </c>
      <c r="J86" s="64">
        <v>1.93</v>
      </c>
      <c r="K86" s="64">
        <v>268.62</v>
      </c>
      <c r="L86" s="64">
        <v>16.03</v>
      </c>
      <c r="M86" s="64">
        <v>55.77</v>
      </c>
      <c r="N86" s="64">
        <v>34.299999999999997</v>
      </c>
      <c r="O86" s="64">
        <v>0</v>
      </c>
      <c r="P86" s="64">
        <v>1.21</v>
      </c>
      <c r="Q86" s="64">
        <v>10.55</v>
      </c>
      <c r="R86" s="196"/>
      <c r="S86" s="196"/>
      <c r="T86" s="196"/>
      <c r="U86" s="196"/>
    </row>
    <row r="87" spans="1:26" s="12" customFormat="1" x14ac:dyDescent="0.25">
      <c r="A87" s="211" t="s">
        <v>2629</v>
      </c>
      <c r="B87" s="64">
        <v>33.19</v>
      </c>
      <c r="C87" s="64">
        <v>56.59</v>
      </c>
      <c r="D87" s="64">
        <v>54.8</v>
      </c>
      <c r="E87" s="64">
        <v>7.41</v>
      </c>
      <c r="F87" s="64">
        <v>3.96</v>
      </c>
      <c r="G87" s="64">
        <v>85.84</v>
      </c>
      <c r="H87" s="64">
        <v>31.92</v>
      </c>
      <c r="I87" s="64">
        <v>7.81</v>
      </c>
      <c r="J87" s="64">
        <v>1.53</v>
      </c>
      <c r="K87" s="64">
        <v>305.49</v>
      </c>
      <c r="L87" s="64">
        <v>16.190000000000001</v>
      </c>
      <c r="M87" s="64">
        <v>58.92</v>
      </c>
      <c r="N87" s="64">
        <v>34.1</v>
      </c>
      <c r="O87" s="64">
        <v>0</v>
      </c>
      <c r="P87" s="64">
        <v>1.35</v>
      </c>
      <c r="Q87" s="64">
        <v>10.61</v>
      </c>
      <c r="R87" s="196"/>
      <c r="S87" s="196"/>
      <c r="T87" s="196"/>
      <c r="U87" s="196"/>
    </row>
    <row r="88" spans="1:26" s="12" customFormat="1" x14ac:dyDescent="0.25">
      <c r="A88" s="211" t="s">
        <v>2630</v>
      </c>
      <c r="B88" s="64">
        <v>38.020000000000003</v>
      </c>
      <c r="C88" s="64">
        <v>56.5</v>
      </c>
      <c r="D88" s="64">
        <v>58.64</v>
      </c>
      <c r="E88" s="64">
        <v>7.84</v>
      </c>
      <c r="F88" s="64">
        <v>4.03</v>
      </c>
      <c r="G88" s="64">
        <v>100.51</v>
      </c>
      <c r="H88" s="64">
        <v>42.02</v>
      </c>
      <c r="I88" s="64">
        <v>6.89</v>
      </c>
      <c r="J88" s="64">
        <v>1.39</v>
      </c>
      <c r="K88" s="64">
        <v>263.25</v>
      </c>
      <c r="L88" s="64">
        <v>15.95</v>
      </c>
      <c r="M88" s="64">
        <v>58.6</v>
      </c>
      <c r="N88" s="64">
        <v>34.1</v>
      </c>
      <c r="O88" s="64">
        <v>0</v>
      </c>
      <c r="P88" s="64">
        <v>1.19</v>
      </c>
      <c r="Q88" s="64">
        <v>10.72</v>
      </c>
      <c r="R88" s="196"/>
      <c r="S88" s="196"/>
      <c r="T88" s="196"/>
      <c r="U88" s="196"/>
    </row>
    <row r="89" spans="1:26" s="12" customFormat="1" x14ac:dyDescent="0.25">
      <c r="A89" s="211" t="s">
        <v>2631</v>
      </c>
      <c r="B89" s="64">
        <v>41.24</v>
      </c>
      <c r="C89" s="64">
        <v>57.25</v>
      </c>
      <c r="D89" s="64">
        <v>61.61</v>
      </c>
      <c r="E89" s="64">
        <v>7.71</v>
      </c>
      <c r="F89" s="64">
        <v>4.32</v>
      </c>
      <c r="G89" s="64">
        <v>111.73</v>
      </c>
      <c r="H89" s="64">
        <v>45.45</v>
      </c>
      <c r="I89" s="64">
        <v>7.81</v>
      </c>
      <c r="J89" s="64">
        <v>0.8</v>
      </c>
      <c r="K89" s="64">
        <v>42.9</v>
      </c>
      <c r="L89" s="64">
        <v>16.61</v>
      </c>
      <c r="M89" s="64">
        <v>49.3</v>
      </c>
      <c r="N89" s="64">
        <v>33.4</v>
      </c>
      <c r="O89" s="64">
        <v>0</v>
      </c>
      <c r="P89" s="64">
        <v>1.17</v>
      </c>
      <c r="Q89" s="64">
        <v>10.84</v>
      </c>
      <c r="R89" s="196"/>
      <c r="S89" s="196"/>
      <c r="T89" s="196"/>
      <c r="U89" s="196"/>
    </row>
    <row r="90" spans="1:26" s="12" customFormat="1" x14ac:dyDescent="0.25">
      <c r="A90" s="211" t="s">
        <v>2632</v>
      </c>
      <c r="B90" s="64">
        <v>43.21</v>
      </c>
      <c r="C90" s="64">
        <v>58.43</v>
      </c>
      <c r="D90" s="64">
        <v>63.8</v>
      </c>
      <c r="E90" s="64">
        <v>8.19</v>
      </c>
      <c r="F90" s="64">
        <v>4.68</v>
      </c>
      <c r="G90" s="64">
        <v>111.73</v>
      </c>
      <c r="H90" s="64">
        <v>45.45</v>
      </c>
      <c r="I90" s="64">
        <v>7.14</v>
      </c>
      <c r="J90" s="64">
        <v>1.47</v>
      </c>
      <c r="K90" s="64">
        <v>301.64999999999998</v>
      </c>
      <c r="L90" s="64">
        <v>16.34</v>
      </c>
      <c r="M90" s="64">
        <v>53.06</v>
      </c>
      <c r="N90" s="64">
        <v>34.4</v>
      </c>
      <c r="O90" s="64">
        <v>0</v>
      </c>
      <c r="P90" s="64">
        <v>1.25</v>
      </c>
      <c r="Q90" s="64">
        <v>10.86</v>
      </c>
      <c r="R90" s="196"/>
      <c r="S90" s="196"/>
      <c r="T90" s="196"/>
      <c r="U90" s="196"/>
    </row>
    <row r="91" spans="1:26" s="12" customFormat="1" x14ac:dyDescent="0.25">
      <c r="A91" s="211" t="s">
        <v>2633</v>
      </c>
      <c r="B91" s="64">
        <v>45.86</v>
      </c>
      <c r="C91" s="64">
        <v>59.41</v>
      </c>
      <c r="D91" s="64">
        <v>66.44</v>
      </c>
      <c r="E91" s="64">
        <v>7.94</v>
      </c>
      <c r="F91" s="64">
        <v>4.32</v>
      </c>
      <c r="G91" s="64">
        <v>111.73</v>
      </c>
      <c r="H91" s="64">
        <v>45.45</v>
      </c>
      <c r="I91" s="64">
        <v>6.55</v>
      </c>
      <c r="J91" s="64">
        <v>1.3</v>
      </c>
      <c r="K91" s="64">
        <v>301.66000000000003</v>
      </c>
      <c r="L91" s="64">
        <v>15.86</v>
      </c>
      <c r="M91" s="64">
        <v>56.04</v>
      </c>
      <c r="N91" s="64">
        <v>34.299999999999997</v>
      </c>
      <c r="O91" s="64">
        <v>0</v>
      </c>
      <c r="P91" s="64">
        <v>1.3</v>
      </c>
      <c r="Q91" s="64">
        <v>10.94</v>
      </c>
      <c r="R91" s="196"/>
      <c r="S91" s="196"/>
      <c r="T91" s="196"/>
      <c r="U91" s="196"/>
    </row>
    <row r="92" spans="1:26" s="12" customFormat="1" x14ac:dyDescent="0.25">
      <c r="A92" s="211" t="s">
        <v>2634</v>
      </c>
      <c r="B92" s="64">
        <v>48.82</v>
      </c>
      <c r="C92" s="64">
        <v>60.23</v>
      </c>
      <c r="D92" s="64">
        <v>69.239999999999995</v>
      </c>
      <c r="E92" s="64">
        <v>8.0500000000000007</v>
      </c>
      <c r="F92" s="64">
        <v>4.21</v>
      </c>
      <c r="G92" s="64">
        <v>107.81</v>
      </c>
      <c r="H92" s="64">
        <v>42.47</v>
      </c>
      <c r="I92" s="64">
        <v>6.72</v>
      </c>
      <c r="J92" s="64">
        <v>1.68</v>
      </c>
      <c r="K92" s="64">
        <v>353.73</v>
      </c>
      <c r="L92" s="64">
        <v>15.67</v>
      </c>
      <c r="M92" s="64">
        <v>58.73</v>
      </c>
      <c r="N92" s="64">
        <v>34.4</v>
      </c>
      <c r="O92" s="64">
        <v>0</v>
      </c>
      <c r="P92" s="64">
        <v>1.36</v>
      </c>
      <c r="Q92" s="64">
        <v>10.95</v>
      </c>
      <c r="R92" s="196"/>
      <c r="S92" s="196"/>
      <c r="T92" s="196"/>
      <c r="U92" s="196"/>
    </row>
    <row r="93" spans="1:26" s="12" customFormat="1" x14ac:dyDescent="0.25">
      <c r="A93" s="211" t="s">
        <v>2635</v>
      </c>
      <c r="B93" s="64">
        <v>53.01</v>
      </c>
      <c r="C93" s="64">
        <v>60.79</v>
      </c>
      <c r="D93" s="64">
        <v>72.89</v>
      </c>
      <c r="E93" s="64">
        <v>8.35</v>
      </c>
      <c r="F93" s="64">
        <v>4.43</v>
      </c>
      <c r="G93" s="64">
        <v>104.81</v>
      </c>
      <c r="H93" s="64">
        <v>41.45</v>
      </c>
      <c r="I93" s="64">
        <v>6.88</v>
      </c>
      <c r="J93" s="64">
        <v>1.1499999999999999</v>
      </c>
      <c r="K93" s="64">
        <v>269.42</v>
      </c>
      <c r="L93" s="64">
        <v>15.51</v>
      </c>
      <c r="M93" s="64">
        <v>59.38</v>
      </c>
      <c r="N93" s="64">
        <v>34.4</v>
      </c>
      <c r="O93" s="64">
        <v>0</v>
      </c>
      <c r="P93" s="64">
        <v>1.44</v>
      </c>
      <c r="Q93" s="64">
        <v>11.03</v>
      </c>
      <c r="R93" s="196"/>
      <c r="S93" s="196"/>
      <c r="T93" s="196"/>
      <c r="U93" s="196"/>
    </row>
    <row r="94" spans="1:26" s="12" customFormat="1" x14ac:dyDescent="0.25">
      <c r="A94" s="211" t="s">
        <v>2636</v>
      </c>
      <c r="B94" s="64">
        <v>56.12</v>
      </c>
      <c r="C94" s="64">
        <v>61.45</v>
      </c>
      <c r="D94" s="64">
        <v>75.73</v>
      </c>
      <c r="E94" s="64">
        <v>8</v>
      </c>
      <c r="F94" s="64">
        <v>4.47</v>
      </c>
      <c r="G94" s="64">
        <v>104.81</v>
      </c>
      <c r="H94" s="64">
        <v>41.45</v>
      </c>
      <c r="I94" s="64">
        <v>7.01</v>
      </c>
      <c r="J94" s="64">
        <v>2</v>
      </c>
      <c r="K94" s="64">
        <v>272.3</v>
      </c>
      <c r="L94" s="64">
        <v>15.26</v>
      </c>
      <c r="M94" s="64">
        <v>59.16</v>
      </c>
      <c r="N94" s="64">
        <v>34.5</v>
      </c>
      <c r="O94" s="64">
        <v>0</v>
      </c>
      <c r="P94" s="64">
        <v>1.48</v>
      </c>
      <c r="Q94" s="64">
        <v>11.07</v>
      </c>
      <c r="R94" s="196"/>
      <c r="S94" s="196"/>
      <c r="T94" s="196"/>
      <c r="U94" s="196"/>
    </row>
    <row r="95" spans="1:26" s="12" customFormat="1" x14ac:dyDescent="0.25">
      <c r="A95" s="211" t="s">
        <v>2637</v>
      </c>
      <c r="B95" s="64">
        <v>62.24</v>
      </c>
      <c r="C95" s="64">
        <v>62.18</v>
      </c>
      <c r="D95" s="64">
        <v>81.02</v>
      </c>
      <c r="E95" s="64">
        <v>8.32</v>
      </c>
      <c r="F95" s="64">
        <v>4.1399999999999997</v>
      </c>
      <c r="G95" s="64">
        <v>104.81</v>
      </c>
      <c r="H95" s="64">
        <v>41.45</v>
      </c>
      <c r="I95" s="64">
        <v>7.11</v>
      </c>
      <c r="J95" s="64">
        <v>1.66</v>
      </c>
      <c r="K95" s="64">
        <v>307.89</v>
      </c>
      <c r="L95" s="64">
        <v>14.76</v>
      </c>
      <c r="M95" s="64">
        <v>63.26</v>
      </c>
      <c r="N95" s="64">
        <v>34.6</v>
      </c>
      <c r="O95" s="64">
        <v>0</v>
      </c>
      <c r="P95" s="64">
        <v>1.53</v>
      </c>
      <c r="Q95" s="64">
        <v>11.18</v>
      </c>
      <c r="R95" s="196"/>
      <c r="S95" s="196"/>
      <c r="T95" s="196"/>
      <c r="U95" s="196"/>
    </row>
    <row r="96" spans="1:26" s="12" customFormat="1" x14ac:dyDescent="0.25">
      <c r="A96" s="211" t="s">
        <v>2638</v>
      </c>
      <c r="B96" s="64">
        <v>71.900000000000006</v>
      </c>
      <c r="C96" s="64">
        <v>62.59</v>
      </c>
      <c r="D96" s="64">
        <v>88.99</v>
      </c>
      <c r="E96" s="64">
        <v>8.3699999999999992</v>
      </c>
      <c r="F96" s="64">
        <v>4.3099999999999996</v>
      </c>
      <c r="G96" s="64">
        <v>105.09</v>
      </c>
      <c r="H96" s="64">
        <v>44.47</v>
      </c>
      <c r="I96" s="64">
        <v>7.17</v>
      </c>
      <c r="J96" s="64">
        <v>1.68</v>
      </c>
      <c r="K96" s="64">
        <v>289.95</v>
      </c>
      <c r="L96" s="64">
        <v>14.27</v>
      </c>
      <c r="M96" s="64">
        <v>68.709999999999994</v>
      </c>
      <c r="N96" s="64">
        <v>34.5</v>
      </c>
      <c r="O96" s="64">
        <v>0</v>
      </c>
      <c r="P96" s="64">
        <v>1.61</v>
      </c>
      <c r="Q96" s="64">
        <v>11.28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2639</v>
      </c>
      <c r="B97" s="64">
        <v>79.03</v>
      </c>
      <c r="C97" s="64">
        <v>62.32</v>
      </c>
      <c r="D97" s="64">
        <v>94.56</v>
      </c>
      <c r="E97" s="64">
        <v>8.0399999999999991</v>
      </c>
      <c r="F97" s="64">
        <v>4.45</v>
      </c>
      <c r="G97" s="64">
        <v>105.31</v>
      </c>
      <c r="H97" s="64">
        <v>46.45</v>
      </c>
      <c r="I97" s="64">
        <v>7.23</v>
      </c>
      <c r="J97" s="64">
        <v>1.75</v>
      </c>
      <c r="K97" s="64">
        <v>322.92</v>
      </c>
      <c r="L97" s="64">
        <v>14.08</v>
      </c>
      <c r="M97" s="64">
        <v>71.27</v>
      </c>
      <c r="N97" s="64">
        <v>34.299999999999997</v>
      </c>
      <c r="O97" s="64">
        <v>0</v>
      </c>
      <c r="P97" s="64">
        <v>1.72</v>
      </c>
      <c r="Q97" s="64">
        <v>11.27</v>
      </c>
      <c r="R97" s="196"/>
      <c r="S97" s="196"/>
      <c r="T97" s="196"/>
      <c r="U97" s="196"/>
    </row>
    <row r="98" spans="1:33" s="12" customFormat="1" x14ac:dyDescent="0.25">
      <c r="A98" s="211" t="s">
        <v>2640</v>
      </c>
      <c r="B98" s="64">
        <v>84.92</v>
      </c>
      <c r="C98" s="64">
        <v>61.08</v>
      </c>
      <c r="D98" s="64">
        <v>98.63</v>
      </c>
      <c r="E98" s="64">
        <v>8.14</v>
      </c>
      <c r="F98" s="64">
        <v>4.4400000000000004</v>
      </c>
      <c r="G98" s="64">
        <v>105.31</v>
      </c>
      <c r="H98" s="64">
        <v>46.45</v>
      </c>
      <c r="I98" s="64">
        <v>7.38</v>
      </c>
      <c r="J98" s="64">
        <v>1.81</v>
      </c>
      <c r="K98" s="64">
        <v>341.09</v>
      </c>
      <c r="L98" s="64">
        <v>13.79</v>
      </c>
      <c r="M98" s="64">
        <v>74.510000000000005</v>
      </c>
      <c r="N98" s="64">
        <v>34.4</v>
      </c>
      <c r="O98" s="64">
        <v>0</v>
      </c>
      <c r="P98" s="64">
        <v>1.75</v>
      </c>
      <c r="Q98" s="64">
        <v>11.16</v>
      </c>
      <c r="R98" s="196"/>
      <c r="S98" s="196"/>
      <c r="T98" s="196"/>
      <c r="U98" s="196"/>
    </row>
    <row r="99" spans="1:33" s="12" customFormat="1" x14ac:dyDescent="0.25">
      <c r="A99" s="211" t="s">
        <v>2641</v>
      </c>
      <c r="B99" s="64">
        <v>89.16</v>
      </c>
      <c r="C99" s="64">
        <v>60.36</v>
      </c>
      <c r="D99" s="64">
        <v>101.65</v>
      </c>
      <c r="E99" s="64">
        <v>7.98</v>
      </c>
      <c r="F99" s="64">
        <v>3.9</v>
      </c>
      <c r="G99" s="64">
        <v>105.31</v>
      </c>
      <c r="H99" s="64">
        <v>46.45</v>
      </c>
      <c r="I99" s="64">
        <v>7.65</v>
      </c>
      <c r="J99" s="64">
        <v>1.25</v>
      </c>
      <c r="K99" s="64">
        <v>319.25</v>
      </c>
      <c r="L99" s="64">
        <v>13.52</v>
      </c>
      <c r="M99" s="64">
        <v>74.62</v>
      </c>
      <c r="N99" s="64">
        <v>34.200000000000003</v>
      </c>
      <c r="O99" s="64">
        <v>0</v>
      </c>
      <c r="P99" s="64">
        <v>1.77</v>
      </c>
      <c r="Q99" s="64">
        <v>11.23</v>
      </c>
      <c r="R99" s="196"/>
      <c r="S99" s="196"/>
      <c r="T99" s="196"/>
      <c r="U99" s="196"/>
    </row>
    <row r="100" spans="1:33" s="12" customFormat="1" x14ac:dyDescent="0.25">
      <c r="A100" s="211" t="s">
        <v>2642</v>
      </c>
      <c r="B100" s="64">
        <v>91.21</v>
      </c>
      <c r="C100" s="64">
        <v>59.49</v>
      </c>
      <c r="D100" s="64">
        <v>102.84</v>
      </c>
      <c r="E100" s="64">
        <v>8.0299999999999994</v>
      </c>
      <c r="F100" s="64">
        <v>4.1100000000000003</v>
      </c>
      <c r="G100" s="64">
        <v>109.59</v>
      </c>
      <c r="H100" s="64">
        <v>33.97</v>
      </c>
      <c r="I100" s="64">
        <v>7.69</v>
      </c>
      <c r="J100" s="64">
        <v>2.0299999999999998</v>
      </c>
      <c r="K100" s="64">
        <v>309.75</v>
      </c>
      <c r="L100" s="64">
        <v>13.56</v>
      </c>
      <c r="M100" s="64">
        <v>73.37</v>
      </c>
      <c r="N100" s="64">
        <v>34.4</v>
      </c>
      <c r="O100" s="64">
        <v>0</v>
      </c>
      <c r="P100" s="64">
        <v>1.82</v>
      </c>
      <c r="Q100" s="64">
        <v>11.3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2643</v>
      </c>
      <c r="B101" s="64">
        <v>93.57</v>
      </c>
      <c r="C101" s="64">
        <v>58.6</v>
      </c>
      <c r="D101" s="64">
        <v>104.28</v>
      </c>
      <c r="E101" s="64">
        <v>8.2899999999999991</v>
      </c>
      <c r="F101" s="64">
        <v>4.21</v>
      </c>
      <c r="G101" s="64">
        <v>112.86</v>
      </c>
      <c r="H101" s="64">
        <v>29.73</v>
      </c>
      <c r="I101" s="64">
        <v>7.5</v>
      </c>
      <c r="J101" s="64">
        <v>1.57</v>
      </c>
      <c r="K101" s="64">
        <v>310.37</v>
      </c>
      <c r="L101" s="64">
        <v>13.36</v>
      </c>
      <c r="M101" s="64">
        <v>74.02</v>
      </c>
      <c r="N101" s="64">
        <v>34.299999999999997</v>
      </c>
      <c r="O101" s="64">
        <v>0</v>
      </c>
      <c r="P101" s="64">
        <v>1.82</v>
      </c>
      <c r="Q101" s="64">
        <v>11.37</v>
      </c>
      <c r="R101" s="196"/>
      <c r="S101" s="196"/>
      <c r="T101" s="196"/>
      <c r="U101" s="196"/>
    </row>
    <row r="102" spans="1:33" s="12" customFormat="1" x14ac:dyDescent="0.25">
      <c r="A102" s="211" t="s">
        <v>2644</v>
      </c>
      <c r="B102" s="64">
        <v>97.69</v>
      </c>
      <c r="C102" s="64">
        <v>57.71</v>
      </c>
      <c r="D102" s="64">
        <v>107.11</v>
      </c>
      <c r="E102" s="64">
        <v>8.24</v>
      </c>
      <c r="F102" s="64">
        <v>4.2300000000000004</v>
      </c>
      <c r="G102" s="64">
        <v>112.86</v>
      </c>
      <c r="H102" s="64">
        <v>29.73</v>
      </c>
      <c r="I102" s="64">
        <v>7.58</v>
      </c>
      <c r="J102" s="64">
        <v>1.89</v>
      </c>
      <c r="K102" s="64">
        <v>310.87</v>
      </c>
      <c r="L102" s="64">
        <v>13.08</v>
      </c>
      <c r="M102" s="64">
        <v>76.8</v>
      </c>
      <c r="N102" s="64">
        <v>34.299999999999997</v>
      </c>
      <c r="O102" s="64">
        <v>0</v>
      </c>
      <c r="P102" s="64">
        <v>1.8</v>
      </c>
      <c r="Q102" s="64">
        <v>11.4</v>
      </c>
      <c r="R102" s="196"/>
      <c r="S102" s="196"/>
      <c r="T102" s="196"/>
      <c r="U102" s="196"/>
    </row>
    <row r="103" spans="1:33" s="12" customFormat="1" x14ac:dyDescent="0.25">
      <c r="A103" s="211" t="s">
        <v>2645</v>
      </c>
      <c r="B103" s="64">
        <v>104.49</v>
      </c>
      <c r="C103" s="64">
        <v>56.85</v>
      </c>
      <c r="D103" s="64">
        <v>112.12</v>
      </c>
      <c r="E103" s="64">
        <v>8.4499999999999993</v>
      </c>
      <c r="F103" s="64">
        <v>3.87</v>
      </c>
      <c r="G103" s="64">
        <v>112.86</v>
      </c>
      <c r="H103" s="64">
        <v>29.73</v>
      </c>
      <c r="I103" s="64">
        <v>7.87</v>
      </c>
      <c r="J103" s="64">
        <v>1.2</v>
      </c>
      <c r="K103" s="64">
        <v>305.66000000000003</v>
      </c>
      <c r="L103" s="64">
        <v>12.88</v>
      </c>
      <c r="M103" s="64">
        <v>78.12</v>
      </c>
      <c r="N103" s="64">
        <v>34.299999999999997</v>
      </c>
      <c r="O103" s="64">
        <v>0</v>
      </c>
      <c r="P103" s="64">
        <v>1.81</v>
      </c>
      <c r="Q103" s="64">
        <v>11.44</v>
      </c>
      <c r="R103" s="196"/>
      <c r="S103" s="196"/>
      <c r="T103" s="196"/>
      <c r="U103" s="196"/>
    </row>
    <row r="104" spans="1:33" s="12" customFormat="1" x14ac:dyDescent="0.25">
      <c r="A104" s="211" t="s">
        <v>2646</v>
      </c>
      <c r="B104" s="64">
        <v>108.49</v>
      </c>
      <c r="C104" s="64">
        <v>56.31</v>
      </c>
      <c r="D104" s="64">
        <v>115.04</v>
      </c>
      <c r="E104" s="64">
        <v>7.01</v>
      </c>
      <c r="F104" s="64">
        <v>3.37</v>
      </c>
      <c r="G104" s="64">
        <v>112.05</v>
      </c>
      <c r="H104" s="64">
        <v>90.19</v>
      </c>
      <c r="I104" s="64">
        <v>7.87</v>
      </c>
      <c r="J104" s="64">
        <v>1.92</v>
      </c>
      <c r="K104" s="64">
        <v>294.32</v>
      </c>
      <c r="L104" s="64">
        <v>12.77</v>
      </c>
      <c r="M104" s="64">
        <v>75.72</v>
      </c>
      <c r="N104" s="64">
        <v>34.299999999999997</v>
      </c>
      <c r="O104" s="64">
        <v>0</v>
      </c>
      <c r="P104" s="64">
        <v>1.73</v>
      </c>
      <c r="Q104" s="64">
        <v>11.53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2.02</v>
      </c>
      <c r="C106" s="67">
        <f>MIN(C9:C104)</f>
        <v>43.37</v>
      </c>
      <c r="D106" s="67">
        <f t="shared" ref="D106:Q106" si="0">MIN(D9:D104)</f>
        <v>28.24</v>
      </c>
      <c r="E106" s="67">
        <f t="shared" si="0"/>
        <v>4.93</v>
      </c>
      <c r="F106" s="67">
        <f t="shared" si="0"/>
        <v>1.63</v>
      </c>
      <c r="G106" s="67">
        <f t="shared" si="0"/>
        <v>28.15</v>
      </c>
      <c r="H106" s="67">
        <f t="shared" si="0"/>
        <v>13.42</v>
      </c>
      <c r="I106" s="67">
        <f t="shared" si="0"/>
        <v>1.62</v>
      </c>
      <c r="J106" s="67">
        <f t="shared" si="0"/>
        <v>0.13</v>
      </c>
      <c r="K106" s="67">
        <f t="shared" si="0"/>
        <v>1.39</v>
      </c>
      <c r="L106" s="67">
        <f t="shared" si="0"/>
        <v>11.19</v>
      </c>
      <c r="M106" s="67">
        <f t="shared" si="0"/>
        <v>29.33</v>
      </c>
      <c r="N106" s="67">
        <f t="shared" si="0"/>
        <v>33</v>
      </c>
      <c r="O106" s="67">
        <f t="shared" si="0"/>
        <v>0</v>
      </c>
      <c r="P106" s="67">
        <f t="shared" si="0"/>
        <v>0.45</v>
      </c>
      <c r="Q106" s="67">
        <f t="shared" si="0"/>
        <v>10.28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108.49</v>
      </c>
      <c r="C107" s="66">
        <f t="shared" ref="C107:Q107" si="1">MAX(C9:C104)</f>
        <v>62.59</v>
      </c>
      <c r="D107" s="66">
        <f t="shared" si="1"/>
        <v>115.04</v>
      </c>
      <c r="E107" s="66">
        <f t="shared" si="1"/>
        <v>11.56</v>
      </c>
      <c r="F107" s="66">
        <f t="shared" si="1"/>
        <v>352.43</v>
      </c>
      <c r="G107" s="66">
        <f t="shared" si="1"/>
        <v>112.86</v>
      </c>
      <c r="H107" s="66">
        <f t="shared" si="1"/>
        <v>91.9</v>
      </c>
      <c r="I107" s="66">
        <f t="shared" si="1"/>
        <v>8.26</v>
      </c>
      <c r="J107" s="66">
        <f t="shared" si="1"/>
        <v>2.52</v>
      </c>
      <c r="K107" s="66">
        <f t="shared" si="1"/>
        <v>358.98</v>
      </c>
      <c r="L107" s="66">
        <f t="shared" si="1"/>
        <v>24.19</v>
      </c>
      <c r="M107" s="66">
        <f t="shared" si="1"/>
        <v>93.15</v>
      </c>
      <c r="N107" s="66">
        <f t="shared" si="1"/>
        <v>606.1</v>
      </c>
      <c r="O107" s="66">
        <f t="shared" si="1"/>
        <v>0</v>
      </c>
      <c r="P107" s="66">
        <f t="shared" si="1"/>
        <v>1.91</v>
      </c>
      <c r="Q107" s="66">
        <f t="shared" si="1"/>
        <v>11.65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40.249895833333333</v>
      </c>
      <c r="C108" s="67">
        <f t="shared" ref="C108:Q108" si="2">AVERAGE(C9:C104)</f>
        <v>53.412916666666668</v>
      </c>
      <c r="D108" s="67">
        <f t="shared" si="2"/>
        <v>58.806562500000005</v>
      </c>
      <c r="E108" s="67">
        <f t="shared" si="2"/>
        <v>7.1683333333333366</v>
      </c>
      <c r="F108" s="67">
        <f t="shared" si="2"/>
        <v>12.105104166666669</v>
      </c>
      <c r="G108" s="67">
        <f t="shared" si="2"/>
        <v>85.720810810810832</v>
      </c>
      <c r="H108" s="67">
        <f t="shared" si="2"/>
        <v>44.873043478260875</v>
      </c>
      <c r="I108" s="67">
        <f t="shared" si="2"/>
        <v>6.2282291666666687</v>
      </c>
      <c r="J108" s="67">
        <f t="shared" si="2"/>
        <v>1.3717708333333327</v>
      </c>
      <c r="K108" s="67">
        <f t="shared" si="2"/>
        <v>193.36906250000001</v>
      </c>
      <c r="L108" s="67">
        <f t="shared" si="2"/>
        <v>16.711458333333322</v>
      </c>
      <c r="M108" s="67">
        <f t="shared" si="2"/>
        <v>58.260833333333359</v>
      </c>
      <c r="N108" s="67">
        <f t="shared" si="2"/>
        <v>162.73333333333326</v>
      </c>
      <c r="O108" s="67">
        <f t="shared" si="2"/>
        <v>0</v>
      </c>
      <c r="P108" s="67">
        <f t="shared" si="2"/>
        <v>1.1720833333333331</v>
      </c>
      <c r="Q108" s="67">
        <f t="shared" si="2"/>
        <v>10.830520833333333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33.567262105393624</v>
      </c>
      <c r="C109" s="67">
        <f t="shared" ref="C109:Q109" si="3">STDEV(C9:C104)</f>
        <v>4.9131325448748857</v>
      </c>
      <c r="D109" s="67">
        <f t="shared" si="3"/>
        <v>27.469705871938039</v>
      </c>
      <c r="E109" s="67">
        <f t="shared" si="3"/>
        <v>1.2871442618747673</v>
      </c>
      <c r="F109" s="67">
        <f t="shared" si="3"/>
        <v>48.907348387587156</v>
      </c>
      <c r="G109" s="67">
        <f t="shared" si="3"/>
        <v>23.742938877623047</v>
      </c>
      <c r="H109" s="67">
        <f t="shared" si="3"/>
        <v>19.30153946710692</v>
      </c>
      <c r="I109" s="67">
        <f t="shared" si="3"/>
        <v>1.8306455546964302</v>
      </c>
      <c r="J109" s="67">
        <f t="shared" si="3"/>
        <v>0.57422715987695339</v>
      </c>
      <c r="K109" s="67">
        <f t="shared" si="3"/>
        <v>124.70051762082346</v>
      </c>
      <c r="L109" s="67">
        <f t="shared" si="3"/>
        <v>4.4591783475308588</v>
      </c>
      <c r="M109" s="67">
        <f t="shared" si="3"/>
        <v>19.942493518095837</v>
      </c>
      <c r="N109" s="67">
        <f t="shared" si="3"/>
        <v>200.62587526179533</v>
      </c>
      <c r="O109" s="67">
        <f t="shared" si="3"/>
        <v>0</v>
      </c>
      <c r="P109" s="67">
        <f t="shared" si="3"/>
        <v>0.43948993561715688</v>
      </c>
      <c r="Q109" s="67">
        <f t="shared" si="3"/>
        <v>0.40738284022375304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COUNT(G9:G104)+59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2647</v>
      </c>
      <c r="B9" s="64">
        <v>109.71</v>
      </c>
      <c r="C9" s="64">
        <v>55.67</v>
      </c>
      <c r="D9" s="64">
        <v>115.69</v>
      </c>
      <c r="E9" s="64">
        <v>7.29</v>
      </c>
      <c r="F9" s="64">
        <v>3.74</v>
      </c>
      <c r="G9" s="64">
        <v>111.44</v>
      </c>
      <c r="H9" s="64">
        <v>110.74</v>
      </c>
      <c r="I9" s="64">
        <v>7.53</v>
      </c>
      <c r="J9" s="64">
        <v>1.62</v>
      </c>
      <c r="K9" s="64">
        <v>321.52</v>
      </c>
      <c r="L9" s="64">
        <v>12.58</v>
      </c>
      <c r="M9" s="64">
        <v>80.47</v>
      </c>
      <c r="N9" s="64">
        <v>34.4</v>
      </c>
      <c r="O9" s="64">
        <v>0</v>
      </c>
      <c r="P9" s="64">
        <v>1.77</v>
      </c>
      <c r="Q9" s="64">
        <v>11.6</v>
      </c>
      <c r="R9" s="196"/>
      <c r="S9" s="196"/>
      <c r="T9" s="196"/>
      <c r="U9" s="196"/>
    </row>
    <row r="10" spans="1:21" s="12" customFormat="1" x14ac:dyDescent="0.25">
      <c r="A10" s="211" t="s">
        <v>2648</v>
      </c>
      <c r="B10" s="64">
        <v>109.44</v>
      </c>
      <c r="C10" s="64">
        <v>55.63</v>
      </c>
      <c r="D10" s="64">
        <v>115.45</v>
      </c>
      <c r="E10" s="64">
        <v>7.48</v>
      </c>
      <c r="F10" s="64">
        <v>4.33</v>
      </c>
      <c r="G10" s="64">
        <v>111.44</v>
      </c>
      <c r="H10" s="64">
        <v>110.74</v>
      </c>
      <c r="I10" s="64">
        <v>7.53</v>
      </c>
      <c r="J10" s="64">
        <v>1.58</v>
      </c>
      <c r="K10" s="64">
        <v>338.47</v>
      </c>
      <c r="L10" s="64">
        <v>12.57</v>
      </c>
      <c r="M10" s="64">
        <v>81.239999999999995</v>
      </c>
      <c r="N10" s="64">
        <v>34.200000000000003</v>
      </c>
      <c r="O10" s="64">
        <v>0</v>
      </c>
      <c r="P10" s="64">
        <v>1.75</v>
      </c>
      <c r="Q10" s="64">
        <v>11.67</v>
      </c>
      <c r="R10" s="196"/>
      <c r="S10" s="196"/>
      <c r="T10" s="196"/>
      <c r="U10" s="196"/>
    </row>
    <row r="11" spans="1:21" s="12" customFormat="1" x14ac:dyDescent="0.25">
      <c r="A11" s="211" t="s">
        <v>2649</v>
      </c>
      <c r="B11" s="64">
        <v>106.64</v>
      </c>
      <c r="C11" s="64">
        <v>55.62</v>
      </c>
      <c r="D11" s="64">
        <v>113.2</v>
      </c>
      <c r="E11" s="64">
        <v>7.22</v>
      </c>
      <c r="F11" s="64">
        <v>4.42</v>
      </c>
      <c r="G11" s="64">
        <v>111.44</v>
      </c>
      <c r="H11" s="64">
        <v>110.74</v>
      </c>
      <c r="I11" s="64">
        <v>7.64</v>
      </c>
      <c r="J11" s="64">
        <v>1.22</v>
      </c>
      <c r="K11" s="64">
        <v>287.63</v>
      </c>
      <c r="L11" s="64">
        <v>12.29</v>
      </c>
      <c r="M11" s="64">
        <v>81.010000000000005</v>
      </c>
      <c r="N11" s="64">
        <v>34.4</v>
      </c>
      <c r="O11" s="64">
        <v>0</v>
      </c>
      <c r="P11" s="64">
        <v>1.71</v>
      </c>
      <c r="Q11" s="64">
        <v>11.6</v>
      </c>
      <c r="R11" s="196"/>
      <c r="S11" s="196"/>
      <c r="T11" s="196"/>
      <c r="U11" s="196"/>
    </row>
    <row r="12" spans="1:21" s="12" customFormat="1" x14ac:dyDescent="0.25">
      <c r="A12" s="211" t="s">
        <v>2650</v>
      </c>
      <c r="B12" s="64">
        <v>102.79</v>
      </c>
      <c r="C12" s="64">
        <v>55.48</v>
      </c>
      <c r="D12" s="64">
        <v>110.04</v>
      </c>
      <c r="E12" s="64">
        <v>7.03</v>
      </c>
      <c r="F12" s="64">
        <v>4.17</v>
      </c>
      <c r="G12" s="64">
        <v>112.24</v>
      </c>
      <c r="H12" s="64">
        <v>64.12</v>
      </c>
      <c r="I12" s="64">
        <v>7.54</v>
      </c>
      <c r="J12" s="64">
        <v>2.02</v>
      </c>
      <c r="K12" s="64">
        <v>325.58999999999997</v>
      </c>
      <c r="L12" s="64">
        <v>12.12</v>
      </c>
      <c r="M12" s="64">
        <v>84.93</v>
      </c>
      <c r="N12" s="64">
        <v>34.4</v>
      </c>
      <c r="O12" s="64">
        <v>0</v>
      </c>
      <c r="P12" s="64">
        <v>1.69</v>
      </c>
      <c r="Q12" s="64">
        <v>11.54</v>
      </c>
      <c r="R12" s="196"/>
      <c r="S12" s="196"/>
      <c r="T12" s="196"/>
      <c r="U12" s="196"/>
    </row>
    <row r="13" spans="1:21" s="12" customFormat="1" x14ac:dyDescent="0.25">
      <c r="A13" s="211" t="s">
        <v>2651</v>
      </c>
      <c r="B13" s="64">
        <v>98.94</v>
      </c>
      <c r="C13" s="64">
        <v>55.32</v>
      </c>
      <c r="D13" s="64">
        <v>106.87</v>
      </c>
      <c r="E13" s="64">
        <v>7.19</v>
      </c>
      <c r="F13" s="64">
        <v>4.12</v>
      </c>
      <c r="G13" s="64">
        <v>112.84</v>
      </c>
      <c r="H13" s="64">
        <v>48.26</v>
      </c>
      <c r="I13" s="64">
        <v>7.36</v>
      </c>
      <c r="J13" s="64">
        <v>1.84</v>
      </c>
      <c r="K13" s="64">
        <v>295.97000000000003</v>
      </c>
      <c r="L13" s="64">
        <v>11.89</v>
      </c>
      <c r="M13" s="64">
        <v>83.76</v>
      </c>
      <c r="N13" s="64">
        <v>34.4</v>
      </c>
      <c r="O13" s="64">
        <v>0</v>
      </c>
      <c r="P13" s="64">
        <v>1.44</v>
      </c>
      <c r="Q13" s="64">
        <v>11.51</v>
      </c>
      <c r="R13" s="196"/>
      <c r="S13" s="196"/>
      <c r="T13" s="196"/>
      <c r="U13" s="196"/>
    </row>
    <row r="14" spans="1:21" s="12" customFormat="1" x14ac:dyDescent="0.25">
      <c r="A14" s="211" t="s">
        <v>2652</v>
      </c>
      <c r="B14" s="64">
        <v>94.52</v>
      </c>
      <c r="C14" s="64">
        <v>55.27</v>
      </c>
      <c r="D14" s="64">
        <v>103.3</v>
      </c>
      <c r="E14" s="64">
        <v>7</v>
      </c>
      <c r="F14" s="64">
        <v>4.21</v>
      </c>
      <c r="G14" s="64">
        <v>112.84</v>
      </c>
      <c r="H14" s="64">
        <v>48.26</v>
      </c>
      <c r="I14" s="64">
        <v>7.21</v>
      </c>
      <c r="J14" s="64">
        <v>2.08</v>
      </c>
      <c r="K14" s="64">
        <v>328.92</v>
      </c>
      <c r="L14" s="64">
        <v>11.95</v>
      </c>
      <c r="M14" s="64">
        <v>86.26</v>
      </c>
      <c r="N14" s="64">
        <v>34.4</v>
      </c>
      <c r="O14" s="64">
        <v>0</v>
      </c>
      <c r="P14" s="64">
        <v>1.48</v>
      </c>
      <c r="Q14" s="64">
        <v>11.48</v>
      </c>
      <c r="R14" s="196"/>
      <c r="S14" s="196"/>
      <c r="T14" s="196"/>
      <c r="U14" s="196"/>
    </row>
    <row r="15" spans="1:21" s="12" customFormat="1" x14ac:dyDescent="0.25">
      <c r="A15" s="211" t="s">
        <v>2653</v>
      </c>
      <c r="B15" s="64">
        <v>90.95</v>
      </c>
      <c r="C15" s="64">
        <v>55.03</v>
      </c>
      <c r="D15" s="64">
        <v>100.31</v>
      </c>
      <c r="E15" s="64">
        <v>6.72</v>
      </c>
      <c r="F15" s="64">
        <v>4.24</v>
      </c>
      <c r="G15" s="64">
        <v>112.84</v>
      </c>
      <c r="H15" s="64">
        <v>48.26</v>
      </c>
      <c r="I15" s="64">
        <v>7.09</v>
      </c>
      <c r="J15" s="64">
        <v>1.9</v>
      </c>
      <c r="K15" s="64">
        <v>311.27</v>
      </c>
      <c r="L15" s="64">
        <v>11.79</v>
      </c>
      <c r="M15" s="64">
        <v>88.27</v>
      </c>
      <c r="N15" s="64">
        <v>34.4</v>
      </c>
      <c r="O15" s="64">
        <v>0</v>
      </c>
      <c r="P15" s="64">
        <v>1.44</v>
      </c>
      <c r="Q15" s="64">
        <v>11.4</v>
      </c>
      <c r="R15" s="196"/>
      <c r="S15" s="196"/>
      <c r="T15" s="196"/>
      <c r="U15" s="196"/>
    </row>
    <row r="16" spans="1:21" s="12" customFormat="1" x14ac:dyDescent="0.25">
      <c r="A16" s="211" t="s">
        <v>2654</v>
      </c>
      <c r="B16" s="64">
        <v>86.8</v>
      </c>
      <c r="C16" s="64">
        <v>54.86</v>
      </c>
      <c r="D16" s="64">
        <v>96.89</v>
      </c>
      <c r="E16" s="64">
        <v>6.83</v>
      </c>
      <c r="F16" s="64">
        <v>4.22</v>
      </c>
      <c r="G16" s="64">
        <v>113.76</v>
      </c>
      <c r="H16" s="64">
        <v>46.38</v>
      </c>
      <c r="I16" s="64">
        <v>6.94</v>
      </c>
      <c r="J16" s="64">
        <v>1.01</v>
      </c>
      <c r="K16" s="64">
        <v>1.4</v>
      </c>
      <c r="L16" s="64">
        <v>11.69</v>
      </c>
      <c r="M16" s="64">
        <v>91.01</v>
      </c>
      <c r="N16" s="64">
        <v>34.299999999999997</v>
      </c>
      <c r="O16" s="64">
        <v>0</v>
      </c>
      <c r="P16" s="64">
        <v>1.41</v>
      </c>
      <c r="Q16" s="64">
        <v>11.38</v>
      </c>
      <c r="R16" s="196"/>
      <c r="S16" s="196"/>
      <c r="T16" s="196"/>
      <c r="U16" s="196"/>
    </row>
    <row r="17" spans="1:21" s="12" customFormat="1" x14ac:dyDescent="0.25">
      <c r="A17" s="211" t="s">
        <v>2655</v>
      </c>
      <c r="B17" s="64">
        <v>83.35</v>
      </c>
      <c r="C17" s="64">
        <v>54.03</v>
      </c>
      <c r="D17" s="64">
        <v>93.69</v>
      </c>
      <c r="E17" s="64">
        <v>6.72</v>
      </c>
      <c r="F17" s="64">
        <v>4.08</v>
      </c>
      <c r="G17" s="64">
        <v>114.46</v>
      </c>
      <c r="H17" s="64">
        <v>45.2</v>
      </c>
      <c r="I17" s="64">
        <v>6.78</v>
      </c>
      <c r="J17" s="64">
        <v>1.97</v>
      </c>
      <c r="K17" s="64">
        <v>308.20999999999998</v>
      </c>
      <c r="L17" s="64">
        <v>11.79</v>
      </c>
      <c r="M17" s="64">
        <v>90.93</v>
      </c>
      <c r="N17" s="64">
        <v>34.1</v>
      </c>
      <c r="O17" s="64">
        <v>0</v>
      </c>
      <c r="P17" s="64">
        <v>1.37</v>
      </c>
      <c r="Q17" s="64">
        <v>11.34</v>
      </c>
      <c r="R17" s="196"/>
      <c r="S17" s="196"/>
      <c r="T17" s="196"/>
      <c r="U17" s="196"/>
    </row>
    <row r="18" spans="1:21" s="12" customFormat="1" x14ac:dyDescent="0.25">
      <c r="A18" s="211" t="s">
        <v>2656</v>
      </c>
      <c r="B18" s="64">
        <v>79.510000000000005</v>
      </c>
      <c r="C18" s="64">
        <v>51.78</v>
      </c>
      <c r="D18" s="64">
        <v>89.44</v>
      </c>
      <c r="E18" s="64">
        <v>6.61</v>
      </c>
      <c r="F18" s="64">
        <v>4.05</v>
      </c>
      <c r="G18" s="64">
        <v>114.46</v>
      </c>
      <c r="H18" s="64">
        <v>45.2</v>
      </c>
      <c r="I18" s="64">
        <v>6.65</v>
      </c>
      <c r="J18" s="64">
        <v>2.4700000000000002</v>
      </c>
      <c r="K18" s="64">
        <v>322.25</v>
      </c>
      <c r="L18" s="64">
        <v>11.86</v>
      </c>
      <c r="M18" s="64">
        <v>87.24</v>
      </c>
      <c r="N18" s="64">
        <v>33.5</v>
      </c>
      <c r="O18" s="64">
        <v>0</v>
      </c>
      <c r="P18" s="64">
        <v>1.35</v>
      </c>
      <c r="Q18" s="64">
        <v>11.29</v>
      </c>
      <c r="R18" s="196"/>
      <c r="S18" s="196"/>
      <c r="T18" s="196"/>
      <c r="U18" s="196"/>
    </row>
    <row r="19" spans="1:21" s="12" customFormat="1" x14ac:dyDescent="0.25">
      <c r="A19" s="211" t="s">
        <v>2657</v>
      </c>
      <c r="B19" s="64">
        <v>76</v>
      </c>
      <c r="C19" s="64">
        <v>50.97</v>
      </c>
      <c r="D19" s="64">
        <v>86.2</v>
      </c>
      <c r="E19" s="64">
        <v>7.45</v>
      </c>
      <c r="F19" s="64">
        <v>4</v>
      </c>
      <c r="G19" s="64">
        <v>114.46</v>
      </c>
      <c r="H19" s="64">
        <v>45.2</v>
      </c>
      <c r="I19" s="64">
        <v>6.52</v>
      </c>
      <c r="J19" s="64">
        <v>2.08</v>
      </c>
      <c r="K19" s="64">
        <v>324.24</v>
      </c>
      <c r="L19" s="64">
        <v>11.84</v>
      </c>
      <c r="M19" s="64">
        <v>86.6</v>
      </c>
      <c r="N19" s="64">
        <v>34</v>
      </c>
      <c r="O19" s="64">
        <v>0</v>
      </c>
      <c r="P19" s="64">
        <v>1.38</v>
      </c>
      <c r="Q19" s="64">
        <v>11.22</v>
      </c>
      <c r="R19" s="196"/>
      <c r="S19" s="196"/>
      <c r="T19" s="196"/>
      <c r="U19" s="196"/>
    </row>
    <row r="20" spans="1:21" s="12" customFormat="1" x14ac:dyDescent="0.25">
      <c r="A20" s="211" t="s">
        <v>2658</v>
      </c>
      <c r="B20" s="64">
        <v>73.67</v>
      </c>
      <c r="C20" s="64">
        <v>50.75</v>
      </c>
      <c r="D20" s="64">
        <v>84.22</v>
      </c>
      <c r="E20" s="64">
        <v>8.1199999999999992</v>
      </c>
      <c r="F20" s="64">
        <v>4.1900000000000004</v>
      </c>
      <c r="G20" s="64">
        <v>128.27000000000001</v>
      </c>
      <c r="H20" s="64">
        <v>80.760000000000005</v>
      </c>
      <c r="I20" s="64">
        <v>6.49</v>
      </c>
      <c r="J20" s="64">
        <v>1.39</v>
      </c>
      <c r="K20" s="64">
        <v>284.67</v>
      </c>
      <c r="L20" s="64">
        <v>11.92</v>
      </c>
      <c r="M20" s="64">
        <v>84.33</v>
      </c>
      <c r="N20" s="64">
        <v>34.200000000000003</v>
      </c>
      <c r="O20" s="64">
        <v>0</v>
      </c>
      <c r="P20" s="64">
        <v>1.39</v>
      </c>
      <c r="Q20" s="64">
        <v>11.2</v>
      </c>
      <c r="R20" s="196"/>
      <c r="S20" s="196"/>
      <c r="T20" s="196"/>
      <c r="U20" s="196"/>
    </row>
    <row r="21" spans="1:21" s="12" customFormat="1" x14ac:dyDescent="0.25">
      <c r="A21" s="211" t="s">
        <v>2659</v>
      </c>
      <c r="B21" s="64">
        <v>71.510000000000005</v>
      </c>
      <c r="C21" s="64">
        <v>49.72</v>
      </c>
      <c r="D21" s="64">
        <v>81.95</v>
      </c>
      <c r="E21" s="64">
        <v>8.27</v>
      </c>
      <c r="F21" s="64">
        <v>4.26</v>
      </c>
      <c r="G21" s="64">
        <v>138.84</v>
      </c>
      <c r="H21" s="64">
        <v>92.85</v>
      </c>
      <c r="I21" s="64">
        <v>6.54</v>
      </c>
      <c r="J21" s="64">
        <v>1.83</v>
      </c>
      <c r="K21" s="64">
        <v>247.89</v>
      </c>
      <c r="L21" s="64">
        <v>12.06</v>
      </c>
      <c r="M21" s="64">
        <v>83.61</v>
      </c>
      <c r="N21" s="64">
        <v>34.200000000000003</v>
      </c>
      <c r="O21" s="64">
        <v>0</v>
      </c>
      <c r="P21" s="64">
        <v>1.4</v>
      </c>
      <c r="Q21" s="64">
        <v>11.21</v>
      </c>
      <c r="R21" s="196"/>
      <c r="S21" s="196"/>
      <c r="T21" s="196"/>
      <c r="U21" s="196"/>
    </row>
    <row r="22" spans="1:21" s="12" customFormat="1" x14ac:dyDescent="0.25">
      <c r="A22" s="211" t="s">
        <v>2660</v>
      </c>
      <c r="B22" s="64">
        <v>69.17</v>
      </c>
      <c r="C22" s="64">
        <v>48.88</v>
      </c>
      <c r="D22" s="64">
        <v>79.63</v>
      </c>
      <c r="E22" s="64">
        <v>8.0299999999999994</v>
      </c>
      <c r="F22" s="64">
        <v>4.67</v>
      </c>
      <c r="G22" s="64">
        <v>138.84</v>
      </c>
      <c r="H22" s="64">
        <v>92.85</v>
      </c>
      <c r="I22" s="64">
        <v>6.59</v>
      </c>
      <c r="J22" s="64">
        <v>1.31</v>
      </c>
      <c r="K22" s="64">
        <v>288.26</v>
      </c>
      <c r="L22" s="64">
        <v>11.78</v>
      </c>
      <c r="M22" s="64">
        <v>88.11</v>
      </c>
      <c r="N22" s="64">
        <v>34.5</v>
      </c>
      <c r="O22" s="64">
        <v>0</v>
      </c>
      <c r="P22" s="64">
        <v>1.39</v>
      </c>
      <c r="Q22" s="64">
        <v>11.19</v>
      </c>
      <c r="R22" s="196"/>
      <c r="S22" s="196"/>
      <c r="T22" s="196"/>
      <c r="U22" s="196"/>
    </row>
    <row r="23" spans="1:21" s="12" customFormat="1" x14ac:dyDescent="0.25">
      <c r="A23" s="211" t="s">
        <v>2661</v>
      </c>
      <c r="B23" s="64">
        <v>67.540000000000006</v>
      </c>
      <c r="C23" s="64">
        <v>48.26</v>
      </c>
      <c r="D23" s="64">
        <v>78</v>
      </c>
      <c r="E23" s="64">
        <v>8.42</v>
      </c>
      <c r="F23" s="64">
        <v>4.17</v>
      </c>
      <c r="G23" s="64">
        <v>138.84</v>
      </c>
      <c r="H23" s="64">
        <v>92.85</v>
      </c>
      <c r="I23" s="64">
        <v>6.6</v>
      </c>
      <c r="J23" s="64">
        <v>1.69</v>
      </c>
      <c r="K23" s="64">
        <v>356.64</v>
      </c>
      <c r="L23" s="64">
        <v>11.34</v>
      </c>
      <c r="M23" s="64">
        <v>90.22</v>
      </c>
      <c r="N23" s="64">
        <v>34.4</v>
      </c>
      <c r="O23" s="64">
        <v>0</v>
      </c>
      <c r="P23" s="64">
        <v>1.39</v>
      </c>
      <c r="Q23" s="64">
        <v>11.17</v>
      </c>
      <c r="R23" s="196"/>
      <c r="S23" s="196"/>
      <c r="T23" s="196"/>
      <c r="U23" s="196"/>
    </row>
    <row r="24" spans="1:21" s="12" customFormat="1" x14ac:dyDescent="0.25">
      <c r="A24" s="211" t="s">
        <v>2662</v>
      </c>
      <c r="B24" s="64">
        <v>66.349999999999994</v>
      </c>
      <c r="C24" s="64">
        <v>47.43</v>
      </c>
      <c r="D24" s="64">
        <v>76.62</v>
      </c>
      <c r="E24" s="64">
        <v>8.33</v>
      </c>
      <c r="F24" s="64">
        <v>3.99</v>
      </c>
      <c r="G24" s="64">
        <v>153.88</v>
      </c>
      <c r="H24" s="64">
        <v>102.23</v>
      </c>
      <c r="I24" s="64">
        <v>6.61</v>
      </c>
      <c r="J24" s="64">
        <v>2.06</v>
      </c>
      <c r="K24" s="64">
        <v>96.85</v>
      </c>
      <c r="L24" s="64">
        <v>11.45</v>
      </c>
      <c r="M24" s="64">
        <v>85.17</v>
      </c>
      <c r="N24" s="64">
        <v>34.1</v>
      </c>
      <c r="O24" s="64">
        <v>0</v>
      </c>
      <c r="P24" s="64">
        <v>1.37</v>
      </c>
      <c r="Q24" s="64">
        <v>11.14</v>
      </c>
      <c r="R24" s="196"/>
      <c r="S24" s="196"/>
      <c r="T24" s="196"/>
      <c r="U24" s="196"/>
    </row>
    <row r="25" spans="1:21" s="12" customFormat="1" x14ac:dyDescent="0.25">
      <c r="A25" s="211" t="s">
        <v>2663</v>
      </c>
      <c r="B25" s="64">
        <v>64.430000000000007</v>
      </c>
      <c r="C25" s="64">
        <v>46.12</v>
      </c>
      <c r="D25" s="64">
        <v>74.39</v>
      </c>
      <c r="E25" s="64">
        <v>8.39</v>
      </c>
      <c r="F25" s="64">
        <v>4.3499999999999996</v>
      </c>
      <c r="G25" s="64">
        <v>165.38</v>
      </c>
      <c r="H25" s="64">
        <v>105.42</v>
      </c>
      <c r="I25" s="64">
        <v>6.57</v>
      </c>
      <c r="J25" s="64">
        <v>1.48</v>
      </c>
      <c r="K25" s="64">
        <v>34.26</v>
      </c>
      <c r="L25" s="64">
        <v>11.88</v>
      </c>
      <c r="M25" s="64">
        <v>80.599999999999994</v>
      </c>
      <c r="N25" s="64">
        <v>34</v>
      </c>
      <c r="O25" s="64">
        <v>0</v>
      </c>
      <c r="P25" s="64">
        <v>1.36</v>
      </c>
      <c r="Q25" s="64">
        <v>11.11</v>
      </c>
      <c r="R25" s="196"/>
      <c r="S25" s="196"/>
      <c r="T25" s="196"/>
      <c r="U25" s="196"/>
    </row>
    <row r="26" spans="1:21" s="12" customFormat="1" x14ac:dyDescent="0.25">
      <c r="A26" s="211" t="s">
        <v>2664</v>
      </c>
      <c r="B26" s="64">
        <v>62.02</v>
      </c>
      <c r="C26" s="64">
        <v>44.55</v>
      </c>
      <c r="D26" s="64">
        <v>71.63</v>
      </c>
      <c r="E26" s="64">
        <v>8.69</v>
      </c>
      <c r="F26" s="64">
        <v>4.66</v>
      </c>
      <c r="G26" s="64">
        <v>165.38</v>
      </c>
      <c r="H26" s="64">
        <v>105.42</v>
      </c>
      <c r="I26" s="64">
        <v>6.56</v>
      </c>
      <c r="J26" s="64">
        <v>1.57</v>
      </c>
      <c r="K26" s="64">
        <v>64.95</v>
      </c>
      <c r="L26" s="64">
        <v>11.85</v>
      </c>
      <c r="M26" s="64">
        <v>80.52</v>
      </c>
      <c r="N26" s="64">
        <v>34.4</v>
      </c>
      <c r="O26" s="64">
        <v>0</v>
      </c>
      <c r="P26" s="64">
        <v>1.36</v>
      </c>
      <c r="Q26" s="64">
        <v>11.03</v>
      </c>
      <c r="R26" s="196"/>
      <c r="S26" s="196"/>
      <c r="T26" s="196"/>
      <c r="U26" s="196"/>
    </row>
    <row r="27" spans="1:21" s="12" customFormat="1" x14ac:dyDescent="0.25">
      <c r="A27" s="211" t="s">
        <v>2665</v>
      </c>
      <c r="B27" s="64">
        <v>59.16</v>
      </c>
      <c r="C27" s="64">
        <v>45.23</v>
      </c>
      <c r="D27" s="64">
        <v>69.7</v>
      </c>
      <c r="E27" s="64">
        <v>8.16</v>
      </c>
      <c r="F27" s="64">
        <v>4.6399999999999997</v>
      </c>
      <c r="G27" s="64">
        <v>165.38</v>
      </c>
      <c r="H27" s="64">
        <v>105.42</v>
      </c>
      <c r="I27" s="64">
        <v>6.53</v>
      </c>
      <c r="J27" s="64">
        <v>0.7</v>
      </c>
      <c r="K27" s="64">
        <v>201.9</v>
      </c>
      <c r="L27" s="64">
        <v>11.85</v>
      </c>
      <c r="M27" s="64">
        <v>80.930000000000007</v>
      </c>
      <c r="N27" s="64">
        <v>34.299999999999997</v>
      </c>
      <c r="O27" s="64">
        <v>0</v>
      </c>
      <c r="P27" s="64">
        <v>1.37</v>
      </c>
      <c r="Q27" s="64">
        <v>10.98</v>
      </c>
      <c r="R27" s="196"/>
      <c r="S27" s="196"/>
      <c r="T27" s="196"/>
      <c r="U27" s="196"/>
    </row>
    <row r="28" spans="1:21" s="12" customFormat="1" x14ac:dyDescent="0.25">
      <c r="A28" s="211" t="s">
        <v>2666</v>
      </c>
      <c r="B28" s="64">
        <v>56.46</v>
      </c>
      <c r="C28" s="64">
        <v>45.98</v>
      </c>
      <c r="D28" s="64">
        <v>67.92</v>
      </c>
      <c r="E28" s="64">
        <v>8.1199999999999992</v>
      </c>
      <c r="F28" s="64">
        <v>4.66</v>
      </c>
      <c r="G28" s="64">
        <v>164.85</v>
      </c>
      <c r="H28" s="64">
        <v>79.430000000000007</v>
      </c>
      <c r="I28" s="64">
        <v>6.45</v>
      </c>
      <c r="J28" s="64">
        <v>0.73</v>
      </c>
      <c r="K28" s="64">
        <v>185.11</v>
      </c>
      <c r="L28" s="64">
        <v>11.75</v>
      </c>
      <c r="M28" s="64">
        <v>82.24</v>
      </c>
      <c r="N28" s="64">
        <v>34.200000000000003</v>
      </c>
      <c r="O28" s="64">
        <v>0</v>
      </c>
      <c r="P28" s="64">
        <v>1.37</v>
      </c>
      <c r="Q28" s="64">
        <v>10.96</v>
      </c>
      <c r="R28" s="196"/>
      <c r="S28" s="196"/>
      <c r="T28" s="196"/>
      <c r="U28" s="196"/>
    </row>
    <row r="29" spans="1:21" s="12" customFormat="1" x14ac:dyDescent="0.25">
      <c r="A29" s="211" t="s">
        <v>2667</v>
      </c>
      <c r="B29" s="64">
        <v>53.9</v>
      </c>
      <c r="C29" s="64">
        <v>46.23</v>
      </c>
      <c r="D29" s="64">
        <v>66</v>
      </c>
      <c r="E29" s="64">
        <v>7.85</v>
      </c>
      <c r="F29" s="64">
        <v>4.74</v>
      </c>
      <c r="G29" s="64">
        <v>164.46</v>
      </c>
      <c r="H29" s="64">
        <v>70.59</v>
      </c>
      <c r="I29" s="64">
        <v>6.35</v>
      </c>
      <c r="J29" s="64">
        <v>1.45</v>
      </c>
      <c r="K29" s="64">
        <v>318.2</v>
      </c>
      <c r="L29" s="64">
        <v>11.71</v>
      </c>
      <c r="M29" s="64">
        <v>82.88</v>
      </c>
      <c r="N29" s="64">
        <v>34.4</v>
      </c>
      <c r="O29" s="64">
        <v>0</v>
      </c>
      <c r="P29" s="64">
        <v>1.37</v>
      </c>
      <c r="Q29" s="64">
        <v>10.94</v>
      </c>
      <c r="R29" s="196"/>
      <c r="S29" s="196"/>
      <c r="T29" s="196"/>
      <c r="U29" s="196"/>
    </row>
    <row r="30" spans="1:21" s="12" customFormat="1" x14ac:dyDescent="0.25">
      <c r="A30" s="211" t="s">
        <v>2668</v>
      </c>
      <c r="B30" s="64">
        <v>53.51</v>
      </c>
      <c r="C30" s="64">
        <v>46.91</v>
      </c>
      <c r="D30" s="64">
        <v>66.040000000000006</v>
      </c>
      <c r="E30" s="64">
        <v>7.55</v>
      </c>
      <c r="F30" s="64">
        <v>4.78</v>
      </c>
      <c r="G30" s="64">
        <v>164.46</v>
      </c>
      <c r="H30" s="64">
        <v>70.59</v>
      </c>
      <c r="I30" s="64">
        <v>6.24</v>
      </c>
      <c r="J30" s="64">
        <v>1.07</v>
      </c>
      <c r="K30" s="64">
        <v>343.59</v>
      </c>
      <c r="L30" s="64">
        <v>11.14</v>
      </c>
      <c r="M30" s="64">
        <v>87.88</v>
      </c>
      <c r="N30" s="64">
        <v>34.6</v>
      </c>
      <c r="O30" s="64">
        <v>0</v>
      </c>
      <c r="P30" s="64">
        <v>1.37</v>
      </c>
      <c r="Q30" s="64">
        <v>10.95</v>
      </c>
      <c r="R30" s="196"/>
      <c r="S30" s="196"/>
      <c r="T30" s="196"/>
      <c r="U30" s="196"/>
    </row>
    <row r="31" spans="1:21" s="12" customFormat="1" x14ac:dyDescent="0.25">
      <c r="A31" s="211" t="s">
        <v>2669</v>
      </c>
      <c r="B31" s="64">
        <v>55.62</v>
      </c>
      <c r="C31" s="64">
        <v>47.64</v>
      </c>
      <c r="D31" s="64">
        <v>68.12</v>
      </c>
      <c r="E31" s="64">
        <v>7.62</v>
      </c>
      <c r="F31" s="64">
        <v>4.9000000000000004</v>
      </c>
      <c r="G31" s="64">
        <v>164.46</v>
      </c>
      <c r="H31" s="64">
        <v>70.59</v>
      </c>
      <c r="I31" s="64">
        <v>6.12</v>
      </c>
      <c r="J31" s="64">
        <v>1.47</v>
      </c>
      <c r="K31" s="64">
        <v>316.06</v>
      </c>
      <c r="L31" s="64">
        <v>11.01</v>
      </c>
      <c r="M31" s="64">
        <v>88.34</v>
      </c>
      <c r="N31" s="64">
        <v>34.200000000000003</v>
      </c>
      <c r="O31" s="64">
        <v>0</v>
      </c>
      <c r="P31" s="64">
        <v>1.36</v>
      </c>
      <c r="Q31" s="64">
        <v>10.98</v>
      </c>
      <c r="R31" s="196"/>
      <c r="S31" s="196"/>
      <c r="T31" s="196"/>
      <c r="U31" s="196"/>
    </row>
    <row r="32" spans="1:21" s="12" customFormat="1" x14ac:dyDescent="0.25">
      <c r="A32" s="211" t="s">
        <v>2670</v>
      </c>
      <c r="B32" s="64">
        <v>56.38</v>
      </c>
      <c r="C32" s="64">
        <v>48.12</v>
      </c>
      <c r="D32" s="64">
        <v>68.98</v>
      </c>
      <c r="E32" s="64">
        <v>7.62</v>
      </c>
      <c r="F32" s="64">
        <v>4.58</v>
      </c>
      <c r="G32" s="64">
        <v>158.81</v>
      </c>
      <c r="H32" s="64">
        <v>68.150000000000006</v>
      </c>
      <c r="I32" s="64">
        <v>6.03</v>
      </c>
      <c r="J32" s="64">
        <v>2.06</v>
      </c>
      <c r="K32" s="64">
        <v>322.79000000000002</v>
      </c>
      <c r="L32" s="64">
        <v>10.92</v>
      </c>
      <c r="M32" s="64">
        <v>90.89</v>
      </c>
      <c r="N32" s="64">
        <v>34.299999999999997</v>
      </c>
      <c r="O32" s="64">
        <v>0</v>
      </c>
      <c r="P32" s="64">
        <v>1.36</v>
      </c>
      <c r="Q32" s="64">
        <v>10.99</v>
      </c>
      <c r="R32" s="196"/>
      <c r="S32" s="196"/>
      <c r="T32" s="196"/>
      <c r="U32" s="196"/>
    </row>
    <row r="33" spans="1:21" s="12" customFormat="1" x14ac:dyDescent="0.25">
      <c r="A33" s="211" t="s">
        <v>2671</v>
      </c>
      <c r="B33" s="64">
        <v>56.67</v>
      </c>
      <c r="C33" s="64">
        <v>48.42</v>
      </c>
      <c r="D33" s="64">
        <v>69.37</v>
      </c>
      <c r="E33" s="64">
        <v>7.58</v>
      </c>
      <c r="F33" s="64">
        <v>4.6500000000000004</v>
      </c>
      <c r="G33" s="64">
        <v>154.5</v>
      </c>
      <c r="H33" s="64">
        <v>66.55</v>
      </c>
      <c r="I33" s="64">
        <v>5.95</v>
      </c>
      <c r="J33" s="64">
        <v>1.4</v>
      </c>
      <c r="K33" s="64">
        <v>42.24</v>
      </c>
      <c r="L33" s="64">
        <v>10.74</v>
      </c>
      <c r="M33" s="64">
        <v>89.24</v>
      </c>
      <c r="N33" s="64">
        <v>34.799999999999997</v>
      </c>
      <c r="O33" s="64">
        <v>0</v>
      </c>
      <c r="P33" s="64">
        <v>1.34</v>
      </c>
      <c r="Q33" s="64">
        <v>10.99</v>
      </c>
      <c r="R33" s="196"/>
      <c r="S33" s="196"/>
      <c r="T33" s="196"/>
      <c r="U33" s="196"/>
    </row>
    <row r="34" spans="1:21" s="12" customFormat="1" x14ac:dyDescent="0.25">
      <c r="A34" s="211" t="s">
        <v>2672</v>
      </c>
      <c r="B34" s="64">
        <v>56.14</v>
      </c>
      <c r="C34" s="64">
        <v>48.87</v>
      </c>
      <c r="D34" s="64">
        <v>69.180000000000007</v>
      </c>
      <c r="E34" s="64">
        <v>7.47</v>
      </c>
      <c r="F34" s="64">
        <v>4.51</v>
      </c>
      <c r="G34" s="64">
        <v>154.5</v>
      </c>
      <c r="H34" s="64">
        <v>66.55</v>
      </c>
      <c r="I34" s="64">
        <v>5.87</v>
      </c>
      <c r="J34" s="64">
        <v>2.11</v>
      </c>
      <c r="K34" s="64">
        <v>305.44</v>
      </c>
      <c r="L34" s="64">
        <v>10.61</v>
      </c>
      <c r="M34" s="64">
        <v>92.05</v>
      </c>
      <c r="N34" s="64">
        <v>37.799999999999997</v>
      </c>
      <c r="O34" s="64">
        <v>0</v>
      </c>
      <c r="P34" s="64">
        <v>1.31</v>
      </c>
      <c r="Q34" s="64">
        <v>10.99</v>
      </c>
      <c r="R34" s="196"/>
      <c r="S34" s="196"/>
      <c r="T34" s="196"/>
      <c r="U34" s="196"/>
    </row>
    <row r="35" spans="1:21" s="12" customFormat="1" x14ac:dyDescent="0.25">
      <c r="A35" s="211" t="s">
        <v>2673</v>
      </c>
      <c r="B35" s="64">
        <v>58.71</v>
      </c>
      <c r="C35" s="64">
        <v>48</v>
      </c>
      <c r="D35" s="64">
        <v>70.78</v>
      </c>
      <c r="E35" s="64">
        <v>7.29</v>
      </c>
      <c r="F35" s="64">
        <v>4.5599999999999996</v>
      </c>
      <c r="G35" s="64">
        <v>154.5</v>
      </c>
      <c r="H35" s="64">
        <v>66.55</v>
      </c>
      <c r="I35" s="64">
        <v>5.78</v>
      </c>
      <c r="J35" s="64">
        <v>2.11</v>
      </c>
      <c r="K35" s="64">
        <v>306.69</v>
      </c>
      <c r="L35" s="64">
        <v>10.51</v>
      </c>
      <c r="M35" s="64">
        <v>93.11</v>
      </c>
      <c r="N35" s="64">
        <v>46.2</v>
      </c>
      <c r="O35" s="64">
        <v>0</v>
      </c>
      <c r="P35" s="64">
        <v>1.31</v>
      </c>
      <c r="Q35" s="64">
        <v>10.95</v>
      </c>
      <c r="R35" s="196"/>
      <c r="S35" s="196"/>
      <c r="T35" s="196"/>
      <c r="U35" s="196"/>
    </row>
    <row r="36" spans="1:21" s="12" customFormat="1" x14ac:dyDescent="0.25">
      <c r="A36" s="211" t="s">
        <v>2674</v>
      </c>
      <c r="B36" s="64">
        <v>62.77</v>
      </c>
      <c r="C36" s="64">
        <v>48.64</v>
      </c>
      <c r="D36" s="64">
        <v>74.37</v>
      </c>
      <c r="E36" s="64">
        <v>7.57</v>
      </c>
      <c r="F36" s="64">
        <v>4.32</v>
      </c>
      <c r="G36" s="64">
        <v>150.03</v>
      </c>
      <c r="H36" s="64">
        <v>46.23</v>
      </c>
      <c r="I36" s="64">
        <v>5.72</v>
      </c>
      <c r="J36" s="64">
        <v>0.88</v>
      </c>
      <c r="K36" s="64">
        <v>278.64999999999998</v>
      </c>
      <c r="L36" s="64">
        <v>10.79</v>
      </c>
      <c r="M36" s="64">
        <v>93.3</v>
      </c>
      <c r="N36" s="64">
        <v>58.3</v>
      </c>
      <c r="O36" s="64">
        <v>0</v>
      </c>
      <c r="P36" s="64">
        <v>1.32</v>
      </c>
      <c r="Q36" s="64">
        <v>10.96</v>
      </c>
      <c r="R36" s="196"/>
      <c r="S36" s="196"/>
      <c r="T36" s="196"/>
      <c r="U36" s="196"/>
    </row>
    <row r="37" spans="1:21" s="12" customFormat="1" x14ac:dyDescent="0.25">
      <c r="A37" s="211" t="s">
        <v>2675</v>
      </c>
      <c r="B37" s="64">
        <v>67.19</v>
      </c>
      <c r="C37" s="64">
        <v>49.07</v>
      </c>
      <c r="D37" s="64">
        <v>78.14</v>
      </c>
      <c r="E37" s="64">
        <v>7.89</v>
      </c>
      <c r="F37" s="64">
        <v>4.42</v>
      </c>
      <c r="G37" s="64">
        <v>146.61000000000001</v>
      </c>
      <c r="H37" s="64">
        <v>39.32</v>
      </c>
      <c r="I37" s="64">
        <v>5.73</v>
      </c>
      <c r="J37" s="64">
        <v>1.69</v>
      </c>
      <c r="K37" s="64">
        <v>344.85</v>
      </c>
      <c r="L37" s="64">
        <v>11.44</v>
      </c>
      <c r="M37" s="64">
        <v>89.86</v>
      </c>
      <c r="N37" s="64">
        <v>72.599999999999994</v>
      </c>
      <c r="O37" s="64">
        <v>0</v>
      </c>
      <c r="P37" s="64">
        <v>1.31</v>
      </c>
      <c r="Q37" s="64">
        <v>11.03</v>
      </c>
      <c r="R37" s="196"/>
      <c r="S37" s="196"/>
      <c r="T37" s="196"/>
      <c r="U37" s="196"/>
    </row>
    <row r="38" spans="1:21" s="12" customFormat="1" x14ac:dyDescent="0.25">
      <c r="A38" s="211" t="s">
        <v>2676</v>
      </c>
      <c r="B38" s="64">
        <v>71.83</v>
      </c>
      <c r="C38" s="64">
        <v>49.64</v>
      </c>
      <c r="D38" s="64">
        <v>82.16</v>
      </c>
      <c r="E38" s="64">
        <v>8.25</v>
      </c>
      <c r="F38" s="64">
        <v>4.5199999999999996</v>
      </c>
      <c r="G38" s="64">
        <v>146.61000000000001</v>
      </c>
      <c r="H38" s="64">
        <v>39.32</v>
      </c>
      <c r="I38" s="64">
        <v>5.8</v>
      </c>
      <c r="J38" s="64">
        <v>0.95</v>
      </c>
      <c r="K38" s="64">
        <v>3</v>
      </c>
      <c r="L38" s="64">
        <v>12.59</v>
      </c>
      <c r="M38" s="64">
        <v>82.4</v>
      </c>
      <c r="N38" s="64">
        <v>103.2</v>
      </c>
      <c r="O38" s="64">
        <v>0</v>
      </c>
      <c r="P38" s="64">
        <v>1.38</v>
      </c>
      <c r="Q38" s="64">
        <v>11.08</v>
      </c>
      <c r="R38" s="196"/>
      <c r="S38" s="196"/>
      <c r="T38" s="196"/>
      <c r="U38" s="196"/>
    </row>
    <row r="39" spans="1:21" s="12" customFormat="1" x14ac:dyDescent="0.25">
      <c r="A39" s="211" t="s">
        <v>2677</v>
      </c>
      <c r="B39" s="64">
        <v>74.87</v>
      </c>
      <c r="C39" s="64">
        <v>49.97</v>
      </c>
      <c r="D39" s="64">
        <v>84.77</v>
      </c>
      <c r="E39" s="64">
        <v>8.39</v>
      </c>
      <c r="F39" s="64">
        <v>4.33</v>
      </c>
      <c r="G39" s="64">
        <v>146.61000000000001</v>
      </c>
      <c r="H39" s="64">
        <v>39.32</v>
      </c>
      <c r="I39" s="64">
        <v>5.86</v>
      </c>
      <c r="J39" s="64">
        <v>2.2599999999999998</v>
      </c>
      <c r="K39" s="64">
        <v>107.89</v>
      </c>
      <c r="L39" s="64">
        <v>13.97</v>
      </c>
      <c r="M39" s="64">
        <v>72.760000000000005</v>
      </c>
      <c r="N39" s="64">
        <v>168.5</v>
      </c>
      <c r="O39" s="64">
        <v>0</v>
      </c>
      <c r="P39" s="64">
        <v>1.39</v>
      </c>
      <c r="Q39" s="64">
        <v>11.12</v>
      </c>
      <c r="R39" s="196"/>
      <c r="S39" s="196"/>
      <c r="T39" s="196"/>
      <c r="U39" s="196"/>
    </row>
    <row r="40" spans="1:21" s="12" customFormat="1" x14ac:dyDescent="0.25">
      <c r="A40" s="211" t="s">
        <v>2678</v>
      </c>
      <c r="B40" s="64">
        <v>73.95</v>
      </c>
      <c r="C40" s="64">
        <v>50.03</v>
      </c>
      <c r="D40" s="64">
        <v>84.06</v>
      </c>
      <c r="E40" s="64">
        <v>6.81</v>
      </c>
      <c r="F40" s="64">
        <v>4.03</v>
      </c>
      <c r="G40" s="64">
        <v>143.84</v>
      </c>
      <c r="H40" s="64">
        <v>59.06</v>
      </c>
      <c r="I40" s="64">
        <v>5.96</v>
      </c>
      <c r="J40" s="64">
        <v>2.59</v>
      </c>
      <c r="K40" s="64">
        <v>112.54</v>
      </c>
      <c r="L40" s="64">
        <v>14.83</v>
      </c>
      <c r="M40" s="64">
        <v>67.56</v>
      </c>
      <c r="N40" s="64">
        <v>194.4</v>
      </c>
      <c r="O40" s="64">
        <v>0</v>
      </c>
      <c r="P40" s="64">
        <v>1.37</v>
      </c>
      <c r="Q40" s="64">
        <v>11.18</v>
      </c>
      <c r="R40" s="196"/>
      <c r="S40" s="196"/>
      <c r="T40" s="196"/>
      <c r="U40" s="196"/>
    </row>
    <row r="41" spans="1:21" s="12" customFormat="1" x14ac:dyDescent="0.25">
      <c r="A41" s="211" t="s">
        <v>2679</v>
      </c>
      <c r="B41" s="64">
        <v>70.849999999999994</v>
      </c>
      <c r="C41" s="64">
        <v>49.75</v>
      </c>
      <c r="D41" s="64">
        <v>81.430000000000007</v>
      </c>
      <c r="E41" s="64">
        <v>7.59</v>
      </c>
      <c r="F41" s="64">
        <v>4.0599999999999996</v>
      </c>
      <c r="G41" s="64">
        <v>141.72</v>
      </c>
      <c r="H41" s="64">
        <v>65.77</v>
      </c>
      <c r="I41" s="64">
        <v>6.04</v>
      </c>
      <c r="J41" s="64">
        <v>2.5499999999999998</v>
      </c>
      <c r="K41" s="64">
        <v>112.85</v>
      </c>
      <c r="L41" s="64">
        <v>15.85</v>
      </c>
      <c r="M41" s="64">
        <v>63.2</v>
      </c>
      <c r="N41" s="64">
        <v>252.5</v>
      </c>
      <c r="O41" s="64">
        <v>0</v>
      </c>
      <c r="P41" s="64">
        <v>1.33</v>
      </c>
      <c r="Q41" s="64">
        <v>11.2</v>
      </c>
      <c r="R41" s="196"/>
      <c r="S41" s="196"/>
      <c r="T41" s="196"/>
      <c r="U41" s="196"/>
    </row>
    <row r="42" spans="1:21" s="12" customFormat="1" x14ac:dyDescent="0.25">
      <c r="A42" s="211" t="s">
        <v>2680</v>
      </c>
      <c r="B42" s="64">
        <v>67.45</v>
      </c>
      <c r="C42" s="64">
        <v>49.22</v>
      </c>
      <c r="D42" s="64">
        <v>78.430000000000007</v>
      </c>
      <c r="E42" s="64">
        <v>7.4</v>
      </c>
      <c r="F42" s="64">
        <v>4.08</v>
      </c>
      <c r="G42" s="64">
        <v>141.72</v>
      </c>
      <c r="H42" s="64">
        <v>65.77</v>
      </c>
      <c r="I42" s="64">
        <v>6.14</v>
      </c>
      <c r="J42" s="64">
        <v>2.59</v>
      </c>
      <c r="K42" s="64">
        <v>109.11</v>
      </c>
      <c r="L42" s="64">
        <v>17.190000000000001</v>
      </c>
      <c r="M42" s="64">
        <v>58.36</v>
      </c>
      <c r="N42" s="64">
        <v>318.5</v>
      </c>
      <c r="O42" s="64">
        <v>0</v>
      </c>
      <c r="P42" s="64">
        <v>1.27</v>
      </c>
      <c r="Q42" s="64">
        <v>11.17</v>
      </c>
      <c r="R42" s="196"/>
      <c r="S42" s="196"/>
      <c r="T42" s="196"/>
      <c r="U42" s="196"/>
    </row>
    <row r="43" spans="1:21" s="12" customFormat="1" x14ac:dyDescent="0.25">
      <c r="A43" s="211" t="s">
        <v>2681</v>
      </c>
      <c r="B43" s="64">
        <v>63.54</v>
      </c>
      <c r="C43" s="64">
        <v>49.26</v>
      </c>
      <c r="D43" s="64">
        <v>75.319999999999993</v>
      </c>
      <c r="E43" s="64">
        <v>7.08</v>
      </c>
      <c r="F43" s="64">
        <v>4.42</v>
      </c>
      <c r="G43" s="64">
        <v>141.72</v>
      </c>
      <c r="H43" s="64">
        <v>65.77</v>
      </c>
      <c r="I43" s="64">
        <v>6.1</v>
      </c>
      <c r="J43" s="64">
        <v>1.1499999999999999</v>
      </c>
      <c r="K43" s="64">
        <v>84.26</v>
      </c>
      <c r="L43" s="64">
        <v>18.27</v>
      </c>
      <c r="M43" s="64">
        <v>55.29</v>
      </c>
      <c r="N43" s="64">
        <v>349.7</v>
      </c>
      <c r="O43" s="64">
        <v>0</v>
      </c>
      <c r="P43" s="64">
        <v>1.27</v>
      </c>
      <c r="Q43" s="64">
        <v>11.07</v>
      </c>
      <c r="R43" s="196"/>
      <c r="S43" s="196"/>
      <c r="T43" s="196"/>
      <c r="U43" s="196"/>
    </row>
    <row r="44" spans="1:21" s="12" customFormat="1" x14ac:dyDescent="0.25">
      <c r="A44" s="211" t="s">
        <v>2682</v>
      </c>
      <c r="B44" s="64">
        <v>59.35</v>
      </c>
      <c r="C44" s="64">
        <v>51.52</v>
      </c>
      <c r="D44" s="64">
        <v>73.13</v>
      </c>
      <c r="E44" s="64">
        <v>6.9</v>
      </c>
      <c r="F44" s="64">
        <v>4.54</v>
      </c>
      <c r="G44" s="64">
        <v>129.84</v>
      </c>
      <c r="H44" s="64">
        <v>49.82</v>
      </c>
      <c r="I44" s="64">
        <v>6.18</v>
      </c>
      <c r="J44" s="64">
        <v>2.71</v>
      </c>
      <c r="K44" s="64">
        <v>119.55</v>
      </c>
      <c r="L44" s="64">
        <v>19.02</v>
      </c>
      <c r="M44" s="64">
        <v>52.41</v>
      </c>
      <c r="N44" s="64">
        <v>404.8</v>
      </c>
      <c r="O44" s="64">
        <v>0</v>
      </c>
      <c r="P44" s="64">
        <v>1.25</v>
      </c>
      <c r="Q44" s="64">
        <v>11</v>
      </c>
      <c r="R44" s="196"/>
      <c r="S44" s="196"/>
      <c r="T44" s="196"/>
      <c r="U44" s="196"/>
    </row>
    <row r="45" spans="1:21" s="12" customFormat="1" x14ac:dyDescent="0.25">
      <c r="A45" s="211" t="s">
        <v>2683</v>
      </c>
      <c r="B45" s="64">
        <v>54.31</v>
      </c>
      <c r="C45" s="64">
        <v>53.7</v>
      </c>
      <c r="D45" s="64">
        <v>70.239999999999995</v>
      </c>
      <c r="E45" s="64">
        <v>6.26</v>
      </c>
      <c r="F45" s="64">
        <v>4.43</v>
      </c>
      <c r="G45" s="64">
        <v>120.75</v>
      </c>
      <c r="H45" s="64">
        <v>44.39</v>
      </c>
      <c r="I45" s="64">
        <v>6.22</v>
      </c>
      <c r="J45" s="64">
        <v>2.21</v>
      </c>
      <c r="K45" s="64">
        <v>113.38</v>
      </c>
      <c r="L45" s="64">
        <v>18.7</v>
      </c>
      <c r="M45" s="64">
        <v>52.76</v>
      </c>
      <c r="N45" s="64">
        <v>375.4</v>
      </c>
      <c r="O45" s="64">
        <v>0</v>
      </c>
      <c r="P45" s="64">
        <v>1.21</v>
      </c>
      <c r="Q45" s="64">
        <v>10.97</v>
      </c>
      <c r="R45" s="196"/>
      <c r="S45" s="196"/>
      <c r="T45" s="196"/>
      <c r="U45" s="196"/>
    </row>
    <row r="46" spans="1:21" s="12" customFormat="1" x14ac:dyDescent="0.25">
      <c r="A46" s="211" t="s">
        <v>2684</v>
      </c>
      <c r="B46" s="64">
        <v>49.33</v>
      </c>
      <c r="C46" s="64">
        <v>55.38</v>
      </c>
      <c r="D46" s="64">
        <v>67.12</v>
      </c>
      <c r="E46" s="64">
        <v>6.59</v>
      </c>
      <c r="F46" s="64">
        <v>4.09</v>
      </c>
      <c r="G46" s="64">
        <v>120.75</v>
      </c>
      <c r="H46" s="64">
        <v>44.39</v>
      </c>
      <c r="I46" s="64">
        <v>6.31</v>
      </c>
      <c r="J46" s="64">
        <v>3.48</v>
      </c>
      <c r="K46" s="64">
        <v>112.75</v>
      </c>
      <c r="L46" s="64">
        <v>18.57</v>
      </c>
      <c r="M46" s="64">
        <v>52.86</v>
      </c>
      <c r="N46" s="64">
        <v>463.5</v>
      </c>
      <c r="O46" s="64">
        <v>0</v>
      </c>
      <c r="P46" s="64">
        <v>1.17</v>
      </c>
      <c r="Q46" s="64">
        <v>10.93</v>
      </c>
      <c r="R46" s="196"/>
      <c r="S46" s="196"/>
      <c r="T46" s="196"/>
      <c r="U46" s="196"/>
    </row>
    <row r="47" spans="1:21" s="12" customFormat="1" x14ac:dyDescent="0.25">
      <c r="A47" s="211" t="s">
        <v>2685</v>
      </c>
      <c r="B47" s="64">
        <v>43.83</v>
      </c>
      <c r="C47" s="64">
        <v>56.86</v>
      </c>
      <c r="D47" s="64">
        <v>63.48</v>
      </c>
      <c r="E47" s="64">
        <v>6.27</v>
      </c>
      <c r="F47" s="64">
        <v>4.04</v>
      </c>
      <c r="G47" s="64">
        <v>120.75</v>
      </c>
      <c r="H47" s="64">
        <v>44.39</v>
      </c>
      <c r="I47" s="64">
        <v>6.48</v>
      </c>
      <c r="J47" s="64">
        <v>0.89</v>
      </c>
      <c r="K47" s="64">
        <v>80.430000000000007</v>
      </c>
      <c r="L47" s="64">
        <v>20.39</v>
      </c>
      <c r="M47" s="64">
        <v>48.78</v>
      </c>
      <c r="N47" s="64">
        <v>507.3</v>
      </c>
      <c r="O47" s="64">
        <v>0</v>
      </c>
      <c r="P47" s="64">
        <v>1.1299999999999999</v>
      </c>
      <c r="Q47" s="64">
        <v>10.9</v>
      </c>
      <c r="R47" s="196"/>
      <c r="S47" s="196"/>
      <c r="T47" s="196"/>
      <c r="U47" s="196"/>
    </row>
    <row r="48" spans="1:21" s="12" customFormat="1" x14ac:dyDescent="0.25">
      <c r="A48" s="211" t="s">
        <v>2686</v>
      </c>
      <c r="B48" s="64">
        <v>39.76</v>
      </c>
      <c r="C48" s="64">
        <v>58.65</v>
      </c>
      <c r="D48" s="64">
        <v>61.15</v>
      </c>
      <c r="E48" s="64">
        <v>5.86</v>
      </c>
      <c r="F48" s="64">
        <v>4.04</v>
      </c>
      <c r="G48" s="64">
        <v>110.93</v>
      </c>
      <c r="H48" s="64">
        <v>48.53</v>
      </c>
      <c r="I48" s="64">
        <v>7.13</v>
      </c>
      <c r="J48" s="64">
        <v>1.44</v>
      </c>
      <c r="K48" s="64">
        <v>345.16</v>
      </c>
      <c r="L48" s="64">
        <v>23.26</v>
      </c>
      <c r="M48" s="64">
        <v>41.38</v>
      </c>
      <c r="N48" s="64">
        <v>437.6</v>
      </c>
      <c r="O48" s="64">
        <v>0</v>
      </c>
      <c r="P48" s="64">
        <v>1.1000000000000001</v>
      </c>
      <c r="Q48" s="64">
        <v>10.86</v>
      </c>
      <c r="R48" s="196"/>
      <c r="S48" s="196"/>
      <c r="T48" s="196"/>
      <c r="U48" s="196"/>
    </row>
    <row r="49" spans="1:21" s="12" customFormat="1" x14ac:dyDescent="0.25">
      <c r="A49" s="211" t="s">
        <v>2687</v>
      </c>
      <c r="B49" s="64">
        <v>36.369999999999997</v>
      </c>
      <c r="C49" s="64">
        <v>60.84</v>
      </c>
      <c r="D49" s="64">
        <v>59.58</v>
      </c>
      <c r="E49" s="64">
        <v>6.39</v>
      </c>
      <c r="F49" s="64">
        <v>4.21</v>
      </c>
      <c r="G49" s="64">
        <v>103.07</v>
      </c>
      <c r="H49" s="64">
        <v>51.24</v>
      </c>
      <c r="I49" s="64">
        <v>7.46</v>
      </c>
      <c r="J49" s="64">
        <v>1.98</v>
      </c>
      <c r="K49" s="64">
        <v>340.11</v>
      </c>
      <c r="L49" s="64">
        <v>25.42</v>
      </c>
      <c r="M49" s="64">
        <v>36.21</v>
      </c>
      <c r="N49" s="64">
        <v>524.20000000000005</v>
      </c>
      <c r="O49" s="64">
        <v>0</v>
      </c>
      <c r="P49" s="64">
        <v>1.1000000000000001</v>
      </c>
      <c r="Q49" s="64">
        <v>10.82</v>
      </c>
      <c r="R49" s="196"/>
      <c r="S49" s="196"/>
      <c r="T49" s="196"/>
      <c r="U49" s="196"/>
    </row>
    <row r="50" spans="1:21" s="12" customFormat="1" x14ac:dyDescent="0.25">
      <c r="A50" s="211" t="s">
        <v>2688</v>
      </c>
      <c r="B50" s="64">
        <v>32.729999999999997</v>
      </c>
      <c r="C50" s="64">
        <v>63.3</v>
      </c>
      <c r="D50" s="64">
        <v>57.95</v>
      </c>
      <c r="E50" s="64">
        <v>5.71</v>
      </c>
      <c r="F50" s="64">
        <v>4.4400000000000004</v>
      </c>
      <c r="G50" s="64">
        <v>103.07</v>
      </c>
      <c r="H50" s="64">
        <v>51.24</v>
      </c>
      <c r="I50" s="64">
        <v>7.45</v>
      </c>
      <c r="J50" s="64">
        <v>3.02</v>
      </c>
      <c r="K50" s="64">
        <v>126.23</v>
      </c>
      <c r="L50" s="64">
        <v>23.13</v>
      </c>
      <c r="M50" s="64">
        <v>39.94</v>
      </c>
      <c r="N50" s="64">
        <v>586.6</v>
      </c>
      <c r="O50" s="64">
        <v>0</v>
      </c>
      <c r="P50" s="64">
        <v>1.0900000000000001</v>
      </c>
      <c r="Q50" s="64">
        <v>10.79</v>
      </c>
      <c r="R50" s="196"/>
      <c r="S50" s="196"/>
      <c r="T50" s="196"/>
      <c r="U50" s="196"/>
    </row>
    <row r="51" spans="1:21" s="12" customFormat="1" x14ac:dyDescent="0.25">
      <c r="A51" s="211" t="s">
        <v>2689</v>
      </c>
      <c r="B51" s="64">
        <v>28.29</v>
      </c>
      <c r="C51" s="64">
        <v>64.010000000000005</v>
      </c>
      <c r="D51" s="64">
        <v>54.75</v>
      </c>
      <c r="E51" s="64">
        <v>6.37</v>
      </c>
      <c r="F51" s="64">
        <v>4.34</v>
      </c>
      <c r="G51" s="64">
        <v>103.07</v>
      </c>
      <c r="H51" s="64">
        <v>51.24</v>
      </c>
      <c r="I51" s="64">
        <v>7.35</v>
      </c>
      <c r="J51" s="64">
        <v>1.04</v>
      </c>
      <c r="K51" s="64">
        <v>58.56</v>
      </c>
      <c r="L51" s="64">
        <v>23.31</v>
      </c>
      <c r="M51" s="64">
        <v>38.049999999999997</v>
      </c>
      <c r="N51" s="64">
        <v>597.4</v>
      </c>
      <c r="O51" s="64">
        <v>0</v>
      </c>
      <c r="P51" s="64">
        <v>1.06</v>
      </c>
      <c r="Q51" s="64">
        <v>10.7</v>
      </c>
      <c r="R51" s="196"/>
      <c r="S51" s="196"/>
      <c r="T51" s="196"/>
      <c r="U51" s="196"/>
    </row>
    <row r="52" spans="1:21" s="12" customFormat="1" x14ac:dyDescent="0.25">
      <c r="A52" s="211" t="s">
        <v>2690</v>
      </c>
      <c r="B52" s="64">
        <v>24.82</v>
      </c>
      <c r="C52" s="64">
        <v>63.32</v>
      </c>
      <c r="D52" s="64">
        <v>51.61</v>
      </c>
      <c r="E52" s="64">
        <v>5.85</v>
      </c>
      <c r="F52" s="64">
        <v>4.0999999999999996</v>
      </c>
      <c r="G52" s="64">
        <v>93.2</v>
      </c>
      <c r="H52" s="64">
        <v>42.96</v>
      </c>
      <c r="I52" s="64">
        <v>7.35</v>
      </c>
      <c r="J52" s="64">
        <v>2.29</v>
      </c>
      <c r="K52" s="64">
        <v>108.27</v>
      </c>
      <c r="L52" s="64">
        <v>23.01</v>
      </c>
      <c r="M52" s="64">
        <v>38.46</v>
      </c>
      <c r="N52" s="64">
        <v>625.6</v>
      </c>
      <c r="O52" s="64">
        <v>0</v>
      </c>
      <c r="P52" s="64">
        <v>1.03</v>
      </c>
      <c r="Q52" s="64">
        <v>10.64</v>
      </c>
      <c r="R52" s="196"/>
      <c r="S52" s="196"/>
      <c r="T52" s="196"/>
      <c r="U52" s="196"/>
    </row>
    <row r="53" spans="1:21" s="12" customFormat="1" x14ac:dyDescent="0.25">
      <c r="A53" s="211" t="s">
        <v>2691</v>
      </c>
      <c r="B53" s="64">
        <v>22.04</v>
      </c>
      <c r="C53" s="64">
        <v>62.43</v>
      </c>
      <c r="D53" s="64">
        <v>48.92</v>
      </c>
      <c r="E53" s="64">
        <v>5.66</v>
      </c>
      <c r="F53" s="64">
        <v>4.0199999999999996</v>
      </c>
      <c r="G53" s="64">
        <v>85.65</v>
      </c>
      <c r="H53" s="64">
        <v>40.14</v>
      </c>
      <c r="I53" s="64">
        <v>7.43</v>
      </c>
      <c r="J53" s="64">
        <v>1.69</v>
      </c>
      <c r="K53" s="64">
        <v>124.98</v>
      </c>
      <c r="L53" s="64">
        <v>22.91</v>
      </c>
      <c r="M53" s="64">
        <v>38.520000000000003</v>
      </c>
      <c r="N53" s="64">
        <v>618</v>
      </c>
      <c r="O53" s="64">
        <v>0</v>
      </c>
      <c r="P53" s="64">
        <v>1</v>
      </c>
      <c r="Q53" s="64">
        <v>10.6</v>
      </c>
      <c r="R53" s="196"/>
      <c r="S53" s="196"/>
      <c r="T53" s="196"/>
      <c r="U53" s="196"/>
    </row>
    <row r="54" spans="1:21" s="12" customFormat="1" x14ac:dyDescent="0.25">
      <c r="A54" s="211" t="s">
        <v>2692</v>
      </c>
      <c r="B54" s="64">
        <v>19.63</v>
      </c>
      <c r="C54" s="64">
        <v>61.74</v>
      </c>
      <c r="D54" s="64">
        <v>46.62</v>
      </c>
      <c r="E54" s="64">
        <v>5.94</v>
      </c>
      <c r="F54" s="64">
        <v>2.97</v>
      </c>
      <c r="G54" s="64">
        <v>85.65</v>
      </c>
      <c r="H54" s="64">
        <v>40.14</v>
      </c>
      <c r="I54" s="64">
        <v>7.79</v>
      </c>
      <c r="J54" s="64">
        <v>0.21</v>
      </c>
      <c r="K54" s="64">
        <v>81.72</v>
      </c>
      <c r="L54" s="64">
        <v>24.38</v>
      </c>
      <c r="M54" s="64">
        <v>35.200000000000003</v>
      </c>
      <c r="N54" s="64">
        <v>503.8</v>
      </c>
      <c r="O54" s="64">
        <v>0</v>
      </c>
      <c r="P54" s="64">
        <v>0.98</v>
      </c>
      <c r="Q54" s="64">
        <v>10.59</v>
      </c>
      <c r="R54" s="196"/>
      <c r="S54" s="196"/>
      <c r="T54" s="196"/>
      <c r="U54" s="196"/>
    </row>
    <row r="55" spans="1:21" s="12" customFormat="1" x14ac:dyDescent="0.25">
      <c r="A55" s="211" t="s">
        <v>2693</v>
      </c>
      <c r="B55" s="64">
        <v>17.62</v>
      </c>
      <c r="C55" s="64">
        <v>60.87</v>
      </c>
      <c r="D55" s="64">
        <v>44.56</v>
      </c>
      <c r="E55" s="64">
        <v>5.6</v>
      </c>
      <c r="F55" s="64">
        <v>3.42</v>
      </c>
      <c r="G55" s="64">
        <v>85.65</v>
      </c>
      <c r="H55" s="64">
        <v>40.14</v>
      </c>
      <c r="I55" s="64">
        <v>8.06</v>
      </c>
      <c r="J55" s="64">
        <v>1.88</v>
      </c>
      <c r="K55" s="64">
        <v>108.97</v>
      </c>
      <c r="L55" s="64">
        <v>22.87</v>
      </c>
      <c r="M55" s="64">
        <v>37.72</v>
      </c>
      <c r="N55" s="64">
        <v>546.29999999999995</v>
      </c>
      <c r="O55" s="64">
        <v>0</v>
      </c>
      <c r="P55" s="64">
        <v>0.93</v>
      </c>
      <c r="Q55" s="64">
        <v>10.58</v>
      </c>
      <c r="R55" s="196"/>
      <c r="S55" s="196"/>
      <c r="T55" s="196"/>
      <c r="U55" s="196"/>
    </row>
    <row r="56" spans="1:21" s="12" customFormat="1" x14ac:dyDescent="0.25">
      <c r="A56" s="211" t="s">
        <v>2694</v>
      </c>
      <c r="B56" s="64">
        <v>15.55</v>
      </c>
      <c r="C56" s="64">
        <v>59.7</v>
      </c>
      <c r="D56" s="64">
        <v>42.29</v>
      </c>
      <c r="E56" s="64">
        <v>5.34</v>
      </c>
      <c r="F56" s="64">
        <v>3.8</v>
      </c>
      <c r="G56" s="64">
        <v>88.73</v>
      </c>
      <c r="H56" s="64">
        <v>29.38</v>
      </c>
      <c r="I56" s="64">
        <v>8.26</v>
      </c>
      <c r="J56" s="64">
        <v>2.56</v>
      </c>
      <c r="K56" s="64">
        <v>119.74</v>
      </c>
      <c r="L56" s="64">
        <v>22.96</v>
      </c>
      <c r="M56" s="64">
        <v>35.99</v>
      </c>
      <c r="N56" s="64">
        <v>521.70000000000005</v>
      </c>
      <c r="O56" s="64">
        <v>0</v>
      </c>
      <c r="P56" s="64">
        <v>0.87</v>
      </c>
      <c r="Q56" s="64">
        <v>10.58</v>
      </c>
      <c r="R56" s="196"/>
      <c r="S56" s="196"/>
      <c r="T56" s="196"/>
      <c r="U56" s="196"/>
    </row>
    <row r="57" spans="1:21" s="12" customFormat="1" x14ac:dyDescent="0.25">
      <c r="A57" s="211" t="s">
        <v>2695</v>
      </c>
      <c r="B57" s="64">
        <v>13.64</v>
      </c>
      <c r="C57" s="64">
        <v>58.07</v>
      </c>
      <c r="D57" s="64">
        <v>39.9</v>
      </c>
      <c r="E57" s="64">
        <v>5.44</v>
      </c>
      <c r="F57" s="64">
        <v>4</v>
      </c>
      <c r="G57" s="64">
        <v>91.08</v>
      </c>
      <c r="H57" s="64">
        <v>25.72</v>
      </c>
      <c r="I57" s="64">
        <v>7.78</v>
      </c>
      <c r="J57" s="64">
        <v>3.94</v>
      </c>
      <c r="K57" s="64">
        <v>113.48</v>
      </c>
      <c r="L57" s="64">
        <v>22.36</v>
      </c>
      <c r="M57" s="64">
        <v>33.39</v>
      </c>
      <c r="N57" s="64">
        <v>601.9</v>
      </c>
      <c r="O57" s="64">
        <v>0</v>
      </c>
      <c r="P57" s="64">
        <v>0.88</v>
      </c>
      <c r="Q57" s="64">
        <v>10.54</v>
      </c>
      <c r="R57" s="196"/>
      <c r="S57" s="196"/>
      <c r="T57" s="196"/>
      <c r="U57" s="196"/>
    </row>
    <row r="58" spans="1:21" s="12" customFormat="1" x14ac:dyDescent="0.25">
      <c r="A58" s="211" t="s">
        <v>2696</v>
      </c>
      <c r="B58" s="64">
        <v>11.54</v>
      </c>
      <c r="C58" s="64">
        <v>56.4</v>
      </c>
      <c r="D58" s="64">
        <v>37.35</v>
      </c>
      <c r="E58" s="64">
        <v>6.18</v>
      </c>
      <c r="F58" s="64">
        <v>4</v>
      </c>
      <c r="G58" s="64">
        <v>91.08</v>
      </c>
      <c r="H58" s="64">
        <v>25.72</v>
      </c>
      <c r="I58" s="64">
        <v>7.46</v>
      </c>
      <c r="J58" s="64">
        <v>1.64</v>
      </c>
      <c r="K58" s="64">
        <v>10.94</v>
      </c>
      <c r="L58" s="64">
        <v>23.59</v>
      </c>
      <c r="M58" s="64">
        <v>30.75</v>
      </c>
      <c r="N58" s="64">
        <v>528.1</v>
      </c>
      <c r="O58" s="64">
        <v>0</v>
      </c>
      <c r="P58" s="64">
        <v>0.81</v>
      </c>
      <c r="Q58" s="64">
        <v>10.52</v>
      </c>
      <c r="R58" s="196"/>
      <c r="S58" s="196"/>
      <c r="T58" s="196"/>
      <c r="U58" s="196"/>
    </row>
    <row r="59" spans="1:21" s="12" customFormat="1" x14ac:dyDescent="0.25">
      <c r="A59" s="211" t="s">
        <v>2697</v>
      </c>
      <c r="B59" s="64">
        <v>9.89</v>
      </c>
      <c r="C59" s="64">
        <v>54.51</v>
      </c>
      <c r="D59" s="64">
        <v>35.04</v>
      </c>
      <c r="E59" s="64">
        <v>5.42</v>
      </c>
      <c r="F59" s="64">
        <v>4.1500000000000004</v>
      </c>
      <c r="G59" s="64">
        <v>91.08</v>
      </c>
      <c r="H59" s="64">
        <v>25.72</v>
      </c>
      <c r="I59" s="64">
        <v>8.3000000000000007</v>
      </c>
      <c r="J59" s="64">
        <v>1.03</v>
      </c>
      <c r="K59" s="64">
        <v>18.260000000000002</v>
      </c>
      <c r="L59" s="64">
        <v>24.31</v>
      </c>
      <c r="M59" s="64">
        <v>30.27</v>
      </c>
      <c r="N59" s="64">
        <v>516.1</v>
      </c>
      <c r="O59" s="64">
        <v>0</v>
      </c>
      <c r="P59" s="64">
        <v>0.81</v>
      </c>
      <c r="Q59" s="64">
        <v>10.46</v>
      </c>
      <c r="R59" s="196"/>
      <c r="S59" s="196"/>
      <c r="T59" s="196"/>
      <c r="U59" s="196"/>
    </row>
    <row r="60" spans="1:21" s="12" customFormat="1" x14ac:dyDescent="0.25">
      <c r="A60" s="211" t="s">
        <v>2698</v>
      </c>
      <c r="B60" s="64">
        <v>8.25</v>
      </c>
      <c r="C60" s="64">
        <v>54.52</v>
      </c>
      <c r="D60" s="64">
        <v>33.729999999999997</v>
      </c>
      <c r="E60" s="64">
        <v>5.56</v>
      </c>
      <c r="F60" s="64">
        <v>4.7300000000000004</v>
      </c>
      <c r="G60" s="64">
        <v>78.459999999999994</v>
      </c>
      <c r="H60" s="64">
        <v>26.95</v>
      </c>
      <c r="I60" s="64">
        <v>8.1300000000000008</v>
      </c>
      <c r="J60" s="64">
        <v>3.01</v>
      </c>
      <c r="K60" s="64">
        <v>108.78</v>
      </c>
      <c r="L60" s="64">
        <v>23.59</v>
      </c>
      <c r="M60" s="64">
        <v>28.99</v>
      </c>
      <c r="N60" s="64">
        <v>504.2</v>
      </c>
      <c r="O60" s="64">
        <v>0</v>
      </c>
      <c r="P60" s="64">
        <v>0.78</v>
      </c>
      <c r="Q60" s="64">
        <v>10.41</v>
      </c>
      <c r="R60" s="196"/>
      <c r="S60" s="196"/>
      <c r="T60" s="196"/>
      <c r="U60" s="196"/>
    </row>
    <row r="61" spans="1:21" s="12" customFormat="1" x14ac:dyDescent="0.25">
      <c r="A61" s="211" t="s">
        <v>2699</v>
      </c>
      <c r="B61" s="64">
        <v>6.53</v>
      </c>
      <c r="C61" s="64">
        <v>54.49</v>
      </c>
      <c r="D61" s="64">
        <v>32.340000000000003</v>
      </c>
      <c r="E61" s="64">
        <v>5.73</v>
      </c>
      <c r="F61" s="64">
        <v>5.52</v>
      </c>
      <c r="G61" s="64">
        <v>68.819999999999993</v>
      </c>
      <c r="H61" s="64">
        <v>27.36</v>
      </c>
      <c r="I61" s="64">
        <v>8.27</v>
      </c>
      <c r="J61" s="64">
        <v>1.28</v>
      </c>
      <c r="K61" s="64">
        <v>94.16</v>
      </c>
      <c r="L61" s="64">
        <v>23.1</v>
      </c>
      <c r="M61" s="64">
        <v>30.76</v>
      </c>
      <c r="N61" s="64">
        <v>498</v>
      </c>
      <c r="O61" s="64">
        <v>0</v>
      </c>
      <c r="P61" s="64">
        <v>0.81</v>
      </c>
      <c r="Q61" s="64">
        <v>10.37</v>
      </c>
      <c r="R61" s="196"/>
      <c r="S61" s="196"/>
      <c r="T61" s="196"/>
      <c r="U61" s="196"/>
    </row>
    <row r="62" spans="1:21" s="12" customFormat="1" x14ac:dyDescent="0.25">
      <c r="A62" s="211" t="s">
        <v>2700</v>
      </c>
      <c r="B62" s="64">
        <v>5.18</v>
      </c>
      <c r="C62" s="64">
        <v>54.06</v>
      </c>
      <c r="D62" s="64">
        <v>31.02</v>
      </c>
      <c r="E62" s="64">
        <v>5.4</v>
      </c>
      <c r="F62" s="64">
        <v>6.49</v>
      </c>
      <c r="G62" s="64">
        <v>68.819999999999993</v>
      </c>
      <c r="H62" s="64">
        <v>27.36</v>
      </c>
      <c r="I62" s="64">
        <v>8.34</v>
      </c>
      <c r="J62" s="64">
        <v>0.8</v>
      </c>
      <c r="K62" s="64">
        <v>357.51</v>
      </c>
      <c r="L62" s="64">
        <v>23.85</v>
      </c>
      <c r="M62" s="64">
        <v>29.76</v>
      </c>
      <c r="N62" s="64">
        <v>421.1</v>
      </c>
      <c r="O62" s="64">
        <v>0</v>
      </c>
      <c r="P62" s="64">
        <v>0.83</v>
      </c>
      <c r="Q62" s="64">
        <v>10.34</v>
      </c>
      <c r="R62" s="196"/>
      <c r="S62" s="196"/>
      <c r="T62" s="196"/>
      <c r="U62" s="196"/>
    </row>
    <row r="63" spans="1:21" s="12" customFormat="1" x14ac:dyDescent="0.25">
      <c r="A63" s="211" t="s">
        <v>2701</v>
      </c>
      <c r="B63" s="64">
        <v>4.59</v>
      </c>
      <c r="C63" s="64">
        <v>53.92</v>
      </c>
      <c r="D63" s="64">
        <v>30.47</v>
      </c>
      <c r="E63" s="64">
        <v>5.6</v>
      </c>
      <c r="F63" s="64">
        <v>5.51</v>
      </c>
      <c r="G63" s="64">
        <v>68.819999999999993</v>
      </c>
      <c r="H63" s="64">
        <v>27.36</v>
      </c>
      <c r="I63" s="64">
        <v>8.27</v>
      </c>
      <c r="J63" s="64">
        <v>1.32</v>
      </c>
      <c r="K63" s="64">
        <v>0.65</v>
      </c>
      <c r="L63" s="64">
        <v>25.21</v>
      </c>
      <c r="M63" s="64">
        <v>26.71</v>
      </c>
      <c r="N63" s="64">
        <v>428</v>
      </c>
      <c r="O63" s="64">
        <v>0</v>
      </c>
      <c r="P63" s="64">
        <v>0.81</v>
      </c>
      <c r="Q63" s="64">
        <v>10.34</v>
      </c>
      <c r="R63" s="196"/>
      <c r="S63" s="196"/>
      <c r="T63" s="196"/>
      <c r="U63" s="196"/>
    </row>
    <row r="64" spans="1:21" s="12" customFormat="1" x14ac:dyDescent="0.25">
      <c r="A64" s="211" t="s">
        <v>2702</v>
      </c>
      <c r="B64" s="64">
        <v>4.2699999999999996</v>
      </c>
      <c r="C64" s="64">
        <v>53.72</v>
      </c>
      <c r="D64" s="64">
        <v>30.12</v>
      </c>
      <c r="E64" s="64">
        <v>5.1100000000000003</v>
      </c>
      <c r="F64" s="64">
        <v>5.27</v>
      </c>
      <c r="G64" s="64">
        <v>64.59</v>
      </c>
      <c r="H64" s="64">
        <v>24.23</v>
      </c>
      <c r="I64" s="64">
        <v>7.92</v>
      </c>
      <c r="J64" s="64">
        <v>1.79</v>
      </c>
      <c r="K64" s="64">
        <v>337.49</v>
      </c>
      <c r="L64" s="64">
        <v>24.25</v>
      </c>
      <c r="M64" s="64">
        <v>28.2</v>
      </c>
      <c r="N64" s="64">
        <v>354.8</v>
      </c>
      <c r="O64" s="64">
        <v>0</v>
      </c>
      <c r="P64" s="64">
        <v>0.79</v>
      </c>
      <c r="Q64" s="64">
        <v>10.3</v>
      </c>
      <c r="R64" s="196"/>
      <c r="S64" s="196"/>
      <c r="T64" s="196"/>
      <c r="U64" s="196"/>
    </row>
    <row r="65" spans="1:21" s="12" customFormat="1" x14ac:dyDescent="0.25">
      <c r="A65" s="211" t="s">
        <v>2703</v>
      </c>
      <c r="B65" s="64">
        <v>3.99</v>
      </c>
      <c r="C65" s="64">
        <v>53.38</v>
      </c>
      <c r="D65" s="64">
        <v>29.71</v>
      </c>
      <c r="E65" s="64">
        <v>4.7699999999999996</v>
      </c>
      <c r="F65" s="64">
        <v>5.36</v>
      </c>
      <c r="G65" s="64">
        <v>61.35</v>
      </c>
      <c r="H65" s="64">
        <v>22.25</v>
      </c>
      <c r="I65" s="64">
        <v>7.59</v>
      </c>
      <c r="J65" s="64">
        <v>1.46</v>
      </c>
      <c r="K65" s="64">
        <v>81.599999999999994</v>
      </c>
      <c r="L65" s="64">
        <v>23.75</v>
      </c>
      <c r="M65" s="64">
        <v>28.21</v>
      </c>
      <c r="N65" s="64">
        <v>156.4</v>
      </c>
      <c r="O65" s="64">
        <v>0</v>
      </c>
      <c r="P65" s="64">
        <v>0.79</v>
      </c>
      <c r="Q65" s="64">
        <v>10.29</v>
      </c>
      <c r="R65" s="196"/>
      <c r="S65" s="196"/>
      <c r="T65" s="196"/>
      <c r="U65" s="196"/>
    </row>
    <row r="66" spans="1:21" s="12" customFormat="1" x14ac:dyDescent="0.25">
      <c r="A66" s="211" t="s">
        <v>2704</v>
      </c>
      <c r="B66" s="64">
        <v>3.74</v>
      </c>
      <c r="C66" s="64">
        <v>52.76</v>
      </c>
      <c r="D66" s="64">
        <v>29.19</v>
      </c>
      <c r="E66" s="64">
        <v>5.33</v>
      </c>
      <c r="F66" s="64">
        <v>5.65</v>
      </c>
      <c r="G66" s="64">
        <v>61.35</v>
      </c>
      <c r="H66" s="64">
        <v>22.25</v>
      </c>
      <c r="I66" s="64">
        <v>7.08</v>
      </c>
      <c r="J66" s="64">
        <v>2.65</v>
      </c>
      <c r="K66" s="64">
        <v>343.72</v>
      </c>
      <c r="L66" s="64">
        <v>23.71</v>
      </c>
      <c r="M66" s="64">
        <v>27.83</v>
      </c>
      <c r="N66" s="64">
        <v>135.80000000000001</v>
      </c>
      <c r="O66" s="64">
        <v>0</v>
      </c>
      <c r="P66" s="64">
        <v>0.75</v>
      </c>
      <c r="Q66" s="64">
        <v>10.29</v>
      </c>
      <c r="R66" s="196"/>
      <c r="S66" s="196"/>
      <c r="T66" s="196"/>
      <c r="U66" s="196"/>
    </row>
    <row r="67" spans="1:21" s="12" customFormat="1" x14ac:dyDescent="0.25">
      <c r="A67" s="211" t="s">
        <v>2705</v>
      </c>
      <c r="B67" s="64">
        <v>3.97</v>
      </c>
      <c r="C67" s="64">
        <v>53.25</v>
      </c>
      <c r="D67" s="64">
        <v>29.63</v>
      </c>
      <c r="E67" s="64">
        <v>5.38</v>
      </c>
      <c r="F67" s="64">
        <v>5.36</v>
      </c>
      <c r="G67" s="64">
        <v>61.35</v>
      </c>
      <c r="H67" s="64">
        <v>22.25</v>
      </c>
      <c r="I67" s="64">
        <v>7.12</v>
      </c>
      <c r="J67" s="64">
        <v>2.16</v>
      </c>
      <c r="K67" s="64">
        <v>339.82</v>
      </c>
      <c r="L67" s="64">
        <v>23.78</v>
      </c>
      <c r="M67" s="64">
        <v>27.6</v>
      </c>
      <c r="N67" s="64">
        <v>159.1</v>
      </c>
      <c r="O67" s="64">
        <v>0</v>
      </c>
      <c r="P67" s="64">
        <v>0.75</v>
      </c>
      <c r="Q67" s="64">
        <v>10.3</v>
      </c>
      <c r="R67" s="196"/>
      <c r="S67" s="196"/>
      <c r="T67" s="196"/>
      <c r="U67" s="196"/>
    </row>
    <row r="68" spans="1:21" s="12" customFormat="1" x14ac:dyDescent="0.25">
      <c r="A68" s="211" t="s">
        <v>2706</v>
      </c>
      <c r="B68" s="64">
        <v>4.24</v>
      </c>
      <c r="C68" s="64">
        <v>53.34</v>
      </c>
      <c r="D68" s="64">
        <v>29.89</v>
      </c>
      <c r="E68" s="64">
        <v>5.25</v>
      </c>
      <c r="F68" s="64">
        <v>5.09</v>
      </c>
      <c r="G68" s="64">
        <v>61.3</v>
      </c>
      <c r="H68" s="64">
        <v>25.56</v>
      </c>
      <c r="I68" s="64">
        <v>6.77</v>
      </c>
      <c r="J68" s="64">
        <v>0.86</v>
      </c>
      <c r="K68" s="64">
        <v>38.96</v>
      </c>
      <c r="L68" s="64">
        <v>23.26</v>
      </c>
      <c r="M68" s="64">
        <v>28.38</v>
      </c>
      <c r="N68" s="64">
        <v>190.7</v>
      </c>
      <c r="O68" s="64">
        <v>0</v>
      </c>
      <c r="P68" s="64">
        <v>0.69</v>
      </c>
      <c r="Q68" s="64">
        <v>10.26</v>
      </c>
      <c r="R68" s="196"/>
      <c r="S68" s="196"/>
      <c r="T68" s="196"/>
      <c r="U68" s="196"/>
    </row>
    <row r="69" spans="1:21" s="12" customFormat="1" x14ac:dyDescent="0.25">
      <c r="A69" s="211" t="s">
        <v>2707</v>
      </c>
      <c r="B69" s="64">
        <v>4.28</v>
      </c>
      <c r="C69" s="64">
        <v>52.74</v>
      </c>
      <c r="D69" s="64">
        <v>29.61</v>
      </c>
      <c r="E69" s="64">
        <v>5.46</v>
      </c>
      <c r="F69" s="64">
        <v>4.82</v>
      </c>
      <c r="G69" s="64">
        <v>61.26</v>
      </c>
      <c r="H69" s="64">
        <v>26.68</v>
      </c>
      <c r="I69" s="64">
        <v>5.72</v>
      </c>
      <c r="J69" s="64">
        <v>0.8</v>
      </c>
      <c r="K69" s="64">
        <v>33.17</v>
      </c>
      <c r="L69" s="64">
        <v>22.71</v>
      </c>
      <c r="M69" s="64">
        <v>29.93</v>
      </c>
      <c r="N69" s="64">
        <v>99.9</v>
      </c>
      <c r="O69" s="64">
        <v>0</v>
      </c>
      <c r="P69" s="64">
        <v>0.68</v>
      </c>
      <c r="Q69" s="64">
        <v>10.24</v>
      </c>
      <c r="R69" s="196"/>
      <c r="S69" s="196"/>
      <c r="T69" s="196"/>
      <c r="U69" s="196"/>
    </row>
    <row r="70" spans="1:21" s="12" customFormat="1" x14ac:dyDescent="0.25">
      <c r="A70" s="211" t="s">
        <v>2708</v>
      </c>
      <c r="B70" s="64">
        <v>4.49</v>
      </c>
      <c r="C70" s="64">
        <v>52.34</v>
      </c>
      <c r="D70" s="64">
        <v>29.57</v>
      </c>
      <c r="E70" s="64">
        <v>4.92</v>
      </c>
      <c r="F70" s="64">
        <v>4.8899999999999997</v>
      </c>
      <c r="G70" s="64">
        <v>61.26</v>
      </c>
      <c r="H70" s="64">
        <v>26.68</v>
      </c>
      <c r="I70" s="64">
        <v>4.37</v>
      </c>
      <c r="J70" s="64">
        <v>0.79</v>
      </c>
      <c r="K70" s="64">
        <v>37.630000000000003</v>
      </c>
      <c r="L70" s="64">
        <v>22.4</v>
      </c>
      <c r="M70" s="64">
        <v>30.54</v>
      </c>
      <c r="N70" s="64">
        <v>91.9</v>
      </c>
      <c r="O70" s="64">
        <v>0</v>
      </c>
      <c r="P70" s="64">
        <v>0.69</v>
      </c>
      <c r="Q70" s="64">
        <v>10.24</v>
      </c>
      <c r="R70" s="196"/>
      <c r="S70" s="196"/>
      <c r="T70" s="196"/>
      <c r="U70" s="196"/>
    </row>
    <row r="71" spans="1:21" s="12" customFormat="1" x14ac:dyDescent="0.25">
      <c r="A71" s="211" t="s">
        <v>2709</v>
      </c>
      <c r="B71" s="64">
        <v>4.6100000000000003</v>
      </c>
      <c r="C71" s="64">
        <v>52.22</v>
      </c>
      <c r="D71" s="64">
        <v>29.6</v>
      </c>
      <c r="E71" s="64">
        <v>5.23</v>
      </c>
      <c r="F71" s="64">
        <v>4.93</v>
      </c>
      <c r="G71" s="64">
        <v>61.26</v>
      </c>
      <c r="H71" s="64">
        <v>26.68</v>
      </c>
      <c r="I71" s="64">
        <v>4.13</v>
      </c>
      <c r="J71" s="64">
        <v>2.15</v>
      </c>
      <c r="K71" s="64">
        <v>111.23</v>
      </c>
      <c r="L71" s="64">
        <v>22.14</v>
      </c>
      <c r="M71" s="64">
        <v>30.55</v>
      </c>
      <c r="N71" s="64">
        <v>84.6</v>
      </c>
      <c r="O71" s="64">
        <v>0</v>
      </c>
      <c r="P71" s="64">
        <v>0.68</v>
      </c>
      <c r="Q71" s="64">
        <v>10.220000000000001</v>
      </c>
      <c r="R71" s="196"/>
      <c r="S71" s="196"/>
      <c r="T71" s="196"/>
      <c r="U71" s="196"/>
    </row>
    <row r="72" spans="1:21" s="12" customFormat="1" x14ac:dyDescent="0.25">
      <c r="A72" s="211" t="s">
        <v>2710</v>
      </c>
      <c r="B72" s="64">
        <v>4.5199999999999996</v>
      </c>
      <c r="C72" s="64">
        <v>51.4</v>
      </c>
      <c r="D72" s="64">
        <v>29.1</v>
      </c>
      <c r="E72" s="64">
        <v>4.5199999999999996</v>
      </c>
      <c r="F72" s="64">
        <v>4.8600000000000003</v>
      </c>
      <c r="G72" s="64">
        <v>58.32</v>
      </c>
      <c r="H72" s="64">
        <v>16.23</v>
      </c>
      <c r="I72" s="64">
        <v>4.13</v>
      </c>
      <c r="J72" s="64">
        <v>1.0900000000000001</v>
      </c>
      <c r="K72" s="64">
        <v>51.8</v>
      </c>
      <c r="L72" s="64">
        <v>21.9</v>
      </c>
      <c r="M72" s="64">
        <v>30.45</v>
      </c>
      <c r="N72" s="64">
        <v>76.900000000000006</v>
      </c>
      <c r="O72" s="64">
        <v>0</v>
      </c>
      <c r="P72" s="64">
        <v>0.69</v>
      </c>
      <c r="Q72" s="64">
        <v>10.23</v>
      </c>
      <c r="R72" s="196"/>
      <c r="S72" s="196"/>
      <c r="T72" s="196"/>
      <c r="U72" s="196"/>
    </row>
    <row r="73" spans="1:21" s="12" customFormat="1" x14ac:dyDescent="0.25">
      <c r="A73" s="211" t="s">
        <v>2711</v>
      </c>
      <c r="B73" s="64">
        <v>4.54</v>
      </c>
      <c r="C73" s="64">
        <v>51.06</v>
      </c>
      <c r="D73" s="64">
        <v>28.94</v>
      </c>
      <c r="E73" s="64">
        <v>5.2</v>
      </c>
      <c r="F73" s="64">
        <v>4.9400000000000004</v>
      </c>
      <c r="G73" s="64">
        <v>56.06</v>
      </c>
      <c r="H73" s="64">
        <v>12.68</v>
      </c>
      <c r="I73" s="64">
        <v>4.2699999999999996</v>
      </c>
      <c r="J73" s="64">
        <v>1</v>
      </c>
      <c r="K73" s="64">
        <v>85.13</v>
      </c>
      <c r="L73" s="64">
        <v>21.76</v>
      </c>
      <c r="M73" s="64">
        <v>30.63</v>
      </c>
      <c r="N73" s="64">
        <v>68.7</v>
      </c>
      <c r="O73" s="64">
        <v>0</v>
      </c>
      <c r="P73" s="64">
        <v>0.72</v>
      </c>
      <c r="Q73" s="64">
        <v>10.210000000000001</v>
      </c>
      <c r="R73" s="196"/>
      <c r="S73" s="196"/>
      <c r="T73" s="196"/>
      <c r="U73" s="196"/>
    </row>
    <row r="74" spans="1:21" s="12" customFormat="1" x14ac:dyDescent="0.25">
      <c r="A74" s="211" t="s">
        <v>2712</v>
      </c>
      <c r="B74" s="64">
        <v>4.54</v>
      </c>
      <c r="C74" s="64">
        <v>50.4</v>
      </c>
      <c r="D74" s="64">
        <v>28.6</v>
      </c>
      <c r="E74" s="64">
        <v>5.07</v>
      </c>
      <c r="F74" s="64">
        <v>5</v>
      </c>
      <c r="G74" s="64">
        <v>56.06</v>
      </c>
      <c r="H74" s="64">
        <v>12.68</v>
      </c>
      <c r="I74" s="64">
        <v>4.5599999999999996</v>
      </c>
      <c r="J74" s="64">
        <v>1.26</v>
      </c>
      <c r="K74" s="64">
        <v>107.15</v>
      </c>
      <c r="L74" s="64">
        <v>21.3</v>
      </c>
      <c r="M74" s="64">
        <v>30.91</v>
      </c>
      <c r="N74" s="64">
        <v>60.9</v>
      </c>
      <c r="O74" s="64">
        <v>0</v>
      </c>
      <c r="P74" s="64">
        <v>0.66</v>
      </c>
      <c r="Q74" s="64">
        <v>10.210000000000001</v>
      </c>
      <c r="R74" s="196"/>
      <c r="S74" s="196"/>
      <c r="T74" s="196"/>
      <c r="U74" s="196"/>
    </row>
    <row r="75" spans="1:21" s="12" customFormat="1" x14ac:dyDescent="0.25">
      <c r="A75" s="211" t="s">
        <v>2713</v>
      </c>
      <c r="B75" s="64">
        <v>4.57</v>
      </c>
      <c r="C75" s="64">
        <v>49.59</v>
      </c>
      <c r="D75" s="64">
        <v>28.2</v>
      </c>
      <c r="E75" s="64">
        <v>5.19</v>
      </c>
      <c r="F75" s="64">
        <v>4.71</v>
      </c>
      <c r="G75" s="64">
        <v>56.06</v>
      </c>
      <c r="H75" s="64">
        <v>12.68</v>
      </c>
      <c r="I75" s="64">
        <v>4.6100000000000003</v>
      </c>
      <c r="J75" s="64">
        <v>2.0099999999999998</v>
      </c>
      <c r="K75" s="64">
        <v>94.02</v>
      </c>
      <c r="L75" s="64">
        <v>20.98</v>
      </c>
      <c r="M75" s="64">
        <v>30.55</v>
      </c>
      <c r="N75" s="64">
        <v>53</v>
      </c>
      <c r="O75" s="64">
        <v>0</v>
      </c>
      <c r="P75" s="64">
        <v>0.68</v>
      </c>
      <c r="Q75" s="64">
        <v>10.24</v>
      </c>
      <c r="R75" s="196"/>
      <c r="S75" s="196"/>
      <c r="T75" s="196"/>
      <c r="U75" s="196"/>
    </row>
    <row r="76" spans="1:21" s="12" customFormat="1" x14ac:dyDescent="0.25">
      <c r="A76" s="211" t="s">
        <v>2714</v>
      </c>
      <c r="B76" s="64">
        <v>4.45</v>
      </c>
      <c r="C76" s="64">
        <v>49.37</v>
      </c>
      <c r="D76" s="64">
        <v>27.98</v>
      </c>
      <c r="E76" s="64">
        <v>5.26</v>
      </c>
      <c r="F76" s="64">
        <v>4.66</v>
      </c>
      <c r="G76" s="64">
        <v>56.12</v>
      </c>
      <c r="H76" s="64">
        <v>21.74</v>
      </c>
      <c r="I76" s="64">
        <v>4.6500000000000004</v>
      </c>
      <c r="J76" s="64">
        <v>1.55</v>
      </c>
      <c r="K76" s="64">
        <v>67.87</v>
      </c>
      <c r="L76" s="64">
        <v>20.51</v>
      </c>
      <c r="M76" s="64">
        <v>31.73</v>
      </c>
      <c r="N76" s="64">
        <v>46</v>
      </c>
      <c r="O76" s="64">
        <v>0</v>
      </c>
      <c r="P76" s="64">
        <v>0.71</v>
      </c>
      <c r="Q76" s="64">
        <v>10.27</v>
      </c>
      <c r="R76" s="196"/>
      <c r="S76" s="196"/>
      <c r="T76" s="196"/>
      <c r="U76" s="196"/>
    </row>
    <row r="77" spans="1:21" s="12" customFormat="1" x14ac:dyDescent="0.25">
      <c r="A77" s="211" t="s">
        <v>2715</v>
      </c>
      <c r="B77" s="64">
        <v>4.45</v>
      </c>
      <c r="C77" s="64">
        <v>50.36</v>
      </c>
      <c r="D77" s="64">
        <v>28.5</v>
      </c>
      <c r="E77" s="64">
        <v>5.57</v>
      </c>
      <c r="F77" s="64">
        <v>4.16</v>
      </c>
      <c r="G77" s="64">
        <v>56.17</v>
      </c>
      <c r="H77" s="64">
        <v>24.64</v>
      </c>
      <c r="I77" s="64">
        <v>5.76</v>
      </c>
      <c r="J77" s="64">
        <v>2.27</v>
      </c>
      <c r="K77" s="64">
        <v>71.95</v>
      </c>
      <c r="L77" s="64">
        <v>20.05</v>
      </c>
      <c r="M77" s="64">
        <v>33.28</v>
      </c>
      <c r="N77" s="64">
        <v>39.9</v>
      </c>
      <c r="O77" s="64">
        <v>0</v>
      </c>
      <c r="P77" s="64">
        <v>0.72</v>
      </c>
      <c r="Q77" s="64">
        <v>10.220000000000001</v>
      </c>
      <c r="R77" s="196"/>
      <c r="S77" s="196"/>
      <c r="T77" s="196"/>
      <c r="U77" s="196"/>
    </row>
    <row r="78" spans="1:21" s="12" customFormat="1" x14ac:dyDescent="0.25">
      <c r="A78" s="211" t="s">
        <v>2716</v>
      </c>
      <c r="B78" s="64">
        <v>4.95</v>
      </c>
      <c r="C78" s="64">
        <v>52.28</v>
      </c>
      <c r="D78" s="64">
        <v>29.9</v>
      </c>
      <c r="E78" s="64">
        <v>5.5</v>
      </c>
      <c r="F78" s="64">
        <v>4.12</v>
      </c>
      <c r="G78" s="64">
        <v>56.17</v>
      </c>
      <c r="H78" s="64">
        <v>24.64</v>
      </c>
      <c r="I78" s="64">
        <v>6.69</v>
      </c>
      <c r="J78" s="64">
        <v>1.88</v>
      </c>
      <c r="K78" s="64">
        <v>40.72</v>
      </c>
      <c r="L78" s="64">
        <v>19.489999999999998</v>
      </c>
      <c r="M78" s="64">
        <v>35.76</v>
      </c>
      <c r="N78" s="64">
        <v>36.200000000000003</v>
      </c>
      <c r="O78" s="64">
        <v>0</v>
      </c>
      <c r="P78" s="64">
        <v>0.73</v>
      </c>
      <c r="Q78" s="64">
        <v>10.210000000000001</v>
      </c>
      <c r="R78" s="196"/>
      <c r="S78" s="196"/>
      <c r="T78" s="196"/>
      <c r="U78" s="196"/>
    </row>
    <row r="79" spans="1:21" s="12" customFormat="1" x14ac:dyDescent="0.25">
      <c r="A79" s="211" t="s">
        <v>2717</v>
      </c>
      <c r="B79" s="64">
        <v>7.35</v>
      </c>
      <c r="C79" s="64">
        <v>54.49</v>
      </c>
      <c r="D79" s="64">
        <v>32.99</v>
      </c>
      <c r="E79" s="64">
        <v>5.32</v>
      </c>
      <c r="F79" s="64">
        <v>4.18</v>
      </c>
      <c r="G79" s="64">
        <v>56.17</v>
      </c>
      <c r="H79" s="64">
        <v>24.64</v>
      </c>
      <c r="I79" s="64">
        <v>6.83</v>
      </c>
      <c r="J79" s="64">
        <v>2.4500000000000002</v>
      </c>
      <c r="K79" s="64">
        <v>333.98</v>
      </c>
      <c r="L79" s="64">
        <v>18.8</v>
      </c>
      <c r="M79" s="64">
        <v>43.43</v>
      </c>
      <c r="N79" s="64">
        <v>35</v>
      </c>
      <c r="O79" s="64">
        <v>0</v>
      </c>
      <c r="P79" s="64">
        <v>0.85</v>
      </c>
      <c r="Q79" s="64">
        <v>10.29</v>
      </c>
      <c r="R79" s="196"/>
      <c r="S79" s="196"/>
      <c r="T79" s="196"/>
      <c r="U79" s="196"/>
    </row>
    <row r="80" spans="1:21" s="12" customFormat="1" x14ac:dyDescent="0.25">
      <c r="A80" s="211" t="s">
        <v>2718</v>
      </c>
      <c r="B80" s="64">
        <v>14.01</v>
      </c>
      <c r="C80" s="64">
        <v>57.58</v>
      </c>
      <c r="D80" s="64">
        <v>39.94</v>
      </c>
      <c r="E80" s="64">
        <v>5.94</v>
      </c>
      <c r="F80" s="64">
        <v>4.03</v>
      </c>
      <c r="G80" s="64">
        <v>65.25</v>
      </c>
      <c r="H80" s="64">
        <v>37.299999999999997</v>
      </c>
      <c r="I80" s="64">
        <v>6.93</v>
      </c>
      <c r="J80" s="64">
        <v>2.2200000000000002</v>
      </c>
      <c r="K80" s="64">
        <v>341.49</v>
      </c>
      <c r="L80" s="64">
        <v>17.920000000000002</v>
      </c>
      <c r="M80" s="64">
        <v>44.7</v>
      </c>
      <c r="N80" s="64">
        <v>34.9</v>
      </c>
      <c r="O80" s="64">
        <v>0</v>
      </c>
      <c r="P80" s="64">
        <v>0.89</v>
      </c>
      <c r="Q80" s="64">
        <v>10.35</v>
      </c>
      <c r="R80" s="196"/>
      <c r="S80" s="196"/>
      <c r="T80" s="196"/>
      <c r="U80" s="196"/>
    </row>
    <row r="81" spans="1:26" s="12" customFormat="1" x14ac:dyDescent="0.25">
      <c r="A81" s="211" t="s">
        <v>2719</v>
      </c>
      <c r="B81" s="64">
        <v>17.29</v>
      </c>
      <c r="C81" s="64">
        <v>59.5</v>
      </c>
      <c r="D81" s="64">
        <v>43.58</v>
      </c>
      <c r="E81" s="64">
        <v>6.13</v>
      </c>
      <c r="F81" s="64">
        <v>4.42</v>
      </c>
      <c r="G81" s="64">
        <v>72.2</v>
      </c>
      <c r="H81" s="64">
        <v>45.27</v>
      </c>
      <c r="I81" s="64">
        <v>7.25</v>
      </c>
      <c r="J81" s="64">
        <v>2.4500000000000002</v>
      </c>
      <c r="K81" s="64">
        <v>282.24</v>
      </c>
      <c r="L81" s="64">
        <v>17.170000000000002</v>
      </c>
      <c r="M81" s="64">
        <v>47.5</v>
      </c>
      <c r="N81" s="64">
        <v>34.700000000000003</v>
      </c>
      <c r="O81" s="64">
        <v>0</v>
      </c>
      <c r="P81" s="64">
        <v>0.99</v>
      </c>
      <c r="Q81" s="64">
        <v>10.37</v>
      </c>
      <c r="R81" s="196"/>
      <c r="S81" s="196"/>
      <c r="T81" s="196"/>
      <c r="U81" s="196"/>
    </row>
    <row r="82" spans="1:26" s="12" customFormat="1" x14ac:dyDescent="0.25">
      <c r="A82" s="211" t="s">
        <v>2720</v>
      </c>
      <c r="B82" s="64">
        <v>20.93</v>
      </c>
      <c r="C82" s="64">
        <v>61.26</v>
      </c>
      <c r="D82" s="64">
        <v>47.42</v>
      </c>
      <c r="E82" s="64">
        <v>6.38</v>
      </c>
      <c r="F82" s="64">
        <v>3.89</v>
      </c>
      <c r="G82" s="64">
        <v>72.2</v>
      </c>
      <c r="H82" s="64">
        <v>45.27</v>
      </c>
      <c r="I82" s="64">
        <v>7.51</v>
      </c>
      <c r="J82" s="64">
        <v>2.5099999999999998</v>
      </c>
      <c r="K82" s="64">
        <v>291.54000000000002</v>
      </c>
      <c r="L82" s="64">
        <v>16.649999999999999</v>
      </c>
      <c r="M82" s="64">
        <v>52.85</v>
      </c>
      <c r="N82" s="64">
        <v>34.799999999999997</v>
      </c>
      <c r="O82" s="64">
        <v>0</v>
      </c>
      <c r="P82" s="64">
        <v>1.03</v>
      </c>
      <c r="Q82" s="64">
        <v>10.48</v>
      </c>
      <c r="R82" s="196"/>
      <c r="S82" s="196"/>
      <c r="T82" s="196"/>
      <c r="U82" s="196"/>
    </row>
    <row r="83" spans="1:26" s="12" customFormat="1" x14ac:dyDescent="0.25">
      <c r="A83" s="211" t="s">
        <v>2721</v>
      </c>
      <c r="B83" s="64">
        <v>28.55</v>
      </c>
      <c r="C83" s="64">
        <v>63.58</v>
      </c>
      <c r="D83" s="64">
        <v>54.73</v>
      </c>
      <c r="E83" s="64">
        <v>5.88</v>
      </c>
      <c r="F83" s="64">
        <v>4.0599999999999996</v>
      </c>
      <c r="G83" s="64">
        <v>72.2</v>
      </c>
      <c r="H83" s="64">
        <v>45.27</v>
      </c>
      <c r="I83" s="64">
        <v>7.59</v>
      </c>
      <c r="J83" s="64">
        <v>2.39</v>
      </c>
      <c r="K83" s="64">
        <v>289.14999999999998</v>
      </c>
      <c r="L83" s="64">
        <v>16.25</v>
      </c>
      <c r="M83" s="64">
        <v>55.44</v>
      </c>
      <c r="N83" s="64">
        <v>34.5</v>
      </c>
      <c r="O83" s="64">
        <v>0</v>
      </c>
      <c r="P83" s="64">
        <v>1.0900000000000001</v>
      </c>
      <c r="Q83" s="64">
        <v>10.62</v>
      </c>
      <c r="R83" s="196"/>
      <c r="S83" s="196"/>
      <c r="T83" s="196"/>
      <c r="U83" s="196"/>
    </row>
    <row r="84" spans="1:26" s="12" customFormat="1" x14ac:dyDescent="0.25">
      <c r="A84" s="211" t="s">
        <v>2722</v>
      </c>
      <c r="B84" s="64">
        <v>34.61</v>
      </c>
      <c r="C84" s="64">
        <v>65.05</v>
      </c>
      <c r="D84" s="64">
        <v>60.36</v>
      </c>
      <c r="E84" s="64">
        <v>5.67</v>
      </c>
      <c r="F84" s="64">
        <v>4.05</v>
      </c>
      <c r="G84" s="64">
        <v>84.22</v>
      </c>
      <c r="H84" s="64">
        <v>42.8</v>
      </c>
      <c r="I84" s="64">
        <v>7.71</v>
      </c>
      <c r="J84" s="64">
        <v>2.16</v>
      </c>
      <c r="K84" s="64">
        <v>270.56</v>
      </c>
      <c r="L84" s="64">
        <v>16.11</v>
      </c>
      <c r="M84" s="64">
        <v>55.23</v>
      </c>
      <c r="N84" s="64">
        <v>34.5</v>
      </c>
      <c r="O84" s="64">
        <v>0</v>
      </c>
      <c r="P84" s="64">
        <v>1.23</v>
      </c>
      <c r="Q84" s="64">
        <v>10.62</v>
      </c>
      <c r="R84" s="196"/>
      <c r="S84" s="196"/>
      <c r="T84" s="196"/>
      <c r="U84" s="196"/>
    </row>
    <row r="85" spans="1:26" s="12" customFormat="1" x14ac:dyDescent="0.25">
      <c r="A85" s="211" t="s">
        <v>2723</v>
      </c>
      <c r="B85" s="64">
        <v>40.39</v>
      </c>
      <c r="C85" s="64">
        <v>64.11</v>
      </c>
      <c r="D85" s="64">
        <v>64.510000000000005</v>
      </c>
      <c r="E85" s="64">
        <v>6.74</v>
      </c>
      <c r="F85" s="64">
        <v>4.42</v>
      </c>
      <c r="G85" s="64">
        <v>93.42</v>
      </c>
      <c r="H85" s="64">
        <v>41.96</v>
      </c>
      <c r="I85" s="64">
        <v>7.85</v>
      </c>
      <c r="J85" s="64">
        <v>2.37</v>
      </c>
      <c r="K85" s="64">
        <v>312.06</v>
      </c>
      <c r="L85" s="64">
        <v>15.84</v>
      </c>
      <c r="M85" s="64">
        <v>58.55</v>
      </c>
      <c r="N85" s="64">
        <v>34.299999999999997</v>
      </c>
      <c r="O85" s="64">
        <v>0</v>
      </c>
      <c r="P85" s="64">
        <v>1.67</v>
      </c>
      <c r="Q85" s="64">
        <v>10.59</v>
      </c>
      <c r="R85" s="196"/>
      <c r="S85" s="196"/>
      <c r="T85" s="196"/>
      <c r="U85" s="196"/>
    </row>
    <row r="86" spans="1:26" s="12" customFormat="1" x14ac:dyDescent="0.25">
      <c r="A86" s="211" t="s">
        <v>2724</v>
      </c>
      <c r="B86" s="64">
        <v>47.05</v>
      </c>
      <c r="C86" s="64">
        <v>63.86</v>
      </c>
      <c r="D86" s="64">
        <v>69.72</v>
      </c>
      <c r="E86" s="64">
        <v>6.62</v>
      </c>
      <c r="F86" s="64">
        <v>3.86</v>
      </c>
      <c r="G86" s="64">
        <v>93.42</v>
      </c>
      <c r="H86" s="64">
        <v>41.96</v>
      </c>
      <c r="I86" s="64">
        <v>7.46</v>
      </c>
      <c r="J86" s="64">
        <v>2.5299999999999998</v>
      </c>
      <c r="K86" s="64">
        <v>301.86</v>
      </c>
      <c r="L86" s="64">
        <v>15.67</v>
      </c>
      <c r="M86" s="64">
        <v>58.64</v>
      </c>
      <c r="N86" s="64">
        <v>34.200000000000003</v>
      </c>
      <c r="O86" s="64">
        <v>0</v>
      </c>
      <c r="P86" s="64">
        <v>1.7</v>
      </c>
      <c r="Q86" s="64">
        <v>10.62</v>
      </c>
      <c r="R86" s="196"/>
      <c r="S86" s="196"/>
      <c r="T86" s="196"/>
      <c r="U86" s="196"/>
    </row>
    <row r="87" spans="1:26" s="12" customFormat="1" x14ac:dyDescent="0.25">
      <c r="A87" s="211" t="s">
        <v>2725</v>
      </c>
      <c r="B87" s="64">
        <v>51.35</v>
      </c>
      <c r="C87" s="64">
        <v>63.59</v>
      </c>
      <c r="D87" s="64">
        <v>73.03</v>
      </c>
      <c r="E87" s="64">
        <v>7.25</v>
      </c>
      <c r="F87" s="64">
        <v>4.1100000000000003</v>
      </c>
      <c r="G87" s="64">
        <v>93.42</v>
      </c>
      <c r="H87" s="64">
        <v>41.96</v>
      </c>
      <c r="I87" s="64">
        <v>8.18</v>
      </c>
      <c r="J87" s="64">
        <v>2.4500000000000002</v>
      </c>
      <c r="K87" s="64">
        <v>301.49</v>
      </c>
      <c r="L87" s="64">
        <v>15.79</v>
      </c>
      <c r="M87" s="64">
        <v>54.34</v>
      </c>
      <c r="N87" s="64">
        <v>34</v>
      </c>
      <c r="O87" s="64">
        <v>0</v>
      </c>
      <c r="P87" s="64">
        <v>1.56</v>
      </c>
      <c r="Q87" s="64">
        <v>10.67</v>
      </c>
      <c r="R87" s="196"/>
      <c r="S87" s="196"/>
      <c r="T87" s="196"/>
      <c r="U87" s="196"/>
    </row>
    <row r="88" spans="1:26" s="12" customFormat="1" x14ac:dyDescent="0.25">
      <c r="A88" s="211" t="s">
        <v>2726</v>
      </c>
      <c r="B88" s="64">
        <v>53.95</v>
      </c>
      <c r="C88" s="64">
        <v>63.3</v>
      </c>
      <c r="D88" s="64">
        <v>74.959999999999994</v>
      </c>
      <c r="E88" s="64">
        <v>7</v>
      </c>
      <c r="F88" s="64">
        <v>4.21</v>
      </c>
      <c r="G88" s="64">
        <v>105.03</v>
      </c>
      <c r="H88" s="64">
        <v>50.53</v>
      </c>
      <c r="I88" s="64">
        <v>8.7100000000000009</v>
      </c>
      <c r="J88" s="64">
        <v>0.83</v>
      </c>
      <c r="K88" s="64">
        <v>295.58999999999997</v>
      </c>
      <c r="L88" s="64">
        <v>16.14</v>
      </c>
      <c r="M88" s="64">
        <v>49.74</v>
      </c>
      <c r="N88" s="64">
        <v>33.799999999999997</v>
      </c>
      <c r="O88" s="64">
        <v>0</v>
      </c>
      <c r="P88" s="64">
        <v>1.34</v>
      </c>
      <c r="Q88" s="64">
        <v>10.74</v>
      </c>
      <c r="R88" s="196"/>
      <c r="S88" s="196"/>
      <c r="T88" s="196"/>
      <c r="U88" s="196"/>
    </row>
    <row r="89" spans="1:26" s="12" customFormat="1" x14ac:dyDescent="0.25">
      <c r="A89" s="211" t="s">
        <v>2727</v>
      </c>
      <c r="B89" s="64">
        <v>54.23</v>
      </c>
      <c r="C89" s="64">
        <v>62.37</v>
      </c>
      <c r="D89" s="64">
        <v>74.7</v>
      </c>
      <c r="E89" s="64">
        <v>7.53</v>
      </c>
      <c r="F89" s="64">
        <v>4.4000000000000004</v>
      </c>
      <c r="G89" s="64">
        <v>113.92</v>
      </c>
      <c r="H89" s="64">
        <v>53.44</v>
      </c>
      <c r="I89" s="64">
        <v>8.19</v>
      </c>
      <c r="J89" s="64">
        <v>1.3</v>
      </c>
      <c r="K89" s="64">
        <v>110.24</v>
      </c>
      <c r="L89" s="64">
        <v>17.03</v>
      </c>
      <c r="M89" s="64">
        <v>44.5</v>
      </c>
      <c r="N89" s="64">
        <v>33.5</v>
      </c>
      <c r="O89" s="64">
        <v>0</v>
      </c>
      <c r="P89" s="64">
        <v>1.27</v>
      </c>
      <c r="Q89" s="64">
        <v>10.83</v>
      </c>
      <c r="R89" s="196"/>
      <c r="S89" s="196"/>
      <c r="T89" s="196"/>
      <c r="U89" s="196"/>
    </row>
    <row r="90" spans="1:26" s="12" customFormat="1" x14ac:dyDescent="0.25">
      <c r="A90" s="211" t="s">
        <v>2728</v>
      </c>
      <c r="B90" s="64">
        <v>52.93</v>
      </c>
      <c r="C90" s="64">
        <v>61.52</v>
      </c>
      <c r="D90" s="64">
        <v>73.209999999999994</v>
      </c>
      <c r="E90" s="64">
        <v>7.14</v>
      </c>
      <c r="F90" s="64">
        <v>3.95</v>
      </c>
      <c r="G90" s="64">
        <v>113.92</v>
      </c>
      <c r="H90" s="64">
        <v>53.44</v>
      </c>
      <c r="I90" s="64">
        <v>7.29</v>
      </c>
      <c r="J90" s="64">
        <v>1.26</v>
      </c>
      <c r="K90" s="64">
        <v>123.08</v>
      </c>
      <c r="L90" s="64">
        <v>17.260000000000002</v>
      </c>
      <c r="M90" s="64">
        <v>43.83</v>
      </c>
      <c r="N90" s="64">
        <v>33.700000000000003</v>
      </c>
      <c r="O90" s="64">
        <v>0</v>
      </c>
      <c r="P90" s="64">
        <v>1.21</v>
      </c>
      <c r="Q90" s="64">
        <v>10.86</v>
      </c>
      <c r="R90" s="196"/>
      <c r="S90" s="196"/>
      <c r="T90" s="196"/>
      <c r="U90" s="196"/>
    </row>
    <row r="91" spans="1:26" s="12" customFormat="1" x14ac:dyDescent="0.25">
      <c r="A91" s="211" t="s">
        <v>2729</v>
      </c>
      <c r="B91" s="64">
        <v>51.17</v>
      </c>
      <c r="C91" s="64">
        <v>60.67</v>
      </c>
      <c r="D91" s="64">
        <v>71.349999999999994</v>
      </c>
      <c r="E91" s="64">
        <v>6.82</v>
      </c>
      <c r="F91" s="64">
        <v>3.55</v>
      </c>
      <c r="G91" s="64">
        <v>113.92</v>
      </c>
      <c r="H91" s="64">
        <v>53.44</v>
      </c>
      <c r="I91" s="64">
        <v>6.54</v>
      </c>
      <c r="J91" s="64">
        <v>2.02</v>
      </c>
      <c r="K91" s="64">
        <v>108.43</v>
      </c>
      <c r="L91" s="64">
        <v>17.46</v>
      </c>
      <c r="M91" s="64">
        <v>43.09</v>
      </c>
      <c r="N91" s="64">
        <v>33.799999999999997</v>
      </c>
      <c r="O91" s="64">
        <v>0</v>
      </c>
      <c r="P91" s="64">
        <v>1.1599999999999999</v>
      </c>
      <c r="Q91" s="64">
        <v>10.86</v>
      </c>
      <c r="R91" s="196"/>
      <c r="S91" s="196"/>
      <c r="T91" s="196"/>
      <c r="U91" s="196"/>
    </row>
    <row r="92" spans="1:26" s="12" customFormat="1" x14ac:dyDescent="0.25">
      <c r="A92" s="211" t="s">
        <v>2730</v>
      </c>
      <c r="B92" s="64">
        <v>49.44</v>
      </c>
      <c r="C92" s="64">
        <v>59.73</v>
      </c>
      <c r="D92" s="64">
        <v>69.48</v>
      </c>
      <c r="E92" s="64">
        <v>6.45</v>
      </c>
      <c r="F92" s="64">
        <v>3.43</v>
      </c>
      <c r="G92" s="64">
        <v>102.56</v>
      </c>
      <c r="H92" s="64">
        <v>46.83</v>
      </c>
      <c r="I92" s="64">
        <v>5.97</v>
      </c>
      <c r="J92" s="64">
        <v>0.64</v>
      </c>
      <c r="K92" s="64">
        <v>193.18</v>
      </c>
      <c r="L92" s="64">
        <v>17.059999999999999</v>
      </c>
      <c r="M92" s="64">
        <v>45.68</v>
      </c>
      <c r="N92" s="64">
        <v>34.299999999999997</v>
      </c>
      <c r="O92" s="64">
        <v>0</v>
      </c>
      <c r="P92" s="64">
        <v>1.26</v>
      </c>
      <c r="Q92" s="64">
        <v>10.84</v>
      </c>
      <c r="R92" s="196"/>
      <c r="S92" s="196"/>
      <c r="T92" s="196"/>
      <c r="U92" s="196"/>
    </row>
    <row r="93" spans="1:26" s="12" customFormat="1" x14ac:dyDescent="0.25">
      <c r="A93" s="211" t="s">
        <v>2731</v>
      </c>
      <c r="B93" s="64">
        <v>48.32</v>
      </c>
      <c r="C93" s="64">
        <v>59.27</v>
      </c>
      <c r="D93" s="64">
        <v>68.33</v>
      </c>
      <c r="E93" s="64">
        <v>6.59</v>
      </c>
      <c r="F93" s="64">
        <v>3.89</v>
      </c>
      <c r="G93" s="64">
        <v>93.87</v>
      </c>
      <c r="H93" s="64">
        <v>44.58</v>
      </c>
      <c r="I93" s="64">
        <v>6.55</v>
      </c>
      <c r="J93" s="64">
        <v>2.56</v>
      </c>
      <c r="K93" s="64">
        <v>293.08</v>
      </c>
      <c r="L93" s="64">
        <v>16.36</v>
      </c>
      <c r="M93" s="64">
        <v>49.16</v>
      </c>
      <c r="N93" s="64">
        <v>34.700000000000003</v>
      </c>
      <c r="O93" s="64">
        <v>0</v>
      </c>
      <c r="P93" s="64">
        <v>1.29</v>
      </c>
      <c r="Q93" s="64">
        <v>10.86</v>
      </c>
      <c r="R93" s="196"/>
      <c r="S93" s="196"/>
      <c r="T93" s="196"/>
      <c r="U93" s="196"/>
    </row>
    <row r="94" spans="1:26" s="12" customFormat="1" x14ac:dyDescent="0.25">
      <c r="A94" s="211" t="s">
        <v>2732</v>
      </c>
      <c r="B94" s="64">
        <v>52.58</v>
      </c>
      <c r="C94" s="64">
        <v>60.76</v>
      </c>
      <c r="D94" s="64">
        <v>72.53</v>
      </c>
      <c r="E94" s="64">
        <v>6.6</v>
      </c>
      <c r="F94" s="64">
        <v>4.3600000000000003</v>
      </c>
      <c r="G94" s="64">
        <v>93.87</v>
      </c>
      <c r="H94" s="64">
        <v>44.58</v>
      </c>
      <c r="I94" s="64">
        <v>8.1199999999999992</v>
      </c>
      <c r="J94" s="64">
        <v>2.37</v>
      </c>
      <c r="K94" s="64">
        <v>338.62</v>
      </c>
      <c r="L94" s="64">
        <v>15.61</v>
      </c>
      <c r="M94" s="64">
        <v>56.48</v>
      </c>
      <c r="N94" s="64">
        <v>34.9</v>
      </c>
      <c r="O94" s="64">
        <v>0</v>
      </c>
      <c r="P94" s="64">
        <v>1.37</v>
      </c>
      <c r="Q94" s="64">
        <v>10.96</v>
      </c>
      <c r="R94" s="196"/>
      <c r="S94" s="196"/>
      <c r="T94" s="196"/>
      <c r="U94" s="196"/>
    </row>
    <row r="95" spans="1:26" s="12" customFormat="1" x14ac:dyDescent="0.25">
      <c r="A95" s="211" t="s">
        <v>2733</v>
      </c>
      <c r="B95" s="64">
        <v>60.6</v>
      </c>
      <c r="C95" s="64">
        <v>61.69</v>
      </c>
      <c r="D95" s="64">
        <v>79.45</v>
      </c>
      <c r="E95" s="64">
        <v>7.23</v>
      </c>
      <c r="F95" s="64">
        <v>4.25</v>
      </c>
      <c r="G95" s="64">
        <v>93.87</v>
      </c>
      <c r="H95" s="64">
        <v>44.58</v>
      </c>
      <c r="I95" s="64">
        <v>8.6199999999999992</v>
      </c>
      <c r="J95" s="64">
        <v>2.3199999999999998</v>
      </c>
      <c r="K95" s="64">
        <v>312.45</v>
      </c>
      <c r="L95" s="64">
        <v>14.89</v>
      </c>
      <c r="M95" s="64">
        <v>59.7</v>
      </c>
      <c r="N95" s="64">
        <v>34.799999999999997</v>
      </c>
      <c r="O95" s="64">
        <v>0</v>
      </c>
      <c r="P95" s="64">
        <v>1.42</v>
      </c>
      <c r="Q95" s="64">
        <v>11.02</v>
      </c>
      <c r="R95" s="196"/>
      <c r="S95" s="196"/>
      <c r="T95" s="196"/>
      <c r="U95" s="196"/>
    </row>
    <row r="96" spans="1:26" s="12" customFormat="1" x14ac:dyDescent="0.25">
      <c r="A96" s="211" t="s">
        <v>2734</v>
      </c>
      <c r="B96" s="64">
        <v>66.3</v>
      </c>
      <c r="C96" s="64">
        <v>62.65</v>
      </c>
      <c r="D96" s="64">
        <v>84.52</v>
      </c>
      <c r="E96" s="64">
        <v>7</v>
      </c>
      <c r="F96" s="64">
        <v>4.13</v>
      </c>
      <c r="G96" s="64">
        <v>104.43</v>
      </c>
      <c r="H96" s="64">
        <v>36.71</v>
      </c>
      <c r="I96" s="64">
        <v>8.57</v>
      </c>
      <c r="J96" s="64">
        <v>1.6</v>
      </c>
      <c r="K96" s="64">
        <v>325.49</v>
      </c>
      <c r="L96" s="64">
        <v>14.63</v>
      </c>
      <c r="M96" s="64">
        <v>61.63</v>
      </c>
      <c r="N96" s="64">
        <v>34.6</v>
      </c>
      <c r="O96" s="64">
        <v>0</v>
      </c>
      <c r="P96" s="64">
        <v>1.47</v>
      </c>
      <c r="Q96" s="64">
        <v>11.07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2735</v>
      </c>
      <c r="B97" s="64">
        <v>71.66</v>
      </c>
      <c r="C97" s="64">
        <v>62.83</v>
      </c>
      <c r="D97" s="64">
        <v>88.91</v>
      </c>
      <c r="E97" s="64">
        <v>6.95</v>
      </c>
      <c r="F97" s="64">
        <v>3.83</v>
      </c>
      <c r="G97" s="64">
        <v>112.51</v>
      </c>
      <c r="H97" s="64">
        <v>31.56</v>
      </c>
      <c r="I97" s="64">
        <v>8.56</v>
      </c>
      <c r="J97" s="64">
        <v>1.85</v>
      </c>
      <c r="K97" s="64">
        <v>308.89999999999998</v>
      </c>
      <c r="L97" s="64">
        <v>14.25</v>
      </c>
      <c r="M97" s="64">
        <v>63.03</v>
      </c>
      <c r="N97" s="64">
        <v>34.6</v>
      </c>
      <c r="O97" s="64">
        <v>0</v>
      </c>
      <c r="P97" s="64">
        <v>1.52</v>
      </c>
      <c r="Q97" s="64">
        <v>11.13</v>
      </c>
      <c r="R97" s="196"/>
      <c r="S97" s="196"/>
      <c r="T97" s="196"/>
      <c r="U97" s="196"/>
    </row>
    <row r="98" spans="1:33" s="12" customFormat="1" x14ac:dyDescent="0.25">
      <c r="A98" s="211" t="s">
        <v>2736</v>
      </c>
      <c r="B98" s="64">
        <v>78.91</v>
      </c>
      <c r="C98" s="64">
        <v>63.68</v>
      </c>
      <c r="D98" s="64">
        <v>95.17</v>
      </c>
      <c r="E98" s="64">
        <v>7.25</v>
      </c>
      <c r="F98" s="64">
        <v>3.9</v>
      </c>
      <c r="G98" s="64">
        <v>112.51</v>
      </c>
      <c r="H98" s="64">
        <v>31.56</v>
      </c>
      <c r="I98" s="64">
        <v>8.56</v>
      </c>
      <c r="J98" s="64">
        <v>2.2400000000000002</v>
      </c>
      <c r="K98" s="64">
        <v>301.39999999999998</v>
      </c>
      <c r="L98" s="64">
        <v>14.24</v>
      </c>
      <c r="M98" s="64">
        <v>62.83</v>
      </c>
      <c r="N98" s="64">
        <v>34.200000000000003</v>
      </c>
      <c r="O98" s="64">
        <v>0</v>
      </c>
      <c r="P98" s="64">
        <v>1.58</v>
      </c>
      <c r="Q98" s="64">
        <v>11.26</v>
      </c>
      <c r="R98" s="196"/>
      <c r="S98" s="196"/>
      <c r="T98" s="196"/>
      <c r="U98" s="196"/>
    </row>
    <row r="99" spans="1:33" s="12" customFormat="1" x14ac:dyDescent="0.25">
      <c r="A99" s="211" t="s">
        <v>2737</v>
      </c>
      <c r="B99" s="64">
        <v>83.1</v>
      </c>
      <c r="C99" s="64">
        <v>64.209999999999994</v>
      </c>
      <c r="D99" s="64">
        <v>98.81</v>
      </c>
      <c r="E99" s="64">
        <v>7.14</v>
      </c>
      <c r="F99" s="64">
        <v>4.0199999999999996</v>
      </c>
      <c r="G99" s="64">
        <v>112.51</v>
      </c>
      <c r="H99" s="64">
        <v>31.56</v>
      </c>
      <c r="I99" s="64">
        <v>8.57</v>
      </c>
      <c r="J99" s="64">
        <v>2.06</v>
      </c>
      <c r="K99" s="64">
        <v>284.45</v>
      </c>
      <c r="L99" s="64">
        <v>14.29</v>
      </c>
      <c r="M99" s="64">
        <v>60.22</v>
      </c>
      <c r="N99" s="64">
        <v>34.200000000000003</v>
      </c>
      <c r="O99" s="64">
        <v>0</v>
      </c>
      <c r="P99" s="64">
        <v>1.6</v>
      </c>
      <c r="Q99" s="64">
        <v>11.28</v>
      </c>
      <c r="R99" s="196"/>
      <c r="S99" s="196"/>
      <c r="T99" s="196"/>
      <c r="U99" s="196"/>
    </row>
    <row r="100" spans="1:33" s="12" customFormat="1" x14ac:dyDescent="0.25">
      <c r="A100" s="211" t="s">
        <v>2738</v>
      </c>
      <c r="B100" s="64">
        <v>84.06</v>
      </c>
      <c r="C100" s="64">
        <v>64.37</v>
      </c>
      <c r="D100" s="64">
        <v>99.67</v>
      </c>
      <c r="E100" s="64">
        <v>7.11</v>
      </c>
      <c r="F100" s="64">
        <v>3.91</v>
      </c>
      <c r="G100" s="64">
        <v>111.9</v>
      </c>
      <c r="H100" s="64">
        <v>18.84</v>
      </c>
      <c r="I100" s="64">
        <v>8.15</v>
      </c>
      <c r="J100" s="64">
        <v>1.85</v>
      </c>
      <c r="K100" s="64">
        <v>356.98</v>
      </c>
      <c r="L100" s="64">
        <v>14.24</v>
      </c>
      <c r="M100" s="64">
        <v>63.52</v>
      </c>
      <c r="N100" s="64">
        <v>34.6</v>
      </c>
      <c r="O100" s="64">
        <v>0</v>
      </c>
      <c r="P100" s="64">
        <v>1.61</v>
      </c>
      <c r="Q100" s="64">
        <v>11.3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2739</v>
      </c>
      <c r="B101" s="64">
        <v>86.34</v>
      </c>
      <c r="C101" s="64">
        <v>63.62</v>
      </c>
      <c r="D101" s="64">
        <v>101.1</v>
      </c>
      <c r="E101" s="64">
        <v>7.05</v>
      </c>
      <c r="F101" s="64">
        <v>3.76</v>
      </c>
      <c r="G101" s="64">
        <v>111.43</v>
      </c>
      <c r="H101" s="64">
        <v>14.52</v>
      </c>
      <c r="I101" s="64">
        <v>7.88</v>
      </c>
      <c r="J101" s="64">
        <v>2.4</v>
      </c>
      <c r="K101" s="64">
        <v>313.33</v>
      </c>
      <c r="L101" s="64">
        <v>13.72</v>
      </c>
      <c r="M101" s="64">
        <v>67.239999999999995</v>
      </c>
      <c r="N101" s="64">
        <v>34.700000000000003</v>
      </c>
      <c r="O101" s="64">
        <v>0</v>
      </c>
      <c r="P101" s="64">
        <v>1.61</v>
      </c>
      <c r="Q101" s="64">
        <v>11.29</v>
      </c>
      <c r="R101" s="196"/>
      <c r="S101" s="196"/>
      <c r="T101" s="196"/>
      <c r="U101" s="196"/>
    </row>
    <row r="102" spans="1:33" s="12" customFormat="1" x14ac:dyDescent="0.25">
      <c r="A102" s="211" t="s">
        <v>2740</v>
      </c>
      <c r="B102" s="64">
        <v>86.76</v>
      </c>
      <c r="C102" s="64">
        <v>61.82</v>
      </c>
      <c r="D102" s="64">
        <v>100.5</v>
      </c>
      <c r="E102" s="64">
        <v>6.84</v>
      </c>
      <c r="F102" s="64">
        <v>3.86</v>
      </c>
      <c r="G102" s="64">
        <v>111.43</v>
      </c>
      <c r="H102" s="64">
        <v>14.52</v>
      </c>
      <c r="I102" s="64">
        <v>7.81</v>
      </c>
      <c r="J102" s="64">
        <v>2.58</v>
      </c>
      <c r="K102" s="64">
        <v>288.33999999999997</v>
      </c>
      <c r="L102" s="64">
        <v>13.8</v>
      </c>
      <c r="M102" s="64">
        <v>61.64</v>
      </c>
      <c r="N102" s="64">
        <v>34.5</v>
      </c>
      <c r="O102" s="64">
        <v>0</v>
      </c>
      <c r="P102" s="64">
        <v>1.61</v>
      </c>
      <c r="Q102" s="64">
        <v>11.19</v>
      </c>
      <c r="R102" s="196"/>
      <c r="S102" s="196"/>
      <c r="T102" s="196"/>
      <c r="U102" s="196"/>
    </row>
    <row r="103" spans="1:33" s="12" customFormat="1" x14ac:dyDescent="0.25">
      <c r="A103" s="211" t="s">
        <v>2741</v>
      </c>
      <c r="B103" s="64">
        <v>85.74</v>
      </c>
      <c r="C103" s="64">
        <v>61.13</v>
      </c>
      <c r="D103" s="64">
        <v>99.32</v>
      </c>
      <c r="E103" s="64">
        <v>6.98</v>
      </c>
      <c r="F103" s="64">
        <v>3.76</v>
      </c>
      <c r="G103" s="64">
        <v>111.43</v>
      </c>
      <c r="H103" s="64">
        <v>14.52</v>
      </c>
      <c r="I103" s="64">
        <v>7.62</v>
      </c>
      <c r="J103" s="64">
        <v>1.97</v>
      </c>
      <c r="K103" s="64">
        <v>320.77</v>
      </c>
      <c r="L103" s="64">
        <v>13.46</v>
      </c>
      <c r="M103" s="64">
        <v>69.02</v>
      </c>
      <c r="N103" s="64">
        <v>34.6</v>
      </c>
      <c r="O103" s="64">
        <v>0</v>
      </c>
      <c r="P103" s="64">
        <v>1.59</v>
      </c>
      <c r="Q103" s="64">
        <v>11.19</v>
      </c>
      <c r="R103" s="196"/>
      <c r="S103" s="196"/>
      <c r="T103" s="196"/>
      <c r="U103" s="196"/>
    </row>
    <row r="104" spans="1:33" s="12" customFormat="1" x14ac:dyDescent="0.25">
      <c r="A104" s="211" t="s">
        <v>2742</v>
      </c>
      <c r="B104" s="64">
        <v>85.78</v>
      </c>
      <c r="C104" s="64">
        <v>60.37</v>
      </c>
      <c r="D104" s="64">
        <v>98.95</v>
      </c>
      <c r="E104" s="64">
        <v>6.69</v>
      </c>
      <c r="F104" s="64">
        <v>3.85</v>
      </c>
      <c r="G104" s="64">
        <v>112.49</v>
      </c>
      <c r="H104" s="64">
        <v>47.42</v>
      </c>
      <c r="I104" s="64">
        <v>7.61</v>
      </c>
      <c r="J104" s="64">
        <v>2.5299999999999998</v>
      </c>
      <c r="K104" s="64">
        <v>305.31</v>
      </c>
      <c r="L104" s="64">
        <v>13</v>
      </c>
      <c r="M104" s="64">
        <v>73.17</v>
      </c>
      <c r="N104" s="64">
        <v>34.4</v>
      </c>
      <c r="O104" s="64">
        <v>0</v>
      </c>
      <c r="P104" s="64">
        <v>1.58</v>
      </c>
      <c r="Q104" s="64">
        <v>11.21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3.74</v>
      </c>
      <c r="C106" s="67">
        <f>MIN(C9:C104)</f>
        <v>44.55</v>
      </c>
      <c r="D106" s="67">
        <f t="shared" ref="D106:Q106" si="0">MIN(D9:D104)</f>
        <v>27.98</v>
      </c>
      <c r="E106" s="67">
        <f t="shared" si="0"/>
        <v>4.5199999999999996</v>
      </c>
      <c r="F106" s="67">
        <f t="shared" si="0"/>
        <v>2.97</v>
      </c>
      <c r="G106" s="67">
        <f t="shared" si="0"/>
        <v>56.06</v>
      </c>
      <c r="H106" s="67">
        <f t="shared" si="0"/>
        <v>12.68</v>
      </c>
      <c r="I106" s="67">
        <f t="shared" si="0"/>
        <v>4.13</v>
      </c>
      <c r="J106" s="67">
        <f t="shared" si="0"/>
        <v>0.21</v>
      </c>
      <c r="K106" s="67">
        <f t="shared" si="0"/>
        <v>0.65</v>
      </c>
      <c r="L106" s="67">
        <f t="shared" si="0"/>
        <v>10.51</v>
      </c>
      <c r="M106" s="67">
        <f t="shared" si="0"/>
        <v>26.71</v>
      </c>
      <c r="N106" s="67">
        <f t="shared" si="0"/>
        <v>33.5</v>
      </c>
      <c r="O106" s="67">
        <f t="shared" si="0"/>
        <v>0</v>
      </c>
      <c r="P106" s="67">
        <f t="shared" si="0"/>
        <v>0.66</v>
      </c>
      <c r="Q106" s="67">
        <f t="shared" si="0"/>
        <v>10.210000000000001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109.71</v>
      </c>
      <c r="C107" s="66">
        <f t="shared" ref="C107:Q107" si="1">MAX(C9:C104)</f>
        <v>65.05</v>
      </c>
      <c r="D107" s="66">
        <f t="shared" si="1"/>
        <v>115.69</v>
      </c>
      <c r="E107" s="66">
        <f t="shared" si="1"/>
        <v>8.69</v>
      </c>
      <c r="F107" s="66">
        <f t="shared" si="1"/>
        <v>6.49</v>
      </c>
      <c r="G107" s="66">
        <f t="shared" si="1"/>
        <v>165.38</v>
      </c>
      <c r="H107" s="66">
        <f t="shared" si="1"/>
        <v>110.74</v>
      </c>
      <c r="I107" s="66">
        <f t="shared" si="1"/>
        <v>8.7100000000000009</v>
      </c>
      <c r="J107" s="66">
        <f t="shared" si="1"/>
        <v>3.94</v>
      </c>
      <c r="K107" s="66">
        <f t="shared" si="1"/>
        <v>357.51</v>
      </c>
      <c r="L107" s="66">
        <f t="shared" si="1"/>
        <v>25.42</v>
      </c>
      <c r="M107" s="66">
        <f t="shared" si="1"/>
        <v>93.3</v>
      </c>
      <c r="N107" s="66">
        <f t="shared" si="1"/>
        <v>625.6</v>
      </c>
      <c r="O107" s="66">
        <f t="shared" si="1"/>
        <v>0</v>
      </c>
      <c r="P107" s="66">
        <f t="shared" si="1"/>
        <v>1.77</v>
      </c>
      <c r="Q107" s="66">
        <f t="shared" si="1"/>
        <v>11.67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47.443749999999994</v>
      </c>
      <c r="C108" s="67">
        <f t="shared" ref="C108:Q108" si="2">AVERAGE(C9:C104)</f>
        <v>55.206875000000004</v>
      </c>
      <c r="D108" s="67">
        <f t="shared" si="2"/>
        <v>65.513749999999973</v>
      </c>
      <c r="E108" s="67">
        <f t="shared" si="2"/>
        <v>6.6266666666666687</v>
      </c>
      <c r="F108" s="67">
        <f t="shared" si="2"/>
        <v>4.3417708333333342</v>
      </c>
      <c r="G108" s="67">
        <f t="shared" si="2"/>
        <v>106.33833333333338</v>
      </c>
      <c r="H108" s="67">
        <f t="shared" si="2"/>
        <v>47.558125000000011</v>
      </c>
      <c r="I108" s="67">
        <f t="shared" si="2"/>
        <v>6.9108333333333301</v>
      </c>
      <c r="J108" s="67">
        <f t="shared" si="2"/>
        <v>1.8221875000000001</v>
      </c>
      <c r="K108" s="67">
        <f t="shared" si="2"/>
        <v>205.45895833333338</v>
      </c>
      <c r="L108" s="67">
        <f t="shared" si="2"/>
        <v>16.910312500000003</v>
      </c>
      <c r="M108" s="67">
        <f t="shared" si="2"/>
        <v>57.94989583333335</v>
      </c>
      <c r="N108" s="67">
        <f t="shared" si="2"/>
        <v>158.52083333333337</v>
      </c>
      <c r="O108" s="67">
        <f t="shared" si="2"/>
        <v>0</v>
      </c>
      <c r="P108" s="67">
        <f t="shared" si="2"/>
        <v>1.199270833333334</v>
      </c>
      <c r="Q108" s="67">
        <f t="shared" si="2"/>
        <v>10.841562500000002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31.196201970246637</v>
      </c>
      <c r="C109" s="67">
        <f t="shared" ref="C109:Q109" si="3">STDEV(C9:C104)</f>
        <v>5.7818220243321941</v>
      </c>
      <c r="D109" s="67">
        <f t="shared" si="3"/>
        <v>25.196956426479346</v>
      </c>
      <c r="E109" s="67">
        <f t="shared" si="3"/>
        <v>1.0167281545973137</v>
      </c>
      <c r="F109" s="67">
        <f t="shared" si="3"/>
        <v>0.52169964093419741</v>
      </c>
      <c r="G109" s="67">
        <f t="shared" si="3"/>
        <v>33.047935763759853</v>
      </c>
      <c r="H109" s="67">
        <f t="shared" si="3"/>
        <v>24.745141290766536</v>
      </c>
      <c r="I109" s="67">
        <f t="shared" si="3"/>
        <v>1.0920320668770609</v>
      </c>
      <c r="J109" s="67">
        <f t="shared" si="3"/>
        <v>0.6745949320654735</v>
      </c>
      <c r="K109" s="67">
        <f t="shared" si="3"/>
        <v>119.75200030834928</v>
      </c>
      <c r="L109" s="67">
        <f t="shared" si="3"/>
        <v>4.7404058127692741</v>
      </c>
      <c r="M109" s="67">
        <f t="shared" si="3"/>
        <v>22.39703159348484</v>
      </c>
      <c r="N109" s="67">
        <f t="shared" si="3"/>
        <v>195.06594831744073</v>
      </c>
      <c r="O109" s="67">
        <f t="shared" si="3"/>
        <v>0</v>
      </c>
      <c r="P109" s="67">
        <f t="shared" si="3"/>
        <v>0.31235689705903535</v>
      </c>
      <c r="Q109" s="67">
        <f t="shared" si="3"/>
        <v>0.40009295794852462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70" sqref="A7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2743</v>
      </c>
      <c r="B9" s="64">
        <v>86.37</v>
      </c>
      <c r="C9" s="64">
        <v>57.59</v>
      </c>
      <c r="D9" s="64">
        <v>97.97</v>
      </c>
      <c r="E9" s="64">
        <v>6.89</v>
      </c>
      <c r="F9" s="64">
        <v>4.05</v>
      </c>
      <c r="G9" s="64">
        <v>113.29</v>
      </c>
      <c r="H9" s="64">
        <v>57.95</v>
      </c>
      <c r="I9" s="64">
        <v>7.79</v>
      </c>
      <c r="J9" s="64">
        <v>2.61</v>
      </c>
      <c r="K9" s="64">
        <v>303.94</v>
      </c>
      <c r="L9" s="64">
        <v>12.69</v>
      </c>
      <c r="M9" s="64">
        <v>78.650000000000006</v>
      </c>
      <c r="N9" s="64">
        <v>34.5</v>
      </c>
      <c r="O9" s="64">
        <v>0</v>
      </c>
      <c r="P9" s="64">
        <v>1.58</v>
      </c>
      <c r="Q9" s="64">
        <v>11.23</v>
      </c>
      <c r="R9" s="196"/>
      <c r="S9" s="196"/>
      <c r="T9" s="196"/>
      <c r="U9" s="196"/>
    </row>
    <row r="10" spans="1:21" s="12" customFormat="1" x14ac:dyDescent="0.25">
      <c r="A10" s="211" t="s">
        <v>2744</v>
      </c>
      <c r="B10" s="64">
        <v>86.25</v>
      </c>
      <c r="C10" s="64">
        <v>55.99</v>
      </c>
      <c r="D10" s="64">
        <v>97.04</v>
      </c>
      <c r="E10" s="64">
        <v>7.48</v>
      </c>
      <c r="F10" s="64">
        <v>4.07</v>
      </c>
      <c r="G10" s="64">
        <v>113.29</v>
      </c>
      <c r="H10" s="64">
        <v>57.95</v>
      </c>
      <c r="I10" s="64">
        <v>7.93</v>
      </c>
      <c r="J10" s="64">
        <v>2.52</v>
      </c>
      <c r="K10" s="64">
        <v>320.55</v>
      </c>
      <c r="L10" s="64">
        <v>12.42</v>
      </c>
      <c r="M10" s="64">
        <v>82.25</v>
      </c>
      <c r="N10" s="64">
        <v>34.4</v>
      </c>
      <c r="O10" s="64">
        <v>0</v>
      </c>
      <c r="P10" s="64">
        <v>1.58</v>
      </c>
      <c r="Q10" s="64">
        <v>11.25</v>
      </c>
      <c r="R10" s="196"/>
      <c r="S10" s="196"/>
      <c r="T10" s="196"/>
      <c r="U10" s="196"/>
    </row>
    <row r="11" spans="1:21" s="12" customFormat="1" x14ac:dyDescent="0.25">
      <c r="A11" s="211" t="s">
        <v>2745</v>
      </c>
      <c r="B11" s="64">
        <v>85.98</v>
      </c>
      <c r="C11" s="64">
        <v>54.87</v>
      </c>
      <c r="D11" s="64">
        <v>96.24</v>
      </c>
      <c r="E11" s="64">
        <v>7.55</v>
      </c>
      <c r="F11" s="64">
        <v>4.01</v>
      </c>
      <c r="G11" s="64">
        <v>124.82</v>
      </c>
      <c r="H11" s="64">
        <v>62.88</v>
      </c>
      <c r="I11" s="64">
        <v>7.97</v>
      </c>
      <c r="J11" s="64">
        <v>2.06</v>
      </c>
      <c r="K11" s="64">
        <v>330.38</v>
      </c>
      <c r="L11" s="64">
        <v>12.51</v>
      </c>
      <c r="M11" s="64">
        <v>81.08</v>
      </c>
      <c r="N11" s="64">
        <v>33.5</v>
      </c>
      <c r="O11" s="64">
        <v>0</v>
      </c>
      <c r="P11" s="64">
        <v>1.58</v>
      </c>
      <c r="Q11" s="64">
        <v>11.26</v>
      </c>
      <c r="R11" s="196"/>
      <c r="S11" s="196"/>
      <c r="T11" s="196"/>
      <c r="U11" s="196"/>
    </row>
    <row r="12" spans="1:21" s="12" customFormat="1" x14ac:dyDescent="0.25">
      <c r="A12" s="211" t="s">
        <v>2746</v>
      </c>
      <c r="B12" s="64">
        <v>84.95</v>
      </c>
      <c r="C12" s="64">
        <v>52.32</v>
      </c>
      <c r="D12" s="64">
        <v>94.08</v>
      </c>
      <c r="E12" s="64">
        <v>7.62</v>
      </c>
      <c r="F12" s="64">
        <v>4.12</v>
      </c>
      <c r="G12" s="64">
        <v>133.63</v>
      </c>
      <c r="H12" s="64">
        <v>64.56</v>
      </c>
      <c r="I12" s="64">
        <v>8.0399999999999991</v>
      </c>
      <c r="J12" s="64">
        <v>0.54</v>
      </c>
      <c r="K12" s="64">
        <v>64.959999999999994</v>
      </c>
      <c r="L12" s="64">
        <v>12.87</v>
      </c>
      <c r="M12" s="64">
        <v>76.010000000000005</v>
      </c>
      <c r="N12" s="64">
        <v>34.200000000000003</v>
      </c>
      <c r="O12" s="64">
        <v>0</v>
      </c>
      <c r="P12" s="64">
        <v>1.45</v>
      </c>
      <c r="Q12" s="64">
        <v>11.24</v>
      </c>
      <c r="R12" s="196"/>
      <c r="S12" s="196"/>
      <c r="T12" s="196"/>
      <c r="U12" s="196"/>
    </row>
    <row r="13" spans="1:21" s="12" customFormat="1" x14ac:dyDescent="0.25">
      <c r="A13" s="211" t="s">
        <v>2747</v>
      </c>
      <c r="B13" s="64">
        <v>82.89</v>
      </c>
      <c r="C13" s="64">
        <v>51.99</v>
      </c>
      <c r="D13" s="64">
        <v>92.26</v>
      </c>
      <c r="E13" s="64">
        <v>8.11</v>
      </c>
      <c r="F13" s="64">
        <v>4.5</v>
      </c>
      <c r="G13" s="64">
        <v>133.63</v>
      </c>
      <c r="H13" s="64">
        <v>64.56</v>
      </c>
      <c r="I13" s="64">
        <v>8.07</v>
      </c>
      <c r="J13" s="64">
        <v>1.43</v>
      </c>
      <c r="K13" s="64">
        <v>139.91999999999999</v>
      </c>
      <c r="L13" s="64">
        <v>12.69</v>
      </c>
      <c r="M13" s="64">
        <v>76.97</v>
      </c>
      <c r="N13" s="64">
        <v>34.4</v>
      </c>
      <c r="O13" s="64">
        <v>0</v>
      </c>
      <c r="P13" s="64">
        <v>1.55</v>
      </c>
      <c r="Q13" s="64">
        <v>11.18</v>
      </c>
      <c r="R13" s="196"/>
      <c r="S13" s="196"/>
      <c r="T13" s="196"/>
      <c r="U13" s="196"/>
    </row>
    <row r="14" spans="1:21" s="12" customFormat="1" x14ac:dyDescent="0.25">
      <c r="A14" s="211" t="s">
        <v>2748</v>
      </c>
      <c r="B14" s="64">
        <v>80.2</v>
      </c>
      <c r="C14" s="64">
        <v>52.89</v>
      </c>
      <c r="D14" s="64">
        <v>90.57</v>
      </c>
      <c r="E14" s="64">
        <v>7.67</v>
      </c>
      <c r="F14" s="64">
        <v>4.4400000000000004</v>
      </c>
      <c r="G14" s="64">
        <v>133.63</v>
      </c>
      <c r="H14" s="64">
        <v>64.56</v>
      </c>
      <c r="I14" s="64">
        <v>8.0399999999999991</v>
      </c>
      <c r="J14" s="64">
        <v>0.39</v>
      </c>
      <c r="K14" s="64">
        <v>163.53</v>
      </c>
      <c r="L14" s="64">
        <v>12.59</v>
      </c>
      <c r="M14" s="64">
        <v>73.77</v>
      </c>
      <c r="N14" s="64">
        <v>34.299999999999997</v>
      </c>
      <c r="O14" s="64">
        <v>0</v>
      </c>
      <c r="P14" s="64">
        <v>1.55</v>
      </c>
      <c r="Q14" s="64">
        <v>11.16</v>
      </c>
      <c r="R14" s="196"/>
      <c r="S14" s="196"/>
      <c r="T14" s="196"/>
      <c r="U14" s="196"/>
    </row>
    <row r="15" spans="1:21" s="12" customFormat="1" x14ac:dyDescent="0.25">
      <c r="A15" s="211" t="s">
        <v>2749</v>
      </c>
      <c r="B15" s="64">
        <v>77.03</v>
      </c>
      <c r="C15" s="64">
        <v>53.12</v>
      </c>
      <c r="D15" s="64">
        <v>88.15</v>
      </c>
      <c r="E15" s="64">
        <v>7.38</v>
      </c>
      <c r="F15" s="64">
        <v>4.3499999999999996</v>
      </c>
      <c r="G15" s="64">
        <v>139.74</v>
      </c>
      <c r="H15" s="64">
        <v>70.23</v>
      </c>
      <c r="I15" s="64">
        <v>8.02</v>
      </c>
      <c r="J15" s="64">
        <v>2.42</v>
      </c>
      <c r="K15" s="64">
        <v>357.6</v>
      </c>
      <c r="L15" s="64">
        <v>12.5</v>
      </c>
      <c r="M15" s="64">
        <v>77.03</v>
      </c>
      <c r="N15" s="64">
        <v>34.5</v>
      </c>
      <c r="O15" s="64">
        <v>0</v>
      </c>
      <c r="P15" s="64">
        <v>1.53</v>
      </c>
      <c r="Q15" s="64">
        <v>11.17</v>
      </c>
      <c r="R15" s="196"/>
      <c r="S15" s="196"/>
      <c r="T15" s="196"/>
      <c r="U15" s="196"/>
    </row>
    <row r="16" spans="1:21" s="12" customFormat="1" x14ac:dyDescent="0.25">
      <c r="A16" s="211" t="s">
        <v>2750</v>
      </c>
      <c r="B16" s="64">
        <v>74.58</v>
      </c>
      <c r="C16" s="64">
        <v>52.96</v>
      </c>
      <c r="D16" s="64">
        <v>86.1</v>
      </c>
      <c r="E16" s="64">
        <v>7.68</v>
      </c>
      <c r="F16" s="64">
        <v>4.67</v>
      </c>
      <c r="G16" s="64">
        <v>144.41</v>
      </c>
      <c r="H16" s="64">
        <v>73.8</v>
      </c>
      <c r="I16" s="64">
        <v>8</v>
      </c>
      <c r="J16" s="64">
        <v>2.39</v>
      </c>
      <c r="K16" s="64">
        <v>325.64</v>
      </c>
      <c r="L16" s="64">
        <v>12.3</v>
      </c>
      <c r="M16" s="64">
        <v>74.23</v>
      </c>
      <c r="N16" s="64">
        <v>34.200000000000003</v>
      </c>
      <c r="O16" s="64">
        <v>0</v>
      </c>
      <c r="P16" s="64">
        <v>1.51</v>
      </c>
      <c r="Q16" s="64">
        <v>11.14</v>
      </c>
      <c r="R16" s="196"/>
      <c r="S16" s="196"/>
      <c r="T16" s="196"/>
      <c r="U16" s="196"/>
    </row>
    <row r="17" spans="1:21" s="12" customFormat="1" x14ac:dyDescent="0.25">
      <c r="A17" s="211" t="s">
        <v>2751</v>
      </c>
      <c r="B17" s="64">
        <v>72.319999999999993</v>
      </c>
      <c r="C17" s="64">
        <v>52.76</v>
      </c>
      <c r="D17" s="64">
        <v>84.18</v>
      </c>
      <c r="E17" s="64">
        <v>7.91</v>
      </c>
      <c r="F17" s="64">
        <v>4.68</v>
      </c>
      <c r="G17" s="64">
        <v>144.41</v>
      </c>
      <c r="H17" s="64">
        <v>73.8</v>
      </c>
      <c r="I17" s="64">
        <v>7.97</v>
      </c>
      <c r="J17" s="64">
        <v>2.21</v>
      </c>
      <c r="K17" s="64">
        <v>210.94</v>
      </c>
      <c r="L17" s="64">
        <v>12.67</v>
      </c>
      <c r="M17" s="64">
        <v>71.55</v>
      </c>
      <c r="N17" s="64">
        <v>33.9</v>
      </c>
      <c r="O17" s="64">
        <v>0</v>
      </c>
      <c r="P17" s="64">
        <v>1.49</v>
      </c>
      <c r="Q17" s="64">
        <v>11.09</v>
      </c>
      <c r="R17" s="196"/>
      <c r="S17" s="196"/>
      <c r="T17" s="196"/>
      <c r="U17" s="196"/>
    </row>
    <row r="18" spans="1:21" s="12" customFormat="1" x14ac:dyDescent="0.25">
      <c r="A18" s="211" t="s">
        <v>2752</v>
      </c>
      <c r="B18" s="64">
        <v>69.95</v>
      </c>
      <c r="C18" s="64">
        <v>52.03</v>
      </c>
      <c r="D18" s="64">
        <v>81.900000000000006</v>
      </c>
      <c r="E18" s="64">
        <v>7.78</v>
      </c>
      <c r="F18" s="64">
        <v>4.55</v>
      </c>
      <c r="G18" s="64">
        <v>144.41</v>
      </c>
      <c r="H18" s="64">
        <v>73.8</v>
      </c>
      <c r="I18" s="64">
        <v>7.9</v>
      </c>
      <c r="J18" s="64">
        <v>0.94</v>
      </c>
      <c r="K18" s="64">
        <v>50.2</v>
      </c>
      <c r="L18" s="64">
        <v>12.84</v>
      </c>
      <c r="M18" s="64">
        <v>67.36</v>
      </c>
      <c r="N18" s="64">
        <v>34.200000000000003</v>
      </c>
      <c r="O18" s="64">
        <v>0</v>
      </c>
      <c r="P18" s="64">
        <v>1.49</v>
      </c>
      <c r="Q18" s="64">
        <v>11.06</v>
      </c>
      <c r="R18" s="196"/>
      <c r="S18" s="196"/>
      <c r="T18" s="196"/>
      <c r="U18" s="196"/>
    </row>
    <row r="19" spans="1:21" s="12" customFormat="1" x14ac:dyDescent="0.25">
      <c r="A19" s="211" t="s">
        <v>2753</v>
      </c>
      <c r="B19" s="64">
        <v>67.17</v>
      </c>
      <c r="C19" s="64">
        <v>51.55</v>
      </c>
      <c r="D19" s="64">
        <v>79.42</v>
      </c>
      <c r="E19" s="64">
        <v>7.24</v>
      </c>
      <c r="F19" s="64">
        <v>4.51</v>
      </c>
      <c r="G19" s="64">
        <v>170.61</v>
      </c>
      <c r="H19" s="64">
        <v>74.790000000000006</v>
      </c>
      <c r="I19" s="64">
        <v>7.82</v>
      </c>
      <c r="J19" s="64">
        <v>0.93</v>
      </c>
      <c r="K19" s="64">
        <v>158.4</v>
      </c>
      <c r="L19" s="64">
        <v>12.73</v>
      </c>
      <c r="M19" s="64">
        <v>68.52</v>
      </c>
      <c r="N19" s="64">
        <v>34.299999999999997</v>
      </c>
      <c r="O19" s="64">
        <v>0</v>
      </c>
      <c r="P19" s="64">
        <v>1.51</v>
      </c>
      <c r="Q19" s="64">
        <v>11.04</v>
      </c>
      <c r="R19" s="196"/>
      <c r="S19" s="196"/>
      <c r="T19" s="196"/>
      <c r="U19" s="196"/>
    </row>
    <row r="20" spans="1:21" s="12" customFormat="1" x14ac:dyDescent="0.25">
      <c r="A20" s="211" t="s">
        <v>2754</v>
      </c>
      <c r="B20" s="64">
        <v>64.53</v>
      </c>
      <c r="C20" s="64">
        <v>51.19</v>
      </c>
      <c r="D20" s="64">
        <v>77.12</v>
      </c>
      <c r="E20" s="64">
        <v>7.05</v>
      </c>
      <c r="F20" s="64">
        <v>4.6100000000000003</v>
      </c>
      <c r="G20" s="64">
        <v>190.64</v>
      </c>
      <c r="H20" s="64">
        <v>75.13</v>
      </c>
      <c r="I20" s="64">
        <v>7.74</v>
      </c>
      <c r="J20" s="64">
        <v>2.33</v>
      </c>
      <c r="K20" s="64">
        <v>323.56</v>
      </c>
      <c r="L20" s="64">
        <v>12.51</v>
      </c>
      <c r="M20" s="64">
        <v>71.61</v>
      </c>
      <c r="N20" s="64">
        <v>34.5</v>
      </c>
      <c r="O20" s="64">
        <v>0</v>
      </c>
      <c r="P20" s="64">
        <v>1.53</v>
      </c>
      <c r="Q20" s="64">
        <v>11.01</v>
      </c>
      <c r="R20" s="196"/>
      <c r="S20" s="196"/>
      <c r="T20" s="196"/>
      <c r="U20" s="196"/>
    </row>
    <row r="21" spans="1:21" s="12" customFormat="1" x14ac:dyDescent="0.25">
      <c r="A21" s="211" t="s">
        <v>2755</v>
      </c>
      <c r="B21" s="64">
        <v>61.78</v>
      </c>
      <c r="C21" s="64">
        <v>49.64</v>
      </c>
      <c r="D21" s="64">
        <v>74.11</v>
      </c>
      <c r="E21" s="64">
        <v>7.03</v>
      </c>
      <c r="F21" s="64">
        <v>4.33</v>
      </c>
      <c r="G21" s="64">
        <v>190.64</v>
      </c>
      <c r="H21" s="64">
        <v>75.13</v>
      </c>
      <c r="I21" s="64">
        <v>7.67</v>
      </c>
      <c r="J21" s="64">
        <v>1.58</v>
      </c>
      <c r="K21" s="64">
        <v>283.39</v>
      </c>
      <c r="L21" s="64">
        <v>12.14</v>
      </c>
      <c r="M21" s="64">
        <v>74.16</v>
      </c>
      <c r="N21" s="64">
        <v>34.6</v>
      </c>
      <c r="O21" s="64">
        <v>0</v>
      </c>
      <c r="P21" s="64">
        <v>1.53</v>
      </c>
      <c r="Q21" s="64">
        <v>10.96</v>
      </c>
      <c r="R21" s="196"/>
      <c r="S21" s="196"/>
      <c r="T21" s="196"/>
      <c r="U21" s="196"/>
    </row>
    <row r="22" spans="1:21" s="12" customFormat="1" x14ac:dyDescent="0.25">
      <c r="A22" s="211" t="s">
        <v>2756</v>
      </c>
      <c r="B22" s="64">
        <v>59.37</v>
      </c>
      <c r="C22" s="64">
        <v>48.52</v>
      </c>
      <c r="D22" s="64">
        <v>71.58</v>
      </c>
      <c r="E22" s="64">
        <v>7.05</v>
      </c>
      <c r="F22" s="64">
        <v>4.63</v>
      </c>
      <c r="G22" s="64">
        <v>190.64</v>
      </c>
      <c r="H22" s="64">
        <v>75.13</v>
      </c>
      <c r="I22" s="64">
        <v>7.6</v>
      </c>
      <c r="J22" s="64">
        <v>1.1499999999999999</v>
      </c>
      <c r="K22" s="64">
        <v>272.01</v>
      </c>
      <c r="L22" s="64">
        <v>11.72</v>
      </c>
      <c r="M22" s="64">
        <v>76.19</v>
      </c>
      <c r="N22" s="64">
        <v>34.700000000000003</v>
      </c>
      <c r="O22" s="64">
        <v>0</v>
      </c>
      <c r="P22" s="64">
        <v>1.53</v>
      </c>
      <c r="Q22" s="64">
        <v>10.92</v>
      </c>
      <c r="R22" s="196"/>
      <c r="S22" s="196"/>
      <c r="T22" s="196"/>
      <c r="U22" s="196"/>
    </row>
    <row r="23" spans="1:21" s="12" customFormat="1" x14ac:dyDescent="0.25">
      <c r="A23" s="211" t="s">
        <v>2757</v>
      </c>
      <c r="B23" s="64">
        <v>57.71</v>
      </c>
      <c r="C23" s="64">
        <v>48.33</v>
      </c>
      <c r="D23" s="64">
        <v>70.150000000000006</v>
      </c>
      <c r="E23" s="64">
        <v>7.14</v>
      </c>
      <c r="F23" s="64">
        <v>4.66</v>
      </c>
      <c r="G23" s="64">
        <v>193.03</v>
      </c>
      <c r="H23" s="64">
        <v>66.34</v>
      </c>
      <c r="I23" s="64">
        <v>7.54</v>
      </c>
      <c r="J23" s="64">
        <v>2.48</v>
      </c>
      <c r="K23" s="64">
        <v>324.68</v>
      </c>
      <c r="L23" s="64">
        <v>11.41</v>
      </c>
      <c r="M23" s="64">
        <v>79.34</v>
      </c>
      <c r="N23" s="64">
        <v>34.6</v>
      </c>
      <c r="O23" s="64">
        <v>0</v>
      </c>
      <c r="P23" s="64">
        <v>1.52</v>
      </c>
      <c r="Q23" s="64">
        <v>10.87</v>
      </c>
      <c r="R23" s="196"/>
      <c r="S23" s="196"/>
      <c r="T23" s="196"/>
      <c r="U23" s="196"/>
    </row>
    <row r="24" spans="1:21" s="12" customFormat="1" x14ac:dyDescent="0.25">
      <c r="A24" s="211" t="s">
        <v>2758</v>
      </c>
      <c r="B24" s="64">
        <v>56.53</v>
      </c>
      <c r="C24" s="64">
        <v>47.59</v>
      </c>
      <c r="D24" s="64">
        <v>68.83</v>
      </c>
      <c r="E24" s="64">
        <v>7.28</v>
      </c>
      <c r="F24" s="64">
        <v>4.55</v>
      </c>
      <c r="G24" s="64">
        <v>194.87</v>
      </c>
      <c r="H24" s="64">
        <v>63.35</v>
      </c>
      <c r="I24" s="64">
        <v>7.48</v>
      </c>
      <c r="J24" s="64">
        <v>2</v>
      </c>
      <c r="K24" s="64">
        <v>289.22000000000003</v>
      </c>
      <c r="L24" s="64">
        <v>11.32</v>
      </c>
      <c r="M24" s="64">
        <v>79.489999999999995</v>
      </c>
      <c r="N24" s="64">
        <v>34.299999999999997</v>
      </c>
      <c r="O24" s="64">
        <v>0</v>
      </c>
      <c r="P24" s="64">
        <v>1.51</v>
      </c>
      <c r="Q24" s="64">
        <v>10.78</v>
      </c>
      <c r="R24" s="196"/>
      <c r="S24" s="196"/>
      <c r="T24" s="196"/>
      <c r="U24" s="196"/>
    </row>
    <row r="25" spans="1:21" s="12" customFormat="1" x14ac:dyDescent="0.25">
      <c r="A25" s="211" t="s">
        <v>2759</v>
      </c>
      <c r="B25" s="64">
        <v>54.68</v>
      </c>
      <c r="C25" s="64">
        <v>47.36</v>
      </c>
      <c r="D25" s="64">
        <v>67.209999999999994</v>
      </c>
      <c r="E25" s="64">
        <v>6.88</v>
      </c>
      <c r="F25" s="64">
        <v>4.26</v>
      </c>
      <c r="G25" s="64">
        <v>194.87</v>
      </c>
      <c r="H25" s="64">
        <v>63.35</v>
      </c>
      <c r="I25" s="64">
        <v>7.43</v>
      </c>
      <c r="J25" s="64">
        <v>1.83</v>
      </c>
      <c r="K25" s="64">
        <v>256.08</v>
      </c>
      <c r="L25" s="64">
        <v>11.74</v>
      </c>
      <c r="M25" s="64">
        <v>76.040000000000006</v>
      </c>
      <c r="N25" s="64">
        <v>34.299999999999997</v>
      </c>
      <c r="O25" s="64">
        <v>0</v>
      </c>
      <c r="P25" s="64">
        <v>1.47</v>
      </c>
      <c r="Q25" s="64">
        <v>10.75</v>
      </c>
      <c r="R25" s="196"/>
      <c r="S25" s="196"/>
      <c r="T25" s="196"/>
      <c r="U25" s="196"/>
    </row>
    <row r="26" spans="1:21" s="12" customFormat="1" x14ac:dyDescent="0.25">
      <c r="A26" s="211" t="s">
        <v>2760</v>
      </c>
      <c r="B26" s="64">
        <v>53.31</v>
      </c>
      <c r="C26" s="64">
        <v>47.07</v>
      </c>
      <c r="D26" s="64">
        <v>65.97</v>
      </c>
      <c r="E26" s="64">
        <v>7.28</v>
      </c>
      <c r="F26" s="64">
        <v>4.22</v>
      </c>
      <c r="G26" s="64">
        <v>194.87</v>
      </c>
      <c r="H26" s="64">
        <v>63.35</v>
      </c>
      <c r="I26" s="64">
        <v>7.31</v>
      </c>
      <c r="J26" s="64">
        <v>2.33</v>
      </c>
      <c r="K26" s="64">
        <v>327.85</v>
      </c>
      <c r="L26" s="64">
        <v>11.4</v>
      </c>
      <c r="M26" s="64">
        <v>77.400000000000006</v>
      </c>
      <c r="N26" s="64">
        <v>34.5</v>
      </c>
      <c r="O26" s="64">
        <v>0</v>
      </c>
      <c r="P26" s="64">
        <v>1.44</v>
      </c>
      <c r="Q26" s="64">
        <v>10.82</v>
      </c>
      <c r="R26" s="196"/>
      <c r="S26" s="196"/>
      <c r="T26" s="196"/>
      <c r="U26" s="196"/>
    </row>
    <row r="27" spans="1:21" s="12" customFormat="1" x14ac:dyDescent="0.25">
      <c r="A27" s="211" t="s">
        <v>2761</v>
      </c>
      <c r="B27" s="64">
        <v>53.16</v>
      </c>
      <c r="C27" s="64">
        <v>46.77</v>
      </c>
      <c r="D27" s="64">
        <v>65.69</v>
      </c>
      <c r="E27" s="64">
        <v>7.09</v>
      </c>
      <c r="F27" s="64">
        <v>4.0199999999999996</v>
      </c>
      <c r="G27" s="64">
        <v>180.12</v>
      </c>
      <c r="H27" s="64">
        <v>86.1</v>
      </c>
      <c r="I27" s="64">
        <v>7.17</v>
      </c>
      <c r="J27" s="64">
        <v>1.98</v>
      </c>
      <c r="K27" s="64">
        <v>293.77</v>
      </c>
      <c r="L27" s="64">
        <v>10.99</v>
      </c>
      <c r="M27" s="64">
        <v>80.22</v>
      </c>
      <c r="N27" s="64">
        <v>34.4</v>
      </c>
      <c r="O27" s="64">
        <v>0</v>
      </c>
      <c r="P27" s="64">
        <v>1.41</v>
      </c>
      <c r="Q27" s="64">
        <v>10.78</v>
      </c>
      <c r="R27" s="196"/>
      <c r="S27" s="196"/>
      <c r="T27" s="196"/>
      <c r="U27" s="196"/>
    </row>
    <row r="28" spans="1:21" s="12" customFormat="1" x14ac:dyDescent="0.25">
      <c r="A28" s="211" t="s">
        <v>2762</v>
      </c>
      <c r="B28" s="64">
        <v>52.67</v>
      </c>
      <c r="C28" s="64">
        <v>46.15</v>
      </c>
      <c r="D28" s="64">
        <v>64.98</v>
      </c>
      <c r="E28" s="64">
        <v>6.83</v>
      </c>
      <c r="F28" s="64">
        <v>4.16</v>
      </c>
      <c r="G28" s="64">
        <v>168.32</v>
      </c>
      <c r="H28" s="64">
        <v>93.83</v>
      </c>
      <c r="I28" s="64">
        <v>7.02</v>
      </c>
      <c r="J28" s="64">
        <v>1.87</v>
      </c>
      <c r="K28" s="64">
        <v>229.65</v>
      </c>
      <c r="L28" s="64">
        <v>11.22</v>
      </c>
      <c r="M28" s="64">
        <v>78.84</v>
      </c>
      <c r="N28" s="64">
        <v>34.200000000000003</v>
      </c>
      <c r="O28" s="64">
        <v>0</v>
      </c>
      <c r="P28" s="64">
        <v>1.38</v>
      </c>
      <c r="Q28" s="64">
        <v>10.84</v>
      </c>
      <c r="R28" s="196"/>
      <c r="S28" s="196"/>
      <c r="T28" s="196"/>
      <c r="U28" s="196"/>
    </row>
    <row r="29" spans="1:21" s="12" customFormat="1" x14ac:dyDescent="0.25">
      <c r="A29" s="211" t="s">
        <v>2763</v>
      </c>
      <c r="B29" s="64">
        <v>52.76</v>
      </c>
      <c r="C29" s="64">
        <v>46.45</v>
      </c>
      <c r="D29" s="64">
        <v>65.2</v>
      </c>
      <c r="E29" s="64">
        <v>6.63</v>
      </c>
      <c r="F29" s="64">
        <v>4.28</v>
      </c>
      <c r="G29" s="64">
        <v>168.32</v>
      </c>
      <c r="H29" s="64">
        <v>93.83</v>
      </c>
      <c r="I29" s="64">
        <v>6.91</v>
      </c>
      <c r="J29" s="64">
        <v>1.73</v>
      </c>
      <c r="K29" s="64">
        <v>332.82</v>
      </c>
      <c r="L29" s="64">
        <v>11.03</v>
      </c>
      <c r="M29" s="64">
        <v>78.849999999999994</v>
      </c>
      <c r="N29" s="64">
        <v>34.5</v>
      </c>
      <c r="O29" s="64">
        <v>0</v>
      </c>
      <c r="P29" s="64">
        <v>1.36</v>
      </c>
      <c r="Q29" s="64">
        <v>10.91</v>
      </c>
      <c r="R29" s="196"/>
      <c r="S29" s="196"/>
      <c r="T29" s="196"/>
      <c r="U29" s="196"/>
    </row>
    <row r="30" spans="1:21" s="12" customFormat="1" x14ac:dyDescent="0.25">
      <c r="A30" s="211" t="s">
        <v>2764</v>
      </c>
      <c r="B30" s="64">
        <v>53.24</v>
      </c>
      <c r="C30" s="64">
        <v>47.33</v>
      </c>
      <c r="D30" s="64">
        <v>66.05</v>
      </c>
      <c r="E30" s="64">
        <v>6.7</v>
      </c>
      <c r="F30" s="64">
        <v>4.37</v>
      </c>
      <c r="G30" s="64">
        <v>168.32</v>
      </c>
      <c r="H30" s="64">
        <v>93.83</v>
      </c>
      <c r="I30" s="64">
        <v>6.74</v>
      </c>
      <c r="J30" s="64">
        <v>1.61</v>
      </c>
      <c r="K30" s="64">
        <v>321.07</v>
      </c>
      <c r="L30" s="64">
        <v>10.71</v>
      </c>
      <c r="M30" s="64">
        <v>80.89</v>
      </c>
      <c r="N30" s="64">
        <v>34.5</v>
      </c>
      <c r="O30" s="64">
        <v>0</v>
      </c>
      <c r="P30" s="64">
        <v>1.33</v>
      </c>
      <c r="Q30" s="64">
        <v>10.91</v>
      </c>
      <c r="R30" s="196"/>
      <c r="S30" s="196"/>
      <c r="T30" s="196"/>
      <c r="U30" s="196"/>
    </row>
    <row r="31" spans="1:21" s="12" customFormat="1" x14ac:dyDescent="0.25">
      <c r="A31" s="211" t="s">
        <v>2765</v>
      </c>
      <c r="B31" s="64">
        <v>53.22</v>
      </c>
      <c r="C31" s="64">
        <v>47.98</v>
      </c>
      <c r="D31" s="64">
        <v>66.37</v>
      </c>
      <c r="E31" s="64">
        <v>6.2</v>
      </c>
      <c r="F31" s="64">
        <v>4.41</v>
      </c>
      <c r="G31" s="64">
        <v>155.58000000000001</v>
      </c>
      <c r="H31" s="64">
        <v>81.349999999999994</v>
      </c>
      <c r="I31" s="64">
        <v>6.56</v>
      </c>
      <c r="J31" s="64">
        <v>2.5499999999999998</v>
      </c>
      <c r="K31" s="64">
        <v>270.72000000000003</v>
      </c>
      <c r="L31" s="64">
        <v>10.66</v>
      </c>
      <c r="M31" s="64">
        <v>81.260000000000005</v>
      </c>
      <c r="N31" s="64">
        <v>34.4</v>
      </c>
      <c r="O31" s="64">
        <v>0</v>
      </c>
      <c r="P31" s="64">
        <v>1.3</v>
      </c>
      <c r="Q31" s="64">
        <v>10.88</v>
      </c>
      <c r="R31" s="196"/>
      <c r="S31" s="196"/>
      <c r="T31" s="196"/>
      <c r="U31" s="196"/>
    </row>
    <row r="32" spans="1:21" s="12" customFormat="1" x14ac:dyDescent="0.25">
      <c r="A32" s="211" t="s">
        <v>2766</v>
      </c>
      <c r="B32" s="64">
        <v>53.26</v>
      </c>
      <c r="C32" s="64">
        <v>48.41</v>
      </c>
      <c r="D32" s="64">
        <v>66.62</v>
      </c>
      <c r="E32" s="64">
        <v>6.31</v>
      </c>
      <c r="F32" s="64">
        <v>4.3600000000000003</v>
      </c>
      <c r="G32" s="64">
        <v>145.84</v>
      </c>
      <c r="H32" s="64">
        <v>73.19</v>
      </c>
      <c r="I32" s="64">
        <v>6.41</v>
      </c>
      <c r="J32" s="64">
        <v>0.52</v>
      </c>
      <c r="K32" s="64">
        <v>277.75</v>
      </c>
      <c r="L32" s="64">
        <v>10.6</v>
      </c>
      <c r="M32" s="64">
        <v>81.760000000000005</v>
      </c>
      <c r="N32" s="64">
        <v>34.5</v>
      </c>
      <c r="O32" s="64">
        <v>0</v>
      </c>
      <c r="P32" s="64">
        <v>1.28</v>
      </c>
      <c r="Q32" s="64">
        <v>10.84</v>
      </c>
      <c r="R32" s="196"/>
      <c r="S32" s="196"/>
      <c r="T32" s="196"/>
      <c r="U32" s="196"/>
    </row>
    <row r="33" spans="1:21" s="12" customFormat="1" x14ac:dyDescent="0.25">
      <c r="A33" s="211" t="s">
        <v>2767</v>
      </c>
      <c r="B33" s="64">
        <v>54.65</v>
      </c>
      <c r="C33" s="64">
        <v>48.78</v>
      </c>
      <c r="D33" s="64">
        <v>67.94</v>
      </c>
      <c r="E33" s="64">
        <v>6.05</v>
      </c>
      <c r="F33" s="64">
        <v>4.2300000000000004</v>
      </c>
      <c r="G33" s="64">
        <v>145.84</v>
      </c>
      <c r="H33" s="64">
        <v>73.19</v>
      </c>
      <c r="I33" s="64">
        <v>6.33</v>
      </c>
      <c r="J33" s="64">
        <v>1.29</v>
      </c>
      <c r="K33" s="64">
        <v>304.77999999999997</v>
      </c>
      <c r="L33" s="64">
        <v>10.9</v>
      </c>
      <c r="M33" s="64">
        <v>83.91</v>
      </c>
      <c r="N33" s="64">
        <v>36.200000000000003</v>
      </c>
      <c r="O33" s="64">
        <v>0</v>
      </c>
      <c r="P33" s="64">
        <v>1.28</v>
      </c>
      <c r="Q33" s="64">
        <v>10.9</v>
      </c>
      <c r="R33" s="196"/>
      <c r="S33" s="196"/>
      <c r="T33" s="196"/>
      <c r="U33" s="196"/>
    </row>
    <row r="34" spans="1:21" s="12" customFormat="1" x14ac:dyDescent="0.25">
      <c r="A34" s="211" t="s">
        <v>2768</v>
      </c>
      <c r="B34" s="64">
        <v>60.24</v>
      </c>
      <c r="C34" s="64">
        <v>49.4</v>
      </c>
      <c r="D34" s="64">
        <v>72.739999999999995</v>
      </c>
      <c r="E34" s="64">
        <v>6.59</v>
      </c>
      <c r="F34" s="64">
        <v>4.2699999999999996</v>
      </c>
      <c r="G34" s="64">
        <v>145.84</v>
      </c>
      <c r="H34" s="64">
        <v>73.19</v>
      </c>
      <c r="I34" s="64">
        <v>6.26</v>
      </c>
      <c r="J34" s="64">
        <v>0.8</v>
      </c>
      <c r="K34" s="64">
        <v>9.0500000000000007</v>
      </c>
      <c r="L34" s="64">
        <v>10.72</v>
      </c>
      <c r="M34" s="64">
        <v>86.97</v>
      </c>
      <c r="N34" s="64">
        <v>43.2</v>
      </c>
      <c r="O34" s="64">
        <v>0</v>
      </c>
      <c r="P34" s="64">
        <v>1.29</v>
      </c>
      <c r="Q34" s="64">
        <v>11.01</v>
      </c>
      <c r="R34" s="196"/>
      <c r="S34" s="196"/>
      <c r="T34" s="196"/>
      <c r="U34" s="196"/>
    </row>
    <row r="35" spans="1:21" s="12" customFormat="1" x14ac:dyDescent="0.25">
      <c r="A35" s="211" t="s">
        <v>2769</v>
      </c>
      <c r="B35" s="64">
        <v>70.88</v>
      </c>
      <c r="C35" s="64">
        <v>50</v>
      </c>
      <c r="D35" s="64">
        <v>81.59</v>
      </c>
      <c r="E35" s="64">
        <v>6.78</v>
      </c>
      <c r="F35" s="64">
        <v>3.88</v>
      </c>
      <c r="G35" s="64">
        <v>161.1</v>
      </c>
      <c r="H35" s="64">
        <v>75.36</v>
      </c>
      <c r="I35" s="64">
        <v>6.24</v>
      </c>
      <c r="J35" s="64">
        <v>2.63</v>
      </c>
      <c r="K35" s="64">
        <v>328.3</v>
      </c>
      <c r="L35" s="64">
        <v>10.99</v>
      </c>
      <c r="M35" s="64">
        <v>85.66</v>
      </c>
      <c r="N35" s="64">
        <v>57.4</v>
      </c>
      <c r="O35" s="64">
        <v>0</v>
      </c>
      <c r="P35" s="64">
        <v>1.34</v>
      </c>
      <c r="Q35" s="64">
        <v>11.15</v>
      </c>
      <c r="R35" s="196"/>
      <c r="S35" s="196"/>
      <c r="T35" s="196"/>
      <c r="U35" s="196"/>
    </row>
    <row r="36" spans="1:21" s="12" customFormat="1" x14ac:dyDescent="0.25">
      <c r="A36" s="211" t="s">
        <v>2770</v>
      </c>
      <c r="B36" s="64">
        <v>81.39</v>
      </c>
      <c r="C36" s="64">
        <v>50.91</v>
      </c>
      <c r="D36" s="64">
        <v>90.49</v>
      </c>
      <c r="E36" s="64">
        <v>7.95</v>
      </c>
      <c r="F36" s="64">
        <v>4.5599999999999996</v>
      </c>
      <c r="G36" s="64">
        <v>172.78</v>
      </c>
      <c r="H36" s="64">
        <v>76.09</v>
      </c>
      <c r="I36" s="64">
        <v>6.27</v>
      </c>
      <c r="J36" s="64">
        <v>2.41</v>
      </c>
      <c r="K36" s="64">
        <v>355.89</v>
      </c>
      <c r="L36" s="64">
        <v>11.7</v>
      </c>
      <c r="M36" s="64">
        <v>81.93</v>
      </c>
      <c r="N36" s="64">
        <v>73.5</v>
      </c>
      <c r="O36" s="64">
        <v>0</v>
      </c>
      <c r="P36" s="64">
        <v>1.36</v>
      </c>
      <c r="Q36" s="64">
        <v>11.24</v>
      </c>
      <c r="R36" s="196"/>
      <c r="S36" s="196"/>
      <c r="T36" s="196"/>
      <c r="U36" s="196"/>
    </row>
    <row r="37" spans="1:21" s="12" customFormat="1" x14ac:dyDescent="0.25">
      <c r="A37" s="211" t="s">
        <v>2771</v>
      </c>
      <c r="B37" s="64">
        <v>86.8</v>
      </c>
      <c r="C37" s="64">
        <v>51.59</v>
      </c>
      <c r="D37" s="64">
        <v>95.19</v>
      </c>
      <c r="E37" s="64">
        <v>8.1300000000000008</v>
      </c>
      <c r="F37" s="64">
        <v>4.5</v>
      </c>
      <c r="G37" s="64">
        <v>172.78</v>
      </c>
      <c r="H37" s="64">
        <v>76.09</v>
      </c>
      <c r="I37" s="64">
        <v>6.38</v>
      </c>
      <c r="J37" s="64">
        <v>2.92</v>
      </c>
      <c r="K37" s="64">
        <v>346.37</v>
      </c>
      <c r="L37" s="64">
        <v>12.81</v>
      </c>
      <c r="M37" s="64">
        <v>76.59</v>
      </c>
      <c r="N37" s="64">
        <v>100</v>
      </c>
      <c r="O37" s="64">
        <v>0</v>
      </c>
      <c r="P37" s="64">
        <v>1.45</v>
      </c>
      <c r="Q37" s="64">
        <v>11.3</v>
      </c>
      <c r="R37" s="196"/>
      <c r="S37" s="196"/>
      <c r="T37" s="196"/>
      <c r="U37" s="196"/>
    </row>
    <row r="38" spans="1:21" s="12" customFormat="1" x14ac:dyDescent="0.25">
      <c r="A38" s="211" t="s">
        <v>2772</v>
      </c>
      <c r="B38" s="64">
        <v>88.22</v>
      </c>
      <c r="C38" s="64">
        <v>50.54</v>
      </c>
      <c r="D38" s="64">
        <v>95.78</v>
      </c>
      <c r="E38" s="64">
        <v>7.96</v>
      </c>
      <c r="F38" s="64">
        <v>4.6100000000000003</v>
      </c>
      <c r="G38" s="64">
        <v>172.78</v>
      </c>
      <c r="H38" s="64">
        <v>76.09</v>
      </c>
      <c r="I38" s="64">
        <v>6.53</v>
      </c>
      <c r="J38" s="64">
        <v>3.15</v>
      </c>
      <c r="K38" s="64">
        <v>334.74</v>
      </c>
      <c r="L38" s="64">
        <v>14.33</v>
      </c>
      <c r="M38" s="64">
        <v>67.47</v>
      </c>
      <c r="N38" s="64">
        <v>162.69999999999999</v>
      </c>
      <c r="O38" s="64">
        <v>0</v>
      </c>
      <c r="P38" s="64">
        <v>1.48</v>
      </c>
      <c r="Q38" s="64">
        <v>11.21</v>
      </c>
      <c r="R38" s="196"/>
      <c r="S38" s="196"/>
      <c r="T38" s="196"/>
      <c r="U38" s="196"/>
    </row>
    <row r="39" spans="1:21" s="12" customFormat="1" x14ac:dyDescent="0.25">
      <c r="A39" s="211" t="s">
        <v>2773</v>
      </c>
      <c r="B39" s="64">
        <v>86.65</v>
      </c>
      <c r="C39" s="64">
        <v>51.4</v>
      </c>
      <c r="D39" s="64">
        <v>94.97</v>
      </c>
      <c r="E39" s="64">
        <v>8.35</v>
      </c>
      <c r="F39" s="64">
        <v>4.68</v>
      </c>
      <c r="G39" s="64">
        <v>185.34</v>
      </c>
      <c r="H39" s="64">
        <v>72.319999999999993</v>
      </c>
      <c r="I39" s="64">
        <v>6.69</v>
      </c>
      <c r="J39" s="64">
        <v>3.49</v>
      </c>
      <c r="K39" s="64">
        <v>343.99</v>
      </c>
      <c r="L39" s="64">
        <v>16.600000000000001</v>
      </c>
      <c r="M39" s="64">
        <v>55.36</v>
      </c>
      <c r="N39" s="64">
        <v>215.7</v>
      </c>
      <c r="O39" s="64">
        <v>0</v>
      </c>
      <c r="P39" s="64">
        <v>1.48</v>
      </c>
      <c r="Q39" s="64">
        <v>11.2</v>
      </c>
      <c r="R39" s="196"/>
      <c r="S39" s="196"/>
      <c r="T39" s="196"/>
      <c r="U39" s="196"/>
    </row>
    <row r="40" spans="1:21" s="12" customFormat="1" x14ac:dyDescent="0.25">
      <c r="A40" s="211" t="s">
        <v>2774</v>
      </c>
      <c r="B40" s="64">
        <v>83.41</v>
      </c>
      <c r="C40" s="64">
        <v>52.72</v>
      </c>
      <c r="D40" s="64">
        <v>93.05</v>
      </c>
      <c r="E40" s="64">
        <v>8.81</v>
      </c>
      <c r="F40" s="64">
        <v>4.5999999999999996</v>
      </c>
      <c r="G40" s="64">
        <v>194.95</v>
      </c>
      <c r="H40" s="64">
        <v>71.040000000000006</v>
      </c>
      <c r="I40" s="64">
        <v>6.76</v>
      </c>
      <c r="J40" s="64">
        <v>2.79</v>
      </c>
      <c r="K40" s="64">
        <v>342.03</v>
      </c>
      <c r="L40" s="64">
        <v>18.3</v>
      </c>
      <c r="M40" s="64">
        <v>49.28</v>
      </c>
      <c r="N40" s="64">
        <v>257.8</v>
      </c>
      <c r="O40" s="64">
        <v>0</v>
      </c>
      <c r="P40" s="64">
        <v>1.47</v>
      </c>
      <c r="Q40" s="64">
        <v>11.23</v>
      </c>
      <c r="R40" s="196"/>
      <c r="S40" s="196"/>
      <c r="T40" s="196"/>
      <c r="U40" s="196"/>
    </row>
    <row r="41" spans="1:21" s="12" customFormat="1" x14ac:dyDescent="0.25">
      <c r="A41" s="211" t="s">
        <v>2775</v>
      </c>
      <c r="B41" s="64">
        <v>79.27</v>
      </c>
      <c r="C41" s="64">
        <v>53.81</v>
      </c>
      <c r="D41" s="64">
        <v>90.31</v>
      </c>
      <c r="E41" s="64">
        <v>8.3800000000000008</v>
      </c>
      <c r="F41" s="64">
        <v>4.3899999999999997</v>
      </c>
      <c r="G41" s="64">
        <v>194.95</v>
      </c>
      <c r="H41" s="64">
        <v>71.040000000000006</v>
      </c>
      <c r="I41" s="64">
        <v>6.74</v>
      </c>
      <c r="J41" s="64">
        <v>2.88</v>
      </c>
      <c r="K41" s="64">
        <v>340.24</v>
      </c>
      <c r="L41" s="64">
        <v>19.260000000000002</v>
      </c>
      <c r="M41" s="64">
        <v>46.02</v>
      </c>
      <c r="N41" s="64">
        <v>300.7</v>
      </c>
      <c r="O41" s="64">
        <v>0</v>
      </c>
      <c r="P41" s="64">
        <v>1.41</v>
      </c>
      <c r="Q41" s="64">
        <v>11.19</v>
      </c>
      <c r="R41" s="196"/>
      <c r="S41" s="196"/>
      <c r="T41" s="196"/>
      <c r="U41" s="196"/>
    </row>
    <row r="42" spans="1:21" s="12" customFormat="1" x14ac:dyDescent="0.25">
      <c r="A42" s="211" t="s">
        <v>2776</v>
      </c>
      <c r="B42" s="64">
        <v>74.88</v>
      </c>
      <c r="C42" s="64">
        <v>54.7</v>
      </c>
      <c r="D42" s="64">
        <v>87.25</v>
      </c>
      <c r="E42" s="64">
        <v>8.27</v>
      </c>
      <c r="F42" s="64">
        <v>4.1399999999999997</v>
      </c>
      <c r="G42" s="64">
        <v>194.95</v>
      </c>
      <c r="H42" s="64">
        <v>71.040000000000006</v>
      </c>
      <c r="I42" s="64">
        <v>6.66</v>
      </c>
      <c r="J42" s="64">
        <v>0.56999999999999995</v>
      </c>
      <c r="K42" s="64">
        <v>346.16</v>
      </c>
      <c r="L42" s="64">
        <v>19.579999999999998</v>
      </c>
      <c r="M42" s="64">
        <v>46.25</v>
      </c>
      <c r="N42" s="64">
        <v>343.9</v>
      </c>
      <c r="O42" s="64">
        <v>0</v>
      </c>
      <c r="P42" s="64">
        <v>1.39</v>
      </c>
      <c r="Q42" s="64">
        <v>11.18</v>
      </c>
      <c r="R42" s="196"/>
      <c r="S42" s="196"/>
      <c r="T42" s="196"/>
      <c r="U42" s="196"/>
    </row>
    <row r="43" spans="1:21" s="12" customFormat="1" x14ac:dyDescent="0.25">
      <c r="A43" s="211" t="s">
        <v>2777</v>
      </c>
      <c r="B43" s="64">
        <v>71.12</v>
      </c>
      <c r="C43" s="64">
        <v>54.96</v>
      </c>
      <c r="D43" s="64">
        <v>84.37</v>
      </c>
      <c r="E43" s="64">
        <v>8.06</v>
      </c>
      <c r="F43" s="64">
        <v>4.3099999999999996</v>
      </c>
      <c r="G43" s="64">
        <v>173.61</v>
      </c>
      <c r="H43" s="64">
        <v>77.55</v>
      </c>
      <c r="I43" s="64">
        <v>6.55</v>
      </c>
      <c r="J43" s="64">
        <v>1.67</v>
      </c>
      <c r="K43" s="64">
        <v>354.19</v>
      </c>
      <c r="L43" s="64">
        <v>19.95</v>
      </c>
      <c r="M43" s="64">
        <v>45.31</v>
      </c>
      <c r="N43" s="64">
        <v>374.1</v>
      </c>
      <c r="O43" s="64">
        <v>0</v>
      </c>
      <c r="P43" s="64">
        <v>1.38</v>
      </c>
      <c r="Q43" s="64">
        <v>11.19</v>
      </c>
      <c r="R43" s="196"/>
      <c r="S43" s="196"/>
      <c r="T43" s="196"/>
      <c r="U43" s="196"/>
    </row>
    <row r="44" spans="1:21" s="12" customFormat="1" x14ac:dyDescent="0.25">
      <c r="A44" s="211" t="s">
        <v>2778</v>
      </c>
      <c r="B44" s="64">
        <v>67.489999999999995</v>
      </c>
      <c r="C44" s="64">
        <v>55.15</v>
      </c>
      <c r="D44" s="64">
        <v>81.56</v>
      </c>
      <c r="E44" s="64">
        <v>8.0500000000000007</v>
      </c>
      <c r="F44" s="64">
        <v>4.2300000000000004</v>
      </c>
      <c r="G44" s="64">
        <v>157.30000000000001</v>
      </c>
      <c r="H44" s="64">
        <v>79.760000000000005</v>
      </c>
      <c r="I44" s="64">
        <v>6.69</v>
      </c>
      <c r="J44" s="64">
        <v>0.63</v>
      </c>
      <c r="K44" s="64">
        <v>358.63</v>
      </c>
      <c r="L44" s="64">
        <v>21.31</v>
      </c>
      <c r="M44" s="64">
        <v>42.21</v>
      </c>
      <c r="N44" s="64">
        <v>410.6</v>
      </c>
      <c r="O44" s="64">
        <v>0</v>
      </c>
      <c r="P44" s="64">
        <v>1.32</v>
      </c>
      <c r="Q44" s="64">
        <v>11.14</v>
      </c>
      <c r="R44" s="196"/>
      <c r="S44" s="196"/>
      <c r="T44" s="196"/>
      <c r="U44" s="196"/>
    </row>
    <row r="45" spans="1:21" s="12" customFormat="1" x14ac:dyDescent="0.25">
      <c r="A45" s="211" t="s">
        <v>2779</v>
      </c>
      <c r="B45" s="64">
        <v>63.79</v>
      </c>
      <c r="C45" s="64">
        <v>55.48</v>
      </c>
      <c r="D45" s="64">
        <v>78.760000000000005</v>
      </c>
      <c r="E45" s="64">
        <v>7.57</v>
      </c>
      <c r="F45" s="64">
        <v>4.32</v>
      </c>
      <c r="G45" s="64">
        <v>157.30000000000001</v>
      </c>
      <c r="H45" s="64">
        <v>79.760000000000005</v>
      </c>
      <c r="I45" s="64">
        <v>6.62</v>
      </c>
      <c r="J45" s="64">
        <v>2.04</v>
      </c>
      <c r="K45" s="64">
        <v>104.62</v>
      </c>
      <c r="L45" s="64">
        <v>20.350000000000001</v>
      </c>
      <c r="M45" s="64">
        <v>44.18</v>
      </c>
      <c r="N45" s="64">
        <v>444.2</v>
      </c>
      <c r="O45" s="64">
        <v>0</v>
      </c>
      <c r="P45" s="64">
        <v>1.32</v>
      </c>
      <c r="Q45" s="64">
        <v>11.1</v>
      </c>
      <c r="R45" s="196"/>
      <c r="S45" s="196"/>
      <c r="T45" s="196"/>
      <c r="U45" s="196"/>
    </row>
    <row r="46" spans="1:21" s="12" customFormat="1" x14ac:dyDescent="0.25">
      <c r="A46" s="211" t="s">
        <v>2780</v>
      </c>
      <c r="B46" s="64">
        <v>59.78</v>
      </c>
      <c r="C46" s="64">
        <v>56.32</v>
      </c>
      <c r="D46" s="64">
        <v>75.989999999999995</v>
      </c>
      <c r="E46" s="64">
        <v>7.33</v>
      </c>
      <c r="F46" s="64">
        <v>4.58</v>
      </c>
      <c r="G46" s="64">
        <v>157.30000000000001</v>
      </c>
      <c r="H46" s="64">
        <v>79.760000000000005</v>
      </c>
      <c r="I46" s="64">
        <v>6.85</v>
      </c>
      <c r="J46" s="64">
        <v>2.96</v>
      </c>
      <c r="K46" s="64">
        <v>109.94</v>
      </c>
      <c r="L46" s="64">
        <v>19.690000000000001</v>
      </c>
      <c r="M46" s="64">
        <v>45.06</v>
      </c>
      <c r="N46" s="64">
        <v>469.4</v>
      </c>
      <c r="O46" s="64">
        <v>0</v>
      </c>
      <c r="P46" s="64">
        <v>1.29</v>
      </c>
      <c r="Q46" s="64">
        <v>11.06</v>
      </c>
      <c r="R46" s="196"/>
      <c r="S46" s="196"/>
      <c r="T46" s="196"/>
      <c r="U46" s="196"/>
    </row>
    <row r="47" spans="1:21" s="12" customFormat="1" x14ac:dyDescent="0.25">
      <c r="A47" s="211" t="s">
        <v>2781</v>
      </c>
      <c r="B47" s="64">
        <v>54.9</v>
      </c>
      <c r="C47" s="64">
        <v>57.69</v>
      </c>
      <c r="D47" s="64">
        <v>72.790000000000006</v>
      </c>
      <c r="E47" s="64">
        <v>6.96</v>
      </c>
      <c r="F47" s="64">
        <v>4.3600000000000003</v>
      </c>
      <c r="G47" s="64">
        <v>133.49</v>
      </c>
      <c r="H47" s="64">
        <v>66</v>
      </c>
      <c r="I47" s="64">
        <v>7.2</v>
      </c>
      <c r="J47" s="64">
        <v>0.61</v>
      </c>
      <c r="K47" s="64">
        <v>344.64</v>
      </c>
      <c r="L47" s="64">
        <v>21.23</v>
      </c>
      <c r="M47" s="64">
        <v>42.35</v>
      </c>
      <c r="N47" s="64">
        <v>484.1</v>
      </c>
      <c r="O47" s="64">
        <v>0</v>
      </c>
      <c r="P47" s="64">
        <v>1.24</v>
      </c>
      <c r="Q47" s="64">
        <v>10.99</v>
      </c>
      <c r="R47" s="196"/>
      <c r="S47" s="196"/>
      <c r="T47" s="196"/>
      <c r="U47" s="196"/>
    </row>
    <row r="48" spans="1:21" s="12" customFormat="1" x14ac:dyDescent="0.25">
      <c r="A48" s="211" t="s">
        <v>2782</v>
      </c>
      <c r="B48" s="64">
        <v>50.59</v>
      </c>
      <c r="C48" s="64">
        <v>59.05</v>
      </c>
      <c r="D48" s="64">
        <v>70.05</v>
      </c>
      <c r="E48" s="64">
        <v>7.16</v>
      </c>
      <c r="F48" s="64">
        <v>4.29</v>
      </c>
      <c r="G48" s="64">
        <v>115.29</v>
      </c>
      <c r="H48" s="64">
        <v>57</v>
      </c>
      <c r="I48" s="64">
        <v>7.47</v>
      </c>
      <c r="J48" s="64">
        <v>1.06</v>
      </c>
      <c r="K48" s="64">
        <v>48.5</v>
      </c>
      <c r="L48" s="64">
        <v>21.53</v>
      </c>
      <c r="M48" s="64">
        <v>42.2</v>
      </c>
      <c r="N48" s="64">
        <v>511.8</v>
      </c>
      <c r="O48" s="64">
        <v>0</v>
      </c>
      <c r="P48" s="64">
        <v>1.2</v>
      </c>
      <c r="Q48" s="64">
        <v>10.95</v>
      </c>
      <c r="R48" s="196"/>
      <c r="S48" s="196"/>
      <c r="T48" s="196"/>
      <c r="U48" s="196"/>
    </row>
    <row r="49" spans="1:21" s="12" customFormat="1" x14ac:dyDescent="0.25">
      <c r="A49" s="211" t="s">
        <v>2783</v>
      </c>
      <c r="B49" s="64">
        <v>45.97</v>
      </c>
      <c r="C49" s="64">
        <v>60.55</v>
      </c>
      <c r="D49" s="64">
        <v>67.13</v>
      </c>
      <c r="E49" s="64">
        <v>6.41</v>
      </c>
      <c r="F49" s="64">
        <v>4.5199999999999996</v>
      </c>
      <c r="G49" s="64">
        <v>115.29</v>
      </c>
      <c r="H49" s="64">
        <v>57</v>
      </c>
      <c r="I49" s="64">
        <v>7.97</v>
      </c>
      <c r="J49" s="64">
        <v>1.9</v>
      </c>
      <c r="K49" s="64">
        <v>108.14</v>
      </c>
      <c r="L49" s="64">
        <v>21.22</v>
      </c>
      <c r="M49" s="64">
        <v>42.13</v>
      </c>
      <c r="N49" s="64">
        <v>547.6</v>
      </c>
      <c r="O49" s="64">
        <v>0</v>
      </c>
      <c r="P49" s="64">
        <v>1.1599999999999999</v>
      </c>
      <c r="Q49" s="64">
        <v>10.86</v>
      </c>
      <c r="R49" s="196"/>
      <c r="S49" s="196"/>
      <c r="T49" s="196"/>
      <c r="U49" s="196"/>
    </row>
    <row r="50" spans="1:21" s="12" customFormat="1" x14ac:dyDescent="0.25">
      <c r="A50" s="211" t="s">
        <v>2784</v>
      </c>
      <c r="B50" s="64">
        <v>40.659999999999997</v>
      </c>
      <c r="C50" s="64">
        <v>61.85</v>
      </c>
      <c r="D50" s="64">
        <v>63.55</v>
      </c>
      <c r="E50" s="64">
        <v>6.45</v>
      </c>
      <c r="F50" s="64">
        <v>4.3499999999999996</v>
      </c>
      <c r="G50" s="64">
        <v>115.29</v>
      </c>
      <c r="H50" s="64">
        <v>57</v>
      </c>
      <c r="I50" s="64">
        <v>8.24</v>
      </c>
      <c r="J50" s="64">
        <v>0.89</v>
      </c>
      <c r="K50" s="64">
        <v>69.87</v>
      </c>
      <c r="L50" s="64">
        <v>21.64</v>
      </c>
      <c r="M50" s="64">
        <v>41.68</v>
      </c>
      <c r="N50" s="64">
        <v>569.9</v>
      </c>
      <c r="O50" s="64">
        <v>0</v>
      </c>
      <c r="P50" s="64">
        <v>1.1200000000000001</v>
      </c>
      <c r="Q50" s="64">
        <v>10.82</v>
      </c>
      <c r="R50" s="196"/>
      <c r="S50" s="196"/>
      <c r="T50" s="196"/>
      <c r="U50" s="196"/>
    </row>
    <row r="51" spans="1:21" s="12" customFormat="1" x14ac:dyDescent="0.25">
      <c r="A51" s="211" t="s">
        <v>2785</v>
      </c>
      <c r="B51" s="64">
        <v>36.04</v>
      </c>
      <c r="C51" s="64">
        <v>63.1</v>
      </c>
      <c r="D51" s="64">
        <v>60.49</v>
      </c>
      <c r="E51" s="64">
        <v>6.48</v>
      </c>
      <c r="F51" s="64">
        <v>3.87</v>
      </c>
      <c r="G51" s="64">
        <v>95.73</v>
      </c>
      <c r="H51" s="64">
        <v>50.35</v>
      </c>
      <c r="I51" s="64">
        <v>8.35</v>
      </c>
      <c r="J51" s="64">
        <v>1.29</v>
      </c>
      <c r="K51" s="64">
        <v>345.97</v>
      </c>
      <c r="L51" s="64">
        <v>22.87</v>
      </c>
      <c r="M51" s="64">
        <v>38.61</v>
      </c>
      <c r="N51" s="64">
        <v>589.79999999999995</v>
      </c>
      <c r="O51" s="64">
        <v>0</v>
      </c>
      <c r="P51" s="64">
        <v>1.07</v>
      </c>
      <c r="Q51" s="64">
        <v>10.79</v>
      </c>
      <c r="R51" s="196"/>
      <c r="S51" s="196"/>
      <c r="T51" s="196"/>
      <c r="U51" s="196"/>
    </row>
    <row r="52" spans="1:21" s="12" customFormat="1" x14ac:dyDescent="0.25">
      <c r="A52" s="211" t="s">
        <v>2786</v>
      </c>
      <c r="B52" s="64">
        <v>31.8</v>
      </c>
      <c r="C52" s="64">
        <v>64.59</v>
      </c>
      <c r="D52" s="64">
        <v>57.87</v>
      </c>
      <c r="E52" s="64">
        <v>6.6</v>
      </c>
      <c r="F52" s="64">
        <v>4.38</v>
      </c>
      <c r="G52" s="64">
        <v>80.78</v>
      </c>
      <c r="H52" s="64">
        <v>48.09</v>
      </c>
      <c r="I52" s="64">
        <v>8.31</v>
      </c>
      <c r="J52" s="64">
        <v>1.79</v>
      </c>
      <c r="K52" s="64">
        <v>111.29</v>
      </c>
      <c r="L52" s="64">
        <v>22.96</v>
      </c>
      <c r="M52" s="64">
        <v>38.83</v>
      </c>
      <c r="N52" s="64">
        <v>605.9</v>
      </c>
      <c r="O52" s="64">
        <v>0</v>
      </c>
      <c r="P52" s="64">
        <v>1.05</v>
      </c>
      <c r="Q52" s="64">
        <v>10.76</v>
      </c>
      <c r="R52" s="196"/>
      <c r="S52" s="196"/>
      <c r="T52" s="196"/>
      <c r="U52" s="196"/>
    </row>
    <row r="53" spans="1:21" s="12" customFormat="1" x14ac:dyDescent="0.25">
      <c r="A53" s="211" t="s">
        <v>2787</v>
      </c>
      <c r="B53" s="64">
        <v>27.12</v>
      </c>
      <c r="C53" s="64">
        <v>65.33</v>
      </c>
      <c r="D53" s="64">
        <v>54.5</v>
      </c>
      <c r="E53" s="64">
        <v>5.91</v>
      </c>
      <c r="F53" s="64">
        <v>4.57</v>
      </c>
      <c r="G53" s="64">
        <v>80.78</v>
      </c>
      <c r="H53" s="64">
        <v>48.09</v>
      </c>
      <c r="I53" s="64">
        <v>8.27</v>
      </c>
      <c r="J53" s="64">
        <v>2.31</v>
      </c>
      <c r="K53" s="64">
        <v>116.74</v>
      </c>
      <c r="L53" s="64">
        <v>22.24</v>
      </c>
      <c r="M53" s="64">
        <v>37.74</v>
      </c>
      <c r="N53" s="64">
        <v>610.70000000000005</v>
      </c>
      <c r="O53" s="64">
        <v>0</v>
      </c>
      <c r="P53" s="64">
        <v>1</v>
      </c>
      <c r="Q53" s="64">
        <v>10.72</v>
      </c>
      <c r="R53" s="196"/>
      <c r="S53" s="196"/>
      <c r="T53" s="196"/>
      <c r="U53" s="196"/>
    </row>
    <row r="54" spans="1:21" s="12" customFormat="1" x14ac:dyDescent="0.25">
      <c r="A54" s="211" t="s">
        <v>2788</v>
      </c>
      <c r="B54" s="64">
        <v>22.51</v>
      </c>
      <c r="C54" s="64">
        <v>65.28</v>
      </c>
      <c r="D54" s="64">
        <v>50.78</v>
      </c>
      <c r="E54" s="64">
        <v>6</v>
      </c>
      <c r="F54" s="64">
        <v>4.38</v>
      </c>
      <c r="G54" s="64">
        <v>80.78</v>
      </c>
      <c r="H54" s="64">
        <v>48.09</v>
      </c>
      <c r="I54" s="64">
        <v>8.2799999999999994</v>
      </c>
      <c r="J54" s="64">
        <v>2.0699999999999998</v>
      </c>
      <c r="K54" s="64">
        <v>108.77</v>
      </c>
      <c r="L54" s="64">
        <v>21.97</v>
      </c>
      <c r="M54" s="64">
        <v>37.729999999999997</v>
      </c>
      <c r="N54" s="64">
        <v>604.6</v>
      </c>
      <c r="O54" s="64">
        <v>0</v>
      </c>
      <c r="P54" s="64">
        <v>0.96</v>
      </c>
      <c r="Q54" s="64">
        <v>10.67</v>
      </c>
      <c r="R54" s="196"/>
      <c r="S54" s="196"/>
      <c r="T54" s="196"/>
      <c r="U54" s="196"/>
    </row>
    <row r="55" spans="1:21" s="12" customFormat="1" x14ac:dyDescent="0.25">
      <c r="A55" s="211" t="s">
        <v>2789</v>
      </c>
      <c r="B55" s="64">
        <v>18.64</v>
      </c>
      <c r="C55" s="64">
        <v>64.040000000000006</v>
      </c>
      <c r="D55" s="64">
        <v>47.03</v>
      </c>
      <c r="E55" s="64">
        <v>5.74</v>
      </c>
      <c r="F55" s="64">
        <v>4.25</v>
      </c>
      <c r="G55" s="64">
        <v>82.19</v>
      </c>
      <c r="H55" s="64">
        <v>44.34</v>
      </c>
      <c r="I55" s="64">
        <v>8.57</v>
      </c>
      <c r="J55" s="64">
        <v>2.12</v>
      </c>
      <c r="K55" s="64">
        <v>113.38</v>
      </c>
      <c r="L55" s="64">
        <v>22.93</v>
      </c>
      <c r="M55" s="64">
        <v>34.880000000000003</v>
      </c>
      <c r="N55" s="64">
        <v>593.29999999999995</v>
      </c>
      <c r="O55" s="64">
        <v>0</v>
      </c>
      <c r="P55" s="64">
        <v>0.91</v>
      </c>
      <c r="Q55" s="64">
        <v>10.58</v>
      </c>
      <c r="R55" s="196"/>
      <c r="S55" s="196"/>
      <c r="T55" s="196"/>
      <c r="U55" s="196"/>
    </row>
    <row r="56" spans="1:21" s="12" customFormat="1" x14ac:dyDescent="0.25">
      <c r="A56" s="211" t="s">
        <v>2790</v>
      </c>
      <c r="B56" s="64">
        <v>15.81</v>
      </c>
      <c r="C56" s="64">
        <v>63.61</v>
      </c>
      <c r="D56" s="64">
        <v>44.54</v>
      </c>
      <c r="E56" s="64">
        <v>5.59</v>
      </c>
      <c r="F56" s="64">
        <v>4.12</v>
      </c>
      <c r="G56" s="64">
        <v>83.27</v>
      </c>
      <c r="H56" s="64">
        <v>43.06</v>
      </c>
      <c r="I56" s="64">
        <v>8.59</v>
      </c>
      <c r="J56" s="64">
        <v>1.5</v>
      </c>
      <c r="K56" s="64">
        <v>350.1</v>
      </c>
      <c r="L56" s="64">
        <v>23.76</v>
      </c>
      <c r="M56" s="64">
        <v>33.590000000000003</v>
      </c>
      <c r="N56" s="64">
        <v>550.9</v>
      </c>
      <c r="O56" s="64">
        <v>0</v>
      </c>
      <c r="P56" s="64">
        <v>0.87</v>
      </c>
      <c r="Q56" s="64">
        <v>10.54</v>
      </c>
      <c r="R56" s="196"/>
      <c r="S56" s="196"/>
      <c r="T56" s="196"/>
      <c r="U56" s="196"/>
    </row>
    <row r="57" spans="1:21" s="12" customFormat="1" x14ac:dyDescent="0.25">
      <c r="A57" s="211" t="s">
        <v>2791</v>
      </c>
      <c r="B57" s="64">
        <v>13.59</v>
      </c>
      <c r="C57" s="64">
        <v>63.12</v>
      </c>
      <c r="D57" s="64">
        <v>42.49</v>
      </c>
      <c r="E57" s="64">
        <v>5.9</v>
      </c>
      <c r="F57" s="64">
        <v>4.3899999999999997</v>
      </c>
      <c r="G57" s="64">
        <v>83.27</v>
      </c>
      <c r="H57" s="64">
        <v>43.06</v>
      </c>
      <c r="I57" s="64">
        <v>8.48</v>
      </c>
      <c r="J57" s="64">
        <v>2.87</v>
      </c>
      <c r="K57" s="64">
        <v>-0.99</v>
      </c>
      <c r="L57" s="64">
        <v>23.41</v>
      </c>
      <c r="M57" s="64">
        <v>33.72</v>
      </c>
      <c r="N57" s="64">
        <v>539.4</v>
      </c>
      <c r="O57" s="64">
        <v>0</v>
      </c>
      <c r="P57" s="64">
        <v>0.82</v>
      </c>
      <c r="Q57" s="64">
        <v>10.52</v>
      </c>
      <c r="R57" s="196"/>
      <c r="S57" s="196"/>
      <c r="T57" s="196"/>
      <c r="U57" s="196"/>
    </row>
    <row r="58" spans="1:21" s="12" customFormat="1" x14ac:dyDescent="0.25">
      <c r="A58" s="211" t="s">
        <v>2792</v>
      </c>
      <c r="B58" s="248" t="s">
        <v>32</v>
      </c>
      <c r="C58" s="248" t="s">
        <v>32</v>
      </c>
      <c r="D58" s="248" t="s">
        <v>32</v>
      </c>
      <c r="E58" s="248" t="s">
        <v>32</v>
      </c>
      <c r="F58" s="248" t="s">
        <v>32</v>
      </c>
      <c r="G58" s="248" t="s">
        <v>32</v>
      </c>
      <c r="H58" s="248" t="s">
        <v>32</v>
      </c>
      <c r="I58" s="248" t="s">
        <v>32</v>
      </c>
      <c r="J58" s="248" t="s">
        <v>32</v>
      </c>
      <c r="K58" s="248" t="s">
        <v>32</v>
      </c>
      <c r="L58" s="248" t="s">
        <v>32</v>
      </c>
      <c r="M58" s="248" t="s">
        <v>32</v>
      </c>
      <c r="N58" s="248" t="s">
        <v>32</v>
      </c>
      <c r="O58" s="248" t="s">
        <v>32</v>
      </c>
      <c r="P58" s="248" t="s">
        <v>32</v>
      </c>
      <c r="Q58" s="248" t="s">
        <v>32</v>
      </c>
      <c r="R58" s="196"/>
      <c r="S58" s="196"/>
      <c r="T58" s="196"/>
      <c r="U58" s="196"/>
    </row>
    <row r="59" spans="1:21" s="12" customFormat="1" x14ac:dyDescent="0.25">
      <c r="A59" s="211" t="s">
        <v>2793</v>
      </c>
      <c r="B59" s="248" t="s">
        <v>32</v>
      </c>
      <c r="C59" s="248" t="s">
        <v>32</v>
      </c>
      <c r="D59" s="248" t="s">
        <v>32</v>
      </c>
      <c r="E59" s="248" t="s">
        <v>32</v>
      </c>
      <c r="F59" s="248" t="s">
        <v>32</v>
      </c>
      <c r="G59" s="248" t="s">
        <v>32</v>
      </c>
      <c r="H59" s="248" t="s">
        <v>32</v>
      </c>
      <c r="I59" s="248" t="s">
        <v>32</v>
      </c>
      <c r="J59" s="248" t="s">
        <v>32</v>
      </c>
      <c r="K59" s="248" t="s">
        <v>32</v>
      </c>
      <c r="L59" s="248" t="s">
        <v>32</v>
      </c>
      <c r="M59" s="248" t="s">
        <v>32</v>
      </c>
      <c r="N59" s="248" t="s">
        <v>32</v>
      </c>
      <c r="O59" s="248" t="s">
        <v>32</v>
      </c>
      <c r="P59" s="248" t="s">
        <v>32</v>
      </c>
      <c r="Q59" s="248" t="s">
        <v>32</v>
      </c>
      <c r="R59" s="196"/>
      <c r="S59" s="196"/>
      <c r="T59" s="196"/>
      <c r="U59" s="196"/>
    </row>
    <row r="60" spans="1:21" s="12" customFormat="1" x14ac:dyDescent="0.25">
      <c r="A60" s="211" t="s">
        <v>2794</v>
      </c>
      <c r="B60" s="248" t="s">
        <v>32</v>
      </c>
      <c r="C60" s="248" t="s">
        <v>32</v>
      </c>
      <c r="D60" s="248" t="s">
        <v>32</v>
      </c>
      <c r="E60" s="248" t="s">
        <v>32</v>
      </c>
      <c r="F60" s="248" t="s">
        <v>32</v>
      </c>
      <c r="G60" s="248" t="s">
        <v>32</v>
      </c>
      <c r="H60" s="248" t="s">
        <v>32</v>
      </c>
      <c r="I60" s="248" t="s">
        <v>32</v>
      </c>
      <c r="J60" s="248" t="s">
        <v>32</v>
      </c>
      <c r="K60" s="248" t="s">
        <v>32</v>
      </c>
      <c r="L60" s="248" t="s">
        <v>32</v>
      </c>
      <c r="M60" s="248" t="s">
        <v>32</v>
      </c>
      <c r="N60" s="248" t="s">
        <v>32</v>
      </c>
      <c r="O60" s="248" t="s">
        <v>32</v>
      </c>
      <c r="P60" s="248" t="s">
        <v>32</v>
      </c>
      <c r="Q60" s="248" t="s">
        <v>32</v>
      </c>
      <c r="R60" s="196"/>
      <c r="S60" s="196"/>
      <c r="T60" s="196"/>
      <c r="U60" s="196"/>
    </row>
    <row r="61" spans="1:21" s="12" customFormat="1" x14ac:dyDescent="0.25">
      <c r="A61" s="211" t="s">
        <v>2795</v>
      </c>
      <c r="B61" s="248" t="s">
        <v>32</v>
      </c>
      <c r="C61" s="248" t="s">
        <v>32</v>
      </c>
      <c r="D61" s="248" t="s">
        <v>32</v>
      </c>
      <c r="E61" s="248" t="s">
        <v>32</v>
      </c>
      <c r="F61" s="248" t="s">
        <v>32</v>
      </c>
      <c r="G61" s="248" t="s">
        <v>32</v>
      </c>
      <c r="H61" s="248" t="s">
        <v>32</v>
      </c>
      <c r="I61" s="248" t="s">
        <v>32</v>
      </c>
      <c r="J61" s="248" t="s">
        <v>32</v>
      </c>
      <c r="K61" s="248" t="s">
        <v>32</v>
      </c>
      <c r="L61" s="248" t="s">
        <v>32</v>
      </c>
      <c r="M61" s="248" t="s">
        <v>32</v>
      </c>
      <c r="N61" s="248" t="s">
        <v>32</v>
      </c>
      <c r="O61" s="248" t="s">
        <v>32</v>
      </c>
      <c r="P61" s="248" t="s">
        <v>32</v>
      </c>
      <c r="Q61" s="248" t="s">
        <v>32</v>
      </c>
      <c r="R61" s="196"/>
      <c r="S61" s="196"/>
      <c r="T61" s="196"/>
      <c r="U61" s="196"/>
    </row>
    <row r="62" spans="1:21" s="12" customFormat="1" x14ac:dyDescent="0.25">
      <c r="A62" s="211" t="s">
        <v>2796</v>
      </c>
      <c r="B62" s="248" t="s">
        <v>32</v>
      </c>
      <c r="C62" s="248" t="s">
        <v>32</v>
      </c>
      <c r="D62" s="248" t="s">
        <v>32</v>
      </c>
      <c r="E62" s="248" t="s">
        <v>32</v>
      </c>
      <c r="F62" s="248" t="s">
        <v>32</v>
      </c>
      <c r="G62" s="248" t="s">
        <v>32</v>
      </c>
      <c r="H62" s="248" t="s">
        <v>32</v>
      </c>
      <c r="I62" s="248" t="s">
        <v>32</v>
      </c>
      <c r="J62" s="248" t="s">
        <v>32</v>
      </c>
      <c r="K62" s="248" t="s">
        <v>32</v>
      </c>
      <c r="L62" s="248" t="s">
        <v>32</v>
      </c>
      <c r="M62" s="248" t="s">
        <v>32</v>
      </c>
      <c r="N62" s="248" t="s">
        <v>32</v>
      </c>
      <c r="O62" s="248" t="s">
        <v>32</v>
      </c>
      <c r="P62" s="248" t="s">
        <v>32</v>
      </c>
      <c r="Q62" s="248" t="s">
        <v>32</v>
      </c>
      <c r="R62" s="196"/>
      <c r="S62" s="196"/>
      <c r="T62" s="196"/>
      <c r="U62" s="196"/>
    </row>
    <row r="63" spans="1:21" s="12" customFormat="1" x14ac:dyDescent="0.25">
      <c r="A63" s="211" t="s">
        <v>2797</v>
      </c>
      <c r="B63" s="248" t="s">
        <v>32</v>
      </c>
      <c r="C63" s="248" t="s">
        <v>32</v>
      </c>
      <c r="D63" s="248" t="s">
        <v>32</v>
      </c>
      <c r="E63" s="248" t="s">
        <v>32</v>
      </c>
      <c r="F63" s="248" t="s">
        <v>32</v>
      </c>
      <c r="G63" s="248" t="s">
        <v>32</v>
      </c>
      <c r="H63" s="248" t="s">
        <v>32</v>
      </c>
      <c r="I63" s="248" t="s">
        <v>32</v>
      </c>
      <c r="J63" s="248" t="s">
        <v>32</v>
      </c>
      <c r="K63" s="248" t="s">
        <v>32</v>
      </c>
      <c r="L63" s="248" t="s">
        <v>32</v>
      </c>
      <c r="M63" s="248" t="s">
        <v>32</v>
      </c>
      <c r="N63" s="248" t="s">
        <v>32</v>
      </c>
      <c r="O63" s="248" t="s">
        <v>32</v>
      </c>
      <c r="P63" s="248" t="s">
        <v>32</v>
      </c>
      <c r="Q63" s="248" t="s">
        <v>32</v>
      </c>
      <c r="R63" s="196"/>
      <c r="S63" s="196"/>
      <c r="T63" s="196"/>
      <c r="U63" s="196"/>
    </row>
    <row r="64" spans="1:21" s="12" customFormat="1" x14ac:dyDescent="0.25">
      <c r="A64" s="211" t="s">
        <v>2798</v>
      </c>
      <c r="B64" s="248" t="s">
        <v>32</v>
      </c>
      <c r="C64" s="248" t="s">
        <v>32</v>
      </c>
      <c r="D64" s="248" t="s">
        <v>32</v>
      </c>
      <c r="E64" s="248" t="s">
        <v>32</v>
      </c>
      <c r="F64" s="248" t="s">
        <v>32</v>
      </c>
      <c r="G64" s="248" t="s">
        <v>32</v>
      </c>
      <c r="H64" s="248" t="s">
        <v>32</v>
      </c>
      <c r="I64" s="248" t="s">
        <v>32</v>
      </c>
      <c r="J64" s="248" t="s">
        <v>32</v>
      </c>
      <c r="K64" s="248" t="s">
        <v>32</v>
      </c>
      <c r="L64" s="248" t="s">
        <v>32</v>
      </c>
      <c r="M64" s="248" t="s">
        <v>32</v>
      </c>
      <c r="N64" s="248" t="s">
        <v>32</v>
      </c>
      <c r="O64" s="248" t="s">
        <v>32</v>
      </c>
      <c r="P64" s="248" t="s">
        <v>32</v>
      </c>
      <c r="Q64" s="248" t="s">
        <v>32</v>
      </c>
      <c r="R64" s="196"/>
      <c r="S64" s="196"/>
      <c r="T64" s="196"/>
      <c r="U64" s="196"/>
    </row>
    <row r="65" spans="1:21" s="12" customFormat="1" x14ac:dyDescent="0.25">
      <c r="A65" s="211" t="s">
        <v>2799</v>
      </c>
      <c r="B65" s="248" t="s">
        <v>32</v>
      </c>
      <c r="C65" s="248" t="s">
        <v>32</v>
      </c>
      <c r="D65" s="248" t="s">
        <v>32</v>
      </c>
      <c r="E65" s="248" t="s">
        <v>32</v>
      </c>
      <c r="F65" s="248" t="s">
        <v>32</v>
      </c>
      <c r="G65" s="248" t="s">
        <v>32</v>
      </c>
      <c r="H65" s="248" t="s">
        <v>32</v>
      </c>
      <c r="I65" s="248" t="s">
        <v>32</v>
      </c>
      <c r="J65" s="248" t="s">
        <v>32</v>
      </c>
      <c r="K65" s="248" t="s">
        <v>32</v>
      </c>
      <c r="L65" s="248" t="s">
        <v>32</v>
      </c>
      <c r="M65" s="248" t="s">
        <v>32</v>
      </c>
      <c r="N65" s="248" t="s">
        <v>32</v>
      </c>
      <c r="O65" s="248" t="s">
        <v>32</v>
      </c>
      <c r="P65" s="248" t="s">
        <v>32</v>
      </c>
      <c r="Q65" s="248" t="s">
        <v>32</v>
      </c>
      <c r="R65" s="196"/>
      <c r="S65" s="196"/>
      <c r="T65" s="196"/>
      <c r="U65" s="196"/>
    </row>
    <row r="66" spans="1:21" s="12" customFormat="1" x14ac:dyDescent="0.25">
      <c r="A66" s="211" t="s">
        <v>2800</v>
      </c>
      <c r="B66" s="248" t="s">
        <v>32</v>
      </c>
      <c r="C66" s="248" t="s">
        <v>32</v>
      </c>
      <c r="D66" s="248" t="s">
        <v>32</v>
      </c>
      <c r="E66" s="248" t="s">
        <v>32</v>
      </c>
      <c r="F66" s="248" t="s">
        <v>32</v>
      </c>
      <c r="G66" s="248" t="s">
        <v>32</v>
      </c>
      <c r="H66" s="248" t="s">
        <v>32</v>
      </c>
      <c r="I66" s="248" t="s">
        <v>32</v>
      </c>
      <c r="J66" s="248" t="s">
        <v>32</v>
      </c>
      <c r="K66" s="248" t="s">
        <v>32</v>
      </c>
      <c r="L66" s="248" t="s">
        <v>32</v>
      </c>
      <c r="M66" s="248" t="s">
        <v>32</v>
      </c>
      <c r="N66" s="248" t="s">
        <v>32</v>
      </c>
      <c r="O66" s="248" t="s">
        <v>32</v>
      </c>
      <c r="P66" s="248" t="s">
        <v>32</v>
      </c>
      <c r="Q66" s="248" t="s">
        <v>32</v>
      </c>
      <c r="R66" s="196"/>
      <c r="S66" s="196"/>
      <c r="T66" s="196"/>
      <c r="U66" s="196"/>
    </row>
    <row r="67" spans="1:21" s="12" customFormat="1" x14ac:dyDescent="0.25">
      <c r="A67" s="211" t="s">
        <v>2801</v>
      </c>
      <c r="B67" s="248" t="s">
        <v>32</v>
      </c>
      <c r="C67" s="248" t="s">
        <v>32</v>
      </c>
      <c r="D67" s="248" t="s">
        <v>32</v>
      </c>
      <c r="E67" s="248" t="s">
        <v>32</v>
      </c>
      <c r="F67" s="248" t="s">
        <v>32</v>
      </c>
      <c r="G67" s="248" t="s">
        <v>32</v>
      </c>
      <c r="H67" s="248" t="s">
        <v>32</v>
      </c>
      <c r="I67" s="248" t="s">
        <v>32</v>
      </c>
      <c r="J67" s="248" t="s">
        <v>32</v>
      </c>
      <c r="K67" s="248" t="s">
        <v>32</v>
      </c>
      <c r="L67" s="248" t="s">
        <v>32</v>
      </c>
      <c r="M67" s="248" t="s">
        <v>32</v>
      </c>
      <c r="N67" s="248" t="s">
        <v>32</v>
      </c>
      <c r="O67" s="248" t="s">
        <v>32</v>
      </c>
      <c r="P67" s="248" t="s">
        <v>32</v>
      </c>
      <c r="Q67" s="248" t="s">
        <v>32</v>
      </c>
      <c r="R67" s="196"/>
      <c r="S67" s="196"/>
      <c r="T67" s="196"/>
      <c r="U67" s="196"/>
    </row>
    <row r="68" spans="1:21" s="12" customFormat="1" x14ac:dyDescent="0.25">
      <c r="A68" s="211" t="s">
        <v>2802</v>
      </c>
      <c r="B68" s="248" t="s">
        <v>32</v>
      </c>
      <c r="C68" s="248" t="s">
        <v>32</v>
      </c>
      <c r="D68" s="248" t="s">
        <v>32</v>
      </c>
      <c r="E68" s="248" t="s">
        <v>32</v>
      </c>
      <c r="F68" s="248" t="s">
        <v>32</v>
      </c>
      <c r="G68" s="248" t="s">
        <v>32</v>
      </c>
      <c r="H68" s="248" t="s">
        <v>32</v>
      </c>
      <c r="I68" s="248" t="s">
        <v>32</v>
      </c>
      <c r="J68" s="248" t="s">
        <v>32</v>
      </c>
      <c r="K68" s="248" t="s">
        <v>32</v>
      </c>
      <c r="L68" s="248" t="s">
        <v>32</v>
      </c>
      <c r="M68" s="248" t="s">
        <v>32</v>
      </c>
      <c r="N68" s="248" t="s">
        <v>32</v>
      </c>
      <c r="O68" s="248" t="s">
        <v>32</v>
      </c>
      <c r="P68" s="248" t="s">
        <v>32</v>
      </c>
      <c r="Q68" s="248" t="s">
        <v>32</v>
      </c>
      <c r="R68" s="196"/>
      <c r="S68" s="196"/>
      <c r="T68" s="196"/>
      <c r="U68" s="196"/>
    </row>
    <row r="69" spans="1:21" s="12" customFormat="1" x14ac:dyDescent="0.25">
      <c r="A69" s="211" t="s">
        <v>2803</v>
      </c>
      <c r="B69" s="248" t="s">
        <v>32</v>
      </c>
      <c r="C69" s="248" t="s">
        <v>32</v>
      </c>
      <c r="D69" s="248" t="s">
        <v>32</v>
      </c>
      <c r="E69" s="248" t="s">
        <v>32</v>
      </c>
      <c r="F69" s="248" t="s">
        <v>32</v>
      </c>
      <c r="G69" s="248" t="s">
        <v>32</v>
      </c>
      <c r="H69" s="248" t="s">
        <v>32</v>
      </c>
      <c r="I69" s="248" t="s">
        <v>32</v>
      </c>
      <c r="J69" s="248" t="s">
        <v>32</v>
      </c>
      <c r="K69" s="248" t="s">
        <v>32</v>
      </c>
      <c r="L69" s="248" t="s">
        <v>32</v>
      </c>
      <c r="M69" s="248" t="s">
        <v>32</v>
      </c>
      <c r="N69" s="248" t="s">
        <v>32</v>
      </c>
      <c r="O69" s="248" t="s">
        <v>32</v>
      </c>
      <c r="P69" s="248" t="s">
        <v>32</v>
      </c>
      <c r="Q69" s="248" t="s">
        <v>32</v>
      </c>
      <c r="R69" s="196"/>
      <c r="S69" s="196"/>
      <c r="T69" s="196"/>
      <c r="U69" s="196"/>
    </row>
    <row r="70" spans="1:21" s="12" customFormat="1" x14ac:dyDescent="0.25">
      <c r="A70" s="211" t="s">
        <v>2804</v>
      </c>
      <c r="B70" s="248" t="s">
        <v>32</v>
      </c>
      <c r="C70" s="248" t="s">
        <v>32</v>
      </c>
      <c r="D70" s="248" t="s">
        <v>32</v>
      </c>
      <c r="E70" s="248" t="s">
        <v>32</v>
      </c>
      <c r="F70" s="248" t="s">
        <v>32</v>
      </c>
      <c r="G70" s="248" t="s">
        <v>32</v>
      </c>
      <c r="H70" s="248" t="s">
        <v>32</v>
      </c>
      <c r="I70" s="248" t="s">
        <v>32</v>
      </c>
      <c r="J70" s="248" t="s">
        <v>32</v>
      </c>
      <c r="K70" s="248" t="s">
        <v>32</v>
      </c>
      <c r="L70" s="248" t="s">
        <v>32</v>
      </c>
      <c r="M70" s="248" t="s">
        <v>32</v>
      </c>
      <c r="N70" s="248" t="s">
        <v>32</v>
      </c>
      <c r="O70" s="248" t="s">
        <v>32</v>
      </c>
      <c r="P70" s="248" t="s">
        <v>32</v>
      </c>
      <c r="Q70" s="248" t="s">
        <v>32</v>
      </c>
      <c r="R70" s="196"/>
      <c r="S70" s="196"/>
      <c r="T70" s="196"/>
      <c r="U70" s="196"/>
    </row>
    <row r="71" spans="1:21" s="12" customFormat="1" x14ac:dyDescent="0.25">
      <c r="A71" s="211" t="s">
        <v>2805</v>
      </c>
      <c r="B71" s="7" t="s">
        <v>49</v>
      </c>
      <c r="C71" s="7" t="s">
        <v>49</v>
      </c>
      <c r="D71" s="7" t="s">
        <v>49</v>
      </c>
      <c r="E71" s="7" t="s">
        <v>49</v>
      </c>
      <c r="F71" s="64">
        <v>2.31</v>
      </c>
      <c r="G71" s="64">
        <v>68.33</v>
      </c>
      <c r="H71" s="64">
        <v>48.7</v>
      </c>
      <c r="I71" s="7" t="s">
        <v>49</v>
      </c>
      <c r="J71" s="64">
        <v>0.55000000000000004</v>
      </c>
      <c r="K71" s="64">
        <v>6.09</v>
      </c>
      <c r="L71" s="64">
        <v>21.6</v>
      </c>
      <c r="M71" s="64">
        <v>27.58</v>
      </c>
      <c r="N71" s="64">
        <v>100.2</v>
      </c>
      <c r="O71" s="64">
        <v>0</v>
      </c>
      <c r="P71" s="64">
        <v>0.1</v>
      </c>
      <c r="Q71" s="7" t="s">
        <v>49</v>
      </c>
      <c r="R71" s="196"/>
      <c r="S71" s="196"/>
      <c r="T71" s="196"/>
      <c r="U71" s="196"/>
    </row>
    <row r="72" spans="1:21" s="12" customFormat="1" x14ac:dyDescent="0.25">
      <c r="A72" s="211" t="s">
        <v>2806</v>
      </c>
      <c r="B72" s="7" t="s">
        <v>49</v>
      </c>
      <c r="C72" s="7" t="s">
        <v>49</v>
      </c>
      <c r="D72" s="7" t="s">
        <v>49</v>
      </c>
      <c r="E72" s="64">
        <v>5.77</v>
      </c>
      <c r="F72" s="64">
        <v>7.83</v>
      </c>
      <c r="G72" s="64">
        <v>18.04</v>
      </c>
      <c r="H72" s="64">
        <v>6.98</v>
      </c>
      <c r="I72" s="7" t="s">
        <v>49</v>
      </c>
      <c r="J72" s="64">
        <v>0.95</v>
      </c>
      <c r="K72" s="64">
        <v>95.11</v>
      </c>
      <c r="L72" s="64">
        <v>21.52</v>
      </c>
      <c r="M72" s="64">
        <v>27.89</v>
      </c>
      <c r="N72" s="64">
        <v>86.6</v>
      </c>
      <c r="O72" s="64">
        <v>0</v>
      </c>
      <c r="P72" s="64">
        <v>0.64</v>
      </c>
      <c r="Q72" s="7" t="s">
        <v>49</v>
      </c>
      <c r="R72" s="196"/>
      <c r="S72" s="196"/>
      <c r="T72" s="196"/>
      <c r="U72" s="196"/>
    </row>
    <row r="73" spans="1:21" s="12" customFormat="1" x14ac:dyDescent="0.25">
      <c r="A73" s="211" t="s">
        <v>2807</v>
      </c>
      <c r="B73" s="9" t="s">
        <v>36</v>
      </c>
      <c r="C73" s="9" t="s">
        <v>36</v>
      </c>
      <c r="D73" s="9" t="s">
        <v>36</v>
      </c>
      <c r="E73" s="64">
        <v>0.48</v>
      </c>
      <c r="F73" s="64">
        <v>5.75</v>
      </c>
      <c r="G73" s="9" t="s">
        <v>36</v>
      </c>
      <c r="H73" s="9" t="s">
        <v>36</v>
      </c>
      <c r="I73" s="64">
        <v>2.88</v>
      </c>
      <c r="J73" s="64">
        <v>1.47</v>
      </c>
      <c r="K73" s="64">
        <v>106</v>
      </c>
      <c r="L73" s="64">
        <v>21.25</v>
      </c>
      <c r="M73" s="64">
        <v>27.82</v>
      </c>
      <c r="N73" s="64">
        <v>80.7</v>
      </c>
      <c r="O73" s="64">
        <v>0</v>
      </c>
      <c r="P73" s="64">
        <v>0.57999999999999996</v>
      </c>
      <c r="Q73" s="7" t="s">
        <v>49</v>
      </c>
      <c r="R73" s="196"/>
      <c r="S73" s="196"/>
      <c r="T73" s="196"/>
      <c r="U73" s="196"/>
    </row>
    <row r="74" spans="1:21" s="12" customFormat="1" x14ac:dyDescent="0.25">
      <c r="A74" s="211" t="s">
        <v>2808</v>
      </c>
      <c r="B74" s="9" t="s">
        <v>36</v>
      </c>
      <c r="C74" s="9" t="s">
        <v>36</v>
      </c>
      <c r="D74" s="9" t="s">
        <v>36</v>
      </c>
      <c r="E74" s="9" t="s">
        <v>36</v>
      </c>
      <c r="F74" s="64">
        <v>5.64</v>
      </c>
      <c r="G74" s="9" t="s">
        <v>36</v>
      </c>
      <c r="H74" s="9" t="s">
        <v>36</v>
      </c>
      <c r="I74" s="64">
        <v>12.94</v>
      </c>
      <c r="J74" s="64">
        <v>0.3</v>
      </c>
      <c r="K74" s="64">
        <v>75.400000000000006</v>
      </c>
      <c r="L74" s="64">
        <v>21.06</v>
      </c>
      <c r="M74" s="64">
        <v>28.82</v>
      </c>
      <c r="N74" s="64">
        <v>67.5</v>
      </c>
      <c r="O74" s="64">
        <v>0</v>
      </c>
      <c r="P74" s="64">
        <v>0.5</v>
      </c>
      <c r="Q74" s="64">
        <v>10.09</v>
      </c>
      <c r="R74" s="196"/>
      <c r="S74" s="196"/>
      <c r="T74" s="196"/>
      <c r="U74" s="196"/>
    </row>
    <row r="75" spans="1:21" s="12" customFormat="1" x14ac:dyDescent="0.25">
      <c r="A75" s="211" t="s">
        <v>2809</v>
      </c>
      <c r="B75" s="9" t="s">
        <v>36</v>
      </c>
      <c r="C75" s="9" t="s">
        <v>36</v>
      </c>
      <c r="D75" s="9" t="s">
        <v>36</v>
      </c>
      <c r="E75" s="9" t="s">
        <v>36</v>
      </c>
      <c r="F75" s="64">
        <v>5.26</v>
      </c>
      <c r="G75" s="9" t="s">
        <v>36</v>
      </c>
      <c r="H75" s="9" t="s">
        <v>36</v>
      </c>
      <c r="I75" s="64">
        <v>13.28</v>
      </c>
      <c r="J75" s="64">
        <v>1.17</v>
      </c>
      <c r="K75" s="64">
        <v>86.31</v>
      </c>
      <c r="L75" s="64">
        <v>20.61</v>
      </c>
      <c r="M75" s="64">
        <v>29.68</v>
      </c>
      <c r="N75" s="64">
        <v>56</v>
      </c>
      <c r="O75" s="64">
        <v>0</v>
      </c>
      <c r="P75" s="64">
        <v>0.46</v>
      </c>
      <c r="Q75" s="64">
        <v>9.82</v>
      </c>
      <c r="R75" s="196"/>
      <c r="S75" s="196"/>
      <c r="T75" s="196"/>
      <c r="U75" s="196"/>
    </row>
    <row r="76" spans="1:21" s="12" customFormat="1" x14ac:dyDescent="0.25">
      <c r="A76" s="211" t="s">
        <v>2810</v>
      </c>
      <c r="B76" s="9" t="s">
        <v>36</v>
      </c>
      <c r="C76" s="9" t="s">
        <v>36</v>
      </c>
      <c r="D76" s="9" t="s">
        <v>36</v>
      </c>
      <c r="E76" s="9" t="s">
        <v>36</v>
      </c>
      <c r="F76" s="64">
        <v>5</v>
      </c>
      <c r="G76" s="64">
        <v>47.66</v>
      </c>
      <c r="H76" s="64">
        <v>12.11</v>
      </c>
      <c r="I76" s="64">
        <v>12.28</v>
      </c>
      <c r="J76" s="64">
        <v>1.19</v>
      </c>
      <c r="K76" s="64">
        <v>93.57</v>
      </c>
      <c r="L76" s="64">
        <v>20.11</v>
      </c>
      <c r="M76" s="64">
        <v>30.57</v>
      </c>
      <c r="N76" s="64">
        <v>47.8</v>
      </c>
      <c r="O76" s="64">
        <v>0</v>
      </c>
      <c r="P76" s="64">
        <v>0.43</v>
      </c>
      <c r="Q76" s="64">
        <v>9.39</v>
      </c>
      <c r="R76" s="196"/>
      <c r="S76" s="196"/>
      <c r="T76" s="196"/>
      <c r="U76" s="196"/>
    </row>
    <row r="77" spans="1:21" s="12" customFormat="1" x14ac:dyDescent="0.25">
      <c r="A77" s="211" t="s">
        <v>2811</v>
      </c>
      <c r="B77" s="9" t="s">
        <v>36</v>
      </c>
      <c r="C77" s="9" t="s">
        <v>36</v>
      </c>
      <c r="D77" s="9" t="s">
        <v>36</v>
      </c>
      <c r="E77" s="9" t="s">
        <v>36</v>
      </c>
      <c r="F77" s="64">
        <v>4.9800000000000004</v>
      </c>
      <c r="G77" s="64">
        <v>84.11</v>
      </c>
      <c r="H77" s="64">
        <v>16.309999999999999</v>
      </c>
      <c r="I77" s="64">
        <v>12.06</v>
      </c>
      <c r="J77" s="64">
        <v>0.35</v>
      </c>
      <c r="K77" s="64">
        <v>79.599999999999994</v>
      </c>
      <c r="L77" s="64">
        <v>19.53</v>
      </c>
      <c r="M77" s="64">
        <v>32.770000000000003</v>
      </c>
      <c r="N77" s="64">
        <v>40.6</v>
      </c>
      <c r="O77" s="64">
        <v>0</v>
      </c>
      <c r="P77" s="64">
        <v>0.41</v>
      </c>
      <c r="Q77" s="64">
        <v>9.08</v>
      </c>
      <c r="R77" s="196"/>
      <c r="S77" s="196"/>
      <c r="T77" s="196"/>
      <c r="U77" s="196"/>
    </row>
    <row r="78" spans="1:21" s="12" customFormat="1" x14ac:dyDescent="0.25">
      <c r="A78" s="211" t="s">
        <v>2812</v>
      </c>
      <c r="B78" s="9" t="s">
        <v>36</v>
      </c>
      <c r="C78" s="9" t="s">
        <v>36</v>
      </c>
      <c r="D78" s="9" t="s">
        <v>36</v>
      </c>
      <c r="E78" s="9" t="s">
        <v>36</v>
      </c>
      <c r="F78" s="64">
        <v>4.6500000000000004</v>
      </c>
      <c r="G78" s="64">
        <v>84.11</v>
      </c>
      <c r="H78" s="64">
        <v>16.309999999999999</v>
      </c>
      <c r="I78" s="64">
        <v>11.79</v>
      </c>
      <c r="J78" s="64">
        <v>1.19</v>
      </c>
      <c r="K78" s="64">
        <v>11.06</v>
      </c>
      <c r="L78" s="64">
        <v>18.95</v>
      </c>
      <c r="M78" s="64">
        <v>35.909999999999997</v>
      </c>
      <c r="N78" s="64">
        <v>35.799999999999997</v>
      </c>
      <c r="O78" s="64">
        <v>0</v>
      </c>
      <c r="P78" s="64">
        <v>0.43</v>
      </c>
      <c r="Q78" s="64">
        <v>8.8800000000000008</v>
      </c>
      <c r="R78" s="196"/>
      <c r="S78" s="196"/>
      <c r="T78" s="196"/>
      <c r="U78" s="196"/>
    </row>
    <row r="79" spans="1:21" s="12" customFormat="1" x14ac:dyDescent="0.25">
      <c r="A79" s="211" t="s">
        <v>2813</v>
      </c>
      <c r="B79" s="9" t="s">
        <v>36</v>
      </c>
      <c r="C79" s="9" t="s">
        <v>36</v>
      </c>
      <c r="D79" s="9" t="s">
        <v>36</v>
      </c>
      <c r="E79" s="9" t="s">
        <v>36</v>
      </c>
      <c r="F79" s="64">
        <v>4.17</v>
      </c>
      <c r="G79" s="64">
        <v>84.11</v>
      </c>
      <c r="H79" s="64">
        <v>16.309999999999999</v>
      </c>
      <c r="I79" s="64">
        <v>11.07</v>
      </c>
      <c r="J79" s="64">
        <v>1.61</v>
      </c>
      <c r="K79" s="64">
        <v>322.98</v>
      </c>
      <c r="L79" s="64">
        <v>18.12</v>
      </c>
      <c r="M79" s="64">
        <v>44.18</v>
      </c>
      <c r="N79" s="64">
        <v>35.1</v>
      </c>
      <c r="O79" s="64">
        <v>0</v>
      </c>
      <c r="P79" s="64">
        <v>0.49</v>
      </c>
      <c r="Q79" s="64">
        <v>8.9</v>
      </c>
      <c r="R79" s="196"/>
      <c r="S79" s="196"/>
      <c r="T79" s="196"/>
      <c r="U79" s="196"/>
    </row>
    <row r="80" spans="1:21" s="12" customFormat="1" x14ac:dyDescent="0.25">
      <c r="A80" s="211" t="s">
        <v>2814</v>
      </c>
      <c r="B80" s="9" t="s">
        <v>36</v>
      </c>
      <c r="C80" s="9" t="s">
        <v>36</v>
      </c>
      <c r="D80" s="9" t="s">
        <v>36</v>
      </c>
      <c r="E80" s="9" t="s">
        <v>36</v>
      </c>
      <c r="F80" s="64">
        <v>3.58</v>
      </c>
      <c r="G80" s="64">
        <v>91.99</v>
      </c>
      <c r="H80" s="64">
        <v>31.91</v>
      </c>
      <c r="I80" s="64">
        <v>10.61</v>
      </c>
      <c r="J80" s="64">
        <v>1.54</v>
      </c>
      <c r="K80" s="64">
        <v>342</v>
      </c>
      <c r="L80" s="64">
        <v>17.22</v>
      </c>
      <c r="M80" s="64">
        <v>48.91</v>
      </c>
      <c r="N80" s="64">
        <v>34.9</v>
      </c>
      <c r="O80" s="64">
        <v>0</v>
      </c>
      <c r="P80" s="64">
        <v>0.73</v>
      </c>
      <c r="Q80" s="64">
        <v>9.69</v>
      </c>
      <c r="R80" s="196"/>
      <c r="S80" s="196"/>
      <c r="T80" s="196"/>
      <c r="U80" s="196"/>
    </row>
    <row r="81" spans="1:26" s="12" customFormat="1" x14ac:dyDescent="0.25">
      <c r="A81" s="211" t="s">
        <v>2815</v>
      </c>
      <c r="B81" s="9" t="s">
        <v>36</v>
      </c>
      <c r="C81" s="9" t="s">
        <v>36</v>
      </c>
      <c r="D81" s="9" t="s">
        <v>36</v>
      </c>
      <c r="E81" s="9" t="s">
        <v>36</v>
      </c>
      <c r="F81" s="64">
        <v>3.62</v>
      </c>
      <c r="G81" s="64">
        <v>98.02</v>
      </c>
      <c r="H81" s="64">
        <v>42.51</v>
      </c>
      <c r="I81" s="64">
        <v>11.2</v>
      </c>
      <c r="J81" s="64">
        <v>1.48</v>
      </c>
      <c r="K81" s="64">
        <v>278.54000000000002</v>
      </c>
      <c r="L81" s="64">
        <v>16.55</v>
      </c>
      <c r="M81" s="64">
        <v>47.21</v>
      </c>
      <c r="N81" s="64">
        <v>34.799999999999997</v>
      </c>
      <c r="O81" s="64">
        <v>0</v>
      </c>
      <c r="P81" s="64">
        <v>1.03</v>
      </c>
      <c r="Q81" s="64">
        <v>9.9600000000000009</v>
      </c>
      <c r="R81" s="196"/>
      <c r="S81" s="196"/>
      <c r="T81" s="196"/>
      <c r="U81" s="196"/>
    </row>
    <row r="82" spans="1:26" s="12" customFormat="1" x14ac:dyDescent="0.25">
      <c r="A82" s="211" t="s">
        <v>2816</v>
      </c>
      <c r="B82" s="9" t="s">
        <v>36</v>
      </c>
      <c r="C82" s="9" t="s">
        <v>36</v>
      </c>
      <c r="D82" s="9" t="s">
        <v>36</v>
      </c>
      <c r="E82" s="9" t="s">
        <v>36</v>
      </c>
      <c r="F82" s="64">
        <v>3.85</v>
      </c>
      <c r="G82" s="64">
        <v>98.02</v>
      </c>
      <c r="H82" s="64">
        <v>42.51</v>
      </c>
      <c r="I82" s="64">
        <v>10.82</v>
      </c>
      <c r="J82" s="64">
        <v>0.66</v>
      </c>
      <c r="K82" s="64">
        <v>327.07</v>
      </c>
      <c r="L82" s="64">
        <v>16.059999999999999</v>
      </c>
      <c r="M82" s="64">
        <v>49.51</v>
      </c>
      <c r="N82" s="64">
        <v>34.6</v>
      </c>
      <c r="O82" s="64">
        <v>0</v>
      </c>
      <c r="P82" s="64">
        <v>1.06</v>
      </c>
      <c r="Q82" s="64">
        <v>9.9600000000000009</v>
      </c>
      <c r="R82" s="196"/>
      <c r="S82" s="196"/>
      <c r="T82" s="196"/>
      <c r="U82" s="196"/>
    </row>
    <row r="83" spans="1:26" s="12" customFormat="1" x14ac:dyDescent="0.25">
      <c r="A83" s="211" t="s">
        <v>2817</v>
      </c>
      <c r="B83" s="9" t="s">
        <v>36</v>
      </c>
      <c r="C83" s="9" t="s">
        <v>36</v>
      </c>
      <c r="D83" s="9" t="s">
        <v>36</v>
      </c>
      <c r="E83" s="9" t="s">
        <v>36</v>
      </c>
      <c r="F83" s="64">
        <v>3.71</v>
      </c>
      <c r="G83" s="64">
        <v>98.02</v>
      </c>
      <c r="H83" s="64">
        <v>42.51</v>
      </c>
      <c r="I83" s="64">
        <v>10.199999999999999</v>
      </c>
      <c r="J83" s="64">
        <v>0.83</v>
      </c>
      <c r="K83" s="64">
        <v>264.14999999999998</v>
      </c>
      <c r="L83" s="64">
        <v>15.66</v>
      </c>
      <c r="M83" s="64">
        <v>53.4</v>
      </c>
      <c r="N83" s="64">
        <v>34.5</v>
      </c>
      <c r="O83" s="64">
        <v>0</v>
      </c>
      <c r="P83" s="64">
        <v>1</v>
      </c>
      <c r="Q83" s="64">
        <v>10.01</v>
      </c>
      <c r="R83" s="196"/>
      <c r="S83" s="196"/>
      <c r="T83" s="196"/>
      <c r="U83" s="196"/>
    </row>
    <row r="84" spans="1:26" s="12" customFormat="1" x14ac:dyDescent="0.25">
      <c r="A84" s="211" t="s">
        <v>2818</v>
      </c>
      <c r="B84" s="9" t="s">
        <v>36</v>
      </c>
      <c r="C84" s="9" t="s">
        <v>36</v>
      </c>
      <c r="D84" s="9" t="s">
        <v>36</v>
      </c>
      <c r="E84" s="9" t="s">
        <v>36</v>
      </c>
      <c r="F84" s="64">
        <v>3.46</v>
      </c>
      <c r="G84" s="64">
        <v>126.2</v>
      </c>
      <c r="H84" s="64">
        <v>121.66</v>
      </c>
      <c r="I84" s="64">
        <v>10.51</v>
      </c>
      <c r="J84" s="64">
        <v>1.4</v>
      </c>
      <c r="K84" s="64">
        <v>355.26</v>
      </c>
      <c r="L84" s="64">
        <v>15.34</v>
      </c>
      <c r="M84" s="64">
        <v>56.05</v>
      </c>
      <c r="N84" s="64">
        <v>34.4</v>
      </c>
      <c r="O84" s="64">
        <v>0</v>
      </c>
      <c r="P84" s="64">
        <v>1.1200000000000001</v>
      </c>
      <c r="Q84" s="64">
        <v>10.01</v>
      </c>
      <c r="R84" s="196"/>
      <c r="S84" s="196"/>
      <c r="T84" s="196"/>
      <c r="U84" s="196"/>
    </row>
    <row r="85" spans="1:26" s="12" customFormat="1" x14ac:dyDescent="0.25">
      <c r="A85" s="211" t="s">
        <v>2819</v>
      </c>
      <c r="B85" s="9" t="s">
        <v>36</v>
      </c>
      <c r="C85" s="9" t="s">
        <v>36</v>
      </c>
      <c r="D85" s="9" t="s">
        <v>36</v>
      </c>
      <c r="E85" s="9" t="s">
        <v>36</v>
      </c>
      <c r="F85" s="64">
        <v>3.59</v>
      </c>
      <c r="G85" s="64">
        <v>147.76</v>
      </c>
      <c r="H85" s="64">
        <v>160.43</v>
      </c>
      <c r="I85" s="64">
        <v>11.1</v>
      </c>
      <c r="J85" s="64">
        <v>1.1299999999999999</v>
      </c>
      <c r="K85" s="64">
        <v>5.26</v>
      </c>
      <c r="L85" s="64">
        <v>15.35</v>
      </c>
      <c r="M85" s="64">
        <v>53.68</v>
      </c>
      <c r="N85" s="64">
        <v>34.299999999999997</v>
      </c>
      <c r="O85" s="64">
        <v>0</v>
      </c>
      <c r="P85" s="64">
        <v>1.47</v>
      </c>
      <c r="Q85" s="64">
        <v>10.039999999999999</v>
      </c>
      <c r="R85" s="196"/>
      <c r="S85" s="196"/>
      <c r="T85" s="196"/>
      <c r="U85" s="196"/>
    </row>
    <row r="86" spans="1:26" s="12" customFormat="1" x14ac:dyDescent="0.25">
      <c r="A86" s="211" t="s">
        <v>2820</v>
      </c>
      <c r="B86" s="9" t="s">
        <v>36</v>
      </c>
      <c r="C86" s="9" t="s">
        <v>36</v>
      </c>
      <c r="D86" s="9" t="s">
        <v>36</v>
      </c>
      <c r="E86" s="9" t="s">
        <v>36</v>
      </c>
      <c r="F86" s="64">
        <v>3.63</v>
      </c>
      <c r="G86" s="64">
        <v>147.76</v>
      </c>
      <c r="H86" s="64">
        <v>160.43</v>
      </c>
      <c r="I86" s="64">
        <v>11.33</v>
      </c>
      <c r="J86" s="64">
        <v>1.07</v>
      </c>
      <c r="K86" s="64">
        <v>309.39999999999998</v>
      </c>
      <c r="L86" s="64">
        <v>15.5</v>
      </c>
      <c r="M86" s="64">
        <v>53.53</v>
      </c>
      <c r="N86" s="64">
        <v>34.200000000000003</v>
      </c>
      <c r="O86" s="64">
        <v>0</v>
      </c>
      <c r="P86" s="64">
        <v>1.49</v>
      </c>
      <c r="Q86" s="64">
        <v>10.029999999999999</v>
      </c>
      <c r="R86" s="196"/>
      <c r="S86" s="196"/>
      <c r="T86" s="196"/>
      <c r="U86" s="196"/>
    </row>
    <row r="87" spans="1:26" s="12" customFormat="1" x14ac:dyDescent="0.25">
      <c r="A87" s="211" t="s">
        <v>2821</v>
      </c>
      <c r="B87" s="9" t="s">
        <v>36</v>
      </c>
      <c r="C87" s="9" t="s">
        <v>36</v>
      </c>
      <c r="D87" s="9" t="s">
        <v>36</v>
      </c>
      <c r="E87" s="9" t="s">
        <v>36</v>
      </c>
      <c r="F87" s="64">
        <v>3.71</v>
      </c>
      <c r="G87" s="64">
        <v>147.76</v>
      </c>
      <c r="H87" s="64">
        <v>160.43</v>
      </c>
      <c r="I87" s="64">
        <v>11.17</v>
      </c>
      <c r="J87" s="64">
        <v>1.57</v>
      </c>
      <c r="K87" s="64">
        <v>4.7300000000000004</v>
      </c>
      <c r="L87" s="64">
        <v>15.09</v>
      </c>
      <c r="M87" s="64">
        <v>62.63</v>
      </c>
      <c r="N87" s="64">
        <v>34.4</v>
      </c>
      <c r="O87" s="64">
        <v>0</v>
      </c>
      <c r="P87" s="64">
        <v>1.71</v>
      </c>
      <c r="Q87" s="64">
        <v>10.02</v>
      </c>
      <c r="R87" s="196"/>
      <c r="S87" s="196"/>
      <c r="T87" s="196"/>
      <c r="U87" s="196"/>
    </row>
    <row r="88" spans="1:26" s="12" customFormat="1" x14ac:dyDescent="0.25">
      <c r="A88" s="211" t="s">
        <v>2822</v>
      </c>
      <c r="B88" s="9" t="s">
        <v>36</v>
      </c>
      <c r="C88" s="9" t="s">
        <v>36</v>
      </c>
      <c r="D88" s="9" t="s">
        <v>36</v>
      </c>
      <c r="E88" s="9" t="s">
        <v>36</v>
      </c>
      <c r="F88" s="64">
        <v>3.79</v>
      </c>
      <c r="G88" s="64">
        <v>148.76</v>
      </c>
      <c r="H88" s="64">
        <v>170.84</v>
      </c>
      <c r="I88" s="64">
        <v>10.65</v>
      </c>
      <c r="J88" s="64">
        <v>0.96</v>
      </c>
      <c r="K88" s="64">
        <v>36.53</v>
      </c>
      <c r="L88" s="64">
        <v>15</v>
      </c>
      <c r="M88" s="64">
        <v>56.28</v>
      </c>
      <c r="N88" s="64">
        <v>34</v>
      </c>
      <c r="O88" s="64">
        <v>0</v>
      </c>
      <c r="P88" s="64">
        <v>1.64</v>
      </c>
      <c r="Q88" s="64">
        <v>10.029999999999999</v>
      </c>
      <c r="R88" s="196"/>
      <c r="S88" s="196"/>
      <c r="T88" s="196"/>
      <c r="U88" s="196"/>
    </row>
    <row r="89" spans="1:26" s="12" customFormat="1" x14ac:dyDescent="0.25">
      <c r="A89" s="211" t="s">
        <v>2823</v>
      </c>
      <c r="B89" s="9" t="s">
        <v>36</v>
      </c>
      <c r="C89" s="9" t="s">
        <v>36</v>
      </c>
      <c r="D89" s="9" t="s">
        <v>36</v>
      </c>
      <c r="E89" s="9" t="s">
        <v>36</v>
      </c>
      <c r="F89" s="64">
        <v>3.94</v>
      </c>
      <c r="G89" s="64">
        <v>149.53</v>
      </c>
      <c r="H89" s="64">
        <v>174.45</v>
      </c>
      <c r="I89" s="64">
        <v>11.44</v>
      </c>
      <c r="J89" s="64">
        <v>0.5</v>
      </c>
      <c r="K89" s="64">
        <v>12.78</v>
      </c>
      <c r="L89" s="64">
        <v>15.34</v>
      </c>
      <c r="M89" s="64">
        <v>50.3</v>
      </c>
      <c r="N89" s="64">
        <v>34.1</v>
      </c>
      <c r="O89" s="64">
        <v>0</v>
      </c>
      <c r="P89" s="64">
        <v>1.56</v>
      </c>
      <c r="Q89" s="64">
        <v>10.26</v>
      </c>
      <c r="R89" s="196"/>
      <c r="S89" s="196"/>
      <c r="T89" s="196"/>
      <c r="U89" s="196"/>
    </row>
    <row r="90" spans="1:26" s="12" customFormat="1" x14ac:dyDescent="0.25">
      <c r="A90" s="211" t="s">
        <v>2824</v>
      </c>
      <c r="B90" s="9" t="s">
        <v>36</v>
      </c>
      <c r="C90" s="9" t="s">
        <v>36</v>
      </c>
      <c r="D90" s="9" t="s">
        <v>36</v>
      </c>
      <c r="E90" s="9" t="s">
        <v>36</v>
      </c>
      <c r="F90" s="64">
        <v>4.0599999999999996</v>
      </c>
      <c r="G90" s="64">
        <v>149.53</v>
      </c>
      <c r="H90" s="64">
        <v>174.45</v>
      </c>
      <c r="I90" s="64">
        <v>11.85</v>
      </c>
      <c r="J90" s="64">
        <v>1.23</v>
      </c>
      <c r="K90" s="64">
        <v>344.57</v>
      </c>
      <c r="L90" s="64">
        <v>15.48</v>
      </c>
      <c r="M90" s="64">
        <v>46.37</v>
      </c>
      <c r="N90" s="64">
        <v>34.200000000000003</v>
      </c>
      <c r="O90" s="64">
        <v>0</v>
      </c>
      <c r="P90" s="64">
        <v>1.64</v>
      </c>
      <c r="Q90" s="64">
        <v>10.35</v>
      </c>
      <c r="R90" s="196"/>
      <c r="S90" s="196"/>
      <c r="T90" s="196"/>
      <c r="U90" s="196"/>
    </row>
    <row r="91" spans="1:26" s="12" customFormat="1" x14ac:dyDescent="0.25">
      <c r="A91" s="211" t="s">
        <v>2825</v>
      </c>
      <c r="B91" s="9" t="s">
        <v>36</v>
      </c>
      <c r="C91" s="9" t="s">
        <v>36</v>
      </c>
      <c r="D91" s="9" t="s">
        <v>36</v>
      </c>
      <c r="E91" s="9" t="s">
        <v>36</v>
      </c>
      <c r="F91" s="64">
        <v>4.29</v>
      </c>
      <c r="G91" s="64">
        <v>149.53</v>
      </c>
      <c r="H91" s="64">
        <v>174.45</v>
      </c>
      <c r="I91" s="64">
        <v>11.85</v>
      </c>
      <c r="J91" s="64">
        <v>0.53</v>
      </c>
      <c r="K91" s="64">
        <v>322.5</v>
      </c>
      <c r="L91" s="64">
        <v>15.36</v>
      </c>
      <c r="M91" s="64">
        <v>45.77</v>
      </c>
      <c r="N91" s="64">
        <v>34.1</v>
      </c>
      <c r="O91" s="64">
        <v>0</v>
      </c>
      <c r="P91" s="64">
        <v>1.68</v>
      </c>
      <c r="Q91" s="64">
        <v>10.210000000000001</v>
      </c>
      <c r="R91" s="196"/>
      <c r="S91" s="196"/>
      <c r="T91" s="196"/>
      <c r="U91" s="196"/>
    </row>
    <row r="92" spans="1:26" s="12" customFormat="1" x14ac:dyDescent="0.25">
      <c r="A92" s="211" t="s">
        <v>2826</v>
      </c>
      <c r="B92" s="9" t="s">
        <v>36</v>
      </c>
      <c r="C92" s="9" t="s">
        <v>36</v>
      </c>
      <c r="D92" s="9" t="s">
        <v>36</v>
      </c>
      <c r="E92" s="9" t="s">
        <v>36</v>
      </c>
      <c r="F92" s="64">
        <v>4.1399999999999997</v>
      </c>
      <c r="G92" s="64">
        <v>144</v>
      </c>
      <c r="H92" s="64">
        <v>84.66</v>
      </c>
      <c r="I92" s="64">
        <v>11.55</v>
      </c>
      <c r="J92" s="64">
        <v>1.17</v>
      </c>
      <c r="K92" s="64">
        <v>357.9</v>
      </c>
      <c r="L92" s="64">
        <v>15.38</v>
      </c>
      <c r="M92" s="64">
        <v>46.07</v>
      </c>
      <c r="N92" s="64">
        <v>34.200000000000003</v>
      </c>
      <c r="O92" s="64">
        <v>0</v>
      </c>
      <c r="P92" s="64">
        <v>1.73</v>
      </c>
      <c r="Q92" s="64">
        <v>10.220000000000001</v>
      </c>
      <c r="R92" s="196"/>
      <c r="S92" s="196"/>
      <c r="T92" s="196"/>
      <c r="U92" s="196"/>
    </row>
    <row r="93" spans="1:26" s="12" customFormat="1" x14ac:dyDescent="0.25">
      <c r="A93" s="211" t="s">
        <v>2827</v>
      </c>
      <c r="B93" s="9" t="s">
        <v>36</v>
      </c>
      <c r="C93" s="9" t="s">
        <v>36</v>
      </c>
      <c r="D93" s="9" t="s">
        <v>36</v>
      </c>
      <c r="E93" s="9" t="s">
        <v>36</v>
      </c>
      <c r="F93" s="64">
        <v>4.2300000000000004</v>
      </c>
      <c r="G93" s="64">
        <v>139.57</v>
      </c>
      <c r="H93" s="64">
        <v>53.5</v>
      </c>
      <c r="I93" s="64">
        <v>11.54</v>
      </c>
      <c r="J93" s="64">
        <v>1.19</v>
      </c>
      <c r="K93" s="64">
        <v>351.6</v>
      </c>
      <c r="L93" s="64">
        <v>15.35</v>
      </c>
      <c r="M93" s="64">
        <v>45.84</v>
      </c>
      <c r="N93" s="64">
        <v>34.4</v>
      </c>
      <c r="O93" s="64">
        <v>0</v>
      </c>
      <c r="P93" s="64">
        <v>1.75</v>
      </c>
      <c r="Q93" s="64">
        <v>10.24</v>
      </c>
      <c r="R93" s="196"/>
      <c r="S93" s="196"/>
      <c r="T93" s="196"/>
      <c r="U93" s="196"/>
    </row>
    <row r="94" spans="1:26" s="12" customFormat="1" x14ac:dyDescent="0.25">
      <c r="A94" s="211" t="s">
        <v>2828</v>
      </c>
      <c r="B94" s="9" t="s">
        <v>36</v>
      </c>
      <c r="C94" s="9" t="s">
        <v>36</v>
      </c>
      <c r="D94" s="9" t="s">
        <v>36</v>
      </c>
      <c r="E94" s="9" t="s">
        <v>36</v>
      </c>
      <c r="F94" s="64">
        <v>4.34</v>
      </c>
      <c r="G94" s="64">
        <v>139.57</v>
      </c>
      <c r="H94" s="64">
        <v>53.5</v>
      </c>
      <c r="I94" s="64">
        <v>11.5</v>
      </c>
      <c r="J94" s="64">
        <v>0.35</v>
      </c>
      <c r="K94" s="64">
        <v>78.36</v>
      </c>
      <c r="L94" s="64">
        <v>15.27</v>
      </c>
      <c r="M94" s="64">
        <v>43.17</v>
      </c>
      <c r="N94" s="64">
        <v>34.1</v>
      </c>
      <c r="O94" s="64">
        <v>0</v>
      </c>
      <c r="P94" s="64">
        <v>1.79</v>
      </c>
      <c r="Q94" s="64">
        <v>10.31</v>
      </c>
      <c r="R94" s="196"/>
      <c r="S94" s="196"/>
      <c r="T94" s="196"/>
      <c r="U94" s="196"/>
    </row>
    <row r="95" spans="1:26" s="12" customFormat="1" x14ac:dyDescent="0.25">
      <c r="A95" s="211" t="s">
        <v>2829</v>
      </c>
      <c r="B95" s="9" t="s">
        <v>36</v>
      </c>
      <c r="C95" s="9" t="s">
        <v>36</v>
      </c>
      <c r="D95" s="9" t="s">
        <v>36</v>
      </c>
      <c r="E95" s="9" t="s">
        <v>36</v>
      </c>
      <c r="F95" s="64">
        <v>4.25</v>
      </c>
      <c r="G95" s="64">
        <v>139.57</v>
      </c>
      <c r="H95" s="64">
        <v>53.5</v>
      </c>
      <c r="I95" s="64">
        <v>11.37</v>
      </c>
      <c r="J95" s="64">
        <v>0.3</v>
      </c>
      <c r="K95" s="64">
        <v>60.4</v>
      </c>
      <c r="L95" s="64">
        <v>15.46</v>
      </c>
      <c r="M95" s="64">
        <v>41.87</v>
      </c>
      <c r="N95" s="64">
        <v>34.1</v>
      </c>
      <c r="O95" s="64">
        <v>0</v>
      </c>
      <c r="P95" s="64">
        <v>1.78</v>
      </c>
      <c r="Q95" s="64">
        <v>10.37</v>
      </c>
      <c r="R95" s="196"/>
      <c r="S95" s="196"/>
      <c r="T95" s="196"/>
      <c r="U95" s="196"/>
    </row>
    <row r="96" spans="1:26" s="12" customFormat="1" x14ac:dyDescent="0.25">
      <c r="A96" s="211" t="s">
        <v>2830</v>
      </c>
      <c r="B96" s="9" t="s">
        <v>36</v>
      </c>
      <c r="C96" s="9" t="s">
        <v>36</v>
      </c>
      <c r="D96" s="9" t="s">
        <v>36</v>
      </c>
      <c r="E96" s="9" t="s">
        <v>36</v>
      </c>
      <c r="F96" s="64">
        <v>3.88</v>
      </c>
      <c r="G96" s="64">
        <v>133.55000000000001</v>
      </c>
      <c r="H96" s="64">
        <v>22.58</v>
      </c>
      <c r="I96" s="64">
        <v>11.16</v>
      </c>
      <c r="J96" s="64">
        <v>0.71</v>
      </c>
      <c r="K96" s="64">
        <v>13.81</v>
      </c>
      <c r="L96" s="64">
        <v>15.45</v>
      </c>
      <c r="M96" s="64">
        <v>42.1</v>
      </c>
      <c r="N96" s="64">
        <v>34.200000000000003</v>
      </c>
      <c r="O96" s="64">
        <v>0</v>
      </c>
      <c r="P96" s="64">
        <v>1.74</v>
      </c>
      <c r="Q96" s="64">
        <v>10.32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2831</v>
      </c>
      <c r="B97" s="9" t="s">
        <v>36</v>
      </c>
      <c r="C97" s="9" t="s">
        <v>36</v>
      </c>
      <c r="D97" s="9" t="s">
        <v>36</v>
      </c>
      <c r="E97" s="9" t="s">
        <v>36</v>
      </c>
      <c r="F97" s="64">
        <v>3.93</v>
      </c>
      <c r="G97" s="64">
        <v>128.94</v>
      </c>
      <c r="H97" s="64">
        <v>1.55</v>
      </c>
      <c r="I97" s="64">
        <v>10.92</v>
      </c>
      <c r="J97" s="64">
        <v>0.37</v>
      </c>
      <c r="K97" s="64">
        <v>77.83</v>
      </c>
      <c r="L97" s="64">
        <v>15.29</v>
      </c>
      <c r="M97" s="64">
        <v>43.55</v>
      </c>
      <c r="N97" s="64">
        <v>34.200000000000003</v>
      </c>
      <c r="O97" s="64">
        <v>0</v>
      </c>
      <c r="P97" s="64">
        <v>1.69</v>
      </c>
      <c r="Q97" s="64">
        <v>10.28</v>
      </c>
      <c r="R97" s="196"/>
      <c r="S97" s="196"/>
      <c r="T97" s="196"/>
      <c r="U97" s="196"/>
    </row>
    <row r="98" spans="1:33" s="12" customFormat="1" x14ac:dyDescent="0.25">
      <c r="A98" s="211" t="s">
        <v>2832</v>
      </c>
      <c r="B98" s="9" t="s">
        <v>36</v>
      </c>
      <c r="C98" s="9" t="s">
        <v>36</v>
      </c>
      <c r="D98" s="9" t="s">
        <v>36</v>
      </c>
      <c r="E98" s="9" t="s">
        <v>36</v>
      </c>
      <c r="F98" s="64">
        <v>3.94</v>
      </c>
      <c r="G98" s="64">
        <v>128.94</v>
      </c>
      <c r="H98" s="64">
        <v>1.55</v>
      </c>
      <c r="I98" s="64">
        <v>10.67</v>
      </c>
      <c r="J98" s="64">
        <v>1.0900000000000001</v>
      </c>
      <c r="K98" s="64">
        <v>328.85</v>
      </c>
      <c r="L98" s="64">
        <v>15.09</v>
      </c>
      <c r="M98" s="64">
        <v>45.56</v>
      </c>
      <c r="N98" s="64">
        <v>34.299999999999997</v>
      </c>
      <c r="O98" s="64">
        <v>0</v>
      </c>
      <c r="P98" s="64">
        <v>1.64</v>
      </c>
      <c r="Q98" s="64">
        <v>10.199999999999999</v>
      </c>
      <c r="R98" s="196"/>
      <c r="S98" s="196"/>
      <c r="T98" s="196"/>
      <c r="U98" s="196"/>
    </row>
    <row r="99" spans="1:33" s="12" customFormat="1" x14ac:dyDescent="0.25">
      <c r="A99" s="211" t="s">
        <v>2833</v>
      </c>
      <c r="B99" s="9" t="s">
        <v>36</v>
      </c>
      <c r="C99" s="9" t="s">
        <v>36</v>
      </c>
      <c r="D99" s="9" t="s">
        <v>36</v>
      </c>
      <c r="E99" s="9" t="s">
        <v>36</v>
      </c>
      <c r="F99" s="64">
        <v>3.49</v>
      </c>
      <c r="G99" s="64">
        <v>128.94</v>
      </c>
      <c r="H99" s="64">
        <v>1.55</v>
      </c>
      <c r="I99" s="64">
        <v>10.07</v>
      </c>
      <c r="J99" s="64">
        <v>0.49</v>
      </c>
      <c r="K99" s="64">
        <v>17.38</v>
      </c>
      <c r="L99" s="64">
        <v>14.82</v>
      </c>
      <c r="M99" s="64">
        <v>46.52</v>
      </c>
      <c r="N99" s="64">
        <v>34.299999999999997</v>
      </c>
      <c r="O99" s="64">
        <v>0</v>
      </c>
      <c r="P99" s="64">
        <v>1.58</v>
      </c>
      <c r="Q99" s="64">
        <v>10.16</v>
      </c>
      <c r="R99" s="196"/>
      <c r="S99" s="196"/>
      <c r="T99" s="196"/>
      <c r="U99" s="196"/>
    </row>
    <row r="100" spans="1:33" s="12" customFormat="1" x14ac:dyDescent="0.25">
      <c r="A100" s="211" t="s">
        <v>2834</v>
      </c>
      <c r="B100" s="9" t="s">
        <v>36</v>
      </c>
      <c r="C100" s="9" t="s">
        <v>36</v>
      </c>
      <c r="D100" s="9" t="s">
        <v>36</v>
      </c>
      <c r="E100" s="9" t="s">
        <v>36</v>
      </c>
      <c r="F100" s="64">
        <v>3.54</v>
      </c>
      <c r="G100" s="64">
        <v>124.98</v>
      </c>
      <c r="H100" s="64">
        <v>0.61</v>
      </c>
      <c r="I100" s="64">
        <v>9.49</v>
      </c>
      <c r="J100" s="64">
        <v>1.04</v>
      </c>
      <c r="K100" s="64">
        <v>355.93</v>
      </c>
      <c r="L100" s="64">
        <v>14.62</v>
      </c>
      <c r="M100" s="64">
        <v>48.07</v>
      </c>
      <c r="N100" s="64">
        <v>34.4</v>
      </c>
      <c r="O100" s="64">
        <v>0</v>
      </c>
      <c r="P100" s="64">
        <v>1.49</v>
      </c>
      <c r="Q100" s="64">
        <v>10.14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2835</v>
      </c>
      <c r="B101" s="9" t="s">
        <v>36</v>
      </c>
      <c r="C101" s="9" t="s">
        <v>36</v>
      </c>
      <c r="D101" s="9" t="s">
        <v>36</v>
      </c>
      <c r="E101" s="9" t="s">
        <v>36</v>
      </c>
      <c r="F101" s="64">
        <v>3.71</v>
      </c>
      <c r="G101" s="64">
        <v>121.94</v>
      </c>
      <c r="H101" s="64">
        <v>0.28000000000000003</v>
      </c>
      <c r="I101" s="64">
        <v>9.08</v>
      </c>
      <c r="J101" s="64">
        <v>1.08</v>
      </c>
      <c r="K101" s="64">
        <v>323.64</v>
      </c>
      <c r="L101" s="64">
        <v>14.2</v>
      </c>
      <c r="M101" s="64">
        <v>50.29</v>
      </c>
      <c r="N101" s="64">
        <v>34.4</v>
      </c>
      <c r="O101" s="64">
        <v>0</v>
      </c>
      <c r="P101" s="64">
        <v>1.53</v>
      </c>
      <c r="Q101" s="64">
        <v>10.11</v>
      </c>
      <c r="R101" s="196"/>
      <c r="S101" s="196"/>
      <c r="T101" s="196"/>
      <c r="U101" s="196"/>
    </row>
    <row r="102" spans="1:33" s="12" customFormat="1" x14ac:dyDescent="0.25">
      <c r="A102" s="211" t="s">
        <v>2836</v>
      </c>
      <c r="B102" s="9" t="s">
        <v>36</v>
      </c>
      <c r="C102" s="9" t="s">
        <v>36</v>
      </c>
      <c r="D102" s="9" t="s">
        <v>36</v>
      </c>
      <c r="E102" s="9" t="s">
        <v>36</v>
      </c>
      <c r="F102" s="64">
        <v>3.84</v>
      </c>
      <c r="G102" s="64">
        <v>121.94</v>
      </c>
      <c r="H102" s="64">
        <v>0.28000000000000003</v>
      </c>
      <c r="I102" s="64">
        <v>7.79</v>
      </c>
      <c r="J102" s="64">
        <v>0.93</v>
      </c>
      <c r="K102" s="64">
        <v>337.28</v>
      </c>
      <c r="L102" s="64">
        <v>13.95</v>
      </c>
      <c r="M102" s="64">
        <v>51.56</v>
      </c>
      <c r="N102" s="64">
        <v>34.299999999999997</v>
      </c>
      <c r="O102" s="64">
        <v>0</v>
      </c>
      <c r="P102" s="64">
        <v>1.48</v>
      </c>
      <c r="Q102" s="64">
        <v>10.08</v>
      </c>
      <c r="R102" s="196"/>
      <c r="S102" s="196"/>
      <c r="T102" s="196"/>
      <c r="U102" s="196"/>
    </row>
    <row r="103" spans="1:33" s="12" customFormat="1" x14ac:dyDescent="0.25">
      <c r="A103" s="211" t="s">
        <v>2837</v>
      </c>
      <c r="B103" s="9" t="s">
        <v>36</v>
      </c>
      <c r="C103" s="9" t="s">
        <v>36</v>
      </c>
      <c r="D103" s="9" t="s">
        <v>36</v>
      </c>
      <c r="E103" s="9" t="s">
        <v>36</v>
      </c>
      <c r="F103" s="64">
        <v>3.9</v>
      </c>
      <c r="G103" s="64">
        <v>121.94</v>
      </c>
      <c r="H103" s="64">
        <v>0.28000000000000003</v>
      </c>
      <c r="I103" s="64">
        <v>7.37</v>
      </c>
      <c r="J103" s="64">
        <v>0.75</v>
      </c>
      <c r="K103" s="64">
        <v>24.35</v>
      </c>
      <c r="L103" s="64">
        <v>13.9</v>
      </c>
      <c r="M103" s="64">
        <v>51</v>
      </c>
      <c r="N103" s="64">
        <v>34.299999999999997</v>
      </c>
      <c r="O103" s="64">
        <v>0</v>
      </c>
      <c r="P103" s="64">
        <v>1.49</v>
      </c>
      <c r="Q103" s="64">
        <v>10.06</v>
      </c>
      <c r="R103" s="196"/>
      <c r="S103" s="196"/>
      <c r="T103" s="196"/>
      <c r="U103" s="196"/>
    </row>
    <row r="104" spans="1:33" s="12" customFormat="1" x14ac:dyDescent="0.25">
      <c r="A104" s="211" t="s">
        <v>2838</v>
      </c>
      <c r="B104" s="9" t="s">
        <v>36</v>
      </c>
      <c r="C104" s="9" t="s">
        <v>36</v>
      </c>
      <c r="D104" s="9" t="s">
        <v>36</v>
      </c>
      <c r="E104" s="64">
        <v>5.66</v>
      </c>
      <c r="F104" s="64">
        <v>3.68</v>
      </c>
      <c r="G104" s="64">
        <v>115.2</v>
      </c>
      <c r="H104" s="64">
        <v>70.05</v>
      </c>
      <c r="I104" s="64">
        <v>8.41</v>
      </c>
      <c r="J104" s="64">
        <v>1.28</v>
      </c>
      <c r="K104" s="64">
        <v>333.88</v>
      </c>
      <c r="L104" s="64">
        <v>13.69</v>
      </c>
      <c r="M104" s="64">
        <v>52.42</v>
      </c>
      <c r="N104" s="64">
        <v>34.4</v>
      </c>
      <c r="O104" s="64">
        <v>0</v>
      </c>
      <c r="P104" s="64">
        <v>1.42</v>
      </c>
      <c r="Q104" s="64">
        <v>10.050000000000001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13.59</v>
      </c>
      <c r="C106" s="67">
        <f>MIN(C9:C104)</f>
        <v>46.15</v>
      </c>
      <c r="D106" s="67">
        <f t="shared" ref="D106:Q106" si="0">MIN(D9:D104)</f>
        <v>42.49</v>
      </c>
      <c r="E106" s="67">
        <f t="shared" si="0"/>
        <v>0.48</v>
      </c>
      <c r="F106" s="67">
        <f t="shared" si="0"/>
        <v>2.31</v>
      </c>
      <c r="G106" s="67">
        <f t="shared" si="0"/>
        <v>18.04</v>
      </c>
      <c r="H106" s="67">
        <f t="shared" si="0"/>
        <v>0.28000000000000003</v>
      </c>
      <c r="I106" s="67">
        <f t="shared" si="0"/>
        <v>2.88</v>
      </c>
      <c r="J106" s="67">
        <f t="shared" si="0"/>
        <v>0.3</v>
      </c>
      <c r="K106" s="67">
        <f t="shared" si="0"/>
        <v>-0.99</v>
      </c>
      <c r="L106" s="67">
        <f t="shared" si="0"/>
        <v>10.6</v>
      </c>
      <c r="M106" s="67">
        <f t="shared" si="0"/>
        <v>27.58</v>
      </c>
      <c r="N106" s="67">
        <f t="shared" si="0"/>
        <v>33.5</v>
      </c>
      <c r="O106" s="67">
        <f t="shared" si="0"/>
        <v>0</v>
      </c>
      <c r="P106" s="67">
        <f t="shared" si="0"/>
        <v>0.1</v>
      </c>
      <c r="Q106" s="67">
        <f t="shared" si="0"/>
        <v>8.8800000000000008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88.22</v>
      </c>
      <c r="C107" s="66">
        <f t="shared" ref="C107:Q107" si="1">MAX(C9:C104)</f>
        <v>65.33</v>
      </c>
      <c r="D107" s="66">
        <f t="shared" si="1"/>
        <v>97.97</v>
      </c>
      <c r="E107" s="66">
        <f t="shared" si="1"/>
        <v>8.81</v>
      </c>
      <c r="F107" s="66">
        <f t="shared" si="1"/>
        <v>7.83</v>
      </c>
      <c r="G107" s="66">
        <f t="shared" si="1"/>
        <v>194.95</v>
      </c>
      <c r="H107" s="66">
        <f t="shared" si="1"/>
        <v>174.45</v>
      </c>
      <c r="I107" s="66">
        <f t="shared" si="1"/>
        <v>13.28</v>
      </c>
      <c r="J107" s="66">
        <f t="shared" si="1"/>
        <v>3.49</v>
      </c>
      <c r="K107" s="66">
        <f t="shared" si="1"/>
        <v>358.63</v>
      </c>
      <c r="L107" s="66">
        <f t="shared" si="1"/>
        <v>23.76</v>
      </c>
      <c r="M107" s="66">
        <f t="shared" si="1"/>
        <v>86.97</v>
      </c>
      <c r="N107" s="66">
        <f t="shared" si="1"/>
        <v>610.70000000000005</v>
      </c>
      <c r="O107" s="66">
        <f t="shared" si="1"/>
        <v>0</v>
      </c>
      <c r="P107" s="66">
        <f t="shared" si="1"/>
        <v>1.79</v>
      </c>
      <c r="Q107" s="66">
        <f t="shared" si="1"/>
        <v>11.3</v>
      </c>
      <c r="R107" s="198"/>
      <c r="S107" s="198"/>
      <c r="T107" s="198"/>
      <c r="U107" s="198"/>
    </row>
    <row r="108" spans="1:33" x14ac:dyDescent="0.25">
      <c r="A108" s="65" t="s">
        <v>61</v>
      </c>
      <c r="B108" s="67">
        <f>AVERAGE(B9:B104)</f>
        <v>60.818571428571431</v>
      </c>
      <c r="C108" s="67">
        <f t="shared" ref="C108:Q108" si="2">AVERAGE(C9:C104)</f>
        <v>53.772040816326545</v>
      </c>
      <c r="D108" s="67">
        <f t="shared" si="2"/>
        <v>75.489795918367335</v>
      </c>
      <c r="E108" s="67">
        <f t="shared" si="2"/>
        <v>6.9648076923076925</v>
      </c>
      <c r="F108" s="67">
        <f t="shared" si="2"/>
        <v>4.2804819277108415</v>
      </c>
      <c r="G108" s="67">
        <f t="shared" si="2"/>
        <v>136.41537500000004</v>
      </c>
      <c r="H108" s="67">
        <f t="shared" si="2"/>
        <v>65.929249999999996</v>
      </c>
      <c r="I108" s="67">
        <f t="shared" si="2"/>
        <v>8.671358024691358</v>
      </c>
      <c r="J108" s="67">
        <f t="shared" si="2"/>
        <v>1.487590361445783</v>
      </c>
      <c r="K108" s="67">
        <f t="shared" si="2"/>
        <v>217.63963855421682</v>
      </c>
      <c r="L108" s="67">
        <f t="shared" si="2"/>
        <v>15.923855421686746</v>
      </c>
      <c r="M108" s="67">
        <f t="shared" si="2"/>
        <v>55.903734939759048</v>
      </c>
      <c r="N108" s="67">
        <f t="shared" si="2"/>
        <v>141.32771084337347</v>
      </c>
      <c r="O108" s="67">
        <f t="shared" si="2"/>
        <v>0</v>
      </c>
      <c r="P108" s="67">
        <f t="shared" si="2"/>
        <v>1.2933734939759036</v>
      </c>
      <c r="Q108" s="67">
        <f t="shared" si="2"/>
        <v>10.595750000000001</v>
      </c>
      <c r="R108" s="197"/>
      <c r="S108" s="197"/>
      <c r="T108" s="197"/>
      <c r="U108" s="197"/>
    </row>
    <row r="109" spans="1:33" x14ac:dyDescent="0.25">
      <c r="A109" s="65" t="s">
        <v>77</v>
      </c>
      <c r="B109" s="67">
        <f>STDEV(B9:B104)</f>
        <v>20.058930056211825</v>
      </c>
      <c r="C109" s="67">
        <f t="shared" ref="C109:Q109" si="3">STDEV(C9:C104)</f>
        <v>5.6321399054857313</v>
      </c>
      <c r="D109" s="67">
        <f t="shared" si="3"/>
        <v>14.766574654970514</v>
      </c>
      <c r="E109" s="67">
        <f t="shared" si="3"/>
        <v>1.217682611637682</v>
      </c>
      <c r="F109" s="67">
        <f t="shared" si="3"/>
        <v>0.61895447567822648</v>
      </c>
      <c r="G109" s="67">
        <f t="shared" si="3"/>
        <v>38.162523267415921</v>
      </c>
      <c r="H109" s="67">
        <f t="shared" si="3"/>
        <v>41.099500436614122</v>
      </c>
      <c r="I109" s="67">
        <f t="shared" si="3"/>
        <v>2.067637996051543</v>
      </c>
      <c r="J109" s="67">
        <f t="shared" si="3"/>
        <v>0.79758567146144277</v>
      </c>
      <c r="K109" s="67">
        <f t="shared" si="3"/>
        <v>130.47262725209023</v>
      </c>
      <c r="L109" s="67">
        <f t="shared" si="3"/>
        <v>3.9606158154230071</v>
      </c>
      <c r="M109" s="67">
        <f t="shared" si="3"/>
        <v>17.871958599235438</v>
      </c>
      <c r="N109" s="67">
        <f t="shared" si="3"/>
        <v>193.02604797890464</v>
      </c>
      <c r="O109" s="67">
        <f t="shared" si="3"/>
        <v>0</v>
      </c>
      <c r="P109" s="67">
        <f t="shared" si="3"/>
        <v>0.37520816046443795</v>
      </c>
      <c r="Q109" s="67">
        <f t="shared" si="3"/>
        <v>0.57536950153022459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>COUNT(B9:B104)+47</f>
        <v>96</v>
      </c>
      <c r="C110" s="66">
        <f t="shared" ref="C110:D110" si="4">COUNT(C9:C104)+47</f>
        <v>96</v>
      </c>
      <c r="D110" s="66">
        <f t="shared" si="4"/>
        <v>96</v>
      </c>
      <c r="E110" s="66">
        <f>COUNT(E9:E104)+44</f>
        <v>96</v>
      </c>
      <c r="F110" s="66">
        <f>COUNT(F9:F104)+13</f>
        <v>96</v>
      </c>
      <c r="G110" s="66">
        <f>COUNT(G9:G104)+16</f>
        <v>96</v>
      </c>
      <c r="H110" s="66">
        <f t="shared" ref="H110:I110" si="5">COUNT(H9:H104)+16</f>
        <v>96</v>
      </c>
      <c r="I110" s="66">
        <f>COUNT(I9:I104)+15</f>
        <v>96</v>
      </c>
      <c r="J110" s="66">
        <f>COUNT(J9:J104)+13</f>
        <v>96</v>
      </c>
      <c r="K110" s="66">
        <f t="shared" ref="K110:P110" si="6">COUNT(K9:K104)+13</f>
        <v>96</v>
      </c>
      <c r="L110" s="66">
        <f t="shared" si="6"/>
        <v>96</v>
      </c>
      <c r="M110" s="66">
        <f t="shared" si="6"/>
        <v>96</v>
      </c>
      <c r="N110" s="66">
        <f t="shared" si="6"/>
        <v>96</v>
      </c>
      <c r="O110" s="66">
        <f t="shared" si="6"/>
        <v>96</v>
      </c>
      <c r="P110" s="66">
        <f t="shared" si="6"/>
        <v>96</v>
      </c>
      <c r="Q110" s="66">
        <f>COUNT(Q9:Q104)+16</f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7">IF(C110&gt;=87,"&gt;90%",IF(C110&lt;=87,"&lt;90%"))</f>
        <v>&gt;90%</v>
      </c>
      <c r="D111" s="13" t="str">
        <f t="shared" si="7"/>
        <v>&gt;90%</v>
      </c>
      <c r="E111" s="13" t="str">
        <f t="shared" si="7"/>
        <v>&gt;90%</v>
      </c>
      <c r="F111" s="13" t="str">
        <f t="shared" si="7"/>
        <v>&gt;90%</v>
      </c>
      <c r="G111" s="13" t="str">
        <f t="shared" si="7"/>
        <v>&gt;90%</v>
      </c>
      <c r="H111" s="13" t="str">
        <f t="shared" si="7"/>
        <v>&gt;90%</v>
      </c>
      <c r="I111" s="13" t="str">
        <f t="shared" si="7"/>
        <v>&gt;90%</v>
      </c>
      <c r="J111" s="13" t="str">
        <f t="shared" si="7"/>
        <v>&gt;90%</v>
      </c>
      <c r="K111" s="13" t="str">
        <f t="shared" si="7"/>
        <v>&gt;90%</v>
      </c>
      <c r="L111" s="13" t="str">
        <f t="shared" si="7"/>
        <v>&gt;90%</v>
      </c>
      <c r="M111" s="13" t="str">
        <f t="shared" si="7"/>
        <v>&gt;90%</v>
      </c>
      <c r="N111" s="13" t="str">
        <f t="shared" si="7"/>
        <v>&gt;90%</v>
      </c>
      <c r="O111" s="13" t="str">
        <f t="shared" si="7"/>
        <v>&gt;90%</v>
      </c>
      <c r="P111" s="13" t="str">
        <f t="shared" si="7"/>
        <v>&gt;90%</v>
      </c>
      <c r="Q111" s="13" t="str">
        <f t="shared" si="7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8">IF(C110&gt;=87,"OK",IF(C110&lt;=87,"LESS"))</f>
        <v>OK</v>
      </c>
      <c r="D112" s="13" t="str">
        <f t="shared" si="8"/>
        <v>OK</v>
      </c>
      <c r="E112" s="13" t="str">
        <f t="shared" si="8"/>
        <v>OK</v>
      </c>
      <c r="F112" s="13" t="str">
        <f t="shared" si="8"/>
        <v>OK</v>
      </c>
      <c r="G112" s="13" t="str">
        <f t="shared" si="8"/>
        <v>OK</v>
      </c>
      <c r="H112" s="13" t="str">
        <f t="shared" si="8"/>
        <v>OK</v>
      </c>
      <c r="I112" s="13" t="str">
        <f t="shared" si="8"/>
        <v>OK</v>
      </c>
      <c r="J112" s="13" t="str">
        <f t="shared" si="8"/>
        <v>OK</v>
      </c>
      <c r="K112" s="13" t="str">
        <f t="shared" si="8"/>
        <v>OK</v>
      </c>
      <c r="L112" s="13" t="str">
        <f t="shared" si="8"/>
        <v>OK</v>
      </c>
      <c r="M112" s="13" t="str">
        <f t="shared" si="8"/>
        <v>OK</v>
      </c>
      <c r="N112" s="13" t="str">
        <f t="shared" si="8"/>
        <v>OK</v>
      </c>
      <c r="O112" s="13" t="str">
        <f t="shared" si="8"/>
        <v>OK</v>
      </c>
      <c r="P112" s="13" t="str">
        <f t="shared" si="8"/>
        <v>OK</v>
      </c>
      <c r="Q112" s="13" t="str">
        <f t="shared" si="8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1" sqref="H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95" t="s">
        <v>51</v>
      </c>
      <c r="C8" s="195" t="s">
        <v>51</v>
      </c>
      <c r="D8" s="13" t="s">
        <v>225</v>
      </c>
      <c r="E8" s="195" t="s">
        <v>51</v>
      </c>
      <c r="F8" s="195" t="s">
        <v>51</v>
      </c>
      <c r="G8" s="195" t="s">
        <v>51</v>
      </c>
      <c r="H8" s="195" t="s">
        <v>51</v>
      </c>
      <c r="I8" s="195" t="s">
        <v>51</v>
      </c>
      <c r="J8" s="195" t="s">
        <v>53</v>
      </c>
      <c r="K8" s="195" t="s">
        <v>54</v>
      </c>
      <c r="L8" s="194" t="s">
        <v>56</v>
      </c>
      <c r="M8" s="195" t="s">
        <v>55</v>
      </c>
      <c r="N8" s="195" t="s">
        <v>57</v>
      </c>
      <c r="O8" s="194" t="s">
        <v>58</v>
      </c>
      <c r="P8" s="195" t="s">
        <v>52</v>
      </c>
      <c r="Q8" s="195" t="s">
        <v>51</v>
      </c>
      <c r="R8" s="194"/>
      <c r="S8" s="195"/>
      <c r="T8" s="194"/>
      <c r="U8" s="194"/>
    </row>
    <row r="9" spans="1:21" s="12" customFormat="1" x14ac:dyDescent="0.25">
      <c r="A9" s="211" t="s">
        <v>2839</v>
      </c>
      <c r="B9" s="207" t="s">
        <v>36</v>
      </c>
      <c r="C9" s="207" t="s">
        <v>36</v>
      </c>
      <c r="D9" s="207" t="s">
        <v>36</v>
      </c>
      <c r="E9" s="64">
        <v>5.32</v>
      </c>
      <c r="F9" s="64">
        <v>3.63</v>
      </c>
      <c r="G9" s="64">
        <v>110.04</v>
      </c>
      <c r="H9" s="64">
        <v>94.26</v>
      </c>
      <c r="I9" s="64">
        <v>8.4700000000000006</v>
      </c>
      <c r="J9" s="64">
        <v>1.54</v>
      </c>
      <c r="K9" s="64">
        <v>352.63</v>
      </c>
      <c r="L9" s="64">
        <v>13.25</v>
      </c>
      <c r="M9" s="64">
        <v>55.21</v>
      </c>
      <c r="N9" s="64">
        <v>34.299999999999997</v>
      </c>
      <c r="O9" s="64">
        <v>0</v>
      </c>
      <c r="P9" s="64">
        <v>1.45</v>
      </c>
      <c r="Q9" s="64">
        <v>10.02</v>
      </c>
      <c r="R9" s="196"/>
      <c r="S9" s="196"/>
      <c r="T9" s="196"/>
      <c r="U9" s="196"/>
    </row>
    <row r="10" spans="1:21" s="12" customFormat="1" x14ac:dyDescent="0.25">
      <c r="A10" s="211" t="s">
        <v>2840</v>
      </c>
      <c r="B10" s="207" t="s">
        <v>36</v>
      </c>
      <c r="C10" s="207" t="s">
        <v>36</v>
      </c>
      <c r="D10" s="207" t="s">
        <v>36</v>
      </c>
      <c r="E10" s="64">
        <v>5.74</v>
      </c>
      <c r="F10" s="64">
        <v>4.01</v>
      </c>
      <c r="G10" s="64">
        <v>110.04</v>
      </c>
      <c r="H10" s="64">
        <v>94.26</v>
      </c>
      <c r="I10" s="64">
        <v>8.4600000000000009</v>
      </c>
      <c r="J10" s="64">
        <v>1.17</v>
      </c>
      <c r="K10" s="64">
        <v>359.21</v>
      </c>
      <c r="L10" s="64">
        <v>13.08</v>
      </c>
      <c r="M10" s="64">
        <v>55.5</v>
      </c>
      <c r="N10" s="64">
        <v>34.200000000000003</v>
      </c>
      <c r="O10" s="64">
        <v>0</v>
      </c>
      <c r="P10" s="64">
        <v>1.4</v>
      </c>
      <c r="Q10" s="64">
        <v>10</v>
      </c>
      <c r="R10" s="196"/>
      <c r="S10" s="196"/>
      <c r="T10" s="196"/>
      <c r="U10" s="196"/>
    </row>
    <row r="11" spans="1:21" s="12" customFormat="1" x14ac:dyDescent="0.25">
      <c r="A11" s="211" t="s">
        <v>2841</v>
      </c>
      <c r="B11" s="207" t="s">
        <v>36</v>
      </c>
      <c r="C11" s="207" t="s">
        <v>36</v>
      </c>
      <c r="D11" s="207" t="s">
        <v>36</v>
      </c>
      <c r="E11" s="64">
        <v>5.81</v>
      </c>
      <c r="F11" s="64">
        <v>4.1900000000000004</v>
      </c>
      <c r="G11" s="64">
        <v>110.04</v>
      </c>
      <c r="H11" s="64">
        <v>94.26</v>
      </c>
      <c r="I11" s="64">
        <v>8.7100000000000009</v>
      </c>
      <c r="J11" s="64">
        <v>1.58</v>
      </c>
      <c r="K11" s="64">
        <v>350.32</v>
      </c>
      <c r="L11" s="64">
        <v>13.19</v>
      </c>
      <c r="M11" s="64">
        <v>55.48</v>
      </c>
      <c r="N11" s="64">
        <v>33.9</v>
      </c>
      <c r="O11" s="64">
        <v>0</v>
      </c>
      <c r="P11" s="64">
        <v>1.36</v>
      </c>
      <c r="Q11" s="64">
        <v>9.9700000000000006</v>
      </c>
      <c r="R11" s="196"/>
      <c r="S11" s="196"/>
      <c r="T11" s="196"/>
      <c r="U11" s="196"/>
    </row>
    <row r="12" spans="1:21" s="12" customFormat="1" x14ac:dyDescent="0.25">
      <c r="A12" s="211" t="s">
        <v>2842</v>
      </c>
      <c r="B12" s="207" t="s">
        <v>36</v>
      </c>
      <c r="C12" s="207" t="s">
        <v>36</v>
      </c>
      <c r="D12" s="207" t="s">
        <v>36</v>
      </c>
      <c r="E12" s="64">
        <v>5.7</v>
      </c>
      <c r="F12" s="64">
        <v>4.34</v>
      </c>
      <c r="G12" s="64">
        <v>104.56</v>
      </c>
      <c r="H12" s="64">
        <v>67.41</v>
      </c>
      <c r="I12" s="64">
        <v>8.6300000000000008</v>
      </c>
      <c r="J12" s="64">
        <v>0.77</v>
      </c>
      <c r="K12" s="64">
        <v>73.09</v>
      </c>
      <c r="L12" s="64">
        <v>12.82</v>
      </c>
      <c r="M12" s="64">
        <v>57.04</v>
      </c>
      <c r="N12" s="64">
        <v>34.5</v>
      </c>
      <c r="O12" s="64">
        <v>0</v>
      </c>
      <c r="P12" s="64">
        <v>1.32</v>
      </c>
      <c r="Q12" s="64">
        <v>9.93</v>
      </c>
      <c r="R12" s="196"/>
      <c r="S12" s="196"/>
      <c r="T12" s="196"/>
      <c r="U12" s="196"/>
    </row>
    <row r="13" spans="1:21" s="12" customFormat="1" x14ac:dyDescent="0.25">
      <c r="A13" s="211" t="s">
        <v>2843</v>
      </c>
      <c r="B13" s="207" t="s">
        <v>36</v>
      </c>
      <c r="C13" s="207" t="s">
        <v>36</v>
      </c>
      <c r="D13" s="207" t="s">
        <v>36</v>
      </c>
      <c r="E13" s="64">
        <v>5.27</v>
      </c>
      <c r="F13" s="64">
        <v>4.1100000000000003</v>
      </c>
      <c r="G13" s="64">
        <v>100.18</v>
      </c>
      <c r="H13" s="64">
        <v>58.09</v>
      </c>
      <c r="I13" s="64">
        <v>8.41</v>
      </c>
      <c r="J13" s="64">
        <v>0.65</v>
      </c>
      <c r="K13" s="64">
        <v>25.64</v>
      </c>
      <c r="L13" s="64">
        <v>12.55</v>
      </c>
      <c r="M13" s="64">
        <v>58.95</v>
      </c>
      <c r="N13" s="64">
        <v>34.4</v>
      </c>
      <c r="O13" s="64">
        <v>0</v>
      </c>
      <c r="P13" s="64">
        <v>1.26</v>
      </c>
      <c r="Q13" s="64">
        <v>9.94</v>
      </c>
      <c r="R13" s="196"/>
      <c r="S13" s="196"/>
      <c r="T13" s="196"/>
      <c r="U13" s="196"/>
    </row>
    <row r="14" spans="1:21" s="12" customFormat="1" x14ac:dyDescent="0.25">
      <c r="A14" s="211" t="s">
        <v>2844</v>
      </c>
      <c r="B14" s="207" t="s">
        <v>36</v>
      </c>
      <c r="C14" s="207" t="s">
        <v>36</v>
      </c>
      <c r="D14" s="207" t="s">
        <v>36</v>
      </c>
      <c r="E14" s="64">
        <v>5.36</v>
      </c>
      <c r="F14" s="64">
        <v>3.82</v>
      </c>
      <c r="G14" s="64">
        <v>100.18</v>
      </c>
      <c r="H14" s="64">
        <v>58.09</v>
      </c>
      <c r="I14" s="64">
        <v>7.78</v>
      </c>
      <c r="J14" s="64">
        <v>1.1100000000000001</v>
      </c>
      <c r="K14" s="64">
        <v>350.92</v>
      </c>
      <c r="L14" s="64">
        <v>12.5</v>
      </c>
      <c r="M14" s="64">
        <v>60.34</v>
      </c>
      <c r="N14" s="64">
        <v>34.200000000000003</v>
      </c>
      <c r="O14" s="64">
        <v>0</v>
      </c>
      <c r="P14" s="64">
        <v>1.27</v>
      </c>
      <c r="Q14" s="64">
        <v>10.01</v>
      </c>
      <c r="R14" s="196"/>
      <c r="S14" s="196"/>
      <c r="T14" s="196"/>
      <c r="U14" s="196"/>
    </row>
    <row r="15" spans="1:21" s="12" customFormat="1" x14ac:dyDescent="0.25">
      <c r="A15" s="211" t="s">
        <v>2845</v>
      </c>
      <c r="B15" s="207" t="s">
        <v>36</v>
      </c>
      <c r="C15" s="207" t="s">
        <v>36</v>
      </c>
      <c r="D15" s="207" t="s">
        <v>36</v>
      </c>
      <c r="E15" s="64">
        <v>5.43</v>
      </c>
      <c r="F15" s="64">
        <v>3.91</v>
      </c>
      <c r="G15" s="64">
        <v>100.18</v>
      </c>
      <c r="H15" s="64">
        <v>58.09</v>
      </c>
      <c r="I15" s="64">
        <v>7.49</v>
      </c>
      <c r="J15" s="64">
        <v>1.78</v>
      </c>
      <c r="K15" s="64">
        <v>348.39</v>
      </c>
      <c r="L15" s="64">
        <v>12.48</v>
      </c>
      <c r="M15" s="64">
        <v>61.23</v>
      </c>
      <c r="N15" s="64">
        <v>34</v>
      </c>
      <c r="O15" s="64">
        <v>0</v>
      </c>
      <c r="P15" s="64">
        <v>1.25</v>
      </c>
      <c r="Q15" s="64">
        <v>10.029999999999999</v>
      </c>
      <c r="R15" s="196"/>
      <c r="S15" s="196"/>
      <c r="T15" s="196"/>
      <c r="U15" s="196"/>
    </row>
    <row r="16" spans="1:21" s="12" customFormat="1" x14ac:dyDescent="0.25">
      <c r="A16" s="211" t="s">
        <v>2846</v>
      </c>
      <c r="B16" s="207" t="s">
        <v>36</v>
      </c>
      <c r="C16" s="207" t="s">
        <v>36</v>
      </c>
      <c r="D16" s="207" t="s">
        <v>36</v>
      </c>
      <c r="E16" s="64">
        <v>5.43</v>
      </c>
      <c r="F16" s="64">
        <v>4.08</v>
      </c>
      <c r="G16" s="64">
        <v>106.83</v>
      </c>
      <c r="H16" s="64">
        <v>54.02</v>
      </c>
      <c r="I16" s="64">
        <v>7.29</v>
      </c>
      <c r="J16" s="64">
        <v>1.76</v>
      </c>
      <c r="K16" s="64">
        <v>348.59</v>
      </c>
      <c r="L16" s="64">
        <v>12.54</v>
      </c>
      <c r="M16" s="64">
        <v>61.84</v>
      </c>
      <c r="N16" s="64">
        <v>34.1</v>
      </c>
      <c r="O16" s="64">
        <v>0</v>
      </c>
      <c r="P16" s="64">
        <v>1.22</v>
      </c>
      <c r="Q16" s="64">
        <v>9.98</v>
      </c>
      <c r="R16" s="196"/>
      <c r="S16" s="196"/>
      <c r="T16" s="196"/>
      <c r="U16" s="196"/>
    </row>
    <row r="17" spans="1:21" s="12" customFormat="1" x14ac:dyDescent="0.25">
      <c r="A17" s="211" t="s">
        <v>2847</v>
      </c>
      <c r="B17" s="207" t="s">
        <v>36</v>
      </c>
      <c r="C17" s="207" t="s">
        <v>36</v>
      </c>
      <c r="D17" s="207" t="s">
        <v>36</v>
      </c>
      <c r="E17" s="64">
        <v>5.54</v>
      </c>
      <c r="F17" s="64">
        <v>3.96</v>
      </c>
      <c r="G17" s="64">
        <v>112.14</v>
      </c>
      <c r="H17" s="64">
        <v>51.24</v>
      </c>
      <c r="I17" s="64">
        <v>7.08</v>
      </c>
      <c r="J17" s="64">
        <v>1.6</v>
      </c>
      <c r="K17" s="64">
        <v>338.54</v>
      </c>
      <c r="L17" s="64">
        <v>12.43</v>
      </c>
      <c r="M17" s="64">
        <v>62.72</v>
      </c>
      <c r="N17" s="64">
        <v>34.299999999999997</v>
      </c>
      <c r="O17" s="64">
        <v>0</v>
      </c>
      <c r="P17" s="64">
        <v>1.2</v>
      </c>
      <c r="Q17" s="64">
        <v>9.92</v>
      </c>
      <c r="R17" s="196"/>
      <c r="S17" s="196"/>
      <c r="T17" s="196"/>
      <c r="U17" s="196"/>
    </row>
    <row r="18" spans="1:21" s="12" customFormat="1" x14ac:dyDescent="0.25">
      <c r="A18" s="211" t="s">
        <v>2848</v>
      </c>
      <c r="B18" s="207" t="s">
        <v>36</v>
      </c>
      <c r="C18" s="207" t="s">
        <v>36</v>
      </c>
      <c r="D18" s="207" t="s">
        <v>36</v>
      </c>
      <c r="E18" s="64">
        <v>5.88</v>
      </c>
      <c r="F18" s="64">
        <v>3.85</v>
      </c>
      <c r="G18" s="64">
        <v>112.14</v>
      </c>
      <c r="H18" s="64">
        <v>51.24</v>
      </c>
      <c r="I18" s="64">
        <v>6.91</v>
      </c>
      <c r="J18" s="64">
        <v>1.94</v>
      </c>
      <c r="K18" s="64">
        <v>338.01</v>
      </c>
      <c r="L18" s="64">
        <v>12.41</v>
      </c>
      <c r="M18" s="64">
        <v>62.68</v>
      </c>
      <c r="N18" s="64">
        <v>34.1</v>
      </c>
      <c r="O18" s="64">
        <v>0</v>
      </c>
      <c r="P18" s="64">
        <v>1.17</v>
      </c>
      <c r="Q18" s="64">
        <v>9.6999999999999993</v>
      </c>
      <c r="R18" s="196"/>
      <c r="S18" s="196"/>
      <c r="T18" s="196"/>
      <c r="U18" s="196"/>
    </row>
    <row r="19" spans="1:21" s="12" customFormat="1" x14ac:dyDescent="0.25">
      <c r="A19" s="211" t="s">
        <v>2849</v>
      </c>
      <c r="B19" s="207" t="s">
        <v>36</v>
      </c>
      <c r="C19" s="207" t="s">
        <v>36</v>
      </c>
      <c r="D19" s="207" t="s">
        <v>36</v>
      </c>
      <c r="E19" s="64">
        <v>5.19</v>
      </c>
      <c r="F19" s="64">
        <v>4.08</v>
      </c>
      <c r="G19" s="64">
        <v>112.14</v>
      </c>
      <c r="H19" s="64">
        <v>51.24</v>
      </c>
      <c r="I19" s="64">
        <v>6.76</v>
      </c>
      <c r="J19" s="64">
        <v>2</v>
      </c>
      <c r="K19" s="64">
        <v>343.08</v>
      </c>
      <c r="L19" s="64">
        <v>12.36</v>
      </c>
      <c r="M19" s="64">
        <v>63.32</v>
      </c>
      <c r="N19" s="64">
        <v>34.200000000000003</v>
      </c>
      <c r="O19" s="64">
        <v>0</v>
      </c>
      <c r="P19" s="64">
        <v>1.1499999999999999</v>
      </c>
      <c r="Q19" s="64">
        <v>9.4</v>
      </c>
      <c r="R19" s="196"/>
      <c r="S19" s="196"/>
      <c r="T19" s="196"/>
      <c r="U19" s="196"/>
    </row>
    <row r="20" spans="1:21" s="12" customFormat="1" x14ac:dyDescent="0.25">
      <c r="A20" s="211" t="s">
        <v>2850</v>
      </c>
      <c r="B20" s="207" t="s">
        <v>36</v>
      </c>
      <c r="C20" s="207" t="s">
        <v>36</v>
      </c>
      <c r="D20" s="207" t="s">
        <v>36</v>
      </c>
      <c r="E20" s="64">
        <v>5.35</v>
      </c>
      <c r="F20" s="64">
        <v>3.95</v>
      </c>
      <c r="G20" s="64">
        <v>117.77</v>
      </c>
      <c r="H20" s="64">
        <v>18.29</v>
      </c>
      <c r="I20" s="64">
        <v>6.57</v>
      </c>
      <c r="J20" s="64">
        <v>1.94</v>
      </c>
      <c r="K20" s="64">
        <v>344.95</v>
      </c>
      <c r="L20" s="64">
        <v>12.28</v>
      </c>
      <c r="M20" s="64">
        <v>63.85</v>
      </c>
      <c r="N20" s="64">
        <v>34.1</v>
      </c>
      <c r="O20" s="64">
        <v>0</v>
      </c>
      <c r="P20" s="64">
        <v>1.1100000000000001</v>
      </c>
      <c r="Q20" s="64">
        <v>9.1300000000000008</v>
      </c>
      <c r="R20" s="196"/>
      <c r="S20" s="196"/>
      <c r="T20" s="196"/>
      <c r="U20" s="196"/>
    </row>
    <row r="21" spans="1:21" s="12" customFormat="1" x14ac:dyDescent="0.25">
      <c r="A21" s="211" t="s">
        <v>2851</v>
      </c>
      <c r="B21" s="207" t="s">
        <v>36</v>
      </c>
      <c r="C21" s="207" t="s">
        <v>36</v>
      </c>
      <c r="D21" s="207" t="s">
        <v>36</v>
      </c>
      <c r="E21" s="64">
        <v>5.52</v>
      </c>
      <c r="F21" s="64">
        <v>4.12</v>
      </c>
      <c r="G21" s="64">
        <v>122.07</v>
      </c>
      <c r="H21" s="64">
        <v>6.86</v>
      </c>
      <c r="I21" s="64">
        <v>6.46</v>
      </c>
      <c r="J21" s="64">
        <v>1.59</v>
      </c>
      <c r="K21" s="64">
        <v>353.81</v>
      </c>
      <c r="L21" s="64">
        <v>12.17</v>
      </c>
      <c r="M21" s="64">
        <v>64.69</v>
      </c>
      <c r="N21" s="64">
        <v>34.200000000000003</v>
      </c>
      <c r="O21" s="64">
        <v>0</v>
      </c>
      <c r="P21" s="64">
        <v>1.08</v>
      </c>
      <c r="Q21" s="64">
        <v>8.9600000000000009</v>
      </c>
      <c r="R21" s="196"/>
      <c r="S21" s="196"/>
      <c r="T21" s="196"/>
      <c r="U21" s="196"/>
    </row>
    <row r="22" spans="1:21" s="12" customFormat="1" x14ac:dyDescent="0.25">
      <c r="A22" s="211" t="s">
        <v>2852</v>
      </c>
      <c r="B22" s="207" t="s">
        <v>36</v>
      </c>
      <c r="C22" s="207" t="s">
        <v>36</v>
      </c>
      <c r="D22" s="207" t="s">
        <v>36</v>
      </c>
      <c r="E22" s="64">
        <v>5.63</v>
      </c>
      <c r="F22" s="64">
        <v>4.33</v>
      </c>
      <c r="G22" s="64">
        <v>122.07</v>
      </c>
      <c r="H22" s="64">
        <v>6.86</v>
      </c>
      <c r="I22" s="64">
        <v>6.24</v>
      </c>
      <c r="J22" s="64">
        <v>1.7</v>
      </c>
      <c r="K22" s="64">
        <v>344.36</v>
      </c>
      <c r="L22" s="64">
        <v>12.03</v>
      </c>
      <c r="M22" s="64">
        <v>65.62</v>
      </c>
      <c r="N22" s="64">
        <v>34.200000000000003</v>
      </c>
      <c r="O22" s="64">
        <v>0</v>
      </c>
      <c r="P22" s="64">
        <v>1.04</v>
      </c>
      <c r="Q22" s="64">
        <v>8.82</v>
      </c>
      <c r="R22" s="196"/>
      <c r="S22" s="196"/>
      <c r="T22" s="196"/>
      <c r="U22" s="196"/>
    </row>
    <row r="23" spans="1:21" s="12" customFormat="1" x14ac:dyDescent="0.25">
      <c r="A23" s="211" t="s">
        <v>2853</v>
      </c>
      <c r="B23" s="207" t="s">
        <v>36</v>
      </c>
      <c r="C23" s="207" t="s">
        <v>36</v>
      </c>
      <c r="D23" s="207" t="s">
        <v>36</v>
      </c>
      <c r="E23" s="64">
        <v>5.77</v>
      </c>
      <c r="F23" s="64">
        <v>3.85</v>
      </c>
      <c r="G23" s="64">
        <v>122.07</v>
      </c>
      <c r="H23" s="64">
        <v>6.86</v>
      </c>
      <c r="I23" s="64">
        <v>6.08</v>
      </c>
      <c r="J23" s="64">
        <v>1.49</v>
      </c>
      <c r="K23" s="64">
        <v>344.3</v>
      </c>
      <c r="L23" s="64">
        <v>11.95</v>
      </c>
      <c r="M23" s="64">
        <v>65.95</v>
      </c>
      <c r="N23" s="64">
        <v>34.1</v>
      </c>
      <c r="O23" s="64">
        <v>0</v>
      </c>
      <c r="P23" s="64">
        <v>1.01</v>
      </c>
      <c r="Q23" s="64">
        <v>8.5299999999999994</v>
      </c>
      <c r="R23" s="196"/>
      <c r="S23" s="196"/>
      <c r="T23" s="196"/>
      <c r="U23" s="196"/>
    </row>
    <row r="24" spans="1:21" s="12" customFormat="1" x14ac:dyDescent="0.25">
      <c r="A24" s="211" t="s">
        <v>2854</v>
      </c>
      <c r="B24" s="207" t="s">
        <v>36</v>
      </c>
      <c r="C24" s="207" t="s">
        <v>36</v>
      </c>
      <c r="D24" s="207" t="s">
        <v>36</v>
      </c>
      <c r="E24" s="64">
        <v>5.91</v>
      </c>
      <c r="F24" s="64">
        <v>3.79</v>
      </c>
      <c r="G24" s="64">
        <v>110.19</v>
      </c>
      <c r="H24" s="64">
        <v>38.880000000000003</v>
      </c>
      <c r="I24" s="64">
        <v>5.95</v>
      </c>
      <c r="J24" s="64">
        <v>1.48</v>
      </c>
      <c r="K24" s="64">
        <v>337.31</v>
      </c>
      <c r="L24" s="64">
        <v>11.87</v>
      </c>
      <c r="M24" s="64">
        <v>66.66</v>
      </c>
      <c r="N24" s="64">
        <v>34.200000000000003</v>
      </c>
      <c r="O24" s="64">
        <v>0</v>
      </c>
      <c r="P24" s="64">
        <v>0.97</v>
      </c>
      <c r="Q24" s="64">
        <v>8.31</v>
      </c>
      <c r="R24" s="196"/>
      <c r="S24" s="196"/>
      <c r="T24" s="196"/>
      <c r="U24" s="196"/>
    </row>
    <row r="25" spans="1:21" s="12" customFormat="1" x14ac:dyDescent="0.25">
      <c r="A25" s="211" t="s">
        <v>2855</v>
      </c>
      <c r="B25" s="207" t="s">
        <v>36</v>
      </c>
      <c r="C25" s="207" t="s">
        <v>36</v>
      </c>
      <c r="D25" s="207" t="s">
        <v>36</v>
      </c>
      <c r="E25" s="64">
        <v>5.77</v>
      </c>
      <c r="F25" s="64">
        <v>3.81</v>
      </c>
      <c r="G25" s="64">
        <v>101.11</v>
      </c>
      <c r="H25" s="64">
        <v>49.99</v>
      </c>
      <c r="I25" s="64">
        <v>5.78</v>
      </c>
      <c r="J25" s="64">
        <v>1.34</v>
      </c>
      <c r="K25" s="64">
        <v>337.92</v>
      </c>
      <c r="L25" s="64">
        <v>11.74</v>
      </c>
      <c r="M25" s="64">
        <v>67.510000000000005</v>
      </c>
      <c r="N25" s="64">
        <v>34.200000000000003</v>
      </c>
      <c r="O25" s="64">
        <v>0</v>
      </c>
      <c r="P25" s="64">
        <v>0.94</v>
      </c>
      <c r="Q25" s="64">
        <v>8.2100000000000009</v>
      </c>
      <c r="R25" s="196"/>
      <c r="S25" s="196"/>
      <c r="T25" s="196"/>
      <c r="U25" s="196"/>
    </row>
    <row r="26" spans="1:21" s="12" customFormat="1" x14ac:dyDescent="0.25">
      <c r="A26" s="211" t="s">
        <v>2856</v>
      </c>
      <c r="B26" s="207" t="s">
        <v>36</v>
      </c>
      <c r="C26" s="207" t="s">
        <v>36</v>
      </c>
      <c r="D26" s="207" t="s">
        <v>36</v>
      </c>
      <c r="E26" s="64">
        <v>5.79</v>
      </c>
      <c r="F26" s="64">
        <v>4.47</v>
      </c>
      <c r="G26" s="64">
        <v>101.11</v>
      </c>
      <c r="H26" s="64">
        <v>49.99</v>
      </c>
      <c r="I26" s="64">
        <v>5.87</v>
      </c>
      <c r="J26" s="64">
        <v>1.31</v>
      </c>
      <c r="K26" s="64">
        <v>338.82</v>
      </c>
      <c r="L26" s="64">
        <v>11.76</v>
      </c>
      <c r="M26" s="64">
        <v>67.42</v>
      </c>
      <c r="N26" s="64">
        <v>34.200000000000003</v>
      </c>
      <c r="O26" s="64">
        <v>0</v>
      </c>
      <c r="P26" s="64">
        <v>0.91</v>
      </c>
      <c r="Q26" s="64">
        <v>8.2100000000000009</v>
      </c>
      <c r="R26" s="196"/>
      <c r="S26" s="196"/>
      <c r="T26" s="196"/>
      <c r="U26" s="196"/>
    </row>
    <row r="27" spans="1:21" s="12" customFormat="1" x14ac:dyDescent="0.25">
      <c r="A27" s="211" t="s">
        <v>2857</v>
      </c>
      <c r="B27" s="207" t="s">
        <v>36</v>
      </c>
      <c r="C27" s="207" t="s">
        <v>36</v>
      </c>
      <c r="D27" s="207" t="s">
        <v>36</v>
      </c>
      <c r="E27" s="64">
        <v>6.2</v>
      </c>
      <c r="F27" s="64">
        <v>4.6900000000000004</v>
      </c>
      <c r="G27" s="64">
        <v>101.11</v>
      </c>
      <c r="H27" s="64">
        <v>49.99</v>
      </c>
      <c r="I27" s="64">
        <v>5.89</v>
      </c>
      <c r="J27" s="64">
        <v>1.37</v>
      </c>
      <c r="K27" s="64">
        <v>347.53</v>
      </c>
      <c r="L27" s="64">
        <v>11.57</v>
      </c>
      <c r="M27" s="64">
        <v>69.06</v>
      </c>
      <c r="N27" s="64">
        <v>34.4</v>
      </c>
      <c r="O27" s="64">
        <v>0</v>
      </c>
      <c r="P27" s="64">
        <v>0.89</v>
      </c>
      <c r="Q27" s="64">
        <v>8.2100000000000009</v>
      </c>
      <c r="R27" s="196"/>
      <c r="S27" s="196"/>
      <c r="T27" s="196"/>
      <c r="U27" s="196"/>
    </row>
    <row r="28" spans="1:21" s="12" customFormat="1" x14ac:dyDescent="0.25">
      <c r="A28" s="211" t="s">
        <v>2858</v>
      </c>
      <c r="B28" s="207" t="s">
        <v>36</v>
      </c>
      <c r="C28" s="207" t="s">
        <v>36</v>
      </c>
      <c r="D28" s="207" t="s">
        <v>36</v>
      </c>
      <c r="E28" s="64">
        <v>5.57</v>
      </c>
      <c r="F28" s="64">
        <v>4.58</v>
      </c>
      <c r="G28" s="64">
        <v>92.36</v>
      </c>
      <c r="H28" s="64">
        <v>57.71</v>
      </c>
      <c r="I28" s="64">
        <v>5.4</v>
      </c>
      <c r="J28" s="64">
        <v>1.42</v>
      </c>
      <c r="K28" s="64">
        <v>345.1</v>
      </c>
      <c r="L28" s="64">
        <v>11.36</v>
      </c>
      <c r="M28" s="64">
        <v>70.239999999999995</v>
      </c>
      <c r="N28" s="64">
        <v>34.4</v>
      </c>
      <c r="O28" s="64">
        <v>0</v>
      </c>
      <c r="P28" s="64">
        <v>0.87</v>
      </c>
      <c r="Q28" s="64">
        <v>8.2100000000000009</v>
      </c>
      <c r="R28" s="196"/>
      <c r="S28" s="196"/>
      <c r="T28" s="196"/>
      <c r="U28" s="196"/>
    </row>
    <row r="29" spans="1:21" s="12" customFormat="1" x14ac:dyDescent="0.25">
      <c r="A29" s="211" t="s">
        <v>2859</v>
      </c>
      <c r="B29" s="207" t="s">
        <v>36</v>
      </c>
      <c r="C29" s="207" t="s">
        <v>36</v>
      </c>
      <c r="D29" s="207" t="s">
        <v>36</v>
      </c>
      <c r="E29" s="64">
        <v>5.42</v>
      </c>
      <c r="F29" s="64">
        <v>4.4800000000000004</v>
      </c>
      <c r="G29" s="64">
        <v>85.67</v>
      </c>
      <c r="H29" s="64">
        <v>60.39</v>
      </c>
      <c r="I29" s="64">
        <v>5.46</v>
      </c>
      <c r="J29" s="64">
        <v>1.85</v>
      </c>
      <c r="K29" s="64">
        <v>349.61</v>
      </c>
      <c r="L29" s="64">
        <v>11.35</v>
      </c>
      <c r="M29" s="64">
        <v>70.180000000000007</v>
      </c>
      <c r="N29" s="64">
        <v>34.1</v>
      </c>
      <c r="O29" s="64">
        <v>0</v>
      </c>
      <c r="P29" s="64">
        <v>0.85</v>
      </c>
      <c r="Q29" s="64">
        <v>8.2100000000000009</v>
      </c>
      <c r="R29" s="196"/>
      <c r="S29" s="196"/>
      <c r="T29" s="196"/>
      <c r="U29" s="196"/>
    </row>
    <row r="30" spans="1:21" s="12" customFormat="1" x14ac:dyDescent="0.25">
      <c r="A30" s="211" t="s">
        <v>2860</v>
      </c>
      <c r="B30" s="207" t="s">
        <v>36</v>
      </c>
      <c r="C30" s="207" t="s">
        <v>36</v>
      </c>
      <c r="D30" s="207" t="s">
        <v>36</v>
      </c>
      <c r="E30" s="64">
        <v>5.49</v>
      </c>
      <c r="F30" s="64">
        <v>4.49</v>
      </c>
      <c r="G30" s="64">
        <v>85.67</v>
      </c>
      <c r="H30" s="64">
        <v>60.39</v>
      </c>
      <c r="I30" s="64">
        <v>5.39</v>
      </c>
      <c r="J30" s="64">
        <v>1.79</v>
      </c>
      <c r="K30" s="64">
        <v>340.87</v>
      </c>
      <c r="L30" s="64">
        <v>11.33</v>
      </c>
      <c r="M30" s="64">
        <v>69.88</v>
      </c>
      <c r="N30" s="64">
        <v>34.200000000000003</v>
      </c>
      <c r="O30" s="64">
        <v>0</v>
      </c>
      <c r="P30" s="64">
        <v>0.83</v>
      </c>
      <c r="Q30" s="64">
        <v>8.2100000000000009</v>
      </c>
      <c r="R30" s="196"/>
      <c r="S30" s="196"/>
      <c r="T30" s="196"/>
      <c r="U30" s="196"/>
    </row>
    <row r="31" spans="1:21" s="12" customFormat="1" x14ac:dyDescent="0.25">
      <c r="A31" s="211" t="s">
        <v>2861</v>
      </c>
      <c r="B31" s="207" t="s">
        <v>36</v>
      </c>
      <c r="C31" s="207" t="s">
        <v>36</v>
      </c>
      <c r="D31" s="207" t="s">
        <v>36</v>
      </c>
      <c r="E31" s="64">
        <v>5.33</v>
      </c>
      <c r="F31" s="64">
        <v>4.43</v>
      </c>
      <c r="G31" s="64">
        <v>85.67</v>
      </c>
      <c r="H31" s="64">
        <v>60.39</v>
      </c>
      <c r="I31" s="64">
        <v>4.97</v>
      </c>
      <c r="J31" s="64">
        <v>1.18</v>
      </c>
      <c r="K31" s="64">
        <v>329.26</v>
      </c>
      <c r="L31" s="64">
        <v>11.27</v>
      </c>
      <c r="M31" s="64">
        <v>69.64</v>
      </c>
      <c r="N31" s="64">
        <v>34.299999999999997</v>
      </c>
      <c r="O31" s="64">
        <v>0</v>
      </c>
      <c r="P31" s="64">
        <v>0.81</v>
      </c>
      <c r="Q31" s="64">
        <v>8.2100000000000009</v>
      </c>
      <c r="R31" s="196"/>
      <c r="S31" s="196"/>
      <c r="T31" s="196"/>
      <c r="U31" s="196"/>
    </row>
    <row r="32" spans="1:21" s="12" customFormat="1" x14ac:dyDescent="0.25">
      <c r="A32" s="211" t="s">
        <v>2862</v>
      </c>
      <c r="B32" s="207" t="s">
        <v>36</v>
      </c>
      <c r="C32" s="207" t="s">
        <v>36</v>
      </c>
      <c r="D32" s="207" t="s">
        <v>36</v>
      </c>
      <c r="E32" s="64">
        <v>5.26</v>
      </c>
      <c r="F32" s="64">
        <v>4.12</v>
      </c>
      <c r="G32" s="64">
        <v>89.17</v>
      </c>
      <c r="H32" s="64">
        <v>28.76</v>
      </c>
      <c r="I32" s="64">
        <v>4.7699999999999996</v>
      </c>
      <c r="J32" s="64">
        <v>0.78</v>
      </c>
      <c r="K32" s="64">
        <v>351.35</v>
      </c>
      <c r="L32" s="64">
        <v>11.16</v>
      </c>
      <c r="M32" s="64">
        <v>70.08</v>
      </c>
      <c r="N32" s="64">
        <v>34.299999999999997</v>
      </c>
      <c r="O32" s="64">
        <v>0</v>
      </c>
      <c r="P32" s="64">
        <v>0.79</v>
      </c>
      <c r="Q32" s="64">
        <v>8.2100000000000009</v>
      </c>
      <c r="R32" s="196"/>
      <c r="S32" s="196"/>
      <c r="T32" s="196"/>
      <c r="U32" s="196"/>
    </row>
    <row r="33" spans="1:21" s="12" customFormat="1" x14ac:dyDescent="0.25">
      <c r="A33" s="211" t="s">
        <v>2863</v>
      </c>
      <c r="B33" s="207" t="s">
        <v>36</v>
      </c>
      <c r="C33" s="207" t="s">
        <v>36</v>
      </c>
      <c r="D33" s="207" t="s">
        <v>36</v>
      </c>
      <c r="E33" s="64">
        <v>5.71</v>
      </c>
      <c r="F33" s="64">
        <v>3.87</v>
      </c>
      <c r="G33" s="64">
        <v>91.97</v>
      </c>
      <c r="H33" s="64">
        <v>7.25</v>
      </c>
      <c r="I33" s="64">
        <v>4.67</v>
      </c>
      <c r="J33" s="64">
        <v>0.65</v>
      </c>
      <c r="K33" s="64">
        <v>342.41</v>
      </c>
      <c r="L33" s="64">
        <v>11.02</v>
      </c>
      <c r="M33" s="64">
        <v>70.72</v>
      </c>
      <c r="N33" s="64">
        <v>34.700000000000003</v>
      </c>
      <c r="O33" s="64">
        <v>0</v>
      </c>
      <c r="P33" s="64">
        <v>0.78</v>
      </c>
      <c r="Q33" s="64">
        <v>8.2100000000000009</v>
      </c>
      <c r="R33" s="196"/>
      <c r="S33" s="196"/>
      <c r="T33" s="196"/>
      <c r="U33" s="196"/>
    </row>
    <row r="34" spans="1:21" s="12" customFormat="1" x14ac:dyDescent="0.25">
      <c r="A34" s="211" t="s">
        <v>2864</v>
      </c>
      <c r="B34" s="207" t="s">
        <v>36</v>
      </c>
      <c r="C34" s="207" t="s">
        <v>36</v>
      </c>
      <c r="D34" s="207" t="s">
        <v>36</v>
      </c>
      <c r="E34" s="64">
        <v>5.64</v>
      </c>
      <c r="F34" s="64">
        <v>4.1500000000000004</v>
      </c>
      <c r="G34" s="64">
        <v>91.97</v>
      </c>
      <c r="H34" s="64">
        <v>7.25</v>
      </c>
      <c r="I34" s="64">
        <v>4.59</v>
      </c>
      <c r="J34" s="64">
        <v>1.26</v>
      </c>
      <c r="K34" s="64">
        <v>329.35</v>
      </c>
      <c r="L34" s="64">
        <v>10.88</v>
      </c>
      <c r="M34" s="64">
        <v>72.77</v>
      </c>
      <c r="N34" s="64">
        <v>37.700000000000003</v>
      </c>
      <c r="O34" s="64">
        <v>0</v>
      </c>
      <c r="P34" s="64">
        <v>0.77</v>
      </c>
      <c r="Q34" s="64">
        <v>8.2100000000000009</v>
      </c>
      <c r="R34" s="196"/>
      <c r="S34" s="196"/>
      <c r="T34" s="196"/>
      <c r="U34" s="196"/>
    </row>
    <row r="35" spans="1:21" s="12" customFormat="1" x14ac:dyDescent="0.25">
      <c r="A35" s="211" t="s">
        <v>2865</v>
      </c>
      <c r="B35" s="207" t="s">
        <v>36</v>
      </c>
      <c r="C35" s="207" t="s">
        <v>36</v>
      </c>
      <c r="D35" s="207" t="s">
        <v>36</v>
      </c>
      <c r="E35" s="64">
        <v>5.73</v>
      </c>
      <c r="F35" s="64">
        <v>3.86</v>
      </c>
      <c r="G35" s="64">
        <v>91.97</v>
      </c>
      <c r="H35" s="64">
        <v>7.25</v>
      </c>
      <c r="I35" s="64">
        <v>4.54</v>
      </c>
      <c r="J35" s="64">
        <v>1.82</v>
      </c>
      <c r="K35" s="64">
        <v>349.45</v>
      </c>
      <c r="L35" s="64">
        <v>10.94</v>
      </c>
      <c r="M35" s="64">
        <v>72.78</v>
      </c>
      <c r="N35" s="64">
        <v>50.3</v>
      </c>
      <c r="O35" s="64">
        <v>0</v>
      </c>
      <c r="P35" s="64">
        <v>0.77</v>
      </c>
      <c r="Q35" s="64">
        <v>8.2100000000000009</v>
      </c>
      <c r="R35" s="196"/>
      <c r="S35" s="196"/>
      <c r="T35" s="196"/>
      <c r="U35" s="196"/>
    </row>
    <row r="36" spans="1:21" s="12" customFormat="1" x14ac:dyDescent="0.25">
      <c r="A36" s="211" t="s">
        <v>2866</v>
      </c>
      <c r="B36" s="207" t="s">
        <v>36</v>
      </c>
      <c r="C36" s="207" t="s">
        <v>36</v>
      </c>
      <c r="D36" s="207" t="s">
        <v>36</v>
      </c>
      <c r="E36" s="64">
        <v>5.78</v>
      </c>
      <c r="F36" s="64">
        <v>3.8</v>
      </c>
      <c r="G36" s="64">
        <v>92.45</v>
      </c>
      <c r="H36" s="64">
        <v>32.03</v>
      </c>
      <c r="I36" s="64">
        <v>4.47</v>
      </c>
      <c r="J36" s="64">
        <v>0.97</v>
      </c>
      <c r="K36" s="64">
        <v>348.59</v>
      </c>
      <c r="L36" s="64">
        <v>11.27</v>
      </c>
      <c r="M36" s="64">
        <v>70.95</v>
      </c>
      <c r="N36" s="64">
        <v>60.5</v>
      </c>
      <c r="O36" s="64">
        <v>0</v>
      </c>
      <c r="P36" s="64">
        <v>0.77</v>
      </c>
      <c r="Q36" s="64">
        <v>8.2100000000000009</v>
      </c>
      <c r="R36" s="196"/>
      <c r="S36" s="196"/>
      <c r="T36" s="196"/>
      <c r="U36" s="196"/>
    </row>
    <row r="37" spans="1:21" s="12" customFormat="1" x14ac:dyDescent="0.25">
      <c r="A37" s="211" t="s">
        <v>2867</v>
      </c>
      <c r="B37" s="207" t="s">
        <v>36</v>
      </c>
      <c r="C37" s="207" t="s">
        <v>36</v>
      </c>
      <c r="D37" s="207" t="s">
        <v>36</v>
      </c>
      <c r="E37" s="64">
        <v>5.87</v>
      </c>
      <c r="F37" s="64">
        <v>3.96</v>
      </c>
      <c r="G37" s="64">
        <v>92.83</v>
      </c>
      <c r="H37" s="64">
        <v>40.619999999999997</v>
      </c>
      <c r="I37" s="64">
        <v>4.4400000000000004</v>
      </c>
      <c r="J37" s="64">
        <v>1.97</v>
      </c>
      <c r="K37" s="64">
        <v>346.27</v>
      </c>
      <c r="L37" s="64">
        <v>11.6</v>
      </c>
      <c r="M37" s="64">
        <v>70.16</v>
      </c>
      <c r="N37" s="64">
        <v>69</v>
      </c>
      <c r="O37" s="64">
        <v>0</v>
      </c>
      <c r="P37" s="64">
        <v>0.75</v>
      </c>
      <c r="Q37" s="64">
        <v>8.2100000000000009</v>
      </c>
      <c r="R37" s="196"/>
      <c r="S37" s="196"/>
      <c r="T37" s="196"/>
      <c r="U37" s="196"/>
    </row>
    <row r="38" spans="1:21" s="12" customFormat="1" x14ac:dyDescent="0.25">
      <c r="A38" s="211" t="s">
        <v>2868</v>
      </c>
      <c r="B38" s="207" t="s">
        <v>36</v>
      </c>
      <c r="C38" s="207" t="s">
        <v>36</v>
      </c>
      <c r="D38" s="207" t="s">
        <v>36</v>
      </c>
      <c r="E38" s="64">
        <v>6.44</v>
      </c>
      <c r="F38" s="64">
        <v>3.94</v>
      </c>
      <c r="G38" s="64">
        <v>92.83</v>
      </c>
      <c r="H38" s="64">
        <v>40.619999999999997</v>
      </c>
      <c r="I38" s="64">
        <v>4.47</v>
      </c>
      <c r="J38" s="64">
        <v>1.67</v>
      </c>
      <c r="K38" s="64">
        <v>333.08</v>
      </c>
      <c r="L38" s="64">
        <v>12</v>
      </c>
      <c r="M38" s="64">
        <v>68.180000000000007</v>
      </c>
      <c r="N38" s="64">
        <v>107.6</v>
      </c>
      <c r="O38" s="64">
        <v>0</v>
      </c>
      <c r="P38" s="64">
        <v>0.77</v>
      </c>
      <c r="Q38" s="64">
        <v>8.2100000000000009</v>
      </c>
      <c r="R38" s="196"/>
      <c r="S38" s="196"/>
      <c r="T38" s="196"/>
      <c r="U38" s="196"/>
    </row>
    <row r="39" spans="1:21" s="12" customFormat="1" x14ac:dyDescent="0.25">
      <c r="A39" s="211" t="s">
        <v>2869</v>
      </c>
      <c r="B39" s="207" t="s">
        <v>36</v>
      </c>
      <c r="C39" s="207" t="s">
        <v>36</v>
      </c>
      <c r="D39" s="207" t="s">
        <v>36</v>
      </c>
      <c r="E39" s="64">
        <v>6.34</v>
      </c>
      <c r="F39" s="64">
        <v>3.95</v>
      </c>
      <c r="G39" s="64">
        <v>92.83</v>
      </c>
      <c r="H39" s="64">
        <v>40.619999999999997</v>
      </c>
      <c r="I39" s="64">
        <v>4.5</v>
      </c>
      <c r="J39" s="64">
        <v>1.76</v>
      </c>
      <c r="K39" s="64">
        <v>343.85</v>
      </c>
      <c r="L39" s="64">
        <v>13.19</v>
      </c>
      <c r="M39" s="64">
        <v>63.01</v>
      </c>
      <c r="N39" s="64">
        <v>170</v>
      </c>
      <c r="O39" s="64">
        <v>0</v>
      </c>
      <c r="P39" s="64">
        <v>0.77</v>
      </c>
      <c r="Q39" s="64">
        <v>8.2100000000000009</v>
      </c>
      <c r="R39" s="196"/>
      <c r="S39" s="196"/>
      <c r="T39" s="196"/>
      <c r="U39" s="196"/>
    </row>
    <row r="40" spans="1:21" s="12" customFormat="1" x14ac:dyDescent="0.25">
      <c r="A40" s="211" t="s">
        <v>2870</v>
      </c>
      <c r="B40" s="207" t="s">
        <v>36</v>
      </c>
      <c r="C40" s="207" t="s">
        <v>36</v>
      </c>
      <c r="D40" s="207" t="s">
        <v>36</v>
      </c>
      <c r="E40" s="64">
        <v>7.45</v>
      </c>
      <c r="F40" s="64">
        <v>3.87</v>
      </c>
      <c r="G40" s="64">
        <v>94.07</v>
      </c>
      <c r="H40" s="64">
        <v>50.99</v>
      </c>
      <c r="I40" s="64">
        <v>4.55</v>
      </c>
      <c r="J40" s="64">
        <v>2.0299999999999998</v>
      </c>
      <c r="K40" s="64">
        <v>335.74</v>
      </c>
      <c r="L40" s="64">
        <v>14.56</v>
      </c>
      <c r="M40" s="64">
        <v>57.79</v>
      </c>
      <c r="N40" s="64">
        <v>192.1</v>
      </c>
      <c r="O40" s="64">
        <v>0</v>
      </c>
      <c r="P40" s="64">
        <v>0.77</v>
      </c>
      <c r="Q40" s="64">
        <v>8.2100000000000009</v>
      </c>
      <c r="R40" s="196"/>
      <c r="S40" s="196"/>
      <c r="T40" s="196"/>
      <c r="U40" s="196"/>
    </row>
    <row r="41" spans="1:21" s="12" customFormat="1" x14ac:dyDescent="0.25">
      <c r="A41" s="211" t="s">
        <v>2871</v>
      </c>
      <c r="B41" s="207" t="s">
        <v>36</v>
      </c>
      <c r="C41" s="207" t="s">
        <v>36</v>
      </c>
      <c r="D41" s="207" t="s">
        <v>36</v>
      </c>
      <c r="E41" s="64">
        <v>7.88</v>
      </c>
      <c r="F41" s="64">
        <v>3.89</v>
      </c>
      <c r="G41" s="64">
        <v>95.02</v>
      </c>
      <c r="H41" s="64">
        <v>54.59</v>
      </c>
      <c r="I41" s="64">
        <v>4.55</v>
      </c>
      <c r="J41" s="64">
        <v>1.95</v>
      </c>
      <c r="K41" s="64">
        <v>341.84</v>
      </c>
      <c r="L41" s="64">
        <v>15.08</v>
      </c>
      <c r="M41" s="64">
        <v>55.8</v>
      </c>
      <c r="N41" s="64">
        <v>200.2</v>
      </c>
      <c r="O41" s="64">
        <v>0</v>
      </c>
      <c r="P41" s="64">
        <v>0.78</v>
      </c>
      <c r="Q41" s="64">
        <v>8.2100000000000009</v>
      </c>
      <c r="R41" s="196"/>
      <c r="S41" s="196"/>
      <c r="T41" s="196"/>
      <c r="U41" s="196"/>
    </row>
    <row r="42" spans="1:21" s="12" customFormat="1" x14ac:dyDescent="0.25">
      <c r="A42" s="211" t="s">
        <v>2872</v>
      </c>
      <c r="B42" s="207" t="s">
        <v>36</v>
      </c>
      <c r="C42" s="207" t="s">
        <v>36</v>
      </c>
      <c r="D42" s="207" t="s">
        <v>36</v>
      </c>
      <c r="E42" s="64">
        <v>8.26</v>
      </c>
      <c r="F42" s="64">
        <v>4.03</v>
      </c>
      <c r="G42" s="64">
        <v>95.02</v>
      </c>
      <c r="H42" s="64">
        <v>54.59</v>
      </c>
      <c r="I42" s="64">
        <v>4.57</v>
      </c>
      <c r="J42" s="64">
        <v>2.12</v>
      </c>
      <c r="K42" s="64">
        <v>339.83</v>
      </c>
      <c r="L42" s="64">
        <v>15.31</v>
      </c>
      <c r="M42" s="64">
        <v>54.9</v>
      </c>
      <c r="N42" s="64">
        <v>166.2</v>
      </c>
      <c r="O42" s="64">
        <v>0</v>
      </c>
      <c r="P42" s="64">
        <v>0.78</v>
      </c>
      <c r="Q42" s="64">
        <v>8.2100000000000009</v>
      </c>
      <c r="R42" s="196"/>
      <c r="S42" s="196"/>
      <c r="T42" s="196"/>
      <c r="U42" s="196"/>
    </row>
    <row r="43" spans="1:21" s="12" customFormat="1" x14ac:dyDescent="0.25">
      <c r="A43" s="211" t="s">
        <v>2873</v>
      </c>
      <c r="B43" s="207" t="s">
        <v>36</v>
      </c>
      <c r="C43" s="207" t="s">
        <v>36</v>
      </c>
      <c r="D43" s="207" t="s">
        <v>36</v>
      </c>
      <c r="E43" s="64">
        <v>8.36</v>
      </c>
      <c r="F43" s="64">
        <v>4.33</v>
      </c>
      <c r="G43" s="64">
        <v>95.02</v>
      </c>
      <c r="H43" s="64">
        <v>54.59</v>
      </c>
      <c r="I43" s="64">
        <v>4.5999999999999996</v>
      </c>
      <c r="J43" s="64">
        <v>1.59</v>
      </c>
      <c r="K43" s="64">
        <v>334.77</v>
      </c>
      <c r="L43" s="64">
        <v>15.38</v>
      </c>
      <c r="M43" s="64">
        <v>55.21</v>
      </c>
      <c r="N43" s="64">
        <v>237.5</v>
      </c>
      <c r="O43" s="64">
        <v>0</v>
      </c>
      <c r="P43" s="64">
        <v>0.79</v>
      </c>
      <c r="Q43" s="64">
        <v>8.2100000000000009</v>
      </c>
      <c r="R43" s="196"/>
      <c r="S43" s="196"/>
      <c r="T43" s="196"/>
      <c r="U43" s="196"/>
    </row>
    <row r="44" spans="1:21" s="12" customFormat="1" x14ac:dyDescent="0.25">
      <c r="A44" s="211" t="s">
        <v>2874</v>
      </c>
      <c r="B44" s="207" t="s">
        <v>36</v>
      </c>
      <c r="C44" s="207" t="s">
        <v>36</v>
      </c>
      <c r="D44" s="207" t="s">
        <v>36</v>
      </c>
      <c r="E44" s="64">
        <v>8.25</v>
      </c>
      <c r="F44" s="64">
        <v>4.26</v>
      </c>
      <c r="G44" s="64">
        <v>101.23</v>
      </c>
      <c r="H44" s="64">
        <v>23.97</v>
      </c>
      <c r="I44" s="64">
        <v>4.59</v>
      </c>
      <c r="J44" s="64">
        <v>0.94</v>
      </c>
      <c r="K44" s="64">
        <v>347.04</v>
      </c>
      <c r="L44" s="64">
        <v>16.350000000000001</v>
      </c>
      <c r="M44" s="64">
        <v>52.86</v>
      </c>
      <c r="N44" s="64">
        <v>287.5</v>
      </c>
      <c r="O44" s="64">
        <v>0</v>
      </c>
      <c r="P44" s="64">
        <v>0.8</v>
      </c>
      <c r="Q44" s="64">
        <v>8.2100000000000009</v>
      </c>
      <c r="R44" s="196"/>
      <c r="S44" s="196"/>
      <c r="T44" s="196"/>
      <c r="U44" s="196"/>
    </row>
    <row r="45" spans="1:21" s="12" customFormat="1" x14ac:dyDescent="0.25">
      <c r="A45" s="211" t="s">
        <v>2875</v>
      </c>
      <c r="B45" s="207" t="s">
        <v>36</v>
      </c>
      <c r="C45" s="207" t="s">
        <v>36</v>
      </c>
      <c r="D45" s="207" t="s">
        <v>36</v>
      </c>
      <c r="E45" s="64">
        <v>7.58</v>
      </c>
      <c r="F45" s="64">
        <v>4.3</v>
      </c>
      <c r="G45" s="64">
        <v>105.98</v>
      </c>
      <c r="H45" s="64">
        <v>13.35</v>
      </c>
      <c r="I45" s="64">
        <v>4.59</v>
      </c>
      <c r="J45" s="64">
        <v>0.74</v>
      </c>
      <c r="K45" s="64">
        <v>84.7</v>
      </c>
      <c r="L45" s="64">
        <v>16.170000000000002</v>
      </c>
      <c r="M45" s="64">
        <v>53.95</v>
      </c>
      <c r="N45" s="64">
        <v>303.5</v>
      </c>
      <c r="O45" s="64">
        <v>0</v>
      </c>
      <c r="P45" s="64">
        <v>0.81</v>
      </c>
      <c r="Q45" s="64">
        <v>8.2100000000000009</v>
      </c>
      <c r="R45" s="196"/>
      <c r="S45" s="196"/>
      <c r="T45" s="196"/>
      <c r="U45" s="196"/>
    </row>
    <row r="46" spans="1:21" s="12" customFormat="1" x14ac:dyDescent="0.25">
      <c r="A46" s="211" t="s">
        <v>2876</v>
      </c>
      <c r="B46" s="207" t="s">
        <v>36</v>
      </c>
      <c r="C46" s="207" t="s">
        <v>36</v>
      </c>
      <c r="D46" s="207" t="s">
        <v>36</v>
      </c>
      <c r="E46" s="64">
        <v>7.26</v>
      </c>
      <c r="F46" s="64">
        <v>4.4400000000000004</v>
      </c>
      <c r="G46" s="64">
        <v>105.98</v>
      </c>
      <c r="H46" s="64">
        <v>13.35</v>
      </c>
      <c r="I46" s="64">
        <v>4.6399999999999997</v>
      </c>
      <c r="J46" s="64">
        <v>1.01</v>
      </c>
      <c r="K46" s="64">
        <v>96.46</v>
      </c>
      <c r="L46" s="64">
        <v>16.88</v>
      </c>
      <c r="M46" s="64">
        <v>52.14</v>
      </c>
      <c r="N46" s="64">
        <v>408</v>
      </c>
      <c r="O46" s="64">
        <v>0</v>
      </c>
      <c r="P46" s="64">
        <v>0.81</v>
      </c>
      <c r="Q46" s="64">
        <v>8.2200000000000006</v>
      </c>
      <c r="R46" s="196"/>
      <c r="S46" s="196"/>
      <c r="T46" s="196"/>
      <c r="U46" s="196"/>
    </row>
    <row r="47" spans="1:21" s="12" customFormat="1" x14ac:dyDescent="0.25">
      <c r="A47" s="211" t="s">
        <v>2877</v>
      </c>
      <c r="B47" s="207" t="s">
        <v>36</v>
      </c>
      <c r="C47" s="207" t="s">
        <v>36</v>
      </c>
      <c r="D47" s="207" t="s">
        <v>36</v>
      </c>
      <c r="E47" s="64">
        <v>7.71</v>
      </c>
      <c r="F47" s="64">
        <v>4.22</v>
      </c>
      <c r="G47" s="64">
        <v>105.98</v>
      </c>
      <c r="H47" s="64">
        <v>13.35</v>
      </c>
      <c r="I47" s="64">
        <v>4.8</v>
      </c>
      <c r="J47" s="64">
        <v>0.94</v>
      </c>
      <c r="K47" s="64">
        <v>87.07</v>
      </c>
      <c r="L47" s="64">
        <v>17.809999999999999</v>
      </c>
      <c r="M47" s="64">
        <v>49.9</v>
      </c>
      <c r="N47" s="64">
        <v>447.2</v>
      </c>
      <c r="O47" s="64">
        <v>0</v>
      </c>
      <c r="P47" s="64">
        <v>0.8</v>
      </c>
      <c r="Q47" s="64">
        <v>8.2200000000000006</v>
      </c>
      <c r="R47" s="196"/>
      <c r="S47" s="196"/>
      <c r="T47" s="196"/>
      <c r="U47" s="196"/>
    </row>
    <row r="48" spans="1:21" s="12" customFormat="1" x14ac:dyDescent="0.25">
      <c r="A48" s="211" t="s">
        <v>2878</v>
      </c>
      <c r="B48" s="207" t="s">
        <v>36</v>
      </c>
      <c r="C48" s="207" t="s">
        <v>36</v>
      </c>
      <c r="D48" s="207" t="s">
        <v>36</v>
      </c>
      <c r="E48" s="64">
        <v>7.34</v>
      </c>
      <c r="F48" s="64">
        <v>4.0999999999999996</v>
      </c>
      <c r="G48" s="64">
        <v>107.75</v>
      </c>
      <c r="H48" s="64">
        <v>37.49</v>
      </c>
      <c r="I48" s="64">
        <v>5.07</v>
      </c>
      <c r="J48" s="64">
        <v>0.75</v>
      </c>
      <c r="K48" s="64">
        <v>354.18</v>
      </c>
      <c r="L48" s="64">
        <v>18.989999999999998</v>
      </c>
      <c r="M48" s="64">
        <v>46.41</v>
      </c>
      <c r="N48" s="64">
        <v>462.2</v>
      </c>
      <c r="O48" s="64">
        <v>0</v>
      </c>
      <c r="P48" s="64">
        <v>0.8</v>
      </c>
      <c r="Q48" s="64">
        <v>8.2100000000000009</v>
      </c>
      <c r="R48" s="196"/>
      <c r="S48" s="196"/>
      <c r="T48" s="196"/>
      <c r="U48" s="196"/>
    </row>
    <row r="49" spans="1:21" s="12" customFormat="1" x14ac:dyDescent="0.25">
      <c r="A49" s="211" t="s">
        <v>2879</v>
      </c>
      <c r="B49" s="207" t="s">
        <v>36</v>
      </c>
      <c r="C49" s="207" t="s">
        <v>36</v>
      </c>
      <c r="D49" s="207" t="s">
        <v>36</v>
      </c>
      <c r="E49" s="64">
        <v>7.71</v>
      </c>
      <c r="F49" s="64">
        <v>4.2699999999999996</v>
      </c>
      <c r="G49" s="64">
        <v>109.11</v>
      </c>
      <c r="H49" s="64">
        <v>53.91</v>
      </c>
      <c r="I49" s="64">
        <v>5.38</v>
      </c>
      <c r="J49" s="64">
        <v>0.96</v>
      </c>
      <c r="K49" s="64">
        <v>67.010000000000005</v>
      </c>
      <c r="L49" s="64">
        <v>19.72</v>
      </c>
      <c r="M49" s="64">
        <v>44.83</v>
      </c>
      <c r="N49" s="64">
        <v>450</v>
      </c>
      <c r="O49" s="64">
        <v>0</v>
      </c>
      <c r="P49" s="64">
        <v>0.8</v>
      </c>
      <c r="Q49" s="64">
        <v>8.2100000000000009</v>
      </c>
      <c r="R49" s="196"/>
      <c r="S49" s="196"/>
      <c r="T49" s="196"/>
      <c r="U49" s="196"/>
    </row>
    <row r="50" spans="1:21" s="12" customFormat="1" x14ac:dyDescent="0.25">
      <c r="A50" s="211" t="s">
        <v>2880</v>
      </c>
      <c r="B50" s="207" t="s">
        <v>36</v>
      </c>
      <c r="C50" s="207" t="s">
        <v>36</v>
      </c>
      <c r="D50" s="207" t="s">
        <v>36</v>
      </c>
      <c r="E50" s="64">
        <v>7.37</v>
      </c>
      <c r="F50" s="64">
        <v>4.42</v>
      </c>
      <c r="G50" s="64">
        <v>109.11</v>
      </c>
      <c r="H50" s="64">
        <v>53.91</v>
      </c>
      <c r="I50" s="64">
        <v>5.58</v>
      </c>
      <c r="J50" s="64">
        <v>1.21</v>
      </c>
      <c r="K50" s="64">
        <v>108.86</v>
      </c>
      <c r="L50" s="64">
        <v>18.87</v>
      </c>
      <c r="M50" s="64">
        <v>47.78</v>
      </c>
      <c r="N50" s="64">
        <v>483.1</v>
      </c>
      <c r="O50" s="64">
        <v>0</v>
      </c>
      <c r="P50" s="64">
        <v>0.8</v>
      </c>
      <c r="Q50" s="64">
        <v>8.2100000000000009</v>
      </c>
      <c r="R50" s="196"/>
      <c r="S50" s="196"/>
      <c r="T50" s="196"/>
      <c r="U50" s="196"/>
    </row>
    <row r="51" spans="1:21" s="12" customFormat="1" x14ac:dyDescent="0.25">
      <c r="A51" s="211" t="s">
        <v>2881</v>
      </c>
      <c r="B51" s="207" t="s">
        <v>36</v>
      </c>
      <c r="C51" s="207" t="s">
        <v>36</v>
      </c>
      <c r="D51" s="207" t="s">
        <v>36</v>
      </c>
      <c r="E51" s="64">
        <v>7.39</v>
      </c>
      <c r="F51" s="64">
        <v>4.6100000000000003</v>
      </c>
      <c r="G51" s="64">
        <v>109.11</v>
      </c>
      <c r="H51" s="64">
        <v>53.91</v>
      </c>
      <c r="I51" s="64">
        <v>5.68</v>
      </c>
      <c r="J51" s="64">
        <v>1.38</v>
      </c>
      <c r="K51" s="64">
        <v>106.74</v>
      </c>
      <c r="L51" s="64">
        <v>19.45</v>
      </c>
      <c r="M51" s="64">
        <v>45.79</v>
      </c>
      <c r="N51" s="64">
        <v>463.5</v>
      </c>
      <c r="O51" s="64">
        <v>0</v>
      </c>
      <c r="P51" s="64">
        <v>0.8</v>
      </c>
      <c r="Q51" s="64">
        <v>8.2100000000000009</v>
      </c>
      <c r="R51" s="196"/>
      <c r="S51" s="196"/>
      <c r="T51" s="196"/>
      <c r="U51" s="196"/>
    </row>
    <row r="52" spans="1:21" s="12" customFormat="1" x14ac:dyDescent="0.25">
      <c r="A52" s="211" t="s">
        <v>2882</v>
      </c>
      <c r="B52" s="207" t="s">
        <v>36</v>
      </c>
      <c r="C52" s="207" t="s">
        <v>36</v>
      </c>
      <c r="D52" s="207" t="s">
        <v>36</v>
      </c>
      <c r="E52" s="64">
        <v>7.33</v>
      </c>
      <c r="F52" s="64">
        <v>4.66</v>
      </c>
      <c r="G52" s="64">
        <v>108.71</v>
      </c>
      <c r="H52" s="64">
        <v>52.62</v>
      </c>
      <c r="I52" s="64">
        <v>6.01</v>
      </c>
      <c r="J52" s="64">
        <v>0.66</v>
      </c>
      <c r="K52" s="64">
        <v>32.22</v>
      </c>
      <c r="L52" s="64">
        <v>19.579999999999998</v>
      </c>
      <c r="M52" s="64">
        <v>45.43</v>
      </c>
      <c r="N52" s="64">
        <v>396.5</v>
      </c>
      <c r="O52" s="64">
        <v>0</v>
      </c>
      <c r="P52" s="64">
        <v>0.8</v>
      </c>
      <c r="Q52" s="64">
        <v>8.2100000000000009</v>
      </c>
      <c r="R52" s="196"/>
      <c r="S52" s="196"/>
      <c r="T52" s="196"/>
      <c r="U52" s="196"/>
    </row>
    <row r="53" spans="1:21" s="12" customFormat="1" x14ac:dyDescent="0.25">
      <c r="A53" s="211" t="s">
        <v>2883</v>
      </c>
      <c r="B53" s="207" t="s">
        <v>36</v>
      </c>
      <c r="C53" s="207" t="s">
        <v>36</v>
      </c>
      <c r="D53" s="207" t="s">
        <v>36</v>
      </c>
      <c r="E53" s="64">
        <v>7.09</v>
      </c>
      <c r="F53" s="64">
        <v>4.6900000000000004</v>
      </c>
      <c r="G53" s="64">
        <v>108.4</v>
      </c>
      <c r="H53" s="64">
        <v>52.18</v>
      </c>
      <c r="I53" s="64">
        <v>6.55</v>
      </c>
      <c r="J53" s="64">
        <v>0.6</v>
      </c>
      <c r="K53" s="64">
        <v>359.69</v>
      </c>
      <c r="L53" s="64">
        <v>20.45</v>
      </c>
      <c r="M53" s="64">
        <v>43.49</v>
      </c>
      <c r="N53" s="64">
        <v>437.6</v>
      </c>
      <c r="O53" s="64">
        <v>0</v>
      </c>
      <c r="P53" s="64">
        <v>0.8</v>
      </c>
      <c r="Q53" s="64">
        <v>8.2100000000000009</v>
      </c>
      <c r="R53" s="196"/>
      <c r="S53" s="196"/>
      <c r="T53" s="196"/>
      <c r="U53" s="196"/>
    </row>
    <row r="54" spans="1:21" s="12" customFormat="1" x14ac:dyDescent="0.25">
      <c r="A54" s="211" t="s">
        <v>2884</v>
      </c>
      <c r="B54" s="207" t="s">
        <v>36</v>
      </c>
      <c r="C54" s="207" t="s">
        <v>36</v>
      </c>
      <c r="D54" s="207" t="s">
        <v>36</v>
      </c>
      <c r="E54" s="64">
        <v>7.5</v>
      </c>
      <c r="F54" s="64">
        <v>4.18</v>
      </c>
      <c r="G54" s="64">
        <v>108.4</v>
      </c>
      <c r="H54" s="64">
        <v>52.18</v>
      </c>
      <c r="I54" s="64">
        <v>6.37</v>
      </c>
      <c r="J54" s="64">
        <v>0.71</v>
      </c>
      <c r="K54" s="64">
        <v>53.34</v>
      </c>
      <c r="L54" s="64">
        <v>21.26</v>
      </c>
      <c r="M54" s="64">
        <v>42.53</v>
      </c>
      <c r="N54" s="64">
        <v>479.2</v>
      </c>
      <c r="O54" s="64">
        <v>0</v>
      </c>
      <c r="P54" s="64">
        <v>0.79</v>
      </c>
      <c r="Q54" s="64">
        <v>8.2100000000000009</v>
      </c>
      <c r="R54" s="196"/>
      <c r="S54" s="196"/>
      <c r="T54" s="196"/>
      <c r="U54" s="196"/>
    </row>
    <row r="55" spans="1:21" s="12" customFormat="1" x14ac:dyDescent="0.25">
      <c r="A55" s="211" t="s">
        <v>2885</v>
      </c>
      <c r="B55" s="207" t="s">
        <v>36</v>
      </c>
      <c r="C55" s="207" t="s">
        <v>36</v>
      </c>
      <c r="D55" s="207" t="s">
        <v>36</v>
      </c>
      <c r="E55" s="64">
        <v>7.39</v>
      </c>
      <c r="F55" s="64">
        <v>4.33</v>
      </c>
      <c r="G55" s="64">
        <v>108.4</v>
      </c>
      <c r="H55" s="64">
        <v>52.18</v>
      </c>
      <c r="I55" s="64">
        <v>6.42</v>
      </c>
      <c r="J55" s="64">
        <v>1.31</v>
      </c>
      <c r="K55" s="64">
        <v>342.26</v>
      </c>
      <c r="L55" s="64">
        <v>21.74</v>
      </c>
      <c r="M55" s="64">
        <v>41.38</v>
      </c>
      <c r="N55" s="64">
        <v>474.4</v>
      </c>
      <c r="O55" s="64">
        <v>0</v>
      </c>
      <c r="P55" s="64">
        <v>0.79</v>
      </c>
      <c r="Q55" s="64">
        <v>8.2100000000000009</v>
      </c>
      <c r="R55" s="196"/>
      <c r="S55" s="196"/>
      <c r="T55" s="196"/>
      <c r="U55" s="196"/>
    </row>
    <row r="56" spans="1:21" s="12" customFormat="1" x14ac:dyDescent="0.25">
      <c r="A56" s="211" t="s">
        <v>2886</v>
      </c>
      <c r="B56" s="207" t="s">
        <v>36</v>
      </c>
      <c r="C56" s="207" t="s">
        <v>36</v>
      </c>
      <c r="D56" s="207" t="s">
        <v>36</v>
      </c>
      <c r="E56" s="64">
        <v>7.5</v>
      </c>
      <c r="F56" s="64">
        <v>4.3600000000000003</v>
      </c>
      <c r="G56" s="64">
        <v>106.2</v>
      </c>
      <c r="H56" s="64">
        <v>60.48</v>
      </c>
      <c r="I56" s="64">
        <v>6.5</v>
      </c>
      <c r="J56" s="64">
        <v>1.0900000000000001</v>
      </c>
      <c r="K56" s="64">
        <v>327.99</v>
      </c>
      <c r="L56" s="64">
        <v>22.19</v>
      </c>
      <c r="M56" s="64">
        <v>40.98</v>
      </c>
      <c r="N56" s="64">
        <v>481.5</v>
      </c>
      <c r="O56" s="64">
        <v>0</v>
      </c>
      <c r="P56" s="64">
        <v>0.79</v>
      </c>
      <c r="Q56" s="64">
        <v>8.2100000000000009</v>
      </c>
      <c r="R56" s="196"/>
      <c r="S56" s="196"/>
      <c r="T56" s="196"/>
      <c r="U56" s="196"/>
    </row>
    <row r="57" spans="1:21" s="12" customFormat="1" x14ac:dyDescent="0.25">
      <c r="A57" s="211" t="s">
        <v>2887</v>
      </c>
      <c r="B57" s="207" t="s">
        <v>36</v>
      </c>
      <c r="C57" s="207" t="s">
        <v>36</v>
      </c>
      <c r="D57" s="207" t="s">
        <v>36</v>
      </c>
      <c r="E57" s="64">
        <v>7.5</v>
      </c>
      <c r="F57" s="64">
        <v>4.5599999999999996</v>
      </c>
      <c r="G57" s="64">
        <v>104.44</v>
      </c>
      <c r="H57" s="64">
        <v>63.36</v>
      </c>
      <c r="I57" s="64">
        <v>6.35</v>
      </c>
      <c r="J57" s="64">
        <v>0.76</v>
      </c>
      <c r="K57" s="64">
        <v>77.63</v>
      </c>
      <c r="L57" s="64">
        <v>22.28</v>
      </c>
      <c r="M57" s="64">
        <v>41.16</v>
      </c>
      <c r="N57" s="64">
        <v>515.5</v>
      </c>
      <c r="O57" s="64">
        <v>0</v>
      </c>
      <c r="P57" s="64">
        <v>0.79</v>
      </c>
      <c r="Q57" s="64">
        <v>8.2100000000000009</v>
      </c>
      <c r="R57" s="196"/>
      <c r="S57" s="196"/>
      <c r="T57" s="196"/>
      <c r="U57" s="196"/>
    </row>
    <row r="58" spans="1:21" s="12" customFormat="1" x14ac:dyDescent="0.25">
      <c r="A58" s="211" t="s">
        <v>2888</v>
      </c>
      <c r="B58" s="207" t="s">
        <v>36</v>
      </c>
      <c r="C58" s="207" t="s">
        <v>36</v>
      </c>
      <c r="D58" s="207" t="s">
        <v>36</v>
      </c>
      <c r="E58" s="64">
        <v>7.28</v>
      </c>
      <c r="F58" s="64">
        <v>5.05</v>
      </c>
      <c r="G58" s="64">
        <v>104.44</v>
      </c>
      <c r="H58" s="64">
        <v>63.36</v>
      </c>
      <c r="I58" s="64">
        <v>6.62</v>
      </c>
      <c r="J58" s="64">
        <v>1.43</v>
      </c>
      <c r="K58" s="64">
        <v>90.96</v>
      </c>
      <c r="L58" s="64">
        <v>21.37</v>
      </c>
      <c r="M58" s="64">
        <v>42.66</v>
      </c>
      <c r="N58" s="64">
        <v>446.5</v>
      </c>
      <c r="O58" s="64">
        <v>0</v>
      </c>
      <c r="P58" s="64">
        <v>0.77</v>
      </c>
      <c r="Q58" s="64">
        <v>8.2100000000000009</v>
      </c>
      <c r="R58" s="196"/>
      <c r="S58" s="196"/>
      <c r="T58" s="196"/>
      <c r="U58" s="196"/>
    </row>
    <row r="59" spans="1:21" s="12" customFormat="1" x14ac:dyDescent="0.25">
      <c r="A59" s="211" t="s">
        <v>2889</v>
      </c>
      <c r="B59" s="207" t="s">
        <v>36</v>
      </c>
      <c r="C59" s="207" t="s">
        <v>36</v>
      </c>
      <c r="D59" s="207" t="s">
        <v>36</v>
      </c>
      <c r="E59" s="64">
        <v>7.53</v>
      </c>
      <c r="F59" s="64">
        <v>5.1100000000000003</v>
      </c>
      <c r="G59" s="64">
        <v>104.44</v>
      </c>
      <c r="H59" s="64">
        <v>63.36</v>
      </c>
      <c r="I59" s="64">
        <v>6.57</v>
      </c>
      <c r="J59" s="64">
        <v>1.1499999999999999</v>
      </c>
      <c r="K59" s="64">
        <v>83.37</v>
      </c>
      <c r="L59" s="64">
        <v>21.05</v>
      </c>
      <c r="M59" s="64">
        <v>42.72</v>
      </c>
      <c r="N59" s="64">
        <v>406.6</v>
      </c>
      <c r="O59" s="64">
        <v>0</v>
      </c>
      <c r="P59" s="64">
        <v>0.77</v>
      </c>
      <c r="Q59" s="64">
        <v>8.2100000000000009</v>
      </c>
      <c r="R59" s="196"/>
      <c r="S59" s="196"/>
      <c r="T59" s="196"/>
      <c r="U59" s="196"/>
    </row>
    <row r="60" spans="1:21" s="12" customFormat="1" x14ac:dyDescent="0.25">
      <c r="A60" s="211" t="s">
        <v>2890</v>
      </c>
      <c r="B60" s="207" t="s">
        <v>36</v>
      </c>
      <c r="C60" s="207" t="s">
        <v>36</v>
      </c>
      <c r="D60" s="207" t="s">
        <v>36</v>
      </c>
      <c r="E60" s="64">
        <v>7.99</v>
      </c>
      <c r="F60" s="64">
        <v>5.78</v>
      </c>
      <c r="G60" s="64">
        <v>101.57</v>
      </c>
      <c r="H60" s="64">
        <v>57.72</v>
      </c>
      <c r="I60" s="64">
        <v>6.92</v>
      </c>
      <c r="J60" s="64">
        <v>0.88</v>
      </c>
      <c r="K60" s="64">
        <v>33.21</v>
      </c>
      <c r="L60" s="64">
        <v>21.84</v>
      </c>
      <c r="M60" s="64">
        <v>39.9</v>
      </c>
      <c r="N60" s="64">
        <v>430.6</v>
      </c>
      <c r="O60" s="64">
        <v>0</v>
      </c>
      <c r="P60" s="64">
        <v>0.76</v>
      </c>
      <c r="Q60" s="64">
        <v>8.2100000000000009</v>
      </c>
      <c r="R60" s="196"/>
      <c r="S60" s="196"/>
      <c r="T60" s="196"/>
      <c r="U60" s="196"/>
    </row>
    <row r="61" spans="1:21" s="12" customFormat="1" x14ac:dyDescent="0.25">
      <c r="A61" s="211" t="s">
        <v>2891</v>
      </c>
      <c r="B61" s="207" t="s">
        <v>36</v>
      </c>
      <c r="C61" s="207" t="s">
        <v>36</v>
      </c>
      <c r="D61" s="207" t="s">
        <v>36</v>
      </c>
      <c r="E61" s="64">
        <v>7.33</v>
      </c>
      <c r="F61" s="64">
        <v>6.54</v>
      </c>
      <c r="G61" s="64">
        <v>99.38</v>
      </c>
      <c r="H61" s="64">
        <v>55.76</v>
      </c>
      <c r="I61" s="64">
        <v>7.61</v>
      </c>
      <c r="J61" s="64">
        <v>1.74</v>
      </c>
      <c r="K61" s="64">
        <v>97.78</v>
      </c>
      <c r="L61" s="64">
        <v>21.32</v>
      </c>
      <c r="M61" s="64">
        <v>39.909999999999997</v>
      </c>
      <c r="N61" s="64">
        <v>372.1</v>
      </c>
      <c r="O61" s="64">
        <v>0</v>
      </c>
      <c r="P61" s="64">
        <v>0.74</v>
      </c>
      <c r="Q61" s="64">
        <v>8.2100000000000009</v>
      </c>
      <c r="R61" s="196"/>
      <c r="S61" s="196"/>
      <c r="T61" s="196"/>
      <c r="U61" s="196"/>
    </row>
    <row r="62" spans="1:21" s="12" customFormat="1" x14ac:dyDescent="0.25">
      <c r="A62" s="211" t="s">
        <v>2892</v>
      </c>
      <c r="B62" s="207" t="s">
        <v>36</v>
      </c>
      <c r="C62" s="207" t="s">
        <v>36</v>
      </c>
      <c r="D62" s="207" t="s">
        <v>36</v>
      </c>
      <c r="E62" s="64">
        <v>7.61</v>
      </c>
      <c r="F62" s="64">
        <v>6.48</v>
      </c>
      <c r="G62" s="64">
        <v>99.38</v>
      </c>
      <c r="H62" s="64">
        <v>55.76</v>
      </c>
      <c r="I62" s="64">
        <v>7.61</v>
      </c>
      <c r="J62" s="64">
        <v>0.91</v>
      </c>
      <c r="K62" s="64">
        <v>78.209999999999994</v>
      </c>
      <c r="L62" s="64">
        <v>21.74</v>
      </c>
      <c r="M62" s="64">
        <v>38.21</v>
      </c>
      <c r="N62" s="64">
        <v>407.7</v>
      </c>
      <c r="O62" s="64">
        <v>0</v>
      </c>
      <c r="P62" s="64">
        <v>0.74</v>
      </c>
      <c r="Q62" s="64">
        <v>8.2100000000000009</v>
      </c>
      <c r="R62" s="196"/>
      <c r="S62" s="196"/>
      <c r="T62" s="196"/>
      <c r="U62" s="196"/>
    </row>
    <row r="63" spans="1:21" s="12" customFormat="1" x14ac:dyDescent="0.25">
      <c r="A63" s="211" t="s">
        <v>2893</v>
      </c>
      <c r="B63" s="207" t="s">
        <v>36</v>
      </c>
      <c r="C63" s="207" t="s">
        <v>36</v>
      </c>
      <c r="D63" s="207" t="s">
        <v>36</v>
      </c>
      <c r="E63" s="64">
        <v>7.75</v>
      </c>
      <c r="F63" s="64">
        <v>6.41</v>
      </c>
      <c r="G63" s="64">
        <v>99.38</v>
      </c>
      <c r="H63" s="64">
        <v>55.76</v>
      </c>
      <c r="I63" s="64">
        <v>7.75</v>
      </c>
      <c r="J63" s="64">
        <v>1.73</v>
      </c>
      <c r="K63" s="64">
        <v>97</v>
      </c>
      <c r="L63" s="64">
        <v>21.88</v>
      </c>
      <c r="M63" s="64">
        <v>37.380000000000003</v>
      </c>
      <c r="N63" s="64">
        <v>414.7</v>
      </c>
      <c r="O63" s="64">
        <v>0</v>
      </c>
      <c r="P63" s="64">
        <v>0.74</v>
      </c>
      <c r="Q63" s="64">
        <v>8.2100000000000009</v>
      </c>
      <c r="R63" s="196"/>
      <c r="S63" s="196"/>
      <c r="T63" s="196"/>
      <c r="U63" s="196"/>
    </row>
    <row r="64" spans="1:21" s="12" customFormat="1" x14ac:dyDescent="0.25">
      <c r="A64" s="211" t="s">
        <v>2894</v>
      </c>
      <c r="B64" s="207" t="s">
        <v>36</v>
      </c>
      <c r="C64" s="207" t="s">
        <v>36</v>
      </c>
      <c r="D64" s="207" t="s">
        <v>36</v>
      </c>
      <c r="E64" s="64">
        <v>7.27</v>
      </c>
      <c r="F64" s="64">
        <v>6.32</v>
      </c>
      <c r="G64" s="64">
        <v>95.11</v>
      </c>
      <c r="H64" s="64">
        <v>42.28</v>
      </c>
      <c r="I64" s="64">
        <v>7.77</v>
      </c>
      <c r="J64" s="64">
        <v>1.34</v>
      </c>
      <c r="K64" s="64">
        <v>104.04</v>
      </c>
      <c r="L64" s="64">
        <v>21.35</v>
      </c>
      <c r="M64" s="64">
        <v>38.25</v>
      </c>
      <c r="N64" s="64">
        <v>286.5</v>
      </c>
      <c r="O64" s="64">
        <v>0</v>
      </c>
      <c r="P64" s="64">
        <v>0.71</v>
      </c>
      <c r="Q64" s="64">
        <v>8.2100000000000009</v>
      </c>
      <c r="R64" s="196"/>
      <c r="S64" s="196"/>
      <c r="T64" s="196"/>
      <c r="U64" s="196"/>
    </row>
    <row r="65" spans="1:21" s="12" customFormat="1" x14ac:dyDescent="0.25">
      <c r="A65" s="211" t="s">
        <v>2895</v>
      </c>
      <c r="B65" s="207" t="s">
        <v>36</v>
      </c>
      <c r="C65" s="207" t="s">
        <v>36</v>
      </c>
      <c r="D65" s="207" t="s">
        <v>36</v>
      </c>
      <c r="E65" s="64">
        <v>7.36</v>
      </c>
      <c r="F65" s="64">
        <v>6.29</v>
      </c>
      <c r="G65" s="64">
        <v>91.85</v>
      </c>
      <c r="H65" s="64">
        <v>32.72</v>
      </c>
      <c r="I65" s="64">
        <v>7.61</v>
      </c>
      <c r="J65" s="64">
        <v>1.01</v>
      </c>
      <c r="K65" s="64">
        <v>50.55</v>
      </c>
      <c r="L65" s="64">
        <v>21.59</v>
      </c>
      <c r="M65" s="64">
        <v>37.36</v>
      </c>
      <c r="N65" s="64">
        <v>196</v>
      </c>
      <c r="O65" s="64">
        <v>0</v>
      </c>
      <c r="P65" s="64">
        <v>0.7</v>
      </c>
      <c r="Q65" s="64">
        <v>8.2100000000000009</v>
      </c>
      <c r="R65" s="196"/>
      <c r="S65" s="196"/>
      <c r="T65" s="196"/>
      <c r="U65" s="196"/>
    </row>
    <row r="66" spans="1:21" s="12" customFormat="1" x14ac:dyDescent="0.25">
      <c r="A66" s="211" t="s">
        <v>2896</v>
      </c>
      <c r="B66" s="207" t="s">
        <v>36</v>
      </c>
      <c r="C66" s="207" t="s">
        <v>36</v>
      </c>
      <c r="D66" s="207" t="s">
        <v>36</v>
      </c>
      <c r="E66" s="64">
        <v>7.17</v>
      </c>
      <c r="F66" s="64">
        <v>6.49</v>
      </c>
      <c r="G66" s="64">
        <v>91.85</v>
      </c>
      <c r="H66" s="64">
        <v>32.72</v>
      </c>
      <c r="I66" s="64">
        <v>7.47</v>
      </c>
      <c r="J66" s="64">
        <v>1.89</v>
      </c>
      <c r="K66" s="64">
        <v>343.63</v>
      </c>
      <c r="L66" s="64">
        <v>22.44</v>
      </c>
      <c r="M66" s="64">
        <v>35.24</v>
      </c>
      <c r="N66" s="64">
        <v>159.1</v>
      </c>
      <c r="O66" s="64">
        <v>0</v>
      </c>
      <c r="P66" s="64">
        <v>0.7</v>
      </c>
      <c r="Q66" s="64">
        <v>8.2100000000000009</v>
      </c>
      <c r="R66" s="196"/>
      <c r="S66" s="196"/>
      <c r="T66" s="196"/>
      <c r="U66" s="196"/>
    </row>
    <row r="67" spans="1:21" s="12" customFormat="1" x14ac:dyDescent="0.25">
      <c r="A67" s="211" t="s">
        <v>2897</v>
      </c>
      <c r="B67" s="207" t="s">
        <v>36</v>
      </c>
      <c r="C67" s="207" t="s">
        <v>36</v>
      </c>
      <c r="D67" s="207" t="s">
        <v>36</v>
      </c>
      <c r="E67" s="64">
        <v>7.37</v>
      </c>
      <c r="F67" s="64">
        <v>6.38</v>
      </c>
      <c r="G67" s="64">
        <v>91.85</v>
      </c>
      <c r="H67" s="64">
        <v>32.72</v>
      </c>
      <c r="I67" s="64">
        <v>7.58</v>
      </c>
      <c r="J67" s="64">
        <v>1.5</v>
      </c>
      <c r="K67" s="64">
        <v>343.32</v>
      </c>
      <c r="L67" s="64">
        <v>22.09</v>
      </c>
      <c r="M67" s="64">
        <v>35.619999999999997</v>
      </c>
      <c r="N67" s="64">
        <v>164</v>
      </c>
      <c r="O67" s="64">
        <v>0</v>
      </c>
      <c r="P67" s="64">
        <v>0.7</v>
      </c>
      <c r="Q67" s="64">
        <v>8.2100000000000009</v>
      </c>
      <c r="R67" s="196"/>
      <c r="S67" s="196"/>
      <c r="T67" s="196"/>
      <c r="U67" s="196"/>
    </row>
    <row r="68" spans="1:21" s="12" customFormat="1" x14ac:dyDescent="0.25">
      <c r="A68" s="211" t="s">
        <v>2898</v>
      </c>
      <c r="B68" s="207" t="s">
        <v>36</v>
      </c>
      <c r="C68" s="207" t="s">
        <v>36</v>
      </c>
      <c r="D68" s="207" t="s">
        <v>36</v>
      </c>
      <c r="E68" s="64">
        <v>7.33</v>
      </c>
      <c r="F68" s="64">
        <v>6.11</v>
      </c>
      <c r="G68" s="64">
        <v>88.61</v>
      </c>
      <c r="H68" s="64">
        <v>34.479999999999997</v>
      </c>
      <c r="I68" s="64">
        <v>7.5</v>
      </c>
      <c r="J68" s="64">
        <v>1.65</v>
      </c>
      <c r="K68" s="64">
        <v>339.17</v>
      </c>
      <c r="L68" s="64">
        <v>21.81</v>
      </c>
      <c r="M68" s="64">
        <v>34.9</v>
      </c>
      <c r="N68" s="64">
        <v>166.1</v>
      </c>
      <c r="O68" s="64">
        <v>0</v>
      </c>
      <c r="P68" s="64">
        <v>0.71</v>
      </c>
      <c r="Q68" s="64">
        <v>8.2100000000000009</v>
      </c>
      <c r="R68" s="196"/>
      <c r="S68" s="196"/>
      <c r="T68" s="196"/>
      <c r="U68" s="196"/>
    </row>
    <row r="69" spans="1:21" s="12" customFormat="1" x14ac:dyDescent="0.25">
      <c r="A69" s="211" t="s">
        <v>2899</v>
      </c>
      <c r="B69" s="207" t="s">
        <v>36</v>
      </c>
      <c r="C69" s="207" t="s">
        <v>36</v>
      </c>
      <c r="D69" s="207" t="s">
        <v>36</v>
      </c>
      <c r="E69" s="64">
        <v>7.38</v>
      </c>
      <c r="F69" s="64">
        <v>5.48</v>
      </c>
      <c r="G69" s="64">
        <v>86.01</v>
      </c>
      <c r="H69" s="64">
        <v>35.090000000000003</v>
      </c>
      <c r="I69" s="64">
        <v>7.39</v>
      </c>
      <c r="J69" s="64">
        <v>0.89</v>
      </c>
      <c r="K69" s="64">
        <v>70.8</v>
      </c>
      <c r="L69" s="64">
        <v>21.17</v>
      </c>
      <c r="M69" s="64">
        <v>36.229999999999997</v>
      </c>
      <c r="N69" s="64">
        <v>101.4</v>
      </c>
      <c r="O69" s="64">
        <v>0</v>
      </c>
      <c r="P69" s="64">
        <v>0.68</v>
      </c>
      <c r="Q69" s="64">
        <v>8.2100000000000009</v>
      </c>
      <c r="R69" s="196"/>
      <c r="S69" s="196"/>
      <c r="T69" s="196"/>
      <c r="U69" s="196"/>
    </row>
    <row r="70" spans="1:21" s="12" customFormat="1" x14ac:dyDescent="0.25">
      <c r="A70" s="211" t="s">
        <v>2900</v>
      </c>
      <c r="B70" s="207" t="s">
        <v>36</v>
      </c>
      <c r="C70" s="207" t="s">
        <v>36</v>
      </c>
      <c r="D70" s="207" t="s">
        <v>36</v>
      </c>
      <c r="E70" s="64">
        <v>7.15</v>
      </c>
      <c r="F70" s="64">
        <v>5.0999999999999996</v>
      </c>
      <c r="G70" s="64">
        <v>86.01</v>
      </c>
      <c r="H70" s="64">
        <v>35.090000000000003</v>
      </c>
      <c r="I70" s="64">
        <v>5.36</v>
      </c>
      <c r="J70" s="64">
        <v>0.74</v>
      </c>
      <c r="K70" s="64">
        <v>344.33</v>
      </c>
      <c r="L70" s="64">
        <v>20.9</v>
      </c>
      <c r="M70" s="64">
        <v>35.729999999999997</v>
      </c>
      <c r="N70" s="64">
        <v>97.8</v>
      </c>
      <c r="O70" s="64">
        <v>0</v>
      </c>
      <c r="P70" s="64">
        <v>0.69</v>
      </c>
      <c r="Q70" s="64">
        <v>8.2100000000000009</v>
      </c>
      <c r="R70" s="196"/>
      <c r="S70" s="196"/>
      <c r="T70" s="196"/>
      <c r="U70" s="196"/>
    </row>
    <row r="71" spans="1:21" s="12" customFormat="1" x14ac:dyDescent="0.25">
      <c r="A71" s="211" t="s">
        <v>2901</v>
      </c>
      <c r="B71" s="207" t="s">
        <v>36</v>
      </c>
      <c r="C71" s="207" t="s">
        <v>36</v>
      </c>
      <c r="D71" s="207" t="s">
        <v>36</v>
      </c>
      <c r="E71" s="64">
        <v>6.71</v>
      </c>
      <c r="F71" s="64">
        <v>4.78</v>
      </c>
      <c r="G71" s="64">
        <v>86.01</v>
      </c>
      <c r="H71" s="64">
        <v>35.090000000000003</v>
      </c>
      <c r="I71" s="64">
        <v>5.12</v>
      </c>
      <c r="J71" s="64">
        <v>0.87</v>
      </c>
      <c r="K71" s="64">
        <v>9.89</v>
      </c>
      <c r="L71" s="64">
        <v>20.57</v>
      </c>
      <c r="M71" s="64">
        <v>37.020000000000003</v>
      </c>
      <c r="N71" s="64">
        <v>88.2</v>
      </c>
      <c r="O71" s="64">
        <v>0</v>
      </c>
      <c r="P71" s="64">
        <v>0.68</v>
      </c>
      <c r="Q71" s="64">
        <v>8.2100000000000009</v>
      </c>
      <c r="R71" s="196"/>
      <c r="S71" s="196"/>
      <c r="T71" s="196"/>
      <c r="U71" s="196"/>
    </row>
    <row r="72" spans="1:21" s="12" customFormat="1" x14ac:dyDescent="0.25">
      <c r="A72" s="211" t="s">
        <v>2902</v>
      </c>
      <c r="B72" s="207" t="s">
        <v>36</v>
      </c>
      <c r="C72" s="207" t="s">
        <v>36</v>
      </c>
      <c r="D72" s="207" t="s">
        <v>36</v>
      </c>
      <c r="E72" s="64">
        <v>6.62</v>
      </c>
      <c r="F72" s="64">
        <v>4.53</v>
      </c>
      <c r="G72" s="64">
        <v>82.39</v>
      </c>
      <c r="H72" s="64">
        <v>17.38</v>
      </c>
      <c r="I72" s="64">
        <v>5.08</v>
      </c>
      <c r="J72" s="64">
        <v>1.03</v>
      </c>
      <c r="K72" s="64">
        <v>92.91</v>
      </c>
      <c r="L72" s="64">
        <v>20.49</v>
      </c>
      <c r="M72" s="64">
        <v>37.799999999999997</v>
      </c>
      <c r="N72" s="64">
        <v>93.4</v>
      </c>
      <c r="O72" s="64">
        <v>0</v>
      </c>
      <c r="P72" s="64">
        <v>0.67</v>
      </c>
      <c r="Q72" s="64">
        <v>8.2100000000000009</v>
      </c>
      <c r="R72" s="196"/>
      <c r="S72" s="196"/>
      <c r="T72" s="196"/>
      <c r="U72" s="196"/>
    </row>
    <row r="73" spans="1:21" s="12" customFormat="1" x14ac:dyDescent="0.25">
      <c r="A73" s="211" t="s">
        <v>2903</v>
      </c>
      <c r="B73" s="207" t="s">
        <v>36</v>
      </c>
      <c r="C73" s="207" t="s">
        <v>36</v>
      </c>
      <c r="D73" s="207" t="s">
        <v>36</v>
      </c>
      <c r="E73" s="64">
        <v>6.72</v>
      </c>
      <c r="F73" s="64">
        <v>4.37</v>
      </c>
      <c r="G73" s="64">
        <v>79.61</v>
      </c>
      <c r="H73" s="64">
        <v>11.23</v>
      </c>
      <c r="I73" s="64">
        <v>4.59</v>
      </c>
      <c r="J73" s="64">
        <v>0.67</v>
      </c>
      <c r="K73" s="64">
        <v>68.39</v>
      </c>
      <c r="L73" s="64">
        <v>20.350000000000001</v>
      </c>
      <c r="M73" s="64">
        <v>38.369999999999997</v>
      </c>
      <c r="N73" s="64">
        <v>81</v>
      </c>
      <c r="O73" s="64">
        <v>0</v>
      </c>
      <c r="P73" s="64">
        <v>0.68</v>
      </c>
      <c r="Q73" s="64">
        <v>8.2100000000000009</v>
      </c>
      <c r="R73" s="196"/>
      <c r="S73" s="196"/>
      <c r="T73" s="196"/>
      <c r="U73" s="196"/>
    </row>
    <row r="74" spans="1:21" s="12" customFormat="1" x14ac:dyDescent="0.25">
      <c r="A74" s="211" t="s">
        <v>2904</v>
      </c>
      <c r="B74" s="207" t="s">
        <v>36</v>
      </c>
      <c r="C74" s="207" t="s">
        <v>36</v>
      </c>
      <c r="D74" s="207" t="s">
        <v>36</v>
      </c>
      <c r="E74" s="64">
        <v>6.57</v>
      </c>
      <c r="F74" s="64">
        <v>4.25</v>
      </c>
      <c r="G74" s="64">
        <v>79.61</v>
      </c>
      <c r="H74" s="64">
        <v>11.23</v>
      </c>
      <c r="I74" s="64">
        <v>4.37</v>
      </c>
      <c r="J74" s="64">
        <v>0.47</v>
      </c>
      <c r="K74" s="64">
        <v>64.569999999999993</v>
      </c>
      <c r="L74" s="64">
        <v>20.16</v>
      </c>
      <c r="M74" s="64">
        <v>37.76</v>
      </c>
      <c r="N74" s="64">
        <v>75.599999999999994</v>
      </c>
      <c r="O74" s="64">
        <v>0</v>
      </c>
      <c r="P74" s="64">
        <v>0.66</v>
      </c>
      <c r="Q74" s="64">
        <v>8.2100000000000009</v>
      </c>
      <c r="R74" s="196"/>
      <c r="S74" s="196"/>
      <c r="T74" s="196"/>
      <c r="U74" s="196"/>
    </row>
    <row r="75" spans="1:21" s="12" customFormat="1" x14ac:dyDescent="0.25">
      <c r="A75" s="211" t="s">
        <v>2905</v>
      </c>
      <c r="B75" s="207" t="s">
        <v>36</v>
      </c>
      <c r="C75" s="207" t="s">
        <v>36</v>
      </c>
      <c r="D75" s="207" t="s">
        <v>36</v>
      </c>
      <c r="E75" s="64">
        <v>6.69</v>
      </c>
      <c r="F75" s="64">
        <v>4.2300000000000004</v>
      </c>
      <c r="G75" s="64">
        <v>79.61</v>
      </c>
      <c r="H75" s="64">
        <v>11.23</v>
      </c>
      <c r="I75" s="64">
        <v>4.59</v>
      </c>
      <c r="J75" s="64">
        <v>0.55000000000000004</v>
      </c>
      <c r="K75" s="64">
        <v>109.04</v>
      </c>
      <c r="L75" s="64">
        <v>19.82</v>
      </c>
      <c r="M75" s="64">
        <v>39.58</v>
      </c>
      <c r="N75" s="64">
        <v>60.1</v>
      </c>
      <c r="O75" s="64">
        <v>0</v>
      </c>
      <c r="P75" s="64">
        <v>0.68</v>
      </c>
      <c r="Q75" s="64">
        <v>8.2100000000000009</v>
      </c>
      <c r="R75" s="196"/>
      <c r="S75" s="196"/>
      <c r="T75" s="196"/>
      <c r="U75" s="196"/>
    </row>
    <row r="76" spans="1:21" s="12" customFormat="1" x14ac:dyDescent="0.25">
      <c r="A76" s="211" t="s">
        <v>2906</v>
      </c>
      <c r="B76" s="207" t="s">
        <v>36</v>
      </c>
      <c r="C76" s="207" t="s">
        <v>36</v>
      </c>
      <c r="D76" s="207" t="s">
        <v>36</v>
      </c>
      <c r="E76" s="64">
        <v>7.06</v>
      </c>
      <c r="F76" s="64">
        <v>4.4800000000000004</v>
      </c>
      <c r="G76" s="64">
        <v>78.17</v>
      </c>
      <c r="H76" s="64">
        <v>48.4</v>
      </c>
      <c r="I76" s="64">
        <v>4.95</v>
      </c>
      <c r="J76" s="64">
        <v>0.19</v>
      </c>
      <c r="K76" s="64">
        <v>45.12</v>
      </c>
      <c r="L76" s="64">
        <v>19.34</v>
      </c>
      <c r="M76" s="64">
        <v>41</v>
      </c>
      <c r="N76" s="64">
        <v>49.9</v>
      </c>
      <c r="O76" s="64">
        <v>0</v>
      </c>
      <c r="P76" s="64">
        <v>0.7</v>
      </c>
      <c r="Q76" s="64">
        <v>8.2100000000000009</v>
      </c>
      <c r="R76" s="196"/>
      <c r="S76" s="196"/>
      <c r="T76" s="196"/>
      <c r="U76" s="196"/>
    </row>
    <row r="77" spans="1:21" s="12" customFormat="1" x14ac:dyDescent="0.25">
      <c r="A77" s="211" t="s">
        <v>2907</v>
      </c>
      <c r="B77" s="207" t="s">
        <v>36</v>
      </c>
      <c r="C77" s="207" t="s">
        <v>36</v>
      </c>
      <c r="D77" s="207" t="s">
        <v>36</v>
      </c>
      <c r="E77" s="64">
        <v>7.09</v>
      </c>
      <c r="F77" s="64">
        <v>4.43</v>
      </c>
      <c r="G77" s="64">
        <v>77.069999999999993</v>
      </c>
      <c r="H77" s="64">
        <v>11.7</v>
      </c>
      <c r="I77" s="64">
        <v>5.9</v>
      </c>
      <c r="J77" s="64">
        <v>0.76</v>
      </c>
      <c r="K77" s="64">
        <v>305.39</v>
      </c>
      <c r="L77" s="64">
        <v>18.86</v>
      </c>
      <c r="M77" s="64">
        <v>42.49</v>
      </c>
      <c r="N77" s="64">
        <v>41</v>
      </c>
      <c r="O77" s="64">
        <v>0</v>
      </c>
      <c r="P77" s="64">
        <v>0.72</v>
      </c>
      <c r="Q77" s="64">
        <v>8.2100000000000009</v>
      </c>
      <c r="R77" s="196"/>
      <c r="S77" s="196"/>
      <c r="T77" s="196"/>
      <c r="U77" s="196"/>
    </row>
    <row r="78" spans="1:21" s="12" customFormat="1" x14ac:dyDescent="0.25">
      <c r="A78" s="211" t="s">
        <v>2908</v>
      </c>
      <c r="B78" s="207" t="s">
        <v>36</v>
      </c>
      <c r="C78" s="207" t="s">
        <v>36</v>
      </c>
      <c r="D78" s="207" t="s">
        <v>36</v>
      </c>
      <c r="E78" s="64">
        <v>6.58</v>
      </c>
      <c r="F78" s="64">
        <v>4.68</v>
      </c>
      <c r="G78" s="64">
        <v>77.069999999999993</v>
      </c>
      <c r="H78" s="64">
        <v>10.7</v>
      </c>
      <c r="I78" s="64">
        <v>6.95</v>
      </c>
      <c r="J78" s="64">
        <v>0.42</v>
      </c>
      <c r="K78" s="64">
        <v>72.98</v>
      </c>
      <c r="L78" s="64">
        <v>18.309999999999999</v>
      </c>
      <c r="M78" s="64">
        <v>44.19</v>
      </c>
      <c r="N78" s="64">
        <v>36.4</v>
      </c>
      <c r="O78" s="64">
        <v>0</v>
      </c>
      <c r="P78" s="64">
        <v>0.73</v>
      </c>
      <c r="Q78" s="64">
        <v>8.2100000000000009</v>
      </c>
      <c r="R78" s="196"/>
      <c r="S78" s="196"/>
      <c r="T78" s="196"/>
      <c r="U78" s="196"/>
    </row>
    <row r="79" spans="1:21" s="12" customFormat="1" x14ac:dyDescent="0.25">
      <c r="A79" s="211" t="s">
        <v>2909</v>
      </c>
      <c r="B79" s="207" t="s">
        <v>36</v>
      </c>
      <c r="C79" s="207" t="s">
        <v>36</v>
      </c>
      <c r="D79" s="207" t="s">
        <v>36</v>
      </c>
      <c r="E79" s="64">
        <v>6.93</v>
      </c>
      <c r="F79" s="64">
        <v>4.51</v>
      </c>
      <c r="G79" s="64">
        <v>77.069999999999993</v>
      </c>
      <c r="H79" s="64">
        <v>10.7</v>
      </c>
      <c r="I79" s="64">
        <v>7.09</v>
      </c>
      <c r="J79" s="64">
        <v>0.76</v>
      </c>
      <c r="K79" s="64">
        <v>323.45</v>
      </c>
      <c r="L79" s="64">
        <v>17.89</v>
      </c>
      <c r="M79" s="64">
        <v>46.05</v>
      </c>
      <c r="N79" s="64">
        <v>35</v>
      </c>
      <c r="O79" s="64">
        <v>0</v>
      </c>
      <c r="P79" s="64">
        <v>0.75</v>
      </c>
      <c r="Q79" s="64">
        <v>8.2100000000000009</v>
      </c>
      <c r="R79" s="196"/>
      <c r="S79" s="196"/>
      <c r="T79" s="196"/>
      <c r="U79" s="196"/>
    </row>
    <row r="80" spans="1:21" s="12" customFormat="1" x14ac:dyDescent="0.25">
      <c r="A80" s="211" t="s">
        <v>2910</v>
      </c>
      <c r="B80" s="207" t="s">
        <v>36</v>
      </c>
      <c r="C80" s="207" t="s">
        <v>36</v>
      </c>
      <c r="D80" s="207" t="s">
        <v>36</v>
      </c>
      <c r="E80" s="64">
        <v>6.56</v>
      </c>
      <c r="F80" s="64">
        <v>4.22</v>
      </c>
      <c r="G80" s="64">
        <v>79.48</v>
      </c>
      <c r="H80" s="64">
        <v>70.78</v>
      </c>
      <c r="I80" s="64">
        <v>6.96</v>
      </c>
      <c r="J80" s="64">
        <v>0.35</v>
      </c>
      <c r="K80" s="64">
        <v>317.3</v>
      </c>
      <c r="L80" s="64">
        <v>17.43</v>
      </c>
      <c r="M80" s="64">
        <v>47.91</v>
      </c>
      <c r="N80" s="64">
        <v>34.6</v>
      </c>
      <c r="O80" s="64">
        <v>0</v>
      </c>
      <c r="P80" s="64">
        <v>0.81</v>
      </c>
      <c r="Q80" s="64">
        <v>8.2100000000000009</v>
      </c>
      <c r="R80" s="196"/>
      <c r="S80" s="196"/>
      <c r="T80" s="196"/>
      <c r="U80" s="196"/>
    </row>
    <row r="81" spans="1:26" s="12" customFormat="1" x14ac:dyDescent="0.25">
      <c r="A81" s="211" t="s">
        <v>2911</v>
      </c>
      <c r="B81" s="207" t="s">
        <v>36</v>
      </c>
      <c r="C81" s="207" t="s">
        <v>36</v>
      </c>
      <c r="D81" s="207" t="s">
        <v>36</v>
      </c>
      <c r="E81" s="64">
        <v>6.59</v>
      </c>
      <c r="F81" s="64">
        <v>4.2300000000000004</v>
      </c>
      <c r="G81" s="64">
        <v>81.33</v>
      </c>
      <c r="H81" s="64">
        <v>48.87</v>
      </c>
      <c r="I81" s="64">
        <v>6.85</v>
      </c>
      <c r="J81" s="64">
        <v>0.8</v>
      </c>
      <c r="K81" s="64">
        <v>57.75</v>
      </c>
      <c r="L81" s="64">
        <v>17.170000000000002</v>
      </c>
      <c r="M81" s="64">
        <v>49.06</v>
      </c>
      <c r="N81" s="64">
        <v>34.5</v>
      </c>
      <c r="O81" s="64">
        <v>0</v>
      </c>
      <c r="P81" s="64">
        <v>0.84</v>
      </c>
      <c r="Q81" s="64">
        <v>8.2100000000000009</v>
      </c>
      <c r="R81" s="196"/>
      <c r="S81" s="196"/>
      <c r="T81" s="196"/>
      <c r="U81" s="196"/>
    </row>
    <row r="82" spans="1:26" s="12" customFormat="1" x14ac:dyDescent="0.25">
      <c r="A82" s="211" t="s">
        <v>2912</v>
      </c>
      <c r="B82" s="207" t="s">
        <v>36</v>
      </c>
      <c r="C82" s="207" t="s">
        <v>36</v>
      </c>
      <c r="D82" s="207" t="s">
        <v>36</v>
      </c>
      <c r="E82" s="64">
        <v>6.87</v>
      </c>
      <c r="F82" s="64">
        <v>4.24</v>
      </c>
      <c r="G82" s="64">
        <v>81.33</v>
      </c>
      <c r="H82" s="64">
        <v>48.87</v>
      </c>
      <c r="I82" s="64">
        <v>7.17</v>
      </c>
      <c r="J82" s="64">
        <v>0.42</v>
      </c>
      <c r="K82" s="64">
        <v>336.51</v>
      </c>
      <c r="L82" s="64">
        <v>16.98</v>
      </c>
      <c r="M82" s="64">
        <v>50.06</v>
      </c>
      <c r="N82" s="64">
        <v>34.4</v>
      </c>
      <c r="O82" s="64">
        <v>0</v>
      </c>
      <c r="P82" s="64">
        <v>0.87</v>
      </c>
      <c r="Q82" s="64">
        <v>8.2100000000000009</v>
      </c>
      <c r="R82" s="196"/>
      <c r="S82" s="196"/>
      <c r="T82" s="196"/>
      <c r="U82" s="196"/>
    </row>
    <row r="83" spans="1:26" s="12" customFormat="1" x14ac:dyDescent="0.25">
      <c r="A83" s="211" t="s">
        <v>2913</v>
      </c>
      <c r="B83" s="207" t="s">
        <v>36</v>
      </c>
      <c r="C83" s="207" t="s">
        <v>36</v>
      </c>
      <c r="D83" s="207" t="s">
        <v>36</v>
      </c>
      <c r="E83" s="64">
        <v>7</v>
      </c>
      <c r="F83" s="64">
        <v>3.97</v>
      </c>
      <c r="G83" s="64">
        <v>81.33</v>
      </c>
      <c r="H83" s="64">
        <v>48.87</v>
      </c>
      <c r="I83" s="64">
        <v>7.21</v>
      </c>
      <c r="J83" s="64">
        <v>0.59</v>
      </c>
      <c r="K83" s="64">
        <v>87.37</v>
      </c>
      <c r="L83" s="64">
        <v>16.809999999999999</v>
      </c>
      <c r="M83" s="64">
        <v>50.69</v>
      </c>
      <c r="N83" s="64">
        <v>34.4</v>
      </c>
      <c r="O83" s="64">
        <v>0</v>
      </c>
      <c r="P83" s="64">
        <v>0.91</v>
      </c>
      <c r="Q83" s="64">
        <v>8.2100000000000009</v>
      </c>
      <c r="R83" s="196"/>
      <c r="S83" s="196"/>
      <c r="T83" s="196"/>
      <c r="U83" s="196"/>
    </row>
    <row r="84" spans="1:26" s="12" customFormat="1" x14ac:dyDescent="0.25">
      <c r="A84" s="211" t="s">
        <v>2914</v>
      </c>
      <c r="B84" s="207" t="s">
        <v>36</v>
      </c>
      <c r="C84" s="207" t="s">
        <v>36</v>
      </c>
      <c r="D84" s="207" t="s">
        <v>36</v>
      </c>
      <c r="E84" s="64">
        <v>6.72</v>
      </c>
      <c r="F84" s="64">
        <v>3.86</v>
      </c>
      <c r="G84" s="64">
        <v>89.37</v>
      </c>
      <c r="H84" s="64">
        <v>48.14</v>
      </c>
      <c r="I84" s="64">
        <v>7.14</v>
      </c>
      <c r="J84" s="64">
        <v>1.19</v>
      </c>
      <c r="K84" s="64">
        <v>58.1</v>
      </c>
      <c r="L84" s="64">
        <v>16.649999999999999</v>
      </c>
      <c r="M84" s="64">
        <v>51.79</v>
      </c>
      <c r="N84" s="64">
        <v>34.4</v>
      </c>
      <c r="O84" s="64">
        <v>0</v>
      </c>
      <c r="P84" s="64">
        <v>0.93</v>
      </c>
      <c r="Q84" s="64">
        <v>8.2100000000000009</v>
      </c>
      <c r="R84" s="196"/>
      <c r="S84" s="196"/>
      <c r="T84" s="196"/>
      <c r="U84" s="196"/>
    </row>
    <row r="85" spans="1:26" s="12" customFormat="1" x14ac:dyDescent="0.25">
      <c r="A85" s="211" t="s">
        <v>2915</v>
      </c>
      <c r="B85" s="207" t="s">
        <v>36</v>
      </c>
      <c r="C85" s="207" t="s">
        <v>36</v>
      </c>
      <c r="D85" s="207" t="s">
        <v>36</v>
      </c>
      <c r="E85" s="64">
        <v>7.16</v>
      </c>
      <c r="F85" s="64">
        <v>4.38</v>
      </c>
      <c r="G85" s="64">
        <v>95.52</v>
      </c>
      <c r="H85" s="64">
        <v>47.88</v>
      </c>
      <c r="I85" s="64">
        <v>7.1</v>
      </c>
      <c r="J85" s="64">
        <v>0.64</v>
      </c>
      <c r="K85" s="64">
        <v>68.900000000000006</v>
      </c>
      <c r="L85" s="64">
        <v>16.47</v>
      </c>
      <c r="M85" s="64">
        <v>52.85</v>
      </c>
      <c r="N85" s="64">
        <v>34.200000000000003</v>
      </c>
      <c r="O85" s="64">
        <v>0</v>
      </c>
      <c r="P85" s="64">
        <v>1.05</v>
      </c>
      <c r="Q85" s="64">
        <v>8.2100000000000009</v>
      </c>
      <c r="R85" s="196"/>
      <c r="S85" s="196"/>
      <c r="T85" s="196"/>
      <c r="U85" s="196"/>
    </row>
    <row r="86" spans="1:26" s="12" customFormat="1" x14ac:dyDescent="0.25">
      <c r="A86" s="211" t="s">
        <v>2916</v>
      </c>
      <c r="B86" s="207" t="s">
        <v>36</v>
      </c>
      <c r="C86" s="207" t="s">
        <v>36</v>
      </c>
      <c r="D86" s="207" t="s">
        <v>36</v>
      </c>
      <c r="E86" s="64">
        <v>6.9</v>
      </c>
      <c r="F86" s="64">
        <v>3.7</v>
      </c>
      <c r="G86" s="64">
        <v>95.52</v>
      </c>
      <c r="H86" s="64">
        <v>47.88</v>
      </c>
      <c r="I86" s="64">
        <v>6.77</v>
      </c>
      <c r="J86" s="64">
        <v>0.48</v>
      </c>
      <c r="K86" s="64">
        <v>305.8</v>
      </c>
      <c r="L86" s="64">
        <v>16.32</v>
      </c>
      <c r="M86" s="64">
        <v>53.95</v>
      </c>
      <c r="N86" s="64">
        <v>34.299999999999997</v>
      </c>
      <c r="O86" s="64">
        <v>0</v>
      </c>
      <c r="P86" s="64">
        <v>1.06</v>
      </c>
      <c r="Q86" s="64">
        <v>8.2100000000000009</v>
      </c>
      <c r="R86" s="196"/>
      <c r="S86" s="196"/>
      <c r="T86" s="196"/>
      <c r="U86" s="196"/>
    </row>
    <row r="87" spans="1:26" s="12" customFormat="1" x14ac:dyDescent="0.25">
      <c r="A87" s="211" t="s">
        <v>2917</v>
      </c>
      <c r="B87" s="207" t="s">
        <v>36</v>
      </c>
      <c r="C87" s="207" t="s">
        <v>36</v>
      </c>
      <c r="D87" s="207" t="s">
        <v>36</v>
      </c>
      <c r="E87" s="64">
        <v>7.08</v>
      </c>
      <c r="F87" s="64">
        <v>3.69</v>
      </c>
      <c r="G87" s="64">
        <v>95.52</v>
      </c>
      <c r="H87" s="64">
        <v>47.88</v>
      </c>
      <c r="I87" s="64">
        <v>6.31</v>
      </c>
      <c r="J87" s="64">
        <v>0.98</v>
      </c>
      <c r="K87" s="64">
        <v>298.26</v>
      </c>
      <c r="L87" s="64">
        <v>16.13</v>
      </c>
      <c r="M87" s="64">
        <v>54.44</v>
      </c>
      <c r="N87" s="64">
        <v>34.299999999999997</v>
      </c>
      <c r="O87" s="64">
        <v>0</v>
      </c>
      <c r="P87" s="64">
        <v>1.1200000000000001</v>
      </c>
      <c r="Q87" s="64">
        <v>8.2100000000000009</v>
      </c>
      <c r="R87" s="196"/>
      <c r="S87" s="196"/>
      <c r="T87" s="196"/>
      <c r="U87" s="196"/>
    </row>
    <row r="88" spans="1:26" s="12" customFormat="1" x14ac:dyDescent="0.25">
      <c r="A88" s="211" t="s">
        <v>2918</v>
      </c>
      <c r="B88" s="207" t="s">
        <v>36</v>
      </c>
      <c r="C88" s="207" t="s">
        <v>36</v>
      </c>
      <c r="D88" s="207" t="s">
        <v>36</v>
      </c>
      <c r="E88" s="64">
        <v>7.49</v>
      </c>
      <c r="F88" s="64">
        <v>3.81</v>
      </c>
      <c r="G88" s="64">
        <v>106.14</v>
      </c>
      <c r="H88" s="64">
        <v>58.13</v>
      </c>
      <c r="I88" s="64">
        <v>6.5</v>
      </c>
      <c r="J88" s="64">
        <v>0.08</v>
      </c>
      <c r="K88" s="64">
        <v>358.87</v>
      </c>
      <c r="L88" s="64">
        <v>16.04</v>
      </c>
      <c r="M88" s="64">
        <v>54.57</v>
      </c>
      <c r="N88" s="64">
        <v>34.200000000000003</v>
      </c>
      <c r="O88" s="64">
        <v>0</v>
      </c>
      <c r="P88" s="64">
        <v>1.1000000000000001</v>
      </c>
      <c r="Q88" s="64">
        <v>8.2100000000000009</v>
      </c>
      <c r="R88" s="196"/>
      <c r="S88" s="196"/>
      <c r="T88" s="196"/>
      <c r="U88" s="196"/>
    </row>
    <row r="89" spans="1:26" s="12" customFormat="1" x14ac:dyDescent="0.25">
      <c r="A89" s="211" t="s">
        <v>2919</v>
      </c>
      <c r="B89" s="207" t="s">
        <v>36</v>
      </c>
      <c r="C89" s="207" t="s">
        <v>36</v>
      </c>
      <c r="D89" s="207" t="s">
        <v>36</v>
      </c>
      <c r="E89" s="64">
        <v>7.22</v>
      </c>
      <c r="F89" s="64">
        <v>3.66</v>
      </c>
      <c r="G89" s="64">
        <v>114.26</v>
      </c>
      <c r="H89" s="64">
        <v>61.69</v>
      </c>
      <c r="I89" s="64">
        <v>6.7</v>
      </c>
      <c r="J89" s="64">
        <v>0.76</v>
      </c>
      <c r="K89" s="64">
        <v>296.49</v>
      </c>
      <c r="L89" s="64">
        <v>15.97</v>
      </c>
      <c r="M89" s="64">
        <v>54.91</v>
      </c>
      <c r="N89" s="64">
        <v>34.299999999999997</v>
      </c>
      <c r="O89" s="64">
        <v>0</v>
      </c>
      <c r="P89" s="64">
        <v>1.1399999999999999</v>
      </c>
      <c r="Q89" s="64">
        <v>8.2100000000000009</v>
      </c>
      <c r="R89" s="196"/>
      <c r="S89" s="196"/>
      <c r="T89" s="196"/>
      <c r="U89" s="196"/>
    </row>
    <row r="90" spans="1:26" s="12" customFormat="1" x14ac:dyDescent="0.25">
      <c r="A90" s="211" t="s">
        <v>2920</v>
      </c>
      <c r="B90" s="207" t="s">
        <v>36</v>
      </c>
      <c r="C90" s="207" t="s">
        <v>36</v>
      </c>
      <c r="D90" s="207" t="s">
        <v>36</v>
      </c>
      <c r="E90" s="64">
        <v>7.46</v>
      </c>
      <c r="F90" s="64">
        <v>3.8</v>
      </c>
      <c r="G90" s="64">
        <v>114.26</v>
      </c>
      <c r="H90" s="64">
        <v>61.69</v>
      </c>
      <c r="I90" s="64">
        <v>6.53</v>
      </c>
      <c r="J90" s="64">
        <v>0.28000000000000003</v>
      </c>
      <c r="K90" s="64">
        <v>45.32</v>
      </c>
      <c r="L90" s="64">
        <v>15.96</v>
      </c>
      <c r="M90" s="64">
        <v>54.58</v>
      </c>
      <c r="N90" s="64">
        <v>34.200000000000003</v>
      </c>
      <c r="O90" s="64">
        <v>0</v>
      </c>
      <c r="P90" s="64">
        <v>1.1499999999999999</v>
      </c>
      <c r="Q90" s="64">
        <v>8.2100000000000009</v>
      </c>
      <c r="R90" s="196"/>
      <c r="S90" s="196"/>
      <c r="T90" s="196"/>
      <c r="U90" s="196"/>
    </row>
    <row r="91" spans="1:26" s="12" customFormat="1" x14ac:dyDescent="0.25">
      <c r="A91" s="211" t="s">
        <v>2921</v>
      </c>
      <c r="B91" s="207" t="s">
        <v>36</v>
      </c>
      <c r="C91" s="207" t="s">
        <v>36</v>
      </c>
      <c r="D91" s="207" t="s">
        <v>36</v>
      </c>
      <c r="E91" s="64">
        <v>7.15</v>
      </c>
      <c r="F91" s="64">
        <v>3.99</v>
      </c>
      <c r="G91" s="64">
        <v>114.26</v>
      </c>
      <c r="H91" s="64">
        <v>61.69</v>
      </c>
      <c r="I91" s="64">
        <v>6.24</v>
      </c>
      <c r="J91" s="64">
        <v>0.77</v>
      </c>
      <c r="K91" s="64">
        <v>298.47000000000003</v>
      </c>
      <c r="L91" s="64">
        <v>15.87</v>
      </c>
      <c r="M91" s="64">
        <v>55.09</v>
      </c>
      <c r="N91" s="64">
        <v>34.200000000000003</v>
      </c>
      <c r="O91" s="64">
        <v>0</v>
      </c>
      <c r="P91" s="64">
        <v>1.21</v>
      </c>
      <c r="Q91" s="64">
        <v>8.2100000000000009</v>
      </c>
      <c r="R91" s="196"/>
      <c r="S91" s="196"/>
      <c r="T91" s="196"/>
      <c r="U91" s="196"/>
    </row>
    <row r="92" spans="1:26" s="12" customFormat="1" x14ac:dyDescent="0.25">
      <c r="A92" s="211" t="s">
        <v>2922</v>
      </c>
      <c r="B92" s="207" t="s">
        <v>36</v>
      </c>
      <c r="C92" s="207" t="s">
        <v>36</v>
      </c>
      <c r="D92" s="207" t="s">
        <v>36</v>
      </c>
      <c r="E92" s="64">
        <v>7.46</v>
      </c>
      <c r="F92" s="64">
        <v>3.72</v>
      </c>
      <c r="G92" s="64">
        <v>114.9</v>
      </c>
      <c r="H92" s="64">
        <v>56.61</v>
      </c>
      <c r="I92" s="64">
        <v>6.62</v>
      </c>
      <c r="J92" s="64">
        <v>1.1100000000000001</v>
      </c>
      <c r="K92" s="64">
        <v>313.92</v>
      </c>
      <c r="L92" s="64">
        <v>15.63</v>
      </c>
      <c r="M92" s="64">
        <v>56.22</v>
      </c>
      <c r="N92" s="64">
        <v>34.299999999999997</v>
      </c>
      <c r="O92" s="64">
        <v>0</v>
      </c>
      <c r="P92" s="64">
        <v>1.1599999999999999</v>
      </c>
      <c r="Q92" s="64">
        <v>8.2100000000000009</v>
      </c>
      <c r="R92" s="196"/>
      <c r="S92" s="196"/>
      <c r="T92" s="196"/>
      <c r="U92" s="196"/>
    </row>
    <row r="93" spans="1:26" s="12" customFormat="1" x14ac:dyDescent="0.25">
      <c r="A93" s="211" t="s">
        <v>2923</v>
      </c>
      <c r="B93" s="207" t="s">
        <v>36</v>
      </c>
      <c r="C93" s="207" t="s">
        <v>36</v>
      </c>
      <c r="D93" s="207" t="s">
        <v>36</v>
      </c>
      <c r="E93" s="64">
        <v>7.32</v>
      </c>
      <c r="F93" s="64">
        <v>4.12</v>
      </c>
      <c r="G93" s="64">
        <v>115.38</v>
      </c>
      <c r="H93" s="64">
        <v>54.85</v>
      </c>
      <c r="I93" s="64">
        <v>6.8</v>
      </c>
      <c r="J93" s="64">
        <v>0.32</v>
      </c>
      <c r="K93" s="64">
        <v>3.15</v>
      </c>
      <c r="L93" s="64">
        <v>15.35</v>
      </c>
      <c r="M93" s="64">
        <v>57.26</v>
      </c>
      <c r="N93" s="64">
        <v>34.4</v>
      </c>
      <c r="O93" s="64">
        <v>0</v>
      </c>
      <c r="P93" s="64">
        <v>1.1599999999999999</v>
      </c>
      <c r="Q93" s="64">
        <v>8.2100000000000009</v>
      </c>
      <c r="R93" s="196"/>
      <c r="S93" s="196"/>
      <c r="T93" s="196"/>
      <c r="U93" s="196"/>
    </row>
    <row r="94" spans="1:26" s="12" customFormat="1" x14ac:dyDescent="0.25">
      <c r="A94" s="211" t="s">
        <v>2924</v>
      </c>
      <c r="B94" s="207" t="s">
        <v>36</v>
      </c>
      <c r="C94" s="207" t="s">
        <v>36</v>
      </c>
      <c r="D94" s="207" t="s">
        <v>36</v>
      </c>
      <c r="E94" s="64">
        <v>7.81</v>
      </c>
      <c r="F94" s="64">
        <v>4.4400000000000004</v>
      </c>
      <c r="G94" s="64">
        <v>115.38</v>
      </c>
      <c r="H94" s="64">
        <v>54.85</v>
      </c>
      <c r="I94" s="64">
        <v>7.12</v>
      </c>
      <c r="J94" s="64">
        <v>0.28999999999999998</v>
      </c>
      <c r="K94" s="64">
        <v>54.12</v>
      </c>
      <c r="L94" s="64">
        <v>15.24</v>
      </c>
      <c r="M94" s="64">
        <v>57.6</v>
      </c>
      <c r="N94" s="64">
        <v>34.299999999999997</v>
      </c>
      <c r="O94" s="64">
        <v>0</v>
      </c>
      <c r="P94" s="64">
        <v>1.17</v>
      </c>
      <c r="Q94" s="64">
        <v>8.2100000000000009</v>
      </c>
      <c r="R94" s="196"/>
      <c r="S94" s="196"/>
      <c r="T94" s="196"/>
      <c r="U94" s="196"/>
    </row>
    <row r="95" spans="1:26" s="12" customFormat="1" x14ac:dyDescent="0.25">
      <c r="A95" s="211" t="s">
        <v>2925</v>
      </c>
      <c r="B95" s="207" t="s">
        <v>36</v>
      </c>
      <c r="C95" s="207" t="s">
        <v>36</v>
      </c>
      <c r="D95" s="207" t="s">
        <v>36</v>
      </c>
      <c r="E95" s="64">
        <v>7.47</v>
      </c>
      <c r="F95" s="64">
        <v>4.4000000000000004</v>
      </c>
      <c r="G95" s="64">
        <v>115.38</v>
      </c>
      <c r="H95" s="64">
        <v>54.85</v>
      </c>
      <c r="I95" s="64">
        <v>7.27</v>
      </c>
      <c r="J95" s="64">
        <v>0.39</v>
      </c>
      <c r="K95" s="64">
        <v>80.77</v>
      </c>
      <c r="L95" s="64">
        <v>15.16</v>
      </c>
      <c r="M95" s="64">
        <v>58.2</v>
      </c>
      <c r="N95" s="64">
        <v>34.299999999999997</v>
      </c>
      <c r="O95" s="64">
        <v>0</v>
      </c>
      <c r="P95" s="64">
        <v>1.1599999999999999</v>
      </c>
      <c r="Q95" s="64">
        <v>8.2100000000000009</v>
      </c>
      <c r="R95" s="196"/>
      <c r="S95" s="196"/>
      <c r="T95" s="196"/>
      <c r="U95" s="196"/>
    </row>
    <row r="96" spans="1:26" s="12" customFormat="1" x14ac:dyDescent="0.25">
      <c r="A96" s="211" t="s">
        <v>2926</v>
      </c>
      <c r="B96" s="207" t="s">
        <v>36</v>
      </c>
      <c r="C96" s="207" t="s">
        <v>36</v>
      </c>
      <c r="D96" s="207" t="s">
        <v>36</v>
      </c>
      <c r="E96" s="64">
        <v>7.32</v>
      </c>
      <c r="F96" s="64">
        <v>4.17</v>
      </c>
      <c r="G96" s="64">
        <v>112.19</v>
      </c>
      <c r="H96" s="64">
        <v>46.37</v>
      </c>
      <c r="I96" s="64">
        <v>7.13</v>
      </c>
      <c r="J96" s="64">
        <v>0.27</v>
      </c>
      <c r="K96" s="64">
        <v>80.959999999999994</v>
      </c>
      <c r="L96" s="64">
        <v>15.03</v>
      </c>
      <c r="M96" s="64">
        <v>58.99</v>
      </c>
      <c r="N96" s="64">
        <v>34.4</v>
      </c>
      <c r="O96" s="64">
        <v>0</v>
      </c>
      <c r="P96" s="64">
        <v>1.1499999999999999</v>
      </c>
      <c r="Q96" s="64">
        <v>8.2200000000000006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2927</v>
      </c>
      <c r="B97" s="207" t="s">
        <v>36</v>
      </c>
      <c r="C97" s="207" t="s">
        <v>36</v>
      </c>
      <c r="D97" s="207" t="s">
        <v>36</v>
      </c>
      <c r="E97" s="64">
        <v>6.99</v>
      </c>
      <c r="F97" s="64">
        <v>4.21</v>
      </c>
      <c r="G97" s="64">
        <v>109.75</v>
      </c>
      <c r="H97" s="64">
        <v>40.61</v>
      </c>
      <c r="I97" s="64">
        <v>7.03</v>
      </c>
      <c r="J97" s="64">
        <v>0.84</v>
      </c>
      <c r="K97" s="64">
        <v>93.79</v>
      </c>
      <c r="L97" s="64">
        <v>14.86</v>
      </c>
      <c r="M97" s="64">
        <v>59.9</v>
      </c>
      <c r="N97" s="64">
        <v>34.4</v>
      </c>
      <c r="O97" s="64">
        <v>0</v>
      </c>
      <c r="P97" s="64">
        <v>1.1499999999999999</v>
      </c>
      <c r="Q97" s="64">
        <v>8.2899999999999991</v>
      </c>
      <c r="R97" s="196"/>
      <c r="S97" s="196"/>
      <c r="T97" s="196"/>
      <c r="U97" s="196"/>
    </row>
    <row r="98" spans="1:33" s="12" customFormat="1" x14ac:dyDescent="0.25">
      <c r="A98" s="211" t="s">
        <v>2928</v>
      </c>
      <c r="B98" s="207" t="s">
        <v>36</v>
      </c>
      <c r="C98" s="207" t="s">
        <v>36</v>
      </c>
      <c r="D98" s="207" t="s">
        <v>36</v>
      </c>
      <c r="E98" s="64">
        <v>7.2</v>
      </c>
      <c r="F98" s="64">
        <v>4.26</v>
      </c>
      <c r="G98" s="64">
        <v>109.75</v>
      </c>
      <c r="H98" s="64">
        <v>40.61</v>
      </c>
      <c r="I98" s="64">
        <v>6.94</v>
      </c>
      <c r="J98" s="64">
        <v>0.59</v>
      </c>
      <c r="K98" s="64">
        <v>341.7</v>
      </c>
      <c r="L98" s="64">
        <v>14.76</v>
      </c>
      <c r="M98" s="64">
        <v>60.65</v>
      </c>
      <c r="N98" s="64">
        <v>34.299999999999997</v>
      </c>
      <c r="O98" s="64">
        <v>0</v>
      </c>
      <c r="P98" s="64">
        <v>1.1399999999999999</v>
      </c>
      <c r="Q98" s="64">
        <v>8.27</v>
      </c>
      <c r="R98" s="196"/>
      <c r="S98" s="196"/>
      <c r="T98" s="196"/>
      <c r="U98" s="196"/>
    </row>
    <row r="99" spans="1:33" s="12" customFormat="1" x14ac:dyDescent="0.25">
      <c r="A99" s="211" t="s">
        <v>2929</v>
      </c>
      <c r="B99" s="207" t="s">
        <v>36</v>
      </c>
      <c r="C99" s="207" t="s">
        <v>36</v>
      </c>
      <c r="D99" s="207" t="s">
        <v>36</v>
      </c>
      <c r="E99" s="64">
        <v>7.25</v>
      </c>
      <c r="F99" s="64">
        <v>4.1500000000000004</v>
      </c>
      <c r="G99" s="64">
        <v>109.75</v>
      </c>
      <c r="H99" s="64">
        <v>40.61</v>
      </c>
      <c r="I99" s="64">
        <v>6.84</v>
      </c>
      <c r="J99" s="64">
        <v>1.1399999999999999</v>
      </c>
      <c r="K99" s="64">
        <v>322.42</v>
      </c>
      <c r="L99" s="64">
        <v>14.51</v>
      </c>
      <c r="M99" s="64">
        <v>62.46</v>
      </c>
      <c r="N99" s="64">
        <v>34.4</v>
      </c>
      <c r="O99" s="64">
        <v>0</v>
      </c>
      <c r="P99" s="64">
        <v>1.1299999999999999</v>
      </c>
      <c r="Q99" s="64">
        <v>8.2200000000000006</v>
      </c>
      <c r="R99" s="196"/>
      <c r="S99" s="196"/>
      <c r="T99" s="196"/>
      <c r="U99" s="196"/>
    </row>
    <row r="100" spans="1:33" s="12" customFormat="1" x14ac:dyDescent="0.25">
      <c r="A100" s="211" t="s">
        <v>2930</v>
      </c>
      <c r="B100" s="207" t="s">
        <v>36</v>
      </c>
      <c r="C100" s="207" t="s">
        <v>36</v>
      </c>
      <c r="D100" s="207" t="s">
        <v>36</v>
      </c>
      <c r="E100" s="64">
        <v>7.09</v>
      </c>
      <c r="F100" s="64">
        <v>3.97</v>
      </c>
      <c r="G100" s="64">
        <v>109.1</v>
      </c>
      <c r="H100" s="64">
        <v>45.72</v>
      </c>
      <c r="I100" s="64">
        <v>6.74</v>
      </c>
      <c r="J100" s="64">
        <v>0.52</v>
      </c>
      <c r="K100" s="64">
        <v>20.97</v>
      </c>
      <c r="L100" s="64">
        <v>14.24</v>
      </c>
      <c r="M100" s="64">
        <v>64.13</v>
      </c>
      <c r="N100" s="64">
        <v>34.4</v>
      </c>
      <c r="O100" s="64">
        <v>0</v>
      </c>
      <c r="P100" s="64">
        <v>1.1299999999999999</v>
      </c>
      <c r="Q100" s="64">
        <v>8.2200000000000006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2931</v>
      </c>
      <c r="B101" s="207" t="s">
        <v>36</v>
      </c>
      <c r="C101" s="207" t="s">
        <v>36</v>
      </c>
      <c r="D101" s="207" t="s">
        <v>36</v>
      </c>
      <c r="E101" s="64">
        <v>7.41</v>
      </c>
      <c r="F101" s="64">
        <v>4.03</v>
      </c>
      <c r="G101" s="64">
        <v>108.6</v>
      </c>
      <c r="H101" s="64">
        <v>47.38</v>
      </c>
      <c r="I101" s="64">
        <v>6.63</v>
      </c>
      <c r="J101" s="64">
        <v>0.6</v>
      </c>
      <c r="K101" s="64">
        <v>39.28</v>
      </c>
      <c r="L101" s="64">
        <v>14.07</v>
      </c>
      <c r="M101" s="64">
        <v>65.38</v>
      </c>
      <c r="N101" s="64">
        <v>34.4</v>
      </c>
      <c r="O101" s="64">
        <v>0</v>
      </c>
      <c r="P101" s="64">
        <v>1.1200000000000001</v>
      </c>
      <c r="Q101" s="64">
        <v>8.23</v>
      </c>
      <c r="R101" s="196"/>
      <c r="S101" s="196"/>
      <c r="T101" s="196"/>
      <c r="U101" s="196"/>
    </row>
    <row r="102" spans="1:33" s="12" customFormat="1" x14ac:dyDescent="0.25">
      <c r="A102" s="211" t="s">
        <v>2932</v>
      </c>
      <c r="B102" s="207" t="s">
        <v>36</v>
      </c>
      <c r="C102" s="207" t="s">
        <v>36</v>
      </c>
      <c r="D102" s="207" t="s">
        <v>36</v>
      </c>
      <c r="E102" s="64">
        <v>7.04</v>
      </c>
      <c r="F102" s="64">
        <v>3.62</v>
      </c>
      <c r="G102" s="64">
        <v>108.6</v>
      </c>
      <c r="H102" s="64">
        <v>47.38</v>
      </c>
      <c r="I102" s="64">
        <v>6.55</v>
      </c>
      <c r="J102" s="64">
        <v>0.38</v>
      </c>
      <c r="K102" s="64">
        <v>61.96</v>
      </c>
      <c r="L102" s="64">
        <v>13.98</v>
      </c>
      <c r="M102" s="64">
        <v>66.400000000000006</v>
      </c>
      <c r="N102" s="64">
        <v>34.299999999999997</v>
      </c>
      <c r="O102" s="64">
        <v>0</v>
      </c>
      <c r="P102" s="64">
        <v>1.1100000000000001</v>
      </c>
      <c r="Q102" s="64">
        <v>8.2200000000000006</v>
      </c>
      <c r="R102" s="196"/>
      <c r="S102" s="196"/>
      <c r="T102" s="196"/>
      <c r="U102" s="196"/>
    </row>
    <row r="103" spans="1:33" s="12" customFormat="1" x14ac:dyDescent="0.25">
      <c r="A103" s="211" t="s">
        <v>2933</v>
      </c>
      <c r="B103" s="207" t="s">
        <v>36</v>
      </c>
      <c r="C103" s="207" t="s">
        <v>36</v>
      </c>
      <c r="D103" s="207" t="s">
        <v>36</v>
      </c>
      <c r="E103" s="64">
        <v>7.22</v>
      </c>
      <c r="F103" s="64">
        <v>3.9</v>
      </c>
      <c r="G103" s="64">
        <v>108.6</v>
      </c>
      <c r="H103" s="64">
        <v>47.38</v>
      </c>
      <c r="I103" s="64">
        <v>6.39</v>
      </c>
      <c r="J103" s="64">
        <v>0.2</v>
      </c>
      <c r="K103" s="64">
        <v>326.11</v>
      </c>
      <c r="L103" s="64">
        <v>13.92</v>
      </c>
      <c r="M103" s="64">
        <v>66.989999999999995</v>
      </c>
      <c r="N103" s="64">
        <v>34.299999999999997</v>
      </c>
      <c r="O103" s="64">
        <v>0</v>
      </c>
      <c r="P103" s="64">
        <v>1.0900000000000001</v>
      </c>
      <c r="Q103" s="64">
        <v>8.2100000000000009</v>
      </c>
      <c r="R103" s="196"/>
      <c r="S103" s="196"/>
      <c r="T103" s="196"/>
      <c r="U103" s="196"/>
    </row>
    <row r="104" spans="1:33" s="12" customFormat="1" x14ac:dyDescent="0.25">
      <c r="A104" s="211" t="s">
        <v>2934</v>
      </c>
      <c r="B104" s="207" t="s">
        <v>36</v>
      </c>
      <c r="C104" s="207" t="s">
        <v>36</v>
      </c>
      <c r="D104" s="207" t="s">
        <v>36</v>
      </c>
      <c r="E104" s="64">
        <v>5.75</v>
      </c>
      <c r="F104" s="64">
        <v>3.98</v>
      </c>
      <c r="G104" s="64">
        <v>107.13</v>
      </c>
      <c r="H104" s="64">
        <v>61.4</v>
      </c>
      <c r="I104" s="64">
        <v>6.4</v>
      </c>
      <c r="J104" s="64">
        <v>0.01</v>
      </c>
      <c r="K104" s="64">
        <v>126.61</v>
      </c>
      <c r="L104" s="64">
        <v>13.75</v>
      </c>
      <c r="M104" s="64">
        <v>67.83</v>
      </c>
      <c r="N104" s="64">
        <v>34.4</v>
      </c>
      <c r="O104" s="64">
        <v>0</v>
      </c>
      <c r="P104" s="64">
        <v>1.05</v>
      </c>
      <c r="Q104" s="64">
        <v>8.2100000000000009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5.19</v>
      </c>
      <c r="F106" s="67">
        <f t="shared" si="0"/>
        <v>3.62</v>
      </c>
      <c r="G106" s="67">
        <f t="shared" si="0"/>
        <v>77.069999999999993</v>
      </c>
      <c r="H106" s="67">
        <f t="shared" si="0"/>
        <v>6.86</v>
      </c>
      <c r="I106" s="67">
        <f t="shared" si="0"/>
        <v>4.37</v>
      </c>
      <c r="J106" s="67">
        <f t="shared" si="0"/>
        <v>0.01</v>
      </c>
      <c r="K106" s="67">
        <f t="shared" si="0"/>
        <v>3.15</v>
      </c>
      <c r="L106" s="67">
        <f t="shared" si="0"/>
        <v>10.88</v>
      </c>
      <c r="M106" s="67">
        <f t="shared" si="0"/>
        <v>34.9</v>
      </c>
      <c r="N106" s="67">
        <f t="shared" si="0"/>
        <v>33.9</v>
      </c>
      <c r="O106" s="67">
        <f t="shared" si="0"/>
        <v>0</v>
      </c>
      <c r="P106" s="67">
        <f t="shared" si="0"/>
        <v>0.66</v>
      </c>
      <c r="Q106" s="67">
        <f t="shared" si="0"/>
        <v>8.2100000000000009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8.36</v>
      </c>
      <c r="F107" s="66">
        <f t="shared" si="1"/>
        <v>6.54</v>
      </c>
      <c r="G107" s="66">
        <f t="shared" si="1"/>
        <v>122.07</v>
      </c>
      <c r="H107" s="66">
        <f t="shared" si="1"/>
        <v>94.26</v>
      </c>
      <c r="I107" s="66">
        <f t="shared" si="1"/>
        <v>8.7100000000000009</v>
      </c>
      <c r="J107" s="66">
        <f t="shared" si="1"/>
        <v>2.12</v>
      </c>
      <c r="K107" s="66">
        <f t="shared" si="1"/>
        <v>359.69</v>
      </c>
      <c r="L107" s="66">
        <f t="shared" si="1"/>
        <v>22.44</v>
      </c>
      <c r="M107" s="66">
        <f t="shared" si="1"/>
        <v>72.78</v>
      </c>
      <c r="N107" s="66">
        <f t="shared" si="1"/>
        <v>515.5</v>
      </c>
      <c r="O107" s="66">
        <f t="shared" si="1"/>
        <v>0</v>
      </c>
      <c r="P107" s="66">
        <f t="shared" si="1"/>
        <v>1.45</v>
      </c>
      <c r="Q107" s="66">
        <f t="shared" si="1"/>
        <v>10.029999999999999</v>
      </c>
      <c r="R107" s="198"/>
      <c r="S107" s="198"/>
      <c r="T107" s="198"/>
      <c r="U107" s="198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6.7404166666666674</v>
      </c>
      <c r="F108" s="67">
        <f t="shared" si="2"/>
        <v>4.4006250000000016</v>
      </c>
      <c r="G108" s="67">
        <f t="shared" si="2"/>
        <v>99.88135416666664</v>
      </c>
      <c r="H108" s="67">
        <f t="shared" si="2"/>
        <v>44.475729166666667</v>
      </c>
      <c r="I108" s="67">
        <f t="shared" si="2"/>
        <v>6.267083333333332</v>
      </c>
      <c r="J108" s="67">
        <f t="shared" si="2"/>
        <v>1.0684375000000004</v>
      </c>
      <c r="K108" s="67">
        <f t="shared" si="2"/>
        <v>223.40614583333328</v>
      </c>
      <c r="L108" s="67">
        <f t="shared" si="2"/>
        <v>16.136041666666667</v>
      </c>
      <c r="M108" s="67">
        <f t="shared" si="2"/>
        <v>54.023645833333319</v>
      </c>
      <c r="N108" s="67">
        <f t="shared" si="2"/>
        <v>138.59270833333326</v>
      </c>
      <c r="O108" s="67">
        <f t="shared" si="2"/>
        <v>0</v>
      </c>
      <c r="P108" s="67">
        <f t="shared" si="2"/>
        <v>0.92104166666666665</v>
      </c>
      <c r="Q108" s="67">
        <f t="shared" si="2"/>
        <v>8.4340625000000085</v>
      </c>
      <c r="R108" s="197"/>
      <c r="S108" s="197"/>
      <c r="T108" s="197"/>
      <c r="U108" s="197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0.85554035453951871</v>
      </c>
      <c r="F109" s="67">
        <f t="shared" si="3"/>
        <v>0.70843313022472043</v>
      </c>
      <c r="G109" s="67">
        <f t="shared" si="3"/>
        <v>11.862296007434125</v>
      </c>
      <c r="H109" s="67">
        <f t="shared" si="3"/>
        <v>19.565695314680948</v>
      </c>
      <c r="I109" s="67">
        <f t="shared" si="3"/>
        <v>1.1557079549752154</v>
      </c>
      <c r="J109" s="67">
        <f t="shared" si="3"/>
        <v>0.53580697255831278</v>
      </c>
      <c r="K109" s="67">
        <f t="shared" si="3"/>
        <v>135.11859660367597</v>
      </c>
      <c r="L109" s="67">
        <f t="shared" si="3"/>
        <v>3.6840245382252101</v>
      </c>
      <c r="M109" s="67">
        <f t="shared" si="3"/>
        <v>11.26949885588186</v>
      </c>
      <c r="N109" s="67">
        <f t="shared" si="3"/>
        <v>159.64561097683432</v>
      </c>
      <c r="O109" s="67">
        <f t="shared" si="3"/>
        <v>0</v>
      </c>
      <c r="P109" s="67">
        <f t="shared" si="3"/>
        <v>0.20411286437534853</v>
      </c>
      <c r="Q109" s="67">
        <f t="shared" si="3"/>
        <v>0.55116637687725356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>COUNT(B9:B104)+96</f>
        <v>96</v>
      </c>
      <c r="C110" s="66">
        <f t="shared" ref="C110:D110" si="4">COUNT(C9:C104)+96</f>
        <v>96</v>
      </c>
      <c r="D110" s="66">
        <f t="shared" si="4"/>
        <v>96</v>
      </c>
      <c r="E110" s="66">
        <f t="shared" ref="B110:Q110" si="5">COUNT(E9:E104)</f>
        <v>96</v>
      </c>
      <c r="F110" s="66">
        <f t="shared" si="5"/>
        <v>96</v>
      </c>
      <c r="G110" s="66">
        <f t="shared" si="5"/>
        <v>96</v>
      </c>
      <c r="H110" s="66">
        <f t="shared" si="5"/>
        <v>96</v>
      </c>
      <c r="I110" s="66">
        <f t="shared" si="5"/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F126" sqref="F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6" t="s">
        <v>51</v>
      </c>
      <c r="R8" s="194"/>
      <c r="S8" s="195"/>
      <c r="T8" s="194"/>
      <c r="U8" s="194"/>
    </row>
    <row r="9" spans="1:21" s="12" customFormat="1" x14ac:dyDescent="0.25">
      <c r="A9" s="211" t="s">
        <v>2935</v>
      </c>
      <c r="B9" s="207" t="s">
        <v>36</v>
      </c>
      <c r="C9" s="207" t="s">
        <v>36</v>
      </c>
      <c r="D9" s="207" t="s">
        <v>36</v>
      </c>
      <c r="E9" s="64">
        <v>6.93</v>
      </c>
      <c r="F9" s="64">
        <v>3.68</v>
      </c>
      <c r="G9" s="64">
        <v>106.01</v>
      </c>
      <c r="H9" s="64">
        <v>66.260000000000005</v>
      </c>
      <c r="I9" s="64">
        <v>6.16</v>
      </c>
      <c r="J9" s="64">
        <v>0.56999999999999995</v>
      </c>
      <c r="K9" s="64">
        <v>63.94</v>
      </c>
      <c r="L9" s="64">
        <v>13.54</v>
      </c>
      <c r="M9" s="64">
        <v>68.849999999999994</v>
      </c>
      <c r="N9" s="64">
        <v>34.4</v>
      </c>
      <c r="O9" s="64">
        <v>0</v>
      </c>
      <c r="P9" s="64">
        <v>1.05</v>
      </c>
      <c r="Q9" s="64">
        <v>8.2100000000000009</v>
      </c>
      <c r="R9" s="196"/>
      <c r="S9" s="196"/>
      <c r="T9" s="196"/>
      <c r="U9" s="196"/>
    </row>
    <row r="10" spans="1:21" s="12" customFormat="1" x14ac:dyDescent="0.25">
      <c r="A10" s="211" t="s">
        <v>2936</v>
      </c>
      <c r="B10" s="207" t="s">
        <v>36</v>
      </c>
      <c r="C10" s="207" t="s">
        <v>36</v>
      </c>
      <c r="D10" s="207" t="s">
        <v>36</v>
      </c>
      <c r="E10" s="64">
        <v>7.02</v>
      </c>
      <c r="F10" s="64">
        <v>3.71</v>
      </c>
      <c r="G10" s="64">
        <v>106.01</v>
      </c>
      <c r="H10" s="64">
        <v>66.260000000000005</v>
      </c>
      <c r="I10" s="64">
        <v>5.86</v>
      </c>
      <c r="J10" s="64">
        <v>1.35</v>
      </c>
      <c r="K10" s="64">
        <v>72.41</v>
      </c>
      <c r="L10" s="64">
        <v>13.41</v>
      </c>
      <c r="M10" s="64">
        <v>69.56</v>
      </c>
      <c r="N10" s="64">
        <v>34.4</v>
      </c>
      <c r="O10" s="64">
        <v>0</v>
      </c>
      <c r="P10" s="64">
        <v>1.02</v>
      </c>
      <c r="Q10" s="64">
        <v>8.2100000000000009</v>
      </c>
      <c r="R10" s="196"/>
      <c r="S10" s="196"/>
      <c r="T10" s="196"/>
      <c r="U10" s="196"/>
    </row>
    <row r="11" spans="1:21" s="12" customFormat="1" x14ac:dyDescent="0.25">
      <c r="A11" s="211" t="s">
        <v>2937</v>
      </c>
      <c r="B11" s="207" t="s">
        <v>36</v>
      </c>
      <c r="C11" s="207" t="s">
        <v>36</v>
      </c>
      <c r="D11" s="207" t="s">
        <v>36</v>
      </c>
      <c r="E11" s="64">
        <v>7.12</v>
      </c>
      <c r="F11" s="64">
        <v>3.75</v>
      </c>
      <c r="G11" s="64">
        <v>106.01</v>
      </c>
      <c r="H11" s="64">
        <v>66.260000000000005</v>
      </c>
      <c r="I11" s="64">
        <v>5.99</v>
      </c>
      <c r="J11" s="64">
        <v>0.77</v>
      </c>
      <c r="K11" s="64">
        <v>12.66</v>
      </c>
      <c r="L11" s="64">
        <v>13.31</v>
      </c>
      <c r="M11" s="64">
        <v>70.540000000000006</v>
      </c>
      <c r="N11" s="64">
        <v>34.299999999999997</v>
      </c>
      <c r="O11" s="64">
        <v>0</v>
      </c>
      <c r="P11" s="64">
        <v>0.99</v>
      </c>
      <c r="Q11" s="64">
        <v>8.2100000000000009</v>
      </c>
      <c r="R11" s="196"/>
      <c r="S11" s="196"/>
      <c r="T11" s="196"/>
      <c r="U11" s="196"/>
    </row>
    <row r="12" spans="1:21" s="12" customFormat="1" x14ac:dyDescent="0.25">
      <c r="A12" s="211" t="s">
        <v>2938</v>
      </c>
      <c r="B12" s="207" t="s">
        <v>36</v>
      </c>
      <c r="C12" s="207" t="s">
        <v>36</v>
      </c>
      <c r="D12" s="207" t="s">
        <v>36</v>
      </c>
      <c r="E12" s="64">
        <v>7.15</v>
      </c>
      <c r="F12" s="64">
        <v>3.74</v>
      </c>
      <c r="G12" s="64">
        <v>109.61</v>
      </c>
      <c r="H12" s="64">
        <v>52.11</v>
      </c>
      <c r="I12" s="64">
        <v>5.61</v>
      </c>
      <c r="J12" s="64">
        <v>1.92</v>
      </c>
      <c r="K12" s="64">
        <v>340.23</v>
      </c>
      <c r="L12" s="64">
        <v>13.28</v>
      </c>
      <c r="M12" s="64">
        <v>70.41</v>
      </c>
      <c r="N12" s="64">
        <v>34</v>
      </c>
      <c r="O12" s="64">
        <v>0</v>
      </c>
      <c r="P12" s="64">
        <v>0.98</v>
      </c>
      <c r="Q12" s="64">
        <v>8.2100000000000009</v>
      </c>
      <c r="R12" s="196"/>
      <c r="S12" s="196"/>
      <c r="T12" s="196"/>
      <c r="U12" s="196"/>
    </row>
    <row r="13" spans="1:21" s="12" customFormat="1" x14ac:dyDescent="0.25">
      <c r="A13" s="211" t="s">
        <v>2939</v>
      </c>
      <c r="B13" s="207" t="s">
        <v>36</v>
      </c>
      <c r="C13" s="207" t="s">
        <v>36</v>
      </c>
      <c r="D13" s="207" t="s">
        <v>36</v>
      </c>
      <c r="E13" s="64">
        <v>7.32</v>
      </c>
      <c r="F13" s="64">
        <v>4.47</v>
      </c>
      <c r="G13" s="64">
        <v>112.37</v>
      </c>
      <c r="H13" s="64">
        <v>47.5</v>
      </c>
      <c r="I13" s="64">
        <v>5.72</v>
      </c>
      <c r="J13" s="64">
        <v>2.68</v>
      </c>
      <c r="K13" s="64">
        <v>344.84</v>
      </c>
      <c r="L13" s="64">
        <v>13.41</v>
      </c>
      <c r="M13" s="64">
        <v>66.930000000000007</v>
      </c>
      <c r="N13" s="64">
        <v>33.799999999999997</v>
      </c>
      <c r="O13" s="64">
        <v>0</v>
      </c>
      <c r="P13" s="64">
        <v>0.95</v>
      </c>
      <c r="Q13" s="64">
        <v>8.2100000000000009</v>
      </c>
      <c r="R13" s="196"/>
      <c r="S13" s="196"/>
      <c r="T13" s="196"/>
      <c r="U13" s="196"/>
    </row>
    <row r="14" spans="1:21" s="12" customFormat="1" x14ac:dyDescent="0.25">
      <c r="A14" s="211" t="s">
        <v>2940</v>
      </c>
      <c r="B14" s="207" t="s">
        <v>36</v>
      </c>
      <c r="C14" s="207" t="s">
        <v>36</v>
      </c>
      <c r="D14" s="207" t="s">
        <v>36</v>
      </c>
      <c r="E14" s="64">
        <v>7.15</v>
      </c>
      <c r="F14" s="64">
        <v>4.6100000000000003</v>
      </c>
      <c r="G14" s="64">
        <v>112.37</v>
      </c>
      <c r="H14" s="64">
        <v>47.5</v>
      </c>
      <c r="I14" s="64">
        <v>5.53</v>
      </c>
      <c r="J14" s="64">
        <v>2.2599999999999998</v>
      </c>
      <c r="K14" s="64">
        <v>346.85</v>
      </c>
      <c r="L14" s="64">
        <v>13.37</v>
      </c>
      <c r="M14" s="64">
        <v>66.510000000000005</v>
      </c>
      <c r="N14" s="64">
        <v>34.4</v>
      </c>
      <c r="O14" s="64">
        <v>0</v>
      </c>
      <c r="P14" s="64">
        <v>0.96</v>
      </c>
      <c r="Q14" s="64">
        <v>8.2100000000000009</v>
      </c>
      <c r="R14" s="196"/>
      <c r="S14" s="196"/>
      <c r="T14" s="196"/>
      <c r="U14" s="196"/>
    </row>
    <row r="15" spans="1:21" s="12" customFormat="1" x14ac:dyDescent="0.25">
      <c r="A15" s="211" t="s">
        <v>2941</v>
      </c>
      <c r="B15" s="207" t="s">
        <v>36</v>
      </c>
      <c r="C15" s="207" t="s">
        <v>36</v>
      </c>
      <c r="D15" s="207" t="s">
        <v>36</v>
      </c>
      <c r="E15" s="64">
        <v>7.55</v>
      </c>
      <c r="F15" s="64">
        <v>4.68</v>
      </c>
      <c r="G15" s="64">
        <v>112.37</v>
      </c>
      <c r="H15" s="64">
        <v>47.5</v>
      </c>
      <c r="I15" s="64">
        <v>5.87</v>
      </c>
      <c r="J15" s="64">
        <v>2.4300000000000002</v>
      </c>
      <c r="K15" s="64">
        <v>345.89</v>
      </c>
      <c r="L15" s="64">
        <v>13.15</v>
      </c>
      <c r="M15" s="64">
        <v>67.12</v>
      </c>
      <c r="N15" s="64">
        <v>34.4</v>
      </c>
      <c r="O15" s="64">
        <v>0</v>
      </c>
      <c r="P15" s="64">
        <v>0.94</v>
      </c>
      <c r="Q15" s="64">
        <v>8.2100000000000009</v>
      </c>
      <c r="R15" s="196"/>
      <c r="S15" s="196"/>
      <c r="T15" s="196"/>
      <c r="U15" s="196"/>
    </row>
    <row r="16" spans="1:21" s="12" customFormat="1" x14ac:dyDescent="0.25">
      <c r="A16" s="211" t="s">
        <v>2942</v>
      </c>
      <c r="B16" s="207" t="s">
        <v>36</v>
      </c>
      <c r="C16" s="207" t="s">
        <v>36</v>
      </c>
      <c r="D16" s="207" t="s">
        <v>36</v>
      </c>
      <c r="E16" s="64">
        <v>6.99</v>
      </c>
      <c r="F16" s="64">
        <v>4.76</v>
      </c>
      <c r="G16" s="64">
        <v>104.51</v>
      </c>
      <c r="H16" s="64">
        <v>41.49</v>
      </c>
      <c r="I16" s="64">
        <v>5.82</v>
      </c>
      <c r="J16" s="64">
        <v>2.1</v>
      </c>
      <c r="K16" s="64">
        <v>343.32</v>
      </c>
      <c r="L16" s="64">
        <v>12.95</v>
      </c>
      <c r="M16" s="64">
        <v>67.540000000000006</v>
      </c>
      <c r="N16" s="64">
        <v>34.5</v>
      </c>
      <c r="O16" s="64">
        <v>0</v>
      </c>
      <c r="P16" s="64">
        <v>0.92</v>
      </c>
      <c r="Q16" s="64">
        <v>8.2100000000000009</v>
      </c>
      <c r="R16" s="196"/>
      <c r="S16" s="196"/>
      <c r="T16" s="196"/>
      <c r="U16" s="196"/>
    </row>
    <row r="17" spans="1:21" s="12" customFormat="1" x14ac:dyDescent="0.25">
      <c r="A17" s="211" t="s">
        <v>2943</v>
      </c>
      <c r="B17" s="207" t="s">
        <v>36</v>
      </c>
      <c r="C17" s="207" t="s">
        <v>36</v>
      </c>
      <c r="D17" s="207" t="s">
        <v>36</v>
      </c>
      <c r="E17" s="64">
        <v>6.87</v>
      </c>
      <c r="F17" s="64">
        <v>4.5</v>
      </c>
      <c r="G17" s="64">
        <v>98.5</v>
      </c>
      <c r="H17" s="64">
        <v>37.409999999999997</v>
      </c>
      <c r="I17" s="64">
        <v>5.66</v>
      </c>
      <c r="J17" s="64">
        <v>1.86</v>
      </c>
      <c r="K17" s="64">
        <v>328.8</v>
      </c>
      <c r="L17" s="64">
        <v>12.75</v>
      </c>
      <c r="M17" s="64">
        <v>68.319999999999993</v>
      </c>
      <c r="N17" s="64">
        <v>34.4</v>
      </c>
      <c r="O17" s="64">
        <v>0</v>
      </c>
      <c r="P17" s="64">
        <v>0.9</v>
      </c>
      <c r="Q17" s="64">
        <v>8.2100000000000009</v>
      </c>
      <c r="R17" s="196"/>
      <c r="S17" s="196"/>
      <c r="T17" s="196"/>
      <c r="U17" s="196"/>
    </row>
    <row r="18" spans="1:21" s="12" customFormat="1" x14ac:dyDescent="0.25">
      <c r="A18" s="211" t="s">
        <v>2944</v>
      </c>
      <c r="B18" s="207" t="s">
        <v>36</v>
      </c>
      <c r="C18" s="207" t="s">
        <v>36</v>
      </c>
      <c r="D18" s="207" t="s">
        <v>36</v>
      </c>
      <c r="E18" s="64">
        <v>7.12</v>
      </c>
      <c r="F18" s="64">
        <v>4.8</v>
      </c>
      <c r="G18" s="64">
        <v>98.5</v>
      </c>
      <c r="H18" s="64">
        <v>37.409999999999997</v>
      </c>
      <c r="I18" s="64">
        <v>5.52</v>
      </c>
      <c r="J18" s="64">
        <v>2.17</v>
      </c>
      <c r="K18" s="64">
        <v>340.69</v>
      </c>
      <c r="L18" s="64">
        <v>12.64</v>
      </c>
      <c r="M18" s="64">
        <v>68.8</v>
      </c>
      <c r="N18" s="64">
        <v>34.4</v>
      </c>
      <c r="O18" s="64">
        <v>0</v>
      </c>
      <c r="P18" s="64">
        <v>0.88</v>
      </c>
      <c r="Q18" s="64">
        <v>8.2100000000000009</v>
      </c>
      <c r="R18" s="196"/>
      <c r="S18" s="196"/>
      <c r="T18" s="196"/>
      <c r="U18" s="196"/>
    </row>
    <row r="19" spans="1:21" s="12" customFormat="1" x14ac:dyDescent="0.25">
      <c r="A19" s="211" t="s">
        <v>2945</v>
      </c>
      <c r="B19" s="207" t="s">
        <v>36</v>
      </c>
      <c r="C19" s="207" t="s">
        <v>36</v>
      </c>
      <c r="D19" s="207" t="s">
        <v>36</v>
      </c>
      <c r="E19" s="64">
        <v>6.98</v>
      </c>
      <c r="F19" s="64">
        <v>4.5999999999999996</v>
      </c>
      <c r="G19" s="64">
        <v>98.5</v>
      </c>
      <c r="H19" s="64">
        <v>37.409999999999997</v>
      </c>
      <c r="I19" s="64">
        <v>5.09</v>
      </c>
      <c r="J19" s="64">
        <v>2.4300000000000002</v>
      </c>
      <c r="K19" s="64">
        <v>342.85</v>
      </c>
      <c r="L19" s="64">
        <v>12.48</v>
      </c>
      <c r="M19" s="64">
        <v>69.62</v>
      </c>
      <c r="N19" s="64">
        <v>34.4</v>
      </c>
      <c r="O19" s="64">
        <v>0</v>
      </c>
      <c r="P19" s="64">
        <v>0.86</v>
      </c>
      <c r="Q19" s="64">
        <v>8.2100000000000009</v>
      </c>
      <c r="R19" s="196"/>
      <c r="S19" s="196"/>
      <c r="T19" s="196"/>
      <c r="U19" s="196"/>
    </row>
    <row r="20" spans="1:21" s="12" customFormat="1" x14ac:dyDescent="0.25">
      <c r="A20" s="211" t="s">
        <v>2946</v>
      </c>
      <c r="B20" s="207" t="s">
        <v>36</v>
      </c>
      <c r="C20" s="207" t="s">
        <v>36</v>
      </c>
      <c r="D20" s="207" t="s">
        <v>36</v>
      </c>
      <c r="E20" s="64">
        <v>6.98</v>
      </c>
      <c r="F20" s="64">
        <v>4.6500000000000004</v>
      </c>
      <c r="G20" s="64">
        <v>95.33</v>
      </c>
      <c r="H20" s="64">
        <v>40.31</v>
      </c>
      <c r="I20" s="64">
        <v>4.9000000000000004</v>
      </c>
      <c r="J20" s="64">
        <v>2.3199999999999998</v>
      </c>
      <c r="K20" s="64">
        <v>342.96</v>
      </c>
      <c r="L20" s="64">
        <v>12.3</v>
      </c>
      <c r="M20" s="64">
        <v>70.69</v>
      </c>
      <c r="N20" s="64">
        <v>34.4</v>
      </c>
      <c r="O20" s="64">
        <v>0</v>
      </c>
      <c r="P20" s="64">
        <v>0.84</v>
      </c>
      <c r="Q20" s="64">
        <v>8.2100000000000009</v>
      </c>
      <c r="R20" s="196"/>
      <c r="S20" s="196"/>
      <c r="T20" s="196"/>
      <c r="U20" s="196"/>
    </row>
    <row r="21" spans="1:21" s="12" customFormat="1" x14ac:dyDescent="0.25">
      <c r="A21" s="211" t="s">
        <v>2947</v>
      </c>
      <c r="B21" s="207" t="s">
        <v>36</v>
      </c>
      <c r="C21" s="207" t="s">
        <v>36</v>
      </c>
      <c r="D21" s="207" t="s">
        <v>36</v>
      </c>
      <c r="E21" s="64">
        <v>6.96</v>
      </c>
      <c r="F21" s="64">
        <v>4.74</v>
      </c>
      <c r="G21" s="64">
        <v>92.8</v>
      </c>
      <c r="H21" s="64">
        <v>41.32</v>
      </c>
      <c r="I21" s="64">
        <v>4.78</v>
      </c>
      <c r="J21" s="64">
        <v>2.34</v>
      </c>
      <c r="K21" s="64">
        <v>339.06</v>
      </c>
      <c r="L21" s="64">
        <v>12.08</v>
      </c>
      <c r="M21" s="64">
        <v>72.08</v>
      </c>
      <c r="N21" s="64">
        <v>34.4</v>
      </c>
      <c r="O21" s="64">
        <v>0</v>
      </c>
      <c r="P21" s="64">
        <v>0.83</v>
      </c>
      <c r="Q21" s="64">
        <v>8.2100000000000009</v>
      </c>
      <c r="R21" s="196"/>
      <c r="S21" s="196"/>
      <c r="T21" s="196"/>
      <c r="U21" s="196"/>
    </row>
    <row r="22" spans="1:21" s="12" customFormat="1" x14ac:dyDescent="0.25">
      <c r="A22" s="211" t="s">
        <v>2948</v>
      </c>
      <c r="B22" s="207" t="s">
        <v>36</v>
      </c>
      <c r="C22" s="207" t="s">
        <v>36</v>
      </c>
      <c r="D22" s="207" t="s">
        <v>36</v>
      </c>
      <c r="E22" s="64">
        <v>6.94</v>
      </c>
      <c r="F22" s="64">
        <v>4.3899999999999997</v>
      </c>
      <c r="G22" s="64">
        <v>92.8</v>
      </c>
      <c r="H22" s="64">
        <v>41.32</v>
      </c>
      <c r="I22" s="64">
        <v>4.6900000000000004</v>
      </c>
      <c r="J22" s="64">
        <v>1.1399999999999999</v>
      </c>
      <c r="K22" s="64">
        <v>339.02</v>
      </c>
      <c r="L22" s="64">
        <v>11.92</v>
      </c>
      <c r="M22" s="64">
        <v>73.66</v>
      </c>
      <c r="N22" s="64">
        <v>34.4</v>
      </c>
      <c r="O22" s="64">
        <v>0</v>
      </c>
      <c r="P22" s="64">
        <v>0.83</v>
      </c>
      <c r="Q22" s="64">
        <v>8.2100000000000009</v>
      </c>
      <c r="R22" s="196"/>
      <c r="S22" s="196"/>
      <c r="T22" s="196"/>
      <c r="U22" s="196"/>
    </row>
    <row r="23" spans="1:21" s="12" customFormat="1" x14ac:dyDescent="0.25">
      <c r="A23" s="211" t="s">
        <v>2949</v>
      </c>
      <c r="B23" s="207" t="s">
        <v>36</v>
      </c>
      <c r="C23" s="207" t="s">
        <v>36</v>
      </c>
      <c r="D23" s="207" t="s">
        <v>36</v>
      </c>
      <c r="E23" s="64">
        <v>7.02</v>
      </c>
      <c r="F23" s="64">
        <v>4.22</v>
      </c>
      <c r="G23" s="64">
        <v>92.8</v>
      </c>
      <c r="H23" s="64">
        <v>41.32</v>
      </c>
      <c r="I23" s="64">
        <v>4.6100000000000003</v>
      </c>
      <c r="J23" s="64">
        <v>1.36</v>
      </c>
      <c r="K23" s="64">
        <v>320.45999999999998</v>
      </c>
      <c r="L23" s="64">
        <v>11.75</v>
      </c>
      <c r="M23" s="64">
        <v>74.64</v>
      </c>
      <c r="N23" s="64">
        <v>34.299999999999997</v>
      </c>
      <c r="O23" s="64">
        <v>0</v>
      </c>
      <c r="P23" s="64">
        <v>0.82</v>
      </c>
      <c r="Q23" s="64">
        <v>8.2100000000000009</v>
      </c>
      <c r="R23" s="196"/>
      <c r="S23" s="196"/>
      <c r="T23" s="196"/>
      <c r="U23" s="196"/>
    </row>
    <row r="24" spans="1:21" s="12" customFormat="1" x14ac:dyDescent="0.25">
      <c r="A24" s="211" t="s">
        <v>2950</v>
      </c>
      <c r="B24" s="207" t="s">
        <v>36</v>
      </c>
      <c r="C24" s="207" t="s">
        <v>36</v>
      </c>
      <c r="D24" s="207" t="s">
        <v>36</v>
      </c>
      <c r="E24" s="64">
        <v>6.76</v>
      </c>
      <c r="F24" s="64">
        <v>4.22</v>
      </c>
      <c r="G24" s="64">
        <v>93.38</v>
      </c>
      <c r="H24" s="64">
        <v>41.11</v>
      </c>
      <c r="I24" s="64">
        <v>4.57</v>
      </c>
      <c r="J24" s="64">
        <v>1.59</v>
      </c>
      <c r="K24" s="64">
        <v>348.62</v>
      </c>
      <c r="L24" s="64">
        <v>11.76</v>
      </c>
      <c r="M24" s="64">
        <v>75.12</v>
      </c>
      <c r="N24" s="64">
        <v>34.200000000000003</v>
      </c>
      <c r="O24" s="64">
        <v>0</v>
      </c>
      <c r="P24" s="64">
        <v>0.81</v>
      </c>
      <c r="Q24" s="64">
        <v>8.2100000000000009</v>
      </c>
      <c r="R24" s="196"/>
      <c r="S24" s="196"/>
      <c r="T24" s="196"/>
      <c r="U24" s="196"/>
    </row>
    <row r="25" spans="1:21" s="12" customFormat="1" x14ac:dyDescent="0.25">
      <c r="A25" s="211" t="s">
        <v>2951</v>
      </c>
      <c r="B25" s="207" t="s">
        <v>36</v>
      </c>
      <c r="C25" s="207" t="s">
        <v>36</v>
      </c>
      <c r="D25" s="207" t="s">
        <v>36</v>
      </c>
      <c r="E25" s="64">
        <v>7.32</v>
      </c>
      <c r="F25" s="64">
        <v>4.3</v>
      </c>
      <c r="G25" s="64">
        <v>93.82</v>
      </c>
      <c r="H25" s="64">
        <v>41.03</v>
      </c>
      <c r="I25" s="64">
        <v>4.58</v>
      </c>
      <c r="J25" s="64">
        <v>2.25</v>
      </c>
      <c r="K25" s="64">
        <v>337.65</v>
      </c>
      <c r="L25" s="64">
        <v>11.81</v>
      </c>
      <c r="M25" s="64">
        <v>74.989999999999995</v>
      </c>
      <c r="N25" s="64">
        <v>34.200000000000003</v>
      </c>
      <c r="O25" s="64">
        <v>0</v>
      </c>
      <c r="P25" s="64">
        <v>0.8</v>
      </c>
      <c r="Q25" s="64">
        <v>8.2100000000000009</v>
      </c>
      <c r="R25" s="196"/>
      <c r="S25" s="196"/>
      <c r="T25" s="196"/>
      <c r="U25" s="196"/>
    </row>
    <row r="26" spans="1:21" s="12" customFormat="1" x14ac:dyDescent="0.25">
      <c r="A26" s="211" t="s">
        <v>2952</v>
      </c>
      <c r="B26" s="207" t="s">
        <v>36</v>
      </c>
      <c r="C26" s="207" t="s">
        <v>36</v>
      </c>
      <c r="D26" s="207" t="s">
        <v>36</v>
      </c>
      <c r="E26" s="64">
        <v>7.91</v>
      </c>
      <c r="F26" s="64">
        <v>3.92</v>
      </c>
      <c r="G26" s="64">
        <v>93.82</v>
      </c>
      <c r="H26" s="64">
        <v>41.03</v>
      </c>
      <c r="I26" s="64">
        <v>4.57</v>
      </c>
      <c r="J26" s="64">
        <v>2.12</v>
      </c>
      <c r="K26" s="64">
        <v>338.56</v>
      </c>
      <c r="L26" s="64">
        <v>11.7</v>
      </c>
      <c r="M26" s="64">
        <v>76.25</v>
      </c>
      <c r="N26" s="64">
        <v>34.4</v>
      </c>
      <c r="O26" s="64">
        <v>0</v>
      </c>
      <c r="P26" s="64">
        <v>0.78</v>
      </c>
      <c r="Q26" s="64">
        <v>8.2100000000000009</v>
      </c>
      <c r="R26" s="196"/>
      <c r="S26" s="196"/>
      <c r="T26" s="196"/>
      <c r="U26" s="196"/>
    </row>
    <row r="27" spans="1:21" s="12" customFormat="1" x14ac:dyDescent="0.25">
      <c r="A27" s="211" t="s">
        <v>2953</v>
      </c>
      <c r="B27" s="207" t="s">
        <v>36</v>
      </c>
      <c r="C27" s="207" t="s">
        <v>36</v>
      </c>
      <c r="D27" s="207" t="s">
        <v>36</v>
      </c>
      <c r="E27" s="64">
        <v>7.24</v>
      </c>
      <c r="F27" s="64">
        <v>4.0999999999999996</v>
      </c>
      <c r="G27" s="64">
        <v>93.82</v>
      </c>
      <c r="H27" s="64">
        <v>41.03</v>
      </c>
      <c r="I27" s="64">
        <v>4.51</v>
      </c>
      <c r="J27" s="64">
        <v>1.89</v>
      </c>
      <c r="K27" s="64">
        <v>336.59</v>
      </c>
      <c r="L27" s="64">
        <v>11.54</v>
      </c>
      <c r="M27" s="64">
        <v>77.78</v>
      </c>
      <c r="N27" s="64">
        <v>34.299999999999997</v>
      </c>
      <c r="O27" s="64">
        <v>0</v>
      </c>
      <c r="P27" s="64">
        <v>0.78</v>
      </c>
      <c r="Q27" s="64">
        <v>8.2100000000000009</v>
      </c>
      <c r="R27" s="196"/>
      <c r="S27" s="196"/>
      <c r="T27" s="196"/>
      <c r="U27" s="196"/>
    </row>
    <row r="28" spans="1:21" s="12" customFormat="1" x14ac:dyDescent="0.25">
      <c r="A28" s="211" t="s">
        <v>2954</v>
      </c>
      <c r="B28" s="207" t="s">
        <v>36</v>
      </c>
      <c r="C28" s="207" t="s">
        <v>36</v>
      </c>
      <c r="D28" s="207" t="s">
        <v>36</v>
      </c>
      <c r="E28" s="64">
        <v>7.32</v>
      </c>
      <c r="F28" s="64">
        <v>4.05</v>
      </c>
      <c r="G28" s="64">
        <v>92.28</v>
      </c>
      <c r="H28" s="64">
        <v>44.47</v>
      </c>
      <c r="I28" s="64">
        <v>4.51</v>
      </c>
      <c r="J28" s="64">
        <v>2.4900000000000002</v>
      </c>
      <c r="K28" s="64">
        <v>344.88</v>
      </c>
      <c r="L28" s="64">
        <v>11.42</v>
      </c>
      <c r="M28" s="64">
        <v>78.599999999999994</v>
      </c>
      <c r="N28" s="64">
        <v>34.299999999999997</v>
      </c>
      <c r="O28" s="64">
        <v>0</v>
      </c>
      <c r="P28" s="64">
        <v>0.77</v>
      </c>
      <c r="Q28" s="64">
        <v>8.2100000000000009</v>
      </c>
      <c r="R28" s="196"/>
      <c r="S28" s="196"/>
      <c r="T28" s="196"/>
      <c r="U28" s="196"/>
    </row>
    <row r="29" spans="1:21" s="12" customFormat="1" x14ac:dyDescent="0.25">
      <c r="A29" s="211" t="s">
        <v>2955</v>
      </c>
      <c r="B29" s="207" t="s">
        <v>36</v>
      </c>
      <c r="C29" s="207" t="s">
        <v>36</v>
      </c>
      <c r="D29" s="207" t="s">
        <v>36</v>
      </c>
      <c r="E29" s="64">
        <v>7.57</v>
      </c>
      <c r="F29" s="64">
        <v>3.97</v>
      </c>
      <c r="G29" s="64">
        <v>91.09</v>
      </c>
      <c r="H29" s="64">
        <v>45.67</v>
      </c>
      <c r="I29" s="64">
        <v>4.43</v>
      </c>
      <c r="J29" s="64">
        <v>2.2000000000000002</v>
      </c>
      <c r="K29" s="64">
        <v>345.51</v>
      </c>
      <c r="L29" s="64">
        <v>11.32</v>
      </c>
      <c r="M29" s="64">
        <v>79.39</v>
      </c>
      <c r="N29" s="64">
        <v>34.299999999999997</v>
      </c>
      <c r="O29" s="64">
        <v>0</v>
      </c>
      <c r="P29" s="64">
        <v>0.76</v>
      </c>
      <c r="Q29" s="64">
        <v>8.2100000000000009</v>
      </c>
      <c r="R29" s="196"/>
      <c r="S29" s="196"/>
      <c r="T29" s="196"/>
      <c r="U29" s="196"/>
    </row>
    <row r="30" spans="1:21" s="12" customFormat="1" x14ac:dyDescent="0.25">
      <c r="A30" s="211" t="s">
        <v>2956</v>
      </c>
      <c r="B30" s="207" t="s">
        <v>36</v>
      </c>
      <c r="C30" s="207" t="s">
        <v>36</v>
      </c>
      <c r="D30" s="207" t="s">
        <v>36</v>
      </c>
      <c r="E30" s="64">
        <v>7.49</v>
      </c>
      <c r="F30" s="64">
        <v>4.08</v>
      </c>
      <c r="G30" s="64">
        <v>91.09</v>
      </c>
      <c r="H30" s="64">
        <v>45.67</v>
      </c>
      <c r="I30" s="64">
        <v>4.4400000000000004</v>
      </c>
      <c r="J30" s="64">
        <v>2.41</v>
      </c>
      <c r="K30" s="64">
        <v>339.64</v>
      </c>
      <c r="L30" s="64">
        <v>11.21</v>
      </c>
      <c r="M30" s="64">
        <v>80.22</v>
      </c>
      <c r="N30" s="64">
        <v>34.4</v>
      </c>
      <c r="O30" s="64">
        <v>0</v>
      </c>
      <c r="P30" s="64">
        <v>0.76</v>
      </c>
      <c r="Q30" s="64">
        <v>8.2100000000000009</v>
      </c>
      <c r="R30" s="196"/>
      <c r="S30" s="196"/>
      <c r="T30" s="196"/>
      <c r="U30" s="196"/>
    </row>
    <row r="31" spans="1:21" s="12" customFormat="1" x14ac:dyDescent="0.25">
      <c r="A31" s="211" t="s">
        <v>2957</v>
      </c>
      <c r="B31" s="207" t="s">
        <v>36</v>
      </c>
      <c r="C31" s="207" t="s">
        <v>36</v>
      </c>
      <c r="D31" s="207" t="s">
        <v>36</v>
      </c>
      <c r="E31" s="64">
        <v>7.88</v>
      </c>
      <c r="F31" s="64">
        <v>4.82</v>
      </c>
      <c r="G31" s="64">
        <v>91.09</v>
      </c>
      <c r="H31" s="64">
        <v>45.67</v>
      </c>
      <c r="I31" s="64">
        <v>4.4000000000000004</v>
      </c>
      <c r="J31" s="64">
        <v>2.44</v>
      </c>
      <c r="K31" s="64">
        <v>342.37</v>
      </c>
      <c r="L31" s="64">
        <v>11.14</v>
      </c>
      <c r="M31" s="64">
        <v>80.75</v>
      </c>
      <c r="N31" s="64">
        <v>34.4</v>
      </c>
      <c r="O31" s="64">
        <v>0</v>
      </c>
      <c r="P31" s="64">
        <v>0.76</v>
      </c>
      <c r="Q31" s="64">
        <v>8.2100000000000009</v>
      </c>
      <c r="R31" s="196"/>
      <c r="S31" s="196"/>
      <c r="T31" s="196"/>
      <c r="U31" s="196"/>
    </row>
    <row r="32" spans="1:21" s="12" customFormat="1" x14ac:dyDescent="0.25">
      <c r="A32" s="211" t="s">
        <v>2958</v>
      </c>
      <c r="B32" s="207" t="s">
        <v>36</v>
      </c>
      <c r="C32" s="207" t="s">
        <v>36</v>
      </c>
      <c r="D32" s="207" t="s">
        <v>36</v>
      </c>
      <c r="E32" s="64">
        <v>7.24</v>
      </c>
      <c r="F32" s="64">
        <v>4.45</v>
      </c>
      <c r="G32" s="64">
        <v>91.47</v>
      </c>
      <c r="H32" s="64">
        <v>40.96</v>
      </c>
      <c r="I32" s="64">
        <v>4.32</v>
      </c>
      <c r="J32" s="64">
        <v>2.62</v>
      </c>
      <c r="K32" s="64">
        <v>344.53</v>
      </c>
      <c r="L32" s="64">
        <v>11.07</v>
      </c>
      <c r="M32" s="64">
        <v>81.36</v>
      </c>
      <c r="N32" s="64">
        <v>34.4</v>
      </c>
      <c r="O32" s="64">
        <v>0</v>
      </c>
      <c r="P32" s="64">
        <v>0.76</v>
      </c>
      <c r="Q32" s="64">
        <v>8.2100000000000009</v>
      </c>
      <c r="R32" s="196"/>
      <c r="S32" s="196"/>
      <c r="T32" s="196"/>
      <c r="U32" s="196"/>
    </row>
    <row r="33" spans="1:21" s="12" customFormat="1" x14ac:dyDescent="0.25">
      <c r="A33" s="211" t="s">
        <v>2959</v>
      </c>
      <c r="B33" s="207" t="s">
        <v>36</v>
      </c>
      <c r="C33" s="207" t="s">
        <v>36</v>
      </c>
      <c r="D33" s="207" t="s">
        <v>36</v>
      </c>
      <c r="E33" s="64">
        <v>7.51</v>
      </c>
      <c r="F33" s="64">
        <v>4.3</v>
      </c>
      <c r="G33" s="64">
        <v>91.76</v>
      </c>
      <c r="H33" s="64">
        <v>37.630000000000003</v>
      </c>
      <c r="I33" s="64">
        <v>4.25</v>
      </c>
      <c r="J33" s="64">
        <v>2.4700000000000002</v>
      </c>
      <c r="K33" s="64">
        <v>345.68</v>
      </c>
      <c r="L33" s="64">
        <v>10.96</v>
      </c>
      <c r="M33" s="64">
        <v>82.37</v>
      </c>
      <c r="N33" s="64">
        <v>34.799999999999997</v>
      </c>
      <c r="O33" s="64">
        <v>0</v>
      </c>
      <c r="P33" s="64">
        <v>0.76</v>
      </c>
      <c r="Q33" s="64">
        <v>8.2100000000000009</v>
      </c>
      <c r="R33" s="196"/>
      <c r="S33" s="196"/>
      <c r="T33" s="196"/>
      <c r="U33" s="196"/>
    </row>
    <row r="34" spans="1:21" s="12" customFormat="1" x14ac:dyDescent="0.25">
      <c r="A34" s="211" t="s">
        <v>2960</v>
      </c>
      <c r="B34" s="207" t="s">
        <v>36</v>
      </c>
      <c r="C34" s="207" t="s">
        <v>36</v>
      </c>
      <c r="D34" s="207" t="s">
        <v>36</v>
      </c>
      <c r="E34" s="64">
        <v>7.4</v>
      </c>
      <c r="F34" s="64">
        <v>4.4000000000000004</v>
      </c>
      <c r="G34" s="64">
        <v>91.76</v>
      </c>
      <c r="H34" s="64">
        <v>37.630000000000003</v>
      </c>
      <c r="I34" s="64">
        <v>4.2300000000000004</v>
      </c>
      <c r="J34" s="64">
        <v>2.42</v>
      </c>
      <c r="K34" s="64">
        <v>343.75</v>
      </c>
      <c r="L34" s="64">
        <v>10.88</v>
      </c>
      <c r="M34" s="64">
        <v>83.29</v>
      </c>
      <c r="N34" s="64">
        <v>37.200000000000003</v>
      </c>
      <c r="O34" s="64">
        <v>0</v>
      </c>
      <c r="P34" s="64">
        <v>0.75</v>
      </c>
      <c r="Q34" s="64">
        <v>8.2100000000000009</v>
      </c>
      <c r="R34" s="196"/>
      <c r="S34" s="196"/>
      <c r="T34" s="196"/>
      <c r="U34" s="196"/>
    </row>
    <row r="35" spans="1:21" s="12" customFormat="1" x14ac:dyDescent="0.25">
      <c r="A35" s="211" t="s">
        <v>2961</v>
      </c>
      <c r="B35" s="207" t="s">
        <v>36</v>
      </c>
      <c r="C35" s="207" t="s">
        <v>36</v>
      </c>
      <c r="D35" s="207" t="s">
        <v>36</v>
      </c>
      <c r="E35" s="64">
        <v>7.67</v>
      </c>
      <c r="F35" s="64">
        <v>4.1399999999999997</v>
      </c>
      <c r="G35" s="64">
        <v>91.76</v>
      </c>
      <c r="H35" s="64">
        <v>37.630000000000003</v>
      </c>
      <c r="I35" s="64">
        <v>4.18</v>
      </c>
      <c r="J35" s="64">
        <v>1.41</v>
      </c>
      <c r="K35" s="64">
        <v>339.02</v>
      </c>
      <c r="L35" s="64">
        <v>10.86</v>
      </c>
      <c r="M35" s="64">
        <v>83.47</v>
      </c>
      <c r="N35" s="64">
        <v>44.5</v>
      </c>
      <c r="O35" s="64">
        <v>0</v>
      </c>
      <c r="P35" s="64">
        <v>0.76</v>
      </c>
      <c r="Q35" s="64">
        <v>8.2100000000000009</v>
      </c>
      <c r="R35" s="196"/>
      <c r="S35" s="196"/>
      <c r="T35" s="196"/>
      <c r="U35" s="196"/>
    </row>
    <row r="36" spans="1:21" s="12" customFormat="1" x14ac:dyDescent="0.25">
      <c r="A36" s="211" t="s">
        <v>2962</v>
      </c>
      <c r="B36" s="207" t="s">
        <v>36</v>
      </c>
      <c r="C36" s="207" t="s">
        <v>36</v>
      </c>
      <c r="D36" s="207" t="s">
        <v>36</v>
      </c>
      <c r="E36" s="64">
        <v>7.73</v>
      </c>
      <c r="F36" s="64">
        <v>4</v>
      </c>
      <c r="G36" s="64">
        <v>88.98</v>
      </c>
      <c r="H36" s="64">
        <v>34.450000000000003</v>
      </c>
      <c r="I36" s="64">
        <v>4.38</v>
      </c>
      <c r="J36" s="64">
        <v>0.6</v>
      </c>
      <c r="K36" s="64">
        <v>29.84</v>
      </c>
      <c r="L36" s="64">
        <v>10.93</v>
      </c>
      <c r="M36" s="64">
        <v>83.33</v>
      </c>
      <c r="N36" s="64">
        <v>57.1</v>
      </c>
      <c r="O36" s="64">
        <v>0</v>
      </c>
      <c r="P36" s="64">
        <v>0.77</v>
      </c>
      <c r="Q36" s="64">
        <v>8.2100000000000009</v>
      </c>
      <c r="R36" s="196"/>
      <c r="S36" s="196"/>
      <c r="T36" s="196"/>
      <c r="U36" s="196"/>
    </row>
    <row r="37" spans="1:21" s="12" customFormat="1" x14ac:dyDescent="0.25">
      <c r="A37" s="211" t="s">
        <v>2963</v>
      </c>
      <c r="B37" s="207" t="s">
        <v>36</v>
      </c>
      <c r="C37" s="207" t="s">
        <v>36</v>
      </c>
      <c r="D37" s="207" t="s">
        <v>36</v>
      </c>
      <c r="E37" s="64">
        <v>7.58</v>
      </c>
      <c r="F37" s="64">
        <v>3.87</v>
      </c>
      <c r="G37" s="64">
        <v>86.84</v>
      </c>
      <c r="H37" s="64">
        <v>33.340000000000003</v>
      </c>
      <c r="I37" s="64">
        <v>4.1500000000000004</v>
      </c>
      <c r="J37" s="64">
        <v>0.5</v>
      </c>
      <c r="K37" s="64">
        <v>343.82</v>
      </c>
      <c r="L37" s="64">
        <v>11.31</v>
      </c>
      <c r="M37" s="64">
        <v>81.790000000000006</v>
      </c>
      <c r="N37" s="64">
        <v>73</v>
      </c>
      <c r="O37" s="64">
        <v>0</v>
      </c>
      <c r="P37" s="64">
        <v>0.76</v>
      </c>
      <c r="Q37" s="64">
        <v>8.2100000000000009</v>
      </c>
      <c r="R37" s="196"/>
      <c r="S37" s="196"/>
      <c r="T37" s="196"/>
      <c r="U37" s="196"/>
    </row>
    <row r="38" spans="1:21" s="12" customFormat="1" x14ac:dyDescent="0.25">
      <c r="A38" s="211" t="s">
        <v>2964</v>
      </c>
      <c r="B38" s="207" t="s">
        <v>36</v>
      </c>
      <c r="C38" s="207" t="s">
        <v>36</v>
      </c>
      <c r="D38" s="207" t="s">
        <v>36</v>
      </c>
      <c r="E38" s="64">
        <v>7.28</v>
      </c>
      <c r="F38" s="64">
        <v>4.08</v>
      </c>
      <c r="G38" s="64">
        <v>86.84</v>
      </c>
      <c r="H38" s="64">
        <v>33.340000000000003</v>
      </c>
      <c r="I38" s="64">
        <v>4.3099999999999996</v>
      </c>
      <c r="J38" s="64">
        <v>0.52</v>
      </c>
      <c r="K38" s="64">
        <v>11.99</v>
      </c>
      <c r="L38" s="64">
        <v>11.81</v>
      </c>
      <c r="M38" s="64">
        <v>79.53</v>
      </c>
      <c r="N38" s="64">
        <v>97.2</v>
      </c>
      <c r="O38" s="64">
        <v>0</v>
      </c>
      <c r="P38" s="64">
        <v>0.78</v>
      </c>
      <c r="Q38" s="64">
        <v>8.2100000000000009</v>
      </c>
      <c r="R38" s="196"/>
      <c r="S38" s="196"/>
      <c r="T38" s="196"/>
      <c r="U38" s="196"/>
    </row>
    <row r="39" spans="1:21" s="12" customFormat="1" x14ac:dyDescent="0.25">
      <c r="A39" s="211" t="s">
        <v>2965</v>
      </c>
      <c r="B39" s="207" t="s">
        <v>36</v>
      </c>
      <c r="C39" s="207" t="s">
        <v>36</v>
      </c>
      <c r="D39" s="207" t="s">
        <v>36</v>
      </c>
      <c r="E39" s="64">
        <v>7.23</v>
      </c>
      <c r="F39" s="64">
        <v>4.22</v>
      </c>
      <c r="G39" s="64">
        <v>86.84</v>
      </c>
      <c r="H39" s="64">
        <v>33.340000000000003</v>
      </c>
      <c r="I39" s="64">
        <v>4.12</v>
      </c>
      <c r="J39" s="64">
        <v>0.37</v>
      </c>
      <c r="K39" s="64">
        <v>79.930000000000007</v>
      </c>
      <c r="L39" s="64">
        <v>12.63</v>
      </c>
      <c r="M39" s="64">
        <v>75.739999999999995</v>
      </c>
      <c r="N39" s="64">
        <v>153.30000000000001</v>
      </c>
      <c r="O39" s="64">
        <v>0</v>
      </c>
      <c r="P39" s="64">
        <v>0.79</v>
      </c>
      <c r="Q39" s="64">
        <v>8.2100000000000009</v>
      </c>
      <c r="R39" s="196"/>
      <c r="S39" s="196"/>
      <c r="T39" s="196"/>
      <c r="U39" s="196"/>
    </row>
    <row r="40" spans="1:21" s="12" customFormat="1" x14ac:dyDescent="0.25">
      <c r="A40" s="211" t="s">
        <v>2966</v>
      </c>
      <c r="B40" s="207" t="s">
        <v>36</v>
      </c>
      <c r="C40" s="207" t="s">
        <v>36</v>
      </c>
      <c r="D40" s="207" t="s">
        <v>36</v>
      </c>
      <c r="E40" s="64">
        <v>7.15</v>
      </c>
      <c r="F40" s="64">
        <v>3.82</v>
      </c>
      <c r="G40" s="64">
        <v>87.81</v>
      </c>
      <c r="H40" s="64">
        <v>34.79</v>
      </c>
      <c r="I40" s="64">
        <v>4.05</v>
      </c>
      <c r="J40" s="64">
        <v>0.47</v>
      </c>
      <c r="K40" s="64">
        <v>90.94</v>
      </c>
      <c r="L40" s="64">
        <v>13.71</v>
      </c>
      <c r="M40" s="64">
        <v>70.64</v>
      </c>
      <c r="N40" s="64">
        <v>202.1</v>
      </c>
      <c r="O40" s="64">
        <v>0</v>
      </c>
      <c r="P40" s="64">
        <v>0.79</v>
      </c>
      <c r="Q40" s="64">
        <v>8.2100000000000009</v>
      </c>
      <c r="R40" s="196"/>
      <c r="S40" s="196"/>
      <c r="T40" s="196"/>
      <c r="U40" s="196"/>
    </row>
    <row r="41" spans="1:21" s="12" customFormat="1" x14ac:dyDescent="0.25">
      <c r="A41" s="211" t="s">
        <v>2967</v>
      </c>
      <c r="B41" s="207" t="s">
        <v>36</v>
      </c>
      <c r="C41" s="207" t="s">
        <v>36</v>
      </c>
      <c r="D41" s="207" t="s">
        <v>36</v>
      </c>
      <c r="E41" s="64">
        <v>7.07</v>
      </c>
      <c r="F41" s="64">
        <v>3.88</v>
      </c>
      <c r="G41" s="64">
        <v>88.55</v>
      </c>
      <c r="H41" s="64">
        <v>35.29</v>
      </c>
      <c r="I41" s="64">
        <v>4.17</v>
      </c>
      <c r="J41" s="64">
        <v>0.59</v>
      </c>
      <c r="K41" s="64">
        <v>77.22</v>
      </c>
      <c r="L41" s="64">
        <v>14.57</v>
      </c>
      <c r="M41" s="64">
        <v>66.59</v>
      </c>
      <c r="N41" s="64">
        <v>235.5</v>
      </c>
      <c r="O41" s="64">
        <v>0</v>
      </c>
      <c r="P41" s="64">
        <v>0.79</v>
      </c>
      <c r="Q41" s="64">
        <v>8.2100000000000009</v>
      </c>
      <c r="R41" s="196"/>
      <c r="S41" s="196"/>
      <c r="T41" s="196"/>
      <c r="U41" s="196"/>
    </row>
    <row r="42" spans="1:21" s="12" customFormat="1" x14ac:dyDescent="0.25">
      <c r="A42" s="211" t="s">
        <v>2968</v>
      </c>
      <c r="B42" s="207" t="s">
        <v>36</v>
      </c>
      <c r="C42" s="207" t="s">
        <v>36</v>
      </c>
      <c r="D42" s="207" t="s">
        <v>36</v>
      </c>
      <c r="E42" s="64">
        <v>7.59</v>
      </c>
      <c r="F42" s="64">
        <v>3.7</v>
      </c>
      <c r="G42" s="64">
        <v>88.55</v>
      </c>
      <c r="H42" s="64">
        <v>35.29</v>
      </c>
      <c r="I42" s="64">
        <v>4.59</v>
      </c>
      <c r="J42" s="64">
        <v>1.06</v>
      </c>
      <c r="K42" s="64">
        <v>108.76</v>
      </c>
      <c r="L42" s="64">
        <v>15.37</v>
      </c>
      <c r="M42" s="64">
        <v>63.75</v>
      </c>
      <c r="N42" s="64">
        <v>280.10000000000002</v>
      </c>
      <c r="O42" s="64">
        <v>0</v>
      </c>
      <c r="P42" s="64">
        <v>0.8</v>
      </c>
      <c r="Q42" s="64">
        <v>8.2100000000000009</v>
      </c>
      <c r="R42" s="196"/>
      <c r="S42" s="196"/>
      <c r="T42" s="196"/>
      <c r="U42" s="196"/>
    </row>
    <row r="43" spans="1:21" s="12" customFormat="1" x14ac:dyDescent="0.25">
      <c r="A43" s="211" t="s">
        <v>2969</v>
      </c>
      <c r="B43" s="207" t="s">
        <v>36</v>
      </c>
      <c r="C43" s="207" t="s">
        <v>36</v>
      </c>
      <c r="D43" s="207" t="s">
        <v>36</v>
      </c>
      <c r="E43" s="64">
        <v>7.53</v>
      </c>
      <c r="F43" s="64">
        <v>3.77</v>
      </c>
      <c r="G43" s="64">
        <v>88.55</v>
      </c>
      <c r="H43" s="64">
        <v>35.29</v>
      </c>
      <c r="I43" s="64">
        <v>4.57</v>
      </c>
      <c r="J43" s="64">
        <v>1.41</v>
      </c>
      <c r="K43" s="64">
        <v>93.39</v>
      </c>
      <c r="L43" s="64">
        <v>15.58</v>
      </c>
      <c r="M43" s="64">
        <v>62.92</v>
      </c>
      <c r="N43" s="64">
        <v>318.3</v>
      </c>
      <c r="O43" s="64">
        <v>0</v>
      </c>
      <c r="P43" s="64">
        <v>0.8</v>
      </c>
      <c r="Q43" s="64">
        <v>8.2100000000000009</v>
      </c>
      <c r="R43" s="196"/>
      <c r="S43" s="196"/>
      <c r="T43" s="196"/>
      <c r="U43" s="196"/>
    </row>
    <row r="44" spans="1:21" s="12" customFormat="1" x14ac:dyDescent="0.25">
      <c r="A44" s="211" t="s">
        <v>2970</v>
      </c>
      <c r="B44" s="207" t="s">
        <v>36</v>
      </c>
      <c r="C44" s="207" t="s">
        <v>36</v>
      </c>
      <c r="D44" s="207" t="s">
        <v>36</v>
      </c>
      <c r="E44" s="64">
        <v>7.4</v>
      </c>
      <c r="F44" s="64">
        <v>3.88</v>
      </c>
      <c r="G44" s="64">
        <v>91.28</v>
      </c>
      <c r="H44" s="64">
        <v>39.32</v>
      </c>
      <c r="I44" s="64">
        <v>5</v>
      </c>
      <c r="J44" s="64">
        <v>0.77</v>
      </c>
      <c r="K44" s="64">
        <v>37.54</v>
      </c>
      <c r="L44" s="64">
        <v>15.95</v>
      </c>
      <c r="M44" s="64">
        <v>60.95</v>
      </c>
      <c r="N44" s="64">
        <v>286.60000000000002</v>
      </c>
      <c r="O44" s="64">
        <v>0</v>
      </c>
      <c r="P44" s="64">
        <v>0.8</v>
      </c>
      <c r="Q44" s="64">
        <v>8.2100000000000009</v>
      </c>
      <c r="R44" s="196"/>
      <c r="S44" s="196"/>
      <c r="T44" s="196"/>
      <c r="U44" s="196"/>
    </row>
    <row r="45" spans="1:21" s="12" customFormat="1" x14ac:dyDescent="0.25">
      <c r="A45" s="211" t="s">
        <v>2971</v>
      </c>
      <c r="B45" s="207" t="s">
        <v>36</v>
      </c>
      <c r="C45" s="207" t="s">
        <v>36</v>
      </c>
      <c r="D45" s="207" t="s">
        <v>36</v>
      </c>
      <c r="E45" s="64">
        <v>7.57</v>
      </c>
      <c r="F45" s="64">
        <v>3.7</v>
      </c>
      <c r="G45" s="64">
        <v>93.46</v>
      </c>
      <c r="H45" s="64">
        <v>40.71</v>
      </c>
      <c r="I45" s="64">
        <v>5.42</v>
      </c>
      <c r="J45" s="64">
        <v>0.96</v>
      </c>
      <c r="K45" s="64">
        <v>83.21</v>
      </c>
      <c r="L45" s="64">
        <v>16.77</v>
      </c>
      <c r="M45" s="64">
        <v>58.57</v>
      </c>
      <c r="N45" s="64">
        <v>381</v>
      </c>
      <c r="O45" s="64">
        <v>0</v>
      </c>
      <c r="P45" s="64">
        <v>0.81</v>
      </c>
      <c r="Q45" s="64">
        <v>8.2100000000000009</v>
      </c>
      <c r="R45" s="196"/>
      <c r="S45" s="196"/>
      <c r="T45" s="196"/>
      <c r="U45" s="196"/>
    </row>
    <row r="46" spans="1:21" s="12" customFormat="1" x14ac:dyDescent="0.25">
      <c r="A46" s="211" t="s">
        <v>2972</v>
      </c>
      <c r="B46" s="207" t="s">
        <v>36</v>
      </c>
      <c r="C46" s="207" t="s">
        <v>36</v>
      </c>
      <c r="D46" s="207" t="s">
        <v>36</v>
      </c>
      <c r="E46" s="64">
        <v>7.49</v>
      </c>
      <c r="F46" s="64">
        <v>3.79</v>
      </c>
      <c r="G46" s="64">
        <v>93.46</v>
      </c>
      <c r="H46" s="64">
        <v>40.71</v>
      </c>
      <c r="I46" s="64">
        <v>5.64</v>
      </c>
      <c r="J46" s="64">
        <v>0.54</v>
      </c>
      <c r="K46" s="64">
        <v>29.74</v>
      </c>
      <c r="L46" s="64">
        <v>17.75</v>
      </c>
      <c r="M46" s="64">
        <v>55.74</v>
      </c>
      <c r="N46" s="64">
        <v>414.1</v>
      </c>
      <c r="O46" s="64">
        <v>0</v>
      </c>
      <c r="P46" s="64">
        <v>0.8</v>
      </c>
      <c r="Q46" s="64">
        <v>8.2100000000000009</v>
      </c>
      <c r="R46" s="196"/>
      <c r="S46" s="196"/>
      <c r="T46" s="196"/>
      <c r="U46" s="196"/>
    </row>
    <row r="47" spans="1:21" s="12" customFormat="1" x14ac:dyDescent="0.25">
      <c r="A47" s="211" t="s">
        <v>2973</v>
      </c>
      <c r="B47" s="207" t="s">
        <v>36</v>
      </c>
      <c r="C47" s="207" t="s">
        <v>36</v>
      </c>
      <c r="D47" s="207" t="s">
        <v>36</v>
      </c>
      <c r="E47" s="64">
        <v>7.94</v>
      </c>
      <c r="F47" s="64">
        <v>4.2300000000000004</v>
      </c>
      <c r="G47" s="64">
        <v>93.46</v>
      </c>
      <c r="H47" s="64">
        <v>40.71</v>
      </c>
      <c r="I47" s="64">
        <v>5.84</v>
      </c>
      <c r="J47" s="64">
        <v>1.04</v>
      </c>
      <c r="K47" s="64">
        <v>89.22</v>
      </c>
      <c r="L47" s="64">
        <v>18.440000000000001</v>
      </c>
      <c r="M47" s="64">
        <v>54.43</v>
      </c>
      <c r="N47" s="64">
        <v>444.6</v>
      </c>
      <c r="O47" s="64">
        <v>0</v>
      </c>
      <c r="P47" s="64">
        <v>0.81</v>
      </c>
      <c r="Q47" s="64">
        <v>8.2100000000000009</v>
      </c>
      <c r="R47" s="196"/>
      <c r="S47" s="196"/>
      <c r="T47" s="196"/>
      <c r="U47" s="196"/>
    </row>
    <row r="48" spans="1:21" s="12" customFormat="1" x14ac:dyDescent="0.25">
      <c r="A48" s="211" t="s">
        <v>2974</v>
      </c>
      <c r="B48" s="207" t="s">
        <v>36</v>
      </c>
      <c r="C48" s="207" t="s">
        <v>36</v>
      </c>
      <c r="D48" s="207" t="s">
        <v>36</v>
      </c>
      <c r="E48" s="64">
        <v>7.44</v>
      </c>
      <c r="F48" s="64">
        <v>4.72</v>
      </c>
      <c r="G48" s="64">
        <v>95.46</v>
      </c>
      <c r="H48" s="64">
        <v>48.24</v>
      </c>
      <c r="I48" s="64">
        <v>6.08</v>
      </c>
      <c r="J48" s="64">
        <v>0.95</v>
      </c>
      <c r="K48" s="64">
        <v>102.37</v>
      </c>
      <c r="L48" s="64">
        <v>18.96</v>
      </c>
      <c r="M48" s="64">
        <v>53.76</v>
      </c>
      <c r="N48" s="64">
        <v>467.2</v>
      </c>
      <c r="O48" s="64">
        <v>0</v>
      </c>
      <c r="P48" s="64">
        <v>0.81</v>
      </c>
      <c r="Q48" s="64">
        <v>8.2100000000000009</v>
      </c>
      <c r="R48" s="196"/>
      <c r="S48" s="196"/>
      <c r="T48" s="196"/>
      <c r="U48" s="196"/>
    </row>
    <row r="49" spans="1:21" s="12" customFormat="1" x14ac:dyDescent="0.25">
      <c r="A49" s="211" t="s">
        <v>2975</v>
      </c>
      <c r="B49" s="207" t="s">
        <v>36</v>
      </c>
      <c r="C49" s="207" t="s">
        <v>36</v>
      </c>
      <c r="D49" s="207" t="s">
        <v>36</v>
      </c>
      <c r="E49" s="64">
        <v>7.47</v>
      </c>
      <c r="F49" s="64">
        <v>5.1100000000000003</v>
      </c>
      <c r="G49" s="64">
        <v>96.99</v>
      </c>
      <c r="H49" s="64">
        <v>53.35</v>
      </c>
      <c r="I49" s="64">
        <v>6.26</v>
      </c>
      <c r="J49" s="64">
        <v>1.51</v>
      </c>
      <c r="K49" s="64">
        <v>97.31</v>
      </c>
      <c r="L49" s="64">
        <v>19.850000000000001</v>
      </c>
      <c r="M49" s="64">
        <v>50.95</v>
      </c>
      <c r="N49" s="64">
        <v>493</v>
      </c>
      <c r="O49" s="64">
        <v>0</v>
      </c>
      <c r="P49" s="64">
        <v>0.81</v>
      </c>
      <c r="Q49" s="64">
        <v>8.2100000000000009</v>
      </c>
      <c r="R49" s="196"/>
      <c r="S49" s="196"/>
      <c r="T49" s="196"/>
      <c r="U49" s="196"/>
    </row>
    <row r="50" spans="1:21" s="12" customFormat="1" x14ac:dyDescent="0.25">
      <c r="A50" s="211" t="s">
        <v>2976</v>
      </c>
      <c r="B50" s="207" t="s">
        <v>36</v>
      </c>
      <c r="C50" s="207" t="s">
        <v>36</v>
      </c>
      <c r="D50" s="207" t="s">
        <v>36</v>
      </c>
      <c r="E50" s="64">
        <v>7.05</v>
      </c>
      <c r="F50" s="64">
        <v>4.95</v>
      </c>
      <c r="G50" s="64">
        <v>96.99</v>
      </c>
      <c r="H50" s="64">
        <v>53.35</v>
      </c>
      <c r="I50" s="64">
        <v>6.48</v>
      </c>
      <c r="J50" s="64">
        <v>0.9</v>
      </c>
      <c r="K50" s="64">
        <v>80.97</v>
      </c>
      <c r="L50" s="64">
        <v>20.41</v>
      </c>
      <c r="M50" s="64">
        <v>49.17</v>
      </c>
      <c r="N50" s="64">
        <v>519.29999999999995</v>
      </c>
      <c r="O50" s="64">
        <v>0</v>
      </c>
      <c r="P50" s="64">
        <v>0.8</v>
      </c>
      <c r="Q50" s="64">
        <v>8.2100000000000009</v>
      </c>
      <c r="R50" s="196"/>
      <c r="S50" s="196"/>
      <c r="T50" s="196"/>
      <c r="U50" s="196"/>
    </row>
    <row r="51" spans="1:21" s="12" customFormat="1" x14ac:dyDescent="0.25">
      <c r="A51" s="211" t="s">
        <v>2977</v>
      </c>
      <c r="B51" s="207" t="s">
        <v>36</v>
      </c>
      <c r="C51" s="207" t="s">
        <v>36</v>
      </c>
      <c r="D51" s="207" t="s">
        <v>36</v>
      </c>
      <c r="E51" s="64">
        <v>6.72</v>
      </c>
      <c r="F51" s="64">
        <v>5.64</v>
      </c>
      <c r="G51" s="64">
        <v>96.99</v>
      </c>
      <c r="H51" s="64">
        <v>53.35</v>
      </c>
      <c r="I51" s="64">
        <v>6.64</v>
      </c>
      <c r="J51" s="64">
        <v>1.73</v>
      </c>
      <c r="K51" s="64">
        <v>95.53</v>
      </c>
      <c r="L51" s="64">
        <v>20.51</v>
      </c>
      <c r="M51" s="64">
        <v>49.46</v>
      </c>
      <c r="N51" s="64">
        <v>540.1</v>
      </c>
      <c r="O51" s="64">
        <v>0</v>
      </c>
      <c r="P51" s="64">
        <v>0.8</v>
      </c>
      <c r="Q51" s="64">
        <v>8.2100000000000009</v>
      </c>
      <c r="R51" s="196"/>
      <c r="S51" s="196"/>
      <c r="T51" s="196"/>
      <c r="U51" s="196"/>
    </row>
    <row r="52" spans="1:21" s="12" customFormat="1" x14ac:dyDescent="0.25">
      <c r="A52" s="211" t="s">
        <v>2978</v>
      </c>
      <c r="B52" s="207" t="s">
        <v>36</v>
      </c>
      <c r="C52" s="207" t="s">
        <v>36</v>
      </c>
      <c r="D52" s="207" t="s">
        <v>36</v>
      </c>
      <c r="E52" s="64">
        <v>6.98</v>
      </c>
      <c r="F52" s="64">
        <v>5.08</v>
      </c>
      <c r="G52" s="64">
        <v>94.81</v>
      </c>
      <c r="H52" s="64">
        <v>43.16</v>
      </c>
      <c r="I52" s="64">
        <v>6.75</v>
      </c>
      <c r="J52" s="64">
        <v>1.0900000000000001</v>
      </c>
      <c r="K52" s="64">
        <v>329.44</v>
      </c>
      <c r="L52" s="64">
        <v>22.37</v>
      </c>
      <c r="M52" s="64">
        <v>44.34</v>
      </c>
      <c r="N52" s="64">
        <v>561</v>
      </c>
      <c r="O52" s="64">
        <v>0</v>
      </c>
      <c r="P52" s="64">
        <v>0.8</v>
      </c>
      <c r="Q52" s="64">
        <v>8.2100000000000009</v>
      </c>
      <c r="R52" s="196"/>
      <c r="S52" s="196"/>
      <c r="T52" s="196"/>
      <c r="U52" s="196"/>
    </row>
    <row r="53" spans="1:21" s="12" customFormat="1" x14ac:dyDescent="0.25">
      <c r="A53" s="211" t="s">
        <v>2979</v>
      </c>
      <c r="B53" s="207" t="s">
        <v>36</v>
      </c>
      <c r="C53" s="207" t="s">
        <v>36</v>
      </c>
      <c r="D53" s="207" t="s">
        <v>36</v>
      </c>
      <c r="E53" s="64">
        <v>7.67</v>
      </c>
      <c r="F53" s="64">
        <v>4.8600000000000003</v>
      </c>
      <c r="G53" s="64">
        <v>93.14</v>
      </c>
      <c r="H53" s="64">
        <v>39.630000000000003</v>
      </c>
      <c r="I53" s="64">
        <v>6.96</v>
      </c>
      <c r="J53" s="64">
        <v>1.5</v>
      </c>
      <c r="K53" s="64">
        <v>98.79</v>
      </c>
      <c r="L53" s="64">
        <v>21.87</v>
      </c>
      <c r="M53" s="64">
        <v>46.41</v>
      </c>
      <c r="N53" s="64">
        <v>567.5</v>
      </c>
      <c r="O53" s="64">
        <v>0</v>
      </c>
      <c r="P53" s="64">
        <v>0.81</v>
      </c>
      <c r="Q53" s="64">
        <v>8.2100000000000009</v>
      </c>
      <c r="R53" s="196"/>
      <c r="S53" s="196"/>
      <c r="T53" s="196"/>
      <c r="U53" s="196"/>
    </row>
    <row r="54" spans="1:21" s="12" customFormat="1" x14ac:dyDescent="0.25">
      <c r="A54" s="211" t="s">
        <v>2980</v>
      </c>
      <c r="B54" s="207" t="s">
        <v>36</v>
      </c>
      <c r="C54" s="207" t="s">
        <v>36</v>
      </c>
      <c r="D54" s="207" t="s">
        <v>36</v>
      </c>
      <c r="E54" s="64">
        <v>7.2</v>
      </c>
      <c r="F54" s="64">
        <v>5.34</v>
      </c>
      <c r="G54" s="64">
        <v>93.14</v>
      </c>
      <c r="H54" s="64">
        <v>39.630000000000003</v>
      </c>
      <c r="I54" s="64">
        <v>7.04</v>
      </c>
      <c r="J54" s="64">
        <v>1.29</v>
      </c>
      <c r="K54" s="64">
        <v>350.36</v>
      </c>
      <c r="L54" s="64">
        <v>22.64</v>
      </c>
      <c r="M54" s="64">
        <v>44.45</v>
      </c>
      <c r="N54" s="64">
        <v>562.29999999999995</v>
      </c>
      <c r="O54" s="64">
        <v>0</v>
      </c>
      <c r="P54" s="64">
        <v>0.81</v>
      </c>
      <c r="Q54" s="64">
        <v>8.2100000000000009</v>
      </c>
      <c r="R54" s="196"/>
      <c r="S54" s="196"/>
      <c r="T54" s="196"/>
      <c r="U54" s="196"/>
    </row>
    <row r="55" spans="1:21" s="12" customFormat="1" x14ac:dyDescent="0.25">
      <c r="A55" s="211" t="s">
        <v>2981</v>
      </c>
      <c r="B55" s="207" t="s">
        <v>36</v>
      </c>
      <c r="C55" s="207" t="s">
        <v>36</v>
      </c>
      <c r="D55" s="207" t="s">
        <v>36</v>
      </c>
      <c r="E55" s="64">
        <v>7.56</v>
      </c>
      <c r="F55" s="64">
        <v>5.25</v>
      </c>
      <c r="G55" s="64">
        <v>93.14</v>
      </c>
      <c r="H55" s="64">
        <v>39.630000000000003</v>
      </c>
      <c r="I55" s="64">
        <v>7.17</v>
      </c>
      <c r="J55" s="64">
        <v>1.56</v>
      </c>
      <c r="K55" s="64">
        <v>350.23</v>
      </c>
      <c r="L55" s="64">
        <v>24.02</v>
      </c>
      <c r="M55" s="64">
        <v>41.16</v>
      </c>
      <c r="N55" s="64">
        <v>564.79999999999995</v>
      </c>
      <c r="O55" s="64">
        <v>0</v>
      </c>
      <c r="P55" s="64">
        <v>0.82</v>
      </c>
      <c r="Q55" s="64">
        <v>8.2100000000000009</v>
      </c>
      <c r="R55" s="196"/>
      <c r="S55" s="196"/>
      <c r="T55" s="196"/>
      <c r="U55" s="196"/>
    </row>
    <row r="56" spans="1:21" s="12" customFormat="1" x14ac:dyDescent="0.25">
      <c r="A56" s="211" t="s">
        <v>2982</v>
      </c>
      <c r="B56" s="207" t="s">
        <v>36</v>
      </c>
      <c r="C56" s="207" t="s">
        <v>36</v>
      </c>
      <c r="D56" s="207" t="s">
        <v>36</v>
      </c>
      <c r="E56" s="64">
        <v>7.32</v>
      </c>
      <c r="F56" s="64">
        <v>5.5</v>
      </c>
      <c r="G56" s="64">
        <v>93.53</v>
      </c>
      <c r="H56" s="64">
        <v>44.13</v>
      </c>
      <c r="I56" s="64">
        <v>7.24</v>
      </c>
      <c r="J56" s="64">
        <v>1.04</v>
      </c>
      <c r="K56" s="64">
        <v>355.36</v>
      </c>
      <c r="L56" s="64">
        <v>23.74</v>
      </c>
      <c r="M56" s="64">
        <v>42.18</v>
      </c>
      <c r="N56" s="64">
        <v>556</v>
      </c>
      <c r="O56" s="64">
        <v>0</v>
      </c>
      <c r="P56" s="64">
        <v>0.82</v>
      </c>
      <c r="Q56" s="64">
        <v>8.2100000000000009</v>
      </c>
      <c r="R56" s="196"/>
      <c r="S56" s="196"/>
      <c r="T56" s="196"/>
      <c r="U56" s="196"/>
    </row>
    <row r="57" spans="1:21" s="12" customFormat="1" x14ac:dyDescent="0.25">
      <c r="A57" s="211" t="s">
        <v>2983</v>
      </c>
      <c r="B57" s="207" t="s">
        <v>36</v>
      </c>
      <c r="C57" s="207" t="s">
        <v>36</v>
      </c>
      <c r="D57" s="207" t="s">
        <v>36</v>
      </c>
      <c r="E57" s="64">
        <v>7.43</v>
      </c>
      <c r="F57" s="64">
        <v>5.23</v>
      </c>
      <c r="G57" s="64">
        <v>93.83</v>
      </c>
      <c r="H57" s="64">
        <v>45.69</v>
      </c>
      <c r="I57" s="64">
        <v>7.09</v>
      </c>
      <c r="J57" s="64">
        <v>1.1299999999999999</v>
      </c>
      <c r="K57" s="64">
        <v>30.37</v>
      </c>
      <c r="L57" s="64">
        <v>23.82</v>
      </c>
      <c r="M57" s="64">
        <v>41.34</v>
      </c>
      <c r="N57" s="64">
        <v>521.4</v>
      </c>
      <c r="O57" s="64">
        <v>0</v>
      </c>
      <c r="P57" s="64">
        <v>0.82</v>
      </c>
      <c r="Q57" s="64">
        <v>8.2100000000000009</v>
      </c>
      <c r="R57" s="196"/>
      <c r="S57" s="196"/>
      <c r="T57" s="196"/>
      <c r="U57" s="196"/>
    </row>
    <row r="58" spans="1:21" s="12" customFormat="1" x14ac:dyDescent="0.25">
      <c r="A58" s="211" t="s">
        <v>2984</v>
      </c>
      <c r="B58" s="207" t="s">
        <v>36</v>
      </c>
      <c r="C58" s="207" t="s">
        <v>36</v>
      </c>
      <c r="D58" s="207" t="s">
        <v>36</v>
      </c>
      <c r="E58" s="64">
        <v>7.27</v>
      </c>
      <c r="F58" s="64">
        <v>5.94</v>
      </c>
      <c r="G58" s="64">
        <v>93.83</v>
      </c>
      <c r="H58" s="64">
        <v>45.69</v>
      </c>
      <c r="I58" s="64">
        <v>6.94</v>
      </c>
      <c r="J58" s="64">
        <v>2.5</v>
      </c>
      <c r="K58" s="64">
        <v>112.82</v>
      </c>
      <c r="L58" s="64">
        <v>22.37</v>
      </c>
      <c r="M58" s="64">
        <v>44.78</v>
      </c>
      <c r="N58" s="64">
        <v>522.5</v>
      </c>
      <c r="O58" s="64">
        <v>0</v>
      </c>
      <c r="P58" s="64">
        <v>0.8</v>
      </c>
      <c r="Q58" s="64">
        <v>8.2100000000000009</v>
      </c>
      <c r="R58" s="196"/>
      <c r="S58" s="196"/>
      <c r="T58" s="196"/>
      <c r="U58" s="196"/>
    </row>
    <row r="59" spans="1:21" s="12" customFormat="1" x14ac:dyDescent="0.25">
      <c r="A59" s="211" t="s">
        <v>2985</v>
      </c>
      <c r="B59" s="207" t="s">
        <v>36</v>
      </c>
      <c r="C59" s="207" t="s">
        <v>36</v>
      </c>
      <c r="D59" s="207" t="s">
        <v>36</v>
      </c>
      <c r="E59" s="64">
        <v>7.22</v>
      </c>
      <c r="F59" s="64">
        <v>5.95</v>
      </c>
      <c r="G59" s="64">
        <v>93.83</v>
      </c>
      <c r="H59" s="64">
        <v>45.69</v>
      </c>
      <c r="I59" s="64">
        <v>6.69</v>
      </c>
      <c r="J59" s="64">
        <v>0.61</v>
      </c>
      <c r="K59" s="64">
        <v>20.14</v>
      </c>
      <c r="L59" s="64">
        <v>23.16</v>
      </c>
      <c r="M59" s="64">
        <v>42.73</v>
      </c>
      <c r="N59" s="64">
        <v>438.9</v>
      </c>
      <c r="O59" s="64">
        <v>0</v>
      </c>
      <c r="P59" s="64">
        <v>0.81</v>
      </c>
      <c r="Q59" s="64">
        <v>8.2100000000000009</v>
      </c>
      <c r="R59" s="196"/>
      <c r="S59" s="196"/>
      <c r="T59" s="196"/>
      <c r="U59" s="196"/>
    </row>
    <row r="60" spans="1:21" s="12" customFormat="1" x14ac:dyDescent="0.25">
      <c r="A60" s="211" t="s">
        <v>2986</v>
      </c>
      <c r="B60" s="207" t="s">
        <v>36</v>
      </c>
      <c r="C60" s="207" t="s">
        <v>36</v>
      </c>
      <c r="D60" s="207" t="s">
        <v>36</v>
      </c>
      <c r="E60" s="64">
        <v>7.09</v>
      </c>
      <c r="F60" s="64">
        <v>4.74</v>
      </c>
      <c r="G60" s="64">
        <v>92.96</v>
      </c>
      <c r="H60" s="64">
        <v>44.63</v>
      </c>
      <c r="I60" s="64">
        <v>6.81</v>
      </c>
      <c r="J60" s="64">
        <v>1.0900000000000001</v>
      </c>
      <c r="K60" s="64">
        <v>93.16</v>
      </c>
      <c r="L60" s="64">
        <v>23.21</v>
      </c>
      <c r="M60" s="64">
        <v>42.28</v>
      </c>
      <c r="N60" s="64">
        <v>495.8</v>
      </c>
      <c r="O60" s="64">
        <v>0</v>
      </c>
      <c r="P60" s="64">
        <v>0.79</v>
      </c>
      <c r="Q60" s="64">
        <v>8.2100000000000009</v>
      </c>
      <c r="R60" s="196"/>
      <c r="S60" s="196"/>
      <c r="T60" s="196"/>
      <c r="U60" s="196"/>
    </row>
    <row r="61" spans="1:21" s="12" customFormat="1" x14ac:dyDescent="0.25">
      <c r="A61" s="211" t="s">
        <v>2987</v>
      </c>
      <c r="B61" s="207" t="s">
        <v>36</v>
      </c>
      <c r="C61" s="207" t="s">
        <v>36</v>
      </c>
      <c r="D61" s="207" t="s">
        <v>36</v>
      </c>
      <c r="E61" s="64">
        <v>7.14</v>
      </c>
      <c r="F61" s="64">
        <v>5.47</v>
      </c>
      <c r="G61" s="64">
        <v>92.3</v>
      </c>
      <c r="H61" s="64">
        <v>44.26</v>
      </c>
      <c r="I61" s="64">
        <v>6.72</v>
      </c>
      <c r="J61" s="64">
        <v>2.48</v>
      </c>
      <c r="K61" s="64">
        <v>116.64</v>
      </c>
      <c r="L61" s="64">
        <v>22.74</v>
      </c>
      <c r="M61" s="64">
        <v>43.57</v>
      </c>
      <c r="N61" s="64">
        <v>486.2</v>
      </c>
      <c r="O61" s="64">
        <v>0</v>
      </c>
      <c r="P61" s="64">
        <v>0.76</v>
      </c>
      <c r="Q61" s="64">
        <v>8.2100000000000009</v>
      </c>
      <c r="R61" s="196"/>
      <c r="S61" s="196"/>
      <c r="T61" s="196"/>
      <c r="U61" s="196"/>
    </row>
    <row r="62" spans="1:21" s="12" customFormat="1" x14ac:dyDescent="0.25">
      <c r="A62" s="211" t="s">
        <v>2988</v>
      </c>
      <c r="B62" s="207" t="s">
        <v>36</v>
      </c>
      <c r="C62" s="207" t="s">
        <v>36</v>
      </c>
      <c r="D62" s="207" t="s">
        <v>36</v>
      </c>
      <c r="E62" s="64">
        <v>6.92</v>
      </c>
      <c r="F62" s="64">
        <v>5.49</v>
      </c>
      <c r="G62" s="64">
        <v>92.3</v>
      </c>
      <c r="H62" s="64">
        <v>44.26</v>
      </c>
      <c r="I62" s="64">
        <v>6.72</v>
      </c>
      <c r="J62" s="64">
        <v>1.1499999999999999</v>
      </c>
      <c r="K62" s="64">
        <v>7.03</v>
      </c>
      <c r="L62" s="64">
        <v>23.29</v>
      </c>
      <c r="M62" s="64">
        <v>42.3</v>
      </c>
      <c r="N62" s="64">
        <v>445.8</v>
      </c>
      <c r="O62" s="64">
        <v>0</v>
      </c>
      <c r="P62" s="64">
        <v>0.78</v>
      </c>
      <c r="Q62" s="64">
        <v>8.2100000000000009</v>
      </c>
      <c r="R62" s="196"/>
      <c r="S62" s="196"/>
      <c r="T62" s="196"/>
      <c r="U62" s="196"/>
    </row>
    <row r="63" spans="1:21" s="12" customFormat="1" x14ac:dyDescent="0.25">
      <c r="A63" s="211" t="s">
        <v>2989</v>
      </c>
      <c r="B63" s="207" t="s">
        <v>36</v>
      </c>
      <c r="C63" s="207" t="s">
        <v>36</v>
      </c>
      <c r="D63" s="207" t="s">
        <v>36</v>
      </c>
      <c r="E63" s="64">
        <v>7.33</v>
      </c>
      <c r="F63" s="64">
        <v>5.48</v>
      </c>
      <c r="G63" s="64">
        <v>92.3</v>
      </c>
      <c r="H63" s="64">
        <v>44.26</v>
      </c>
      <c r="I63" s="64">
        <v>6.91</v>
      </c>
      <c r="J63" s="64">
        <v>1.48</v>
      </c>
      <c r="K63" s="64">
        <v>359.06</v>
      </c>
      <c r="L63" s="64">
        <v>24.01</v>
      </c>
      <c r="M63" s="64">
        <v>40.89</v>
      </c>
      <c r="N63" s="64">
        <v>434.3</v>
      </c>
      <c r="O63" s="64">
        <v>0</v>
      </c>
      <c r="P63" s="64">
        <v>0.78</v>
      </c>
      <c r="Q63" s="64">
        <v>8.2100000000000009</v>
      </c>
      <c r="R63" s="196"/>
      <c r="S63" s="196"/>
      <c r="T63" s="196"/>
      <c r="U63" s="196"/>
    </row>
    <row r="64" spans="1:21" s="12" customFormat="1" x14ac:dyDescent="0.25">
      <c r="A64" s="211" t="s">
        <v>2990</v>
      </c>
      <c r="B64" s="207" t="s">
        <v>36</v>
      </c>
      <c r="C64" s="207" t="s">
        <v>36</v>
      </c>
      <c r="D64" s="207" t="s">
        <v>36</v>
      </c>
      <c r="E64" s="64">
        <v>7.79</v>
      </c>
      <c r="F64" s="64">
        <v>5.78</v>
      </c>
      <c r="G64" s="64">
        <v>88.99</v>
      </c>
      <c r="H64" s="64">
        <v>36.86</v>
      </c>
      <c r="I64" s="64">
        <v>6.36</v>
      </c>
      <c r="J64" s="64">
        <v>2.34</v>
      </c>
      <c r="K64" s="64">
        <v>343.75</v>
      </c>
      <c r="L64" s="64">
        <v>24.41</v>
      </c>
      <c r="M64" s="64">
        <v>40.380000000000003</v>
      </c>
      <c r="N64" s="64">
        <v>355.5</v>
      </c>
      <c r="O64" s="64">
        <v>0</v>
      </c>
      <c r="P64" s="64">
        <v>0.79</v>
      </c>
      <c r="Q64" s="64">
        <v>8.2100000000000009</v>
      </c>
      <c r="R64" s="196"/>
      <c r="S64" s="196"/>
      <c r="T64" s="196"/>
      <c r="U64" s="196"/>
    </row>
    <row r="65" spans="1:21" s="12" customFormat="1" x14ac:dyDescent="0.25">
      <c r="A65" s="211" t="s">
        <v>2991</v>
      </c>
      <c r="B65" s="207" t="s">
        <v>36</v>
      </c>
      <c r="C65" s="207" t="s">
        <v>36</v>
      </c>
      <c r="D65" s="207" t="s">
        <v>36</v>
      </c>
      <c r="E65" s="64">
        <v>7.66</v>
      </c>
      <c r="F65" s="64">
        <v>6.37</v>
      </c>
      <c r="G65" s="64">
        <v>86.46</v>
      </c>
      <c r="H65" s="64">
        <v>31.84</v>
      </c>
      <c r="I65" s="64">
        <v>7.85</v>
      </c>
      <c r="J65" s="64">
        <v>1.24</v>
      </c>
      <c r="K65" s="64">
        <v>17.559999999999999</v>
      </c>
      <c r="L65" s="64">
        <v>24.14</v>
      </c>
      <c r="M65" s="64">
        <v>41.16</v>
      </c>
      <c r="N65" s="64">
        <v>182.4</v>
      </c>
      <c r="O65" s="64">
        <v>0</v>
      </c>
      <c r="P65" s="64">
        <v>0.78</v>
      </c>
      <c r="Q65" s="64">
        <v>8.2100000000000009</v>
      </c>
      <c r="R65" s="196"/>
      <c r="S65" s="196"/>
      <c r="T65" s="196"/>
      <c r="U65" s="196"/>
    </row>
    <row r="66" spans="1:21" s="12" customFormat="1" x14ac:dyDescent="0.25">
      <c r="A66" s="211" t="s">
        <v>2992</v>
      </c>
      <c r="B66" s="207" t="s">
        <v>36</v>
      </c>
      <c r="C66" s="207" t="s">
        <v>36</v>
      </c>
      <c r="D66" s="207" t="s">
        <v>36</v>
      </c>
      <c r="E66" s="64">
        <v>7.41</v>
      </c>
      <c r="F66" s="64">
        <v>6.45</v>
      </c>
      <c r="G66" s="64">
        <v>86.46</v>
      </c>
      <c r="H66" s="64">
        <v>31.84</v>
      </c>
      <c r="I66" s="64">
        <v>7.65</v>
      </c>
      <c r="J66" s="64">
        <v>2.67</v>
      </c>
      <c r="K66" s="64">
        <v>337.31</v>
      </c>
      <c r="L66" s="64">
        <v>24.03</v>
      </c>
      <c r="M66" s="64">
        <v>41.01</v>
      </c>
      <c r="N66" s="64">
        <v>147.6</v>
      </c>
      <c r="O66" s="64">
        <v>0</v>
      </c>
      <c r="P66" s="64">
        <v>0.79</v>
      </c>
      <c r="Q66" s="64">
        <v>8.2100000000000009</v>
      </c>
      <c r="R66" s="196"/>
      <c r="S66" s="196"/>
      <c r="T66" s="196"/>
      <c r="U66" s="196"/>
    </row>
    <row r="67" spans="1:21" s="12" customFormat="1" x14ac:dyDescent="0.25">
      <c r="A67" s="211" t="s">
        <v>2993</v>
      </c>
      <c r="B67" s="207" t="s">
        <v>36</v>
      </c>
      <c r="C67" s="207" t="s">
        <v>36</v>
      </c>
      <c r="D67" s="207" t="s">
        <v>36</v>
      </c>
      <c r="E67" s="64">
        <v>7.53</v>
      </c>
      <c r="F67" s="64">
        <v>6.39</v>
      </c>
      <c r="G67" s="64">
        <v>86.46</v>
      </c>
      <c r="H67" s="64">
        <v>31.84</v>
      </c>
      <c r="I67" s="64">
        <v>7.05</v>
      </c>
      <c r="J67" s="64">
        <v>1.24</v>
      </c>
      <c r="K67" s="64">
        <v>19.88</v>
      </c>
      <c r="L67" s="64">
        <v>23.9</v>
      </c>
      <c r="M67" s="64">
        <v>41.26</v>
      </c>
      <c r="N67" s="64">
        <v>180.7</v>
      </c>
      <c r="O67" s="64">
        <v>0</v>
      </c>
      <c r="P67" s="64">
        <v>0.79</v>
      </c>
      <c r="Q67" s="64">
        <v>8.2100000000000009</v>
      </c>
      <c r="R67" s="196"/>
      <c r="S67" s="196"/>
      <c r="T67" s="196"/>
      <c r="U67" s="196"/>
    </row>
    <row r="68" spans="1:21" s="12" customFormat="1" x14ac:dyDescent="0.25">
      <c r="A68" s="211" t="s">
        <v>2994</v>
      </c>
      <c r="B68" s="207" t="s">
        <v>36</v>
      </c>
      <c r="C68" s="207" t="s">
        <v>36</v>
      </c>
      <c r="D68" s="207" t="s">
        <v>36</v>
      </c>
      <c r="E68" s="64">
        <v>7.4</v>
      </c>
      <c r="F68" s="64">
        <v>6.4</v>
      </c>
      <c r="G68" s="64">
        <v>85.61</v>
      </c>
      <c r="H68" s="64">
        <v>30.57</v>
      </c>
      <c r="I68" s="64">
        <v>7.17</v>
      </c>
      <c r="J68" s="64">
        <v>2.09</v>
      </c>
      <c r="K68" s="64">
        <v>343.03</v>
      </c>
      <c r="L68" s="64">
        <v>23.39</v>
      </c>
      <c r="M68" s="64">
        <v>42.25</v>
      </c>
      <c r="N68" s="64">
        <v>156.1</v>
      </c>
      <c r="O68" s="64">
        <v>0</v>
      </c>
      <c r="P68" s="64">
        <v>0.8</v>
      </c>
      <c r="Q68" s="64">
        <v>8.2100000000000009</v>
      </c>
      <c r="R68" s="196"/>
      <c r="S68" s="196"/>
      <c r="T68" s="196"/>
      <c r="U68" s="196"/>
    </row>
    <row r="69" spans="1:21" s="12" customFormat="1" x14ac:dyDescent="0.25">
      <c r="A69" s="211" t="s">
        <v>2995</v>
      </c>
      <c r="B69" s="207" t="s">
        <v>36</v>
      </c>
      <c r="C69" s="207" t="s">
        <v>36</v>
      </c>
      <c r="D69" s="207" t="s">
        <v>36</v>
      </c>
      <c r="E69" s="64">
        <v>7.1</v>
      </c>
      <c r="F69" s="64">
        <v>6.03</v>
      </c>
      <c r="G69" s="64">
        <v>84.97</v>
      </c>
      <c r="H69" s="64">
        <v>30.13</v>
      </c>
      <c r="I69" s="64">
        <v>6.61</v>
      </c>
      <c r="J69" s="64">
        <v>1.22</v>
      </c>
      <c r="K69" s="64">
        <v>19.04</v>
      </c>
      <c r="L69" s="64">
        <v>23.05</v>
      </c>
      <c r="M69" s="64">
        <v>43.31</v>
      </c>
      <c r="N69" s="64">
        <v>104.4</v>
      </c>
      <c r="O69" s="64">
        <v>0</v>
      </c>
      <c r="P69" s="64">
        <v>0.78</v>
      </c>
      <c r="Q69" s="64">
        <v>8.2100000000000009</v>
      </c>
      <c r="R69" s="196"/>
      <c r="S69" s="196"/>
      <c r="T69" s="196"/>
      <c r="U69" s="196"/>
    </row>
    <row r="70" spans="1:21" s="12" customFormat="1" x14ac:dyDescent="0.25">
      <c r="A70" s="211" t="s">
        <v>2996</v>
      </c>
      <c r="B70" s="207" t="s">
        <v>36</v>
      </c>
      <c r="C70" s="207" t="s">
        <v>36</v>
      </c>
      <c r="D70" s="207" t="s">
        <v>36</v>
      </c>
      <c r="E70" s="64">
        <v>7.28</v>
      </c>
      <c r="F70" s="64">
        <v>5.95</v>
      </c>
      <c r="G70" s="64">
        <v>84.97</v>
      </c>
      <c r="H70" s="64">
        <v>30.13</v>
      </c>
      <c r="I70" s="64">
        <v>6.69</v>
      </c>
      <c r="J70" s="64">
        <v>0.96</v>
      </c>
      <c r="K70" s="64">
        <v>354.94</v>
      </c>
      <c r="L70" s="64">
        <v>23</v>
      </c>
      <c r="M70" s="64">
        <v>43.56</v>
      </c>
      <c r="N70" s="64">
        <v>94.4</v>
      </c>
      <c r="O70" s="64">
        <v>0</v>
      </c>
      <c r="P70" s="64">
        <v>0.8</v>
      </c>
      <c r="Q70" s="64">
        <v>8.2100000000000009</v>
      </c>
      <c r="R70" s="196"/>
      <c r="S70" s="196"/>
      <c r="T70" s="196"/>
      <c r="U70" s="196"/>
    </row>
    <row r="71" spans="1:21" s="12" customFormat="1" x14ac:dyDescent="0.25">
      <c r="A71" s="211" t="s">
        <v>2997</v>
      </c>
      <c r="B71" s="207" t="s">
        <v>36</v>
      </c>
      <c r="C71" s="207" t="s">
        <v>36</v>
      </c>
      <c r="D71" s="207" t="s">
        <v>36</v>
      </c>
      <c r="E71" s="64">
        <v>7.22</v>
      </c>
      <c r="F71" s="64">
        <v>5.58</v>
      </c>
      <c r="G71" s="64">
        <v>84.97</v>
      </c>
      <c r="H71" s="64">
        <v>30.13</v>
      </c>
      <c r="I71" s="64">
        <v>6.04</v>
      </c>
      <c r="J71" s="64">
        <v>0.87</v>
      </c>
      <c r="K71" s="64">
        <v>43.65</v>
      </c>
      <c r="L71" s="64">
        <v>22.65</v>
      </c>
      <c r="M71" s="64">
        <v>44.58</v>
      </c>
      <c r="N71" s="64">
        <v>85.6</v>
      </c>
      <c r="O71" s="64">
        <v>0</v>
      </c>
      <c r="P71" s="64">
        <v>0.79</v>
      </c>
      <c r="Q71" s="64">
        <v>8.2100000000000009</v>
      </c>
      <c r="R71" s="196"/>
      <c r="S71" s="196"/>
      <c r="T71" s="196"/>
      <c r="U71" s="196"/>
    </row>
    <row r="72" spans="1:21" s="12" customFormat="1" x14ac:dyDescent="0.25">
      <c r="A72" s="211" t="s">
        <v>2998</v>
      </c>
      <c r="B72" s="207" t="s">
        <v>36</v>
      </c>
      <c r="C72" s="207" t="s">
        <v>36</v>
      </c>
      <c r="D72" s="207" t="s">
        <v>36</v>
      </c>
      <c r="E72" s="64">
        <v>4.93</v>
      </c>
      <c r="F72" s="64">
        <v>5.27</v>
      </c>
      <c r="G72" s="64">
        <v>82.29</v>
      </c>
      <c r="H72" s="64">
        <v>30.47</v>
      </c>
      <c r="I72" s="64">
        <v>5.67</v>
      </c>
      <c r="J72" s="64">
        <v>0.6</v>
      </c>
      <c r="K72" s="64">
        <v>17.559999999999999</v>
      </c>
      <c r="L72" s="64">
        <v>22.4</v>
      </c>
      <c r="M72" s="64">
        <v>45.19</v>
      </c>
      <c r="N72" s="64">
        <v>77.599999999999994</v>
      </c>
      <c r="O72" s="64">
        <v>0</v>
      </c>
      <c r="P72" s="64">
        <v>0.8</v>
      </c>
      <c r="Q72" s="64">
        <v>8.2100000000000009</v>
      </c>
      <c r="R72" s="196"/>
      <c r="S72" s="196"/>
      <c r="T72" s="196"/>
      <c r="U72" s="196"/>
    </row>
    <row r="73" spans="1:21" s="12" customFormat="1" x14ac:dyDescent="0.25">
      <c r="A73" s="211" t="s">
        <v>2999</v>
      </c>
      <c r="B73" s="207" t="s">
        <v>36</v>
      </c>
      <c r="C73" s="207" t="s">
        <v>36</v>
      </c>
      <c r="D73" s="207" t="s">
        <v>36</v>
      </c>
      <c r="E73" s="64">
        <v>4.49</v>
      </c>
      <c r="F73" s="64">
        <v>4.7</v>
      </c>
      <c r="G73" s="64">
        <v>80.239999999999995</v>
      </c>
      <c r="H73" s="64">
        <v>30.59</v>
      </c>
      <c r="I73" s="64">
        <v>5.91</v>
      </c>
      <c r="J73" s="64">
        <v>1.73</v>
      </c>
      <c r="K73" s="64">
        <v>335.49</v>
      </c>
      <c r="L73" s="64">
        <v>22.28</v>
      </c>
      <c r="M73" s="64">
        <v>45.55</v>
      </c>
      <c r="N73" s="64">
        <v>69</v>
      </c>
      <c r="O73" s="64">
        <v>0</v>
      </c>
      <c r="P73" s="64">
        <v>0.87</v>
      </c>
      <c r="Q73" s="64">
        <v>8.2100000000000009</v>
      </c>
      <c r="R73" s="196"/>
      <c r="S73" s="196"/>
      <c r="T73" s="196"/>
      <c r="U73" s="196"/>
    </row>
    <row r="74" spans="1:21" s="12" customFormat="1" x14ac:dyDescent="0.25">
      <c r="A74" s="211" t="s">
        <v>3000</v>
      </c>
      <c r="B74" s="207" t="s">
        <v>36</v>
      </c>
      <c r="C74" s="207" t="s">
        <v>36</v>
      </c>
      <c r="D74" s="207" t="s">
        <v>36</v>
      </c>
      <c r="E74" s="64">
        <v>4.84</v>
      </c>
      <c r="F74" s="64">
        <v>4.34</v>
      </c>
      <c r="G74" s="64">
        <v>80.239999999999995</v>
      </c>
      <c r="H74" s="64">
        <v>30.59</v>
      </c>
      <c r="I74" s="64">
        <v>4.6500000000000004</v>
      </c>
      <c r="J74" s="64">
        <v>1.95</v>
      </c>
      <c r="K74" s="64">
        <v>342.17</v>
      </c>
      <c r="L74" s="64">
        <v>22.08</v>
      </c>
      <c r="M74" s="64">
        <v>46.06</v>
      </c>
      <c r="N74" s="64">
        <v>61.4</v>
      </c>
      <c r="O74" s="64">
        <v>0</v>
      </c>
      <c r="P74" s="64">
        <v>0.86</v>
      </c>
      <c r="Q74" s="64">
        <v>8.2100000000000009</v>
      </c>
      <c r="R74" s="196"/>
      <c r="S74" s="196"/>
      <c r="T74" s="196"/>
      <c r="U74" s="196"/>
    </row>
    <row r="75" spans="1:21" s="12" customFormat="1" x14ac:dyDescent="0.25">
      <c r="A75" s="211" t="s">
        <v>3001</v>
      </c>
      <c r="B75" s="207" t="s">
        <v>36</v>
      </c>
      <c r="C75" s="207" t="s">
        <v>36</v>
      </c>
      <c r="D75" s="207" t="s">
        <v>36</v>
      </c>
      <c r="E75" s="64">
        <v>4.95</v>
      </c>
      <c r="F75" s="64">
        <v>3.88</v>
      </c>
      <c r="G75" s="64">
        <v>80.239999999999995</v>
      </c>
      <c r="H75" s="64">
        <v>30.59</v>
      </c>
      <c r="I75" s="64">
        <v>4.54</v>
      </c>
      <c r="J75" s="64">
        <v>0.88</v>
      </c>
      <c r="K75" s="64">
        <v>335.33</v>
      </c>
      <c r="L75" s="64">
        <v>21.7</v>
      </c>
      <c r="M75" s="64">
        <v>46.74</v>
      </c>
      <c r="N75" s="64">
        <v>53.9</v>
      </c>
      <c r="O75" s="64">
        <v>0</v>
      </c>
      <c r="P75" s="64">
        <v>0.87</v>
      </c>
      <c r="Q75" s="64">
        <v>8.2100000000000009</v>
      </c>
      <c r="R75" s="196"/>
      <c r="S75" s="196"/>
      <c r="T75" s="196"/>
      <c r="U75" s="196"/>
    </row>
    <row r="76" spans="1:21" s="12" customFormat="1" x14ac:dyDescent="0.25">
      <c r="A76" s="211" t="s">
        <v>3002</v>
      </c>
      <c r="B76" s="207" t="s">
        <v>36</v>
      </c>
      <c r="C76" s="207" t="s">
        <v>36</v>
      </c>
      <c r="D76" s="207" t="s">
        <v>36</v>
      </c>
      <c r="E76" s="64">
        <v>4.7</v>
      </c>
      <c r="F76" s="64">
        <v>4.21</v>
      </c>
      <c r="G76" s="64">
        <v>77.569999999999993</v>
      </c>
      <c r="H76" s="64">
        <v>31.3</v>
      </c>
      <c r="I76" s="64">
        <v>4.9000000000000004</v>
      </c>
      <c r="J76" s="64">
        <v>0.67</v>
      </c>
      <c r="K76" s="64">
        <v>78.75</v>
      </c>
      <c r="L76" s="64">
        <v>21.21</v>
      </c>
      <c r="M76" s="64">
        <v>48</v>
      </c>
      <c r="N76" s="64">
        <v>46.6</v>
      </c>
      <c r="O76" s="64">
        <v>0</v>
      </c>
      <c r="P76" s="64">
        <v>0.86</v>
      </c>
      <c r="Q76" s="64">
        <v>8.2100000000000009</v>
      </c>
      <c r="R76" s="196"/>
      <c r="S76" s="196"/>
      <c r="T76" s="196"/>
      <c r="U76" s="196"/>
    </row>
    <row r="77" spans="1:21" s="12" customFormat="1" x14ac:dyDescent="0.25">
      <c r="A77" s="211" t="s">
        <v>3003</v>
      </c>
      <c r="B77" s="207" t="s">
        <v>36</v>
      </c>
      <c r="C77" s="207" t="s">
        <v>36</v>
      </c>
      <c r="D77" s="207" t="s">
        <v>36</v>
      </c>
      <c r="E77" s="64">
        <v>4.66</v>
      </c>
      <c r="F77" s="64">
        <v>4.0199999999999996</v>
      </c>
      <c r="G77" s="64">
        <v>75.53</v>
      </c>
      <c r="H77" s="64">
        <v>31.54</v>
      </c>
      <c r="I77" s="64">
        <v>4.57</v>
      </c>
      <c r="J77" s="64">
        <v>1.41</v>
      </c>
      <c r="K77" s="64">
        <v>105.18</v>
      </c>
      <c r="L77" s="64">
        <v>20.66</v>
      </c>
      <c r="M77" s="64">
        <v>49.6</v>
      </c>
      <c r="N77" s="64">
        <v>40</v>
      </c>
      <c r="O77" s="64">
        <v>0</v>
      </c>
      <c r="P77" s="64">
        <v>0.88</v>
      </c>
      <c r="Q77" s="64">
        <v>8.2200000000000006</v>
      </c>
      <c r="R77" s="196"/>
      <c r="S77" s="196"/>
      <c r="T77" s="196"/>
      <c r="U77" s="196"/>
    </row>
    <row r="78" spans="1:21" s="12" customFormat="1" x14ac:dyDescent="0.25">
      <c r="A78" s="211" t="s">
        <v>3004</v>
      </c>
      <c r="B78" s="207" t="s">
        <v>36</v>
      </c>
      <c r="C78" s="207" t="s">
        <v>36</v>
      </c>
      <c r="D78" s="207" t="s">
        <v>36</v>
      </c>
      <c r="E78" s="64">
        <v>5.0199999999999996</v>
      </c>
      <c r="F78" s="64">
        <v>4.2300000000000004</v>
      </c>
      <c r="G78" s="64">
        <v>75.53</v>
      </c>
      <c r="H78" s="64">
        <v>31.54</v>
      </c>
      <c r="I78" s="64">
        <v>4.3499999999999996</v>
      </c>
      <c r="J78" s="64">
        <v>0.39</v>
      </c>
      <c r="K78" s="64">
        <v>94.36</v>
      </c>
      <c r="L78" s="64">
        <v>20.13</v>
      </c>
      <c r="M78" s="64">
        <v>51.38</v>
      </c>
      <c r="N78" s="64">
        <v>36.299999999999997</v>
      </c>
      <c r="O78" s="64">
        <v>0</v>
      </c>
      <c r="P78" s="64">
        <v>0.99</v>
      </c>
      <c r="Q78" s="64">
        <v>8.27</v>
      </c>
      <c r="R78" s="196"/>
      <c r="S78" s="196"/>
      <c r="T78" s="196"/>
      <c r="U78" s="196"/>
    </row>
    <row r="79" spans="1:21" s="12" customFormat="1" x14ac:dyDescent="0.25">
      <c r="A79" s="211" t="s">
        <v>3005</v>
      </c>
      <c r="B79" s="207" t="s">
        <v>36</v>
      </c>
      <c r="C79" s="207" t="s">
        <v>36</v>
      </c>
      <c r="D79" s="207" t="s">
        <v>36</v>
      </c>
      <c r="E79" s="64">
        <v>4.76</v>
      </c>
      <c r="F79" s="64">
        <v>3.85</v>
      </c>
      <c r="G79" s="64">
        <v>75.53</v>
      </c>
      <c r="H79" s="64">
        <v>31.54</v>
      </c>
      <c r="I79" s="64">
        <v>5.0599999999999996</v>
      </c>
      <c r="J79" s="64">
        <v>0.52</v>
      </c>
      <c r="K79" s="64">
        <v>7.03</v>
      </c>
      <c r="L79" s="64">
        <v>19.7</v>
      </c>
      <c r="M79" s="64">
        <v>52.83</v>
      </c>
      <c r="N79" s="64">
        <v>35.1</v>
      </c>
      <c r="O79" s="64">
        <v>0</v>
      </c>
      <c r="P79" s="64">
        <v>0.99</v>
      </c>
      <c r="Q79" s="64">
        <v>8.34</v>
      </c>
      <c r="R79" s="196"/>
      <c r="S79" s="196"/>
      <c r="T79" s="196"/>
      <c r="U79" s="196"/>
    </row>
    <row r="80" spans="1:21" s="12" customFormat="1" x14ac:dyDescent="0.25">
      <c r="A80" s="211" t="s">
        <v>3006</v>
      </c>
      <c r="B80" s="207" t="s">
        <v>36</v>
      </c>
      <c r="C80" s="207" t="s">
        <v>36</v>
      </c>
      <c r="D80" s="207" t="s">
        <v>36</v>
      </c>
      <c r="E80" s="64">
        <v>5.26</v>
      </c>
      <c r="F80" s="64">
        <v>4.28</v>
      </c>
      <c r="G80" s="64">
        <v>77.92</v>
      </c>
      <c r="H80" s="64">
        <v>33.65</v>
      </c>
      <c r="I80" s="64">
        <v>5.24</v>
      </c>
      <c r="J80" s="64">
        <v>1.48</v>
      </c>
      <c r="K80" s="64">
        <v>82.29</v>
      </c>
      <c r="L80" s="64">
        <v>19.29</v>
      </c>
      <c r="M80" s="64">
        <v>54.57</v>
      </c>
      <c r="N80" s="64">
        <v>34.9</v>
      </c>
      <c r="O80" s="64">
        <v>0</v>
      </c>
      <c r="P80" s="64">
        <v>0.9</v>
      </c>
      <c r="Q80" s="64">
        <v>8.44</v>
      </c>
      <c r="R80" s="196"/>
      <c r="S80" s="196"/>
      <c r="T80" s="196"/>
      <c r="U80" s="196"/>
    </row>
    <row r="81" spans="1:26" s="12" customFormat="1" x14ac:dyDescent="0.25">
      <c r="A81" s="211" t="s">
        <v>3007</v>
      </c>
      <c r="B81" s="207" t="s">
        <v>36</v>
      </c>
      <c r="C81" s="207" t="s">
        <v>36</v>
      </c>
      <c r="D81" s="207" t="s">
        <v>36</v>
      </c>
      <c r="E81" s="64">
        <v>5.14</v>
      </c>
      <c r="F81" s="64">
        <v>4.12</v>
      </c>
      <c r="G81" s="64">
        <v>79.739999999999995</v>
      </c>
      <c r="H81" s="64">
        <v>35.090000000000003</v>
      </c>
      <c r="I81" s="64">
        <v>6.44</v>
      </c>
      <c r="J81" s="64">
        <v>1.81</v>
      </c>
      <c r="K81" s="64">
        <v>61.74</v>
      </c>
      <c r="L81" s="64">
        <v>19.05</v>
      </c>
      <c r="M81" s="64">
        <v>55.71</v>
      </c>
      <c r="N81" s="64">
        <v>34.799999999999997</v>
      </c>
      <c r="O81" s="64">
        <v>0</v>
      </c>
      <c r="P81" s="64">
        <v>0.98</v>
      </c>
      <c r="Q81" s="64">
        <v>8.5299999999999994</v>
      </c>
      <c r="R81" s="196"/>
      <c r="S81" s="196"/>
      <c r="T81" s="196"/>
      <c r="U81" s="196"/>
    </row>
    <row r="82" spans="1:26" s="12" customFormat="1" x14ac:dyDescent="0.25">
      <c r="A82" s="211" t="s">
        <v>3008</v>
      </c>
      <c r="B82" s="207" t="s">
        <v>36</v>
      </c>
      <c r="C82" s="207" t="s">
        <v>36</v>
      </c>
      <c r="D82" s="207" t="s">
        <v>36</v>
      </c>
      <c r="E82" s="64">
        <v>4.8600000000000003</v>
      </c>
      <c r="F82" s="64">
        <v>4.5</v>
      </c>
      <c r="G82" s="64">
        <v>79.739999999999995</v>
      </c>
      <c r="H82" s="64">
        <v>35.090000000000003</v>
      </c>
      <c r="I82" s="64">
        <v>7.59</v>
      </c>
      <c r="J82" s="64">
        <v>1.31</v>
      </c>
      <c r="K82" s="64">
        <v>51.55</v>
      </c>
      <c r="L82" s="64">
        <v>18.850000000000001</v>
      </c>
      <c r="M82" s="64">
        <v>56.96</v>
      </c>
      <c r="N82" s="64">
        <v>34.700000000000003</v>
      </c>
      <c r="O82" s="64">
        <v>0</v>
      </c>
      <c r="P82" s="64">
        <v>0.99</v>
      </c>
      <c r="Q82" s="64">
        <v>8.6</v>
      </c>
      <c r="R82" s="196"/>
      <c r="S82" s="196"/>
      <c r="T82" s="196"/>
      <c r="U82" s="196"/>
    </row>
    <row r="83" spans="1:26" s="12" customFormat="1" x14ac:dyDescent="0.25">
      <c r="A83" s="211" t="s">
        <v>3009</v>
      </c>
      <c r="B83" s="207" t="s">
        <v>36</v>
      </c>
      <c r="C83" s="207" t="s">
        <v>36</v>
      </c>
      <c r="D83" s="207" t="s">
        <v>36</v>
      </c>
      <c r="E83" s="64">
        <v>5.29</v>
      </c>
      <c r="F83" s="64">
        <v>4.38</v>
      </c>
      <c r="G83" s="64">
        <v>79.739999999999995</v>
      </c>
      <c r="H83" s="64">
        <v>35.090000000000003</v>
      </c>
      <c r="I83" s="64">
        <v>7.58</v>
      </c>
      <c r="J83" s="64">
        <v>1.76</v>
      </c>
      <c r="K83" s="64">
        <v>355.27</v>
      </c>
      <c r="L83" s="64">
        <v>18.600000000000001</v>
      </c>
      <c r="M83" s="64">
        <v>59.72</v>
      </c>
      <c r="N83" s="64">
        <v>34.799999999999997</v>
      </c>
      <c r="O83" s="64">
        <v>0</v>
      </c>
      <c r="P83" s="64">
        <v>1.1299999999999999</v>
      </c>
      <c r="Q83" s="64">
        <v>8.7100000000000009</v>
      </c>
      <c r="R83" s="196"/>
      <c r="S83" s="196"/>
      <c r="T83" s="196"/>
      <c r="U83" s="196"/>
    </row>
    <row r="84" spans="1:26" s="12" customFormat="1" x14ac:dyDescent="0.25">
      <c r="A84" s="211" t="s">
        <v>3010</v>
      </c>
      <c r="B84" s="207" t="s">
        <v>36</v>
      </c>
      <c r="C84" s="207" t="s">
        <v>36</v>
      </c>
      <c r="D84" s="207" t="s">
        <v>36</v>
      </c>
      <c r="E84" s="64">
        <v>5.76</v>
      </c>
      <c r="F84" s="64">
        <v>3.38</v>
      </c>
      <c r="G84" s="64">
        <v>87.3</v>
      </c>
      <c r="H84" s="64">
        <v>38.83</v>
      </c>
      <c r="I84" s="64">
        <v>7.76</v>
      </c>
      <c r="J84" s="64">
        <v>0.84</v>
      </c>
      <c r="K84" s="64">
        <v>356.9</v>
      </c>
      <c r="L84" s="64">
        <v>18.38</v>
      </c>
      <c r="M84" s="64">
        <v>59.82</v>
      </c>
      <c r="N84" s="64">
        <v>34.700000000000003</v>
      </c>
      <c r="O84" s="64">
        <v>0</v>
      </c>
      <c r="P84" s="64">
        <v>1.17</v>
      </c>
      <c r="Q84" s="64">
        <v>8.9700000000000006</v>
      </c>
      <c r="R84" s="196"/>
      <c r="S84" s="196"/>
      <c r="T84" s="196"/>
      <c r="U84" s="196"/>
    </row>
    <row r="85" spans="1:26" s="12" customFormat="1" x14ac:dyDescent="0.25">
      <c r="A85" s="211" t="s">
        <v>3011</v>
      </c>
      <c r="B85" s="207" t="s">
        <v>36</v>
      </c>
      <c r="C85" s="207" t="s">
        <v>36</v>
      </c>
      <c r="D85" s="207" t="s">
        <v>36</v>
      </c>
      <c r="E85" s="64">
        <v>6.12</v>
      </c>
      <c r="F85" s="64">
        <v>3.8</v>
      </c>
      <c r="G85" s="64">
        <v>93.08</v>
      </c>
      <c r="H85" s="64">
        <v>40.130000000000003</v>
      </c>
      <c r="I85" s="64">
        <v>7.98</v>
      </c>
      <c r="J85" s="64">
        <v>1.5</v>
      </c>
      <c r="K85" s="64">
        <v>341.94</v>
      </c>
      <c r="L85" s="64">
        <v>18.239999999999998</v>
      </c>
      <c r="M85" s="64">
        <v>60.21</v>
      </c>
      <c r="N85" s="64">
        <v>34.5</v>
      </c>
      <c r="O85" s="64">
        <v>0</v>
      </c>
      <c r="P85" s="64">
        <v>1.1399999999999999</v>
      </c>
      <c r="Q85" s="64">
        <v>9.17</v>
      </c>
      <c r="R85" s="196"/>
      <c r="S85" s="196"/>
      <c r="T85" s="196"/>
      <c r="U85" s="196"/>
    </row>
    <row r="86" spans="1:26" s="12" customFormat="1" x14ac:dyDescent="0.25">
      <c r="A86" s="211" t="s">
        <v>3012</v>
      </c>
      <c r="B86" s="207" t="s">
        <v>36</v>
      </c>
      <c r="C86" s="207" t="s">
        <v>36</v>
      </c>
      <c r="D86" s="207" t="s">
        <v>36</v>
      </c>
      <c r="E86" s="64">
        <v>6</v>
      </c>
      <c r="F86" s="64">
        <v>4.1100000000000003</v>
      </c>
      <c r="G86" s="64">
        <v>93.08</v>
      </c>
      <c r="H86" s="64">
        <v>40.130000000000003</v>
      </c>
      <c r="I86" s="64">
        <v>8.11</v>
      </c>
      <c r="J86" s="64">
        <v>1.17</v>
      </c>
      <c r="K86" s="64">
        <v>344.97</v>
      </c>
      <c r="L86" s="64">
        <v>18.170000000000002</v>
      </c>
      <c r="M86" s="64">
        <v>59.61</v>
      </c>
      <c r="N86" s="64">
        <v>34.6</v>
      </c>
      <c r="O86" s="64">
        <v>0</v>
      </c>
      <c r="P86" s="64">
        <v>1.26</v>
      </c>
      <c r="Q86" s="64">
        <v>9.07</v>
      </c>
      <c r="R86" s="196"/>
      <c r="S86" s="196"/>
      <c r="T86" s="196"/>
      <c r="U86" s="196"/>
    </row>
    <row r="87" spans="1:26" s="12" customFormat="1" x14ac:dyDescent="0.25">
      <c r="A87" s="211" t="s">
        <v>3013</v>
      </c>
      <c r="B87" s="207" t="s">
        <v>36</v>
      </c>
      <c r="C87" s="207" t="s">
        <v>36</v>
      </c>
      <c r="D87" s="207" t="s">
        <v>36</v>
      </c>
      <c r="E87" s="64">
        <v>5.8</v>
      </c>
      <c r="F87" s="64">
        <v>4</v>
      </c>
      <c r="G87" s="64">
        <v>93.08</v>
      </c>
      <c r="H87" s="64">
        <v>40.130000000000003</v>
      </c>
      <c r="I87" s="64">
        <v>8.25</v>
      </c>
      <c r="J87" s="64">
        <v>1.76</v>
      </c>
      <c r="K87" s="64">
        <v>351.19</v>
      </c>
      <c r="L87" s="64">
        <v>18.04</v>
      </c>
      <c r="M87" s="64">
        <v>59.84</v>
      </c>
      <c r="N87" s="64">
        <v>34.5</v>
      </c>
      <c r="O87" s="64">
        <v>0</v>
      </c>
      <c r="P87" s="64">
        <v>1.27</v>
      </c>
      <c r="Q87" s="64">
        <v>9.0299999999999994</v>
      </c>
      <c r="R87" s="196"/>
      <c r="S87" s="196"/>
      <c r="T87" s="196"/>
      <c r="U87" s="196"/>
    </row>
    <row r="88" spans="1:26" s="12" customFormat="1" x14ac:dyDescent="0.25">
      <c r="A88" s="211" t="s">
        <v>3014</v>
      </c>
      <c r="B88" s="207" t="s">
        <v>36</v>
      </c>
      <c r="C88" s="207" t="s">
        <v>36</v>
      </c>
      <c r="D88" s="207" t="s">
        <v>36</v>
      </c>
      <c r="E88" s="64">
        <v>5.78</v>
      </c>
      <c r="F88" s="64">
        <v>4.17</v>
      </c>
      <c r="G88" s="64">
        <v>96.64</v>
      </c>
      <c r="H88" s="64">
        <v>46.88</v>
      </c>
      <c r="I88" s="64">
        <v>8.2799999999999994</v>
      </c>
      <c r="J88" s="64">
        <v>2.34</v>
      </c>
      <c r="K88" s="64">
        <v>344.48</v>
      </c>
      <c r="L88" s="64">
        <v>18</v>
      </c>
      <c r="M88" s="64">
        <v>60.07</v>
      </c>
      <c r="N88" s="64">
        <v>34.4</v>
      </c>
      <c r="O88" s="64">
        <v>0</v>
      </c>
      <c r="P88" s="64">
        <v>1.35</v>
      </c>
      <c r="Q88" s="64">
        <v>9.0500000000000007</v>
      </c>
      <c r="R88" s="196"/>
      <c r="S88" s="196"/>
      <c r="T88" s="196"/>
      <c r="U88" s="196"/>
    </row>
    <row r="89" spans="1:26" s="12" customFormat="1" x14ac:dyDescent="0.25">
      <c r="A89" s="211" t="s">
        <v>3015</v>
      </c>
      <c r="B89" s="207" t="s">
        <v>36</v>
      </c>
      <c r="C89" s="207" t="s">
        <v>36</v>
      </c>
      <c r="D89" s="207" t="s">
        <v>36</v>
      </c>
      <c r="E89" s="64">
        <v>6.1</v>
      </c>
      <c r="F89" s="64">
        <v>4.1500000000000004</v>
      </c>
      <c r="G89" s="64">
        <v>99.37</v>
      </c>
      <c r="H89" s="64">
        <v>49.21</v>
      </c>
      <c r="I89" s="64">
        <v>8.35</v>
      </c>
      <c r="J89" s="64">
        <v>0.36</v>
      </c>
      <c r="K89" s="64">
        <v>315.48</v>
      </c>
      <c r="L89" s="64">
        <v>17.850000000000001</v>
      </c>
      <c r="M89" s="64">
        <v>59.17</v>
      </c>
      <c r="N89" s="64">
        <v>34.6</v>
      </c>
      <c r="O89" s="64">
        <v>0</v>
      </c>
      <c r="P89" s="64">
        <v>1.49</v>
      </c>
      <c r="Q89" s="64">
        <v>9.07</v>
      </c>
      <c r="R89" s="196"/>
      <c r="S89" s="196"/>
      <c r="T89" s="196"/>
      <c r="U89" s="196"/>
    </row>
    <row r="90" spans="1:26" s="12" customFormat="1" x14ac:dyDescent="0.25">
      <c r="A90" s="211" t="s">
        <v>3016</v>
      </c>
      <c r="B90" s="207" t="s">
        <v>36</v>
      </c>
      <c r="C90" s="207" t="s">
        <v>36</v>
      </c>
      <c r="D90" s="207" t="s">
        <v>36</v>
      </c>
      <c r="E90" s="64">
        <v>5.94</v>
      </c>
      <c r="F90" s="64">
        <v>4.07</v>
      </c>
      <c r="G90" s="64">
        <v>99.37</v>
      </c>
      <c r="H90" s="64">
        <v>49.21</v>
      </c>
      <c r="I90" s="64">
        <v>8.39</v>
      </c>
      <c r="J90" s="64">
        <v>0.76</v>
      </c>
      <c r="K90" s="64">
        <v>314.72000000000003</v>
      </c>
      <c r="L90" s="64">
        <v>17.98</v>
      </c>
      <c r="M90" s="64">
        <v>57.46</v>
      </c>
      <c r="N90" s="64">
        <v>34.4</v>
      </c>
      <c r="O90" s="64">
        <v>0</v>
      </c>
      <c r="P90" s="64">
        <v>1.45</v>
      </c>
      <c r="Q90" s="64">
        <v>9.0399999999999991</v>
      </c>
      <c r="R90" s="196"/>
      <c r="S90" s="196"/>
      <c r="T90" s="196"/>
      <c r="U90" s="196"/>
    </row>
    <row r="91" spans="1:26" s="12" customFormat="1" x14ac:dyDescent="0.25">
      <c r="A91" s="211" t="s">
        <v>3017</v>
      </c>
      <c r="B91" s="207" t="s">
        <v>36</v>
      </c>
      <c r="C91" s="207" t="s">
        <v>36</v>
      </c>
      <c r="D91" s="207" t="s">
        <v>36</v>
      </c>
      <c r="E91" s="64">
        <v>6.27</v>
      </c>
      <c r="F91" s="64">
        <v>3.81</v>
      </c>
      <c r="G91" s="64">
        <v>99.37</v>
      </c>
      <c r="H91" s="64">
        <v>49.21</v>
      </c>
      <c r="I91" s="64">
        <v>7.11</v>
      </c>
      <c r="J91" s="64">
        <v>1.53</v>
      </c>
      <c r="K91" s="64">
        <v>315.45</v>
      </c>
      <c r="L91" s="64">
        <v>18.260000000000002</v>
      </c>
      <c r="M91" s="64">
        <v>55.44</v>
      </c>
      <c r="N91" s="64">
        <v>34.6</v>
      </c>
      <c r="O91" s="64">
        <v>0</v>
      </c>
      <c r="P91" s="64">
        <v>1.49</v>
      </c>
      <c r="Q91" s="64">
        <v>9.14</v>
      </c>
      <c r="R91" s="196"/>
      <c r="S91" s="196"/>
      <c r="T91" s="196"/>
      <c r="U91" s="196"/>
    </row>
    <row r="92" spans="1:26" s="12" customFormat="1" x14ac:dyDescent="0.25">
      <c r="A92" s="211" t="s">
        <v>3018</v>
      </c>
      <c r="B92" s="207" t="s">
        <v>36</v>
      </c>
      <c r="C92" s="207" t="s">
        <v>36</v>
      </c>
      <c r="D92" s="207" t="s">
        <v>36</v>
      </c>
      <c r="E92" s="64">
        <v>5.86</v>
      </c>
      <c r="F92" s="64">
        <v>3.82</v>
      </c>
      <c r="G92" s="64">
        <v>102.53</v>
      </c>
      <c r="H92" s="64">
        <v>48.81</v>
      </c>
      <c r="I92" s="64">
        <v>7.03</v>
      </c>
      <c r="J92" s="64">
        <v>1.08</v>
      </c>
      <c r="K92" s="64">
        <v>291.44</v>
      </c>
      <c r="L92" s="64">
        <v>18.239999999999998</v>
      </c>
      <c r="M92" s="64">
        <v>54.62</v>
      </c>
      <c r="N92" s="64">
        <v>34.799999999999997</v>
      </c>
      <c r="O92" s="64">
        <v>0</v>
      </c>
      <c r="P92" s="64">
        <v>1.44</v>
      </c>
      <c r="Q92" s="64">
        <v>9.35</v>
      </c>
      <c r="R92" s="196"/>
      <c r="S92" s="196"/>
      <c r="T92" s="196"/>
      <c r="U92" s="196"/>
    </row>
    <row r="93" spans="1:26" s="12" customFormat="1" x14ac:dyDescent="0.25">
      <c r="A93" s="211" t="s">
        <v>3019</v>
      </c>
      <c r="B93" s="207" t="s">
        <v>36</v>
      </c>
      <c r="C93" s="207" t="s">
        <v>36</v>
      </c>
      <c r="D93" s="207" t="s">
        <v>36</v>
      </c>
      <c r="E93" s="64">
        <v>5.63</v>
      </c>
      <c r="F93" s="64">
        <v>3.88</v>
      </c>
      <c r="G93" s="64">
        <v>104.95</v>
      </c>
      <c r="H93" s="64">
        <v>48.67</v>
      </c>
      <c r="I93" s="64">
        <v>7.23</v>
      </c>
      <c r="J93" s="64">
        <v>1.18</v>
      </c>
      <c r="K93" s="64">
        <v>319.11</v>
      </c>
      <c r="L93" s="64">
        <v>18.03</v>
      </c>
      <c r="M93" s="64">
        <v>55.7</v>
      </c>
      <c r="N93" s="64">
        <v>34.700000000000003</v>
      </c>
      <c r="O93" s="64">
        <v>0</v>
      </c>
      <c r="P93" s="64">
        <v>1.45</v>
      </c>
      <c r="Q93" s="64">
        <v>9.8000000000000007</v>
      </c>
      <c r="R93" s="196"/>
      <c r="S93" s="196"/>
      <c r="T93" s="196"/>
      <c r="U93" s="196"/>
    </row>
    <row r="94" spans="1:26" s="12" customFormat="1" x14ac:dyDescent="0.25">
      <c r="A94" s="211" t="s">
        <v>3020</v>
      </c>
      <c r="B94" s="207" t="s">
        <v>36</v>
      </c>
      <c r="C94" s="207" t="s">
        <v>36</v>
      </c>
      <c r="D94" s="207" t="s">
        <v>36</v>
      </c>
      <c r="E94" s="64">
        <v>5.84</v>
      </c>
      <c r="F94" s="64">
        <v>3.63</v>
      </c>
      <c r="G94" s="64">
        <v>104.95</v>
      </c>
      <c r="H94" s="64">
        <v>48.67</v>
      </c>
      <c r="I94" s="64">
        <v>7.41</v>
      </c>
      <c r="J94" s="64">
        <v>1.19</v>
      </c>
      <c r="K94" s="64">
        <v>323.94</v>
      </c>
      <c r="L94" s="64">
        <v>18</v>
      </c>
      <c r="M94" s="64">
        <v>55.69</v>
      </c>
      <c r="N94" s="64">
        <v>35</v>
      </c>
      <c r="O94" s="64">
        <v>0</v>
      </c>
      <c r="P94" s="64">
        <v>1.4</v>
      </c>
      <c r="Q94" s="64">
        <v>10.119999999999999</v>
      </c>
      <c r="R94" s="196"/>
      <c r="S94" s="196"/>
      <c r="T94" s="196"/>
      <c r="U94" s="196"/>
    </row>
    <row r="95" spans="1:26" s="12" customFormat="1" x14ac:dyDescent="0.25">
      <c r="A95" s="211" t="s">
        <v>3021</v>
      </c>
      <c r="B95" s="207" t="s">
        <v>36</v>
      </c>
      <c r="C95" s="207" t="s">
        <v>36</v>
      </c>
      <c r="D95" s="207" t="s">
        <v>36</v>
      </c>
      <c r="E95" s="64">
        <v>5.9</v>
      </c>
      <c r="F95" s="64">
        <v>3.53</v>
      </c>
      <c r="G95" s="64">
        <v>104.95</v>
      </c>
      <c r="H95" s="64">
        <v>48.67</v>
      </c>
      <c r="I95" s="64">
        <v>6.81</v>
      </c>
      <c r="J95" s="64">
        <v>1.98</v>
      </c>
      <c r="K95" s="64">
        <v>328.79</v>
      </c>
      <c r="L95" s="64">
        <v>17.95</v>
      </c>
      <c r="M95" s="64">
        <v>55.86</v>
      </c>
      <c r="N95" s="64">
        <v>35</v>
      </c>
      <c r="O95" s="64">
        <v>0</v>
      </c>
      <c r="P95" s="64">
        <v>1.44</v>
      </c>
      <c r="Q95" s="64">
        <v>10.17</v>
      </c>
      <c r="R95" s="196"/>
      <c r="S95" s="196"/>
      <c r="T95" s="196"/>
      <c r="U95" s="196"/>
    </row>
    <row r="96" spans="1:26" s="12" customFormat="1" x14ac:dyDescent="0.25">
      <c r="A96" s="211" t="s">
        <v>3022</v>
      </c>
      <c r="B96" s="207" t="s">
        <v>36</v>
      </c>
      <c r="C96" s="207" t="s">
        <v>36</v>
      </c>
      <c r="D96" s="207" t="s">
        <v>36</v>
      </c>
      <c r="E96" s="64">
        <v>5.93</v>
      </c>
      <c r="F96" s="64">
        <v>4.2300000000000004</v>
      </c>
      <c r="G96" s="64">
        <v>104.02</v>
      </c>
      <c r="H96" s="64">
        <v>49.98</v>
      </c>
      <c r="I96" s="64">
        <v>7.1</v>
      </c>
      <c r="J96" s="64">
        <v>1.92</v>
      </c>
      <c r="K96" s="64">
        <v>330.73</v>
      </c>
      <c r="L96" s="64">
        <v>17.97</v>
      </c>
      <c r="M96" s="64">
        <v>55.57</v>
      </c>
      <c r="N96" s="64">
        <v>35.1</v>
      </c>
      <c r="O96" s="64">
        <v>0</v>
      </c>
      <c r="P96" s="64">
        <v>1.38</v>
      </c>
      <c r="Q96" s="64">
        <v>10.14</v>
      </c>
      <c r="R96" s="196"/>
      <c r="S96" s="196"/>
      <c r="T96" s="196"/>
      <c r="U96" s="196"/>
      <c r="Z96" s="109"/>
    </row>
    <row r="97" spans="1:33" s="12" customFormat="1" x14ac:dyDescent="0.25">
      <c r="A97" s="211" t="s">
        <v>3023</v>
      </c>
      <c r="B97" s="207" t="s">
        <v>36</v>
      </c>
      <c r="C97" s="207" t="s">
        <v>36</v>
      </c>
      <c r="D97" s="207" t="s">
        <v>36</v>
      </c>
      <c r="E97" s="64">
        <v>5.98</v>
      </c>
      <c r="F97" s="64">
        <v>4.26</v>
      </c>
      <c r="G97" s="64">
        <v>103.32</v>
      </c>
      <c r="H97" s="64">
        <v>50.9</v>
      </c>
      <c r="I97" s="64">
        <v>7.89</v>
      </c>
      <c r="J97" s="64">
        <v>0.59</v>
      </c>
      <c r="K97" s="64">
        <v>348.49</v>
      </c>
      <c r="L97" s="64">
        <v>17.850000000000001</v>
      </c>
      <c r="M97" s="64">
        <v>55.45</v>
      </c>
      <c r="N97" s="64">
        <v>35.1</v>
      </c>
      <c r="O97" s="64">
        <v>0</v>
      </c>
      <c r="P97" s="64">
        <v>1.41</v>
      </c>
      <c r="Q97" s="64">
        <v>10.210000000000001</v>
      </c>
      <c r="R97" s="196"/>
      <c r="S97" s="196"/>
      <c r="T97" s="196"/>
      <c r="U97" s="196"/>
    </row>
    <row r="98" spans="1:33" s="12" customFormat="1" x14ac:dyDescent="0.25">
      <c r="A98" s="211" t="s">
        <v>3024</v>
      </c>
      <c r="B98" s="207" t="s">
        <v>36</v>
      </c>
      <c r="C98" s="207" t="s">
        <v>36</v>
      </c>
      <c r="D98" s="207" t="s">
        <v>36</v>
      </c>
      <c r="E98" s="64">
        <v>5.88</v>
      </c>
      <c r="F98" s="64">
        <v>3.98</v>
      </c>
      <c r="G98" s="64">
        <v>103.32</v>
      </c>
      <c r="H98" s="64">
        <v>50.9</v>
      </c>
      <c r="I98" s="64">
        <v>8.11</v>
      </c>
      <c r="J98" s="64">
        <v>0.4</v>
      </c>
      <c r="K98" s="64">
        <v>0.94</v>
      </c>
      <c r="L98" s="64">
        <v>17.57</v>
      </c>
      <c r="M98" s="64">
        <v>56.17</v>
      </c>
      <c r="N98" s="64">
        <v>35</v>
      </c>
      <c r="O98" s="64">
        <v>0</v>
      </c>
      <c r="P98" s="64">
        <v>1.38</v>
      </c>
      <c r="Q98" s="64">
        <v>9.92</v>
      </c>
      <c r="R98" s="196"/>
      <c r="S98" s="196"/>
      <c r="T98" s="196"/>
      <c r="U98" s="196"/>
    </row>
    <row r="99" spans="1:33" s="12" customFormat="1" x14ac:dyDescent="0.25">
      <c r="A99" s="211" t="s">
        <v>3025</v>
      </c>
      <c r="B99" s="207" t="s">
        <v>36</v>
      </c>
      <c r="C99" s="207" t="s">
        <v>36</v>
      </c>
      <c r="D99" s="207" t="s">
        <v>36</v>
      </c>
      <c r="E99" s="64">
        <v>5.82</v>
      </c>
      <c r="F99" s="64">
        <v>4.28</v>
      </c>
      <c r="G99" s="64">
        <v>103.32</v>
      </c>
      <c r="H99" s="64">
        <v>50.9</v>
      </c>
      <c r="I99" s="64">
        <v>8.66</v>
      </c>
      <c r="J99" s="64">
        <v>0.18</v>
      </c>
      <c r="K99" s="64">
        <v>265.82</v>
      </c>
      <c r="L99" s="64">
        <v>17.260000000000002</v>
      </c>
      <c r="M99" s="64">
        <v>57.42</v>
      </c>
      <c r="N99" s="64">
        <v>35</v>
      </c>
      <c r="O99" s="64">
        <v>0</v>
      </c>
      <c r="P99" s="64">
        <v>1.35</v>
      </c>
      <c r="Q99" s="64">
        <v>9.33</v>
      </c>
      <c r="R99" s="196"/>
      <c r="S99" s="196"/>
      <c r="T99" s="196"/>
      <c r="U99" s="196"/>
    </row>
    <row r="100" spans="1:33" s="12" customFormat="1" x14ac:dyDescent="0.25">
      <c r="A100" s="211" t="s">
        <v>3026</v>
      </c>
      <c r="B100" s="207" t="s">
        <v>36</v>
      </c>
      <c r="C100" s="207" t="s">
        <v>36</v>
      </c>
      <c r="D100" s="207" t="s">
        <v>36</v>
      </c>
      <c r="E100" s="64">
        <v>5.26</v>
      </c>
      <c r="F100" s="64">
        <v>4.22</v>
      </c>
      <c r="G100" s="64">
        <v>97.05</v>
      </c>
      <c r="H100" s="64">
        <v>35.79</v>
      </c>
      <c r="I100" s="64">
        <v>8.5</v>
      </c>
      <c r="J100" s="64">
        <v>1.25</v>
      </c>
      <c r="K100" s="64">
        <v>102.16</v>
      </c>
      <c r="L100" s="64">
        <v>16.86</v>
      </c>
      <c r="M100" s="64">
        <v>59.75</v>
      </c>
      <c r="N100" s="64">
        <v>35</v>
      </c>
      <c r="O100" s="64">
        <v>0</v>
      </c>
      <c r="P100" s="64">
        <v>1.32</v>
      </c>
      <c r="Q100" s="64">
        <v>8.9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3027</v>
      </c>
      <c r="B101" s="207" t="s">
        <v>36</v>
      </c>
      <c r="C101" s="207" t="s">
        <v>36</v>
      </c>
      <c r="D101" s="207" t="s">
        <v>36</v>
      </c>
      <c r="E101" s="64">
        <v>4.96</v>
      </c>
      <c r="F101" s="64">
        <v>3.9</v>
      </c>
      <c r="G101" s="64">
        <v>92.25</v>
      </c>
      <c r="H101" s="64">
        <v>30.54</v>
      </c>
      <c r="I101" s="64">
        <v>8.43</v>
      </c>
      <c r="J101" s="64">
        <v>0.9</v>
      </c>
      <c r="K101" s="64">
        <v>93.48</v>
      </c>
      <c r="L101" s="64">
        <v>16.71</v>
      </c>
      <c r="M101" s="64">
        <v>60.52</v>
      </c>
      <c r="N101" s="64">
        <v>34.700000000000003</v>
      </c>
      <c r="O101" s="64">
        <v>0</v>
      </c>
      <c r="P101" s="64">
        <v>1.28</v>
      </c>
      <c r="Q101" s="64">
        <v>9.0500000000000007</v>
      </c>
      <c r="R101" s="196"/>
      <c r="S101" s="196"/>
      <c r="T101" s="196"/>
      <c r="U101" s="196"/>
    </row>
    <row r="102" spans="1:33" s="12" customFormat="1" x14ac:dyDescent="0.25">
      <c r="A102" s="211" t="s">
        <v>3028</v>
      </c>
      <c r="B102" s="207" t="s">
        <v>36</v>
      </c>
      <c r="C102" s="207" t="s">
        <v>36</v>
      </c>
      <c r="D102" s="207" t="s">
        <v>36</v>
      </c>
      <c r="E102" s="64">
        <v>4.71</v>
      </c>
      <c r="F102" s="64">
        <v>3.48</v>
      </c>
      <c r="G102" s="64">
        <v>92.25</v>
      </c>
      <c r="H102" s="64">
        <v>30.54</v>
      </c>
      <c r="I102" s="64">
        <v>8.31</v>
      </c>
      <c r="J102" s="64">
        <v>0.26</v>
      </c>
      <c r="K102" s="64">
        <v>48.74</v>
      </c>
      <c r="L102" s="64">
        <v>16.63</v>
      </c>
      <c r="M102" s="64">
        <v>61.24</v>
      </c>
      <c r="N102" s="64">
        <v>34.700000000000003</v>
      </c>
      <c r="O102" s="64">
        <v>0</v>
      </c>
      <c r="P102" s="64">
        <v>1.25</v>
      </c>
      <c r="Q102" s="64">
        <v>9.01</v>
      </c>
      <c r="R102" s="196"/>
      <c r="S102" s="196"/>
      <c r="T102" s="196"/>
      <c r="U102" s="196"/>
    </row>
    <row r="103" spans="1:33" s="12" customFormat="1" x14ac:dyDescent="0.25">
      <c r="A103" s="211" t="s">
        <v>3029</v>
      </c>
      <c r="B103" s="207" t="s">
        <v>36</v>
      </c>
      <c r="C103" s="207" t="s">
        <v>36</v>
      </c>
      <c r="D103" s="207" t="s">
        <v>36</v>
      </c>
      <c r="E103" s="64">
        <v>5.26</v>
      </c>
      <c r="F103" s="64">
        <v>3.95</v>
      </c>
      <c r="G103" s="64">
        <v>92.25</v>
      </c>
      <c r="H103" s="64">
        <v>30.54</v>
      </c>
      <c r="I103" s="64">
        <v>8.09</v>
      </c>
      <c r="J103" s="64">
        <v>1.82</v>
      </c>
      <c r="K103" s="64">
        <v>335.37</v>
      </c>
      <c r="L103" s="64">
        <v>16.39</v>
      </c>
      <c r="M103" s="64">
        <v>62.76</v>
      </c>
      <c r="N103" s="64">
        <v>34.799999999999997</v>
      </c>
      <c r="O103" s="64">
        <v>0</v>
      </c>
      <c r="P103" s="64">
        <v>1.22</v>
      </c>
      <c r="Q103" s="64">
        <v>8.89</v>
      </c>
      <c r="R103" s="196"/>
      <c r="S103" s="196"/>
      <c r="T103" s="196"/>
      <c r="U103" s="196"/>
    </row>
    <row r="104" spans="1:33" s="12" customFormat="1" x14ac:dyDescent="0.25">
      <c r="A104" s="211" t="s">
        <v>3030</v>
      </c>
      <c r="B104" s="207" t="s">
        <v>36</v>
      </c>
      <c r="C104" s="207" t="s">
        <v>36</v>
      </c>
      <c r="D104" s="207" t="s">
        <v>36</v>
      </c>
      <c r="E104" s="64">
        <v>5.32</v>
      </c>
      <c r="F104" s="64">
        <v>4.0599999999999996</v>
      </c>
      <c r="G104" s="64">
        <v>89.49</v>
      </c>
      <c r="H104" s="64">
        <v>39.14</v>
      </c>
      <c r="I104" s="64">
        <v>7.92</v>
      </c>
      <c r="J104" s="64">
        <v>1.64</v>
      </c>
      <c r="K104" s="64">
        <v>320.75</v>
      </c>
      <c r="L104" s="64">
        <v>16.3</v>
      </c>
      <c r="M104" s="64">
        <v>63.26</v>
      </c>
      <c r="N104" s="64">
        <v>34.799999999999997</v>
      </c>
      <c r="O104" s="64">
        <v>0</v>
      </c>
      <c r="P104" s="64">
        <v>1.2</v>
      </c>
      <c r="Q104" s="64">
        <v>8.77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4.49</v>
      </c>
      <c r="F106" s="67">
        <f t="shared" si="0"/>
        <v>3.38</v>
      </c>
      <c r="G106" s="67">
        <f t="shared" si="0"/>
        <v>75.53</v>
      </c>
      <c r="H106" s="67">
        <f t="shared" si="0"/>
        <v>30.13</v>
      </c>
      <c r="I106" s="67">
        <f t="shared" si="0"/>
        <v>4.05</v>
      </c>
      <c r="J106" s="67">
        <f t="shared" si="0"/>
        <v>0.18</v>
      </c>
      <c r="K106" s="67">
        <f t="shared" si="0"/>
        <v>0.94</v>
      </c>
      <c r="L106" s="67">
        <f t="shared" si="0"/>
        <v>10.86</v>
      </c>
      <c r="M106" s="67">
        <f t="shared" si="0"/>
        <v>40.380000000000003</v>
      </c>
      <c r="N106" s="67">
        <f t="shared" si="0"/>
        <v>33.799999999999997</v>
      </c>
      <c r="O106" s="67">
        <f t="shared" si="0"/>
        <v>0</v>
      </c>
      <c r="P106" s="67">
        <f t="shared" si="0"/>
        <v>0.75</v>
      </c>
      <c r="Q106" s="67">
        <f t="shared" si="0"/>
        <v>8.2100000000000009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7.94</v>
      </c>
      <c r="F107" s="66">
        <f t="shared" si="1"/>
        <v>6.45</v>
      </c>
      <c r="G107" s="66">
        <f t="shared" si="1"/>
        <v>112.37</v>
      </c>
      <c r="H107" s="66">
        <f t="shared" si="1"/>
        <v>66.260000000000005</v>
      </c>
      <c r="I107" s="66">
        <f t="shared" si="1"/>
        <v>8.66</v>
      </c>
      <c r="J107" s="66">
        <f t="shared" si="1"/>
        <v>2.68</v>
      </c>
      <c r="K107" s="66">
        <f t="shared" si="1"/>
        <v>359.06</v>
      </c>
      <c r="L107" s="66">
        <f t="shared" si="1"/>
        <v>24.41</v>
      </c>
      <c r="M107" s="66">
        <f t="shared" si="1"/>
        <v>83.47</v>
      </c>
      <c r="N107" s="66">
        <f t="shared" si="1"/>
        <v>567.5</v>
      </c>
      <c r="O107" s="66">
        <f t="shared" si="1"/>
        <v>0</v>
      </c>
      <c r="P107" s="66">
        <f t="shared" si="1"/>
        <v>1.49</v>
      </c>
      <c r="Q107" s="66">
        <f t="shared" si="1"/>
        <v>10.210000000000001</v>
      </c>
      <c r="R107" s="198"/>
      <c r="S107" s="198"/>
      <c r="T107" s="198"/>
      <c r="U107" s="198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6.6582291666666675</v>
      </c>
      <c r="F108" s="67">
        <f t="shared" si="2"/>
        <v>4.4914583333333304</v>
      </c>
      <c r="G108" s="67">
        <f t="shared" si="2"/>
        <v>92.863854166666655</v>
      </c>
      <c r="H108" s="67">
        <f t="shared" si="2"/>
        <v>40.985833333333375</v>
      </c>
      <c r="I108" s="67">
        <f t="shared" si="2"/>
        <v>6.1164583333333331</v>
      </c>
      <c r="J108" s="67">
        <f t="shared" si="2"/>
        <v>1.423333333333334</v>
      </c>
      <c r="K108" s="67">
        <f t="shared" si="2"/>
        <v>220.2784375</v>
      </c>
      <c r="L108" s="67">
        <f t="shared" si="2"/>
        <v>17.34375</v>
      </c>
      <c r="M108" s="67">
        <f t="shared" si="2"/>
        <v>59.458958333333321</v>
      </c>
      <c r="N108" s="67">
        <f t="shared" si="2"/>
        <v>152.65729166666668</v>
      </c>
      <c r="O108" s="67">
        <f t="shared" si="2"/>
        <v>0</v>
      </c>
      <c r="P108" s="67">
        <f t="shared" si="2"/>
        <v>0.94708333333333306</v>
      </c>
      <c r="Q108" s="67">
        <f t="shared" si="2"/>
        <v>8.4748958333333295</v>
      </c>
      <c r="R108" s="197"/>
      <c r="S108" s="197"/>
      <c r="T108" s="197"/>
      <c r="U108" s="197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0.97511672153339302</v>
      </c>
      <c r="F109" s="67">
        <f t="shared" si="3"/>
        <v>0.74690375504363427</v>
      </c>
      <c r="G109" s="67">
        <f t="shared" si="3"/>
        <v>8.2717017112297651</v>
      </c>
      <c r="H109" s="67">
        <f t="shared" si="3"/>
        <v>8.0911527598019966</v>
      </c>
      <c r="I109" s="67">
        <f t="shared" si="3"/>
        <v>1.3805521238499787</v>
      </c>
      <c r="J109" s="67">
        <f t="shared" si="3"/>
        <v>0.68541138882413022</v>
      </c>
      <c r="K109" s="67">
        <f t="shared" si="3"/>
        <v>139.10000712344845</v>
      </c>
      <c r="L109" s="67">
        <f t="shared" si="3"/>
        <v>4.364205661129124</v>
      </c>
      <c r="M109" s="67">
        <f t="shared" si="3"/>
        <v>12.895353996419976</v>
      </c>
      <c r="N109" s="67">
        <f t="shared" si="3"/>
        <v>184.68065224785454</v>
      </c>
      <c r="O109" s="67">
        <f t="shared" si="3"/>
        <v>0</v>
      </c>
      <c r="P109" s="67">
        <f t="shared" si="3"/>
        <v>0.22630169274742873</v>
      </c>
      <c r="Q109" s="67">
        <f t="shared" si="3"/>
        <v>0.51880834062131786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>COUNT(B9:B104)+96</f>
        <v>96</v>
      </c>
      <c r="C110" s="66">
        <f t="shared" ref="C110:D110" si="4">COUNT(C9:C104)+96</f>
        <v>96</v>
      </c>
      <c r="D110" s="66">
        <f t="shared" si="4"/>
        <v>96</v>
      </c>
      <c r="E110" s="66">
        <f t="shared" ref="B110:Q110" si="5">COUNT(E9:E104)</f>
        <v>96</v>
      </c>
      <c r="F110" s="66">
        <f t="shared" si="5"/>
        <v>96</v>
      </c>
      <c r="G110" s="66">
        <f t="shared" si="5"/>
        <v>96</v>
      </c>
      <c r="H110" s="66">
        <f t="shared" si="5"/>
        <v>96</v>
      </c>
      <c r="I110" s="66">
        <f t="shared" si="5"/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6" t="s">
        <v>51</v>
      </c>
      <c r="R8" s="194"/>
      <c r="S8" s="195"/>
      <c r="T8" s="194"/>
      <c r="U8" s="194"/>
    </row>
    <row r="9" spans="1:21" s="12" customFormat="1" x14ac:dyDescent="0.25">
      <c r="A9" s="211" t="s">
        <v>3031</v>
      </c>
      <c r="B9" s="207" t="s">
        <v>36</v>
      </c>
      <c r="C9" s="207" t="s">
        <v>36</v>
      </c>
      <c r="D9" s="207" t="s">
        <v>36</v>
      </c>
      <c r="E9" s="64">
        <v>6.21</v>
      </c>
      <c r="F9" s="64">
        <v>3.83</v>
      </c>
      <c r="G9" s="64">
        <v>87.37</v>
      </c>
      <c r="H9" s="64">
        <v>42.12</v>
      </c>
      <c r="I9" s="64">
        <v>7.7</v>
      </c>
      <c r="J9" s="64">
        <v>0.52</v>
      </c>
      <c r="K9" s="64">
        <v>102</v>
      </c>
      <c r="L9" s="64">
        <v>16.100000000000001</v>
      </c>
      <c r="M9" s="64">
        <v>64.349999999999994</v>
      </c>
      <c r="N9" s="64">
        <v>34.9</v>
      </c>
      <c r="O9" s="64">
        <v>0</v>
      </c>
      <c r="P9" s="64">
        <v>1.1599999999999999</v>
      </c>
      <c r="Q9" s="64">
        <v>8.51</v>
      </c>
      <c r="R9" s="196"/>
      <c r="S9" s="196"/>
      <c r="T9" s="196"/>
      <c r="U9" s="196"/>
    </row>
    <row r="10" spans="1:21" s="12" customFormat="1" x14ac:dyDescent="0.25">
      <c r="A10" s="211" t="s">
        <v>3032</v>
      </c>
      <c r="B10" s="207" t="s">
        <v>36</v>
      </c>
      <c r="C10" s="207" t="s">
        <v>36</v>
      </c>
      <c r="D10" s="207" t="s">
        <v>36</v>
      </c>
      <c r="E10" s="64">
        <v>5.97</v>
      </c>
      <c r="F10" s="64">
        <v>3.85</v>
      </c>
      <c r="G10" s="64">
        <v>87.37</v>
      </c>
      <c r="H10" s="64">
        <v>42.12</v>
      </c>
      <c r="I10" s="64">
        <v>7.5</v>
      </c>
      <c r="J10" s="64">
        <v>0.8</v>
      </c>
      <c r="K10" s="64">
        <v>77.400000000000006</v>
      </c>
      <c r="L10" s="64">
        <v>15.93</v>
      </c>
      <c r="M10" s="64">
        <v>65.459999999999994</v>
      </c>
      <c r="N10" s="64">
        <v>34.799999999999997</v>
      </c>
      <c r="O10" s="64">
        <v>0</v>
      </c>
      <c r="P10" s="64">
        <v>1.06</v>
      </c>
      <c r="Q10" s="64">
        <v>8.35</v>
      </c>
      <c r="R10" s="196"/>
      <c r="S10" s="196"/>
      <c r="T10" s="196"/>
      <c r="U10" s="196"/>
    </row>
    <row r="11" spans="1:21" s="12" customFormat="1" x14ac:dyDescent="0.25">
      <c r="A11" s="211" t="s">
        <v>3033</v>
      </c>
      <c r="B11" s="207" t="s">
        <v>36</v>
      </c>
      <c r="C11" s="207" t="s">
        <v>36</v>
      </c>
      <c r="D11" s="207" t="s">
        <v>36</v>
      </c>
      <c r="E11" s="64">
        <v>5.69</v>
      </c>
      <c r="F11" s="64">
        <v>3.59</v>
      </c>
      <c r="G11" s="64">
        <v>87.37</v>
      </c>
      <c r="H11" s="64">
        <v>42.12</v>
      </c>
      <c r="I11" s="64">
        <v>6.98</v>
      </c>
      <c r="J11" s="64">
        <v>0.98</v>
      </c>
      <c r="K11" s="64">
        <v>347.51</v>
      </c>
      <c r="L11" s="64">
        <v>15.85</v>
      </c>
      <c r="M11" s="64">
        <v>66.489999999999995</v>
      </c>
      <c r="N11" s="64">
        <v>34.6</v>
      </c>
      <c r="O11" s="64">
        <v>0</v>
      </c>
      <c r="P11" s="64">
        <v>1.07</v>
      </c>
      <c r="Q11" s="64">
        <v>8.5399999999999991</v>
      </c>
      <c r="R11" s="196"/>
      <c r="S11" s="196"/>
      <c r="T11" s="196"/>
      <c r="U11" s="196"/>
    </row>
    <row r="12" spans="1:21" s="12" customFormat="1" x14ac:dyDescent="0.25">
      <c r="A12" s="211" t="s">
        <v>3034</v>
      </c>
      <c r="B12" s="207" t="s">
        <v>36</v>
      </c>
      <c r="C12" s="207" t="s">
        <v>36</v>
      </c>
      <c r="D12" s="207" t="s">
        <v>36</v>
      </c>
      <c r="E12" s="64">
        <v>5.72</v>
      </c>
      <c r="F12" s="64">
        <v>3.56</v>
      </c>
      <c r="G12" s="64">
        <v>87.05</v>
      </c>
      <c r="H12" s="64">
        <v>42.93</v>
      </c>
      <c r="I12" s="64">
        <v>5.97</v>
      </c>
      <c r="J12" s="64">
        <v>1.43</v>
      </c>
      <c r="K12" s="64">
        <v>327.05</v>
      </c>
      <c r="L12" s="64">
        <v>15.9</v>
      </c>
      <c r="M12" s="64">
        <v>65.67</v>
      </c>
      <c r="N12" s="64">
        <v>34.5</v>
      </c>
      <c r="O12" s="64">
        <v>0</v>
      </c>
      <c r="P12" s="64">
        <v>1.03</v>
      </c>
      <c r="Q12" s="64">
        <v>8.86</v>
      </c>
      <c r="R12" s="196"/>
      <c r="S12" s="196"/>
      <c r="T12" s="196"/>
      <c r="U12" s="196"/>
    </row>
    <row r="13" spans="1:21" s="12" customFormat="1" x14ac:dyDescent="0.25">
      <c r="A13" s="211" t="s">
        <v>3035</v>
      </c>
      <c r="B13" s="207" t="s">
        <v>36</v>
      </c>
      <c r="C13" s="207" t="s">
        <v>36</v>
      </c>
      <c r="D13" s="207" t="s">
        <v>36</v>
      </c>
      <c r="E13" s="64">
        <v>5.58</v>
      </c>
      <c r="F13" s="64">
        <v>3.63</v>
      </c>
      <c r="G13" s="64">
        <v>86.8</v>
      </c>
      <c r="H13" s="64">
        <v>43.21</v>
      </c>
      <c r="I13" s="64">
        <v>6.11</v>
      </c>
      <c r="J13" s="64">
        <v>1.76</v>
      </c>
      <c r="K13" s="64">
        <v>342</v>
      </c>
      <c r="L13" s="64">
        <v>15.76</v>
      </c>
      <c r="M13" s="64">
        <v>66.91</v>
      </c>
      <c r="N13" s="64">
        <v>34.700000000000003</v>
      </c>
      <c r="O13" s="64">
        <v>0</v>
      </c>
      <c r="P13" s="64">
        <v>0.96</v>
      </c>
      <c r="Q13" s="64">
        <v>8.89</v>
      </c>
      <c r="R13" s="196"/>
      <c r="S13" s="196"/>
      <c r="T13" s="196"/>
      <c r="U13" s="196"/>
    </row>
    <row r="14" spans="1:21" s="12" customFormat="1" x14ac:dyDescent="0.25">
      <c r="A14" s="211" t="s">
        <v>3036</v>
      </c>
      <c r="B14" s="207" t="s">
        <v>36</v>
      </c>
      <c r="C14" s="207" t="s">
        <v>36</v>
      </c>
      <c r="D14" s="207" t="s">
        <v>36</v>
      </c>
      <c r="E14" s="64">
        <v>6.09</v>
      </c>
      <c r="F14" s="64">
        <v>3.74</v>
      </c>
      <c r="G14" s="64">
        <v>86.8</v>
      </c>
      <c r="H14" s="64">
        <v>43.21</v>
      </c>
      <c r="I14" s="64">
        <v>6.25</v>
      </c>
      <c r="J14" s="64">
        <v>2.2400000000000002</v>
      </c>
      <c r="K14" s="64">
        <v>343.63</v>
      </c>
      <c r="L14" s="64">
        <v>15.59</v>
      </c>
      <c r="M14" s="64">
        <v>68</v>
      </c>
      <c r="N14" s="64">
        <v>34.700000000000003</v>
      </c>
      <c r="O14" s="64">
        <v>0</v>
      </c>
      <c r="P14" s="64">
        <v>0.99</v>
      </c>
      <c r="Q14" s="64">
        <v>8.7899999999999991</v>
      </c>
      <c r="R14" s="196"/>
      <c r="S14" s="196"/>
      <c r="T14" s="196"/>
      <c r="U14" s="196"/>
    </row>
    <row r="15" spans="1:21" s="12" customFormat="1" x14ac:dyDescent="0.25">
      <c r="A15" s="211" t="s">
        <v>3037</v>
      </c>
      <c r="B15" s="207" t="s">
        <v>36</v>
      </c>
      <c r="C15" s="207" t="s">
        <v>36</v>
      </c>
      <c r="D15" s="207" t="s">
        <v>36</v>
      </c>
      <c r="E15" s="64">
        <v>5.83</v>
      </c>
      <c r="F15" s="64">
        <v>3.97</v>
      </c>
      <c r="G15" s="64">
        <v>86.8</v>
      </c>
      <c r="H15" s="64">
        <v>43.21</v>
      </c>
      <c r="I15" s="64">
        <v>6.45</v>
      </c>
      <c r="J15" s="64">
        <v>2.38</v>
      </c>
      <c r="K15" s="64">
        <v>349.48</v>
      </c>
      <c r="L15" s="64">
        <v>15.39</v>
      </c>
      <c r="M15" s="64">
        <v>69.489999999999995</v>
      </c>
      <c r="N15" s="64">
        <v>34.799999999999997</v>
      </c>
      <c r="O15" s="64">
        <v>0</v>
      </c>
      <c r="P15" s="64">
        <v>0.95</v>
      </c>
      <c r="Q15" s="64">
        <v>8.44</v>
      </c>
      <c r="R15" s="196"/>
      <c r="S15" s="196"/>
      <c r="T15" s="196"/>
      <c r="U15" s="196"/>
    </row>
    <row r="16" spans="1:21" s="12" customFormat="1" x14ac:dyDescent="0.25">
      <c r="A16" s="211" t="s">
        <v>3038</v>
      </c>
      <c r="B16" s="207" t="s">
        <v>36</v>
      </c>
      <c r="C16" s="207" t="s">
        <v>36</v>
      </c>
      <c r="D16" s="207" t="s">
        <v>36</v>
      </c>
      <c r="E16" s="64">
        <v>5.78</v>
      </c>
      <c r="F16" s="64">
        <v>3.45</v>
      </c>
      <c r="G16" s="64">
        <v>83.61</v>
      </c>
      <c r="H16" s="64">
        <v>42.21</v>
      </c>
      <c r="I16" s="64">
        <v>6.14</v>
      </c>
      <c r="J16" s="64">
        <v>0.72</v>
      </c>
      <c r="K16" s="64">
        <v>12.04</v>
      </c>
      <c r="L16" s="64">
        <v>15.06</v>
      </c>
      <c r="M16" s="64">
        <v>71.39</v>
      </c>
      <c r="N16" s="64">
        <v>34.799999999999997</v>
      </c>
      <c r="O16" s="64">
        <v>0</v>
      </c>
      <c r="P16" s="64">
        <v>0.92</v>
      </c>
      <c r="Q16" s="64">
        <v>8.4499999999999993</v>
      </c>
      <c r="R16" s="196"/>
      <c r="S16" s="196"/>
      <c r="T16" s="196"/>
      <c r="U16" s="196"/>
    </row>
    <row r="17" spans="1:21" s="12" customFormat="1" x14ac:dyDescent="0.25">
      <c r="A17" s="211" t="s">
        <v>3039</v>
      </c>
      <c r="B17" s="207" t="s">
        <v>36</v>
      </c>
      <c r="C17" s="207" t="s">
        <v>36</v>
      </c>
      <c r="D17" s="207" t="s">
        <v>36</v>
      </c>
      <c r="E17" s="64">
        <v>5.88</v>
      </c>
      <c r="F17" s="64">
        <v>3.65</v>
      </c>
      <c r="G17" s="64">
        <v>81.17</v>
      </c>
      <c r="H17" s="64">
        <v>41.53</v>
      </c>
      <c r="I17" s="64">
        <v>5.98</v>
      </c>
      <c r="J17" s="64">
        <v>2.13</v>
      </c>
      <c r="K17" s="64">
        <v>345.28</v>
      </c>
      <c r="L17" s="64">
        <v>14.93</v>
      </c>
      <c r="M17" s="64">
        <v>73.069999999999993</v>
      </c>
      <c r="N17" s="64">
        <v>34.700000000000003</v>
      </c>
      <c r="O17" s="64">
        <v>0</v>
      </c>
      <c r="P17" s="64">
        <v>0.96</v>
      </c>
      <c r="Q17" s="64">
        <v>8.4600000000000009</v>
      </c>
      <c r="R17" s="196"/>
      <c r="S17" s="196"/>
      <c r="T17" s="196"/>
      <c r="U17" s="196"/>
    </row>
    <row r="18" spans="1:21" s="12" customFormat="1" x14ac:dyDescent="0.25">
      <c r="A18" s="211" t="s">
        <v>3040</v>
      </c>
      <c r="B18" s="207" t="s">
        <v>36</v>
      </c>
      <c r="C18" s="207" t="s">
        <v>36</v>
      </c>
      <c r="D18" s="207" t="s">
        <v>36</v>
      </c>
      <c r="E18" s="64">
        <v>6.16</v>
      </c>
      <c r="F18" s="64">
        <v>3.94</v>
      </c>
      <c r="G18" s="64">
        <v>81.17</v>
      </c>
      <c r="H18" s="64">
        <v>41.53</v>
      </c>
      <c r="I18" s="64">
        <v>6.16</v>
      </c>
      <c r="J18" s="64">
        <v>2.57</v>
      </c>
      <c r="K18" s="64">
        <v>345.28</v>
      </c>
      <c r="L18" s="64">
        <v>14.84</v>
      </c>
      <c r="M18" s="64">
        <v>74.09</v>
      </c>
      <c r="N18" s="64">
        <v>34.700000000000003</v>
      </c>
      <c r="O18" s="64">
        <v>0</v>
      </c>
      <c r="P18" s="64">
        <v>0.95</v>
      </c>
      <c r="Q18" s="64">
        <v>8.3000000000000007</v>
      </c>
      <c r="R18" s="196"/>
      <c r="S18" s="196"/>
      <c r="T18" s="196"/>
      <c r="U18" s="196"/>
    </row>
    <row r="19" spans="1:21" s="12" customFormat="1" x14ac:dyDescent="0.25">
      <c r="A19" s="211" t="s">
        <v>3041</v>
      </c>
      <c r="B19" s="207" t="s">
        <v>36</v>
      </c>
      <c r="C19" s="207" t="s">
        <v>36</v>
      </c>
      <c r="D19" s="207" t="s">
        <v>36</v>
      </c>
      <c r="E19" s="64">
        <v>6.23</v>
      </c>
      <c r="F19" s="64">
        <v>3.93</v>
      </c>
      <c r="G19" s="64">
        <v>81.17</v>
      </c>
      <c r="H19" s="64">
        <v>41.53</v>
      </c>
      <c r="I19" s="64">
        <v>6.78</v>
      </c>
      <c r="J19" s="64">
        <v>2.94</v>
      </c>
      <c r="K19" s="64">
        <v>345.28</v>
      </c>
      <c r="L19" s="64">
        <v>14.76</v>
      </c>
      <c r="M19" s="64">
        <v>74.23</v>
      </c>
      <c r="N19" s="64">
        <v>34.6</v>
      </c>
      <c r="O19" s="64">
        <v>0</v>
      </c>
      <c r="P19" s="64">
        <v>0.93</v>
      </c>
      <c r="Q19" s="64">
        <v>8.2100000000000009</v>
      </c>
      <c r="R19" s="196"/>
      <c r="S19" s="196"/>
      <c r="T19" s="196"/>
      <c r="U19" s="196"/>
    </row>
    <row r="20" spans="1:21" s="12" customFormat="1" x14ac:dyDescent="0.25">
      <c r="A20" s="211" t="s">
        <v>3042</v>
      </c>
      <c r="B20" s="207" t="s">
        <v>36</v>
      </c>
      <c r="C20" s="207" t="s">
        <v>36</v>
      </c>
      <c r="D20" s="207" t="s">
        <v>36</v>
      </c>
      <c r="E20" s="64">
        <v>6</v>
      </c>
      <c r="F20" s="64">
        <v>4.0599999999999996</v>
      </c>
      <c r="G20" s="64">
        <v>81.41</v>
      </c>
      <c r="H20" s="64">
        <v>30.74</v>
      </c>
      <c r="I20" s="64">
        <v>6.77</v>
      </c>
      <c r="J20" s="64">
        <v>2.64</v>
      </c>
      <c r="K20" s="64">
        <v>342.34</v>
      </c>
      <c r="L20" s="64">
        <v>14.67</v>
      </c>
      <c r="M20" s="64">
        <v>74.94</v>
      </c>
      <c r="N20" s="64">
        <v>34.799999999999997</v>
      </c>
      <c r="O20" s="64">
        <v>0</v>
      </c>
      <c r="P20" s="64">
        <v>0.91</v>
      </c>
      <c r="Q20" s="64">
        <v>8.2100000000000009</v>
      </c>
      <c r="R20" s="196"/>
      <c r="S20" s="196"/>
      <c r="T20" s="196"/>
      <c r="U20" s="196"/>
    </row>
    <row r="21" spans="1:21" s="12" customFormat="1" x14ac:dyDescent="0.25">
      <c r="A21" s="211" t="s">
        <v>3043</v>
      </c>
      <c r="B21" s="207" t="s">
        <v>36</v>
      </c>
      <c r="C21" s="207" t="s">
        <v>36</v>
      </c>
      <c r="D21" s="207" t="s">
        <v>36</v>
      </c>
      <c r="E21" s="64">
        <v>6.08</v>
      </c>
      <c r="F21" s="64">
        <v>4.07</v>
      </c>
      <c r="G21" s="64">
        <v>81.599999999999994</v>
      </c>
      <c r="H21" s="64">
        <v>26.99</v>
      </c>
      <c r="I21" s="64">
        <v>6.54</v>
      </c>
      <c r="J21" s="64">
        <v>2.74</v>
      </c>
      <c r="K21" s="64">
        <v>341.49</v>
      </c>
      <c r="L21" s="64">
        <v>14.5</v>
      </c>
      <c r="M21" s="64">
        <v>76.569999999999993</v>
      </c>
      <c r="N21" s="64">
        <v>34.799999999999997</v>
      </c>
      <c r="O21" s="64">
        <v>0</v>
      </c>
      <c r="P21" s="64">
        <v>0.88</v>
      </c>
      <c r="Q21" s="64">
        <v>8.2100000000000009</v>
      </c>
      <c r="R21" s="196"/>
      <c r="S21" s="196"/>
      <c r="T21" s="196"/>
      <c r="U21" s="196"/>
    </row>
    <row r="22" spans="1:21" s="12" customFormat="1" x14ac:dyDescent="0.25">
      <c r="A22" s="211" t="s">
        <v>3044</v>
      </c>
      <c r="B22" s="207" t="s">
        <v>36</v>
      </c>
      <c r="C22" s="207" t="s">
        <v>36</v>
      </c>
      <c r="D22" s="207" t="s">
        <v>36</v>
      </c>
      <c r="E22" s="64">
        <v>5.94</v>
      </c>
      <c r="F22" s="64">
        <v>4.08</v>
      </c>
      <c r="G22" s="64">
        <v>81.599999999999994</v>
      </c>
      <c r="H22" s="64">
        <v>26.99</v>
      </c>
      <c r="I22" s="64">
        <v>6.41</v>
      </c>
      <c r="J22" s="64">
        <v>3.25</v>
      </c>
      <c r="K22" s="64">
        <v>347.88</v>
      </c>
      <c r="L22" s="64">
        <v>14.42</v>
      </c>
      <c r="M22" s="64">
        <v>77.25</v>
      </c>
      <c r="N22" s="64">
        <v>34.700000000000003</v>
      </c>
      <c r="O22" s="64">
        <v>0</v>
      </c>
      <c r="P22" s="64">
        <v>0.86</v>
      </c>
      <c r="Q22" s="64">
        <v>8.2100000000000009</v>
      </c>
      <c r="R22" s="196"/>
      <c r="S22" s="196"/>
      <c r="T22" s="196"/>
      <c r="U22" s="196"/>
    </row>
    <row r="23" spans="1:21" s="12" customFormat="1" x14ac:dyDescent="0.25">
      <c r="A23" s="211" t="s">
        <v>3045</v>
      </c>
      <c r="B23" s="207" t="s">
        <v>36</v>
      </c>
      <c r="C23" s="207" t="s">
        <v>36</v>
      </c>
      <c r="D23" s="207" t="s">
        <v>36</v>
      </c>
      <c r="E23" s="64">
        <v>5.95</v>
      </c>
      <c r="F23" s="64">
        <v>4.17</v>
      </c>
      <c r="G23" s="64">
        <v>81.599999999999994</v>
      </c>
      <c r="H23" s="64">
        <v>26.99</v>
      </c>
      <c r="I23" s="64">
        <v>6.25</v>
      </c>
      <c r="J23" s="64">
        <v>3.01</v>
      </c>
      <c r="K23" s="64">
        <v>346.58</v>
      </c>
      <c r="L23" s="64">
        <v>14.26</v>
      </c>
      <c r="M23" s="64">
        <v>77.81</v>
      </c>
      <c r="N23" s="64">
        <v>34.799999999999997</v>
      </c>
      <c r="O23" s="64">
        <v>0</v>
      </c>
      <c r="P23" s="64">
        <v>0.84</v>
      </c>
      <c r="Q23" s="64">
        <v>8.2100000000000009</v>
      </c>
      <c r="R23" s="196"/>
      <c r="S23" s="196"/>
      <c r="T23" s="196"/>
      <c r="U23" s="196"/>
    </row>
    <row r="24" spans="1:21" s="12" customFormat="1" x14ac:dyDescent="0.25">
      <c r="A24" s="211" t="s">
        <v>3046</v>
      </c>
      <c r="B24" s="207" t="s">
        <v>36</v>
      </c>
      <c r="C24" s="207" t="s">
        <v>36</v>
      </c>
      <c r="D24" s="207" t="s">
        <v>36</v>
      </c>
      <c r="E24" s="64">
        <v>5.86</v>
      </c>
      <c r="F24" s="64">
        <v>4.1500000000000004</v>
      </c>
      <c r="G24" s="64">
        <v>78.38</v>
      </c>
      <c r="H24" s="64">
        <v>37.130000000000003</v>
      </c>
      <c r="I24" s="64">
        <v>6.11</v>
      </c>
      <c r="J24" s="64">
        <v>2.48</v>
      </c>
      <c r="K24" s="64">
        <v>345.43</v>
      </c>
      <c r="L24" s="64">
        <v>14.11</v>
      </c>
      <c r="M24" s="64">
        <v>79.09</v>
      </c>
      <c r="N24" s="64">
        <v>34.799999999999997</v>
      </c>
      <c r="O24" s="64">
        <v>0</v>
      </c>
      <c r="P24" s="64">
        <v>0.83</v>
      </c>
      <c r="Q24" s="64">
        <v>8.2100000000000009</v>
      </c>
      <c r="R24" s="196"/>
      <c r="S24" s="196"/>
      <c r="T24" s="196"/>
      <c r="U24" s="196"/>
    </row>
    <row r="25" spans="1:21" s="12" customFormat="1" x14ac:dyDescent="0.25">
      <c r="A25" s="211" t="s">
        <v>3047</v>
      </c>
      <c r="B25" s="207" t="s">
        <v>36</v>
      </c>
      <c r="C25" s="207" t="s">
        <v>36</v>
      </c>
      <c r="D25" s="207" t="s">
        <v>36</v>
      </c>
      <c r="E25" s="64">
        <v>5.74</v>
      </c>
      <c r="F25" s="64">
        <v>4.33</v>
      </c>
      <c r="G25" s="64">
        <v>75.92</v>
      </c>
      <c r="H25" s="64">
        <v>40.65</v>
      </c>
      <c r="I25" s="64">
        <v>5.95</v>
      </c>
      <c r="J25" s="64">
        <v>3.03</v>
      </c>
      <c r="K25" s="64">
        <v>343.44</v>
      </c>
      <c r="L25" s="64">
        <v>14.08</v>
      </c>
      <c r="M25" s="64">
        <v>79.489999999999995</v>
      </c>
      <c r="N25" s="64">
        <v>34.700000000000003</v>
      </c>
      <c r="O25" s="64">
        <v>0</v>
      </c>
      <c r="P25" s="64">
        <v>0.81</v>
      </c>
      <c r="Q25" s="64">
        <v>8.2100000000000009</v>
      </c>
      <c r="R25" s="196"/>
      <c r="S25" s="196"/>
      <c r="T25" s="196"/>
      <c r="U25" s="196"/>
    </row>
    <row r="26" spans="1:21" s="12" customFormat="1" x14ac:dyDescent="0.25">
      <c r="A26" s="211" t="s">
        <v>3048</v>
      </c>
      <c r="B26" s="207" t="s">
        <v>36</v>
      </c>
      <c r="C26" s="207" t="s">
        <v>36</v>
      </c>
      <c r="D26" s="207" t="s">
        <v>36</v>
      </c>
      <c r="E26" s="64">
        <v>5.97</v>
      </c>
      <c r="F26" s="64">
        <v>4.3099999999999996</v>
      </c>
      <c r="G26" s="64">
        <v>75.92</v>
      </c>
      <c r="H26" s="64">
        <v>40.65</v>
      </c>
      <c r="I26" s="64">
        <v>5.83</v>
      </c>
      <c r="J26" s="64">
        <v>2.58</v>
      </c>
      <c r="K26" s="64">
        <v>344.32</v>
      </c>
      <c r="L26" s="64">
        <v>13.98</v>
      </c>
      <c r="M26" s="64">
        <v>80.14</v>
      </c>
      <c r="N26" s="64">
        <v>34.799999999999997</v>
      </c>
      <c r="O26" s="64">
        <v>0</v>
      </c>
      <c r="P26" s="64">
        <v>0.79</v>
      </c>
      <c r="Q26" s="64">
        <v>8.2100000000000009</v>
      </c>
      <c r="R26" s="196"/>
      <c r="S26" s="196"/>
      <c r="T26" s="196"/>
      <c r="U26" s="196"/>
    </row>
    <row r="27" spans="1:21" s="12" customFormat="1" x14ac:dyDescent="0.25">
      <c r="A27" s="211" t="s">
        <v>3049</v>
      </c>
      <c r="B27" s="207" t="s">
        <v>36</v>
      </c>
      <c r="C27" s="207" t="s">
        <v>36</v>
      </c>
      <c r="D27" s="207" t="s">
        <v>36</v>
      </c>
      <c r="E27" s="64">
        <v>5.52</v>
      </c>
      <c r="F27" s="64">
        <v>4.0999999999999996</v>
      </c>
      <c r="G27" s="64">
        <v>75.92</v>
      </c>
      <c r="H27" s="64">
        <v>40.65</v>
      </c>
      <c r="I27" s="64">
        <v>5.7</v>
      </c>
      <c r="J27" s="64">
        <v>2.9</v>
      </c>
      <c r="K27" s="64">
        <v>345.87</v>
      </c>
      <c r="L27" s="64">
        <v>13.97</v>
      </c>
      <c r="M27" s="64">
        <v>79.98</v>
      </c>
      <c r="N27" s="64">
        <v>34.700000000000003</v>
      </c>
      <c r="O27" s="64">
        <v>0</v>
      </c>
      <c r="P27" s="64">
        <v>0.78</v>
      </c>
      <c r="Q27" s="64">
        <v>8.2100000000000009</v>
      </c>
      <c r="R27" s="196"/>
      <c r="S27" s="196"/>
      <c r="T27" s="196"/>
      <c r="U27" s="196"/>
    </row>
    <row r="28" spans="1:21" s="12" customFormat="1" x14ac:dyDescent="0.25">
      <c r="A28" s="211" t="s">
        <v>3050</v>
      </c>
      <c r="B28" s="207" t="s">
        <v>36</v>
      </c>
      <c r="C28" s="207" t="s">
        <v>36</v>
      </c>
      <c r="D28" s="207" t="s">
        <v>36</v>
      </c>
      <c r="E28" s="64">
        <v>5.77</v>
      </c>
      <c r="F28" s="64">
        <v>3.61</v>
      </c>
      <c r="G28" s="64">
        <v>79.069999999999993</v>
      </c>
      <c r="H28" s="64">
        <v>43.26</v>
      </c>
      <c r="I28" s="64">
        <v>5.28</v>
      </c>
      <c r="J28" s="64">
        <v>2.91</v>
      </c>
      <c r="K28" s="64">
        <v>343.8</v>
      </c>
      <c r="L28" s="64">
        <v>13.98</v>
      </c>
      <c r="M28" s="64">
        <v>80.28</v>
      </c>
      <c r="N28" s="64">
        <v>34.700000000000003</v>
      </c>
      <c r="O28" s="64">
        <v>0</v>
      </c>
      <c r="P28" s="64">
        <v>0.76</v>
      </c>
      <c r="Q28" s="64">
        <v>8.2100000000000009</v>
      </c>
      <c r="R28" s="196"/>
      <c r="S28" s="196"/>
      <c r="T28" s="196"/>
      <c r="U28" s="196"/>
    </row>
    <row r="29" spans="1:21" s="12" customFormat="1" x14ac:dyDescent="0.25">
      <c r="A29" s="211" t="s">
        <v>3051</v>
      </c>
      <c r="B29" s="207" t="s">
        <v>36</v>
      </c>
      <c r="C29" s="207" t="s">
        <v>36</v>
      </c>
      <c r="D29" s="207" t="s">
        <v>36</v>
      </c>
      <c r="E29" s="64">
        <v>5.91</v>
      </c>
      <c r="F29" s="64">
        <v>3.66</v>
      </c>
      <c r="G29" s="64">
        <v>81.47</v>
      </c>
      <c r="H29" s="64">
        <v>44.17</v>
      </c>
      <c r="I29" s="64">
        <v>5.12</v>
      </c>
      <c r="J29" s="64">
        <v>2.77</v>
      </c>
      <c r="K29" s="64">
        <v>335.8</v>
      </c>
      <c r="L29" s="64">
        <v>13.99</v>
      </c>
      <c r="M29" s="64">
        <v>80.599999999999994</v>
      </c>
      <c r="N29" s="64">
        <v>34.700000000000003</v>
      </c>
      <c r="O29" s="64">
        <v>0</v>
      </c>
      <c r="P29" s="64">
        <v>0.76</v>
      </c>
      <c r="Q29" s="64">
        <v>8.2100000000000009</v>
      </c>
      <c r="R29" s="196"/>
      <c r="S29" s="196"/>
      <c r="T29" s="196"/>
      <c r="U29" s="196"/>
    </row>
    <row r="30" spans="1:21" s="12" customFormat="1" x14ac:dyDescent="0.25">
      <c r="A30" s="211" t="s">
        <v>3052</v>
      </c>
      <c r="B30" s="207" t="s">
        <v>36</v>
      </c>
      <c r="C30" s="207" t="s">
        <v>36</v>
      </c>
      <c r="D30" s="207" t="s">
        <v>36</v>
      </c>
      <c r="E30" s="64">
        <v>5.99</v>
      </c>
      <c r="F30" s="64">
        <v>3.95</v>
      </c>
      <c r="G30" s="64">
        <v>81.47</v>
      </c>
      <c r="H30" s="64">
        <v>44.17</v>
      </c>
      <c r="I30" s="64">
        <v>5.14</v>
      </c>
      <c r="J30" s="64">
        <v>3.04</v>
      </c>
      <c r="K30" s="64">
        <v>341.87</v>
      </c>
      <c r="L30" s="64">
        <v>13.85</v>
      </c>
      <c r="M30" s="64">
        <v>81.430000000000007</v>
      </c>
      <c r="N30" s="64">
        <v>34.700000000000003</v>
      </c>
      <c r="O30" s="64">
        <v>0</v>
      </c>
      <c r="P30" s="64">
        <v>0.74</v>
      </c>
      <c r="Q30" s="64">
        <v>8.2100000000000009</v>
      </c>
      <c r="R30" s="196"/>
      <c r="S30" s="196"/>
      <c r="T30" s="196"/>
      <c r="U30" s="196"/>
    </row>
    <row r="31" spans="1:21" s="12" customFormat="1" x14ac:dyDescent="0.25">
      <c r="A31" s="211" t="s">
        <v>3053</v>
      </c>
      <c r="B31" s="207" t="s">
        <v>36</v>
      </c>
      <c r="C31" s="207" t="s">
        <v>36</v>
      </c>
      <c r="D31" s="207" t="s">
        <v>36</v>
      </c>
      <c r="E31" s="64">
        <v>6.41</v>
      </c>
      <c r="F31" s="64">
        <v>3.63</v>
      </c>
      <c r="G31" s="64">
        <v>81.47</v>
      </c>
      <c r="H31" s="64">
        <v>44.17</v>
      </c>
      <c r="I31" s="64">
        <v>5.08</v>
      </c>
      <c r="J31" s="64">
        <v>3.19</v>
      </c>
      <c r="K31" s="64">
        <v>340.69</v>
      </c>
      <c r="L31" s="64">
        <v>13.75</v>
      </c>
      <c r="M31" s="64">
        <v>82.07</v>
      </c>
      <c r="N31" s="64">
        <v>34.799999999999997</v>
      </c>
      <c r="O31" s="64">
        <v>0</v>
      </c>
      <c r="P31" s="64">
        <v>0.73</v>
      </c>
      <c r="Q31" s="64">
        <v>8.2100000000000009</v>
      </c>
      <c r="R31" s="196"/>
      <c r="S31" s="196"/>
      <c r="T31" s="196"/>
      <c r="U31" s="196"/>
    </row>
    <row r="32" spans="1:21" s="12" customFormat="1" x14ac:dyDescent="0.25">
      <c r="A32" s="211" t="s">
        <v>3054</v>
      </c>
      <c r="B32" s="207" t="s">
        <v>36</v>
      </c>
      <c r="C32" s="207" t="s">
        <v>36</v>
      </c>
      <c r="D32" s="207" t="s">
        <v>36</v>
      </c>
      <c r="E32" s="64">
        <v>6.17</v>
      </c>
      <c r="F32" s="64">
        <v>3.65</v>
      </c>
      <c r="G32" s="64">
        <v>80.02</v>
      </c>
      <c r="H32" s="64">
        <v>42.3</v>
      </c>
      <c r="I32" s="64">
        <v>4.96</v>
      </c>
      <c r="J32" s="64">
        <v>2.88</v>
      </c>
      <c r="K32" s="64">
        <v>342.82</v>
      </c>
      <c r="L32" s="64">
        <v>13.58</v>
      </c>
      <c r="M32" s="64">
        <v>83.31</v>
      </c>
      <c r="N32" s="64">
        <v>34.799999999999997</v>
      </c>
      <c r="O32" s="64">
        <v>0</v>
      </c>
      <c r="P32" s="64">
        <v>0.72</v>
      </c>
      <c r="Q32" s="64">
        <v>8.2100000000000009</v>
      </c>
      <c r="R32" s="196"/>
      <c r="S32" s="196"/>
      <c r="T32" s="196"/>
      <c r="U32" s="196"/>
    </row>
    <row r="33" spans="1:21" s="12" customFormat="1" x14ac:dyDescent="0.25">
      <c r="A33" s="211" t="s">
        <v>3055</v>
      </c>
      <c r="B33" s="207" t="s">
        <v>36</v>
      </c>
      <c r="C33" s="207" t="s">
        <v>36</v>
      </c>
      <c r="D33" s="207" t="s">
        <v>36</v>
      </c>
      <c r="E33" s="64">
        <v>6.17</v>
      </c>
      <c r="F33" s="64">
        <v>3.54</v>
      </c>
      <c r="G33" s="64">
        <v>78.900000000000006</v>
      </c>
      <c r="H33" s="64">
        <v>41.02</v>
      </c>
      <c r="I33" s="64">
        <v>5.04</v>
      </c>
      <c r="J33" s="64">
        <v>3.23</v>
      </c>
      <c r="K33" s="64">
        <v>343.89</v>
      </c>
      <c r="L33" s="64">
        <v>13.52</v>
      </c>
      <c r="M33" s="64">
        <v>84.21</v>
      </c>
      <c r="N33" s="64">
        <v>34.9</v>
      </c>
      <c r="O33" s="64">
        <v>0</v>
      </c>
      <c r="P33" s="64">
        <v>0.71</v>
      </c>
      <c r="Q33" s="64">
        <v>8.2100000000000009</v>
      </c>
      <c r="R33" s="196"/>
      <c r="S33" s="196"/>
      <c r="T33" s="196"/>
      <c r="U33" s="196"/>
    </row>
    <row r="34" spans="1:21" s="12" customFormat="1" x14ac:dyDescent="0.25">
      <c r="A34" s="211" t="s">
        <v>3056</v>
      </c>
      <c r="B34" s="207" t="s">
        <v>36</v>
      </c>
      <c r="C34" s="207" t="s">
        <v>36</v>
      </c>
      <c r="D34" s="207" t="s">
        <v>36</v>
      </c>
      <c r="E34" s="64">
        <v>6.73</v>
      </c>
      <c r="F34" s="64">
        <v>3.6</v>
      </c>
      <c r="G34" s="64">
        <v>78.900000000000006</v>
      </c>
      <c r="H34" s="64">
        <v>41.02</v>
      </c>
      <c r="I34" s="64">
        <v>5</v>
      </c>
      <c r="J34" s="64">
        <v>3.56</v>
      </c>
      <c r="K34" s="64">
        <v>344.86</v>
      </c>
      <c r="L34" s="64">
        <v>13.35</v>
      </c>
      <c r="M34" s="64">
        <v>84.98</v>
      </c>
      <c r="N34" s="64">
        <v>36.5</v>
      </c>
      <c r="O34" s="64">
        <v>0</v>
      </c>
      <c r="P34" s="64">
        <v>0.71</v>
      </c>
      <c r="Q34" s="64">
        <v>8.2100000000000009</v>
      </c>
      <c r="R34" s="196"/>
      <c r="S34" s="196"/>
      <c r="T34" s="196"/>
      <c r="U34" s="196"/>
    </row>
    <row r="35" spans="1:21" s="12" customFormat="1" x14ac:dyDescent="0.25">
      <c r="A35" s="211" t="s">
        <v>3057</v>
      </c>
      <c r="B35" s="207" t="s">
        <v>36</v>
      </c>
      <c r="C35" s="207" t="s">
        <v>36</v>
      </c>
      <c r="D35" s="207" t="s">
        <v>36</v>
      </c>
      <c r="E35" s="64">
        <v>6.6</v>
      </c>
      <c r="F35" s="64">
        <v>4</v>
      </c>
      <c r="G35" s="64">
        <v>78.900000000000006</v>
      </c>
      <c r="H35" s="64">
        <v>41.02</v>
      </c>
      <c r="I35" s="64">
        <v>5.03</v>
      </c>
      <c r="J35" s="64">
        <v>3.3</v>
      </c>
      <c r="K35" s="64">
        <v>340.85</v>
      </c>
      <c r="L35" s="64">
        <v>13.33</v>
      </c>
      <c r="M35" s="64">
        <v>85.01</v>
      </c>
      <c r="N35" s="64">
        <v>43.6</v>
      </c>
      <c r="O35" s="64">
        <v>0</v>
      </c>
      <c r="P35" s="64">
        <v>0.71</v>
      </c>
      <c r="Q35" s="64">
        <v>8.2100000000000009</v>
      </c>
      <c r="R35" s="196"/>
      <c r="S35" s="196"/>
      <c r="T35" s="196"/>
      <c r="U35" s="196"/>
    </row>
    <row r="36" spans="1:21" s="12" customFormat="1" x14ac:dyDescent="0.25">
      <c r="A36" s="211" t="s">
        <v>3058</v>
      </c>
      <c r="B36" s="207" t="s">
        <v>36</v>
      </c>
      <c r="C36" s="207" t="s">
        <v>36</v>
      </c>
      <c r="D36" s="207" t="s">
        <v>36</v>
      </c>
      <c r="E36" s="64">
        <v>6.77</v>
      </c>
      <c r="F36" s="64">
        <v>4.09</v>
      </c>
      <c r="G36" s="64">
        <v>77.209999999999994</v>
      </c>
      <c r="H36" s="64">
        <v>38.58</v>
      </c>
      <c r="I36" s="64">
        <v>5</v>
      </c>
      <c r="J36" s="64">
        <v>3.14</v>
      </c>
      <c r="K36" s="64">
        <v>345.05</v>
      </c>
      <c r="L36" s="64">
        <v>13.46</v>
      </c>
      <c r="M36" s="64">
        <v>84.94</v>
      </c>
      <c r="N36" s="64">
        <v>44.4</v>
      </c>
      <c r="O36" s="64">
        <v>0</v>
      </c>
      <c r="P36" s="64">
        <v>0.71</v>
      </c>
      <c r="Q36" s="64">
        <v>8.2100000000000009</v>
      </c>
      <c r="R36" s="196"/>
      <c r="S36" s="196"/>
      <c r="T36" s="196"/>
      <c r="U36" s="196"/>
    </row>
    <row r="37" spans="1:21" s="12" customFormat="1" x14ac:dyDescent="0.25">
      <c r="A37" s="211" t="s">
        <v>3059</v>
      </c>
      <c r="B37" s="207" t="s">
        <v>36</v>
      </c>
      <c r="C37" s="207" t="s">
        <v>36</v>
      </c>
      <c r="D37" s="207" t="s">
        <v>36</v>
      </c>
      <c r="E37" s="64">
        <v>6.65</v>
      </c>
      <c r="F37" s="64">
        <v>4.1399999999999997</v>
      </c>
      <c r="G37" s="64">
        <v>75.92</v>
      </c>
      <c r="H37" s="64">
        <v>37.74</v>
      </c>
      <c r="I37" s="64">
        <v>4.91</v>
      </c>
      <c r="J37" s="64">
        <v>2.91</v>
      </c>
      <c r="K37" s="64">
        <v>346.72</v>
      </c>
      <c r="L37" s="64">
        <v>13.64</v>
      </c>
      <c r="M37" s="64">
        <v>85.34</v>
      </c>
      <c r="N37" s="64">
        <v>49.8</v>
      </c>
      <c r="O37" s="64">
        <v>0</v>
      </c>
      <c r="P37" s="64">
        <v>0.71</v>
      </c>
      <c r="Q37" s="64">
        <v>8.2100000000000009</v>
      </c>
      <c r="R37" s="196"/>
      <c r="S37" s="196"/>
      <c r="T37" s="196"/>
      <c r="U37" s="196"/>
    </row>
    <row r="38" spans="1:21" s="12" customFormat="1" x14ac:dyDescent="0.25">
      <c r="A38" s="211" t="s">
        <v>3060</v>
      </c>
      <c r="B38" s="207" t="s">
        <v>36</v>
      </c>
      <c r="C38" s="207" t="s">
        <v>36</v>
      </c>
      <c r="D38" s="207" t="s">
        <v>36</v>
      </c>
      <c r="E38" s="64">
        <v>6.56</v>
      </c>
      <c r="F38" s="64">
        <v>3.83</v>
      </c>
      <c r="G38" s="64">
        <v>75.92</v>
      </c>
      <c r="H38" s="64">
        <v>37.74</v>
      </c>
      <c r="I38" s="64">
        <v>4.88</v>
      </c>
      <c r="J38" s="64">
        <v>1.75</v>
      </c>
      <c r="K38" s="64">
        <v>334.67</v>
      </c>
      <c r="L38" s="64">
        <v>13.85</v>
      </c>
      <c r="M38" s="64">
        <v>85.27</v>
      </c>
      <c r="N38" s="64">
        <v>61</v>
      </c>
      <c r="O38" s="64">
        <v>0</v>
      </c>
      <c r="P38" s="64">
        <v>0.73</v>
      </c>
      <c r="Q38" s="64">
        <v>8.2100000000000009</v>
      </c>
      <c r="R38" s="196"/>
      <c r="S38" s="196"/>
      <c r="T38" s="196"/>
      <c r="U38" s="196"/>
    </row>
    <row r="39" spans="1:21" s="12" customFormat="1" x14ac:dyDescent="0.25">
      <c r="A39" s="211" t="s">
        <v>3061</v>
      </c>
      <c r="B39" s="207" t="s">
        <v>36</v>
      </c>
      <c r="C39" s="207" t="s">
        <v>36</v>
      </c>
      <c r="D39" s="207" t="s">
        <v>36</v>
      </c>
      <c r="E39" s="64">
        <v>7.1</v>
      </c>
      <c r="F39" s="64">
        <v>3.83</v>
      </c>
      <c r="G39" s="64">
        <v>75.92</v>
      </c>
      <c r="H39" s="64">
        <v>37.74</v>
      </c>
      <c r="I39" s="64">
        <v>4.8499999999999996</v>
      </c>
      <c r="J39" s="64">
        <v>1.18</v>
      </c>
      <c r="K39" s="64">
        <v>320.54000000000002</v>
      </c>
      <c r="L39" s="64">
        <v>14.06</v>
      </c>
      <c r="M39" s="64">
        <v>85.4</v>
      </c>
      <c r="N39" s="64">
        <v>79</v>
      </c>
      <c r="O39" s="64">
        <v>0</v>
      </c>
      <c r="P39" s="64">
        <v>0.74</v>
      </c>
      <c r="Q39" s="64">
        <v>8.2100000000000009</v>
      </c>
      <c r="R39" s="196"/>
      <c r="S39" s="196"/>
      <c r="T39" s="196"/>
      <c r="U39" s="196"/>
    </row>
    <row r="40" spans="1:21" s="12" customFormat="1" x14ac:dyDescent="0.25">
      <c r="A40" s="211" t="s">
        <v>3062</v>
      </c>
      <c r="B40" s="207" t="s">
        <v>36</v>
      </c>
      <c r="C40" s="207" t="s">
        <v>36</v>
      </c>
      <c r="D40" s="207" t="s">
        <v>36</v>
      </c>
      <c r="E40" s="64">
        <v>6.36</v>
      </c>
      <c r="F40" s="64">
        <v>3.73</v>
      </c>
      <c r="G40" s="64">
        <v>77.58</v>
      </c>
      <c r="H40" s="64">
        <v>38.61</v>
      </c>
      <c r="I40" s="64">
        <v>4.84</v>
      </c>
      <c r="J40" s="64">
        <v>0.46</v>
      </c>
      <c r="K40" s="64">
        <v>320.7</v>
      </c>
      <c r="L40" s="64">
        <v>14.43</v>
      </c>
      <c r="M40" s="64">
        <v>84.67</v>
      </c>
      <c r="N40" s="64">
        <v>105.6</v>
      </c>
      <c r="O40" s="64">
        <v>0</v>
      </c>
      <c r="P40" s="64">
        <v>0.75</v>
      </c>
      <c r="Q40" s="64">
        <v>8.2799999999999994</v>
      </c>
      <c r="R40" s="196"/>
      <c r="S40" s="196"/>
      <c r="T40" s="196"/>
      <c r="U40" s="196"/>
    </row>
    <row r="41" spans="1:21" s="12" customFormat="1" x14ac:dyDescent="0.25">
      <c r="A41" s="211" t="s">
        <v>3063</v>
      </c>
      <c r="B41" s="207" t="s">
        <v>36</v>
      </c>
      <c r="C41" s="207" t="s">
        <v>36</v>
      </c>
      <c r="D41" s="207" t="s">
        <v>36</v>
      </c>
      <c r="E41" s="64">
        <v>7.07</v>
      </c>
      <c r="F41" s="64">
        <v>3.99</v>
      </c>
      <c r="G41" s="64">
        <v>78.86</v>
      </c>
      <c r="H41" s="64">
        <v>38.92</v>
      </c>
      <c r="I41" s="64">
        <v>4.84</v>
      </c>
      <c r="J41" s="64">
        <v>0.79</v>
      </c>
      <c r="K41" s="64">
        <v>65.86</v>
      </c>
      <c r="L41" s="64">
        <v>14.74</v>
      </c>
      <c r="M41" s="64">
        <v>83.99</v>
      </c>
      <c r="N41" s="64">
        <v>131.69999999999999</v>
      </c>
      <c r="O41" s="64">
        <v>0</v>
      </c>
      <c r="P41" s="64">
        <v>0.76</v>
      </c>
      <c r="Q41" s="64">
        <v>8.4600000000000009</v>
      </c>
      <c r="R41" s="196"/>
      <c r="S41" s="196"/>
      <c r="T41" s="196"/>
      <c r="U41" s="196"/>
    </row>
    <row r="42" spans="1:21" s="12" customFormat="1" x14ac:dyDescent="0.25">
      <c r="A42" s="211" t="s">
        <v>3064</v>
      </c>
      <c r="B42" s="207" t="s">
        <v>36</v>
      </c>
      <c r="C42" s="207" t="s">
        <v>36</v>
      </c>
      <c r="D42" s="207" t="s">
        <v>36</v>
      </c>
      <c r="E42" s="64">
        <v>7.39</v>
      </c>
      <c r="F42" s="64">
        <v>3.84</v>
      </c>
      <c r="G42" s="64">
        <v>78.86</v>
      </c>
      <c r="H42" s="64">
        <v>38.92</v>
      </c>
      <c r="I42" s="64">
        <v>4.88</v>
      </c>
      <c r="J42" s="64">
        <v>0.73</v>
      </c>
      <c r="K42" s="64">
        <v>42.01</v>
      </c>
      <c r="L42" s="64">
        <v>15.12</v>
      </c>
      <c r="M42" s="64">
        <v>84.45</v>
      </c>
      <c r="N42" s="64">
        <v>138.19999999999999</v>
      </c>
      <c r="O42" s="64">
        <v>0</v>
      </c>
      <c r="P42" s="64">
        <v>0.77</v>
      </c>
      <c r="Q42" s="64">
        <v>8.65</v>
      </c>
      <c r="R42" s="196"/>
      <c r="S42" s="196"/>
      <c r="T42" s="196"/>
      <c r="U42" s="196"/>
    </row>
    <row r="43" spans="1:21" s="12" customFormat="1" x14ac:dyDescent="0.25">
      <c r="A43" s="211" t="s">
        <v>3065</v>
      </c>
      <c r="B43" s="207" t="s">
        <v>36</v>
      </c>
      <c r="C43" s="207" t="s">
        <v>36</v>
      </c>
      <c r="D43" s="207" t="s">
        <v>36</v>
      </c>
      <c r="E43" s="64">
        <v>7.44</v>
      </c>
      <c r="F43" s="64">
        <v>3.55</v>
      </c>
      <c r="G43" s="64">
        <v>78.86</v>
      </c>
      <c r="H43" s="64">
        <v>38.92</v>
      </c>
      <c r="I43" s="64">
        <v>5.0199999999999996</v>
      </c>
      <c r="J43" s="64">
        <v>0.48</v>
      </c>
      <c r="K43" s="64">
        <v>55.94</v>
      </c>
      <c r="L43" s="64">
        <v>15.59</v>
      </c>
      <c r="M43" s="64">
        <v>84.28</v>
      </c>
      <c r="N43" s="64">
        <v>135.6</v>
      </c>
      <c r="O43" s="64">
        <v>0</v>
      </c>
      <c r="P43" s="64">
        <v>0.77</v>
      </c>
      <c r="Q43" s="64">
        <v>8.75</v>
      </c>
      <c r="R43" s="196"/>
      <c r="S43" s="196"/>
      <c r="T43" s="196"/>
      <c r="U43" s="196"/>
    </row>
    <row r="44" spans="1:21" s="12" customFormat="1" x14ac:dyDescent="0.25">
      <c r="A44" s="211" t="s">
        <v>3066</v>
      </c>
      <c r="B44" s="207" t="s">
        <v>36</v>
      </c>
      <c r="C44" s="207" t="s">
        <v>36</v>
      </c>
      <c r="D44" s="207" t="s">
        <v>36</v>
      </c>
      <c r="E44" s="64">
        <v>6.71</v>
      </c>
      <c r="F44" s="64">
        <v>3.75</v>
      </c>
      <c r="G44" s="64">
        <v>79.02</v>
      </c>
      <c r="H44" s="64">
        <v>38.99</v>
      </c>
      <c r="I44" s="64">
        <v>5.17</v>
      </c>
      <c r="J44" s="64">
        <v>1</v>
      </c>
      <c r="K44" s="64">
        <v>2.56</v>
      </c>
      <c r="L44" s="64">
        <v>16.079999999999998</v>
      </c>
      <c r="M44" s="64">
        <v>83.79</v>
      </c>
      <c r="N44" s="64">
        <v>127.3</v>
      </c>
      <c r="O44" s="64">
        <v>0</v>
      </c>
      <c r="P44" s="64">
        <v>0.79</v>
      </c>
      <c r="Q44" s="64">
        <v>8.8000000000000007</v>
      </c>
      <c r="R44" s="196"/>
      <c r="S44" s="196"/>
      <c r="T44" s="196"/>
      <c r="U44" s="196"/>
    </row>
    <row r="45" spans="1:21" s="12" customFormat="1" x14ac:dyDescent="0.25">
      <c r="A45" s="211" t="s">
        <v>3067</v>
      </c>
      <c r="B45" s="207" t="s">
        <v>36</v>
      </c>
      <c r="C45" s="207" t="s">
        <v>36</v>
      </c>
      <c r="D45" s="207" t="s">
        <v>36</v>
      </c>
      <c r="E45" s="64">
        <v>6.99</v>
      </c>
      <c r="F45" s="64">
        <v>3.65</v>
      </c>
      <c r="G45" s="64">
        <v>79.150000000000006</v>
      </c>
      <c r="H45" s="64">
        <v>39.020000000000003</v>
      </c>
      <c r="I45" s="64">
        <v>5.32</v>
      </c>
      <c r="J45" s="64">
        <v>0.66</v>
      </c>
      <c r="K45" s="64">
        <v>19.13</v>
      </c>
      <c r="L45" s="64">
        <v>16.239999999999998</v>
      </c>
      <c r="M45" s="64">
        <v>84.94</v>
      </c>
      <c r="N45" s="64">
        <v>118.6</v>
      </c>
      <c r="O45" s="64">
        <v>0</v>
      </c>
      <c r="P45" s="64">
        <v>0.79</v>
      </c>
      <c r="Q45" s="64">
        <v>8.89</v>
      </c>
      <c r="R45" s="196"/>
      <c r="S45" s="196"/>
      <c r="T45" s="196"/>
      <c r="U45" s="196"/>
    </row>
    <row r="46" spans="1:21" s="12" customFormat="1" x14ac:dyDescent="0.25">
      <c r="A46" s="211" t="s">
        <v>3068</v>
      </c>
      <c r="B46" s="207" t="s">
        <v>36</v>
      </c>
      <c r="C46" s="207" t="s">
        <v>36</v>
      </c>
      <c r="D46" s="207" t="s">
        <v>36</v>
      </c>
      <c r="E46" s="64">
        <v>7.17</v>
      </c>
      <c r="F46" s="64">
        <v>3.5</v>
      </c>
      <c r="G46" s="64">
        <v>79.150000000000006</v>
      </c>
      <c r="H46" s="64">
        <v>39.020000000000003</v>
      </c>
      <c r="I46" s="64">
        <v>5.48</v>
      </c>
      <c r="J46" s="64">
        <v>1.31</v>
      </c>
      <c r="K46" s="64">
        <v>342.73</v>
      </c>
      <c r="L46" s="64">
        <v>16.8</v>
      </c>
      <c r="M46" s="64">
        <v>83.57</v>
      </c>
      <c r="N46" s="64">
        <v>147.30000000000001</v>
      </c>
      <c r="O46" s="64">
        <v>0</v>
      </c>
      <c r="P46" s="64">
        <v>0.82</v>
      </c>
      <c r="Q46" s="64">
        <v>9.01</v>
      </c>
      <c r="R46" s="196"/>
      <c r="S46" s="196"/>
      <c r="T46" s="196"/>
      <c r="U46" s="196"/>
    </row>
    <row r="47" spans="1:21" s="12" customFormat="1" x14ac:dyDescent="0.25">
      <c r="A47" s="211" t="s">
        <v>3069</v>
      </c>
      <c r="B47" s="207" t="s">
        <v>36</v>
      </c>
      <c r="C47" s="207" t="s">
        <v>36</v>
      </c>
      <c r="D47" s="207" t="s">
        <v>36</v>
      </c>
      <c r="E47" s="64">
        <v>7.48</v>
      </c>
      <c r="F47" s="64">
        <v>3.56</v>
      </c>
      <c r="G47" s="64">
        <v>79.150000000000006</v>
      </c>
      <c r="H47" s="64">
        <v>39.020000000000003</v>
      </c>
      <c r="I47" s="64">
        <v>5.57</v>
      </c>
      <c r="J47" s="64">
        <v>0.67</v>
      </c>
      <c r="K47" s="64">
        <v>72.430000000000007</v>
      </c>
      <c r="L47" s="64">
        <v>17.21</v>
      </c>
      <c r="M47" s="64">
        <v>81.75</v>
      </c>
      <c r="N47" s="64">
        <v>169.9</v>
      </c>
      <c r="O47" s="64">
        <v>0</v>
      </c>
      <c r="P47" s="64">
        <v>0.8</v>
      </c>
      <c r="Q47" s="64">
        <v>9.1</v>
      </c>
      <c r="R47" s="196"/>
      <c r="S47" s="196"/>
      <c r="T47" s="196"/>
      <c r="U47" s="196"/>
    </row>
    <row r="48" spans="1:21" s="12" customFormat="1" x14ac:dyDescent="0.25">
      <c r="A48" s="211" t="s">
        <v>3070</v>
      </c>
      <c r="B48" s="207" t="s">
        <v>36</v>
      </c>
      <c r="C48" s="207" t="s">
        <v>36</v>
      </c>
      <c r="D48" s="207" t="s">
        <v>36</v>
      </c>
      <c r="E48" s="64">
        <v>7.17</v>
      </c>
      <c r="F48" s="64">
        <v>3.81</v>
      </c>
      <c r="G48" s="64">
        <v>80.180000000000007</v>
      </c>
      <c r="H48" s="64">
        <v>40.49</v>
      </c>
      <c r="I48" s="64">
        <v>5.66</v>
      </c>
      <c r="J48" s="64">
        <v>1.2</v>
      </c>
      <c r="K48" s="64">
        <v>40.99</v>
      </c>
      <c r="L48" s="64">
        <v>17.45</v>
      </c>
      <c r="M48" s="64">
        <v>81.67</v>
      </c>
      <c r="N48" s="64">
        <v>145.9</v>
      </c>
      <c r="O48" s="64">
        <v>0</v>
      </c>
      <c r="P48" s="64">
        <v>0.81</v>
      </c>
      <c r="Q48" s="64">
        <v>9.15</v>
      </c>
      <c r="R48" s="196"/>
      <c r="S48" s="196"/>
      <c r="T48" s="196"/>
      <c r="U48" s="196"/>
    </row>
    <row r="49" spans="1:21" s="12" customFormat="1" x14ac:dyDescent="0.25">
      <c r="A49" s="211" t="s">
        <v>3071</v>
      </c>
      <c r="B49" s="207" t="s">
        <v>36</v>
      </c>
      <c r="C49" s="207" t="s">
        <v>36</v>
      </c>
      <c r="D49" s="207" t="s">
        <v>36</v>
      </c>
      <c r="E49" s="64">
        <v>6.98</v>
      </c>
      <c r="F49" s="64">
        <v>3.61</v>
      </c>
      <c r="G49" s="64">
        <v>80.97</v>
      </c>
      <c r="H49" s="64">
        <v>41.48</v>
      </c>
      <c r="I49" s="64">
        <v>5.85</v>
      </c>
      <c r="J49" s="64">
        <v>1.21</v>
      </c>
      <c r="K49" s="64">
        <v>83.27</v>
      </c>
      <c r="L49" s="64">
        <v>17.420000000000002</v>
      </c>
      <c r="M49" s="64">
        <v>82.7</v>
      </c>
      <c r="N49" s="64">
        <v>150.30000000000001</v>
      </c>
      <c r="O49" s="64">
        <v>0</v>
      </c>
      <c r="P49" s="64">
        <v>0.81</v>
      </c>
      <c r="Q49" s="64">
        <v>9.17</v>
      </c>
      <c r="R49" s="196"/>
      <c r="S49" s="196"/>
      <c r="T49" s="196"/>
      <c r="U49" s="196"/>
    </row>
    <row r="50" spans="1:21" s="12" customFormat="1" x14ac:dyDescent="0.25">
      <c r="A50" s="211" t="s">
        <v>3072</v>
      </c>
      <c r="B50" s="207" t="s">
        <v>36</v>
      </c>
      <c r="C50" s="207" t="s">
        <v>36</v>
      </c>
      <c r="D50" s="207" t="s">
        <v>36</v>
      </c>
      <c r="E50" s="64">
        <v>7.21</v>
      </c>
      <c r="F50" s="64">
        <v>3.53</v>
      </c>
      <c r="G50" s="64">
        <v>80.97</v>
      </c>
      <c r="H50" s="64">
        <v>41.48</v>
      </c>
      <c r="I50" s="64">
        <v>5.94</v>
      </c>
      <c r="J50" s="64">
        <v>0.87</v>
      </c>
      <c r="K50" s="64">
        <v>95.52</v>
      </c>
      <c r="L50" s="64">
        <v>17.850000000000001</v>
      </c>
      <c r="M50" s="64">
        <v>81.2</v>
      </c>
      <c r="N50" s="64">
        <v>188.3</v>
      </c>
      <c r="O50" s="64">
        <v>0</v>
      </c>
      <c r="P50" s="64">
        <v>0.81</v>
      </c>
      <c r="Q50" s="64">
        <v>9.1300000000000008</v>
      </c>
      <c r="R50" s="196"/>
      <c r="S50" s="196"/>
      <c r="T50" s="196"/>
      <c r="U50" s="196"/>
    </row>
    <row r="51" spans="1:21" s="12" customFormat="1" x14ac:dyDescent="0.25">
      <c r="A51" s="211" t="s">
        <v>3073</v>
      </c>
      <c r="B51" s="207" t="s">
        <v>36</v>
      </c>
      <c r="C51" s="207" t="s">
        <v>36</v>
      </c>
      <c r="D51" s="207" t="s">
        <v>36</v>
      </c>
      <c r="E51" s="64">
        <v>7.4</v>
      </c>
      <c r="F51" s="64">
        <v>3.74</v>
      </c>
      <c r="G51" s="64">
        <v>80.97</v>
      </c>
      <c r="H51" s="64">
        <v>41.48</v>
      </c>
      <c r="I51" s="64">
        <v>5.97</v>
      </c>
      <c r="J51" s="64">
        <v>0.63</v>
      </c>
      <c r="K51" s="64">
        <v>100.16</v>
      </c>
      <c r="L51" s="64">
        <v>18.36</v>
      </c>
      <c r="M51" s="64">
        <v>79.27</v>
      </c>
      <c r="N51" s="64">
        <v>204.7</v>
      </c>
      <c r="O51" s="64">
        <v>0</v>
      </c>
      <c r="P51" s="64">
        <v>0.81</v>
      </c>
      <c r="Q51" s="64">
        <v>9</v>
      </c>
      <c r="R51" s="196"/>
      <c r="S51" s="196"/>
      <c r="T51" s="196"/>
      <c r="U51" s="196"/>
    </row>
    <row r="52" spans="1:21" s="12" customFormat="1" x14ac:dyDescent="0.25">
      <c r="A52" s="211" t="s">
        <v>3074</v>
      </c>
      <c r="B52" s="207" t="s">
        <v>36</v>
      </c>
      <c r="C52" s="207" t="s">
        <v>36</v>
      </c>
      <c r="D52" s="207" t="s">
        <v>36</v>
      </c>
      <c r="E52" s="64">
        <v>7.38</v>
      </c>
      <c r="F52" s="64">
        <v>3.83</v>
      </c>
      <c r="G52" s="64">
        <v>81.459999999999994</v>
      </c>
      <c r="H52" s="64">
        <v>39.56</v>
      </c>
      <c r="I52" s="64">
        <v>6.53</v>
      </c>
      <c r="J52" s="64">
        <v>1.41</v>
      </c>
      <c r="K52" s="64">
        <v>86.85</v>
      </c>
      <c r="L52" s="64">
        <v>19.420000000000002</v>
      </c>
      <c r="M52" s="64">
        <v>75.22</v>
      </c>
      <c r="N52" s="64">
        <v>345.5</v>
      </c>
      <c r="O52" s="64">
        <v>0</v>
      </c>
      <c r="P52" s="64">
        <v>0.82</v>
      </c>
      <c r="Q52" s="64">
        <v>8.82</v>
      </c>
      <c r="R52" s="196"/>
      <c r="S52" s="196"/>
      <c r="T52" s="196"/>
      <c r="U52" s="196"/>
    </row>
    <row r="53" spans="1:21" s="12" customFormat="1" x14ac:dyDescent="0.25">
      <c r="A53" s="211" t="s">
        <v>3075</v>
      </c>
      <c r="B53" s="207" t="s">
        <v>36</v>
      </c>
      <c r="C53" s="207" t="s">
        <v>36</v>
      </c>
      <c r="D53" s="207" t="s">
        <v>36</v>
      </c>
      <c r="E53" s="64">
        <v>7.33</v>
      </c>
      <c r="F53" s="64">
        <v>4.2</v>
      </c>
      <c r="G53" s="64">
        <v>81.849999999999994</v>
      </c>
      <c r="H53" s="64">
        <v>38.89</v>
      </c>
      <c r="I53" s="64">
        <v>6.98</v>
      </c>
      <c r="J53" s="64">
        <v>1.04</v>
      </c>
      <c r="K53" s="64">
        <v>352.1</v>
      </c>
      <c r="L53" s="64">
        <v>20.45</v>
      </c>
      <c r="M53" s="64">
        <v>70.959999999999994</v>
      </c>
      <c r="N53" s="64">
        <v>327.39999999999998</v>
      </c>
      <c r="O53" s="64">
        <v>0</v>
      </c>
      <c r="P53" s="64">
        <v>0.83</v>
      </c>
      <c r="Q53" s="64">
        <v>8.69</v>
      </c>
      <c r="R53" s="196"/>
      <c r="S53" s="196"/>
      <c r="T53" s="196"/>
      <c r="U53" s="196"/>
    </row>
    <row r="54" spans="1:21" s="12" customFormat="1" x14ac:dyDescent="0.25">
      <c r="A54" s="211" t="s">
        <v>3076</v>
      </c>
      <c r="B54" s="207" t="s">
        <v>36</v>
      </c>
      <c r="C54" s="207" t="s">
        <v>36</v>
      </c>
      <c r="D54" s="207" t="s">
        <v>36</v>
      </c>
      <c r="E54" s="64">
        <v>6.96</v>
      </c>
      <c r="F54" s="64">
        <v>4</v>
      </c>
      <c r="G54" s="64">
        <v>81.849999999999994</v>
      </c>
      <c r="H54" s="64">
        <v>38.89</v>
      </c>
      <c r="I54" s="64">
        <v>7.1</v>
      </c>
      <c r="J54" s="64">
        <v>2.06</v>
      </c>
      <c r="K54" s="64">
        <v>102.99</v>
      </c>
      <c r="L54" s="64">
        <v>20.49</v>
      </c>
      <c r="M54" s="64">
        <v>70</v>
      </c>
      <c r="N54" s="64">
        <v>268.60000000000002</v>
      </c>
      <c r="O54" s="64">
        <v>0</v>
      </c>
      <c r="P54" s="64">
        <v>0.83</v>
      </c>
      <c r="Q54" s="64">
        <v>8.69</v>
      </c>
      <c r="R54" s="196"/>
      <c r="S54" s="196"/>
      <c r="T54" s="196"/>
      <c r="U54" s="196"/>
    </row>
    <row r="55" spans="1:21" s="12" customFormat="1" x14ac:dyDescent="0.25">
      <c r="A55" s="211" t="s">
        <v>3077</v>
      </c>
      <c r="B55" s="207" t="s">
        <v>36</v>
      </c>
      <c r="C55" s="207" t="s">
        <v>36</v>
      </c>
      <c r="D55" s="207" t="s">
        <v>36</v>
      </c>
      <c r="E55" s="64">
        <v>7.43</v>
      </c>
      <c r="F55" s="64">
        <v>4.2</v>
      </c>
      <c r="G55" s="64">
        <v>81.849999999999994</v>
      </c>
      <c r="H55" s="64">
        <v>38.89</v>
      </c>
      <c r="I55" s="64">
        <v>7.18</v>
      </c>
      <c r="J55" s="64">
        <v>2.31</v>
      </c>
      <c r="K55" s="64">
        <v>101.62</v>
      </c>
      <c r="L55" s="64">
        <v>20.32</v>
      </c>
      <c r="M55" s="64">
        <v>70.11</v>
      </c>
      <c r="N55" s="64">
        <v>338.4</v>
      </c>
      <c r="O55" s="64">
        <v>0</v>
      </c>
      <c r="P55" s="64">
        <v>0.83</v>
      </c>
      <c r="Q55" s="64">
        <v>8.6999999999999993</v>
      </c>
      <c r="R55" s="196"/>
      <c r="S55" s="196"/>
      <c r="T55" s="196"/>
      <c r="U55" s="196"/>
    </row>
    <row r="56" spans="1:21" s="12" customFormat="1" x14ac:dyDescent="0.25">
      <c r="A56" s="211" t="s">
        <v>3078</v>
      </c>
      <c r="B56" s="207" t="s">
        <v>36</v>
      </c>
      <c r="C56" s="207" t="s">
        <v>36</v>
      </c>
      <c r="D56" s="207" t="s">
        <v>36</v>
      </c>
      <c r="E56" s="64">
        <v>6.99</v>
      </c>
      <c r="F56" s="64">
        <v>4.66</v>
      </c>
      <c r="G56" s="64">
        <v>80.260000000000005</v>
      </c>
      <c r="H56" s="64">
        <v>35.18</v>
      </c>
      <c r="I56" s="64">
        <v>7.25</v>
      </c>
      <c r="J56" s="64">
        <v>3.09</v>
      </c>
      <c r="K56" s="64">
        <v>106.1</v>
      </c>
      <c r="L56" s="64">
        <v>19.760000000000002</v>
      </c>
      <c r="M56" s="64">
        <v>72.260000000000005</v>
      </c>
      <c r="N56" s="64">
        <v>178.2</v>
      </c>
      <c r="O56" s="64">
        <v>0</v>
      </c>
      <c r="P56" s="64">
        <v>0.81</v>
      </c>
      <c r="Q56" s="64">
        <v>8.5500000000000007</v>
      </c>
      <c r="R56" s="196"/>
      <c r="S56" s="196"/>
      <c r="T56" s="196"/>
      <c r="U56" s="196"/>
    </row>
    <row r="57" spans="1:21" s="12" customFormat="1" x14ac:dyDescent="0.25">
      <c r="A57" s="211" t="s">
        <v>3079</v>
      </c>
      <c r="B57" s="207" t="s">
        <v>36</v>
      </c>
      <c r="C57" s="207" t="s">
        <v>36</v>
      </c>
      <c r="D57" s="207" t="s">
        <v>36</v>
      </c>
      <c r="E57" s="64">
        <v>6.97</v>
      </c>
      <c r="F57" s="64">
        <v>4.49</v>
      </c>
      <c r="G57" s="64">
        <v>78.989999999999995</v>
      </c>
      <c r="H57" s="64">
        <v>33.9</v>
      </c>
      <c r="I57" s="64">
        <v>7.45</v>
      </c>
      <c r="J57" s="64">
        <v>3.61</v>
      </c>
      <c r="K57" s="64">
        <v>111.96</v>
      </c>
      <c r="L57" s="64">
        <v>19.489999999999998</v>
      </c>
      <c r="M57" s="64">
        <v>73.849999999999994</v>
      </c>
      <c r="N57" s="64">
        <v>175.2</v>
      </c>
      <c r="O57" s="64">
        <v>0</v>
      </c>
      <c r="P57" s="64">
        <v>0.8</v>
      </c>
      <c r="Q57" s="64">
        <v>8.36</v>
      </c>
      <c r="R57" s="196"/>
      <c r="S57" s="196"/>
      <c r="T57" s="196"/>
      <c r="U57" s="196"/>
    </row>
    <row r="58" spans="1:21" s="12" customFormat="1" x14ac:dyDescent="0.25">
      <c r="A58" s="211" t="s">
        <v>3080</v>
      </c>
      <c r="B58" s="207" t="s">
        <v>36</v>
      </c>
      <c r="C58" s="207" t="s">
        <v>36</v>
      </c>
      <c r="D58" s="207" t="s">
        <v>36</v>
      </c>
      <c r="E58" s="64">
        <v>7.42</v>
      </c>
      <c r="F58" s="64">
        <v>4.5599999999999996</v>
      </c>
      <c r="G58" s="64">
        <v>78.989999999999995</v>
      </c>
      <c r="H58" s="64">
        <v>33.9</v>
      </c>
      <c r="I58" s="64">
        <v>7.83</v>
      </c>
      <c r="J58" s="64">
        <v>2.37</v>
      </c>
      <c r="K58" s="64">
        <v>100.85</v>
      </c>
      <c r="L58" s="64">
        <v>19.45</v>
      </c>
      <c r="M58" s="64">
        <v>74.650000000000006</v>
      </c>
      <c r="N58" s="64">
        <v>220.3</v>
      </c>
      <c r="O58" s="64">
        <v>0</v>
      </c>
      <c r="P58" s="64">
        <v>0.79</v>
      </c>
      <c r="Q58" s="64">
        <v>8.23</v>
      </c>
      <c r="R58" s="196"/>
      <c r="S58" s="196"/>
      <c r="T58" s="196"/>
      <c r="U58" s="196"/>
    </row>
    <row r="59" spans="1:21" s="12" customFormat="1" x14ac:dyDescent="0.25">
      <c r="A59" s="211" t="s">
        <v>3081</v>
      </c>
      <c r="B59" s="207" t="s">
        <v>36</v>
      </c>
      <c r="C59" s="207" t="s">
        <v>36</v>
      </c>
      <c r="D59" s="207" t="s">
        <v>36</v>
      </c>
      <c r="E59" s="64">
        <v>7.37</v>
      </c>
      <c r="F59" s="64">
        <v>4.6500000000000004</v>
      </c>
      <c r="G59" s="64">
        <v>78.989999999999995</v>
      </c>
      <c r="H59" s="64">
        <v>33.9</v>
      </c>
      <c r="I59" s="64">
        <v>8</v>
      </c>
      <c r="J59" s="64">
        <v>3.09</v>
      </c>
      <c r="K59" s="64">
        <v>111.48</v>
      </c>
      <c r="L59" s="64">
        <v>19.86</v>
      </c>
      <c r="M59" s="64">
        <v>73.739999999999995</v>
      </c>
      <c r="N59" s="64">
        <v>219.7</v>
      </c>
      <c r="O59" s="64">
        <v>0</v>
      </c>
      <c r="P59" s="64">
        <v>0.78</v>
      </c>
      <c r="Q59" s="64">
        <v>8.2100000000000009</v>
      </c>
      <c r="R59" s="196"/>
      <c r="S59" s="196"/>
      <c r="T59" s="196"/>
      <c r="U59" s="196"/>
    </row>
    <row r="60" spans="1:21" s="12" customFormat="1" x14ac:dyDescent="0.25">
      <c r="A60" s="211" t="s">
        <v>3082</v>
      </c>
      <c r="B60" s="207" t="s">
        <v>36</v>
      </c>
      <c r="C60" s="207" t="s">
        <v>36</v>
      </c>
      <c r="D60" s="207" t="s">
        <v>36</v>
      </c>
      <c r="E60" s="64">
        <v>7.27</v>
      </c>
      <c r="F60" s="64">
        <v>4.4800000000000004</v>
      </c>
      <c r="G60" s="64">
        <v>80.13</v>
      </c>
      <c r="H60" s="64">
        <v>39.26</v>
      </c>
      <c r="I60" s="64">
        <v>8.1199999999999992</v>
      </c>
      <c r="J60" s="64">
        <v>0.85</v>
      </c>
      <c r="K60" s="64">
        <v>10.210000000000001</v>
      </c>
      <c r="L60" s="64">
        <v>20.329999999999998</v>
      </c>
      <c r="M60" s="64">
        <v>71.17</v>
      </c>
      <c r="N60" s="64">
        <v>185.7</v>
      </c>
      <c r="O60" s="64">
        <v>0</v>
      </c>
      <c r="P60" s="64">
        <v>0.78</v>
      </c>
      <c r="Q60" s="64">
        <v>8.2100000000000009</v>
      </c>
      <c r="R60" s="196"/>
      <c r="S60" s="196"/>
      <c r="T60" s="196"/>
      <c r="U60" s="196"/>
    </row>
    <row r="61" spans="1:21" s="12" customFormat="1" x14ac:dyDescent="0.25">
      <c r="A61" s="211" t="s">
        <v>3083</v>
      </c>
      <c r="B61" s="207" t="s">
        <v>36</v>
      </c>
      <c r="C61" s="207" t="s">
        <v>36</v>
      </c>
      <c r="D61" s="207" t="s">
        <v>36</v>
      </c>
      <c r="E61" s="64">
        <v>7.45</v>
      </c>
      <c r="F61" s="64">
        <v>4.45</v>
      </c>
      <c r="G61" s="64">
        <v>81.040000000000006</v>
      </c>
      <c r="H61" s="64">
        <v>41.12</v>
      </c>
      <c r="I61" s="64">
        <v>7.94</v>
      </c>
      <c r="J61" s="64">
        <v>0.93</v>
      </c>
      <c r="K61" s="64">
        <v>103.31</v>
      </c>
      <c r="L61" s="64">
        <v>20.2</v>
      </c>
      <c r="M61" s="64">
        <v>70.81</v>
      </c>
      <c r="N61" s="64">
        <v>146</v>
      </c>
      <c r="O61" s="64">
        <v>0</v>
      </c>
      <c r="P61" s="64">
        <v>0.76</v>
      </c>
      <c r="Q61" s="64">
        <v>8.2100000000000009</v>
      </c>
      <c r="R61" s="196"/>
      <c r="S61" s="196"/>
      <c r="T61" s="196"/>
      <c r="U61" s="196"/>
    </row>
    <row r="62" spans="1:21" s="12" customFormat="1" x14ac:dyDescent="0.25">
      <c r="A62" s="211" t="s">
        <v>3084</v>
      </c>
      <c r="B62" s="207" t="s">
        <v>36</v>
      </c>
      <c r="C62" s="207" t="s">
        <v>36</v>
      </c>
      <c r="D62" s="207" t="s">
        <v>36</v>
      </c>
      <c r="E62" s="64">
        <v>7.68</v>
      </c>
      <c r="F62" s="64">
        <v>4.4400000000000004</v>
      </c>
      <c r="G62" s="64">
        <v>81.040000000000006</v>
      </c>
      <c r="H62" s="64">
        <v>41.12</v>
      </c>
      <c r="I62" s="64">
        <v>7.34</v>
      </c>
      <c r="J62" s="64">
        <v>0.82</v>
      </c>
      <c r="K62" s="64">
        <v>98.07</v>
      </c>
      <c r="L62" s="64">
        <v>20.07</v>
      </c>
      <c r="M62" s="64">
        <v>71.22</v>
      </c>
      <c r="N62" s="64">
        <v>166.6</v>
      </c>
      <c r="O62" s="64">
        <v>0</v>
      </c>
      <c r="P62" s="64">
        <v>0.76</v>
      </c>
      <c r="Q62" s="64">
        <v>8.2100000000000009</v>
      </c>
      <c r="R62" s="196"/>
      <c r="S62" s="196"/>
      <c r="T62" s="196"/>
      <c r="U62" s="196"/>
    </row>
    <row r="63" spans="1:21" s="12" customFormat="1" x14ac:dyDescent="0.25">
      <c r="A63" s="211" t="s">
        <v>3085</v>
      </c>
      <c r="B63" s="207" t="s">
        <v>36</v>
      </c>
      <c r="C63" s="207" t="s">
        <v>36</v>
      </c>
      <c r="D63" s="207" t="s">
        <v>36</v>
      </c>
      <c r="E63" s="64">
        <v>7.72</v>
      </c>
      <c r="F63" s="64">
        <v>4.3600000000000003</v>
      </c>
      <c r="G63" s="64">
        <v>81.040000000000006</v>
      </c>
      <c r="H63" s="64">
        <v>41.12</v>
      </c>
      <c r="I63" s="64">
        <v>6.6</v>
      </c>
      <c r="J63" s="64">
        <v>1.42</v>
      </c>
      <c r="K63" s="64">
        <v>95.54</v>
      </c>
      <c r="L63" s="64">
        <v>20.260000000000002</v>
      </c>
      <c r="M63" s="64">
        <v>69.27</v>
      </c>
      <c r="N63" s="64">
        <v>176.9</v>
      </c>
      <c r="O63" s="64">
        <v>0</v>
      </c>
      <c r="P63" s="64">
        <v>0.77</v>
      </c>
      <c r="Q63" s="64">
        <v>8.2100000000000009</v>
      </c>
      <c r="R63" s="196"/>
      <c r="S63" s="196"/>
      <c r="T63" s="196"/>
      <c r="U63" s="196"/>
    </row>
    <row r="64" spans="1:21" s="12" customFormat="1" x14ac:dyDescent="0.25">
      <c r="A64" s="211" t="s">
        <v>3086</v>
      </c>
      <c r="B64" s="207" t="s">
        <v>36</v>
      </c>
      <c r="C64" s="207" t="s">
        <v>36</v>
      </c>
      <c r="D64" s="207" t="s">
        <v>36</v>
      </c>
      <c r="E64" s="64">
        <v>7.19</v>
      </c>
      <c r="F64" s="64">
        <v>4.1500000000000004</v>
      </c>
      <c r="G64" s="64">
        <v>77.260000000000005</v>
      </c>
      <c r="H64" s="64">
        <v>40.44</v>
      </c>
      <c r="I64" s="64">
        <v>7.74</v>
      </c>
      <c r="J64" s="64">
        <v>0.83</v>
      </c>
      <c r="K64" s="64">
        <v>345.24</v>
      </c>
      <c r="L64" s="64">
        <v>20.13</v>
      </c>
      <c r="M64" s="64">
        <v>69.33</v>
      </c>
      <c r="N64" s="64">
        <v>103</v>
      </c>
      <c r="O64" s="64">
        <v>0</v>
      </c>
      <c r="P64" s="64">
        <v>0.77</v>
      </c>
      <c r="Q64" s="64">
        <v>8.2100000000000009</v>
      </c>
      <c r="R64" s="196"/>
      <c r="S64" s="196"/>
      <c r="T64" s="196"/>
      <c r="U64" s="196"/>
    </row>
    <row r="65" spans="1:21" s="12" customFormat="1" x14ac:dyDescent="0.25">
      <c r="A65" s="211" t="s">
        <v>3087</v>
      </c>
      <c r="B65" s="207" t="s">
        <v>36</v>
      </c>
      <c r="C65" s="207" t="s">
        <v>36</v>
      </c>
      <c r="D65" s="207" t="s">
        <v>36</v>
      </c>
      <c r="E65" s="64">
        <v>7.12</v>
      </c>
      <c r="F65" s="64">
        <v>4.2</v>
      </c>
      <c r="G65" s="64">
        <v>74.38</v>
      </c>
      <c r="H65" s="64">
        <v>39.979999999999997</v>
      </c>
      <c r="I65" s="64">
        <v>7.6</v>
      </c>
      <c r="J65" s="64">
        <v>0.82</v>
      </c>
      <c r="K65" s="64">
        <v>27.03</v>
      </c>
      <c r="L65" s="64">
        <v>19.7</v>
      </c>
      <c r="M65" s="64">
        <v>70.81</v>
      </c>
      <c r="N65" s="64">
        <v>87.7</v>
      </c>
      <c r="O65" s="64">
        <v>0</v>
      </c>
      <c r="P65" s="64">
        <v>0.77</v>
      </c>
      <c r="Q65" s="64">
        <v>8.2100000000000009</v>
      </c>
      <c r="R65" s="196"/>
      <c r="S65" s="196"/>
      <c r="T65" s="196"/>
      <c r="U65" s="196"/>
    </row>
    <row r="66" spans="1:21" s="12" customFormat="1" x14ac:dyDescent="0.25">
      <c r="A66" s="211" t="s">
        <v>3088</v>
      </c>
      <c r="B66" s="207" t="s">
        <v>36</v>
      </c>
      <c r="C66" s="207" t="s">
        <v>36</v>
      </c>
      <c r="D66" s="207" t="s">
        <v>36</v>
      </c>
      <c r="E66" s="64">
        <v>7.47</v>
      </c>
      <c r="F66" s="64">
        <v>4.37</v>
      </c>
      <c r="G66" s="64">
        <v>74.38</v>
      </c>
      <c r="H66" s="64">
        <v>39.979999999999997</v>
      </c>
      <c r="I66" s="64">
        <v>6.89</v>
      </c>
      <c r="J66" s="64">
        <v>1.1200000000000001</v>
      </c>
      <c r="K66" s="64">
        <v>356.95</v>
      </c>
      <c r="L66" s="64">
        <v>19.63</v>
      </c>
      <c r="M66" s="64">
        <v>69.36</v>
      </c>
      <c r="N66" s="64">
        <v>87.3</v>
      </c>
      <c r="O66" s="64">
        <v>0</v>
      </c>
      <c r="P66" s="64">
        <v>0.83</v>
      </c>
      <c r="Q66" s="64">
        <v>8.2100000000000009</v>
      </c>
      <c r="R66" s="196"/>
      <c r="S66" s="196"/>
      <c r="T66" s="196"/>
      <c r="U66" s="196"/>
    </row>
    <row r="67" spans="1:21" s="12" customFormat="1" x14ac:dyDescent="0.25">
      <c r="A67" s="211" t="s">
        <v>3089</v>
      </c>
      <c r="B67" s="207" t="s">
        <v>36</v>
      </c>
      <c r="C67" s="207" t="s">
        <v>36</v>
      </c>
      <c r="D67" s="207" t="s">
        <v>36</v>
      </c>
      <c r="E67" s="64">
        <v>7.42</v>
      </c>
      <c r="F67" s="64">
        <v>3.85</v>
      </c>
      <c r="G67" s="64">
        <v>74.38</v>
      </c>
      <c r="H67" s="64">
        <v>39.979999999999997</v>
      </c>
      <c r="I67" s="64">
        <v>6.47</v>
      </c>
      <c r="J67" s="64">
        <v>2.4300000000000002</v>
      </c>
      <c r="K67" s="64">
        <v>345.56</v>
      </c>
      <c r="L67" s="64">
        <v>19.84</v>
      </c>
      <c r="M67" s="64">
        <v>68.87</v>
      </c>
      <c r="N67" s="64">
        <v>100.2</v>
      </c>
      <c r="O67" s="64">
        <v>0</v>
      </c>
      <c r="P67" s="64">
        <v>0.82</v>
      </c>
      <c r="Q67" s="64">
        <v>8.2100000000000009</v>
      </c>
      <c r="R67" s="196"/>
      <c r="S67" s="196"/>
      <c r="T67" s="196"/>
      <c r="U67" s="196"/>
    </row>
    <row r="68" spans="1:21" s="12" customFormat="1" x14ac:dyDescent="0.25">
      <c r="A68" s="211" t="s">
        <v>3090</v>
      </c>
      <c r="B68" s="207" t="s">
        <v>36</v>
      </c>
      <c r="C68" s="207" t="s">
        <v>36</v>
      </c>
      <c r="D68" s="207" t="s">
        <v>36</v>
      </c>
      <c r="E68" s="64">
        <v>7.63</v>
      </c>
      <c r="F68" s="64">
        <v>4.54</v>
      </c>
      <c r="G68" s="64">
        <v>77.8</v>
      </c>
      <c r="H68" s="64">
        <v>40.17</v>
      </c>
      <c r="I68" s="64">
        <v>6.9</v>
      </c>
      <c r="J68" s="64">
        <v>0.83</v>
      </c>
      <c r="K68" s="64">
        <v>343.55</v>
      </c>
      <c r="L68" s="64">
        <v>19.8</v>
      </c>
      <c r="M68" s="64">
        <v>69.3</v>
      </c>
      <c r="N68" s="64">
        <v>91.4</v>
      </c>
      <c r="O68" s="64">
        <v>0</v>
      </c>
      <c r="P68" s="64">
        <v>0.82</v>
      </c>
      <c r="Q68" s="64">
        <v>8.2100000000000009</v>
      </c>
      <c r="R68" s="196"/>
      <c r="S68" s="196"/>
      <c r="T68" s="196"/>
      <c r="U68" s="196"/>
    </row>
    <row r="69" spans="1:21" s="12" customFormat="1" x14ac:dyDescent="0.25">
      <c r="A69" s="211" t="s">
        <v>3091</v>
      </c>
      <c r="B69" s="207" t="s">
        <v>36</v>
      </c>
      <c r="C69" s="207" t="s">
        <v>36</v>
      </c>
      <c r="D69" s="207" t="s">
        <v>36</v>
      </c>
      <c r="E69" s="64">
        <v>7.51</v>
      </c>
      <c r="F69" s="64">
        <v>4.74</v>
      </c>
      <c r="G69" s="64">
        <v>80.42</v>
      </c>
      <c r="H69" s="64">
        <v>40.24</v>
      </c>
      <c r="I69" s="64">
        <v>8</v>
      </c>
      <c r="J69" s="64">
        <v>1.1499999999999999</v>
      </c>
      <c r="K69" s="64">
        <v>44.36</v>
      </c>
      <c r="L69" s="64">
        <v>19.45</v>
      </c>
      <c r="M69" s="64">
        <v>69.790000000000006</v>
      </c>
      <c r="N69" s="64">
        <v>81.099999999999994</v>
      </c>
      <c r="O69" s="64">
        <v>0</v>
      </c>
      <c r="P69" s="64">
        <v>0.83</v>
      </c>
      <c r="Q69" s="64">
        <v>8.2100000000000009</v>
      </c>
      <c r="R69" s="196"/>
      <c r="S69" s="196"/>
      <c r="T69" s="196"/>
      <c r="U69" s="196"/>
    </row>
    <row r="70" spans="1:21" s="12" customFormat="1" x14ac:dyDescent="0.25">
      <c r="A70" s="211" t="s">
        <v>3092</v>
      </c>
      <c r="B70" s="207" t="s">
        <v>36</v>
      </c>
      <c r="C70" s="207" t="s">
        <v>36</v>
      </c>
      <c r="D70" s="207" t="s">
        <v>36</v>
      </c>
      <c r="E70" s="64">
        <v>7.6</v>
      </c>
      <c r="F70" s="64">
        <v>4.67</v>
      </c>
      <c r="G70" s="64">
        <v>80.42</v>
      </c>
      <c r="H70" s="64">
        <v>40.24</v>
      </c>
      <c r="I70" s="64">
        <v>8.2100000000000009</v>
      </c>
      <c r="J70" s="64">
        <v>1.32</v>
      </c>
      <c r="K70" s="64">
        <v>77.92</v>
      </c>
      <c r="L70" s="64">
        <v>19.39</v>
      </c>
      <c r="M70" s="64">
        <v>69.459999999999994</v>
      </c>
      <c r="N70" s="64">
        <v>63.9</v>
      </c>
      <c r="O70" s="64">
        <v>0</v>
      </c>
      <c r="P70" s="64">
        <v>0.85</v>
      </c>
      <c r="Q70" s="64">
        <v>8.2100000000000009</v>
      </c>
      <c r="R70" s="196"/>
      <c r="S70" s="196"/>
      <c r="T70" s="196"/>
      <c r="U70" s="196"/>
    </row>
    <row r="71" spans="1:21" s="12" customFormat="1" x14ac:dyDescent="0.25">
      <c r="A71" s="211" t="s">
        <v>3093</v>
      </c>
      <c r="B71" s="207" t="s">
        <v>36</v>
      </c>
      <c r="C71" s="207" t="s">
        <v>36</v>
      </c>
      <c r="D71" s="207" t="s">
        <v>36</v>
      </c>
      <c r="E71" s="64">
        <v>7.39</v>
      </c>
      <c r="F71" s="64">
        <v>4.8899999999999997</v>
      </c>
      <c r="G71" s="64">
        <v>80.42</v>
      </c>
      <c r="H71" s="64">
        <v>40.24</v>
      </c>
      <c r="I71" s="64">
        <v>8.2899999999999991</v>
      </c>
      <c r="J71" s="64">
        <v>1.89</v>
      </c>
      <c r="K71" s="64">
        <v>112.47</v>
      </c>
      <c r="L71" s="64">
        <v>18.64</v>
      </c>
      <c r="M71" s="64">
        <v>76.58</v>
      </c>
      <c r="N71" s="64">
        <v>56.6</v>
      </c>
      <c r="O71" s="64">
        <v>0</v>
      </c>
      <c r="P71" s="64">
        <v>0.84</v>
      </c>
      <c r="Q71" s="64">
        <v>8.2100000000000009</v>
      </c>
      <c r="R71" s="196"/>
      <c r="S71" s="196"/>
      <c r="T71" s="196"/>
      <c r="U71" s="196"/>
    </row>
    <row r="72" spans="1:21" s="12" customFormat="1" x14ac:dyDescent="0.25">
      <c r="A72" s="211" t="s">
        <v>3094</v>
      </c>
      <c r="B72" s="207" t="s">
        <v>36</v>
      </c>
      <c r="C72" s="207" t="s">
        <v>36</v>
      </c>
      <c r="D72" s="207" t="s">
        <v>36</v>
      </c>
      <c r="E72" s="64">
        <v>6.51</v>
      </c>
      <c r="F72" s="64">
        <v>4.3899999999999997</v>
      </c>
      <c r="G72" s="64">
        <v>81.75</v>
      </c>
      <c r="H72" s="64">
        <v>40.36</v>
      </c>
      <c r="I72" s="64">
        <v>8.07</v>
      </c>
      <c r="J72" s="64">
        <v>0.66</v>
      </c>
      <c r="K72" s="64">
        <v>106.37</v>
      </c>
      <c r="L72" s="64">
        <v>18.3</v>
      </c>
      <c r="M72" s="64">
        <v>81.290000000000006</v>
      </c>
      <c r="N72" s="64">
        <v>75.3</v>
      </c>
      <c r="O72" s="64">
        <v>0</v>
      </c>
      <c r="P72" s="64">
        <v>0.84</v>
      </c>
      <c r="Q72" s="64">
        <v>8.2100000000000009</v>
      </c>
      <c r="R72" s="196"/>
      <c r="S72" s="196"/>
      <c r="T72" s="196"/>
      <c r="U72" s="196"/>
    </row>
    <row r="73" spans="1:21" s="12" customFormat="1" x14ac:dyDescent="0.25">
      <c r="A73" s="211" t="s">
        <v>3095</v>
      </c>
      <c r="B73" s="207" t="s">
        <v>36</v>
      </c>
      <c r="C73" s="207" t="s">
        <v>36</v>
      </c>
      <c r="D73" s="207" t="s">
        <v>36</v>
      </c>
      <c r="E73" s="64">
        <v>6.47</v>
      </c>
      <c r="F73" s="64">
        <v>4.29</v>
      </c>
      <c r="G73" s="64">
        <v>82.76</v>
      </c>
      <c r="H73" s="64">
        <v>40.409999999999997</v>
      </c>
      <c r="I73" s="64">
        <v>8.23</v>
      </c>
      <c r="J73" s="64">
        <v>0.7</v>
      </c>
      <c r="K73" s="64">
        <v>343.99</v>
      </c>
      <c r="L73" s="64">
        <v>18.63</v>
      </c>
      <c r="M73" s="64">
        <v>79.27</v>
      </c>
      <c r="N73" s="64">
        <v>73.599999999999994</v>
      </c>
      <c r="O73" s="64">
        <v>0</v>
      </c>
      <c r="P73" s="64">
        <v>0.86</v>
      </c>
      <c r="Q73" s="64">
        <v>8.2100000000000009</v>
      </c>
      <c r="R73" s="196"/>
      <c r="S73" s="196"/>
      <c r="T73" s="196"/>
      <c r="U73" s="196"/>
    </row>
    <row r="74" spans="1:21" s="12" customFormat="1" x14ac:dyDescent="0.25">
      <c r="A74" s="211" t="s">
        <v>3096</v>
      </c>
      <c r="B74" s="207" t="s">
        <v>36</v>
      </c>
      <c r="C74" s="207" t="s">
        <v>36</v>
      </c>
      <c r="D74" s="207" t="s">
        <v>36</v>
      </c>
      <c r="E74" s="64">
        <v>6.62</v>
      </c>
      <c r="F74" s="64">
        <v>4.22</v>
      </c>
      <c r="G74" s="64">
        <v>82.76</v>
      </c>
      <c r="H74" s="64">
        <v>40.409999999999997</v>
      </c>
      <c r="I74" s="64">
        <v>8.25</v>
      </c>
      <c r="J74" s="64">
        <v>1.24</v>
      </c>
      <c r="K74" s="64">
        <v>90.08</v>
      </c>
      <c r="L74" s="64">
        <v>18.579999999999998</v>
      </c>
      <c r="M74" s="64">
        <v>78.19</v>
      </c>
      <c r="N74" s="64">
        <v>63.4</v>
      </c>
      <c r="O74" s="64">
        <v>0</v>
      </c>
      <c r="P74" s="64">
        <v>0.87</v>
      </c>
      <c r="Q74" s="64">
        <v>8.2100000000000009</v>
      </c>
      <c r="R74" s="196"/>
      <c r="S74" s="196"/>
      <c r="T74" s="196"/>
      <c r="U74" s="196"/>
    </row>
    <row r="75" spans="1:21" s="12" customFormat="1" x14ac:dyDescent="0.25">
      <c r="A75" s="211" t="s">
        <v>3097</v>
      </c>
      <c r="B75" s="207" t="s">
        <v>36</v>
      </c>
      <c r="C75" s="207" t="s">
        <v>36</v>
      </c>
      <c r="D75" s="207" t="s">
        <v>36</v>
      </c>
      <c r="E75" s="64">
        <v>6.33</v>
      </c>
      <c r="F75" s="64">
        <v>4.16</v>
      </c>
      <c r="G75" s="64">
        <v>82.76</v>
      </c>
      <c r="H75" s="64">
        <v>40.409999999999997</v>
      </c>
      <c r="I75" s="64">
        <v>8.15</v>
      </c>
      <c r="J75" s="64">
        <v>1.85</v>
      </c>
      <c r="K75" s="64">
        <v>105.47</v>
      </c>
      <c r="L75" s="64">
        <v>18.43</v>
      </c>
      <c r="M75" s="64">
        <v>77.59</v>
      </c>
      <c r="N75" s="64">
        <v>52.6</v>
      </c>
      <c r="O75" s="64">
        <v>0</v>
      </c>
      <c r="P75" s="64">
        <v>0.87</v>
      </c>
      <c r="Q75" s="64">
        <v>8.2100000000000009</v>
      </c>
      <c r="R75" s="196"/>
      <c r="S75" s="196"/>
      <c r="T75" s="196"/>
      <c r="U75" s="196"/>
    </row>
    <row r="76" spans="1:21" s="12" customFormat="1" x14ac:dyDescent="0.25">
      <c r="A76" s="211" t="s">
        <v>3098</v>
      </c>
      <c r="B76" s="207" t="s">
        <v>36</v>
      </c>
      <c r="C76" s="207" t="s">
        <v>36</v>
      </c>
      <c r="D76" s="207" t="s">
        <v>36</v>
      </c>
      <c r="E76" s="64">
        <v>6.53</v>
      </c>
      <c r="F76" s="64">
        <v>4.05</v>
      </c>
      <c r="G76" s="64">
        <v>73.349999999999994</v>
      </c>
      <c r="H76" s="64">
        <v>37.31</v>
      </c>
      <c r="I76" s="64">
        <v>8.02</v>
      </c>
      <c r="J76" s="64">
        <v>3.34</v>
      </c>
      <c r="K76" s="64">
        <v>109.05</v>
      </c>
      <c r="L76" s="64">
        <v>18.239999999999998</v>
      </c>
      <c r="M76" s="64">
        <v>78.34</v>
      </c>
      <c r="N76" s="64">
        <v>49.2</v>
      </c>
      <c r="O76" s="64">
        <v>0</v>
      </c>
      <c r="P76" s="64">
        <v>0.86</v>
      </c>
      <c r="Q76" s="64">
        <v>8.2100000000000009</v>
      </c>
      <c r="R76" s="196"/>
      <c r="S76" s="196"/>
      <c r="T76" s="196"/>
      <c r="U76" s="196"/>
    </row>
    <row r="77" spans="1:21" s="12" customFormat="1" x14ac:dyDescent="0.25">
      <c r="A77" s="211" t="s">
        <v>3099</v>
      </c>
      <c r="B77" s="207" t="s">
        <v>36</v>
      </c>
      <c r="C77" s="207" t="s">
        <v>36</v>
      </c>
      <c r="D77" s="207" t="s">
        <v>36</v>
      </c>
      <c r="E77" s="64">
        <v>5.97</v>
      </c>
      <c r="F77" s="64">
        <v>4.1399999999999997</v>
      </c>
      <c r="G77" s="64">
        <v>66.150000000000006</v>
      </c>
      <c r="H77" s="64">
        <v>36.24</v>
      </c>
      <c r="I77" s="64">
        <v>8.02</v>
      </c>
      <c r="J77" s="64">
        <v>3.48</v>
      </c>
      <c r="K77" s="64">
        <v>111.63</v>
      </c>
      <c r="L77" s="64">
        <v>17.84</v>
      </c>
      <c r="M77" s="64">
        <v>80.97</v>
      </c>
      <c r="N77" s="64">
        <v>41.7</v>
      </c>
      <c r="O77" s="64">
        <v>0</v>
      </c>
      <c r="P77" s="64">
        <v>0.86</v>
      </c>
      <c r="Q77" s="64">
        <v>8.2100000000000009</v>
      </c>
      <c r="R77" s="196"/>
      <c r="S77" s="196"/>
      <c r="T77" s="196"/>
      <c r="U77" s="196"/>
    </row>
    <row r="78" spans="1:21" s="12" customFormat="1" x14ac:dyDescent="0.25">
      <c r="A78" s="211" t="s">
        <v>3100</v>
      </c>
      <c r="B78" s="207" t="s">
        <v>36</v>
      </c>
      <c r="C78" s="207" t="s">
        <v>36</v>
      </c>
      <c r="D78" s="207" t="s">
        <v>36</v>
      </c>
      <c r="E78" s="64">
        <v>6.17</v>
      </c>
      <c r="F78" s="64">
        <v>3.93</v>
      </c>
      <c r="G78" s="64">
        <v>66.150000000000006</v>
      </c>
      <c r="H78" s="64">
        <v>36.24</v>
      </c>
      <c r="I78" s="64">
        <v>7.5</v>
      </c>
      <c r="J78" s="64">
        <v>3.35</v>
      </c>
      <c r="K78" s="64">
        <v>108.66</v>
      </c>
      <c r="L78" s="64">
        <v>17.440000000000001</v>
      </c>
      <c r="M78" s="64">
        <v>85.52</v>
      </c>
      <c r="N78" s="64">
        <v>36.299999999999997</v>
      </c>
      <c r="O78" s="64">
        <v>0</v>
      </c>
      <c r="P78" s="64">
        <v>0.85</v>
      </c>
      <c r="Q78" s="64">
        <v>8.2100000000000009</v>
      </c>
      <c r="R78" s="196"/>
      <c r="S78" s="196"/>
      <c r="T78" s="196"/>
      <c r="U78" s="196"/>
    </row>
    <row r="79" spans="1:21" s="12" customFormat="1" x14ac:dyDescent="0.25">
      <c r="A79" s="211" t="s">
        <v>3101</v>
      </c>
      <c r="B79" s="207" t="s">
        <v>36</v>
      </c>
      <c r="C79" s="207" t="s">
        <v>36</v>
      </c>
      <c r="D79" s="207" t="s">
        <v>36</v>
      </c>
      <c r="E79" s="64">
        <v>6.02</v>
      </c>
      <c r="F79" s="64">
        <v>3.97</v>
      </c>
      <c r="G79" s="64">
        <v>66.150000000000006</v>
      </c>
      <c r="H79" s="64">
        <v>36.24</v>
      </c>
      <c r="I79" s="64">
        <v>8.16</v>
      </c>
      <c r="J79" s="64">
        <v>1.92</v>
      </c>
      <c r="K79" s="64">
        <v>110.89</v>
      </c>
      <c r="L79" s="64">
        <v>17.260000000000002</v>
      </c>
      <c r="M79" s="64">
        <v>87.98</v>
      </c>
      <c r="N79" s="64">
        <v>35.200000000000003</v>
      </c>
      <c r="O79" s="64">
        <v>0</v>
      </c>
      <c r="P79" s="64">
        <v>0.87</v>
      </c>
      <c r="Q79" s="64">
        <v>8.2100000000000009</v>
      </c>
      <c r="R79" s="196"/>
      <c r="S79" s="196"/>
      <c r="T79" s="196"/>
      <c r="U79" s="196"/>
    </row>
    <row r="80" spans="1:21" s="12" customFormat="1" x14ac:dyDescent="0.25">
      <c r="A80" s="211" t="s">
        <v>3102</v>
      </c>
      <c r="B80" s="207" t="s">
        <v>36</v>
      </c>
      <c r="C80" s="207" t="s">
        <v>36</v>
      </c>
      <c r="D80" s="207" t="s">
        <v>36</v>
      </c>
      <c r="E80" s="64">
        <v>6.14</v>
      </c>
      <c r="F80" s="64">
        <v>3.79</v>
      </c>
      <c r="G80" s="64">
        <v>70.17</v>
      </c>
      <c r="H80" s="64">
        <v>28.81</v>
      </c>
      <c r="I80" s="64">
        <v>7.75</v>
      </c>
      <c r="J80" s="64">
        <v>0.43</v>
      </c>
      <c r="K80" s="64">
        <v>349.48</v>
      </c>
      <c r="L80" s="64">
        <v>17.21</v>
      </c>
      <c r="M80" s="64">
        <v>88.98</v>
      </c>
      <c r="N80" s="64">
        <v>35.1</v>
      </c>
      <c r="O80" s="64">
        <v>0</v>
      </c>
      <c r="P80" s="64">
        <v>0.92</v>
      </c>
      <c r="Q80" s="64">
        <v>8.2100000000000009</v>
      </c>
      <c r="R80" s="196"/>
      <c r="S80" s="196"/>
      <c r="T80" s="196"/>
      <c r="U80" s="196"/>
    </row>
    <row r="81" spans="1:26" s="12" customFormat="1" x14ac:dyDescent="0.25">
      <c r="A81" s="211" t="s">
        <v>3103</v>
      </c>
      <c r="B81" s="207" t="s">
        <v>36</v>
      </c>
      <c r="C81" s="207" t="s">
        <v>36</v>
      </c>
      <c r="D81" s="207" t="s">
        <v>36</v>
      </c>
      <c r="E81" s="64">
        <v>6.68</v>
      </c>
      <c r="F81" s="64">
        <v>3.65</v>
      </c>
      <c r="G81" s="64">
        <v>73.239999999999995</v>
      </c>
      <c r="H81" s="64">
        <v>23.55</v>
      </c>
      <c r="I81" s="64">
        <v>6.8</v>
      </c>
      <c r="J81" s="64">
        <v>1.39</v>
      </c>
      <c r="K81" s="64">
        <v>325.61</v>
      </c>
      <c r="L81" s="64">
        <v>17.09</v>
      </c>
      <c r="M81" s="64">
        <v>89.71</v>
      </c>
      <c r="N81" s="64">
        <v>35.1</v>
      </c>
      <c r="O81" s="64">
        <v>0</v>
      </c>
      <c r="P81" s="64">
        <v>0.93</v>
      </c>
      <c r="Q81" s="64">
        <v>8.2100000000000009</v>
      </c>
      <c r="R81" s="196"/>
      <c r="S81" s="196"/>
      <c r="T81" s="196"/>
      <c r="U81" s="196"/>
    </row>
    <row r="82" spans="1:26" s="12" customFormat="1" x14ac:dyDescent="0.25">
      <c r="A82" s="211" t="s">
        <v>3104</v>
      </c>
      <c r="B82" s="207" t="s">
        <v>36</v>
      </c>
      <c r="C82" s="207" t="s">
        <v>36</v>
      </c>
      <c r="D82" s="207" t="s">
        <v>36</v>
      </c>
      <c r="E82" s="64">
        <v>6.4</v>
      </c>
      <c r="F82" s="64">
        <v>3.87</v>
      </c>
      <c r="G82" s="64">
        <v>73.239999999999995</v>
      </c>
      <c r="H82" s="64">
        <v>23.55</v>
      </c>
      <c r="I82" s="64">
        <v>8.08</v>
      </c>
      <c r="J82" s="64">
        <v>1.48</v>
      </c>
      <c r="K82" s="64">
        <v>111.92</v>
      </c>
      <c r="L82" s="64">
        <v>16.8</v>
      </c>
      <c r="M82" s="64">
        <v>92.1</v>
      </c>
      <c r="N82" s="64">
        <v>35</v>
      </c>
      <c r="O82" s="64">
        <v>0</v>
      </c>
      <c r="P82" s="64">
        <v>0.93</v>
      </c>
      <c r="Q82" s="64">
        <v>8.2100000000000009</v>
      </c>
      <c r="R82" s="196"/>
      <c r="S82" s="196"/>
      <c r="T82" s="196"/>
      <c r="U82" s="196"/>
    </row>
    <row r="83" spans="1:26" s="12" customFormat="1" x14ac:dyDescent="0.25">
      <c r="A83" s="211" t="s">
        <v>3105</v>
      </c>
      <c r="B83" s="207" t="s">
        <v>36</v>
      </c>
      <c r="C83" s="207" t="s">
        <v>36</v>
      </c>
      <c r="D83" s="207" t="s">
        <v>36</v>
      </c>
      <c r="E83" s="64">
        <v>6.47</v>
      </c>
      <c r="F83" s="64">
        <v>3.8</v>
      </c>
      <c r="G83" s="64">
        <v>73.239999999999995</v>
      </c>
      <c r="H83" s="64">
        <v>23.55</v>
      </c>
      <c r="I83" s="64">
        <v>8.1300000000000008</v>
      </c>
      <c r="J83" s="64">
        <v>0.37</v>
      </c>
      <c r="K83" s="64">
        <v>34</v>
      </c>
      <c r="L83" s="64">
        <v>16.71</v>
      </c>
      <c r="M83" s="64">
        <v>93.15</v>
      </c>
      <c r="N83" s="64">
        <v>34.799999999999997</v>
      </c>
      <c r="O83" s="64">
        <v>0</v>
      </c>
      <c r="P83" s="64">
        <v>0.9</v>
      </c>
      <c r="Q83" s="64">
        <v>8.2100000000000009</v>
      </c>
      <c r="R83" s="196"/>
      <c r="S83" s="196"/>
      <c r="T83" s="196"/>
      <c r="U83" s="196"/>
    </row>
    <row r="84" spans="1:26" s="12" customFormat="1" x14ac:dyDescent="0.25">
      <c r="A84" s="211" t="s">
        <v>3106</v>
      </c>
      <c r="B84" s="207" t="s">
        <v>36</v>
      </c>
      <c r="C84" s="207" t="s">
        <v>36</v>
      </c>
      <c r="D84" s="207" t="s">
        <v>36</v>
      </c>
      <c r="E84" s="64">
        <v>6.58</v>
      </c>
      <c r="F84" s="64">
        <v>3.94</v>
      </c>
      <c r="G84" s="64">
        <v>72.239999999999995</v>
      </c>
      <c r="H84" s="64">
        <v>16.559999999999999</v>
      </c>
      <c r="I84" s="64">
        <v>7.44</v>
      </c>
      <c r="J84" s="64">
        <v>0.81</v>
      </c>
      <c r="K84" s="64">
        <v>50.86</v>
      </c>
      <c r="L84" s="64">
        <v>16.86</v>
      </c>
      <c r="M84" s="64">
        <v>92.85</v>
      </c>
      <c r="N84" s="64">
        <v>35</v>
      </c>
      <c r="O84" s="64">
        <v>0</v>
      </c>
      <c r="P84" s="64">
        <v>0.92</v>
      </c>
      <c r="Q84" s="64">
        <v>8.25</v>
      </c>
      <c r="R84" s="196"/>
      <c r="S84" s="196"/>
      <c r="T84" s="196"/>
      <c r="U84" s="196"/>
    </row>
    <row r="85" spans="1:26" s="12" customFormat="1" x14ac:dyDescent="0.25">
      <c r="A85" s="211" t="s">
        <v>3107</v>
      </c>
      <c r="B85" s="207" t="s">
        <v>36</v>
      </c>
      <c r="C85" s="207" t="s">
        <v>36</v>
      </c>
      <c r="D85" s="207" t="s">
        <v>36</v>
      </c>
      <c r="E85" s="64">
        <v>7.2</v>
      </c>
      <c r="F85" s="64">
        <v>4.07</v>
      </c>
      <c r="G85" s="64">
        <v>71.47</v>
      </c>
      <c r="H85" s="64">
        <v>14.13</v>
      </c>
      <c r="I85" s="64">
        <v>7.66</v>
      </c>
      <c r="J85" s="64">
        <v>0.59</v>
      </c>
      <c r="K85" s="64">
        <v>102.07</v>
      </c>
      <c r="L85" s="64">
        <v>16.690000000000001</v>
      </c>
      <c r="M85" s="64">
        <v>93.9</v>
      </c>
      <c r="N85" s="64">
        <v>35.1</v>
      </c>
      <c r="O85" s="64">
        <v>0</v>
      </c>
      <c r="P85" s="64">
        <v>0.91</v>
      </c>
      <c r="Q85" s="64">
        <v>8.39</v>
      </c>
      <c r="R85" s="196"/>
      <c r="S85" s="196"/>
      <c r="T85" s="196"/>
      <c r="U85" s="196"/>
    </row>
    <row r="86" spans="1:26" s="12" customFormat="1" x14ac:dyDescent="0.25">
      <c r="A86" s="211" t="s">
        <v>3108</v>
      </c>
      <c r="B86" s="207" t="s">
        <v>36</v>
      </c>
      <c r="C86" s="207" t="s">
        <v>36</v>
      </c>
      <c r="D86" s="207" t="s">
        <v>36</v>
      </c>
      <c r="E86" s="64">
        <v>6.63</v>
      </c>
      <c r="F86" s="64">
        <v>3.93</v>
      </c>
      <c r="G86" s="64">
        <v>71.47</v>
      </c>
      <c r="H86" s="64">
        <v>14.13</v>
      </c>
      <c r="I86" s="64">
        <v>8.6199999999999992</v>
      </c>
      <c r="J86" s="64">
        <v>2.06</v>
      </c>
      <c r="K86" s="64">
        <v>112.93</v>
      </c>
      <c r="L86" s="64">
        <v>16.489999999999998</v>
      </c>
      <c r="M86" s="64">
        <v>95.84</v>
      </c>
      <c r="N86" s="64">
        <v>35.1</v>
      </c>
      <c r="O86" s="64">
        <v>0</v>
      </c>
      <c r="P86" s="64">
        <v>0.95</v>
      </c>
      <c r="Q86" s="64">
        <v>8.4</v>
      </c>
      <c r="R86" s="196"/>
      <c r="S86" s="196"/>
      <c r="T86" s="196"/>
      <c r="U86" s="196"/>
    </row>
    <row r="87" spans="1:26" s="12" customFormat="1" x14ac:dyDescent="0.25">
      <c r="A87" s="211" t="s">
        <v>3109</v>
      </c>
      <c r="B87" s="207" t="s">
        <v>36</v>
      </c>
      <c r="C87" s="207" t="s">
        <v>36</v>
      </c>
      <c r="D87" s="207" t="s">
        <v>36</v>
      </c>
      <c r="E87" s="64">
        <v>6.65</v>
      </c>
      <c r="F87" s="64">
        <v>4.07</v>
      </c>
      <c r="G87" s="64">
        <v>71.47</v>
      </c>
      <c r="H87" s="64">
        <v>14.13</v>
      </c>
      <c r="I87" s="64">
        <v>8.7200000000000006</v>
      </c>
      <c r="J87" s="64">
        <v>2.42</v>
      </c>
      <c r="K87" s="64">
        <v>114.03</v>
      </c>
      <c r="L87" s="64">
        <v>16.41</v>
      </c>
      <c r="M87" s="64">
        <v>96.8</v>
      </c>
      <c r="N87" s="64">
        <v>35.1</v>
      </c>
      <c r="O87" s="64">
        <v>0</v>
      </c>
      <c r="P87" s="64">
        <v>0.95</v>
      </c>
      <c r="Q87" s="64">
        <v>8.33</v>
      </c>
      <c r="R87" s="196"/>
      <c r="S87" s="196"/>
      <c r="T87" s="196"/>
      <c r="U87" s="196"/>
    </row>
    <row r="88" spans="1:26" s="12" customFormat="1" x14ac:dyDescent="0.25">
      <c r="A88" s="211" t="s">
        <v>3110</v>
      </c>
      <c r="B88" s="207" t="s">
        <v>36</v>
      </c>
      <c r="C88" s="207" t="s">
        <v>36</v>
      </c>
      <c r="D88" s="207" t="s">
        <v>36</v>
      </c>
      <c r="E88" s="64">
        <v>6.66</v>
      </c>
      <c r="F88" s="64">
        <v>4.0199999999999996</v>
      </c>
      <c r="G88" s="64">
        <v>70.319999999999993</v>
      </c>
      <c r="H88" s="64">
        <v>10.15</v>
      </c>
      <c r="I88" s="64">
        <v>8.61</v>
      </c>
      <c r="J88" s="64">
        <v>2.76</v>
      </c>
      <c r="K88" s="64">
        <v>111.98</v>
      </c>
      <c r="L88" s="64">
        <v>16.22</v>
      </c>
      <c r="M88" s="64">
        <v>98.35</v>
      </c>
      <c r="N88" s="64">
        <v>35.1</v>
      </c>
      <c r="O88" s="64">
        <v>0</v>
      </c>
      <c r="P88" s="64">
        <v>0.96</v>
      </c>
      <c r="Q88" s="64">
        <v>8.34</v>
      </c>
      <c r="R88" s="196"/>
      <c r="S88" s="196"/>
      <c r="T88" s="196"/>
      <c r="U88" s="196"/>
    </row>
    <row r="89" spans="1:26" s="12" customFormat="1" x14ac:dyDescent="0.25">
      <c r="A89" s="211" t="s">
        <v>3111</v>
      </c>
      <c r="B89" s="207" t="s">
        <v>36</v>
      </c>
      <c r="C89" s="207" t="s">
        <v>36</v>
      </c>
      <c r="D89" s="207" t="s">
        <v>36</v>
      </c>
      <c r="E89" s="64">
        <v>6.41</v>
      </c>
      <c r="F89" s="64">
        <v>3.97</v>
      </c>
      <c r="G89" s="64">
        <v>69.44</v>
      </c>
      <c r="H89" s="64">
        <v>8.76</v>
      </c>
      <c r="I89" s="64">
        <v>8.52</v>
      </c>
      <c r="J89" s="64">
        <v>3.41</v>
      </c>
      <c r="K89" s="64">
        <v>112.57</v>
      </c>
      <c r="L89" s="64">
        <v>16.12</v>
      </c>
      <c r="M89" s="64">
        <v>99.53</v>
      </c>
      <c r="N89" s="64">
        <v>34.799999999999997</v>
      </c>
      <c r="O89" s="64">
        <v>0</v>
      </c>
      <c r="P89" s="64">
        <v>0.95</v>
      </c>
      <c r="Q89" s="64">
        <v>8.2899999999999991</v>
      </c>
      <c r="R89" s="196"/>
      <c r="S89" s="196"/>
      <c r="T89" s="196"/>
      <c r="U89" s="196"/>
    </row>
    <row r="90" spans="1:26" s="12" customFormat="1" x14ac:dyDescent="0.25">
      <c r="A90" s="211" t="s">
        <v>3112</v>
      </c>
      <c r="B90" s="207" t="s">
        <v>36</v>
      </c>
      <c r="C90" s="207" t="s">
        <v>36</v>
      </c>
      <c r="D90" s="207" t="s">
        <v>36</v>
      </c>
      <c r="E90" s="64">
        <v>6.14</v>
      </c>
      <c r="F90" s="64">
        <v>3.66</v>
      </c>
      <c r="G90" s="64">
        <v>69.44</v>
      </c>
      <c r="H90" s="64">
        <v>8.76</v>
      </c>
      <c r="I90" s="64">
        <v>8.56</v>
      </c>
      <c r="J90" s="64">
        <v>3.96</v>
      </c>
      <c r="K90" s="64">
        <v>113.77</v>
      </c>
      <c r="L90" s="64">
        <v>16.11</v>
      </c>
      <c r="M90" s="64">
        <v>99.8</v>
      </c>
      <c r="N90" s="64">
        <v>35.1</v>
      </c>
      <c r="O90" s="64">
        <v>0</v>
      </c>
      <c r="P90" s="64">
        <v>0.94</v>
      </c>
      <c r="Q90" s="64">
        <v>8.23</v>
      </c>
      <c r="R90" s="196"/>
      <c r="S90" s="196"/>
      <c r="T90" s="196"/>
      <c r="U90" s="196"/>
    </row>
    <row r="91" spans="1:26" s="12" customFormat="1" x14ac:dyDescent="0.25">
      <c r="A91" s="211" t="s">
        <v>3113</v>
      </c>
      <c r="B91" s="207" t="s">
        <v>36</v>
      </c>
      <c r="C91" s="207" t="s">
        <v>36</v>
      </c>
      <c r="D91" s="207" t="s">
        <v>36</v>
      </c>
      <c r="E91" s="64">
        <v>6.48</v>
      </c>
      <c r="F91" s="64">
        <v>3.8</v>
      </c>
      <c r="G91" s="64">
        <v>69.44</v>
      </c>
      <c r="H91" s="64">
        <v>8.76</v>
      </c>
      <c r="I91" s="64">
        <v>8.6300000000000008</v>
      </c>
      <c r="J91" s="64">
        <v>3.41</v>
      </c>
      <c r="K91" s="64">
        <v>106.39</v>
      </c>
      <c r="L91" s="64">
        <v>16.04</v>
      </c>
      <c r="M91" s="64">
        <v>100.03</v>
      </c>
      <c r="N91" s="64">
        <v>34.9</v>
      </c>
      <c r="O91" s="64">
        <v>0</v>
      </c>
      <c r="P91" s="64">
        <v>0.93</v>
      </c>
      <c r="Q91" s="64">
        <v>8.2100000000000009</v>
      </c>
      <c r="R91" s="196"/>
      <c r="S91" s="196"/>
      <c r="T91" s="196"/>
      <c r="U91" s="196"/>
    </row>
    <row r="92" spans="1:26" s="12" customFormat="1" x14ac:dyDescent="0.25">
      <c r="A92" s="211" t="s">
        <v>3114</v>
      </c>
      <c r="B92" s="207" t="s">
        <v>36</v>
      </c>
      <c r="C92" s="207" t="s">
        <v>36</v>
      </c>
      <c r="D92" s="207" t="s">
        <v>36</v>
      </c>
      <c r="E92" s="64">
        <v>6.26</v>
      </c>
      <c r="F92" s="64">
        <v>3.87</v>
      </c>
      <c r="G92" s="64">
        <v>168.92</v>
      </c>
      <c r="H92" s="64">
        <v>198.49</v>
      </c>
      <c r="I92" s="64">
        <v>8.77</v>
      </c>
      <c r="J92" s="64">
        <v>3.25</v>
      </c>
      <c r="K92" s="64">
        <v>103.65</v>
      </c>
      <c r="L92" s="64">
        <v>15.96</v>
      </c>
      <c r="M92" s="64">
        <v>100.52</v>
      </c>
      <c r="N92" s="64">
        <v>34.799999999999997</v>
      </c>
      <c r="O92" s="64">
        <v>0</v>
      </c>
      <c r="P92" s="64">
        <v>0.92</v>
      </c>
      <c r="Q92" s="64">
        <v>8.2100000000000009</v>
      </c>
      <c r="R92" s="196"/>
      <c r="S92" s="196"/>
      <c r="T92" s="196"/>
      <c r="U92" s="196"/>
    </row>
    <row r="93" spans="1:26" s="12" customFormat="1" x14ac:dyDescent="0.25">
      <c r="A93" s="211" t="s">
        <v>3115</v>
      </c>
      <c r="B93" s="207" t="s">
        <v>36</v>
      </c>
      <c r="C93" s="207" t="s">
        <v>36</v>
      </c>
      <c r="D93" s="207" t="s">
        <v>36</v>
      </c>
      <c r="E93" s="64">
        <v>6.31</v>
      </c>
      <c r="F93" s="64">
        <v>3.85</v>
      </c>
      <c r="G93" s="64">
        <v>244.98</v>
      </c>
      <c r="H93" s="64">
        <v>264.32</v>
      </c>
      <c r="I93" s="64">
        <v>8.91</v>
      </c>
      <c r="J93" s="64">
        <v>3.23</v>
      </c>
      <c r="K93" s="64">
        <v>109.52</v>
      </c>
      <c r="L93" s="64">
        <v>15.85</v>
      </c>
      <c r="M93" s="64">
        <v>101.23</v>
      </c>
      <c r="N93" s="64">
        <v>34.799999999999997</v>
      </c>
      <c r="O93" s="64">
        <v>0</v>
      </c>
      <c r="P93" s="64">
        <v>0.91</v>
      </c>
      <c r="Q93" s="64">
        <v>8.2100000000000009</v>
      </c>
      <c r="R93" s="196"/>
      <c r="S93" s="196"/>
      <c r="T93" s="196"/>
      <c r="U93" s="196"/>
    </row>
    <row r="94" spans="1:26" s="12" customFormat="1" x14ac:dyDescent="0.25">
      <c r="A94" s="211" t="s">
        <v>3116</v>
      </c>
      <c r="B94" s="207" t="s">
        <v>36</v>
      </c>
      <c r="C94" s="207" t="s">
        <v>36</v>
      </c>
      <c r="D94" s="207" t="s">
        <v>36</v>
      </c>
      <c r="E94" s="64">
        <v>5.92</v>
      </c>
      <c r="F94" s="64">
        <v>3.96</v>
      </c>
      <c r="G94" s="64">
        <v>244.98</v>
      </c>
      <c r="H94" s="64">
        <v>264.32</v>
      </c>
      <c r="I94" s="64">
        <v>9.01</v>
      </c>
      <c r="J94" s="64">
        <v>3.46</v>
      </c>
      <c r="K94" s="64">
        <v>109.2</v>
      </c>
      <c r="L94" s="64">
        <v>15.75</v>
      </c>
      <c r="M94" s="64">
        <v>102.27</v>
      </c>
      <c r="N94" s="64">
        <v>34.799999999999997</v>
      </c>
      <c r="O94" s="64">
        <v>0</v>
      </c>
      <c r="P94" s="64">
        <v>0.89</v>
      </c>
      <c r="Q94" s="64">
        <v>8.2100000000000009</v>
      </c>
      <c r="R94" s="196"/>
      <c r="S94" s="196"/>
      <c r="T94" s="196"/>
      <c r="U94" s="196"/>
    </row>
    <row r="95" spans="1:26" s="12" customFormat="1" x14ac:dyDescent="0.25">
      <c r="A95" s="211" t="s">
        <v>3117</v>
      </c>
      <c r="B95" s="207" t="s">
        <v>36</v>
      </c>
      <c r="C95" s="207" t="s">
        <v>36</v>
      </c>
      <c r="D95" s="207" t="s">
        <v>36</v>
      </c>
      <c r="E95" s="64">
        <v>6.45</v>
      </c>
      <c r="F95" s="64">
        <v>3.73</v>
      </c>
      <c r="G95" s="64">
        <v>244.98</v>
      </c>
      <c r="H95" s="64">
        <v>264.32</v>
      </c>
      <c r="I95" s="64">
        <v>8.77</v>
      </c>
      <c r="J95" s="64">
        <v>3.16</v>
      </c>
      <c r="K95" s="64">
        <v>116.84</v>
      </c>
      <c r="L95" s="64">
        <v>15.64</v>
      </c>
      <c r="M95" s="64">
        <v>102.59</v>
      </c>
      <c r="N95" s="64">
        <v>34.799999999999997</v>
      </c>
      <c r="O95" s="64">
        <v>0</v>
      </c>
      <c r="P95" s="64">
        <v>0.88</v>
      </c>
      <c r="Q95" s="64">
        <v>8.2100000000000009</v>
      </c>
      <c r="R95" s="196"/>
      <c r="S95" s="196"/>
      <c r="T95" s="196"/>
      <c r="U95" s="196"/>
    </row>
    <row r="96" spans="1:26" s="12" customFormat="1" x14ac:dyDescent="0.25">
      <c r="A96" s="211" t="s">
        <v>3118</v>
      </c>
      <c r="B96" s="207" t="s">
        <v>36</v>
      </c>
      <c r="C96" s="207" t="s">
        <v>36</v>
      </c>
      <c r="D96" s="207" t="s">
        <v>36</v>
      </c>
      <c r="E96" s="64">
        <v>5.82</v>
      </c>
      <c r="F96" s="64">
        <v>3.72</v>
      </c>
      <c r="G96" s="64">
        <v>140.91999999999999</v>
      </c>
      <c r="H96" s="64">
        <v>121.91</v>
      </c>
      <c r="I96" s="64">
        <v>8.8699999999999992</v>
      </c>
      <c r="J96" s="64">
        <v>3.64</v>
      </c>
      <c r="K96" s="64">
        <v>117.46</v>
      </c>
      <c r="L96" s="64">
        <v>15.54</v>
      </c>
      <c r="M96" s="64">
        <v>102.54</v>
      </c>
      <c r="N96" s="64">
        <v>34.799999999999997</v>
      </c>
      <c r="O96" s="64">
        <v>0</v>
      </c>
      <c r="P96" s="64">
        <v>0.86</v>
      </c>
      <c r="Q96" s="64">
        <v>8.2100000000000009</v>
      </c>
      <c r="R96" s="196"/>
      <c r="S96" s="196"/>
      <c r="T96" s="210"/>
      <c r="U96" s="196"/>
      <c r="Z96" s="109"/>
    </row>
    <row r="97" spans="1:33" s="12" customFormat="1" x14ac:dyDescent="0.25">
      <c r="A97" s="211" t="s">
        <v>3119</v>
      </c>
      <c r="B97" s="207" t="s">
        <v>36</v>
      </c>
      <c r="C97" s="207" t="s">
        <v>36</v>
      </c>
      <c r="D97" s="207" t="s">
        <v>36</v>
      </c>
      <c r="E97" s="64">
        <v>6.34</v>
      </c>
      <c r="F97" s="64">
        <v>3.73</v>
      </c>
      <c r="G97" s="64">
        <v>61.35</v>
      </c>
      <c r="H97" s="64">
        <v>25.07</v>
      </c>
      <c r="I97" s="64">
        <v>8.67</v>
      </c>
      <c r="J97" s="64">
        <v>3.53</v>
      </c>
      <c r="K97" s="64">
        <v>115.31</v>
      </c>
      <c r="L97" s="64">
        <v>15.54</v>
      </c>
      <c r="M97" s="64">
        <v>102.49</v>
      </c>
      <c r="N97" s="64">
        <v>35</v>
      </c>
      <c r="O97" s="64">
        <v>0</v>
      </c>
      <c r="P97" s="64">
        <v>0.86</v>
      </c>
      <c r="Q97" s="64">
        <v>8.2100000000000009</v>
      </c>
      <c r="R97" s="196"/>
      <c r="S97" s="196"/>
      <c r="T97" s="196"/>
      <c r="U97" s="196"/>
    </row>
    <row r="98" spans="1:33" s="12" customFormat="1" x14ac:dyDescent="0.25">
      <c r="A98" s="211" t="s">
        <v>3120</v>
      </c>
      <c r="B98" s="207" t="s">
        <v>36</v>
      </c>
      <c r="C98" s="207" t="s">
        <v>36</v>
      </c>
      <c r="D98" s="207" t="s">
        <v>36</v>
      </c>
      <c r="E98" s="64">
        <v>6.18</v>
      </c>
      <c r="F98" s="64">
        <v>3.78</v>
      </c>
      <c r="G98" s="64">
        <v>61.35</v>
      </c>
      <c r="H98" s="64">
        <v>25.07</v>
      </c>
      <c r="I98" s="64">
        <v>8.56</v>
      </c>
      <c r="J98" s="64">
        <v>2.77</v>
      </c>
      <c r="K98" s="64">
        <v>111.66</v>
      </c>
      <c r="L98" s="64">
        <v>15.42</v>
      </c>
      <c r="M98" s="64">
        <v>102.48</v>
      </c>
      <c r="N98" s="64">
        <v>35.1</v>
      </c>
      <c r="O98" s="64">
        <v>0</v>
      </c>
      <c r="P98" s="64">
        <v>0.84</v>
      </c>
      <c r="Q98" s="64">
        <v>8.2100000000000009</v>
      </c>
      <c r="R98" s="196"/>
      <c r="S98" s="196"/>
      <c r="T98" s="196"/>
      <c r="U98" s="196"/>
    </row>
    <row r="99" spans="1:33" s="12" customFormat="1" x14ac:dyDescent="0.25">
      <c r="A99" s="211" t="s">
        <v>3121</v>
      </c>
      <c r="B99" s="207" t="s">
        <v>36</v>
      </c>
      <c r="C99" s="207" t="s">
        <v>36</v>
      </c>
      <c r="D99" s="207" t="s">
        <v>36</v>
      </c>
      <c r="E99" s="64">
        <v>6.58</v>
      </c>
      <c r="F99" s="64">
        <v>3.5</v>
      </c>
      <c r="G99" s="64">
        <v>61.35</v>
      </c>
      <c r="H99" s="64">
        <v>25.07</v>
      </c>
      <c r="I99" s="64">
        <v>8.81</v>
      </c>
      <c r="J99" s="64">
        <v>3.1</v>
      </c>
      <c r="K99" s="64">
        <v>111.81</v>
      </c>
      <c r="L99" s="64">
        <v>15.31</v>
      </c>
      <c r="M99" s="64">
        <v>102.5</v>
      </c>
      <c r="N99" s="64">
        <v>34.799999999999997</v>
      </c>
      <c r="O99" s="64">
        <v>0</v>
      </c>
      <c r="P99" s="64">
        <v>0.82</v>
      </c>
      <c r="Q99" s="64">
        <v>8.2100000000000009</v>
      </c>
      <c r="R99" s="196"/>
      <c r="S99" s="196"/>
      <c r="T99" s="196"/>
      <c r="U99" s="196"/>
    </row>
    <row r="100" spans="1:33" s="12" customFormat="1" x14ac:dyDescent="0.25">
      <c r="A100" s="211" t="s">
        <v>3122</v>
      </c>
      <c r="B100" s="207" t="s">
        <v>36</v>
      </c>
      <c r="C100" s="207" t="s">
        <v>36</v>
      </c>
      <c r="D100" s="207" t="s">
        <v>36</v>
      </c>
      <c r="E100" s="64">
        <v>6.35</v>
      </c>
      <c r="F100" s="64">
        <v>3.43</v>
      </c>
      <c r="G100" s="64">
        <v>48.44</v>
      </c>
      <c r="H100" s="64">
        <v>39.979999999999997</v>
      </c>
      <c r="I100" s="64">
        <v>8.66</v>
      </c>
      <c r="J100" s="64">
        <v>3.66</v>
      </c>
      <c r="K100" s="64">
        <v>113.02</v>
      </c>
      <c r="L100" s="64">
        <v>15.3</v>
      </c>
      <c r="M100" s="64">
        <v>102.5</v>
      </c>
      <c r="N100" s="64">
        <v>34.799999999999997</v>
      </c>
      <c r="O100" s="64">
        <v>0</v>
      </c>
      <c r="P100" s="64">
        <v>0.78</v>
      </c>
      <c r="Q100" s="64">
        <v>8.2100000000000009</v>
      </c>
      <c r="R100" s="196"/>
      <c r="S100" s="196"/>
      <c r="T100" s="196"/>
      <c r="U100" s="196"/>
      <c r="AB100" s="110"/>
      <c r="AG100" s="109"/>
    </row>
    <row r="101" spans="1:33" s="12" customFormat="1" x14ac:dyDescent="0.25">
      <c r="A101" s="211" t="s">
        <v>3123</v>
      </c>
      <c r="B101" s="207" t="s">
        <v>36</v>
      </c>
      <c r="C101" s="207" t="s">
        <v>36</v>
      </c>
      <c r="D101" s="207" t="s">
        <v>36</v>
      </c>
      <c r="E101" s="64">
        <v>6.33</v>
      </c>
      <c r="F101" s="64">
        <v>3.62</v>
      </c>
      <c r="G101" s="64">
        <v>38.57</v>
      </c>
      <c r="H101" s="64">
        <v>45.16</v>
      </c>
      <c r="I101" s="64">
        <v>8.8000000000000007</v>
      </c>
      <c r="J101" s="64">
        <v>3.65</v>
      </c>
      <c r="K101" s="64">
        <v>110.83</v>
      </c>
      <c r="L101" s="64">
        <v>15.35</v>
      </c>
      <c r="M101" s="64">
        <v>102.49</v>
      </c>
      <c r="N101" s="64">
        <v>35.1</v>
      </c>
      <c r="O101" s="64">
        <v>0</v>
      </c>
      <c r="P101" s="64">
        <v>0.8</v>
      </c>
      <c r="Q101" s="64">
        <v>8.2100000000000009</v>
      </c>
      <c r="R101" s="196"/>
      <c r="S101" s="196"/>
      <c r="T101" s="196"/>
      <c r="U101" s="196"/>
    </row>
    <row r="102" spans="1:33" s="12" customFormat="1" x14ac:dyDescent="0.25">
      <c r="A102" s="211" t="s">
        <v>3124</v>
      </c>
      <c r="B102" s="207" t="s">
        <v>36</v>
      </c>
      <c r="C102" s="207" t="s">
        <v>36</v>
      </c>
      <c r="D102" s="207" t="s">
        <v>36</v>
      </c>
      <c r="E102" s="64">
        <v>6.54</v>
      </c>
      <c r="F102" s="64">
        <v>3.89</v>
      </c>
      <c r="G102" s="64">
        <v>38.57</v>
      </c>
      <c r="H102" s="64">
        <v>45.16</v>
      </c>
      <c r="I102" s="64">
        <v>8.1199999999999992</v>
      </c>
      <c r="J102" s="64">
        <v>4.09</v>
      </c>
      <c r="K102" s="64">
        <v>110.05</v>
      </c>
      <c r="L102" s="64">
        <v>15.34</v>
      </c>
      <c r="M102" s="64">
        <v>102.49</v>
      </c>
      <c r="N102" s="64">
        <v>35.4</v>
      </c>
      <c r="O102" s="64">
        <v>0</v>
      </c>
      <c r="P102" s="64">
        <v>0.78</v>
      </c>
      <c r="Q102" s="64">
        <v>8.2100000000000009</v>
      </c>
      <c r="R102" s="196"/>
      <c r="S102" s="196"/>
      <c r="T102" s="196"/>
      <c r="U102" s="196"/>
    </row>
    <row r="103" spans="1:33" s="12" customFormat="1" x14ac:dyDescent="0.25">
      <c r="A103" s="211" t="s">
        <v>3125</v>
      </c>
      <c r="B103" s="207" t="s">
        <v>36</v>
      </c>
      <c r="C103" s="207" t="s">
        <v>36</v>
      </c>
      <c r="D103" s="207" t="s">
        <v>36</v>
      </c>
      <c r="E103" s="64">
        <v>6.57</v>
      </c>
      <c r="F103" s="64">
        <v>4.1900000000000004</v>
      </c>
      <c r="G103" s="64">
        <v>38.57</v>
      </c>
      <c r="H103" s="64">
        <v>45.16</v>
      </c>
      <c r="I103" s="64">
        <v>8.83</v>
      </c>
      <c r="J103" s="64">
        <v>3.43</v>
      </c>
      <c r="K103" s="64">
        <v>109.59</v>
      </c>
      <c r="L103" s="64">
        <v>15.28</v>
      </c>
      <c r="M103" s="64">
        <v>102.5</v>
      </c>
      <c r="N103" s="64">
        <v>35.4</v>
      </c>
      <c r="O103" s="64">
        <v>0</v>
      </c>
      <c r="P103" s="64">
        <v>0.75</v>
      </c>
      <c r="Q103" s="64">
        <v>8.2100000000000009</v>
      </c>
      <c r="R103" s="196"/>
      <c r="S103" s="196"/>
      <c r="T103" s="196"/>
      <c r="U103" s="196"/>
    </row>
    <row r="104" spans="1:33" s="12" customFormat="1" x14ac:dyDescent="0.25">
      <c r="A104" s="211" t="s">
        <v>3126</v>
      </c>
      <c r="B104" s="207" t="s">
        <v>36</v>
      </c>
      <c r="C104" s="207" t="s">
        <v>36</v>
      </c>
      <c r="D104" s="207" t="s">
        <v>36</v>
      </c>
      <c r="E104" s="64">
        <v>4.3</v>
      </c>
      <c r="F104" s="64">
        <v>3.88</v>
      </c>
      <c r="G104" s="64">
        <v>33.11</v>
      </c>
      <c r="H104" s="64">
        <v>12.97</v>
      </c>
      <c r="I104" s="64">
        <v>9.01</v>
      </c>
      <c r="J104" s="64">
        <v>3.35</v>
      </c>
      <c r="K104" s="64">
        <v>108.12</v>
      </c>
      <c r="L104" s="64">
        <v>15.25</v>
      </c>
      <c r="M104" s="64">
        <v>102.51</v>
      </c>
      <c r="N104" s="64">
        <v>35.1</v>
      </c>
      <c r="O104" s="64">
        <v>0</v>
      </c>
      <c r="P104" s="64">
        <v>0.73</v>
      </c>
      <c r="Q104" s="64">
        <v>8.2100000000000009</v>
      </c>
      <c r="R104" s="196"/>
      <c r="S104" s="196"/>
      <c r="T104" s="196"/>
      <c r="U104" s="196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7"/>
      <c r="S105" s="137"/>
      <c r="T105" s="137"/>
      <c r="U105" s="137"/>
    </row>
    <row r="106" spans="1:33" x14ac:dyDescent="0.25">
      <c r="A106" s="65" t="s">
        <v>59</v>
      </c>
      <c r="B106" s="67">
        <f>MIN(B9:B104)</f>
        <v>0</v>
      </c>
      <c r="C106" s="67">
        <f>MIN(C9:C104)</f>
        <v>0</v>
      </c>
      <c r="D106" s="67">
        <f t="shared" ref="D106:Q106" si="0">MIN(D9:D104)</f>
        <v>0</v>
      </c>
      <c r="E106" s="67">
        <f t="shared" si="0"/>
        <v>4.3</v>
      </c>
      <c r="F106" s="67">
        <f t="shared" si="0"/>
        <v>3.43</v>
      </c>
      <c r="G106" s="67">
        <f t="shared" si="0"/>
        <v>33.11</v>
      </c>
      <c r="H106" s="67">
        <f t="shared" si="0"/>
        <v>8.76</v>
      </c>
      <c r="I106" s="67">
        <f t="shared" si="0"/>
        <v>4.84</v>
      </c>
      <c r="J106" s="67">
        <f t="shared" si="0"/>
        <v>0.37</v>
      </c>
      <c r="K106" s="67">
        <f t="shared" si="0"/>
        <v>2.56</v>
      </c>
      <c r="L106" s="67">
        <f t="shared" si="0"/>
        <v>13.33</v>
      </c>
      <c r="M106" s="67">
        <f t="shared" si="0"/>
        <v>64.349999999999994</v>
      </c>
      <c r="N106" s="67">
        <f t="shared" si="0"/>
        <v>34.5</v>
      </c>
      <c r="O106" s="67">
        <f t="shared" si="0"/>
        <v>0</v>
      </c>
      <c r="P106" s="67">
        <f t="shared" si="0"/>
        <v>0.71</v>
      </c>
      <c r="Q106" s="67">
        <f t="shared" si="0"/>
        <v>8.2100000000000009</v>
      </c>
      <c r="R106" s="197"/>
      <c r="S106" s="197"/>
      <c r="T106" s="197"/>
      <c r="U106" s="197"/>
    </row>
    <row r="107" spans="1:33" x14ac:dyDescent="0.25">
      <c r="A107" s="65" t="s">
        <v>60</v>
      </c>
      <c r="B107" s="66">
        <f>MAX(B9:B104)</f>
        <v>0</v>
      </c>
      <c r="C107" s="66">
        <f t="shared" ref="C107:Q107" si="1">MAX(C9:C104)</f>
        <v>0</v>
      </c>
      <c r="D107" s="66">
        <f t="shared" si="1"/>
        <v>0</v>
      </c>
      <c r="E107" s="66">
        <f t="shared" si="1"/>
        <v>7.72</v>
      </c>
      <c r="F107" s="66">
        <f t="shared" si="1"/>
        <v>4.8899999999999997</v>
      </c>
      <c r="G107" s="66">
        <f t="shared" si="1"/>
        <v>244.98</v>
      </c>
      <c r="H107" s="66">
        <f t="shared" si="1"/>
        <v>264.32</v>
      </c>
      <c r="I107" s="66">
        <f t="shared" si="1"/>
        <v>9.01</v>
      </c>
      <c r="J107" s="66">
        <f t="shared" si="1"/>
        <v>4.09</v>
      </c>
      <c r="K107" s="66">
        <f t="shared" si="1"/>
        <v>356.95</v>
      </c>
      <c r="L107" s="66">
        <f t="shared" si="1"/>
        <v>20.49</v>
      </c>
      <c r="M107" s="66">
        <f t="shared" si="1"/>
        <v>102.59</v>
      </c>
      <c r="N107" s="66">
        <f t="shared" si="1"/>
        <v>345.5</v>
      </c>
      <c r="O107" s="66">
        <f t="shared" si="1"/>
        <v>0</v>
      </c>
      <c r="P107" s="66">
        <f t="shared" si="1"/>
        <v>1.1599999999999999</v>
      </c>
      <c r="Q107" s="66">
        <f t="shared" si="1"/>
        <v>9.17</v>
      </c>
      <c r="R107" s="198"/>
      <c r="S107" s="198"/>
      <c r="T107" s="198"/>
      <c r="U107" s="198"/>
    </row>
    <row r="108" spans="1:33" x14ac:dyDescent="0.25">
      <c r="A108" s="65" t="s">
        <v>61</v>
      </c>
      <c r="B108" s="67" t="e">
        <f>AVERAGE(B9:B104)</f>
        <v>#DIV/0!</v>
      </c>
      <c r="C108" s="67" t="e">
        <f t="shared" ref="C108:Q108" si="2">AVERAGE(C9:C104)</f>
        <v>#DIV/0!</v>
      </c>
      <c r="D108" s="67" t="e">
        <f t="shared" si="2"/>
        <v>#DIV/0!</v>
      </c>
      <c r="E108" s="67">
        <f t="shared" si="2"/>
        <v>6.5698958333333328</v>
      </c>
      <c r="F108" s="67">
        <f t="shared" si="2"/>
        <v>3.9666666666666686</v>
      </c>
      <c r="G108" s="67">
        <f t="shared" si="2"/>
        <v>82.687187499999979</v>
      </c>
      <c r="H108" s="67">
        <f t="shared" si="2"/>
        <v>45.440104166666657</v>
      </c>
      <c r="I108" s="67">
        <f t="shared" si="2"/>
        <v>6.9847916666666627</v>
      </c>
      <c r="J108" s="67">
        <f t="shared" si="2"/>
        <v>2.1073958333333329</v>
      </c>
      <c r="K108" s="67">
        <f t="shared" si="2"/>
        <v>189.89718750000006</v>
      </c>
      <c r="L108" s="67">
        <f t="shared" si="2"/>
        <v>16.535729166666666</v>
      </c>
      <c r="M108" s="67">
        <f t="shared" si="2"/>
        <v>82.600000000000009</v>
      </c>
      <c r="N108" s="67">
        <f t="shared" si="2"/>
        <v>79.876041666666708</v>
      </c>
      <c r="O108" s="67">
        <f t="shared" si="2"/>
        <v>0</v>
      </c>
      <c r="P108" s="67">
        <f t="shared" si="2"/>
        <v>0.84250000000000014</v>
      </c>
      <c r="Q108" s="67">
        <f t="shared" si="2"/>
        <v>8.3630208333333425</v>
      </c>
      <c r="R108" s="197"/>
      <c r="S108" s="197"/>
      <c r="T108" s="197"/>
      <c r="U108" s="197"/>
    </row>
    <row r="109" spans="1:33" x14ac:dyDescent="0.25">
      <c r="A109" s="65" t="s">
        <v>77</v>
      </c>
      <c r="B109" s="67" t="e">
        <f>STDEV(B9:B104)</f>
        <v>#DIV/0!</v>
      </c>
      <c r="C109" s="67" t="e">
        <f t="shared" ref="C109:Q109" si="3">STDEV(C9:C104)</f>
        <v>#DIV/0!</v>
      </c>
      <c r="D109" s="67" t="e">
        <f t="shared" si="3"/>
        <v>#DIV/0!</v>
      </c>
      <c r="E109" s="67">
        <f t="shared" si="3"/>
        <v>0.63224328227546733</v>
      </c>
      <c r="F109" s="67">
        <f t="shared" si="3"/>
        <v>0.32494425972745627</v>
      </c>
      <c r="G109" s="67">
        <f t="shared" si="3"/>
        <v>33.117840722363539</v>
      </c>
      <c r="H109" s="67">
        <f t="shared" si="3"/>
        <v>44.686539536850582</v>
      </c>
      <c r="I109" s="67">
        <f t="shared" si="3"/>
        <v>1.3444247286022577</v>
      </c>
      <c r="J109" s="67">
        <f t="shared" si="3"/>
        <v>1.1007196160901358</v>
      </c>
      <c r="K109" s="67">
        <f t="shared" si="3"/>
        <v>126.5699745362691</v>
      </c>
      <c r="L109" s="67">
        <f t="shared" si="3"/>
        <v>2.132156183077381</v>
      </c>
      <c r="M109" s="67">
        <f t="shared" si="3"/>
        <v>11.350849353798635</v>
      </c>
      <c r="N109" s="67">
        <f t="shared" si="3"/>
        <v>72.843302252945875</v>
      </c>
      <c r="O109" s="67">
        <f t="shared" si="3"/>
        <v>0</v>
      </c>
      <c r="P109" s="67">
        <f t="shared" si="3"/>
        <v>8.7743645743842816E-2</v>
      </c>
      <c r="Q109" s="67">
        <f t="shared" si="3"/>
        <v>0.26682586393876168</v>
      </c>
      <c r="R109" s="197"/>
      <c r="S109" s="197"/>
      <c r="T109" s="197"/>
      <c r="U109" s="197"/>
    </row>
    <row r="110" spans="1:33" x14ac:dyDescent="0.25">
      <c r="A110" s="65" t="s">
        <v>62</v>
      </c>
      <c r="B110" s="66">
        <f>COUNT(B9:B104)+96</f>
        <v>96</v>
      </c>
      <c r="C110" s="66">
        <f t="shared" ref="C110:D110" si="4">COUNT(C9:C104)+96</f>
        <v>96</v>
      </c>
      <c r="D110" s="66">
        <f t="shared" si="4"/>
        <v>96</v>
      </c>
      <c r="E110" s="66">
        <f t="shared" ref="B110:Q110" si="5">COUNT(E9:E104)</f>
        <v>96</v>
      </c>
      <c r="F110" s="66">
        <f t="shared" si="5"/>
        <v>96</v>
      </c>
      <c r="G110" s="66">
        <f t="shared" si="5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198"/>
      <c r="S110" s="198"/>
      <c r="T110" s="198"/>
      <c r="U110" s="198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5"/>
      <c r="S111" s="195"/>
      <c r="T111" s="195"/>
      <c r="U111" s="195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5"/>
      <c r="S112" s="195"/>
      <c r="T112" s="195"/>
      <c r="U112" s="195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7" sqref="G57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244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01/11/2024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6" t="s">
        <v>228</v>
      </c>
      <c r="C7" s="196" t="s">
        <v>229</v>
      </c>
      <c r="D7" s="196" t="s">
        <v>230</v>
      </c>
      <c r="E7" s="196" t="s">
        <v>231</v>
      </c>
      <c r="F7" s="196" t="s">
        <v>232</v>
      </c>
      <c r="G7" s="196" t="s">
        <v>233</v>
      </c>
      <c r="H7" s="196" t="s">
        <v>234</v>
      </c>
      <c r="I7" s="196" t="s">
        <v>235</v>
      </c>
      <c r="J7" s="196" t="s">
        <v>236</v>
      </c>
      <c r="K7" s="196" t="s">
        <v>237</v>
      </c>
      <c r="L7" s="196" t="s">
        <v>238</v>
      </c>
      <c r="M7" s="196" t="s">
        <v>239</v>
      </c>
      <c r="N7" s="196" t="s">
        <v>240</v>
      </c>
      <c r="O7" s="196" t="s">
        <v>241</v>
      </c>
      <c r="P7" s="196" t="s">
        <v>242</v>
      </c>
      <c r="Q7" s="196" t="s">
        <v>243</v>
      </c>
      <c r="R7" s="194"/>
      <c r="S7" s="195"/>
      <c r="T7" s="194"/>
      <c r="U7" s="194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4"/>
      <c r="S8" s="195"/>
      <c r="T8" s="194"/>
      <c r="U8" s="194"/>
    </row>
    <row r="9" spans="1:21" x14ac:dyDescent="0.25">
      <c r="A9" s="94" t="str">
        <f>'01'!$B$2</f>
        <v>01/11/2024 00:15</v>
      </c>
      <c r="B9" s="61">
        <f>'01'!B108</f>
        <v>16.357812500000005</v>
      </c>
      <c r="C9" s="61">
        <f>'01'!C108</f>
        <v>11.590520833333334</v>
      </c>
      <c r="D9" s="61">
        <f>'01'!D108</f>
        <v>17.796770833333333</v>
      </c>
      <c r="E9" s="61">
        <f>'01'!E108</f>
        <v>6.889166666666668</v>
      </c>
      <c r="F9" s="61">
        <f>'01'!F108</f>
        <v>5.6156250000000014</v>
      </c>
      <c r="G9" s="99">
        <f>'01'!$G$108</f>
        <v>142.17494252873561</v>
      </c>
      <c r="H9" s="61">
        <f>'01'!H108</f>
        <v>93.096091954022995</v>
      </c>
      <c r="I9" s="61">
        <f>'01'!I108</f>
        <v>5.1329166666666657</v>
      </c>
      <c r="J9" s="61">
        <f>'01'!J108</f>
        <v>0.61052083333333329</v>
      </c>
      <c r="K9" s="61">
        <f>'01'!K108</f>
        <v>225.08010416666664</v>
      </c>
      <c r="L9" s="61">
        <f>'01'!L108</f>
        <v>26.167812499999997</v>
      </c>
      <c r="M9" s="61">
        <f>'01'!M108</f>
        <v>67.689791666666693</v>
      </c>
      <c r="N9" s="61">
        <f>'01'!N108</f>
        <v>174.75416666666658</v>
      </c>
      <c r="O9" s="61">
        <f>'01'!O108</f>
        <v>0</v>
      </c>
      <c r="P9" s="199">
        <f>'01'!P108</f>
        <v>0.9341666666666667</v>
      </c>
      <c r="Q9" s="61">
        <f>'01'!Q108</f>
        <v>9.6189583333333371</v>
      </c>
      <c r="R9" s="116"/>
      <c r="S9" s="116"/>
      <c r="T9" s="116"/>
      <c r="U9" s="116"/>
    </row>
    <row r="10" spans="1:21" x14ac:dyDescent="0.25">
      <c r="A10" s="94" t="str">
        <f>'02'!$B$2</f>
        <v>02/11/2024 00:15</v>
      </c>
      <c r="B10" s="61">
        <f>'02'!B108</f>
        <v>19.360416666666669</v>
      </c>
      <c r="C10" s="61">
        <f>'02'!C108</f>
        <v>13.743333333333334</v>
      </c>
      <c r="D10" s="61">
        <f>'02'!D108</f>
        <v>21.329375000000002</v>
      </c>
      <c r="E10" s="61">
        <f>'02'!E108</f>
        <v>5.6892708333333353</v>
      </c>
      <c r="F10" s="61">
        <f>'02'!F108</f>
        <v>5.0896875000000001</v>
      </c>
      <c r="G10" s="61">
        <f>'02'!G108</f>
        <v>106.36812499999995</v>
      </c>
      <c r="H10" s="61">
        <f>'02'!H108</f>
        <v>52.44760416666665</v>
      </c>
      <c r="I10" s="61">
        <f>'02'!I108</f>
        <v>4.9038541666666688</v>
      </c>
      <c r="J10" s="61">
        <f>'02'!J108</f>
        <v>0.40749999999999997</v>
      </c>
      <c r="K10" s="61">
        <f>'02'!K108</f>
        <v>233.29468749999992</v>
      </c>
      <c r="L10" s="61">
        <f>'02'!L108</f>
        <v>26.241770833333323</v>
      </c>
      <c r="M10" s="61">
        <f>'02'!M108</f>
        <v>64.977708333333283</v>
      </c>
      <c r="N10" s="61">
        <f>'02'!N108</f>
        <v>154.23541666666668</v>
      </c>
      <c r="O10" s="61">
        <f>'02'!O108</f>
        <v>0</v>
      </c>
      <c r="P10" s="199">
        <f>'02'!P108</f>
        <v>0.82750000000000001</v>
      </c>
      <c r="Q10" s="61">
        <f>'02'!Q108</f>
        <v>9.6209375000000037</v>
      </c>
      <c r="R10" s="116"/>
      <c r="S10" s="116"/>
      <c r="T10" s="116"/>
      <c r="U10" s="116"/>
    </row>
    <row r="11" spans="1:21" x14ac:dyDescent="0.25">
      <c r="A11" s="94" t="str">
        <f>'03'!$B$2</f>
        <v>03/11/2024 00:15</v>
      </c>
      <c r="B11" s="61">
        <f>'03'!B108</f>
        <v>14.221041666666666</v>
      </c>
      <c r="C11" s="61">
        <f>'03'!C108</f>
        <v>15.084375000000003</v>
      </c>
      <c r="D11" s="61">
        <f>'03'!D108</f>
        <v>17.908645833333335</v>
      </c>
      <c r="E11" s="61">
        <f>'03'!E108</f>
        <v>5.7720833333333346</v>
      </c>
      <c r="F11" s="61">
        <f>'03'!F108</f>
        <v>5.1382291666666662</v>
      </c>
      <c r="G11" s="61">
        <f>'03'!G108</f>
        <v>86.887499999999989</v>
      </c>
      <c r="H11" s="61">
        <f>'03'!H108</f>
        <v>42.773333333333333</v>
      </c>
      <c r="I11" s="61">
        <f>'03'!I108</f>
        <v>4.7923958333333347</v>
      </c>
      <c r="J11" s="61">
        <f>'03'!J108</f>
        <v>0.4892708333333336</v>
      </c>
      <c r="K11" s="61">
        <f>'03'!K108</f>
        <v>205.61947916666668</v>
      </c>
      <c r="L11" s="61">
        <f>'03'!L108</f>
        <v>25.861354166666672</v>
      </c>
      <c r="M11" s="61">
        <f>'03'!M108</f>
        <v>62.982604166666654</v>
      </c>
      <c r="N11" s="61">
        <f>'03'!N108</f>
        <v>152.82083333333338</v>
      </c>
      <c r="O11" s="61">
        <f>'03'!O108</f>
        <v>0</v>
      </c>
      <c r="P11" s="199">
        <f>'03'!P108</f>
        <v>0.82583333333333353</v>
      </c>
      <c r="Q11" s="61">
        <f>'03'!Q108</f>
        <v>9.6214583333333366</v>
      </c>
      <c r="R11" s="116"/>
      <c r="S11" s="116"/>
      <c r="T11" s="116"/>
      <c r="U11" s="116"/>
    </row>
    <row r="12" spans="1:21" x14ac:dyDescent="0.25">
      <c r="A12" s="94" t="str">
        <f>'04'!$B$2</f>
        <v>04/11/2024 00:15</v>
      </c>
      <c r="B12" s="61">
        <f>'04'!B108</f>
        <v>31.443124999999995</v>
      </c>
      <c r="C12" s="61">
        <f>'04'!C108</f>
        <v>19.303125000000001</v>
      </c>
      <c r="D12" s="61">
        <f>'04'!D108</f>
        <v>33.923750000000005</v>
      </c>
      <c r="E12" s="61">
        <f>'04'!E108</f>
        <v>6.776250000000001</v>
      </c>
      <c r="F12" s="61">
        <f>'04'!F108</f>
        <v>5.7176041666666677</v>
      </c>
      <c r="G12" s="61">
        <f>'04'!G108</f>
        <v>98.166413043478215</v>
      </c>
      <c r="H12" s="61">
        <f>'04'!H108</f>
        <v>41.361630434782619</v>
      </c>
      <c r="I12" s="61">
        <f>'04'!I108</f>
        <v>5.1920833333333327</v>
      </c>
      <c r="J12" s="61">
        <f>'04'!J108</f>
        <v>0.61510416666666656</v>
      </c>
      <c r="K12" s="61">
        <f>'04'!K108</f>
        <v>236.90343750000002</v>
      </c>
      <c r="L12" s="61">
        <f>'04'!L108</f>
        <v>23.433437499999993</v>
      </c>
      <c r="M12" s="61">
        <f>'04'!M108</f>
        <v>66.374895833333298</v>
      </c>
      <c r="N12" s="61">
        <f>'04'!N108</f>
        <v>167.68541666666667</v>
      </c>
      <c r="O12" s="61">
        <f>'04'!O108</f>
        <v>0</v>
      </c>
      <c r="P12" s="199">
        <f>'04'!P108</f>
        <v>1.0505208333333329</v>
      </c>
      <c r="Q12" s="61">
        <f>'04'!Q108</f>
        <v>9.624270833333334</v>
      </c>
      <c r="R12" s="116"/>
      <c r="S12" s="116"/>
      <c r="T12" s="116"/>
      <c r="U12" s="116"/>
    </row>
    <row r="13" spans="1:21" x14ac:dyDescent="0.25">
      <c r="A13" s="94" t="str">
        <f>'05'!$B$2</f>
        <v>05/11/2024 00:15</v>
      </c>
      <c r="B13" s="61">
        <f>'05'!B108</f>
        <v>21.64020833333333</v>
      </c>
      <c r="C13" s="61">
        <f>'05'!C108</f>
        <v>18.836354166666677</v>
      </c>
      <c r="D13" s="61">
        <f>'05'!D108</f>
        <v>25.818333333333346</v>
      </c>
      <c r="E13" s="61">
        <f>'05'!E108</f>
        <v>5.506875</v>
      </c>
      <c r="F13" s="61">
        <f>'05'!F108</f>
        <v>4.5245833333333332</v>
      </c>
      <c r="G13" s="61">
        <f>'05'!G108</f>
        <v>73.675520833333323</v>
      </c>
      <c r="H13" s="61">
        <f>'05'!H108</f>
        <v>30.116354166666682</v>
      </c>
      <c r="I13" s="61">
        <f>'05'!I108</f>
        <v>5.8417708333333342</v>
      </c>
      <c r="J13" s="61">
        <f>'05'!J108</f>
        <v>0.67906250000000001</v>
      </c>
      <c r="K13" s="61">
        <f>'05'!K108</f>
        <v>162.04916666666676</v>
      </c>
      <c r="L13" s="61">
        <f>'05'!L108</f>
        <v>21.782395833333336</v>
      </c>
      <c r="M13" s="61">
        <f>'05'!M108</f>
        <v>65.4973958333333</v>
      </c>
      <c r="N13" s="61">
        <f>'05'!N108</f>
        <v>174.26666666666674</v>
      </c>
      <c r="O13" s="61">
        <f>'05'!O108</f>
        <v>0</v>
      </c>
      <c r="P13" s="199">
        <f>'05'!P108</f>
        <v>0.89406249999999998</v>
      </c>
      <c r="Q13" s="61">
        <f>'05'!Q108</f>
        <v>9.626354166666669</v>
      </c>
      <c r="R13" s="116"/>
      <c r="S13" s="116"/>
      <c r="T13" s="116"/>
      <c r="U13" s="116"/>
    </row>
    <row r="14" spans="1:21" x14ac:dyDescent="0.25">
      <c r="A14" s="94" t="str">
        <f>'06'!$B$2</f>
        <v>06/11/2024 00:15</v>
      </c>
      <c r="B14" s="61">
        <f>'06'!B108</f>
        <v>7.4004166666666658</v>
      </c>
      <c r="C14" s="61">
        <f>'06'!C108</f>
        <v>23.692291666666673</v>
      </c>
      <c r="D14" s="61">
        <f>'06'!D108</f>
        <v>16.936354166666664</v>
      </c>
      <c r="E14" s="61">
        <f>'06'!E108</f>
        <v>6.5237500000000006</v>
      </c>
      <c r="F14" s="61">
        <f>'06'!F108</f>
        <v>5.978958333333332</v>
      </c>
      <c r="G14" s="61">
        <f>'06'!G108</f>
        <v>89.389479166666717</v>
      </c>
      <c r="H14" s="61">
        <f>'06'!H108</f>
        <v>44.204791666666686</v>
      </c>
      <c r="I14" s="61">
        <f>'06'!I108</f>
        <v>4.4283333333333355</v>
      </c>
      <c r="J14" s="61">
        <f>'06'!J108</f>
        <v>0.68614583333333357</v>
      </c>
      <c r="K14" s="61">
        <f>'06'!K108</f>
        <v>184.52333333333323</v>
      </c>
      <c r="L14" s="61">
        <f>'06'!L108</f>
        <v>21.745208333333334</v>
      </c>
      <c r="M14" s="61">
        <f>'06'!M108</f>
        <v>66.695937499999999</v>
      </c>
      <c r="N14" s="61">
        <f>'06'!N108</f>
        <v>160.04479166666664</v>
      </c>
      <c r="O14" s="61">
        <f>'06'!O108</f>
        <v>0</v>
      </c>
      <c r="P14" s="199">
        <f>'06'!P108</f>
        <v>0.72562499999999996</v>
      </c>
      <c r="Q14" s="61">
        <f>'06'!Q108</f>
        <v>9.6213541666666682</v>
      </c>
      <c r="R14" s="116"/>
      <c r="S14" s="116"/>
      <c r="T14" s="116"/>
      <c r="U14" s="116"/>
    </row>
    <row r="15" spans="1:21" x14ac:dyDescent="0.25">
      <c r="A15" s="94" t="str">
        <f>'07'!$B$2</f>
        <v>07/11/2024 00:15</v>
      </c>
      <c r="B15" s="61">
        <f>'07'!B108</f>
        <v>11.765625</v>
      </c>
      <c r="C15" s="61">
        <f>'07'!C108</f>
        <v>20.031979166666659</v>
      </c>
      <c r="D15" s="61">
        <f>'07'!D108</f>
        <v>18.525208333333335</v>
      </c>
      <c r="E15" s="61">
        <f>'07'!E108</f>
        <v>5.7520833333333341</v>
      </c>
      <c r="F15" s="61">
        <f>'07'!F108</f>
        <v>4.8701041666666649</v>
      </c>
      <c r="G15" s="100">
        <f>'07'!$G$108</f>
        <v>99.736041666666679</v>
      </c>
      <c r="H15" s="61">
        <f>'07'!H108</f>
        <v>50.638437500000002</v>
      </c>
      <c r="I15" s="61">
        <f>'07'!I108</f>
        <v>5.2022916666666648</v>
      </c>
      <c r="J15" s="61">
        <f>'07'!J108</f>
        <v>0.59104166666666702</v>
      </c>
      <c r="K15" s="61">
        <f>'07'!K108</f>
        <v>208.84093750000011</v>
      </c>
      <c r="L15" s="61">
        <f>'07'!L108</f>
        <v>21.412499999999998</v>
      </c>
      <c r="M15" s="61">
        <f>'07'!M108</f>
        <v>69.863124999999982</v>
      </c>
      <c r="N15" s="61">
        <f>'07'!N108</f>
        <v>150.93645833333338</v>
      </c>
      <c r="O15" s="61">
        <f>'07'!O108</f>
        <v>0</v>
      </c>
      <c r="P15" s="199">
        <f>'07'!P108</f>
        <v>0.9632291666666668</v>
      </c>
      <c r="Q15" s="61">
        <f>'07'!Q108</f>
        <v>9.6232291666666683</v>
      </c>
      <c r="R15" s="116"/>
      <c r="S15" s="116"/>
      <c r="T15" s="116"/>
      <c r="U15" s="116"/>
    </row>
    <row r="16" spans="1:21" x14ac:dyDescent="0.25">
      <c r="A16" s="94" t="str">
        <f>'08'!$B$2</f>
        <v>08/11/2024 00:15</v>
      </c>
      <c r="B16" s="61">
        <f>'08'!B108</f>
        <v>20.63239583333333</v>
      </c>
      <c r="C16" s="61">
        <f>'08'!C108</f>
        <v>21.162499999999998</v>
      </c>
      <c r="D16" s="61">
        <f>'08'!D108</f>
        <v>26.225000000000005</v>
      </c>
      <c r="E16" s="61">
        <f>'08'!E108</f>
        <v>6.5880208333333314</v>
      </c>
      <c r="F16" s="61">
        <f>'08'!F108</f>
        <v>5.5415625000000004</v>
      </c>
      <c r="G16" s="100">
        <f>'08'!$G$108</f>
        <v>100.26739583333331</v>
      </c>
      <c r="H16" s="61">
        <f>'08'!H108</f>
        <v>45.353020833333325</v>
      </c>
      <c r="I16" s="61">
        <f>'08'!I108</f>
        <v>5.5331249999999983</v>
      </c>
      <c r="J16" s="61">
        <f>'08'!J108</f>
        <v>0.65302083333333338</v>
      </c>
      <c r="K16" s="61">
        <f>'08'!K108</f>
        <v>214.92135416666667</v>
      </c>
      <c r="L16" s="61">
        <f>'08'!L108</f>
        <v>21.411354166666666</v>
      </c>
      <c r="M16" s="61">
        <f>'08'!M108</f>
        <v>70.39114583333334</v>
      </c>
      <c r="N16" s="61">
        <f>'08'!N108</f>
        <v>158.34166666666673</v>
      </c>
      <c r="O16" s="61">
        <f>'08'!O108</f>
        <v>0</v>
      </c>
      <c r="P16" s="199">
        <f>'08'!P108</f>
        <v>0.99916666666666665</v>
      </c>
      <c r="Q16" s="61">
        <f>'08'!Q108</f>
        <v>9.6311458333333295</v>
      </c>
      <c r="R16" s="116"/>
      <c r="S16" s="116"/>
      <c r="T16" s="116"/>
      <c r="U16" s="116"/>
    </row>
    <row r="17" spans="1:21" x14ac:dyDescent="0.25">
      <c r="A17" s="94" t="str">
        <f>'09'!$B$2</f>
        <v>09/11/2024 00:15</v>
      </c>
      <c r="B17" s="61">
        <f>'09'!B108</f>
        <v>12.973958333333337</v>
      </c>
      <c r="C17" s="61">
        <f>'09'!C108</f>
        <v>21.021145833333332</v>
      </c>
      <c r="D17" s="61">
        <f>'09'!D108</f>
        <v>20.010208333333335</v>
      </c>
      <c r="E17" s="61">
        <f>'09'!E108</f>
        <v>5.5144791666666686</v>
      </c>
      <c r="F17" s="61">
        <f>'09'!F108</f>
        <v>4.4656249999999984</v>
      </c>
      <c r="G17" s="100">
        <f>'09'!$G$108</f>
        <v>84.304895833333347</v>
      </c>
      <c r="H17" s="61">
        <f>'09'!H108</f>
        <v>44.376562499999977</v>
      </c>
      <c r="I17" s="61">
        <f>'09'!I108</f>
        <v>5.3769791666666658</v>
      </c>
      <c r="J17" s="61">
        <f>'09'!J108</f>
        <v>0.510625</v>
      </c>
      <c r="K17" s="61">
        <f>'09'!K108</f>
        <v>181.8940625000001</v>
      </c>
      <c r="L17" s="61">
        <f>'09'!L108</f>
        <v>21.495520833333327</v>
      </c>
      <c r="M17" s="61">
        <f>'09'!M108</f>
        <v>69.865833333333285</v>
      </c>
      <c r="N17" s="61">
        <f>'09'!N108</f>
        <v>149.78333333333327</v>
      </c>
      <c r="O17" s="61">
        <f>'09'!O108</f>
        <v>0</v>
      </c>
      <c r="P17" s="199">
        <f>'09'!P108</f>
        <v>0.96114583333333359</v>
      </c>
      <c r="Q17" s="61">
        <f>'09'!Q108</f>
        <v>9.6290624999999963</v>
      </c>
      <c r="R17" s="116"/>
      <c r="S17" s="116"/>
      <c r="T17" s="116"/>
      <c r="U17" s="116"/>
    </row>
    <row r="18" spans="1:21" x14ac:dyDescent="0.25">
      <c r="A18" s="94" t="str">
        <f>'10'!$B$2</f>
        <v>10/11/2024 00:15</v>
      </c>
      <c r="B18" s="61">
        <f>'10'!B108</f>
        <v>14.167916666666658</v>
      </c>
      <c r="C18" s="61">
        <f>'10'!C108</f>
        <v>22.656874999999996</v>
      </c>
      <c r="D18" s="61">
        <f>'10'!D108</f>
        <v>21.822500000000005</v>
      </c>
      <c r="E18" s="61">
        <f>'10'!E108</f>
        <v>5.7167708333333342</v>
      </c>
      <c r="F18" s="61">
        <f>'10'!F108</f>
        <v>4.2807291666666663</v>
      </c>
      <c r="G18" s="101">
        <f>'10'!$G$108</f>
        <v>97.004583333333343</v>
      </c>
      <c r="H18" s="61">
        <f>'10'!H108</f>
        <v>36.020729166666662</v>
      </c>
      <c r="I18" s="61">
        <f>'10'!I108</f>
        <v>5.4851041666666669</v>
      </c>
      <c r="J18" s="61">
        <f>'10'!J108</f>
        <v>0.61145833333333333</v>
      </c>
      <c r="K18" s="61">
        <f>'10'!K108</f>
        <v>228.9523958333333</v>
      </c>
      <c r="L18" s="61">
        <f>'10'!L108</f>
        <v>21.411145833333336</v>
      </c>
      <c r="M18" s="61">
        <f>'10'!M108</f>
        <v>68.786041666666662</v>
      </c>
      <c r="N18" s="61">
        <f>'10'!N108</f>
        <v>110.23854166666673</v>
      </c>
      <c r="O18" s="61">
        <f>'10'!O108</f>
        <v>0</v>
      </c>
      <c r="P18" s="199">
        <f>'10'!P108</f>
        <v>0.96177083333333302</v>
      </c>
      <c r="Q18" s="61">
        <f>'10'!Q108</f>
        <v>9.6283333333333321</v>
      </c>
      <c r="R18" s="116"/>
      <c r="S18" s="116"/>
      <c r="T18" s="116"/>
      <c r="U18" s="116"/>
    </row>
    <row r="19" spans="1:21" x14ac:dyDescent="0.25">
      <c r="A19" s="94" t="str">
        <f>'11'!$B$2</f>
        <v>11/11/2024 00:15</v>
      </c>
      <c r="B19" s="61">
        <f>'11'!B108</f>
        <v>8.3163541666666649</v>
      </c>
      <c r="C19" s="61">
        <f>'11'!C108</f>
        <v>24.186979166666674</v>
      </c>
      <c r="D19" s="61">
        <f>'11'!D108</f>
        <v>17.92895833333333</v>
      </c>
      <c r="E19" s="61">
        <f>'11'!E108</f>
        <v>6.2690624999999969</v>
      </c>
      <c r="F19" s="61">
        <f>'11'!F108</f>
        <v>5.1797916666666639</v>
      </c>
      <c r="G19" s="99">
        <f>'11'!$G$108</f>
        <v>82.889166666666668</v>
      </c>
      <c r="H19" s="61">
        <f>'11'!H108</f>
        <v>42.619375000000026</v>
      </c>
      <c r="I19" s="61">
        <f>'11'!I108</f>
        <v>4.5735416666666664</v>
      </c>
      <c r="J19" s="61">
        <f>'11'!J108</f>
        <v>0.66531249999999964</v>
      </c>
      <c r="K19" s="61">
        <f>'11'!K108</f>
        <v>180.98770833333325</v>
      </c>
      <c r="L19" s="61">
        <f>'11'!L108</f>
        <v>21.407395833333329</v>
      </c>
      <c r="M19" s="61">
        <f>'11'!M108</f>
        <v>65.683958333333308</v>
      </c>
      <c r="N19" s="61">
        <f>'11'!N108</f>
        <v>127.86979166666661</v>
      </c>
      <c r="O19" s="61">
        <f>'11'!O108</f>
        <v>0</v>
      </c>
      <c r="P19" s="199">
        <f>'11'!P108</f>
        <v>0.83083333333333342</v>
      </c>
      <c r="Q19" s="61">
        <f>'11'!Q108</f>
        <v>9.6273958333333294</v>
      </c>
      <c r="R19" s="116"/>
      <c r="S19" s="116"/>
      <c r="T19" s="116"/>
      <c r="U19" s="116"/>
    </row>
    <row r="20" spans="1:21" x14ac:dyDescent="0.25">
      <c r="A20" s="94" t="str">
        <f>'12'!$B$2</f>
        <v>12/11/2024 00:15</v>
      </c>
      <c r="B20" s="61">
        <f>'12'!B108</f>
        <v>9.8114583333333361</v>
      </c>
      <c r="C20" s="61">
        <f>'12'!C108</f>
        <v>26.234479166666663</v>
      </c>
      <c r="D20" s="61">
        <f>'12'!D108</f>
        <v>20.183437500000007</v>
      </c>
      <c r="E20" s="61">
        <f>'12'!E108</f>
        <v>6.1334375000000003</v>
      </c>
      <c r="F20" s="61">
        <f>'12'!F108</f>
        <v>5.4005208333333314</v>
      </c>
      <c r="G20" s="101">
        <f>'12'!$G$108</f>
        <v>98.103541666666658</v>
      </c>
      <c r="H20" s="61">
        <f>'12'!H108</f>
        <v>55.478505747126427</v>
      </c>
      <c r="I20" s="61">
        <f>'12'!I108</f>
        <v>4.4718750000000007</v>
      </c>
      <c r="J20" s="61">
        <f>'12'!J108</f>
        <v>0.61104166666666648</v>
      </c>
      <c r="K20" s="61">
        <f>'12'!K108</f>
        <v>220.82458333333318</v>
      </c>
      <c r="L20" s="61">
        <f>'12'!L108</f>
        <v>21.395312499999989</v>
      </c>
      <c r="M20" s="61">
        <f>'12'!M108</f>
        <v>62.582604166666648</v>
      </c>
      <c r="N20" s="61">
        <f>'12'!N108</f>
        <v>167.88437499999992</v>
      </c>
      <c r="O20" s="61">
        <f>'12'!O108</f>
        <v>0</v>
      </c>
      <c r="P20" s="199">
        <f>'12'!P108</f>
        <v>0.85052083333333339</v>
      </c>
      <c r="Q20" s="61">
        <f>'12'!Q108</f>
        <v>9.5287499999999969</v>
      </c>
      <c r="R20" s="116"/>
      <c r="S20" s="116"/>
      <c r="T20" s="116"/>
      <c r="U20" s="116"/>
    </row>
    <row r="21" spans="1:21" s="89" customFormat="1" x14ac:dyDescent="0.25">
      <c r="A21" s="94" t="str">
        <f>'13'!$B$2</f>
        <v>13/11/2024 00:15</v>
      </c>
      <c r="B21" s="91">
        <f>'13'!B108</f>
        <v>9.0535416666666659</v>
      </c>
      <c r="C21" s="91">
        <f>'13'!C108</f>
        <v>25.558125000000004</v>
      </c>
      <c r="D21" s="91">
        <f>'13'!D108</f>
        <v>19.236562500000009</v>
      </c>
      <c r="E21" s="91">
        <f>'13'!E108</f>
        <v>5.8487499999999999</v>
      </c>
      <c r="F21" s="91">
        <f>'13'!F108</f>
        <v>4.6211458333333333</v>
      </c>
      <c r="G21" s="100">
        <f>'13'!$G$108</f>
        <v>93.631562499999973</v>
      </c>
      <c r="H21" s="91">
        <f>'13'!H108</f>
        <v>44.80708333333336</v>
      </c>
      <c r="I21" s="91">
        <f>'13'!I108</f>
        <v>4.9808333333333321</v>
      </c>
      <c r="J21" s="91">
        <f>'13'!J108</f>
        <v>0.66333333333333322</v>
      </c>
      <c r="K21" s="91">
        <f>'13'!K108</f>
        <v>158.76885416666667</v>
      </c>
      <c r="L21" s="91">
        <f>'13'!L108</f>
        <v>21.054375000000004</v>
      </c>
      <c r="M21" s="91">
        <f>'13'!M108</f>
        <v>60.819374999999972</v>
      </c>
      <c r="N21" s="91">
        <f>'13'!N108</f>
        <v>165.80520833333335</v>
      </c>
      <c r="O21" s="91">
        <f>'13'!O108</f>
        <v>0</v>
      </c>
      <c r="P21" s="200">
        <f>'13'!P108</f>
        <v>0.70083333333333309</v>
      </c>
      <c r="Q21" s="91">
        <f>'13'!Q108</f>
        <v>9.625729166666666</v>
      </c>
      <c r="R21" s="202"/>
      <c r="S21" s="202"/>
      <c r="T21" s="202"/>
      <c r="U21" s="202"/>
    </row>
    <row r="22" spans="1:21" s="89" customFormat="1" x14ac:dyDescent="0.25">
      <c r="A22" s="94" t="str">
        <f>'14'!$B$2</f>
        <v>14/11/2024 00:15</v>
      </c>
      <c r="B22" s="90">
        <f>'14'!B108</f>
        <v>6.3634374999999999</v>
      </c>
      <c r="C22" s="90">
        <f>'14'!C108</f>
        <v>26.755312500000002</v>
      </c>
      <c r="D22" s="90">
        <f>'14'!D108</f>
        <v>17.704999999999995</v>
      </c>
      <c r="E22" s="90">
        <f>'14'!E108</f>
        <v>5.670208333333334</v>
      </c>
      <c r="F22" s="90">
        <f>'14'!F108</f>
        <v>4.6541666666666668</v>
      </c>
      <c r="G22" s="100">
        <f>'14'!$G$108</f>
        <v>73.927395833333307</v>
      </c>
      <c r="H22" s="100">
        <f>'14'!$G$108</f>
        <v>73.927395833333307</v>
      </c>
      <c r="I22" s="90">
        <f>'14'!I108</f>
        <v>5.0412500000000016</v>
      </c>
      <c r="J22" s="90">
        <f>'14'!J108</f>
        <v>0.48718750000000016</v>
      </c>
      <c r="K22" s="90">
        <f>'14'!K108</f>
        <v>179.52499999999995</v>
      </c>
      <c r="L22" s="90">
        <f>'14'!L108</f>
        <v>20.502291666666668</v>
      </c>
      <c r="M22" s="90">
        <f>'14'!M108</f>
        <v>61.934895833333343</v>
      </c>
      <c r="N22" s="90">
        <f>'14'!N108</f>
        <v>163.01145833333331</v>
      </c>
      <c r="O22" s="90">
        <f>'14'!O108</f>
        <v>0</v>
      </c>
      <c r="P22" s="201">
        <f>'14'!P108</f>
        <v>0.69958333333333333</v>
      </c>
      <c r="Q22" s="90">
        <f>'14'!Q108</f>
        <v>9.5269791666666652</v>
      </c>
      <c r="R22" s="203"/>
      <c r="S22" s="203"/>
      <c r="T22" s="203"/>
      <c r="U22" s="203"/>
    </row>
    <row r="23" spans="1:21" x14ac:dyDescent="0.25">
      <c r="A23" s="94" t="str">
        <f>'15'!$B$2</f>
        <v>15/11/2024 00:15</v>
      </c>
      <c r="B23" s="61">
        <f>'15'!B108</f>
        <v>13.026770833333325</v>
      </c>
      <c r="C23" s="61">
        <f>'15'!C108</f>
        <v>34.140833333333326</v>
      </c>
      <c r="D23" s="61">
        <f>'15'!D108</f>
        <v>26.907187499999992</v>
      </c>
      <c r="E23" s="61">
        <f>'15'!E108</f>
        <v>6.111250000000001</v>
      </c>
      <c r="F23" s="61">
        <f>'15'!F108</f>
        <v>4.2980208333333314</v>
      </c>
      <c r="G23" s="100">
        <f>'15'!$G$108</f>
        <v>84.891249999999999</v>
      </c>
      <c r="H23" s="61">
        <f>'15'!H108</f>
        <v>21.870470588235285</v>
      </c>
      <c r="I23" s="61">
        <f>'15'!I108</f>
        <v>5.3694791666666655</v>
      </c>
      <c r="J23" s="61">
        <f>'15'!J108</f>
        <v>0.67458333333333353</v>
      </c>
      <c r="K23" s="61">
        <f>'15'!K108</f>
        <v>230.67062499999997</v>
      </c>
      <c r="L23" s="61">
        <f>'15'!L108</f>
        <v>20.26125</v>
      </c>
      <c r="M23" s="61">
        <f>'15'!M108</f>
        <v>54.389999999999993</v>
      </c>
      <c r="N23" s="61">
        <f>'15'!N108</f>
        <v>166.58333333333337</v>
      </c>
      <c r="O23" s="61">
        <f>'15'!O108</f>
        <v>0</v>
      </c>
      <c r="P23" s="199">
        <f>'15'!P108</f>
        <v>0.86739583333333348</v>
      </c>
      <c r="Q23" s="61">
        <f>'15'!Q108</f>
        <v>9.6301041666666638</v>
      </c>
      <c r="R23" s="116"/>
      <c r="S23" s="116"/>
      <c r="T23" s="116"/>
      <c r="U23" s="116"/>
    </row>
    <row r="24" spans="1:21" x14ac:dyDescent="0.25">
      <c r="A24" s="94" t="str">
        <f>'16'!$B$2</f>
        <v>16/11/2024 00:15</v>
      </c>
      <c r="B24" s="61">
        <f>'16'!B108</f>
        <v>11.424895833333332</v>
      </c>
      <c r="C24" s="61">
        <f>'16'!C108</f>
        <v>36.981875000000002</v>
      </c>
      <c r="D24" s="61">
        <f>'16'!D108</f>
        <v>27.107395833333324</v>
      </c>
      <c r="E24" s="61">
        <f>'16'!E108</f>
        <v>5.8596875000000006</v>
      </c>
      <c r="F24" s="61">
        <f>'16'!F108</f>
        <v>4.4914583333333349</v>
      </c>
      <c r="G24" s="100">
        <f>'16'!$G$108</f>
        <v>98.069895833333348</v>
      </c>
      <c r="H24" s="61">
        <f>'16'!H108</f>
        <v>61.852807017543881</v>
      </c>
      <c r="I24" s="61">
        <f>'16'!I108</f>
        <v>6.0048958333333333</v>
      </c>
      <c r="J24" s="61">
        <f>'16'!J108</f>
        <v>0.65906250000000011</v>
      </c>
      <c r="K24" s="61">
        <f>'16'!K108</f>
        <v>221.19364583333333</v>
      </c>
      <c r="L24" s="61">
        <f>'16'!L108</f>
        <v>19.396770833333338</v>
      </c>
      <c r="M24" s="61">
        <f>'16'!M108</f>
        <v>52.871666666666691</v>
      </c>
      <c r="N24" s="61">
        <f>'16'!N108</f>
        <v>169.39374999999998</v>
      </c>
      <c r="O24" s="61">
        <f>'16'!O108</f>
        <v>0</v>
      </c>
      <c r="P24" s="199">
        <f>'16'!P108</f>
        <v>0.98697916666666652</v>
      </c>
      <c r="Q24" s="61">
        <f>'16'!Q108</f>
        <v>9.6315624999999958</v>
      </c>
      <c r="R24" s="116"/>
      <c r="S24" s="116"/>
      <c r="T24" s="116"/>
      <c r="U24" s="116"/>
    </row>
    <row r="25" spans="1:21" x14ac:dyDescent="0.25">
      <c r="A25" s="94" t="str">
        <f>'17'!$B$2</f>
        <v>17/11/2024 00:15</v>
      </c>
      <c r="B25" s="61">
        <f>'17'!B108</f>
        <v>25.916458333333338</v>
      </c>
      <c r="C25" s="61">
        <f>'17'!C108</f>
        <v>40.455833333333338</v>
      </c>
      <c r="D25" s="61">
        <f>'17'!D108</f>
        <v>40.543541666666663</v>
      </c>
      <c r="E25" s="61">
        <f>'17'!E108</f>
        <v>6.6191666666666658</v>
      </c>
      <c r="F25" s="61">
        <f>'17'!F108</f>
        <v>4.629062499999999</v>
      </c>
      <c r="G25" s="101">
        <f>'17'!$G$108</f>
        <v>106.22895833333325</v>
      </c>
      <c r="H25" s="61">
        <f>'17'!H108</f>
        <v>53.946578947368437</v>
      </c>
      <c r="I25" s="61">
        <f>'17'!I108</f>
        <v>6.8531249999999977</v>
      </c>
      <c r="J25" s="61">
        <f>'17'!J108</f>
        <v>0.54666666666666663</v>
      </c>
      <c r="K25" s="61">
        <f>'17'!K108</f>
        <v>217.46135416666672</v>
      </c>
      <c r="L25" s="61">
        <f>'17'!L108</f>
        <v>18.631979166666664</v>
      </c>
      <c r="M25" s="61">
        <f>'17'!M108</f>
        <v>59.59500000000002</v>
      </c>
      <c r="N25" s="61">
        <f>'17'!N108</f>
        <v>153.94062499999998</v>
      </c>
      <c r="O25" s="61">
        <f>'17'!O108</f>
        <v>0</v>
      </c>
      <c r="P25" s="199">
        <f>'17'!P108</f>
        <v>1.1462499999999995</v>
      </c>
      <c r="Q25" s="61">
        <f>'17'!Q108</f>
        <v>9.6441666666666634</v>
      </c>
      <c r="R25" s="116"/>
      <c r="S25" s="116"/>
      <c r="T25" s="116"/>
      <c r="U25" s="116"/>
    </row>
    <row r="26" spans="1:21" x14ac:dyDescent="0.25">
      <c r="A26" s="94" t="str">
        <f>'18'!$B$2</f>
        <v>18/11/2024 00:15</v>
      </c>
      <c r="B26" s="61">
        <f>'18'!B108</f>
        <v>31.725312499999998</v>
      </c>
      <c r="C26" s="61">
        <f>'18'!C108</f>
        <v>46.612708333333352</v>
      </c>
      <c r="D26" s="61">
        <f>'18'!D108</f>
        <v>48.418437500000003</v>
      </c>
      <c r="E26" s="61">
        <f>'18'!E108</f>
        <v>7.1101041666666669</v>
      </c>
      <c r="F26" s="61">
        <f>'18'!F108</f>
        <v>5.0447916666666677</v>
      </c>
      <c r="G26" s="99">
        <f>'18'!$G$108</f>
        <v>103.56141304347825</v>
      </c>
      <c r="H26" s="61">
        <f>'18'!H108</f>
        <v>48.87583333333334</v>
      </c>
      <c r="I26" s="61">
        <f>'18'!I108</f>
        <v>6.1064583333333333</v>
      </c>
      <c r="J26" s="61">
        <f>'18'!J108</f>
        <v>0.56156249999999985</v>
      </c>
      <c r="K26" s="61">
        <f>'18'!K108</f>
        <v>228.65510416666669</v>
      </c>
      <c r="L26" s="61">
        <f>'18'!L108</f>
        <v>18.856145833333333</v>
      </c>
      <c r="M26" s="61">
        <f>'18'!M108</f>
        <v>55.87572916666668</v>
      </c>
      <c r="N26" s="61">
        <f>'18'!N108</f>
        <v>159.54791666666659</v>
      </c>
      <c r="O26" s="61">
        <f>'18'!O108</f>
        <v>0</v>
      </c>
      <c r="P26" s="199">
        <f>'18'!P108</f>
        <v>1.0997916666666661</v>
      </c>
      <c r="Q26" s="61">
        <f>'18'!Q108</f>
        <v>9.6454166666666605</v>
      </c>
      <c r="R26" s="116"/>
      <c r="S26" s="116"/>
      <c r="T26" s="116"/>
      <c r="U26" s="116"/>
    </row>
    <row r="27" spans="1:21" x14ac:dyDescent="0.25">
      <c r="A27" s="94" t="str">
        <f>'19'!$B$2</f>
        <v>19/11/2024 00:15</v>
      </c>
      <c r="B27" s="61">
        <f>'19'!B108</f>
        <v>28.09375</v>
      </c>
      <c r="C27" s="61">
        <f>'19'!C108</f>
        <v>49.452604166666674</v>
      </c>
      <c r="D27" s="61">
        <f>'19'!D108</f>
        <v>46.990000000000009</v>
      </c>
      <c r="E27" s="61">
        <f>'19'!E108</f>
        <v>9.1041666666666679</v>
      </c>
      <c r="F27" s="61">
        <f>'19'!F108</f>
        <v>5.0017708333333326</v>
      </c>
      <c r="G27" s="61">
        <f>'19'!G108</f>
        <v>102.77129032258064</v>
      </c>
      <c r="H27" s="61">
        <f>'19'!H108</f>
        <v>47.072173913043443</v>
      </c>
      <c r="I27" s="61">
        <f>'19'!I108</f>
        <v>5.8602083333333335</v>
      </c>
      <c r="J27" s="61">
        <f>'19'!J108</f>
        <v>0.76479166666666654</v>
      </c>
      <c r="K27" s="61">
        <f>'19'!K108</f>
        <v>257.50229166666674</v>
      </c>
      <c r="L27" s="61">
        <f>'19'!L108</f>
        <v>18.494166666666668</v>
      </c>
      <c r="M27" s="61">
        <f>'19'!M108</f>
        <v>58.49010416666669</v>
      </c>
      <c r="N27" s="61">
        <f>'19'!N108</f>
        <v>146.56562499999995</v>
      </c>
      <c r="O27" s="61">
        <f>'19'!O108</f>
        <v>0</v>
      </c>
      <c r="P27" s="199">
        <f>'19'!P108</f>
        <v>1.1306249999999995</v>
      </c>
      <c r="Q27" s="61">
        <f>'19'!Q108</f>
        <v>8.930520833333329</v>
      </c>
      <c r="R27" s="116"/>
      <c r="S27" s="116"/>
      <c r="T27" s="116"/>
      <c r="U27" s="116"/>
    </row>
    <row r="28" spans="1:21" x14ac:dyDescent="0.25">
      <c r="A28" s="94" t="str">
        <f>'20'!$B$2</f>
        <v>20/11/2024 00:15</v>
      </c>
      <c r="B28" s="61">
        <f>'20'!B108</f>
        <v>23.520208333333333</v>
      </c>
      <c r="C28" s="61">
        <f>'20'!C108</f>
        <v>44.525937499999998</v>
      </c>
      <c r="D28" s="61">
        <f>'20'!D108</f>
        <v>40.748020833333349</v>
      </c>
      <c r="E28" s="61">
        <f>'20'!E108</f>
        <v>6.5960416666666681</v>
      </c>
      <c r="F28" s="61">
        <f>'20'!F108</f>
        <v>4.3228124999999995</v>
      </c>
      <c r="G28" s="61">
        <f>'20'!G108</f>
        <v>111.06114583333327</v>
      </c>
      <c r="H28" s="61">
        <f>'20'!H108</f>
        <v>50.585833333333333</v>
      </c>
      <c r="I28" s="61">
        <f>'20'!I108</f>
        <v>6.6507291666666681</v>
      </c>
      <c r="J28" s="61">
        <f>'20'!J108</f>
        <v>1.652916666666667</v>
      </c>
      <c r="K28" s="61">
        <f>'20'!K108</f>
        <v>220.2637500000001</v>
      </c>
      <c r="L28" s="61">
        <f>'20'!L108</f>
        <v>17.459791666666661</v>
      </c>
      <c r="M28" s="61">
        <f>'20'!M108</f>
        <v>60.144895833333351</v>
      </c>
      <c r="N28" s="61">
        <f>'20'!N108</f>
        <v>149.28437499999993</v>
      </c>
      <c r="O28" s="61">
        <f>'20'!O108</f>
        <v>0</v>
      </c>
      <c r="P28" s="199">
        <f>'20'!P108</f>
        <v>1.2377083333333332</v>
      </c>
      <c r="Q28" s="61">
        <f>'20'!Q108</f>
        <v>10.284062499999997</v>
      </c>
      <c r="R28" s="116"/>
      <c r="S28" s="116"/>
      <c r="T28" s="116"/>
      <c r="U28" s="116"/>
    </row>
    <row r="29" spans="1:21" x14ac:dyDescent="0.25">
      <c r="A29" s="94" t="str">
        <f>'21'!$B$2</f>
        <v>21/11/2024 00:15</v>
      </c>
      <c r="B29" s="61">
        <f>'21'!B108</f>
        <v>21.807291666666675</v>
      </c>
      <c r="C29" s="61">
        <f>'21'!C108</f>
        <v>47.634687500000005</v>
      </c>
      <c r="D29" s="61">
        <f>'21'!D108</f>
        <v>41.016354166666659</v>
      </c>
      <c r="E29" s="61">
        <f>'21'!E108</f>
        <v>7.0149999999999997</v>
      </c>
      <c r="F29" s="61">
        <f>'21'!F108</f>
        <v>4.7034374999999997</v>
      </c>
      <c r="G29" s="61">
        <f>'21'!G108</f>
        <v>111.33791666666662</v>
      </c>
      <c r="H29" s="61">
        <f>'21'!H108</f>
        <v>56.203541666666602</v>
      </c>
      <c r="I29" s="61">
        <f>'21'!I108</f>
        <v>6.6629166666666668</v>
      </c>
      <c r="J29" s="61">
        <f>'21'!J108</f>
        <v>1.5659375000000004</v>
      </c>
      <c r="K29" s="61">
        <f>'21'!K108</f>
        <v>202.45354166666667</v>
      </c>
      <c r="L29" s="61">
        <f>'21'!L108</f>
        <v>17.218958333333333</v>
      </c>
      <c r="M29" s="61">
        <f>'21'!M108</f>
        <v>62.906354166666638</v>
      </c>
      <c r="N29" s="61">
        <f>'21'!N108</f>
        <v>143.64479166666669</v>
      </c>
      <c r="O29" s="61">
        <f>'21'!O108</f>
        <v>0</v>
      </c>
      <c r="P29" s="199">
        <f>'21'!P108</f>
        <v>1.1940625</v>
      </c>
      <c r="Q29" s="61">
        <f>'21'!Q108</f>
        <v>10.49770833333333</v>
      </c>
      <c r="R29" s="116"/>
      <c r="S29" s="116"/>
      <c r="T29" s="116"/>
      <c r="U29" s="116"/>
    </row>
    <row r="30" spans="1:21" x14ac:dyDescent="0.25">
      <c r="A30" s="94" t="str">
        <f>'22'!$B$2</f>
        <v>22/11/2024 00:15</v>
      </c>
      <c r="B30" s="61">
        <f>'22'!B108</f>
        <v>21.340937499999985</v>
      </c>
      <c r="C30" s="61">
        <f>'22'!C108</f>
        <v>51.40781249999997</v>
      </c>
      <c r="D30" s="61">
        <f>'22'!D108</f>
        <v>42.596250000000012</v>
      </c>
      <c r="E30" s="61">
        <f>'22'!E108</f>
        <v>6.9527083333333337</v>
      </c>
      <c r="F30" s="61">
        <f>'22'!F108</f>
        <v>4.6890625000000012</v>
      </c>
      <c r="G30" s="61">
        <f>'22'!G108</f>
        <v>131.52291666666665</v>
      </c>
      <c r="H30" s="61">
        <f>'22'!H108</f>
        <v>66.287812499999987</v>
      </c>
      <c r="I30" s="61">
        <f>'22'!I108</f>
        <v>6.9217708333333325</v>
      </c>
      <c r="J30" s="61">
        <f>'22'!J108</f>
        <v>2.0471874999999997</v>
      </c>
      <c r="K30" s="61">
        <f>'22'!K108</f>
        <v>228.14937499999996</v>
      </c>
      <c r="L30" s="61">
        <f>'22'!L108</f>
        <v>17.288854166666667</v>
      </c>
      <c r="M30" s="61">
        <f>'22'!M108</f>
        <v>63.235520833333339</v>
      </c>
      <c r="N30" s="61">
        <f>'22'!N108</f>
        <v>136.18229166666666</v>
      </c>
      <c r="O30" s="61">
        <f>'22'!O108</f>
        <v>0</v>
      </c>
      <c r="P30" s="199">
        <f>'22'!P108</f>
        <v>1.2945833333333334</v>
      </c>
      <c r="Q30" s="61">
        <f>'22'!Q108</f>
        <v>10.682187499999998</v>
      </c>
      <c r="R30" s="116"/>
      <c r="S30" s="116"/>
      <c r="T30" s="116"/>
      <c r="U30" s="116"/>
    </row>
    <row r="31" spans="1:21" x14ac:dyDescent="0.25">
      <c r="A31" s="94" t="str">
        <f>'23'!$B$2</f>
        <v>23/11/2024 00:15</v>
      </c>
      <c r="B31" s="61">
        <f>'23'!B108</f>
        <v>35.062812499999986</v>
      </c>
      <c r="C31" s="61">
        <f>'23'!C108</f>
        <v>54.521458333333349</v>
      </c>
      <c r="D31" s="61">
        <f>'23'!D108</f>
        <v>55.226562499999979</v>
      </c>
      <c r="E31" s="61">
        <f>'23'!E108</f>
        <v>7.6217708333333336</v>
      </c>
      <c r="F31" s="61">
        <f>'23'!F108</f>
        <v>4.4861458333333335</v>
      </c>
      <c r="G31" s="61">
        <f>'23'!G108</f>
        <v>146.87020833333335</v>
      </c>
      <c r="H31" s="61">
        <f>'23'!H108</f>
        <v>71.308541666666628</v>
      </c>
      <c r="I31" s="61">
        <f>'23'!I108</f>
        <v>7.3257291666666662</v>
      </c>
      <c r="J31" s="61">
        <f>'23'!J108</f>
        <v>1.4016666666666666</v>
      </c>
      <c r="K31" s="61">
        <f>'23'!K108</f>
        <v>257.99270833333344</v>
      </c>
      <c r="L31" s="61">
        <f>'23'!L108</f>
        <v>17.019270833333341</v>
      </c>
      <c r="M31" s="61">
        <f>'23'!M108</f>
        <v>65.547708333333361</v>
      </c>
      <c r="N31" s="61">
        <f>'23'!N108</f>
        <v>145.9760416666667</v>
      </c>
      <c r="O31" s="61">
        <f>'23'!O108</f>
        <v>0</v>
      </c>
      <c r="P31" s="199">
        <f>'23'!P108</f>
        <v>1.4782291666666667</v>
      </c>
      <c r="Q31" s="61">
        <f>'23'!Q108</f>
        <v>10.87291666666667</v>
      </c>
      <c r="R31" s="116"/>
      <c r="S31" s="204"/>
      <c r="T31" s="116"/>
      <c r="U31" s="116"/>
    </row>
    <row r="32" spans="1:21" x14ac:dyDescent="0.25">
      <c r="A32" s="94" t="str">
        <f>'24'!$B$2</f>
        <v>24/11/2024 00:15</v>
      </c>
      <c r="B32" s="61">
        <f>'24'!B108</f>
        <v>36.821979166666672</v>
      </c>
      <c r="C32" s="61">
        <f>'24'!C108</f>
        <v>55.045208333333363</v>
      </c>
      <c r="D32" s="61">
        <f>'24'!D108</f>
        <v>56.911770833333343</v>
      </c>
      <c r="E32" s="61">
        <f>'24'!E108</f>
        <v>7.7105208333333328</v>
      </c>
      <c r="F32" s="61">
        <f>'24'!F108</f>
        <v>4.3135416666666675</v>
      </c>
      <c r="G32" s="61">
        <f>'24'!G108</f>
        <v>132.21250000000001</v>
      </c>
      <c r="H32" s="61">
        <f>'24'!H108</f>
        <v>64.471979166666657</v>
      </c>
      <c r="I32" s="61">
        <f>'24'!I108</f>
        <v>7.4532291666666666</v>
      </c>
      <c r="J32" s="61">
        <f>'24'!J108</f>
        <v>1.4471874999999998</v>
      </c>
      <c r="K32" s="61">
        <f>'24'!K108</f>
        <v>237.42802083333333</v>
      </c>
      <c r="L32" s="61">
        <f>'24'!L108</f>
        <v>16.952812500000004</v>
      </c>
      <c r="M32" s="61">
        <f>'24'!M108</f>
        <v>60.222604166666684</v>
      </c>
      <c r="N32" s="61">
        <f>'24'!N108</f>
        <v>149.87812499999993</v>
      </c>
      <c r="O32" s="61">
        <f>'24'!O108</f>
        <v>0</v>
      </c>
      <c r="P32" s="199">
        <f>'24'!P108</f>
        <v>1.428958333333334</v>
      </c>
      <c r="Q32" s="61">
        <f>'24'!Q108</f>
        <v>10.849479166666663</v>
      </c>
      <c r="R32" s="116"/>
      <c r="S32" s="116"/>
      <c r="T32" s="116"/>
      <c r="U32" s="116"/>
    </row>
    <row r="33" spans="1:21" x14ac:dyDescent="0.25">
      <c r="A33" s="94" t="str">
        <f>'25'!$B$2</f>
        <v>25/11/2024 00:15</v>
      </c>
      <c r="B33" s="61">
        <f>'25'!B108</f>
        <v>40.249895833333333</v>
      </c>
      <c r="C33" s="61">
        <f>'25'!C108</f>
        <v>53.412916666666668</v>
      </c>
      <c r="D33" s="61">
        <f>'25'!D108</f>
        <v>58.806562500000005</v>
      </c>
      <c r="E33" s="61">
        <f>'25'!E108</f>
        <v>7.1683333333333366</v>
      </c>
      <c r="F33" s="61">
        <f>'25'!F108</f>
        <v>12.105104166666669</v>
      </c>
      <c r="G33" s="61">
        <f>'25'!G108</f>
        <v>85.720810810810832</v>
      </c>
      <c r="H33" s="61">
        <f>'25'!H108</f>
        <v>44.873043478260875</v>
      </c>
      <c r="I33" s="61">
        <f>'25'!I108</f>
        <v>6.2282291666666687</v>
      </c>
      <c r="J33" s="61">
        <f>'25'!J108</f>
        <v>1.3717708333333327</v>
      </c>
      <c r="K33" s="61">
        <f>'25'!K108</f>
        <v>193.36906250000001</v>
      </c>
      <c r="L33" s="61">
        <f>'25'!L108</f>
        <v>16.711458333333322</v>
      </c>
      <c r="M33" s="61">
        <f>'25'!M108</f>
        <v>58.260833333333359</v>
      </c>
      <c r="N33" s="61">
        <f>'25'!N108</f>
        <v>162.73333333333326</v>
      </c>
      <c r="O33" s="61">
        <f>'25'!O108</f>
        <v>0</v>
      </c>
      <c r="P33" s="199">
        <f>'25'!P108</f>
        <v>1.1720833333333331</v>
      </c>
      <c r="Q33" s="61">
        <f>'25'!Q108</f>
        <v>10.830520833333333</v>
      </c>
      <c r="R33" s="116"/>
      <c r="S33" s="204"/>
      <c r="T33" s="116"/>
      <c r="U33" s="116"/>
    </row>
    <row r="34" spans="1:21" x14ac:dyDescent="0.25">
      <c r="A34" s="94" t="str">
        <f>'26'!$B$2</f>
        <v>26/11/2024 00:15</v>
      </c>
      <c r="B34" s="61">
        <f>'26'!B108</f>
        <v>47.443749999999994</v>
      </c>
      <c r="C34" s="61">
        <f>'26'!C108</f>
        <v>55.206875000000004</v>
      </c>
      <c r="D34" s="61">
        <f>'26'!D108</f>
        <v>65.513749999999973</v>
      </c>
      <c r="E34" s="61">
        <f>'26'!E108</f>
        <v>6.6266666666666687</v>
      </c>
      <c r="F34" s="61">
        <f>'26'!F108</f>
        <v>4.3417708333333342</v>
      </c>
      <c r="G34" s="61">
        <f>'26'!G108</f>
        <v>106.33833333333338</v>
      </c>
      <c r="H34" s="61">
        <f>'26'!H108</f>
        <v>47.558125000000011</v>
      </c>
      <c r="I34" s="61">
        <f>'26'!I108</f>
        <v>6.9108333333333301</v>
      </c>
      <c r="J34" s="61">
        <f>'26'!J108</f>
        <v>1.8221875000000001</v>
      </c>
      <c r="K34" s="61">
        <f>'26'!K108</f>
        <v>205.45895833333338</v>
      </c>
      <c r="L34" s="61">
        <f>'26'!L108</f>
        <v>16.910312500000003</v>
      </c>
      <c r="M34" s="61">
        <f>'26'!M108</f>
        <v>57.94989583333335</v>
      </c>
      <c r="N34" s="61">
        <f>'26'!N108</f>
        <v>158.52083333333337</v>
      </c>
      <c r="O34" s="61">
        <f>'26'!O108</f>
        <v>0</v>
      </c>
      <c r="P34" s="199">
        <f>'26'!P108</f>
        <v>1.199270833333334</v>
      </c>
      <c r="Q34" s="61">
        <f>'26'!Q108</f>
        <v>10.841562500000002</v>
      </c>
      <c r="R34" s="116"/>
      <c r="S34" s="116"/>
      <c r="T34" s="116"/>
      <c r="U34" s="116"/>
    </row>
    <row r="35" spans="1:21" x14ac:dyDescent="0.25">
      <c r="A35" s="94" t="str">
        <f>'27'!$B$2</f>
        <v>27/11/2024 00:15</v>
      </c>
      <c r="B35" s="61">
        <f>'27'!B108</f>
        <v>60.818571428571431</v>
      </c>
      <c r="C35" s="61">
        <f>'27'!C108</f>
        <v>53.772040816326545</v>
      </c>
      <c r="D35" s="61">
        <f>'27'!D108</f>
        <v>75.489795918367335</v>
      </c>
      <c r="E35" s="61">
        <f>'27'!E108</f>
        <v>6.9648076923076925</v>
      </c>
      <c r="F35" s="61">
        <f>'27'!F108</f>
        <v>4.2804819277108415</v>
      </c>
      <c r="G35" s="61">
        <f>'27'!G108</f>
        <v>136.41537500000004</v>
      </c>
      <c r="H35" s="61">
        <f>'27'!H108</f>
        <v>65.929249999999996</v>
      </c>
      <c r="I35" s="61">
        <f>'27'!I108</f>
        <v>8.671358024691358</v>
      </c>
      <c r="J35" s="61">
        <f>'27'!J108</f>
        <v>1.487590361445783</v>
      </c>
      <c r="K35" s="61">
        <f>'27'!K108</f>
        <v>217.63963855421682</v>
      </c>
      <c r="L35" s="61">
        <f>'27'!L108</f>
        <v>15.923855421686746</v>
      </c>
      <c r="M35" s="61">
        <f>'27'!M108</f>
        <v>55.903734939759048</v>
      </c>
      <c r="N35" s="61">
        <f>'27'!N108</f>
        <v>141.32771084337347</v>
      </c>
      <c r="O35" s="61">
        <f>'27'!O108</f>
        <v>0</v>
      </c>
      <c r="P35" s="199">
        <f>'27'!P108</f>
        <v>1.2933734939759036</v>
      </c>
      <c r="Q35" s="61">
        <f>'27'!Q108</f>
        <v>10.595750000000001</v>
      </c>
      <c r="R35" s="116"/>
      <c r="S35" s="116"/>
      <c r="T35" s="116"/>
      <c r="U35" s="116"/>
    </row>
    <row r="36" spans="1:21" x14ac:dyDescent="0.25">
      <c r="A36" s="94" t="str">
        <f>'28'!$B$2</f>
        <v>28/11/2024 00:15</v>
      </c>
      <c r="B36" s="207" t="s">
        <v>36</v>
      </c>
      <c r="C36" s="207" t="s">
        <v>36</v>
      </c>
      <c r="D36" s="207" t="s">
        <v>36</v>
      </c>
      <c r="E36" s="61">
        <f>'28'!E108</f>
        <v>6.7404166666666674</v>
      </c>
      <c r="F36" s="61">
        <f>'28'!F108</f>
        <v>4.4006250000000016</v>
      </c>
      <c r="G36" s="61">
        <f>'28'!G108</f>
        <v>99.88135416666664</v>
      </c>
      <c r="H36" s="61">
        <f>'28'!H108</f>
        <v>44.475729166666667</v>
      </c>
      <c r="I36" s="61">
        <f>'28'!I108</f>
        <v>6.267083333333332</v>
      </c>
      <c r="J36" s="61">
        <f>'28'!J108</f>
        <v>1.0684375000000004</v>
      </c>
      <c r="K36" s="61">
        <f>'28'!K108</f>
        <v>223.40614583333328</v>
      </c>
      <c r="L36" s="61">
        <f>'28'!L108</f>
        <v>16.136041666666667</v>
      </c>
      <c r="M36" s="61">
        <f>'28'!M108</f>
        <v>54.023645833333319</v>
      </c>
      <c r="N36" s="61">
        <f>'28'!N108</f>
        <v>138.59270833333326</v>
      </c>
      <c r="O36" s="61">
        <f>'28'!O108</f>
        <v>0</v>
      </c>
      <c r="P36" s="199">
        <f>'28'!P108</f>
        <v>0.92104166666666665</v>
      </c>
      <c r="Q36" s="61">
        <f>'28'!Q108</f>
        <v>8.4340625000000085</v>
      </c>
      <c r="R36" s="116"/>
      <c r="S36" s="116"/>
      <c r="T36" s="116"/>
      <c r="U36" s="116"/>
    </row>
    <row r="37" spans="1:21" s="54" customFormat="1" x14ac:dyDescent="0.25">
      <c r="A37" s="94" t="str">
        <f>'29'!$B$2</f>
        <v>29/11/2024 00:15</v>
      </c>
      <c r="B37" s="207" t="s">
        <v>36</v>
      </c>
      <c r="C37" s="207" t="s">
        <v>36</v>
      </c>
      <c r="D37" s="207" t="s">
        <v>36</v>
      </c>
      <c r="E37" s="61">
        <f>'29'!E108</f>
        <v>6.6582291666666675</v>
      </c>
      <c r="F37" s="61">
        <f>'29'!F108</f>
        <v>4.4914583333333304</v>
      </c>
      <c r="G37" s="61">
        <f>'29'!G108</f>
        <v>92.863854166666655</v>
      </c>
      <c r="H37" s="61">
        <f>'29'!H108</f>
        <v>40.985833333333375</v>
      </c>
      <c r="I37" s="61">
        <f>'29'!I108</f>
        <v>6.1164583333333331</v>
      </c>
      <c r="J37" s="61">
        <f>'29'!J108</f>
        <v>1.423333333333334</v>
      </c>
      <c r="K37" s="61">
        <f>'29'!K108</f>
        <v>220.2784375</v>
      </c>
      <c r="L37" s="61">
        <f>'29'!L108</f>
        <v>17.34375</v>
      </c>
      <c r="M37" s="61">
        <f>'29'!M108</f>
        <v>59.458958333333321</v>
      </c>
      <c r="N37" s="61">
        <f>'29'!N108</f>
        <v>152.65729166666668</v>
      </c>
      <c r="O37" s="61">
        <f>'29'!O108</f>
        <v>0</v>
      </c>
      <c r="P37" s="199">
        <f>'29'!P108</f>
        <v>0.94708333333333306</v>
      </c>
      <c r="Q37" s="61">
        <f>'29'!Q108</f>
        <v>8.4748958333333295</v>
      </c>
      <c r="R37" s="116"/>
      <c r="S37" s="116"/>
      <c r="T37" s="116"/>
      <c r="U37" s="116"/>
    </row>
    <row r="38" spans="1:21" s="54" customFormat="1" x14ac:dyDescent="0.25">
      <c r="A38" s="94" t="str">
        <f>'30'!$B$2</f>
        <v>30/11/2024 00:15</v>
      </c>
      <c r="B38" s="207" t="s">
        <v>36</v>
      </c>
      <c r="C38" s="207" t="s">
        <v>36</v>
      </c>
      <c r="D38" s="207" t="s">
        <v>36</v>
      </c>
      <c r="E38" s="61">
        <f>'30'!E108</f>
        <v>6.5698958333333328</v>
      </c>
      <c r="F38" s="61">
        <f>'30'!F108</f>
        <v>3.9666666666666686</v>
      </c>
      <c r="G38" s="61">
        <f>'30'!G108</f>
        <v>82.687187499999979</v>
      </c>
      <c r="H38" s="61">
        <f>'30'!H108</f>
        <v>45.440104166666657</v>
      </c>
      <c r="I38" s="61">
        <f>'30'!I108</f>
        <v>6.9847916666666627</v>
      </c>
      <c r="J38" s="61">
        <f>'30'!J108</f>
        <v>2.1073958333333329</v>
      </c>
      <c r="K38" s="61">
        <f>'30'!K108</f>
        <v>189.89718750000006</v>
      </c>
      <c r="L38" s="61">
        <f>'30'!L108</f>
        <v>16.535729166666666</v>
      </c>
      <c r="M38" s="61">
        <f>'30'!M108</f>
        <v>82.600000000000009</v>
      </c>
      <c r="N38" s="61">
        <f>'30'!N108</f>
        <v>79.876041666666708</v>
      </c>
      <c r="O38" s="61">
        <f>'30'!O108</f>
        <v>0</v>
      </c>
      <c r="P38" s="199">
        <f>'30'!P108</f>
        <v>0.84250000000000014</v>
      </c>
      <c r="Q38" s="61">
        <f>'30'!Q108</f>
        <v>8.3630208333333425</v>
      </c>
      <c r="R38" s="116"/>
      <c r="S38" s="116"/>
      <c r="T38" s="116"/>
      <c r="U38" s="116"/>
    </row>
    <row r="39" spans="1:21" s="54" customFormat="1" x14ac:dyDescent="0.25">
      <c r="A39" s="94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</row>
    <row r="40" spans="1:21" s="54" customFormat="1" x14ac:dyDescent="0.25">
      <c r="A40" s="94" t="s">
        <v>59</v>
      </c>
      <c r="B40" s="16">
        <f t="shared" ref="B40:Q40" si="0">MIN(B9:B38)</f>
        <v>6.3634374999999999</v>
      </c>
      <c r="C40" s="16">
        <f t="shared" si="0"/>
        <v>11.590520833333334</v>
      </c>
      <c r="D40" s="16">
        <f t="shared" si="0"/>
        <v>16.936354166666664</v>
      </c>
      <c r="E40" s="16">
        <f t="shared" si="0"/>
        <v>5.506875</v>
      </c>
      <c r="F40" s="16">
        <f t="shared" si="0"/>
        <v>3.9666666666666686</v>
      </c>
      <c r="G40" s="16">
        <f t="shared" si="0"/>
        <v>73.675520833333323</v>
      </c>
      <c r="H40" s="16">
        <f t="shared" si="0"/>
        <v>21.870470588235285</v>
      </c>
      <c r="I40" s="16">
        <f t="shared" si="0"/>
        <v>4.4283333333333355</v>
      </c>
      <c r="J40" s="16">
        <f t="shared" si="0"/>
        <v>0.40749999999999997</v>
      </c>
      <c r="K40" s="16">
        <f t="shared" si="0"/>
        <v>158.76885416666667</v>
      </c>
      <c r="L40" s="16">
        <f t="shared" si="0"/>
        <v>15.923855421686746</v>
      </c>
      <c r="M40" s="16">
        <f t="shared" si="0"/>
        <v>52.871666666666691</v>
      </c>
      <c r="N40" s="16">
        <f t="shared" si="0"/>
        <v>79.876041666666708</v>
      </c>
      <c r="O40" s="16">
        <f t="shared" si="0"/>
        <v>0</v>
      </c>
      <c r="P40" s="16">
        <f t="shared" si="0"/>
        <v>0.69958333333333333</v>
      </c>
      <c r="Q40" s="16">
        <f t="shared" si="0"/>
        <v>8.3630208333333425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60.818571428571431</v>
      </c>
      <c r="C41" s="16">
        <f t="shared" si="1"/>
        <v>55.206875000000004</v>
      </c>
      <c r="D41" s="16">
        <f t="shared" si="1"/>
        <v>75.489795918367335</v>
      </c>
      <c r="E41" s="16">
        <f t="shared" si="1"/>
        <v>9.1041666666666679</v>
      </c>
      <c r="F41" s="16">
        <f t="shared" si="1"/>
        <v>12.105104166666669</v>
      </c>
      <c r="G41" s="16">
        <f t="shared" si="1"/>
        <v>146.87020833333335</v>
      </c>
      <c r="H41" s="16">
        <f t="shared" si="1"/>
        <v>93.096091954022995</v>
      </c>
      <c r="I41" s="16">
        <f t="shared" si="1"/>
        <v>8.671358024691358</v>
      </c>
      <c r="J41" s="16">
        <f t="shared" si="1"/>
        <v>2.1073958333333329</v>
      </c>
      <c r="K41" s="16">
        <f t="shared" si="1"/>
        <v>257.99270833333344</v>
      </c>
      <c r="L41" s="16">
        <f t="shared" si="1"/>
        <v>26.241770833333323</v>
      </c>
      <c r="M41" s="16">
        <f t="shared" si="1"/>
        <v>82.600000000000009</v>
      </c>
      <c r="N41" s="16">
        <f t="shared" si="1"/>
        <v>174.75416666666658</v>
      </c>
      <c r="O41" s="16">
        <f t="shared" si="1"/>
        <v>0</v>
      </c>
      <c r="P41" s="16">
        <f t="shared" si="1"/>
        <v>1.4782291666666667</v>
      </c>
      <c r="Q41" s="16">
        <f t="shared" si="1"/>
        <v>10.87291666666667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22.250383046737213</v>
      </c>
      <c r="C42" s="16">
        <f t="shared" si="2"/>
        <v>33.815858764802222</v>
      </c>
      <c r="D42" s="16">
        <f t="shared" si="2"/>
        <v>34.134286422902498</v>
      </c>
      <c r="E42" s="16">
        <f t="shared" si="2"/>
        <v>6.5359658119658119</v>
      </c>
      <c r="F42" s="16">
        <f t="shared" si="2"/>
        <v>5.0214848142570272</v>
      </c>
      <c r="G42" s="16">
        <f t="shared" si="2"/>
        <v>101.96536579719167</v>
      </c>
      <c r="H42" s="16">
        <f t="shared" si="2"/>
        <v>50.965285763790575</v>
      </c>
      <c r="I42" s="16">
        <f t="shared" si="2"/>
        <v>5.9114549897119328</v>
      </c>
      <c r="J42" s="16">
        <f t="shared" si="2"/>
        <v>0.96276342871485954</v>
      </c>
      <c r="K42" s="16">
        <f t="shared" si="2"/>
        <v>212.46683170180722</v>
      </c>
      <c r="L42" s="16">
        <f t="shared" si="2"/>
        <v>19.882100736278449</v>
      </c>
      <c r="M42" s="16">
        <f t="shared" si="2"/>
        <v>62.854065470214181</v>
      </c>
      <c r="N42" s="16">
        <f t="shared" si="2"/>
        <v>151.07943063922355</v>
      </c>
      <c r="O42" s="16">
        <f t="shared" si="2"/>
        <v>0</v>
      </c>
      <c r="P42" s="16">
        <f t="shared" si="2"/>
        <v>1.0154909220214188</v>
      </c>
      <c r="Q42" s="16">
        <f t="shared" si="2"/>
        <v>9.7587298611111102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13.326162065781432</v>
      </c>
      <c r="C43" s="16">
        <f t="shared" si="3"/>
        <v>15.049535512367298</v>
      </c>
      <c r="D43" s="16">
        <f t="shared" si="3"/>
        <v>17.10551233505397</v>
      </c>
      <c r="E43" s="16">
        <f t="shared" si="3"/>
        <v>0.7771303649793414</v>
      </c>
      <c r="F43" s="16">
        <f t="shared" si="3"/>
        <v>1.4269472549128299</v>
      </c>
      <c r="G43" s="16">
        <f t="shared" si="3"/>
        <v>19.161259962601708</v>
      </c>
      <c r="H43" s="16">
        <f t="shared" si="3"/>
        <v>13.979612943374015</v>
      </c>
      <c r="I43" s="16">
        <f t="shared" si="3"/>
        <v>1.0165977222851201</v>
      </c>
      <c r="J43" s="16">
        <f t="shared" si="3"/>
        <v>0.51632766544778685</v>
      </c>
      <c r="K43" s="16">
        <f t="shared" si="3"/>
        <v>24.754549484184082</v>
      </c>
      <c r="L43" s="16">
        <f t="shared" si="3"/>
        <v>2.9885261669206855</v>
      </c>
      <c r="M43" s="16">
        <f t="shared" si="3"/>
        <v>6.1856034938590474</v>
      </c>
      <c r="N43" s="16">
        <f t="shared" si="3"/>
        <v>19.359207516730294</v>
      </c>
      <c r="O43" s="16">
        <f t="shared" si="3"/>
        <v>0</v>
      </c>
      <c r="P43" s="16">
        <f t="shared" si="3"/>
        <v>0.20597668995546531</v>
      </c>
      <c r="Q43" s="16">
        <f t="shared" si="3"/>
        <v>0.68343124838337699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6">
        <f>COUNT(B9:B38)+3</f>
        <v>30</v>
      </c>
      <c r="C44" s="16">
        <f t="shared" ref="C44:D44" si="4">COUNT(C9:C38)+3</f>
        <v>30</v>
      </c>
      <c r="D44" s="16">
        <f t="shared" si="4"/>
        <v>30</v>
      </c>
      <c r="E44" s="13">
        <f t="shared" ref="B44:Q44" si="5">COUNT(E9:E38)</f>
        <v>30</v>
      </c>
      <c r="F44" s="13">
        <f t="shared" si="5"/>
        <v>30</v>
      </c>
      <c r="G44" s="13">
        <f t="shared" si="5"/>
        <v>30</v>
      </c>
      <c r="H44" s="13">
        <f t="shared" si="5"/>
        <v>30</v>
      </c>
      <c r="I44" s="13">
        <f t="shared" si="5"/>
        <v>30</v>
      </c>
      <c r="J44" s="13">
        <f t="shared" si="5"/>
        <v>30</v>
      </c>
      <c r="K44" s="13">
        <f t="shared" si="5"/>
        <v>30</v>
      </c>
      <c r="L44" s="13">
        <f t="shared" si="5"/>
        <v>30</v>
      </c>
      <c r="M44" s="13">
        <f t="shared" si="5"/>
        <v>30</v>
      </c>
      <c r="N44" s="13">
        <f t="shared" si="5"/>
        <v>30</v>
      </c>
      <c r="O44" s="13">
        <f t="shared" si="5"/>
        <v>30</v>
      </c>
      <c r="P44" s="13">
        <f t="shared" si="5"/>
        <v>30</v>
      </c>
      <c r="Q44" s="13">
        <f t="shared" si="5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6">IF(C44&gt;=28,"&gt;90%",IF(C44&lt;=28,"&lt;90%"))</f>
        <v>&gt;90%</v>
      </c>
      <c r="D45" s="13" t="str">
        <f t="shared" si="6"/>
        <v>&gt;90%</v>
      </c>
      <c r="E45" s="13" t="str">
        <f t="shared" si="6"/>
        <v>&gt;90%</v>
      </c>
      <c r="F45" s="13" t="str">
        <f t="shared" si="6"/>
        <v>&gt;90%</v>
      </c>
      <c r="G45" s="13" t="str">
        <f t="shared" si="6"/>
        <v>&gt;90%</v>
      </c>
      <c r="H45" s="13" t="str">
        <f t="shared" si="6"/>
        <v>&gt;90%</v>
      </c>
      <c r="I45" s="13" t="str">
        <f t="shared" si="6"/>
        <v>&gt;90%</v>
      </c>
      <c r="J45" s="13" t="str">
        <f t="shared" si="6"/>
        <v>&gt;90%</v>
      </c>
      <c r="K45" s="13" t="str">
        <f t="shared" si="6"/>
        <v>&gt;90%</v>
      </c>
      <c r="L45" s="13" t="str">
        <f t="shared" si="6"/>
        <v>&gt;90%</v>
      </c>
      <c r="M45" s="13" t="str">
        <f t="shared" si="6"/>
        <v>&gt;90%</v>
      </c>
      <c r="N45" s="13" t="str">
        <f t="shared" si="6"/>
        <v>&gt;90%</v>
      </c>
      <c r="O45" s="13" t="str">
        <f t="shared" si="6"/>
        <v>&gt;90%</v>
      </c>
      <c r="P45" s="13" t="str">
        <f t="shared" si="6"/>
        <v>&gt;90%</v>
      </c>
      <c r="Q45" s="13" t="str">
        <f t="shared" si="6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7">IF(C44&gt;=28,"OK",IF(C44&lt;=28,"LESS"))</f>
        <v>OK</v>
      </c>
      <c r="D46" s="13" t="str">
        <f t="shared" si="7"/>
        <v>OK</v>
      </c>
      <c r="E46" s="13" t="str">
        <f t="shared" si="7"/>
        <v>OK</v>
      </c>
      <c r="F46" s="13" t="str">
        <f t="shared" si="7"/>
        <v>OK</v>
      </c>
      <c r="G46" s="13" t="str">
        <f t="shared" si="7"/>
        <v>OK</v>
      </c>
      <c r="H46" s="13" t="str">
        <f t="shared" si="7"/>
        <v>OK</v>
      </c>
      <c r="I46" s="13" t="str">
        <f t="shared" si="7"/>
        <v>OK</v>
      </c>
      <c r="J46" s="13" t="str">
        <f t="shared" si="7"/>
        <v>OK</v>
      </c>
      <c r="K46" s="13" t="str">
        <f t="shared" si="7"/>
        <v>OK</v>
      </c>
      <c r="L46" s="13" t="str">
        <f t="shared" si="7"/>
        <v>OK</v>
      </c>
      <c r="M46" s="13" t="str">
        <f t="shared" si="7"/>
        <v>OK</v>
      </c>
      <c r="N46" s="13" t="str">
        <f t="shared" si="7"/>
        <v>OK</v>
      </c>
      <c r="O46" s="13" t="str">
        <f t="shared" si="7"/>
        <v>OK</v>
      </c>
      <c r="P46" s="13" t="str">
        <f t="shared" si="7"/>
        <v>OK</v>
      </c>
      <c r="Q46" s="13" t="str">
        <f t="shared" si="7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133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topLeftCell="E1" zoomScale="85" zoomScaleNormal="85" workbookViewId="0">
      <selection activeCell="V31" sqref="V31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9" t="s">
        <v>226</v>
      </c>
      <c r="E1" s="219"/>
      <c r="F1" s="219"/>
      <c r="G1" s="219"/>
      <c r="H1" s="219"/>
      <c r="I1" s="219"/>
      <c r="J1" s="220"/>
    </row>
    <row r="2" spans="2:24" ht="22.5" customHeight="1" thickBot="1" x14ac:dyDescent="0.3">
      <c r="B2" s="54"/>
      <c r="C2" s="111" t="s">
        <v>0</v>
      </c>
      <c r="D2" s="221" t="s">
        <v>1877</v>
      </c>
      <c r="E2" s="222"/>
      <c r="F2" s="222"/>
      <c r="G2" s="112"/>
      <c r="H2" s="113"/>
      <c r="I2" s="113"/>
      <c r="J2" s="114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18" t="s">
        <v>1</v>
      </c>
      <c r="H5" s="218"/>
      <c r="I5" s="40"/>
      <c r="J5" s="40"/>
      <c r="K5" s="40"/>
      <c r="L5" s="40"/>
      <c r="M5" s="41"/>
      <c r="O5" s="68"/>
      <c r="P5" s="69"/>
      <c r="Q5" s="69"/>
      <c r="R5" s="69"/>
      <c r="S5" s="205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/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/>
      <c r="I8" s="60">
        <v>0</v>
      </c>
      <c r="J8" s="61" t="e">
        <f>F8/H8</f>
        <v>#DIV/0!</v>
      </c>
      <c r="K8" s="61">
        <f>(H8-F8)*100/F8</f>
        <v>-100</v>
      </c>
      <c r="L8" s="60" t="s">
        <v>67</v>
      </c>
      <c r="M8" s="78" t="s">
        <v>217</v>
      </c>
      <c r="O8" s="63">
        <v>45600.490972222222</v>
      </c>
      <c r="P8" s="64" t="s">
        <v>70</v>
      </c>
      <c r="Q8" s="64">
        <v>4238.6899999999996</v>
      </c>
      <c r="R8" s="64">
        <v>3207.2</v>
      </c>
      <c r="S8" s="77" t="s">
        <v>3127</v>
      </c>
      <c r="T8" s="77">
        <v>844.72</v>
      </c>
      <c r="U8" s="86">
        <v>0.8821</v>
      </c>
      <c r="V8" s="86">
        <v>0.88239999999999996</v>
      </c>
      <c r="W8" s="60" t="s">
        <v>67</v>
      </c>
      <c r="X8" s="78" t="s">
        <v>217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217</v>
      </c>
      <c r="O9" s="63">
        <v>45606.576388888891</v>
      </c>
      <c r="P9" s="64" t="s">
        <v>70</v>
      </c>
      <c r="Q9" s="64">
        <v>4640.99</v>
      </c>
      <c r="R9" s="64">
        <v>3536.75</v>
      </c>
      <c r="S9" s="77" t="s">
        <v>3127</v>
      </c>
      <c r="T9" s="77">
        <v>841.93</v>
      </c>
      <c r="U9" s="86">
        <v>0.88239999999999996</v>
      </c>
      <c r="V9" s="86">
        <v>0.90080000000000005</v>
      </c>
      <c r="W9" s="60" t="s">
        <v>67</v>
      </c>
      <c r="X9" s="78" t="s">
        <v>217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217</v>
      </c>
      <c r="O10" s="63">
        <v>45644.552083333336</v>
      </c>
      <c r="P10" s="64" t="s">
        <v>70</v>
      </c>
      <c r="Q10" s="64">
        <v>4432.1099999999997</v>
      </c>
      <c r="R10" s="64">
        <v>3326.17</v>
      </c>
      <c r="S10" s="77" t="s">
        <v>3127</v>
      </c>
      <c r="T10" s="77">
        <v>843.25</v>
      </c>
      <c r="U10" s="86">
        <v>0.91100000000000003</v>
      </c>
      <c r="V10" s="86">
        <v>0.90449999999999997</v>
      </c>
      <c r="W10" s="60" t="s">
        <v>67</v>
      </c>
      <c r="X10" s="78" t="s">
        <v>1878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217</v>
      </c>
      <c r="O11" s="63">
        <v>45651.583333333336</v>
      </c>
      <c r="P11" s="64" t="s">
        <v>70</v>
      </c>
      <c r="Q11" s="64">
        <v>4632.16</v>
      </c>
      <c r="R11" s="64">
        <v>3452.39</v>
      </c>
      <c r="S11" s="77" t="s">
        <v>3127</v>
      </c>
      <c r="T11" s="77">
        <v>840.52</v>
      </c>
      <c r="U11" s="86">
        <v>0.90449999999999997</v>
      </c>
      <c r="V11" s="86">
        <v>0.89459999999999995</v>
      </c>
      <c r="W11" s="60" t="s">
        <v>67</v>
      </c>
      <c r="X11" s="78" t="s">
        <v>1878</v>
      </c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3127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6" t="s">
        <v>25</v>
      </c>
      <c r="D21" s="216"/>
      <c r="E21" s="216"/>
      <c r="F21" s="216"/>
      <c r="G21" s="216"/>
      <c r="H21" s="216"/>
      <c r="I21" s="45">
        <f>COUNT(B8:B20)</f>
        <v>0</v>
      </c>
      <c r="J21" s="46"/>
      <c r="K21" s="46"/>
      <c r="L21" s="47"/>
      <c r="M21" s="48"/>
      <c r="O21" s="80"/>
      <c r="P21" s="215" t="s">
        <v>84</v>
      </c>
      <c r="Q21" s="215"/>
      <c r="R21" s="215"/>
      <c r="S21" s="215"/>
      <c r="T21" s="81">
        <f>COUNT(O8:O20)</f>
        <v>4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17" t="s">
        <v>2</v>
      </c>
      <c r="H24" s="217"/>
      <c r="I24" s="40"/>
      <c r="J24" s="51"/>
      <c r="K24" s="51"/>
      <c r="L24" s="40"/>
      <c r="M24" s="41"/>
      <c r="O24" s="68"/>
      <c r="P24" s="69"/>
      <c r="Q24" s="69"/>
      <c r="R24" s="69"/>
      <c r="S24" s="205"/>
      <c r="T24" s="69"/>
      <c r="U24" s="85"/>
      <c r="V24" s="85"/>
      <c r="W24" s="69"/>
      <c r="X24" s="70"/>
    </row>
    <row r="25" spans="2:24" s="54" customFormat="1" x14ac:dyDescent="0.25">
      <c r="B25" s="117"/>
      <c r="C25" s="118"/>
      <c r="D25" s="118"/>
      <c r="E25" s="118"/>
      <c r="F25" s="118"/>
      <c r="G25" s="119"/>
      <c r="H25" s="119"/>
      <c r="I25" s="119"/>
      <c r="J25" s="120"/>
      <c r="K25" s="120"/>
      <c r="L25" s="119"/>
      <c r="M25" s="121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/>
      <c r="C27" s="60" t="s">
        <v>68</v>
      </c>
      <c r="D27" s="60" t="s">
        <v>51</v>
      </c>
      <c r="E27" s="60">
        <v>0</v>
      </c>
      <c r="F27" s="60">
        <v>200</v>
      </c>
      <c r="G27" s="60"/>
      <c r="H27" s="61"/>
      <c r="I27" s="60">
        <v>0</v>
      </c>
      <c r="J27" s="61" t="e">
        <f>F27/H27</f>
        <v>#DIV/0!</v>
      </c>
      <c r="K27" s="61">
        <f>(H27-F27)*100/F27</f>
        <v>-100</v>
      </c>
      <c r="L27" s="60" t="s">
        <v>67</v>
      </c>
      <c r="M27" s="78" t="s">
        <v>217</v>
      </c>
      <c r="O27" s="63">
        <v>45600.490972222222</v>
      </c>
      <c r="P27" s="64" t="s">
        <v>71</v>
      </c>
      <c r="Q27" s="64">
        <v>5392.74</v>
      </c>
      <c r="R27" s="64">
        <v>4168.16</v>
      </c>
      <c r="S27" s="77" t="s">
        <v>3128</v>
      </c>
      <c r="T27" s="77">
        <v>830.13</v>
      </c>
      <c r="U27" s="86">
        <v>0.94579999999999997</v>
      </c>
      <c r="V27" s="86">
        <v>0.96499999999999997</v>
      </c>
      <c r="W27" s="60" t="s">
        <v>67</v>
      </c>
      <c r="X27" s="78" t="s">
        <v>217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223</v>
      </c>
      <c r="O28" s="63">
        <v>45606.576388888891</v>
      </c>
      <c r="P28" s="64" t="s">
        <v>71</v>
      </c>
      <c r="Q28" s="64">
        <v>5128.16</v>
      </c>
      <c r="R28" s="64">
        <v>3942.55</v>
      </c>
      <c r="S28" s="77" t="s">
        <v>3128</v>
      </c>
      <c r="T28" s="77">
        <v>833.49</v>
      </c>
      <c r="U28" s="86">
        <v>0.96499999999999997</v>
      </c>
      <c r="V28" s="86">
        <v>0.94330000000000003</v>
      </c>
      <c r="W28" s="60" t="s">
        <v>67</v>
      </c>
      <c r="X28" s="78" t="s">
        <v>217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224</v>
      </c>
      <c r="O29" s="63">
        <v>45644.552083333336</v>
      </c>
      <c r="P29" s="64" t="s">
        <v>71</v>
      </c>
      <c r="Q29" s="64">
        <v>5264.81</v>
      </c>
      <c r="R29" s="64">
        <v>4036.24</v>
      </c>
      <c r="S29" s="77" t="s">
        <v>3128</v>
      </c>
      <c r="T29" s="77">
        <v>832.14</v>
      </c>
      <c r="U29" s="86">
        <v>0.9325</v>
      </c>
      <c r="V29" s="86">
        <v>0.92889999999999995</v>
      </c>
      <c r="W29" s="60" t="s">
        <v>67</v>
      </c>
      <c r="X29" s="78" t="s">
        <v>1878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224</v>
      </c>
      <c r="O30" s="63">
        <v>45651.583333333336</v>
      </c>
      <c r="P30" s="64" t="s">
        <v>71</v>
      </c>
      <c r="Q30" s="64">
        <v>5086.62</v>
      </c>
      <c r="R30" s="64">
        <v>3142.15</v>
      </c>
      <c r="S30" s="77" t="s">
        <v>3128</v>
      </c>
      <c r="T30" s="77">
        <v>831.56</v>
      </c>
      <c r="U30" s="86">
        <v>0.91379999999999995</v>
      </c>
      <c r="V30" s="86">
        <v>0.90759999999999996</v>
      </c>
      <c r="W30" s="60" t="s">
        <v>67</v>
      </c>
      <c r="X30" s="78" t="s">
        <v>1878</v>
      </c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 t="s">
        <v>3128</v>
      </c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5" t="s">
        <v>85</v>
      </c>
      <c r="Q40" s="215"/>
      <c r="R40" s="215"/>
      <c r="S40" s="215"/>
      <c r="T40" s="81">
        <f>COUNT(O27:O39)</f>
        <v>4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6" t="s">
        <v>26</v>
      </c>
      <c r="E41" s="216"/>
      <c r="F41" s="216"/>
      <c r="G41" s="216"/>
      <c r="H41" s="216"/>
      <c r="I41" s="216"/>
      <c r="J41" s="52">
        <f>COUNT(B27:B39)</f>
        <v>0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17" t="s">
        <v>23</v>
      </c>
      <c r="H44" s="217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6" t="s">
        <v>27</v>
      </c>
      <c r="E61" s="216"/>
      <c r="F61" s="216"/>
      <c r="G61" s="216"/>
      <c r="H61" s="216"/>
      <c r="I61" s="216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17" t="s">
        <v>3</v>
      </c>
      <c r="H64" s="217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/>
      <c r="C67" s="60" t="s">
        <v>3</v>
      </c>
      <c r="D67" s="60" t="s">
        <v>52</v>
      </c>
      <c r="E67" s="60">
        <v>0</v>
      </c>
      <c r="F67" s="60">
        <v>5</v>
      </c>
      <c r="G67" s="60"/>
      <c r="H67" s="115"/>
      <c r="I67" s="60">
        <v>0</v>
      </c>
      <c r="J67" s="61" t="e">
        <f>F67/H67</f>
        <v>#DIV/0!</v>
      </c>
      <c r="K67" s="61">
        <f>(H67-F67)*100/F67</f>
        <v>-100</v>
      </c>
      <c r="L67" s="60" t="s">
        <v>67</v>
      </c>
      <c r="M67" s="78" t="s">
        <v>223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224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224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224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5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5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5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5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5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5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5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5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5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5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6" t="s">
        <v>28</v>
      </c>
      <c r="E81" s="216"/>
      <c r="F81" s="216"/>
      <c r="G81" s="216"/>
      <c r="H81" s="216"/>
      <c r="I81" s="216"/>
      <c r="J81" s="52">
        <f>COUNT(B67:B79)</f>
        <v>0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17" t="s">
        <v>24</v>
      </c>
      <c r="H84" s="217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6" t="s">
        <v>29</v>
      </c>
      <c r="E101" s="216"/>
      <c r="F101" s="216"/>
      <c r="G101" s="216"/>
      <c r="H101" s="216"/>
      <c r="I101" s="216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18" t="s">
        <v>4</v>
      </c>
      <c r="H104" s="218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45621.613888888889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319.39999999999998</v>
      </c>
      <c r="I107" s="60">
        <f>G107-E107</f>
        <v>0</v>
      </c>
      <c r="J107" s="61">
        <f>F107/H107</f>
        <v>1.0018785222291797</v>
      </c>
      <c r="K107" s="61">
        <f>(H107-F107)*100/F107</f>
        <v>-0.18750000000000711</v>
      </c>
      <c r="L107" s="60" t="s">
        <v>67</v>
      </c>
      <c r="M107" s="78" t="s">
        <v>1878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224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224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224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6" t="s">
        <v>69</v>
      </c>
      <c r="D119" s="216"/>
      <c r="E119" s="216"/>
      <c r="F119" s="216"/>
      <c r="G119" s="216"/>
      <c r="H119" s="216"/>
      <c r="I119" s="52">
        <f>COUNT(B107:B118)</f>
        <v>1</v>
      </c>
      <c r="J119" s="46"/>
      <c r="K119" s="46"/>
      <c r="L119" s="47"/>
      <c r="M119" s="48"/>
    </row>
  </sheetData>
  <mergeCells count="16">
    <mergeCell ref="D1:J1"/>
    <mergeCell ref="G44:H44"/>
    <mergeCell ref="C21:H21"/>
    <mergeCell ref="G5:H5"/>
    <mergeCell ref="G24:H24"/>
    <mergeCell ref="D2:F2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3" t="s">
        <v>227</v>
      </c>
      <c r="C2" s="223"/>
      <c r="D2" s="224">
        <v>45627</v>
      </c>
      <c r="E2" s="224"/>
    </row>
    <row r="3" spans="1:5" x14ac:dyDescent="0.25">
      <c r="B3" s="223" t="s">
        <v>21</v>
      </c>
      <c r="C3" s="223"/>
      <c r="D3" s="224"/>
      <c r="E3" s="224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11" t="s">
        <v>2792</v>
      </c>
      <c r="C8" s="211" t="s">
        <v>2804</v>
      </c>
      <c r="D8" s="33">
        <f t="shared" ref="D8:D13" si="0">C8-B8</f>
        <v>0.125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0.125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5" t="s">
        <v>22</v>
      </c>
      <c r="C44" s="225"/>
      <c r="D44" s="20">
        <f>SUM(D11:D42)</f>
        <v>0.125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1" t="s">
        <v>221</v>
      </c>
      <c r="C2" s="241"/>
      <c r="D2" s="241"/>
      <c r="E2" s="241"/>
      <c r="F2" s="242">
        <v>44713</v>
      </c>
      <c r="G2" s="243"/>
      <c r="H2" s="243"/>
    </row>
    <row r="3" spans="2:24" s="12" customFormat="1" ht="15" customHeight="1" x14ac:dyDescent="0.25">
      <c r="B3" s="241"/>
      <c r="C3" s="241"/>
      <c r="D3" s="241"/>
      <c r="E3" s="241"/>
      <c r="F3" s="243"/>
      <c r="G3" s="243"/>
      <c r="H3" s="243"/>
    </row>
    <row r="8" spans="2:24" x14ac:dyDescent="0.25">
      <c r="J8" s="14"/>
      <c r="K8" s="14"/>
      <c r="L8" s="14"/>
      <c r="U8" s="123"/>
    </row>
    <row r="9" spans="2:24" ht="15.75" x14ac:dyDescent="0.25">
      <c r="J9" s="124"/>
      <c r="K9" s="124"/>
      <c r="L9" s="14"/>
      <c r="U9" s="123"/>
    </row>
    <row r="10" spans="2:24" x14ac:dyDescent="0.25">
      <c r="U10" s="123"/>
    </row>
    <row r="11" spans="2:24" ht="15.75" thickBot="1" x14ac:dyDescent="0.3">
      <c r="U11" s="123"/>
    </row>
    <row r="12" spans="2:24" ht="15.75" customHeight="1" thickBot="1" x14ac:dyDescent="0.3">
      <c r="B12" s="244" t="s">
        <v>4</v>
      </c>
      <c r="C12" s="246" t="s">
        <v>134</v>
      </c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125"/>
      <c r="U12" s="123"/>
    </row>
    <row r="13" spans="2:24" ht="15" customHeight="1" x14ac:dyDescent="0.25">
      <c r="B13" s="245"/>
      <c r="C13" s="126" t="s">
        <v>78</v>
      </c>
      <c r="D13" s="127" t="s">
        <v>83</v>
      </c>
      <c r="E13" s="127" t="s">
        <v>135</v>
      </c>
      <c r="F13" s="127" t="s">
        <v>218</v>
      </c>
      <c r="G13" s="127" t="s">
        <v>137</v>
      </c>
      <c r="H13" s="127" t="s">
        <v>138</v>
      </c>
      <c r="I13" s="127" t="s">
        <v>139</v>
      </c>
      <c r="J13" s="127" t="s">
        <v>140</v>
      </c>
      <c r="K13" s="127" t="s">
        <v>141</v>
      </c>
      <c r="L13" s="127" t="s">
        <v>142</v>
      </c>
      <c r="M13" s="127" t="s">
        <v>143</v>
      </c>
      <c r="N13" s="127" t="s">
        <v>144</v>
      </c>
      <c r="O13" s="127" t="s">
        <v>145</v>
      </c>
      <c r="P13" s="128" t="s">
        <v>146</v>
      </c>
      <c r="Q13" s="127" t="s">
        <v>147</v>
      </c>
      <c r="R13" s="129"/>
      <c r="U13" s="123"/>
    </row>
    <row r="14" spans="2:24" ht="15" customHeight="1" x14ac:dyDescent="0.25">
      <c r="B14" s="245"/>
      <c r="C14" s="122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3">
        <v>2423398912</v>
      </c>
      <c r="L14" s="193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5"/>
      <c r="C15" s="130" t="s">
        <v>148</v>
      </c>
      <c r="D15" s="131" t="s">
        <v>149</v>
      </c>
      <c r="E15" s="131" t="s">
        <v>150</v>
      </c>
      <c r="F15" s="131" t="s">
        <v>151</v>
      </c>
      <c r="G15" s="131" t="s">
        <v>152</v>
      </c>
      <c r="H15" s="131" t="s">
        <v>153</v>
      </c>
      <c r="I15" s="131" t="s">
        <v>154</v>
      </c>
      <c r="J15" s="131" t="s">
        <v>155</v>
      </c>
      <c r="K15" s="131" t="s">
        <v>156</v>
      </c>
      <c r="L15" s="131" t="s">
        <v>157</v>
      </c>
      <c r="M15" s="131" t="s">
        <v>158</v>
      </c>
      <c r="N15" s="131" t="s">
        <v>159</v>
      </c>
      <c r="O15" s="131" t="s">
        <v>160</v>
      </c>
      <c r="P15" s="132" t="s">
        <v>161</v>
      </c>
      <c r="Q15" s="131" t="s">
        <v>162</v>
      </c>
      <c r="R15" s="133" t="s">
        <v>20</v>
      </c>
      <c r="X15" s="11"/>
    </row>
    <row r="16" spans="2:24" ht="15.75" customHeight="1" x14ac:dyDescent="0.25">
      <c r="B16" s="245"/>
      <c r="C16" s="193">
        <v>2425504512</v>
      </c>
      <c r="D16" s="193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48" t="s">
        <v>217</v>
      </c>
      <c r="X16" s="11"/>
    </row>
    <row r="17" spans="2:28" ht="15.75" customHeight="1" x14ac:dyDescent="0.25">
      <c r="B17" s="245"/>
      <c r="C17" s="136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8"/>
      <c r="Q17" s="138"/>
      <c r="R17" s="139"/>
      <c r="X17" s="11"/>
    </row>
    <row r="18" spans="2:28" ht="15.75" customHeight="1" x14ac:dyDescent="0.25">
      <c r="B18" s="245"/>
      <c r="C18" s="140" t="s">
        <v>78</v>
      </c>
      <c r="D18" s="140" t="s">
        <v>83</v>
      </c>
      <c r="E18" s="140" t="s">
        <v>135</v>
      </c>
      <c r="F18" s="140" t="s">
        <v>136</v>
      </c>
      <c r="G18" s="140" t="s">
        <v>137</v>
      </c>
      <c r="H18" s="140" t="s">
        <v>138</v>
      </c>
      <c r="I18" s="140" t="s">
        <v>139</v>
      </c>
      <c r="J18" s="140" t="s">
        <v>140</v>
      </c>
      <c r="K18" s="140" t="s">
        <v>141</v>
      </c>
      <c r="L18" s="140" t="s">
        <v>142</v>
      </c>
      <c r="M18" s="140" t="s">
        <v>143</v>
      </c>
      <c r="N18" s="140" t="s">
        <v>144</v>
      </c>
      <c r="O18" s="140" t="s">
        <v>145</v>
      </c>
      <c r="P18" s="141" t="s">
        <v>146</v>
      </c>
      <c r="Q18" s="140" t="s">
        <v>147</v>
      </c>
      <c r="R18" s="139"/>
    </row>
    <row r="19" spans="2:28" ht="15.75" x14ac:dyDescent="0.25">
      <c r="B19" s="142"/>
      <c r="C19" s="122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39"/>
    </row>
    <row r="20" spans="2:28" ht="15.75" x14ac:dyDescent="0.3">
      <c r="B20" s="142"/>
      <c r="C20" s="140" t="s">
        <v>148</v>
      </c>
      <c r="D20" s="131" t="s">
        <v>149</v>
      </c>
      <c r="E20" s="131" t="s">
        <v>150</v>
      </c>
      <c r="F20" s="131" t="s">
        <v>151</v>
      </c>
      <c r="G20" s="131" t="s">
        <v>152</v>
      </c>
      <c r="H20" s="131" t="s">
        <v>153</v>
      </c>
      <c r="I20" s="131" t="s">
        <v>154</v>
      </c>
      <c r="J20" s="131" t="s">
        <v>155</v>
      </c>
      <c r="K20" s="131" t="s">
        <v>156</v>
      </c>
      <c r="L20" s="131" t="s">
        <v>157</v>
      </c>
      <c r="M20" s="131" t="s">
        <v>158</v>
      </c>
      <c r="N20" s="131" t="s">
        <v>159</v>
      </c>
      <c r="O20" s="131" t="s">
        <v>160</v>
      </c>
      <c r="P20" s="132" t="s">
        <v>161</v>
      </c>
      <c r="Q20" s="131" t="s">
        <v>162</v>
      </c>
      <c r="R20" s="143" t="s">
        <v>20</v>
      </c>
    </row>
    <row r="21" spans="2:28" ht="16.5" thickBot="1" x14ac:dyDescent="0.3">
      <c r="B21" s="144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4"/>
      <c r="R21" s="145"/>
      <c r="S21" s="146"/>
    </row>
    <row r="22" spans="2:28" x14ac:dyDescent="0.25">
      <c r="J22" s="14"/>
    </row>
    <row r="23" spans="2:28" s="147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6" t="s">
        <v>2</v>
      </c>
      <c r="C25" s="239" t="s">
        <v>134</v>
      </c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28"/>
      <c r="S25" s="186"/>
      <c r="T25" s="187"/>
    </row>
    <row r="26" spans="2:28" ht="15" customHeight="1" x14ac:dyDescent="0.3">
      <c r="B26" s="236"/>
      <c r="C26" s="188" t="s">
        <v>78</v>
      </c>
      <c r="D26" s="177" t="s">
        <v>87</v>
      </c>
      <c r="E26" s="177" t="s">
        <v>86</v>
      </c>
      <c r="F26" s="177" t="s">
        <v>121</v>
      </c>
      <c r="G26" s="177" t="s">
        <v>122</v>
      </c>
      <c r="H26" s="177" t="s">
        <v>123</v>
      </c>
      <c r="I26" s="177" t="s">
        <v>124</v>
      </c>
      <c r="J26" s="177" t="s">
        <v>125</v>
      </c>
      <c r="K26" s="177" t="s">
        <v>126</v>
      </c>
      <c r="L26" s="177" t="s">
        <v>127</v>
      </c>
      <c r="M26" s="177" t="s">
        <v>128</v>
      </c>
      <c r="N26" s="177" t="s">
        <v>129</v>
      </c>
      <c r="O26" s="177" t="s">
        <v>130</v>
      </c>
      <c r="P26" s="177" t="s">
        <v>131</v>
      </c>
      <c r="Q26" s="177" t="s">
        <v>132</v>
      </c>
      <c r="R26" s="177" t="s">
        <v>214</v>
      </c>
      <c r="S26" s="177" t="s">
        <v>215</v>
      </c>
      <c r="T26" s="168" t="s">
        <v>20</v>
      </c>
      <c r="Z26" s="147"/>
      <c r="AA26" s="147"/>
      <c r="AB26" s="147"/>
    </row>
    <row r="27" spans="2:28" ht="15.75" customHeight="1" x14ac:dyDescent="0.25">
      <c r="B27" s="236"/>
      <c r="C27" s="122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5"/>
    </row>
    <row r="28" spans="2:28" ht="15" customHeight="1" x14ac:dyDescent="0.25">
      <c r="B28" s="236"/>
      <c r="C28" s="189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1"/>
      <c r="T28" s="191"/>
    </row>
    <row r="29" spans="2:28" ht="15.75" customHeight="1" x14ac:dyDescent="0.3">
      <c r="B29" s="238"/>
      <c r="C29" s="192" t="s">
        <v>78</v>
      </c>
      <c r="D29" s="182" t="s">
        <v>87</v>
      </c>
      <c r="E29" s="182" t="s">
        <v>86</v>
      </c>
      <c r="F29" s="182" t="s">
        <v>121</v>
      </c>
      <c r="G29" s="182" t="s">
        <v>122</v>
      </c>
      <c r="H29" s="182" t="s">
        <v>123</v>
      </c>
      <c r="I29" s="182" t="s">
        <v>124</v>
      </c>
      <c r="J29" s="182" t="s">
        <v>125</v>
      </c>
      <c r="K29" s="182" t="s">
        <v>126</v>
      </c>
      <c r="L29" s="182" t="s">
        <v>127</v>
      </c>
      <c r="M29" s="182" t="s">
        <v>128</v>
      </c>
      <c r="N29" s="182" t="s">
        <v>129</v>
      </c>
      <c r="O29" s="182" t="s">
        <v>130</v>
      </c>
      <c r="P29" s="182" t="s">
        <v>131</v>
      </c>
      <c r="Q29" s="182" t="s">
        <v>132</v>
      </c>
      <c r="R29" s="182" t="s">
        <v>214</v>
      </c>
      <c r="S29" s="182" t="s">
        <v>215</v>
      </c>
      <c r="T29" s="173" t="s">
        <v>20</v>
      </c>
    </row>
    <row r="30" spans="2:28" x14ac:dyDescent="0.25">
      <c r="B30" s="174"/>
      <c r="C30" s="122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5"/>
    </row>
    <row r="31" spans="2:28" x14ac:dyDescent="0.25">
      <c r="C31" s="149"/>
    </row>
    <row r="32" spans="2:28" x14ac:dyDescent="0.25">
      <c r="C32" s="149"/>
    </row>
    <row r="33" spans="2:25" ht="15" customHeight="1" x14ac:dyDescent="0.25">
      <c r="C33" s="149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0" t="s">
        <v>3</v>
      </c>
      <c r="C36" s="232" t="s">
        <v>134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</row>
    <row r="37" spans="2:25" ht="15.75" customHeight="1" x14ac:dyDescent="0.25">
      <c r="B37" s="231"/>
      <c r="C37" s="150" t="s">
        <v>78</v>
      </c>
      <c r="D37" s="140" t="s">
        <v>87</v>
      </c>
      <c r="E37" s="140" t="s">
        <v>86</v>
      </c>
      <c r="F37" s="140" t="s">
        <v>88</v>
      </c>
      <c r="G37" s="140" t="s">
        <v>89</v>
      </c>
      <c r="H37" s="140" t="s">
        <v>90</v>
      </c>
      <c r="I37" s="140" t="s">
        <v>91</v>
      </c>
      <c r="J37" s="140" t="s">
        <v>92</v>
      </c>
      <c r="K37" s="140" t="s">
        <v>93</v>
      </c>
      <c r="L37" s="140" t="s">
        <v>94</v>
      </c>
      <c r="M37" s="140" t="s">
        <v>95</v>
      </c>
      <c r="N37" s="140" t="s">
        <v>96</v>
      </c>
      <c r="O37" s="151" t="s">
        <v>97</v>
      </c>
    </row>
    <row r="38" spans="2:25" x14ac:dyDescent="0.25">
      <c r="B38" s="231"/>
      <c r="C38" s="122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7"/>
      <c r="X38" s="147"/>
      <c r="Y38" s="147"/>
    </row>
    <row r="39" spans="2:25" ht="15.75" x14ac:dyDescent="0.3">
      <c r="B39" s="231"/>
      <c r="C39" s="150" t="s">
        <v>98</v>
      </c>
      <c r="D39" s="140" t="s">
        <v>99</v>
      </c>
      <c r="E39" s="140" t="s">
        <v>100</v>
      </c>
      <c r="F39" s="140" t="s">
        <v>101</v>
      </c>
      <c r="G39" s="131" t="s">
        <v>102</v>
      </c>
      <c r="H39" s="131" t="s">
        <v>103</v>
      </c>
      <c r="I39" s="131" t="s">
        <v>104</v>
      </c>
      <c r="J39" s="131" t="s">
        <v>105</v>
      </c>
      <c r="K39" s="131" t="s">
        <v>106</v>
      </c>
      <c r="L39" s="131" t="s">
        <v>107</v>
      </c>
      <c r="M39" s="131" t="s">
        <v>108</v>
      </c>
      <c r="N39" s="131" t="s">
        <v>82</v>
      </c>
      <c r="O39" s="29" t="s">
        <v>20</v>
      </c>
      <c r="W39" s="147"/>
      <c r="X39" s="147"/>
      <c r="Y39" s="147"/>
    </row>
    <row r="40" spans="2:25" x14ac:dyDescent="0.25">
      <c r="B40" s="231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5"/>
      <c r="W40" s="147"/>
      <c r="X40" s="147"/>
      <c r="Y40" s="147"/>
    </row>
    <row r="41" spans="2:25" x14ac:dyDescent="0.25">
      <c r="B41" s="152"/>
      <c r="C41" s="153"/>
      <c r="D41" s="137"/>
      <c r="E41" s="137"/>
      <c r="F41" s="137"/>
      <c r="G41" s="137"/>
      <c r="H41" s="137"/>
      <c r="I41" s="137"/>
      <c r="J41" s="154"/>
      <c r="K41" s="137"/>
      <c r="L41" s="137"/>
      <c r="M41" s="137"/>
      <c r="N41" s="137"/>
      <c r="O41" s="155"/>
    </row>
    <row r="42" spans="2:25" ht="15.75" customHeight="1" x14ac:dyDescent="0.25">
      <c r="B42" s="152"/>
      <c r="C42" s="150" t="s">
        <v>78</v>
      </c>
      <c r="D42" s="140" t="s">
        <v>87</v>
      </c>
      <c r="E42" s="140" t="s">
        <v>86</v>
      </c>
      <c r="F42" s="140" t="s">
        <v>88</v>
      </c>
      <c r="G42" s="140" t="s">
        <v>89</v>
      </c>
      <c r="H42" s="140" t="s">
        <v>90</v>
      </c>
      <c r="I42" s="140" t="s">
        <v>91</v>
      </c>
      <c r="J42" s="140" t="s">
        <v>92</v>
      </c>
      <c r="K42" s="140" t="s">
        <v>93</v>
      </c>
      <c r="L42" s="140" t="s">
        <v>94</v>
      </c>
      <c r="M42" s="140" t="s">
        <v>95</v>
      </c>
      <c r="N42" s="140" t="s">
        <v>96</v>
      </c>
      <c r="O42" s="151" t="s">
        <v>97</v>
      </c>
    </row>
    <row r="43" spans="2:25" ht="15" customHeight="1" x14ac:dyDescent="0.25">
      <c r="B43" s="152"/>
      <c r="C43" s="122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2"/>
      <c r="C44" s="150" t="s">
        <v>98</v>
      </c>
      <c r="D44" s="140" t="s">
        <v>99</v>
      </c>
      <c r="E44" s="140" t="s">
        <v>100</v>
      </c>
      <c r="F44" s="140" t="s">
        <v>101</v>
      </c>
      <c r="G44" s="131" t="s">
        <v>102</v>
      </c>
      <c r="H44" s="131" t="s">
        <v>103</v>
      </c>
      <c r="I44" s="131" t="s">
        <v>104</v>
      </c>
      <c r="J44" s="131" t="s">
        <v>105</v>
      </c>
      <c r="K44" s="131" t="s">
        <v>106</v>
      </c>
      <c r="L44" s="131" t="s">
        <v>107</v>
      </c>
      <c r="M44" s="131" t="s">
        <v>108</v>
      </c>
      <c r="N44" s="131" t="s">
        <v>82</v>
      </c>
      <c r="O44" s="29" t="s">
        <v>20</v>
      </c>
      <c r="R44" s="156"/>
    </row>
    <row r="45" spans="2:25" ht="15" customHeight="1" thickBot="1" x14ac:dyDescent="0.3">
      <c r="B45" s="157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5"/>
      <c r="R45" s="158"/>
    </row>
    <row r="46" spans="2:25" ht="15.75" customHeight="1" x14ac:dyDescent="0.25">
      <c r="J46" s="159"/>
      <c r="R46" s="160"/>
      <c r="Y46" s="147"/>
    </row>
    <row r="47" spans="2:25" ht="16.5" thickBot="1" x14ac:dyDescent="0.3">
      <c r="J47" s="159"/>
      <c r="R47" s="158"/>
    </row>
    <row r="48" spans="2:25" x14ac:dyDescent="0.25">
      <c r="B48" s="234" t="s">
        <v>1</v>
      </c>
      <c r="C48" s="161" t="s">
        <v>134</v>
      </c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3"/>
      <c r="R48" s="160"/>
    </row>
    <row r="49" spans="2:20" x14ac:dyDescent="0.25">
      <c r="B49" s="235"/>
      <c r="C49" s="150" t="s">
        <v>78</v>
      </c>
      <c r="D49" s="140" t="s">
        <v>155</v>
      </c>
      <c r="E49" s="140" t="s">
        <v>164</v>
      </c>
      <c r="F49" s="140" t="s">
        <v>165</v>
      </c>
      <c r="G49" s="140" t="s">
        <v>166</v>
      </c>
      <c r="H49" s="140" t="s">
        <v>167</v>
      </c>
      <c r="I49" s="140" t="s">
        <v>168</v>
      </c>
      <c r="J49" s="140" t="s">
        <v>140</v>
      </c>
      <c r="K49" s="140" t="s">
        <v>169</v>
      </c>
      <c r="L49" s="140" t="s">
        <v>170</v>
      </c>
      <c r="M49" s="140" t="s">
        <v>171</v>
      </c>
      <c r="N49" s="140" t="s">
        <v>172</v>
      </c>
      <c r="O49" s="140" t="s">
        <v>173</v>
      </c>
      <c r="P49" s="140" t="s">
        <v>79</v>
      </c>
      <c r="Q49" s="151" t="s">
        <v>174</v>
      </c>
    </row>
    <row r="50" spans="2:20" x14ac:dyDescent="0.25">
      <c r="B50" s="235"/>
      <c r="C50" s="122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5"/>
      <c r="C51" s="150" t="s">
        <v>80</v>
      </c>
      <c r="D51" s="140" t="s">
        <v>175</v>
      </c>
      <c r="E51" s="140" t="s">
        <v>176</v>
      </c>
      <c r="F51" s="140" t="s">
        <v>177</v>
      </c>
      <c r="G51" s="140" t="s">
        <v>178</v>
      </c>
      <c r="H51" s="140" t="s">
        <v>179</v>
      </c>
      <c r="I51" s="131" t="s">
        <v>81</v>
      </c>
      <c r="J51" s="131" t="s">
        <v>180</v>
      </c>
      <c r="K51" s="131" t="s">
        <v>181</v>
      </c>
      <c r="L51" s="131" t="s">
        <v>86</v>
      </c>
      <c r="M51" s="131" t="s">
        <v>182</v>
      </c>
      <c r="N51" s="131" t="s">
        <v>161</v>
      </c>
      <c r="O51" s="131" t="s">
        <v>183</v>
      </c>
      <c r="P51" s="131" t="s">
        <v>184</v>
      </c>
      <c r="Q51" s="29" t="s">
        <v>20</v>
      </c>
    </row>
    <row r="52" spans="2:20" ht="15.75" x14ac:dyDescent="0.25">
      <c r="B52" s="235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5"/>
    </row>
    <row r="53" spans="2:20" x14ac:dyDescent="0.25">
      <c r="B53" s="152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55"/>
    </row>
    <row r="54" spans="2:20" x14ac:dyDescent="0.25">
      <c r="B54" s="152"/>
      <c r="C54" s="150" t="s">
        <v>78</v>
      </c>
      <c r="D54" s="140" t="s">
        <v>155</v>
      </c>
      <c r="E54" s="140" t="s">
        <v>164</v>
      </c>
      <c r="F54" s="140" t="s">
        <v>165</v>
      </c>
      <c r="G54" s="140" t="s">
        <v>166</v>
      </c>
      <c r="H54" s="140" t="s">
        <v>167</v>
      </c>
      <c r="I54" s="140" t="s">
        <v>168</v>
      </c>
      <c r="J54" s="140" t="s">
        <v>140</v>
      </c>
      <c r="K54" s="140" t="s">
        <v>169</v>
      </c>
      <c r="L54" s="140" t="s">
        <v>170</v>
      </c>
      <c r="M54" s="140" t="s">
        <v>171</v>
      </c>
      <c r="N54" s="140" t="s">
        <v>172</v>
      </c>
      <c r="O54" s="140" t="s">
        <v>173</v>
      </c>
      <c r="P54" s="140" t="s">
        <v>79</v>
      </c>
      <c r="Q54" s="151" t="s">
        <v>174</v>
      </c>
    </row>
    <row r="55" spans="2:20" x14ac:dyDescent="0.25">
      <c r="B55" s="152"/>
      <c r="C55" s="122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2"/>
      <c r="C56" s="150" t="s">
        <v>80</v>
      </c>
      <c r="D56" s="140" t="s">
        <v>175</v>
      </c>
      <c r="E56" s="140" t="s">
        <v>176</v>
      </c>
      <c r="F56" s="140" t="s">
        <v>177</v>
      </c>
      <c r="G56" s="140" t="s">
        <v>178</v>
      </c>
      <c r="H56" s="140" t="s">
        <v>179</v>
      </c>
      <c r="I56" s="131" t="s">
        <v>81</v>
      </c>
      <c r="J56" s="131" t="s">
        <v>180</v>
      </c>
      <c r="K56" s="131" t="s">
        <v>181</v>
      </c>
      <c r="L56" s="131" t="s">
        <v>86</v>
      </c>
      <c r="M56" s="131" t="s">
        <v>182</v>
      </c>
      <c r="N56" s="131" t="s">
        <v>161</v>
      </c>
      <c r="O56" s="131" t="s">
        <v>183</v>
      </c>
      <c r="P56" s="131" t="s">
        <v>184</v>
      </c>
      <c r="Q56" s="29" t="s">
        <v>20</v>
      </c>
    </row>
    <row r="57" spans="2:20" ht="16.5" thickBot="1" x14ac:dyDescent="0.3">
      <c r="B57" s="144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5"/>
    </row>
    <row r="61" spans="2:20" x14ac:dyDescent="0.25">
      <c r="B61" s="236" t="s">
        <v>185</v>
      </c>
      <c r="C61" s="239" t="s">
        <v>134</v>
      </c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28"/>
      <c r="S61" s="164"/>
      <c r="T61" s="165"/>
    </row>
    <row r="62" spans="2:20" ht="15.75" x14ac:dyDescent="0.3">
      <c r="B62" s="236"/>
      <c r="C62" s="166" t="s">
        <v>78</v>
      </c>
      <c r="D62" s="166" t="s">
        <v>186</v>
      </c>
      <c r="E62" s="166" t="s">
        <v>187</v>
      </c>
      <c r="F62" s="166" t="s">
        <v>188</v>
      </c>
      <c r="G62" s="166" t="s">
        <v>189</v>
      </c>
      <c r="H62" s="166" t="s">
        <v>190</v>
      </c>
      <c r="I62" s="166" t="s">
        <v>191</v>
      </c>
      <c r="J62" s="166" t="s">
        <v>192</v>
      </c>
      <c r="K62" s="166" t="s">
        <v>193</v>
      </c>
      <c r="L62" s="166" t="s">
        <v>194</v>
      </c>
      <c r="M62" s="166" t="s">
        <v>195</v>
      </c>
      <c r="N62" s="166" t="s">
        <v>196</v>
      </c>
      <c r="O62" s="166" t="s">
        <v>197</v>
      </c>
      <c r="P62" s="166" t="s">
        <v>198</v>
      </c>
      <c r="Q62" s="166" t="s">
        <v>199</v>
      </c>
      <c r="R62" s="166" t="s">
        <v>200</v>
      </c>
      <c r="S62" s="167" t="s">
        <v>201</v>
      </c>
      <c r="T62" s="168" t="s">
        <v>20</v>
      </c>
    </row>
    <row r="63" spans="2:20" ht="15.75" x14ac:dyDescent="0.25">
      <c r="B63" s="237"/>
      <c r="C63" s="122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5"/>
    </row>
    <row r="64" spans="2:20" x14ac:dyDescent="0.25">
      <c r="B64" s="237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70"/>
      <c r="T64" s="170"/>
    </row>
    <row r="65" spans="2:20" ht="15.75" x14ac:dyDescent="0.3">
      <c r="B65" s="238"/>
      <c r="C65" s="171" t="s">
        <v>78</v>
      </c>
      <c r="D65" s="171" t="s">
        <v>186</v>
      </c>
      <c r="E65" s="171" t="s">
        <v>187</v>
      </c>
      <c r="F65" s="171" t="s">
        <v>188</v>
      </c>
      <c r="G65" s="171" t="s">
        <v>189</v>
      </c>
      <c r="H65" s="171" t="s">
        <v>190</v>
      </c>
      <c r="I65" s="171" t="s">
        <v>191</v>
      </c>
      <c r="J65" s="171" t="s">
        <v>192</v>
      </c>
      <c r="K65" s="171" t="s">
        <v>193</v>
      </c>
      <c r="L65" s="171" t="s">
        <v>194</v>
      </c>
      <c r="M65" s="171" t="s">
        <v>195</v>
      </c>
      <c r="N65" s="171" t="s">
        <v>196</v>
      </c>
      <c r="O65" s="171" t="s">
        <v>197</v>
      </c>
      <c r="P65" s="171" t="s">
        <v>198</v>
      </c>
      <c r="Q65" s="171" t="s">
        <v>199</v>
      </c>
      <c r="R65" s="171" t="s">
        <v>200</v>
      </c>
      <c r="S65" s="172" t="s">
        <v>201</v>
      </c>
      <c r="T65" s="173" t="s">
        <v>20</v>
      </c>
    </row>
    <row r="66" spans="2:20" ht="15.75" x14ac:dyDescent="0.25">
      <c r="B66" s="174"/>
      <c r="C66" s="122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5"/>
    </row>
    <row r="69" spans="2:20" x14ac:dyDescent="0.25">
      <c r="B69" s="236" t="s">
        <v>202</v>
      </c>
      <c r="C69" s="239" t="s">
        <v>134</v>
      </c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28"/>
      <c r="S69" s="164"/>
      <c r="T69" s="165"/>
    </row>
    <row r="70" spans="2:20" ht="15.75" x14ac:dyDescent="0.3">
      <c r="B70" s="236"/>
      <c r="C70" s="171" t="s">
        <v>78</v>
      </c>
      <c r="D70" s="171" t="s">
        <v>186</v>
      </c>
      <c r="E70" s="171" t="s">
        <v>187</v>
      </c>
      <c r="F70" s="171" t="s">
        <v>188</v>
      </c>
      <c r="G70" s="171" t="s">
        <v>189</v>
      </c>
      <c r="H70" s="171" t="s">
        <v>190</v>
      </c>
      <c r="I70" s="171" t="s">
        <v>191</v>
      </c>
      <c r="J70" s="171" t="s">
        <v>192</v>
      </c>
      <c r="K70" s="171" t="s">
        <v>193</v>
      </c>
      <c r="L70" s="171" t="s">
        <v>194</v>
      </c>
      <c r="M70" s="171" t="s">
        <v>195</v>
      </c>
      <c r="N70" s="171" t="s">
        <v>196</v>
      </c>
      <c r="O70" s="171" t="s">
        <v>197</v>
      </c>
      <c r="P70" s="171" t="s">
        <v>198</v>
      </c>
      <c r="Q70" s="171" t="s">
        <v>199</v>
      </c>
      <c r="R70" s="171" t="s">
        <v>200</v>
      </c>
      <c r="S70" s="172" t="s">
        <v>201</v>
      </c>
      <c r="T70" s="173" t="s">
        <v>20</v>
      </c>
    </row>
    <row r="71" spans="2:20" ht="15.75" x14ac:dyDescent="0.25">
      <c r="B71" s="236"/>
      <c r="C71" s="122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5"/>
    </row>
    <row r="72" spans="2:20" x14ac:dyDescent="0.25">
      <c r="B72" s="237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70"/>
      <c r="T72" s="170"/>
    </row>
    <row r="73" spans="2:20" ht="15.75" x14ac:dyDescent="0.3">
      <c r="B73" s="238"/>
      <c r="C73" s="171" t="s">
        <v>78</v>
      </c>
      <c r="D73" s="171" t="s">
        <v>186</v>
      </c>
      <c r="E73" s="171" t="s">
        <v>187</v>
      </c>
      <c r="F73" s="171" t="s">
        <v>188</v>
      </c>
      <c r="G73" s="171" t="s">
        <v>189</v>
      </c>
      <c r="H73" s="171" t="s">
        <v>190</v>
      </c>
      <c r="I73" s="171" t="s">
        <v>191</v>
      </c>
      <c r="J73" s="171" t="s">
        <v>192</v>
      </c>
      <c r="K73" s="171" t="s">
        <v>193</v>
      </c>
      <c r="L73" s="171" t="s">
        <v>194</v>
      </c>
      <c r="M73" s="171" t="s">
        <v>195</v>
      </c>
      <c r="N73" s="171" t="s">
        <v>196</v>
      </c>
      <c r="O73" s="171" t="s">
        <v>197</v>
      </c>
      <c r="P73" s="171" t="s">
        <v>198</v>
      </c>
      <c r="Q73" s="171" t="s">
        <v>199</v>
      </c>
      <c r="R73" s="171" t="s">
        <v>200</v>
      </c>
      <c r="S73" s="172" t="s">
        <v>201</v>
      </c>
      <c r="T73" s="173" t="s">
        <v>20</v>
      </c>
    </row>
    <row r="74" spans="2:20" ht="15.75" x14ac:dyDescent="0.25">
      <c r="B74" s="174"/>
      <c r="C74" s="122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5"/>
    </row>
    <row r="77" spans="2:20" x14ac:dyDescent="0.25">
      <c r="B77" s="226" t="s">
        <v>24</v>
      </c>
      <c r="C77" s="228" t="s">
        <v>134</v>
      </c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175"/>
      <c r="S77" s="175"/>
      <c r="T77" s="176"/>
    </row>
    <row r="78" spans="2:20" x14ac:dyDescent="0.25">
      <c r="B78" s="227"/>
      <c r="C78" s="177" t="s">
        <v>78</v>
      </c>
      <c r="D78" s="177" t="s">
        <v>203</v>
      </c>
      <c r="E78" s="177" t="s">
        <v>204</v>
      </c>
      <c r="F78" s="177" t="s">
        <v>109</v>
      </c>
      <c r="G78" s="177" t="s">
        <v>110</v>
      </c>
      <c r="H78" s="178" t="s">
        <v>111</v>
      </c>
      <c r="I78" s="178" t="s">
        <v>112</v>
      </c>
      <c r="J78" s="178" t="s">
        <v>113</v>
      </c>
      <c r="K78" s="178" t="s">
        <v>114</v>
      </c>
      <c r="L78" s="178" t="s">
        <v>87</v>
      </c>
      <c r="M78" s="177" t="s">
        <v>115</v>
      </c>
      <c r="N78" s="178" t="s">
        <v>205</v>
      </c>
      <c r="O78" s="178" t="s">
        <v>204</v>
      </c>
      <c r="P78" s="178" t="s">
        <v>116</v>
      </c>
      <c r="Q78" s="178" t="s">
        <v>206</v>
      </c>
      <c r="R78" s="178" t="s">
        <v>204</v>
      </c>
      <c r="S78" s="178" t="s">
        <v>207</v>
      </c>
      <c r="T78" s="171" t="s">
        <v>204</v>
      </c>
    </row>
    <row r="79" spans="2:20" x14ac:dyDescent="0.25">
      <c r="B79" s="227"/>
      <c r="C79" s="122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7"/>
      <c r="C80" s="171" t="s">
        <v>117</v>
      </c>
      <c r="D80" s="171" t="s">
        <v>118</v>
      </c>
      <c r="E80" s="171" t="s">
        <v>208</v>
      </c>
      <c r="F80" s="171" t="s">
        <v>204</v>
      </c>
      <c r="G80" s="171" t="s">
        <v>116</v>
      </c>
      <c r="H80" s="171" t="s">
        <v>209</v>
      </c>
      <c r="I80" s="171" t="s">
        <v>204</v>
      </c>
      <c r="J80" s="171" t="s">
        <v>119</v>
      </c>
      <c r="K80" s="171" t="s">
        <v>120</v>
      </c>
      <c r="L80" s="171" t="s">
        <v>210</v>
      </c>
      <c r="M80" s="171" t="s">
        <v>204</v>
      </c>
      <c r="N80" s="171" t="s">
        <v>211</v>
      </c>
      <c r="O80" s="172" t="s">
        <v>204</v>
      </c>
      <c r="P80" s="172" t="s">
        <v>212</v>
      </c>
      <c r="Q80" s="172" t="s">
        <v>204</v>
      </c>
      <c r="R80" s="172" t="s">
        <v>213</v>
      </c>
      <c r="S80" s="172" t="s">
        <v>204</v>
      </c>
      <c r="T80" s="173" t="s">
        <v>20</v>
      </c>
    </row>
    <row r="81" spans="2:20" ht="15.75" x14ac:dyDescent="0.25">
      <c r="B81" s="227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5" t="s">
        <v>163</v>
      </c>
    </row>
    <row r="82" spans="2:20" x14ac:dyDescent="0.25">
      <c r="B82" s="227"/>
      <c r="C82" s="179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69"/>
      <c r="Q82" s="169"/>
      <c r="R82" s="180"/>
      <c r="S82" s="170"/>
      <c r="T82" s="181"/>
    </row>
    <row r="83" spans="2:20" x14ac:dyDescent="0.25">
      <c r="B83" s="227"/>
      <c r="C83" s="182" t="s">
        <v>78</v>
      </c>
      <c r="D83" s="182" t="s">
        <v>203</v>
      </c>
      <c r="E83" s="182" t="s">
        <v>204</v>
      </c>
      <c r="F83" s="182" t="s">
        <v>109</v>
      </c>
      <c r="G83" s="182" t="s">
        <v>110</v>
      </c>
      <c r="H83" s="171" t="s">
        <v>111</v>
      </c>
      <c r="I83" s="171" t="s">
        <v>112</v>
      </c>
      <c r="J83" s="171" t="s">
        <v>113</v>
      </c>
      <c r="K83" s="171" t="s">
        <v>114</v>
      </c>
      <c r="L83" s="171" t="s">
        <v>87</v>
      </c>
      <c r="M83" s="182" t="s">
        <v>115</v>
      </c>
      <c r="N83" s="171" t="s">
        <v>205</v>
      </c>
      <c r="O83" s="171" t="s">
        <v>204</v>
      </c>
      <c r="P83" s="171" t="s">
        <v>116</v>
      </c>
      <c r="Q83" s="171" t="s">
        <v>206</v>
      </c>
      <c r="R83" s="171" t="s">
        <v>204</v>
      </c>
      <c r="S83" s="171" t="s">
        <v>207</v>
      </c>
      <c r="T83" s="171" t="s">
        <v>204</v>
      </c>
    </row>
    <row r="84" spans="2:20" x14ac:dyDescent="0.25">
      <c r="B84" s="183"/>
      <c r="C84" s="122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3"/>
      <c r="C85" s="171" t="s">
        <v>117</v>
      </c>
      <c r="D85" s="171" t="s">
        <v>118</v>
      </c>
      <c r="E85" s="171" t="s">
        <v>208</v>
      </c>
      <c r="F85" s="171" t="s">
        <v>204</v>
      </c>
      <c r="G85" s="171" t="s">
        <v>116</v>
      </c>
      <c r="H85" s="171" t="s">
        <v>209</v>
      </c>
      <c r="I85" s="171" t="s">
        <v>204</v>
      </c>
      <c r="J85" s="171" t="s">
        <v>119</v>
      </c>
      <c r="K85" s="171" t="s">
        <v>120</v>
      </c>
      <c r="L85" s="171" t="s">
        <v>210</v>
      </c>
      <c r="M85" s="171" t="s">
        <v>204</v>
      </c>
      <c r="N85" s="171" t="s">
        <v>211</v>
      </c>
      <c r="O85" s="172" t="s">
        <v>204</v>
      </c>
      <c r="P85" s="172" t="s">
        <v>212</v>
      </c>
      <c r="Q85" s="172" t="s">
        <v>204</v>
      </c>
      <c r="R85" s="172" t="s">
        <v>213</v>
      </c>
      <c r="S85" s="172" t="s">
        <v>204</v>
      </c>
      <c r="T85" s="168" t="s">
        <v>20</v>
      </c>
    </row>
    <row r="86" spans="2:20" ht="15.75" x14ac:dyDescent="0.25">
      <c r="B86" s="184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5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2024-12-23T11:36:34Z</dcterms:modified>
</cp:coreProperties>
</file>