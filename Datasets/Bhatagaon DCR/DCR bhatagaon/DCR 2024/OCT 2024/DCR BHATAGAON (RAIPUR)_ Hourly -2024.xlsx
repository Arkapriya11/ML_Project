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155" yWindow="510" windowWidth="20730" windowHeight="11760" tabRatio="913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31" sheetId="42" r:id="rId31"/>
    <sheet name="MONTHLY 30" sheetId="39" r:id="rId32"/>
  </sheets>
  <calcPr calcId="144525"/>
</workbook>
</file>

<file path=xl/calcChain.xml><?xml version="1.0" encoding="utf-8"?>
<calcChain xmlns="http://schemas.openxmlformats.org/spreadsheetml/2006/main">
  <c r="F45" i="39" l="1"/>
  <c r="G45" i="39"/>
  <c r="H45" i="39"/>
  <c r="I45" i="39"/>
  <c r="J45" i="39"/>
  <c r="K45" i="39"/>
  <c r="L45" i="39"/>
  <c r="M45" i="39"/>
  <c r="N45" i="39"/>
  <c r="O45" i="39"/>
  <c r="P45" i="39"/>
  <c r="Q45" i="39"/>
  <c r="E46" i="39"/>
  <c r="E45" i="39"/>
  <c r="N17" i="39"/>
  <c r="O17" i="39"/>
  <c r="P17" i="39"/>
  <c r="N15" i="39"/>
  <c r="O15" i="39"/>
  <c r="P15" i="39"/>
  <c r="M39" i="39"/>
  <c r="O39" i="39"/>
  <c r="P39" i="39"/>
  <c r="B39" i="39"/>
  <c r="Q38" i="42"/>
  <c r="Q40" i="42" s="1"/>
  <c r="P38" i="42"/>
  <c r="P40" i="42" s="1"/>
  <c r="O38" i="42"/>
  <c r="O40" i="42" s="1"/>
  <c r="N38" i="42"/>
  <c r="N40" i="42" s="1"/>
  <c r="M38" i="42"/>
  <c r="M40" i="42" s="1"/>
  <c r="L38" i="42"/>
  <c r="L40" i="42" s="1"/>
  <c r="K38" i="42"/>
  <c r="K40" i="42" s="1"/>
  <c r="J38" i="42"/>
  <c r="J40" i="42" s="1"/>
  <c r="I38" i="42"/>
  <c r="I40" i="42" s="1"/>
  <c r="H38" i="42"/>
  <c r="H40" i="42" s="1"/>
  <c r="G38" i="42"/>
  <c r="G40" i="42" s="1"/>
  <c r="F38" i="42"/>
  <c r="F40" i="42" s="1"/>
  <c r="E38" i="42"/>
  <c r="E39" i="42" s="1"/>
  <c r="D38" i="42"/>
  <c r="D40" i="42" s="1"/>
  <c r="C38" i="42"/>
  <c r="C39" i="42" s="1"/>
  <c r="B38" i="42"/>
  <c r="B40" i="42" s="1"/>
  <c r="Q37" i="42"/>
  <c r="Q39" i="39" s="1"/>
  <c r="P37" i="42"/>
  <c r="O37" i="42"/>
  <c r="N37" i="42"/>
  <c r="N39" i="39" s="1"/>
  <c r="M37" i="42"/>
  <c r="L37" i="42"/>
  <c r="L39" i="39" s="1"/>
  <c r="K37" i="42"/>
  <c r="K39" i="39" s="1"/>
  <c r="J37" i="42"/>
  <c r="J39" i="39" s="1"/>
  <c r="I37" i="42"/>
  <c r="I39" i="39" s="1"/>
  <c r="H37" i="42"/>
  <c r="H39" i="39" s="1"/>
  <c r="G37" i="42"/>
  <c r="G39" i="39" s="1"/>
  <c r="F37" i="42"/>
  <c r="F39" i="39" s="1"/>
  <c r="E37" i="42"/>
  <c r="E39" i="39" s="1"/>
  <c r="D37" i="42"/>
  <c r="D39" i="39" s="1"/>
  <c r="C37" i="42"/>
  <c r="C39" i="39" s="1"/>
  <c r="B37" i="42"/>
  <c r="Q36" i="42"/>
  <c r="P36" i="42"/>
  <c r="O36" i="42"/>
  <c r="N36" i="42"/>
  <c r="M36" i="42"/>
  <c r="L36" i="42"/>
  <c r="K36" i="42"/>
  <c r="J36" i="42"/>
  <c r="I36" i="42"/>
  <c r="H36" i="42"/>
  <c r="G36" i="42"/>
  <c r="F36" i="42"/>
  <c r="E36" i="42"/>
  <c r="D36" i="42"/>
  <c r="C36" i="42"/>
  <c r="B36" i="42"/>
  <c r="Q35" i="42"/>
  <c r="P35" i="42"/>
  <c r="O35" i="42"/>
  <c r="N35" i="42"/>
  <c r="M35" i="42"/>
  <c r="L35" i="42"/>
  <c r="K35" i="42"/>
  <c r="J35" i="42"/>
  <c r="I35" i="42"/>
  <c r="H35" i="42"/>
  <c r="G35" i="42"/>
  <c r="F35" i="42"/>
  <c r="E35" i="42"/>
  <c r="D35" i="42"/>
  <c r="C35" i="42"/>
  <c r="B35" i="42"/>
  <c r="Q34" i="42"/>
  <c r="P34" i="42"/>
  <c r="O34" i="42"/>
  <c r="N34" i="42"/>
  <c r="M34" i="42"/>
  <c r="L34" i="42"/>
  <c r="K34" i="42"/>
  <c r="J34" i="42"/>
  <c r="I34" i="42"/>
  <c r="H34" i="42"/>
  <c r="G34" i="42"/>
  <c r="F34" i="42"/>
  <c r="E34" i="42"/>
  <c r="D34" i="42"/>
  <c r="C34" i="42"/>
  <c r="B34" i="42"/>
  <c r="B2" i="42"/>
  <c r="A39" i="39" s="1"/>
  <c r="H38" i="40"/>
  <c r="G38" i="40"/>
  <c r="H38" i="33"/>
  <c r="G38" i="33"/>
  <c r="H38" i="28"/>
  <c r="H38" i="27"/>
  <c r="G38" i="27"/>
  <c r="H38" i="14"/>
  <c r="G38" i="14"/>
  <c r="H38" i="9"/>
  <c r="G38" i="9"/>
  <c r="I38" i="2"/>
  <c r="B39" i="42" l="1"/>
  <c r="E40" i="42"/>
  <c r="F39" i="42"/>
  <c r="G39" i="42"/>
  <c r="C40" i="42"/>
  <c r="H39" i="42"/>
  <c r="I39" i="42"/>
  <c r="J39" i="42"/>
  <c r="K39" i="42"/>
  <c r="D39" i="42"/>
  <c r="L39" i="42"/>
  <c r="M39" i="42"/>
  <c r="N39" i="42"/>
  <c r="O39" i="42"/>
  <c r="P39" i="42"/>
  <c r="Q39" i="42"/>
  <c r="B2" i="20"/>
  <c r="D38" i="39"/>
  <c r="B38" i="39"/>
  <c r="I33" i="39"/>
  <c r="H33" i="39"/>
  <c r="J32" i="39"/>
  <c r="I32" i="39"/>
  <c r="J31" i="39"/>
  <c r="K30" i="39"/>
  <c r="N29" i="39"/>
  <c r="L29" i="39"/>
  <c r="O27" i="39"/>
  <c r="N27" i="39"/>
  <c r="O26" i="39"/>
  <c r="Q25" i="39"/>
  <c r="P25" i="39"/>
  <c r="B25" i="39"/>
  <c r="A25" i="39"/>
  <c r="Q24" i="39"/>
  <c r="B24" i="39"/>
  <c r="A24" i="39"/>
  <c r="B23" i="39"/>
  <c r="A23" i="39"/>
  <c r="C22" i="39"/>
  <c r="D21" i="39"/>
  <c r="E20" i="39"/>
  <c r="F19" i="39"/>
  <c r="G18" i="39"/>
  <c r="I17" i="39"/>
  <c r="J16" i="39"/>
  <c r="I16" i="39"/>
  <c r="L14" i="39"/>
  <c r="K14" i="39"/>
  <c r="L13" i="39"/>
  <c r="N12" i="39"/>
  <c r="M12" i="39"/>
  <c r="N11" i="39"/>
  <c r="P10" i="39"/>
  <c r="O10" i="39"/>
  <c r="G9" i="39"/>
  <c r="Q38" i="41"/>
  <c r="Q40" i="41" s="1"/>
  <c r="P38" i="41"/>
  <c r="P39" i="41" s="1"/>
  <c r="O38" i="41"/>
  <c r="O40" i="41" s="1"/>
  <c r="N38" i="41"/>
  <c r="N40" i="41" s="1"/>
  <c r="M38" i="41"/>
  <c r="M40" i="41" s="1"/>
  <c r="L38" i="41"/>
  <c r="L40" i="41" s="1"/>
  <c r="K38" i="41"/>
  <c r="K40" i="41" s="1"/>
  <c r="J38" i="41"/>
  <c r="J40" i="41" s="1"/>
  <c r="I38" i="41"/>
  <c r="I40" i="41" s="1"/>
  <c r="H38" i="41"/>
  <c r="H40" i="41" s="1"/>
  <c r="G38" i="41"/>
  <c r="G40" i="41" s="1"/>
  <c r="F38" i="41"/>
  <c r="F40" i="41" s="1"/>
  <c r="E38" i="41"/>
  <c r="E40" i="41" s="1"/>
  <c r="D38" i="41"/>
  <c r="D40" i="41" s="1"/>
  <c r="C38" i="41"/>
  <c r="C40" i="41" s="1"/>
  <c r="B38" i="41"/>
  <c r="B40" i="41" s="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Q36" i="41"/>
  <c r="Q38" i="39" s="1"/>
  <c r="P36" i="41"/>
  <c r="P38" i="39" s="1"/>
  <c r="O36" i="41"/>
  <c r="O38" i="39" s="1"/>
  <c r="N36" i="41"/>
  <c r="N38" i="39" s="1"/>
  <c r="M36" i="41"/>
  <c r="M38" i="39" s="1"/>
  <c r="L36" i="41"/>
  <c r="L38" i="39" s="1"/>
  <c r="K36" i="41"/>
  <c r="K38" i="39" s="1"/>
  <c r="J36" i="41"/>
  <c r="J38" i="39" s="1"/>
  <c r="I36" i="41"/>
  <c r="I38" i="39" s="1"/>
  <c r="H36" i="41"/>
  <c r="H38" i="39" s="1"/>
  <c r="G36" i="41"/>
  <c r="G38" i="39" s="1"/>
  <c r="F36" i="41"/>
  <c r="F38" i="39" s="1"/>
  <c r="E36" i="41"/>
  <c r="E38" i="39" s="1"/>
  <c r="D36" i="41"/>
  <c r="C36" i="41"/>
  <c r="C38" i="39" s="1"/>
  <c r="B36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B2" i="41"/>
  <c r="A38" i="39" s="1"/>
  <c r="Q38" i="40"/>
  <c r="Q40" i="40" s="1"/>
  <c r="P38" i="40"/>
  <c r="P40" i="40" s="1"/>
  <c r="O38" i="40"/>
  <c r="O40" i="40" s="1"/>
  <c r="N38" i="40"/>
  <c r="N40" i="40" s="1"/>
  <c r="M38" i="40"/>
  <c r="M40" i="40" s="1"/>
  <c r="L38" i="40"/>
  <c r="L40" i="40" s="1"/>
  <c r="K38" i="40"/>
  <c r="K40" i="40" s="1"/>
  <c r="J38" i="40"/>
  <c r="J40" i="40" s="1"/>
  <c r="I38" i="40"/>
  <c r="I40" i="40" s="1"/>
  <c r="H40" i="40"/>
  <c r="G40" i="40"/>
  <c r="F38" i="40"/>
  <c r="F40" i="40" s="1"/>
  <c r="E38" i="40"/>
  <c r="E40" i="40" s="1"/>
  <c r="D38" i="40"/>
  <c r="D39" i="40" s="1"/>
  <c r="C38" i="40"/>
  <c r="C40" i="40" s="1"/>
  <c r="B38" i="40"/>
  <c r="B40" i="40" s="1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Q36" i="40"/>
  <c r="Q37" i="39" s="1"/>
  <c r="P36" i="40"/>
  <c r="P37" i="39" s="1"/>
  <c r="O36" i="40"/>
  <c r="O37" i="39" s="1"/>
  <c r="N36" i="40"/>
  <c r="N37" i="39" s="1"/>
  <c r="M36" i="40"/>
  <c r="M37" i="39" s="1"/>
  <c r="L36" i="40"/>
  <c r="L37" i="39" s="1"/>
  <c r="K36" i="40"/>
  <c r="K37" i="39" s="1"/>
  <c r="J36" i="40"/>
  <c r="J37" i="39" s="1"/>
  <c r="I36" i="40"/>
  <c r="I37" i="39" s="1"/>
  <c r="H36" i="40"/>
  <c r="H37" i="39" s="1"/>
  <c r="G36" i="40"/>
  <c r="G37" i="39" s="1"/>
  <c r="F36" i="40"/>
  <c r="F37" i="39" s="1"/>
  <c r="E36" i="40"/>
  <c r="E37" i="39" s="1"/>
  <c r="D36" i="40"/>
  <c r="D37" i="39" s="1"/>
  <c r="C36" i="40"/>
  <c r="C37" i="39" s="1"/>
  <c r="B36" i="40"/>
  <c r="B37" i="39" s="1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C34" i="40"/>
  <c r="B34" i="40"/>
  <c r="B2" i="40"/>
  <c r="A37" i="39" s="1"/>
  <c r="Q38" i="33"/>
  <c r="Q40" i="33" s="1"/>
  <c r="P38" i="33"/>
  <c r="P40" i="33" s="1"/>
  <c r="O38" i="33"/>
  <c r="O40" i="33" s="1"/>
  <c r="N38" i="33"/>
  <c r="N40" i="33" s="1"/>
  <c r="M38" i="33"/>
  <c r="M40" i="33" s="1"/>
  <c r="L38" i="33"/>
  <c r="L40" i="33" s="1"/>
  <c r="K38" i="33"/>
  <c r="K40" i="33" s="1"/>
  <c r="J38" i="33"/>
  <c r="J40" i="33" s="1"/>
  <c r="I38" i="33"/>
  <c r="I40" i="33" s="1"/>
  <c r="H40" i="33"/>
  <c r="G40" i="33"/>
  <c r="F38" i="33"/>
  <c r="F40" i="33" s="1"/>
  <c r="E38" i="33"/>
  <c r="E40" i="33" s="1"/>
  <c r="D38" i="33"/>
  <c r="D40" i="33" s="1"/>
  <c r="C38" i="33"/>
  <c r="C40" i="33" s="1"/>
  <c r="B38" i="33"/>
  <c r="B40" i="33" s="1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Q36" i="33"/>
  <c r="Q36" i="39" s="1"/>
  <c r="P36" i="33"/>
  <c r="P36" i="39" s="1"/>
  <c r="O36" i="33"/>
  <c r="O36" i="39" s="1"/>
  <c r="N36" i="33"/>
  <c r="N36" i="39" s="1"/>
  <c r="M36" i="33"/>
  <c r="M36" i="39" s="1"/>
  <c r="L36" i="33"/>
  <c r="L36" i="39" s="1"/>
  <c r="K36" i="33"/>
  <c r="K36" i="39" s="1"/>
  <c r="J36" i="33"/>
  <c r="J36" i="39" s="1"/>
  <c r="I36" i="33"/>
  <c r="I36" i="39" s="1"/>
  <c r="H36" i="33"/>
  <c r="H36" i="39" s="1"/>
  <c r="G36" i="33"/>
  <c r="G36" i="39" s="1"/>
  <c r="F36" i="33"/>
  <c r="F36" i="39" s="1"/>
  <c r="E36" i="33"/>
  <c r="E36" i="39" s="1"/>
  <c r="D36" i="33"/>
  <c r="D36" i="39" s="1"/>
  <c r="C36" i="33"/>
  <c r="C36" i="39" s="1"/>
  <c r="B36" i="33"/>
  <c r="B36" i="39" s="1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B34" i="33"/>
  <c r="B2" i="33"/>
  <c r="A36" i="39" s="1"/>
  <c r="Q38" i="32"/>
  <c r="Q40" i="32" s="1"/>
  <c r="P38" i="32"/>
  <c r="P40" i="32" s="1"/>
  <c r="O38" i="32"/>
  <c r="O40" i="32" s="1"/>
  <c r="N38" i="32"/>
  <c r="N40" i="32" s="1"/>
  <c r="M38" i="32"/>
  <c r="M40" i="32" s="1"/>
  <c r="L38" i="32"/>
  <c r="L40" i="32" s="1"/>
  <c r="K38" i="32"/>
  <c r="K40" i="32" s="1"/>
  <c r="J38" i="32"/>
  <c r="J40" i="32" s="1"/>
  <c r="I38" i="32"/>
  <c r="I40" i="32" s="1"/>
  <c r="H38" i="32"/>
  <c r="H40" i="32" s="1"/>
  <c r="G38" i="32"/>
  <c r="G40" i="32" s="1"/>
  <c r="F38" i="32"/>
  <c r="F40" i="32" s="1"/>
  <c r="E38" i="32"/>
  <c r="E39" i="32" s="1"/>
  <c r="D38" i="32"/>
  <c r="D40" i="32" s="1"/>
  <c r="C38" i="32"/>
  <c r="C40" i="32" s="1"/>
  <c r="B38" i="32"/>
  <c r="B40" i="32" s="1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Q36" i="32"/>
  <c r="Q35" i="39" s="1"/>
  <c r="P36" i="32"/>
  <c r="P35" i="39" s="1"/>
  <c r="O36" i="32"/>
  <c r="O35" i="39" s="1"/>
  <c r="N36" i="32"/>
  <c r="N35" i="39" s="1"/>
  <c r="M36" i="32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G35" i="39" s="1"/>
  <c r="F36" i="32"/>
  <c r="F35" i="39" s="1"/>
  <c r="E36" i="32"/>
  <c r="E35" i="39" s="1"/>
  <c r="D36" i="32"/>
  <c r="D35" i="39" s="1"/>
  <c r="C36" i="32"/>
  <c r="C35" i="39" s="1"/>
  <c r="B36" i="32"/>
  <c r="B35" i="39" s="1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B2" i="32"/>
  <c r="A35" i="39" s="1"/>
  <c r="Q38" i="31"/>
  <c r="Q40" i="31" s="1"/>
  <c r="P38" i="31"/>
  <c r="P40" i="31" s="1"/>
  <c r="O38" i="31"/>
  <c r="O40" i="31" s="1"/>
  <c r="N38" i="31"/>
  <c r="N40" i="31" s="1"/>
  <c r="M38" i="31"/>
  <c r="M40" i="31" s="1"/>
  <c r="L38" i="31"/>
  <c r="L40" i="31" s="1"/>
  <c r="K38" i="31"/>
  <c r="K40" i="31" s="1"/>
  <c r="J38" i="31"/>
  <c r="J40" i="31" s="1"/>
  <c r="I38" i="31"/>
  <c r="I40" i="31" s="1"/>
  <c r="H38" i="31"/>
  <c r="H40" i="31" s="1"/>
  <c r="G38" i="31"/>
  <c r="G40" i="31" s="1"/>
  <c r="F38" i="31"/>
  <c r="F40" i="31" s="1"/>
  <c r="E38" i="31"/>
  <c r="E40" i="31" s="1"/>
  <c r="D38" i="31"/>
  <c r="D40" i="31" s="1"/>
  <c r="C38" i="31"/>
  <c r="C40" i="31" s="1"/>
  <c r="B38" i="31"/>
  <c r="B40" i="31" s="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Q36" i="31"/>
  <c r="Q34" i="39" s="1"/>
  <c r="P36" i="31"/>
  <c r="P34" i="39" s="1"/>
  <c r="O36" i="31"/>
  <c r="O34" i="39" s="1"/>
  <c r="N36" i="31"/>
  <c r="N34" i="39" s="1"/>
  <c r="M36" i="31"/>
  <c r="M34" i="39" s="1"/>
  <c r="L36" i="31"/>
  <c r="L34" i="39" s="1"/>
  <c r="K36" i="31"/>
  <c r="K34" i="39" s="1"/>
  <c r="J36" i="31"/>
  <c r="J34" i="39" s="1"/>
  <c r="I36" i="31"/>
  <c r="I34" i="39" s="1"/>
  <c r="H36" i="31"/>
  <c r="H34" i="39" s="1"/>
  <c r="G36" i="31"/>
  <c r="G34" i="39" s="1"/>
  <c r="F36" i="31"/>
  <c r="F34" i="39" s="1"/>
  <c r="E36" i="31"/>
  <c r="E34" i="39" s="1"/>
  <c r="D36" i="31"/>
  <c r="D34" i="39" s="1"/>
  <c r="C36" i="31"/>
  <c r="C34" i="39" s="1"/>
  <c r="B36" i="31"/>
  <c r="B34" i="39" s="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2" i="31"/>
  <c r="A34" i="39" s="1"/>
  <c r="G40" i="30"/>
  <c r="H39" i="30"/>
  <c r="Q38" i="30"/>
  <c r="Q40" i="30" s="1"/>
  <c r="P38" i="30"/>
  <c r="P40" i="30" s="1"/>
  <c r="O38" i="30"/>
  <c r="O40" i="30" s="1"/>
  <c r="N38" i="30"/>
  <c r="N40" i="30" s="1"/>
  <c r="M38" i="30"/>
  <c r="M40" i="30" s="1"/>
  <c r="L38" i="30"/>
  <c r="L40" i="30" s="1"/>
  <c r="K38" i="30"/>
  <c r="K40" i="30" s="1"/>
  <c r="J38" i="30"/>
  <c r="J40" i="30" s="1"/>
  <c r="I38" i="30"/>
  <c r="I40" i="30" s="1"/>
  <c r="H38" i="30"/>
  <c r="H40" i="30" s="1"/>
  <c r="G38" i="30"/>
  <c r="G39" i="30" s="1"/>
  <c r="F38" i="30"/>
  <c r="F40" i="30" s="1"/>
  <c r="E38" i="30"/>
  <c r="E40" i="30" s="1"/>
  <c r="D38" i="30"/>
  <c r="D40" i="30" s="1"/>
  <c r="C38" i="30"/>
  <c r="C40" i="30" s="1"/>
  <c r="B38" i="30"/>
  <c r="B40" i="30" s="1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Q36" i="30"/>
  <c r="Q33" i="39" s="1"/>
  <c r="P36" i="30"/>
  <c r="P33" i="39" s="1"/>
  <c r="O36" i="30"/>
  <c r="O33" i="39" s="1"/>
  <c r="N36" i="30"/>
  <c r="N33" i="39" s="1"/>
  <c r="M36" i="30"/>
  <c r="M33" i="39" s="1"/>
  <c r="L36" i="30"/>
  <c r="L33" i="39" s="1"/>
  <c r="K36" i="30"/>
  <c r="K33" i="39" s="1"/>
  <c r="J36" i="30"/>
  <c r="J33" i="39" s="1"/>
  <c r="I36" i="30"/>
  <c r="H36" i="30"/>
  <c r="G36" i="30"/>
  <c r="G33" i="39" s="1"/>
  <c r="F36" i="30"/>
  <c r="F33" i="39" s="1"/>
  <c r="E36" i="30"/>
  <c r="E33" i="39" s="1"/>
  <c r="D36" i="30"/>
  <c r="D33" i="39" s="1"/>
  <c r="C36" i="30"/>
  <c r="C33" i="39" s="1"/>
  <c r="B36" i="30"/>
  <c r="B33" i="39" s="1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2" i="30"/>
  <c r="A33" i="39" s="1"/>
  <c r="Q38" i="29"/>
  <c r="Q40" i="29" s="1"/>
  <c r="P38" i="29"/>
  <c r="P40" i="29" s="1"/>
  <c r="O38" i="29"/>
  <c r="O40" i="29" s="1"/>
  <c r="N38" i="29"/>
  <c r="N40" i="29" s="1"/>
  <c r="M38" i="29"/>
  <c r="M40" i="29" s="1"/>
  <c r="L38" i="29"/>
  <c r="L40" i="29" s="1"/>
  <c r="K38" i="29"/>
  <c r="K40" i="29" s="1"/>
  <c r="J38" i="29"/>
  <c r="J40" i="29" s="1"/>
  <c r="I38" i="29"/>
  <c r="I40" i="29" s="1"/>
  <c r="H38" i="29"/>
  <c r="H39" i="29" s="1"/>
  <c r="G38" i="29"/>
  <c r="G39" i="29" s="1"/>
  <c r="F38" i="29"/>
  <c r="F40" i="29" s="1"/>
  <c r="E38" i="29"/>
  <c r="E40" i="29" s="1"/>
  <c r="D38" i="29"/>
  <c r="D40" i="29" s="1"/>
  <c r="C38" i="29"/>
  <c r="C40" i="29" s="1"/>
  <c r="B38" i="29"/>
  <c r="B40" i="29" s="1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Q36" i="29"/>
  <c r="Q32" i="39" s="1"/>
  <c r="P36" i="29"/>
  <c r="P32" i="39" s="1"/>
  <c r="O36" i="29"/>
  <c r="O32" i="39" s="1"/>
  <c r="N36" i="29"/>
  <c r="N32" i="39" s="1"/>
  <c r="M36" i="29"/>
  <c r="M32" i="39" s="1"/>
  <c r="L36" i="29"/>
  <c r="L32" i="39" s="1"/>
  <c r="K36" i="29"/>
  <c r="K32" i="39" s="1"/>
  <c r="J36" i="29"/>
  <c r="I36" i="29"/>
  <c r="H36" i="29"/>
  <c r="H32" i="39" s="1"/>
  <c r="G36" i="29"/>
  <c r="G32" i="39" s="1"/>
  <c r="F36" i="29"/>
  <c r="F32" i="39" s="1"/>
  <c r="E36" i="29"/>
  <c r="E32" i="39" s="1"/>
  <c r="D36" i="29"/>
  <c r="D32" i="39" s="1"/>
  <c r="C36" i="29"/>
  <c r="C32" i="39" s="1"/>
  <c r="B36" i="29"/>
  <c r="B32" i="39" s="1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2" i="29"/>
  <c r="A32" i="39" s="1"/>
  <c r="Q38" i="28"/>
  <c r="Q40" i="28" s="1"/>
  <c r="P38" i="28"/>
  <c r="P40" i="28" s="1"/>
  <c r="O38" i="28"/>
  <c r="O40" i="28" s="1"/>
  <c r="N38" i="28"/>
  <c r="N40" i="28" s="1"/>
  <c r="M38" i="28"/>
  <c r="M40" i="28" s="1"/>
  <c r="L38" i="28"/>
  <c r="L40" i="28" s="1"/>
  <c r="K38" i="28"/>
  <c r="K40" i="28" s="1"/>
  <c r="J38" i="28"/>
  <c r="J40" i="28" s="1"/>
  <c r="I38" i="28"/>
  <c r="I40" i="28" s="1"/>
  <c r="H39" i="28"/>
  <c r="G38" i="28"/>
  <c r="G40" i="28" s="1"/>
  <c r="F38" i="28"/>
  <c r="F40" i="28" s="1"/>
  <c r="E38" i="28"/>
  <c r="E40" i="28" s="1"/>
  <c r="D38" i="28"/>
  <c r="D40" i="28" s="1"/>
  <c r="C38" i="28"/>
  <c r="C40" i="28" s="1"/>
  <c r="B38" i="28"/>
  <c r="B40" i="28" s="1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Q36" i="28"/>
  <c r="Q31" i="39" s="1"/>
  <c r="P36" i="28"/>
  <c r="P31" i="39" s="1"/>
  <c r="O36" i="28"/>
  <c r="O31" i="39" s="1"/>
  <c r="N36" i="28"/>
  <c r="N31" i="39" s="1"/>
  <c r="M36" i="28"/>
  <c r="M31" i="39" s="1"/>
  <c r="L36" i="28"/>
  <c r="L31" i="39" s="1"/>
  <c r="K36" i="28"/>
  <c r="K31" i="39" s="1"/>
  <c r="J36" i="28"/>
  <c r="I36" i="28"/>
  <c r="I31" i="39" s="1"/>
  <c r="H36" i="28"/>
  <c r="H31" i="39" s="1"/>
  <c r="G36" i="28"/>
  <c r="G31" i="39" s="1"/>
  <c r="F36" i="28"/>
  <c r="F31" i="39" s="1"/>
  <c r="E36" i="28"/>
  <c r="E31" i="39" s="1"/>
  <c r="D36" i="28"/>
  <c r="D31" i="39" s="1"/>
  <c r="C36" i="28"/>
  <c r="C31" i="39" s="1"/>
  <c r="B36" i="28"/>
  <c r="B31" i="39" s="1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2" i="28"/>
  <c r="A31" i="39" s="1"/>
  <c r="Q38" i="27"/>
  <c r="Q40" i="27" s="1"/>
  <c r="P38" i="27"/>
  <c r="P40" i="27" s="1"/>
  <c r="O38" i="27"/>
  <c r="O40" i="27" s="1"/>
  <c r="N38" i="27"/>
  <c r="N40" i="27" s="1"/>
  <c r="M38" i="27"/>
  <c r="M40" i="27" s="1"/>
  <c r="L38" i="27"/>
  <c r="L40" i="27" s="1"/>
  <c r="K38" i="27"/>
  <c r="K40" i="27" s="1"/>
  <c r="J38" i="27"/>
  <c r="J40" i="27" s="1"/>
  <c r="I38" i="27"/>
  <c r="I40" i="27" s="1"/>
  <c r="H40" i="27"/>
  <c r="G40" i="27"/>
  <c r="F38" i="27"/>
  <c r="F40" i="27" s="1"/>
  <c r="E38" i="27"/>
  <c r="E40" i="27" s="1"/>
  <c r="D38" i="27"/>
  <c r="D40" i="27" s="1"/>
  <c r="C38" i="27"/>
  <c r="C40" i="27" s="1"/>
  <c r="B38" i="27"/>
  <c r="B40" i="27" s="1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Q36" i="27"/>
  <c r="Q30" i="39" s="1"/>
  <c r="P36" i="27"/>
  <c r="P30" i="39" s="1"/>
  <c r="O36" i="27"/>
  <c r="O30" i="39" s="1"/>
  <c r="N36" i="27"/>
  <c r="N30" i="39" s="1"/>
  <c r="M36" i="27"/>
  <c r="M30" i="39" s="1"/>
  <c r="L36" i="27"/>
  <c r="L30" i="39" s="1"/>
  <c r="K36" i="27"/>
  <c r="J36" i="27"/>
  <c r="J30" i="39" s="1"/>
  <c r="I36" i="27"/>
  <c r="I30" i="39" s="1"/>
  <c r="H36" i="27"/>
  <c r="H30" i="39" s="1"/>
  <c r="G36" i="27"/>
  <c r="G30" i="39" s="1"/>
  <c r="F36" i="27"/>
  <c r="F30" i="39" s="1"/>
  <c r="E36" i="27"/>
  <c r="E30" i="39" s="1"/>
  <c r="D36" i="27"/>
  <c r="D30" i="39" s="1"/>
  <c r="C36" i="27"/>
  <c r="C30" i="39" s="1"/>
  <c r="B36" i="27"/>
  <c r="B30" i="39" s="1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2" i="27"/>
  <c r="A30" i="39" s="1"/>
  <c r="Q38" i="26"/>
  <c r="Q40" i="26" s="1"/>
  <c r="P38" i="26"/>
  <c r="P40" i="26" s="1"/>
  <c r="O38" i="26"/>
  <c r="O40" i="26" s="1"/>
  <c r="N38" i="26"/>
  <c r="N40" i="26" s="1"/>
  <c r="M38" i="26"/>
  <c r="M40" i="26" s="1"/>
  <c r="L38" i="26"/>
  <c r="L40" i="26" s="1"/>
  <c r="K38" i="26"/>
  <c r="K40" i="26" s="1"/>
  <c r="J38" i="26"/>
  <c r="J40" i="26" s="1"/>
  <c r="I38" i="26"/>
  <c r="I40" i="26" s="1"/>
  <c r="H38" i="26"/>
  <c r="H40" i="26" s="1"/>
  <c r="G38" i="26"/>
  <c r="G40" i="26" s="1"/>
  <c r="F38" i="26"/>
  <c r="F40" i="26" s="1"/>
  <c r="E38" i="26"/>
  <c r="E40" i="26" s="1"/>
  <c r="D38" i="26"/>
  <c r="D40" i="26" s="1"/>
  <c r="C38" i="26"/>
  <c r="C40" i="26" s="1"/>
  <c r="B38" i="26"/>
  <c r="B40" i="26" s="1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Q36" i="26"/>
  <c r="Q29" i="39" s="1"/>
  <c r="P36" i="26"/>
  <c r="P29" i="39" s="1"/>
  <c r="O36" i="26"/>
  <c r="O29" i="39" s="1"/>
  <c r="N36" i="26"/>
  <c r="M36" i="26"/>
  <c r="M29" i="39" s="1"/>
  <c r="L36" i="26"/>
  <c r="K36" i="26"/>
  <c r="K29" i="39" s="1"/>
  <c r="J36" i="26"/>
  <c r="J29" i="39" s="1"/>
  <c r="I36" i="26"/>
  <c r="I29" i="39" s="1"/>
  <c r="H36" i="26"/>
  <c r="H29" i="39" s="1"/>
  <c r="G36" i="26"/>
  <c r="G29" i="39" s="1"/>
  <c r="F36" i="26"/>
  <c r="F29" i="39" s="1"/>
  <c r="E36" i="26"/>
  <c r="E29" i="39" s="1"/>
  <c r="D36" i="26"/>
  <c r="D29" i="39" s="1"/>
  <c r="C36" i="26"/>
  <c r="C29" i="39" s="1"/>
  <c r="B36" i="26"/>
  <c r="B29" i="39" s="1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2" i="26"/>
  <c r="A29" i="39" s="1"/>
  <c r="Q38" i="25"/>
  <c r="Q40" i="25" s="1"/>
  <c r="P38" i="25"/>
  <c r="P40" i="25" s="1"/>
  <c r="O38" i="25"/>
  <c r="O40" i="25" s="1"/>
  <c r="N38" i="25"/>
  <c r="N40" i="25" s="1"/>
  <c r="M38" i="25"/>
  <c r="M40" i="25" s="1"/>
  <c r="L38" i="25"/>
  <c r="L40" i="25" s="1"/>
  <c r="K38" i="25"/>
  <c r="K39" i="25" s="1"/>
  <c r="J38" i="25"/>
  <c r="J40" i="25" s="1"/>
  <c r="I38" i="25"/>
  <c r="I40" i="25" s="1"/>
  <c r="H38" i="25"/>
  <c r="H40" i="25" s="1"/>
  <c r="G38" i="25"/>
  <c r="G40" i="25" s="1"/>
  <c r="F38" i="25"/>
  <c r="F40" i="25" s="1"/>
  <c r="E38" i="25"/>
  <c r="E40" i="25" s="1"/>
  <c r="D38" i="25"/>
  <c r="D40" i="25" s="1"/>
  <c r="C38" i="25"/>
  <c r="C40" i="25" s="1"/>
  <c r="B38" i="25"/>
  <c r="B40" i="25" s="1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Q36" i="25"/>
  <c r="Q28" i="39" s="1"/>
  <c r="P36" i="25"/>
  <c r="P28" i="39" s="1"/>
  <c r="O36" i="25"/>
  <c r="O28" i="39" s="1"/>
  <c r="N36" i="25"/>
  <c r="N28" i="39" s="1"/>
  <c r="M36" i="25"/>
  <c r="M28" i="39" s="1"/>
  <c r="L36" i="25"/>
  <c r="L28" i="39" s="1"/>
  <c r="K36" i="25"/>
  <c r="K28" i="39" s="1"/>
  <c r="J36" i="25"/>
  <c r="J28" i="39" s="1"/>
  <c r="I36" i="25"/>
  <c r="I28" i="39" s="1"/>
  <c r="H36" i="25"/>
  <c r="H28" i="39" s="1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2" i="25"/>
  <c r="A28" i="39" s="1"/>
  <c r="Q38" i="24"/>
  <c r="Q40" i="24" s="1"/>
  <c r="P38" i="24"/>
  <c r="P40" i="24" s="1"/>
  <c r="O38" i="24"/>
  <c r="O40" i="24" s="1"/>
  <c r="N38" i="24"/>
  <c r="N40" i="24" s="1"/>
  <c r="M38" i="24"/>
  <c r="M40" i="24" s="1"/>
  <c r="L38" i="24"/>
  <c r="L39" i="24" s="1"/>
  <c r="K38" i="24"/>
  <c r="K40" i="24" s="1"/>
  <c r="J38" i="24"/>
  <c r="J40" i="24" s="1"/>
  <c r="I38" i="24"/>
  <c r="I40" i="24" s="1"/>
  <c r="H38" i="24"/>
  <c r="H40" i="24" s="1"/>
  <c r="G38" i="24"/>
  <c r="G40" i="24" s="1"/>
  <c r="F38" i="24"/>
  <c r="F40" i="24" s="1"/>
  <c r="E38" i="24"/>
  <c r="E40" i="24" s="1"/>
  <c r="D38" i="24"/>
  <c r="D40" i="24" s="1"/>
  <c r="C38" i="24"/>
  <c r="C40" i="24" s="1"/>
  <c r="B38" i="24"/>
  <c r="B40" i="24" s="1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Q36" i="24"/>
  <c r="Q27" i="39" s="1"/>
  <c r="P36" i="24"/>
  <c r="P27" i="39" s="1"/>
  <c r="O36" i="24"/>
  <c r="N36" i="24"/>
  <c r="M36" i="24"/>
  <c r="M27" i="39" s="1"/>
  <c r="L36" i="24"/>
  <c r="L27" i="39" s="1"/>
  <c r="K36" i="24"/>
  <c r="K27" i="39" s="1"/>
  <c r="J36" i="24"/>
  <c r="J27" i="39" s="1"/>
  <c r="I36" i="24"/>
  <c r="I27" i="39" s="1"/>
  <c r="H36" i="24"/>
  <c r="H27" i="39" s="1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B27" i="39" s="1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2" i="24"/>
  <c r="A27" i="39" s="1"/>
  <c r="Q38" i="23"/>
  <c r="Q40" i="23" s="1"/>
  <c r="P38" i="23"/>
  <c r="P40" i="23" s="1"/>
  <c r="O38" i="23"/>
  <c r="O40" i="23" s="1"/>
  <c r="N38" i="23"/>
  <c r="N40" i="23" s="1"/>
  <c r="M38" i="23"/>
  <c r="M40" i="23" s="1"/>
  <c r="L38" i="23"/>
  <c r="L39" i="23" s="1"/>
  <c r="K38" i="23"/>
  <c r="K40" i="23" s="1"/>
  <c r="J38" i="23"/>
  <c r="J40" i="23" s="1"/>
  <c r="I38" i="23"/>
  <c r="I40" i="23" s="1"/>
  <c r="H38" i="23"/>
  <c r="H40" i="23" s="1"/>
  <c r="G38" i="23"/>
  <c r="G40" i="23" s="1"/>
  <c r="F38" i="23"/>
  <c r="F40" i="23" s="1"/>
  <c r="E38" i="23"/>
  <c r="E40" i="23" s="1"/>
  <c r="D38" i="23"/>
  <c r="D40" i="23" s="1"/>
  <c r="C38" i="23"/>
  <c r="C40" i="23" s="1"/>
  <c r="B38" i="23"/>
  <c r="B40" i="23" s="1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Q36" i="23"/>
  <c r="Q26" i="39" s="1"/>
  <c r="P36" i="23"/>
  <c r="P26" i="39" s="1"/>
  <c r="O36" i="23"/>
  <c r="N36" i="23"/>
  <c r="N26" i="39" s="1"/>
  <c r="M36" i="23"/>
  <c r="M26" i="39" s="1"/>
  <c r="L36" i="23"/>
  <c r="L26" i="39" s="1"/>
  <c r="K36" i="23"/>
  <c r="K26" i="39" s="1"/>
  <c r="J36" i="23"/>
  <c r="J26" i="39" s="1"/>
  <c r="I36" i="23"/>
  <c r="I26" i="39" s="1"/>
  <c r="H36" i="23"/>
  <c r="H26" i="39" s="1"/>
  <c r="G36" i="23"/>
  <c r="G26" i="39" s="1"/>
  <c r="F36" i="23"/>
  <c r="F26" i="39" s="1"/>
  <c r="E36" i="23"/>
  <c r="E26" i="39" s="1"/>
  <c r="D36" i="23"/>
  <c r="D26" i="39" s="1"/>
  <c r="C36" i="23"/>
  <c r="C26" i="39" s="1"/>
  <c r="B36" i="23"/>
  <c r="B26" i="39" s="1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2" i="23"/>
  <c r="A26" i="39" s="1"/>
  <c r="J40" i="22"/>
  <c r="K39" i="22"/>
  <c r="Q38" i="22"/>
  <c r="Q40" i="22" s="1"/>
  <c r="P38" i="22"/>
  <c r="P40" i="22" s="1"/>
  <c r="O38" i="22"/>
  <c r="O40" i="22" s="1"/>
  <c r="N38" i="22"/>
  <c r="N40" i="22" s="1"/>
  <c r="M38" i="22"/>
  <c r="M40" i="22" s="1"/>
  <c r="L38" i="22"/>
  <c r="L39" i="22" s="1"/>
  <c r="K38" i="22"/>
  <c r="K40" i="22" s="1"/>
  <c r="J38" i="22"/>
  <c r="J39" i="22" s="1"/>
  <c r="I38" i="22"/>
  <c r="I40" i="22" s="1"/>
  <c r="H38" i="22"/>
  <c r="H40" i="22" s="1"/>
  <c r="G38" i="22"/>
  <c r="G40" i="22" s="1"/>
  <c r="F38" i="22"/>
  <c r="F40" i="22" s="1"/>
  <c r="E38" i="22"/>
  <c r="E40" i="22" s="1"/>
  <c r="D38" i="22"/>
  <c r="D40" i="22" s="1"/>
  <c r="C38" i="22"/>
  <c r="C40" i="22" s="1"/>
  <c r="B38" i="22"/>
  <c r="B40" i="22" s="1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Q36" i="22"/>
  <c r="P36" i="22"/>
  <c r="O36" i="22"/>
  <c r="O25" i="39" s="1"/>
  <c r="N36" i="22"/>
  <c r="N25" i="39" s="1"/>
  <c r="M36" i="22"/>
  <c r="M25" i="39" s="1"/>
  <c r="L36" i="22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2" i="22"/>
  <c r="J39" i="21"/>
  <c r="Q38" i="21"/>
  <c r="Q40" i="21" s="1"/>
  <c r="P38" i="21"/>
  <c r="P40" i="21" s="1"/>
  <c r="O38" i="21"/>
  <c r="O40" i="21" s="1"/>
  <c r="N38" i="21"/>
  <c r="N40" i="21" s="1"/>
  <c r="M38" i="21"/>
  <c r="M40" i="21" s="1"/>
  <c r="L38" i="21"/>
  <c r="L40" i="21" s="1"/>
  <c r="K38" i="21"/>
  <c r="K40" i="21" s="1"/>
  <c r="J38" i="21"/>
  <c r="J40" i="21" s="1"/>
  <c r="I38" i="21"/>
  <c r="I39" i="21" s="1"/>
  <c r="H38" i="21"/>
  <c r="H40" i="21" s="1"/>
  <c r="G38" i="21"/>
  <c r="G40" i="21" s="1"/>
  <c r="F38" i="21"/>
  <c r="F40" i="21" s="1"/>
  <c r="E38" i="21"/>
  <c r="E40" i="21" s="1"/>
  <c r="D38" i="21"/>
  <c r="D40" i="21" s="1"/>
  <c r="C38" i="21"/>
  <c r="C40" i="21" s="1"/>
  <c r="B38" i="21"/>
  <c r="B40" i="21" s="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Q36" i="21"/>
  <c r="P36" i="21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2" i="21"/>
  <c r="Q38" i="20"/>
  <c r="Q40" i="20" s="1"/>
  <c r="P38" i="20"/>
  <c r="P40" i="20" s="1"/>
  <c r="O38" i="20"/>
  <c r="O40" i="20" s="1"/>
  <c r="N38" i="20"/>
  <c r="N40" i="20" s="1"/>
  <c r="M38" i="20"/>
  <c r="M40" i="20" s="1"/>
  <c r="L38" i="20"/>
  <c r="L40" i="20" s="1"/>
  <c r="K38" i="20"/>
  <c r="K40" i="20" s="1"/>
  <c r="J38" i="20"/>
  <c r="J40" i="20" s="1"/>
  <c r="I38" i="20"/>
  <c r="I39" i="20" s="1"/>
  <c r="H38" i="20"/>
  <c r="H40" i="20" s="1"/>
  <c r="G38" i="20"/>
  <c r="G40" i="20" s="1"/>
  <c r="F38" i="20"/>
  <c r="F40" i="20" s="1"/>
  <c r="E38" i="20"/>
  <c r="E40" i="20" s="1"/>
  <c r="D38" i="20"/>
  <c r="D40" i="20" s="1"/>
  <c r="C38" i="20"/>
  <c r="C40" i="20" s="1"/>
  <c r="B38" i="20"/>
  <c r="B40" i="20" s="1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Q36" i="20"/>
  <c r="Q23" i="39" s="1"/>
  <c r="P36" i="20"/>
  <c r="P23" i="39" s="1"/>
  <c r="O36" i="20"/>
  <c r="O23" i="39" s="1"/>
  <c r="N36" i="20"/>
  <c r="N23" i="39" s="1"/>
  <c r="M36" i="20"/>
  <c r="M23" i="39" s="1"/>
  <c r="L36" i="20"/>
  <c r="L23" i="39" s="1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C23" i="39" s="1"/>
  <c r="B36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Q38" i="19"/>
  <c r="Q40" i="19" s="1"/>
  <c r="P38" i="19"/>
  <c r="P40" i="19" s="1"/>
  <c r="O38" i="19"/>
  <c r="O40" i="19" s="1"/>
  <c r="N38" i="19"/>
  <c r="N40" i="19" s="1"/>
  <c r="M38" i="19"/>
  <c r="M40" i="19" s="1"/>
  <c r="L38" i="19"/>
  <c r="L40" i="19" s="1"/>
  <c r="K38" i="19"/>
  <c r="K40" i="19" s="1"/>
  <c r="J38" i="19"/>
  <c r="J40" i="19" s="1"/>
  <c r="I38" i="19"/>
  <c r="I39" i="19" s="1"/>
  <c r="H38" i="19"/>
  <c r="H40" i="19" s="1"/>
  <c r="G38" i="19"/>
  <c r="G40" i="19" s="1"/>
  <c r="F38" i="19"/>
  <c r="F40" i="19" s="1"/>
  <c r="E38" i="19"/>
  <c r="E40" i="19" s="1"/>
  <c r="D38" i="19"/>
  <c r="D40" i="19" s="1"/>
  <c r="C38" i="19"/>
  <c r="C40" i="19" s="1"/>
  <c r="B38" i="19"/>
  <c r="B40" i="19" s="1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Q36" i="19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B36" i="19"/>
  <c r="B22" i="39" s="1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2" i="19"/>
  <c r="A22" i="39" s="1"/>
  <c r="Q38" i="18"/>
  <c r="Q40" i="18" s="1"/>
  <c r="P38" i="18"/>
  <c r="P40" i="18" s="1"/>
  <c r="O38" i="18"/>
  <c r="O40" i="18" s="1"/>
  <c r="N38" i="18"/>
  <c r="N40" i="18" s="1"/>
  <c r="M38" i="18"/>
  <c r="M40" i="18" s="1"/>
  <c r="L38" i="18"/>
  <c r="L40" i="18" s="1"/>
  <c r="K38" i="18"/>
  <c r="K40" i="18" s="1"/>
  <c r="J38" i="18"/>
  <c r="J40" i="18" s="1"/>
  <c r="I38" i="18"/>
  <c r="I40" i="18" s="1"/>
  <c r="H38" i="18"/>
  <c r="H40" i="18" s="1"/>
  <c r="G38" i="18"/>
  <c r="G40" i="18" s="1"/>
  <c r="F38" i="18"/>
  <c r="F40" i="18" s="1"/>
  <c r="E38" i="18"/>
  <c r="E40" i="18" s="1"/>
  <c r="D38" i="18"/>
  <c r="D40" i="18" s="1"/>
  <c r="C38" i="18"/>
  <c r="C40" i="18" s="1"/>
  <c r="B38" i="18"/>
  <c r="B40" i="18" s="1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Q36" i="18"/>
  <c r="Q21" i="39" s="1"/>
  <c r="P36" i="18"/>
  <c r="P21" i="39" s="1"/>
  <c r="O36" i="18"/>
  <c r="O21" i="39" s="1"/>
  <c r="N36" i="18"/>
  <c r="N21" i="39" s="1"/>
  <c r="M36" i="18"/>
  <c r="M21" i="39" s="1"/>
  <c r="L36" i="18"/>
  <c r="L21" i="39" s="1"/>
  <c r="K36" i="18"/>
  <c r="K21" i="39" s="1"/>
  <c r="J36" i="18"/>
  <c r="J21" i="39" s="1"/>
  <c r="I36" i="18"/>
  <c r="I21" i="39" s="1"/>
  <c r="H36" i="18"/>
  <c r="H21" i="39" s="1"/>
  <c r="G36" i="18"/>
  <c r="G21" i="39" s="1"/>
  <c r="F36" i="18"/>
  <c r="F21" i="39" s="1"/>
  <c r="E36" i="18"/>
  <c r="E21" i="39" s="1"/>
  <c r="D36" i="18"/>
  <c r="C36" i="18"/>
  <c r="C21" i="39" s="1"/>
  <c r="B36" i="18"/>
  <c r="B21" i="39" s="1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2" i="18"/>
  <c r="A21" i="39" s="1"/>
  <c r="Q38" i="17"/>
  <c r="Q40" i="17" s="1"/>
  <c r="P38" i="17"/>
  <c r="P40" i="17" s="1"/>
  <c r="O38" i="17"/>
  <c r="O40" i="17" s="1"/>
  <c r="N38" i="17"/>
  <c r="N40" i="17" s="1"/>
  <c r="M38" i="17"/>
  <c r="M40" i="17" s="1"/>
  <c r="L38" i="17"/>
  <c r="L40" i="17" s="1"/>
  <c r="K38" i="17"/>
  <c r="K40" i="17" s="1"/>
  <c r="J38" i="17"/>
  <c r="J40" i="17" s="1"/>
  <c r="I38" i="17"/>
  <c r="I40" i="17" s="1"/>
  <c r="H38" i="17"/>
  <c r="H40" i="17" s="1"/>
  <c r="G38" i="17"/>
  <c r="G40" i="17" s="1"/>
  <c r="F38" i="17"/>
  <c r="F40" i="17" s="1"/>
  <c r="E38" i="17"/>
  <c r="E40" i="17" s="1"/>
  <c r="D38" i="17"/>
  <c r="D40" i="17" s="1"/>
  <c r="C38" i="17"/>
  <c r="C40" i="17" s="1"/>
  <c r="B38" i="17"/>
  <c r="B40" i="17" s="1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Q36" i="17"/>
  <c r="Q20" i="39" s="1"/>
  <c r="P36" i="17"/>
  <c r="P20" i="39" s="1"/>
  <c r="O36" i="17"/>
  <c r="O20" i="39" s="1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F20" i="39" s="1"/>
  <c r="E36" i="17"/>
  <c r="D36" i="17"/>
  <c r="D20" i="39" s="1"/>
  <c r="C36" i="17"/>
  <c r="C20" i="39" s="1"/>
  <c r="B36" i="17"/>
  <c r="B20" i="39" s="1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2" i="17"/>
  <c r="A20" i="39" s="1"/>
  <c r="L39" i="16"/>
  <c r="Q38" i="16"/>
  <c r="Q40" i="16" s="1"/>
  <c r="P38" i="16"/>
  <c r="P40" i="16" s="1"/>
  <c r="O38" i="16"/>
  <c r="O40" i="16" s="1"/>
  <c r="N38" i="16"/>
  <c r="N40" i="16" s="1"/>
  <c r="M38" i="16"/>
  <c r="M40" i="16" s="1"/>
  <c r="L38" i="16"/>
  <c r="L40" i="16" s="1"/>
  <c r="K38" i="16"/>
  <c r="K40" i="16" s="1"/>
  <c r="J38" i="16"/>
  <c r="J40" i="16" s="1"/>
  <c r="I38" i="16"/>
  <c r="I40" i="16" s="1"/>
  <c r="H38" i="16"/>
  <c r="H40" i="16" s="1"/>
  <c r="G38" i="16"/>
  <c r="G40" i="16" s="1"/>
  <c r="F38" i="16"/>
  <c r="F40" i="16" s="1"/>
  <c r="E38" i="16"/>
  <c r="E40" i="16" s="1"/>
  <c r="D38" i="16"/>
  <c r="D40" i="16" s="1"/>
  <c r="C38" i="16"/>
  <c r="C40" i="16" s="1"/>
  <c r="B38" i="16"/>
  <c r="B40" i="16" s="1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Q36" i="16"/>
  <c r="Q19" i="39" s="1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I19" i="39" s="1"/>
  <c r="H36" i="16"/>
  <c r="H19" i="39" s="1"/>
  <c r="G36" i="16"/>
  <c r="G19" i="39" s="1"/>
  <c r="F36" i="16"/>
  <c r="E36" i="16"/>
  <c r="E19" i="39" s="1"/>
  <c r="D36" i="16"/>
  <c r="D19" i="39" s="1"/>
  <c r="C36" i="16"/>
  <c r="C19" i="39" s="1"/>
  <c r="B36" i="16"/>
  <c r="B19" i="39" s="1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2" i="16"/>
  <c r="A19" i="39" s="1"/>
  <c r="Q38" i="15"/>
  <c r="Q40" i="15" s="1"/>
  <c r="P38" i="15"/>
  <c r="P40" i="15" s="1"/>
  <c r="O38" i="15"/>
  <c r="O40" i="15" s="1"/>
  <c r="N38" i="15"/>
  <c r="N40" i="15" s="1"/>
  <c r="M38" i="15"/>
  <c r="M40" i="15" s="1"/>
  <c r="L38" i="15"/>
  <c r="L40" i="15" s="1"/>
  <c r="K38" i="15"/>
  <c r="K40" i="15" s="1"/>
  <c r="J38" i="15"/>
  <c r="J40" i="15" s="1"/>
  <c r="I38" i="15"/>
  <c r="I40" i="15" s="1"/>
  <c r="H38" i="15"/>
  <c r="H40" i="15" s="1"/>
  <c r="G38" i="15"/>
  <c r="G40" i="15" s="1"/>
  <c r="F38" i="15"/>
  <c r="F40" i="15" s="1"/>
  <c r="E38" i="15"/>
  <c r="E40" i="15" s="1"/>
  <c r="D38" i="15"/>
  <c r="D40" i="15" s="1"/>
  <c r="C38" i="15"/>
  <c r="C40" i="15" s="1"/>
  <c r="B38" i="15"/>
  <c r="B40" i="15" s="1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Q36" i="15"/>
  <c r="Q18" i="39" s="1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H18" i="39" s="1"/>
  <c r="G36" i="15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2" i="15"/>
  <c r="A18" i="39" s="1"/>
  <c r="L40" i="14"/>
  <c r="Q38" i="14"/>
  <c r="Q40" i="14" s="1"/>
  <c r="P38" i="14"/>
  <c r="P40" i="14" s="1"/>
  <c r="O38" i="14"/>
  <c r="O40" i="14" s="1"/>
  <c r="N38" i="14"/>
  <c r="N40" i="14" s="1"/>
  <c r="M38" i="14"/>
  <c r="M40" i="14" s="1"/>
  <c r="L38" i="14"/>
  <c r="L39" i="14" s="1"/>
  <c r="K38" i="14"/>
  <c r="K39" i="14" s="1"/>
  <c r="J38" i="14"/>
  <c r="J40" i="14" s="1"/>
  <c r="I38" i="14"/>
  <c r="I40" i="14" s="1"/>
  <c r="H40" i="14"/>
  <c r="G40" i="14"/>
  <c r="F38" i="14"/>
  <c r="F40" i="14" s="1"/>
  <c r="E38" i="14"/>
  <c r="E40" i="14" s="1"/>
  <c r="D38" i="14"/>
  <c r="D40" i="14" s="1"/>
  <c r="C38" i="14"/>
  <c r="C40" i="14" s="1"/>
  <c r="B38" i="14"/>
  <c r="B40" i="14" s="1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Q36" i="14"/>
  <c r="Q17" i="39" s="1"/>
  <c r="P36" i="14"/>
  <c r="O36" i="14"/>
  <c r="N36" i="14"/>
  <c r="M36" i="14"/>
  <c r="M17" i="39" s="1"/>
  <c r="L36" i="14"/>
  <c r="L17" i="39" s="1"/>
  <c r="K36" i="14"/>
  <c r="K17" i="39" s="1"/>
  <c r="J36" i="14"/>
  <c r="J17" i="39" s="1"/>
  <c r="I36" i="14"/>
  <c r="H36" i="14"/>
  <c r="H17" i="39" s="1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B17" i="39" s="1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2" i="14"/>
  <c r="A17" i="39" s="1"/>
  <c r="K40" i="13"/>
  <c r="K39" i="13"/>
  <c r="Q38" i="13"/>
  <c r="Q40" i="13" s="1"/>
  <c r="P38" i="13"/>
  <c r="P39" i="13" s="1"/>
  <c r="O38" i="13"/>
  <c r="O40" i="13" s="1"/>
  <c r="N38" i="13"/>
  <c r="N40" i="13" s="1"/>
  <c r="M38" i="13"/>
  <c r="M40" i="13" s="1"/>
  <c r="L38" i="13"/>
  <c r="L40" i="13" s="1"/>
  <c r="K38" i="13"/>
  <c r="J38" i="13"/>
  <c r="J40" i="13" s="1"/>
  <c r="I38" i="13"/>
  <c r="I40" i="13" s="1"/>
  <c r="H38" i="13"/>
  <c r="H40" i="13" s="1"/>
  <c r="G38" i="13"/>
  <c r="G40" i="13" s="1"/>
  <c r="F38" i="13"/>
  <c r="F40" i="13" s="1"/>
  <c r="E38" i="13"/>
  <c r="E40" i="13" s="1"/>
  <c r="D38" i="13"/>
  <c r="D40" i="13" s="1"/>
  <c r="C38" i="13"/>
  <c r="C40" i="13" s="1"/>
  <c r="B38" i="13"/>
  <c r="B40" i="13" s="1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Q36" i="13"/>
  <c r="Q16" i="39" s="1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I36" i="13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C16" i="39" s="1"/>
  <c r="B36" i="13"/>
  <c r="B16" i="39" s="1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2" i="13"/>
  <c r="A16" i="39" s="1"/>
  <c r="K39" i="12"/>
  <c r="Q38" i="12"/>
  <c r="Q40" i="12" s="1"/>
  <c r="P38" i="12"/>
  <c r="P40" i="12" s="1"/>
  <c r="O38" i="12"/>
  <c r="O40" i="12" s="1"/>
  <c r="N38" i="12"/>
  <c r="N40" i="12" s="1"/>
  <c r="M38" i="12"/>
  <c r="M40" i="12" s="1"/>
  <c r="L38" i="12"/>
  <c r="L40" i="12" s="1"/>
  <c r="K38" i="12"/>
  <c r="K40" i="12" s="1"/>
  <c r="J38" i="12"/>
  <c r="J40" i="12" s="1"/>
  <c r="I38" i="12"/>
  <c r="I40" i="12" s="1"/>
  <c r="H38" i="12"/>
  <c r="H40" i="12" s="1"/>
  <c r="G38" i="12"/>
  <c r="G40" i="12" s="1"/>
  <c r="F38" i="12"/>
  <c r="F40" i="12" s="1"/>
  <c r="E38" i="12"/>
  <c r="E40" i="12" s="1"/>
  <c r="D38" i="12"/>
  <c r="D40" i="12" s="1"/>
  <c r="C38" i="12"/>
  <c r="C40" i="12" s="1"/>
  <c r="B38" i="12"/>
  <c r="B40" i="12" s="1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Q36" i="12"/>
  <c r="Q15" i="39" s="1"/>
  <c r="P36" i="12"/>
  <c r="O36" i="12"/>
  <c r="N36" i="12"/>
  <c r="M36" i="12"/>
  <c r="M15" i="39" s="1"/>
  <c r="L36" i="12"/>
  <c r="L15" i="39" s="1"/>
  <c r="K36" i="12"/>
  <c r="K15" i="39" s="1"/>
  <c r="J36" i="12"/>
  <c r="J15" i="39" s="1"/>
  <c r="I36" i="12"/>
  <c r="I15" i="39" s="1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B2" i="12"/>
  <c r="A15" i="39" s="1"/>
  <c r="Q38" i="11"/>
  <c r="Q40" i="11" s="1"/>
  <c r="P38" i="11"/>
  <c r="P40" i="11" s="1"/>
  <c r="O38" i="11"/>
  <c r="O40" i="11" s="1"/>
  <c r="N38" i="11"/>
  <c r="N40" i="11" s="1"/>
  <c r="M38" i="11"/>
  <c r="M40" i="11" s="1"/>
  <c r="L38" i="11"/>
  <c r="L40" i="11" s="1"/>
  <c r="K38" i="11"/>
  <c r="K39" i="11" s="1"/>
  <c r="J38" i="11"/>
  <c r="J39" i="11" s="1"/>
  <c r="I38" i="11"/>
  <c r="I40" i="11" s="1"/>
  <c r="H38" i="11"/>
  <c r="H40" i="11" s="1"/>
  <c r="G38" i="11"/>
  <c r="G40" i="11" s="1"/>
  <c r="F38" i="11"/>
  <c r="F40" i="11" s="1"/>
  <c r="E38" i="11"/>
  <c r="E40" i="11" s="1"/>
  <c r="D38" i="11"/>
  <c r="D40" i="11" s="1"/>
  <c r="C38" i="11"/>
  <c r="C40" i="11" s="1"/>
  <c r="B38" i="11"/>
  <c r="B40" i="11" s="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Q36" i="11"/>
  <c r="Q14" i="39" s="1"/>
  <c r="P36" i="11"/>
  <c r="P14" i="39" s="1"/>
  <c r="O36" i="11"/>
  <c r="O14" i="39" s="1"/>
  <c r="N36" i="11"/>
  <c r="N14" i="39" s="1"/>
  <c r="M36" i="11"/>
  <c r="M14" i="39" s="1"/>
  <c r="L36" i="11"/>
  <c r="K36" i="11"/>
  <c r="J36" i="11"/>
  <c r="J14" i="39" s="1"/>
  <c r="I36" i="11"/>
  <c r="I14" i="39" s="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B2" i="11"/>
  <c r="A14" i="39" s="1"/>
  <c r="K39" i="10"/>
  <c r="Q38" i="10"/>
  <c r="Q40" i="10" s="1"/>
  <c r="P38" i="10"/>
  <c r="P40" i="10" s="1"/>
  <c r="O38" i="10"/>
  <c r="O40" i="10" s="1"/>
  <c r="N38" i="10"/>
  <c r="N40" i="10" s="1"/>
  <c r="M38" i="10"/>
  <c r="M40" i="10" s="1"/>
  <c r="L38" i="10"/>
  <c r="L40" i="10" s="1"/>
  <c r="K38" i="10"/>
  <c r="K40" i="10" s="1"/>
  <c r="J38" i="10"/>
  <c r="J40" i="10" s="1"/>
  <c r="I38" i="10"/>
  <c r="I40" i="10" s="1"/>
  <c r="H38" i="10"/>
  <c r="H40" i="10" s="1"/>
  <c r="G38" i="10"/>
  <c r="G40" i="10" s="1"/>
  <c r="F38" i="10"/>
  <c r="F40" i="10" s="1"/>
  <c r="E38" i="10"/>
  <c r="E40" i="10" s="1"/>
  <c r="D38" i="10"/>
  <c r="D40" i="10" s="1"/>
  <c r="C38" i="10"/>
  <c r="C40" i="10" s="1"/>
  <c r="B38" i="10"/>
  <c r="B40" i="10" s="1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Q36" i="10"/>
  <c r="Q13" i="39" s="1"/>
  <c r="P36" i="10"/>
  <c r="P13" i="39" s="1"/>
  <c r="O36" i="10"/>
  <c r="O13" i="39" s="1"/>
  <c r="N36" i="10"/>
  <c r="N13" i="39" s="1"/>
  <c r="M36" i="10"/>
  <c r="M13" i="39" s="1"/>
  <c r="L36" i="10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2" i="10"/>
  <c r="A13" i="39" s="1"/>
  <c r="Q38" i="9"/>
  <c r="Q40" i="9" s="1"/>
  <c r="P38" i="9"/>
  <c r="P40" i="9" s="1"/>
  <c r="O38" i="9"/>
  <c r="O40" i="9" s="1"/>
  <c r="N38" i="9"/>
  <c r="N40" i="9" s="1"/>
  <c r="M38" i="9"/>
  <c r="M40" i="9" s="1"/>
  <c r="L38" i="9"/>
  <c r="L40" i="9" s="1"/>
  <c r="K38" i="9"/>
  <c r="K39" i="9" s="1"/>
  <c r="J38" i="9"/>
  <c r="J40" i="9" s="1"/>
  <c r="I38" i="9"/>
  <c r="I40" i="9" s="1"/>
  <c r="H40" i="9"/>
  <c r="G40" i="9"/>
  <c r="F38" i="9"/>
  <c r="F40" i="9" s="1"/>
  <c r="E38" i="9"/>
  <c r="E40" i="9" s="1"/>
  <c r="D38" i="9"/>
  <c r="D40" i="9" s="1"/>
  <c r="C38" i="9"/>
  <c r="C40" i="9" s="1"/>
  <c r="B38" i="9"/>
  <c r="B40" i="9" s="1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6" i="9"/>
  <c r="Q12" i="39" s="1"/>
  <c r="P36" i="9"/>
  <c r="P12" i="39" s="1"/>
  <c r="O36" i="9"/>
  <c r="O12" i="39" s="1"/>
  <c r="N36" i="9"/>
  <c r="M36" i="9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B2" i="9"/>
  <c r="A12" i="39" s="1"/>
  <c r="Q38" i="8"/>
  <c r="Q40" i="8" s="1"/>
  <c r="P38" i="8"/>
  <c r="P40" i="8" s="1"/>
  <c r="O38" i="8"/>
  <c r="O40" i="8" s="1"/>
  <c r="N38" i="8"/>
  <c r="N40" i="8" s="1"/>
  <c r="M38" i="8"/>
  <c r="M40" i="8" s="1"/>
  <c r="L38" i="8"/>
  <c r="L39" i="8" s="1"/>
  <c r="K38" i="8"/>
  <c r="K40" i="8" s="1"/>
  <c r="J38" i="8"/>
  <c r="J40" i="8" s="1"/>
  <c r="I38" i="8"/>
  <c r="I40" i="8" s="1"/>
  <c r="H38" i="8"/>
  <c r="H40" i="8" s="1"/>
  <c r="G38" i="8"/>
  <c r="G40" i="8" s="1"/>
  <c r="F38" i="8"/>
  <c r="F40" i="8" s="1"/>
  <c r="E38" i="8"/>
  <c r="E40" i="8" s="1"/>
  <c r="D38" i="8"/>
  <c r="D40" i="8" s="1"/>
  <c r="C38" i="8"/>
  <c r="C40" i="8" s="1"/>
  <c r="B38" i="8"/>
  <c r="B40" i="8" s="1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Q36" i="8"/>
  <c r="Q11" i="39" s="1"/>
  <c r="P36" i="8"/>
  <c r="P11" i="39" s="1"/>
  <c r="O36" i="8"/>
  <c r="O11" i="39" s="1"/>
  <c r="N36" i="8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B2" i="8"/>
  <c r="A11" i="39" s="1"/>
  <c r="Q38" i="3"/>
  <c r="Q39" i="3" s="1"/>
  <c r="P38" i="3"/>
  <c r="P40" i="3" s="1"/>
  <c r="O38" i="3"/>
  <c r="O40" i="3" s="1"/>
  <c r="N38" i="3"/>
  <c r="N40" i="3" s="1"/>
  <c r="M38" i="3"/>
  <c r="M39" i="3" s="1"/>
  <c r="L38" i="3"/>
  <c r="L40" i="3" s="1"/>
  <c r="K38" i="3"/>
  <c r="K40" i="3" s="1"/>
  <c r="J38" i="3"/>
  <c r="J40" i="3" s="1"/>
  <c r="I38" i="3"/>
  <c r="I40" i="3" s="1"/>
  <c r="H38" i="3"/>
  <c r="H40" i="3" s="1"/>
  <c r="G38" i="3"/>
  <c r="G40" i="3" s="1"/>
  <c r="F38" i="3"/>
  <c r="F40" i="3" s="1"/>
  <c r="E38" i="3"/>
  <c r="E40" i="3" s="1"/>
  <c r="D38" i="3"/>
  <c r="D40" i="3" s="1"/>
  <c r="C38" i="3"/>
  <c r="C40" i="3" s="1"/>
  <c r="B38" i="3"/>
  <c r="B40" i="3" s="1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6" i="3"/>
  <c r="Q10" i="39" s="1"/>
  <c r="P36" i="3"/>
  <c r="O36" i="3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2" i="3"/>
  <c r="A10" i="39" s="1"/>
  <c r="Q38" i="2"/>
  <c r="Q40" i="2" s="1"/>
  <c r="P38" i="2"/>
  <c r="P40" i="2" s="1"/>
  <c r="O38" i="2"/>
  <c r="O40" i="2" s="1"/>
  <c r="N38" i="2"/>
  <c r="N40" i="2" s="1"/>
  <c r="M38" i="2"/>
  <c r="M40" i="2" s="1"/>
  <c r="L38" i="2"/>
  <c r="L40" i="2" s="1"/>
  <c r="K38" i="2"/>
  <c r="K40" i="2" s="1"/>
  <c r="J38" i="2"/>
  <c r="J40" i="2" s="1"/>
  <c r="I40" i="2"/>
  <c r="H38" i="2"/>
  <c r="H40" i="2" s="1"/>
  <c r="G38" i="2"/>
  <c r="G40" i="2" s="1"/>
  <c r="F38" i="2"/>
  <c r="F40" i="2" s="1"/>
  <c r="E38" i="2"/>
  <c r="E40" i="2" s="1"/>
  <c r="D38" i="2"/>
  <c r="D40" i="2" s="1"/>
  <c r="C38" i="2"/>
  <c r="C40" i="2" s="1"/>
  <c r="B38" i="2"/>
  <c r="B40" i="2" s="1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F36" i="2"/>
  <c r="F9" i="39" s="1"/>
  <c r="E36" i="2"/>
  <c r="E9" i="39" s="1"/>
  <c r="D36" i="2"/>
  <c r="D9" i="39" s="1"/>
  <c r="C36" i="2"/>
  <c r="C9" i="39" s="1"/>
  <c r="B36" i="2"/>
  <c r="B9" i="39" s="1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B2" i="2"/>
  <c r="A9" i="39" s="1"/>
  <c r="B2" i="39" s="1"/>
  <c r="N39" i="41" l="1"/>
  <c r="O39" i="41"/>
  <c r="Q39" i="41"/>
  <c r="B39" i="41"/>
  <c r="C39" i="41"/>
  <c r="P40" i="41"/>
  <c r="D39" i="41"/>
  <c r="E39" i="41"/>
  <c r="F39" i="41"/>
  <c r="G39" i="41"/>
  <c r="H39" i="41"/>
  <c r="I39" i="41"/>
  <c r="J39" i="41"/>
  <c r="K39" i="41"/>
  <c r="L39" i="41"/>
  <c r="M39" i="41"/>
  <c r="E39" i="40"/>
  <c r="F39" i="40"/>
  <c r="G39" i="40"/>
  <c r="C39" i="40"/>
  <c r="H39" i="40"/>
  <c r="I39" i="40"/>
  <c r="J39" i="40"/>
  <c r="K39" i="40"/>
  <c r="L39" i="40"/>
  <c r="M39" i="40"/>
  <c r="N39" i="40"/>
  <c r="O39" i="40"/>
  <c r="D40" i="40"/>
  <c r="P39" i="40"/>
  <c r="Q39" i="40"/>
  <c r="B39" i="40"/>
  <c r="E39" i="33"/>
  <c r="F39" i="33"/>
  <c r="G39" i="33"/>
  <c r="H39" i="33"/>
  <c r="I39" i="33"/>
  <c r="J39" i="33"/>
  <c r="K39" i="33"/>
  <c r="L39" i="33"/>
  <c r="M39" i="33"/>
  <c r="N39" i="33"/>
  <c r="O39" i="33"/>
  <c r="D39" i="33"/>
  <c r="P39" i="33"/>
  <c r="Q39" i="33"/>
  <c r="B39" i="33"/>
  <c r="C39" i="33"/>
  <c r="F39" i="32"/>
  <c r="G39" i="32"/>
  <c r="H39" i="32"/>
  <c r="I39" i="32"/>
  <c r="J39" i="32"/>
  <c r="K39" i="32"/>
  <c r="L39" i="32"/>
  <c r="M39" i="32"/>
  <c r="N39" i="32"/>
  <c r="O39" i="32"/>
  <c r="P39" i="32"/>
  <c r="E40" i="32"/>
  <c r="Q39" i="32"/>
  <c r="B39" i="32"/>
  <c r="C39" i="32"/>
  <c r="D39" i="32"/>
  <c r="H39" i="31"/>
  <c r="I39" i="31"/>
  <c r="J39" i="31"/>
  <c r="K39" i="31"/>
  <c r="L39" i="31"/>
  <c r="M39" i="31"/>
  <c r="N39" i="31"/>
  <c r="O39" i="31"/>
  <c r="P39" i="31"/>
  <c r="Q39" i="31"/>
  <c r="B39" i="31"/>
  <c r="C39" i="31"/>
  <c r="G39" i="31"/>
  <c r="D39" i="31"/>
  <c r="E39" i="31"/>
  <c r="F39" i="31"/>
  <c r="I39" i="30"/>
  <c r="J39" i="30"/>
  <c r="K39" i="30"/>
  <c r="L39" i="30"/>
  <c r="M39" i="30"/>
  <c r="N39" i="30"/>
  <c r="O39" i="30"/>
  <c r="P39" i="30"/>
  <c r="Q39" i="30"/>
  <c r="B39" i="30"/>
  <c r="C39" i="30"/>
  <c r="D39" i="30"/>
  <c r="E39" i="30"/>
  <c r="F39" i="30"/>
  <c r="I39" i="29"/>
  <c r="J39" i="29"/>
  <c r="K39" i="29"/>
  <c r="L39" i="29"/>
  <c r="M39" i="29"/>
  <c r="G40" i="29"/>
  <c r="H40" i="29"/>
  <c r="N39" i="29"/>
  <c r="O39" i="29"/>
  <c r="P39" i="29"/>
  <c r="Q39" i="29"/>
  <c r="B39" i="29"/>
  <c r="C39" i="29"/>
  <c r="D39" i="29"/>
  <c r="E39" i="29"/>
  <c r="F39" i="29"/>
  <c r="I39" i="28"/>
  <c r="J39" i="28"/>
  <c r="K39" i="28"/>
  <c r="L39" i="28"/>
  <c r="M39" i="28"/>
  <c r="N39" i="28"/>
  <c r="O39" i="28"/>
  <c r="P39" i="28"/>
  <c r="Q39" i="28"/>
  <c r="B39" i="28"/>
  <c r="C39" i="28"/>
  <c r="H40" i="28"/>
  <c r="D39" i="28"/>
  <c r="E39" i="28"/>
  <c r="F39" i="28"/>
  <c r="G39" i="28"/>
  <c r="J39" i="27"/>
  <c r="K39" i="27"/>
  <c r="L39" i="27"/>
  <c r="M39" i="27"/>
  <c r="N39" i="27"/>
  <c r="O39" i="27"/>
  <c r="P39" i="27"/>
  <c r="Q39" i="27"/>
  <c r="B39" i="27"/>
  <c r="C39" i="27"/>
  <c r="D39" i="27"/>
  <c r="I39" i="27"/>
  <c r="E39" i="27"/>
  <c r="F39" i="27"/>
  <c r="G39" i="27"/>
  <c r="H39" i="27"/>
  <c r="I39" i="26"/>
  <c r="J39" i="26"/>
  <c r="L39" i="26"/>
  <c r="M39" i="26"/>
  <c r="N39" i="26"/>
  <c r="O39" i="26"/>
  <c r="K39" i="26"/>
  <c r="P39" i="26"/>
  <c r="Q39" i="26"/>
  <c r="B39" i="26"/>
  <c r="C39" i="26"/>
  <c r="D39" i="26"/>
  <c r="E39" i="26"/>
  <c r="F39" i="26"/>
  <c r="G39" i="26"/>
  <c r="H39" i="26"/>
  <c r="L39" i="25"/>
  <c r="M39" i="25"/>
  <c r="N39" i="25"/>
  <c r="O39" i="25"/>
  <c r="P39" i="25"/>
  <c r="Q39" i="25"/>
  <c r="K40" i="25"/>
  <c r="B39" i="25"/>
  <c r="C39" i="25"/>
  <c r="D39" i="25"/>
  <c r="E39" i="25"/>
  <c r="F39" i="25"/>
  <c r="G39" i="25"/>
  <c r="H39" i="25"/>
  <c r="I39" i="25"/>
  <c r="J39" i="25"/>
  <c r="M39" i="24"/>
  <c r="N39" i="24"/>
  <c r="O39" i="24"/>
  <c r="P39" i="24"/>
  <c r="Q39" i="24"/>
  <c r="B39" i="24"/>
  <c r="K39" i="24"/>
  <c r="C39" i="24"/>
  <c r="D39" i="24"/>
  <c r="L40" i="24"/>
  <c r="E39" i="24"/>
  <c r="F39" i="24"/>
  <c r="G39" i="24"/>
  <c r="H39" i="24"/>
  <c r="I39" i="24"/>
  <c r="J39" i="24"/>
  <c r="M39" i="23"/>
  <c r="N39" i="23"/>
  <c r="O39" i="23"/>
  <c r="P39" i="23"/>
  <c r="Q39" i="23"/>
  <c r="B39" i="23"/>
  <c r="C39" i="23"/>
  <c r="D39" i="23"/>
  <c r="E39" i="23"/>
  <c r="L40" i="23"/>
  <c r="F39" i="23"/>
  <c r="G39" i="23"/>
  <c r="H39" i="23"/>
  <c r="I39" i="23"/>
  <c r="J39" i="23"/>
  <c r="K39" i="23"/>
  <c r="M39" i="22"/>
  <c r="N39" i="22"/>
  <c r="O39" i="22"/>
  <c r="P39" i="22"/>
  <c r="Q39" i="22"/>
  <c r="B39" i="22"/>
  <c r="L40" i="22"/>
  <c r="C39" i="22"/>
  <c r="D39" i="22"/>
  <c r="E39" i="22"/>
  <c r="F39" i="22"/>
  <c r="G39" i="22"/>
  <c r="H39" i="22"/>
  <c r="I39" i="22"/>
  <c r="K39" i="21"/>
  <c r="L39" i="21"/>
  <c r="M39" i="21"/>
  <c r="N39" i="21"/>
  <c r="I40" i="21"/>
  <c r="O39" i="21"/>
  <c r="P39" i="21"/>
  <c r="Q39" i="21"/>
  <c r="B39" i="21"/>
  <c r="C39" i="21"/>
  <c r="D39" i="21"/>
  <c r="E39" i="21"/>
  <c r="F39" i="21"/>
  <c r="G39" i="21"/>
  <c r="H39" i="21"/>
  <c r="J39" i="20"/>
  <c r="K39" i="20"/>
  <c r="L39" i="20"/>
  <c r="M39" i="20"/>
  <c r="N39" i="20"/>
  <c r="O39" i="20"/>
  <c r="P39" i="20"/>
  <c r="Q39" i="20"/>
  <c r="B39" i="20"/>
  <c r="C39" i="20"/>
  <c r="D39" i="20"/>
  <c r="I40" i="20"/>
  <c r="E39" i="20"/>
  <c r="F39" i="20"/>
  <c r="G39" i="20"/>
  <c r="H39" i="20"/>
  <c r="J39" i="19"/>
  <c r="K39" i="19"/>
  <c r="L39" i="19"/>
  <c r="M39" i="19"/>
  <c r="N39" i="19"/>
  <c r="O39" i="19"/>
  <c r="P39" i="19"/>
  <c r="Q39" i="19"/>
  <c r="B39" i="19"/>
  <c r="I40" i="19"/>
  <c r="C39" i="19"/>
  <c r="D39" i="19"/>
  <c r="E39" i="19"/>
  <c r="F39" i="19"/>
  <c r="G39" i="19"/>
  <c r="H39" i="19"/>
  <c r="K39" i="18"/>
  <c r="L39" i="18"/>
  <c r="J39" i="18"/>
  <c r="M39" i="18"/>
  <c r="N39" i="18"/>
  <c r="O39" i="18"/>
  <c r="P39" i="18"/>
  <c r="Q39" i="18"/>
  <c r="B39" i="18"/>
  <c r="C39" i="18"/>
  <c r="D39" i="18"/>
  <c r="E39" i="18"/>
  <c r="F39" i="18"/>
  <c r="G39" i="18"/>
  <c r="H39" i="18"/>
  <c r="I39" i="18"/>
  <c r="L39" i="17"/>
  <c r="M39" i="17"/>
  <c r="N39" i="17"/>
  <c r="O39" i="17"/>
  <c r="P39" i="17"/>
  <c r="Q39" i="17"/>
  <c r="B39" i="17"/>
  <c r="C39" i="17"/>
  <c r="K39" i="17"/>
  <c r="D39" i="17"/>
  <c r="E39" i="17"/>
  <c r="F39" i="17"/>
  <c r="G39" i="17"/>
  <c r="H39" i="17"/>
  <c r="I39" i="17"/>
  <c r="J39" i="17"/>
  <c r="M39" i="16"/>
  <c r="N39" i="16"/>
  <c r="O39" i="16"/>
  <c r="P39" i="16"/>
  <c r="Q39" i="16"/>
  <c r="B39" i="16"/>
  <c r="C39" i="16"/>
  <c r="D39" i="16"/>
  <c r="E39" i="16"/>
  <c r="F39" i="16"/>
  <c r="G39" i="16"/>
  <c r="H39" i="16"/>
  <c r="I39" i="16"/>
  <c r="J39" i="16"/>
  <c r="K39" i="16"/>
  <c r="N39" i="15"/>
  <c r="O39" i="15"/>
  <c r="P39" i="15"/>
  <c r="Q39" i="15"/>
  <c r="B39" i="15"/>
  <c r="C39" i="15"/>
  <c r="D39" i="15"/>
  <c r="M39" i="15"/>
  <c r="E39" i="15"/>
  <c r="F39" i="15"/>
  <c r="G39" i="15"/>
  <c r="H39" i="15"/>
  <c r="I39" i="15"/>
  <c r="J39" i="15"/>
  <c r="K39" i="15"/>
  <c r="L39" i="15"/>
  <c r="M39" i="14"/>
  <c r="N39" i="14"/>
  <c r="O39" i="14"/>
  <c r="P39" i="14"/>
  <c r="Q39" i="14"/>
  <c r="B39" i="14"/>
  <c r="C39" i="14"/>
  <c r="D39" i="14"/>
  <c r="E39" i="14"/>
  <c r="F39" i="14"/>
  <c r="K40" i="14"/>
  <c r="G39" i="14"/>
  <c r="H39" i="14"/>
  <c r="I39" i="14"/>
  <c r="J39" i="14"/>
  <c r="L39" i="13"/>
  <c r="M39" i="13"/>
  <c r="N39" i="13"/>
  <c r="O39" i="13"/>
  <c r="Q39" i="13"/>
  <c r="B39" i="13"/>
  <c r="C39" i="13"/>
  <c r="D39" i="13"/>
  <c r="E39" i="13"/>
  <c r="P40" i="13"/>
  <c r="F39" i="13"/>
  <c r="G39" i="13"/>
  <c r="H39" i="13"/>
  <c r="I39" i="13"/>
  <c r="J39" i="13"/>
  <c r="L39" i="12"/>
  <c r="M39" i="12"/>
  <c r="N39" i="12"/>
  <c r="O39" i="12"/>
  <c r="J39" i="12"/>
  <c r="P39" i="12"/>
  <c r="Q39" i="12"/>
  <c r="B39" i="12"/>
  <c r="C39" i="12"/>
  <c r="D39" i="12"/>
  <c r="E39" i="12"/>
  <c r="F39" i="12"/>
  <c r="G39" i="12"/>
  <c r="H39" i="12"/>
  <c r="I39" i="12"/>
  <c r="L39" i="11"/>
  <c r="M39" i="11"/>
  <c r="N39" i="11"/>
  <c r="O39" i="11"/>
  <c r="P39" i="11"/>
  <c r="Q39" i="11"/>
  <c r="B39" i="11"/>
  <c r="K40" i="11"/>
  <c r="C39" i="11"/>
  <c r="J40" i="11"/>
  <c r="D39" i="11"/>
  <c r="E39" i="11"/>
  <c r="F39" i="11"/>
  <c r="G39" i="11"/>
  <c r="H39" i="11"/>
  <c r="I39" i="11"/>
  <c r="L39" i="10"/>
  <c r="M39" i="10"/>
  <c r="N39" i="10"/>
  <c r="O39" i="10"/>
  <c r="P39" i="10"/>
  <c r="Q39" i="10"/>
  <c r="B39" i="10"/>
  <c r="C39" i="10"/>
  <c r="D39" i="10"/>
  <c r="E39" i="10"/>
  <c r="F39" i="10"/>
  <c r="G39" i="10"/>
  <c r="H39" i="10"/>
  <c r="I39" i="10"/>
  <c r="J39" i="10"/>
  <c r="M39" i="9"/>
  <c r="N39" i="9"/>
  <c r="O39" i="9"/>
  <c r="P39" i="9"/>
  <c r="Q39" i="9"/>
  <c r="K40" i="9"/>
  <c r="B39" i="9"/>
  <c r="L39" i="9"/>
  <c r="C39" i="9"/>
  <c r="D39" i="9"/>
  <c r="E39" i="9"/>
  <c r="F39" i="9"/>
  <c r="G39" i="9"/>
  <c r="H39" i="9"/>
  <c r="I39" i="9"/>
  <c r="J39" i="9"/>
  <c r="M39" i="8"/>
  <c r="N39" i="8"/>
  <c r="O39" i="8"/>
  <c r="P39" i="8"/>
  <c r="Q39" i="8"/>
  <c r="B39" i="8"/>
  <c r="L40" i="8"/>
  <c r="C39" i="8"/>
  <c r="D39" i="8"/>
  <c r="E39" i="8"/>
  <c r="F39" i="8"/>
  <c r="G39" i="8"/>
  <c r="H39" i="8"/>
  <c r="I39" i="8"/>
  <c r="J39" i="8"/>
  <c r="K39" i="8"/>
  <c r="M40" i="3"/>
  <c r="G47" i="39"/>
  <c r="N39" i="3"/>
  <c r="O39" i="3"/>
  <c r="P39" i="3"/>
  <c r="B39" i="3"/>
  <c r="C39" i="3"/>
  <c r="Q40" i="3"/>
  <c r="D39" i="3"/>
  <c r="E39" i="3"/>
  <c r="L39" i="3"/>
  <c r="F39" i="3"/>
  <c r="G39" i="3"/>
  <c r="H39" i="3"/>
  <c r="I39" i="3"/>
  <c r="J39" i="3"/>
  <c r="K39" i="3"/>
  <c r="N44" i="39"/>
  <c r="N43" i="39"/>
  <c r="N42" i="39"/>
  <c r="N41" i="39"/>
  <c r="M44" i="39"/>
  <c r="M43" i="39"/>
  <c r="M42" i="39"/>
  <c r="M41" i="39"/>
  <c r="Q44" i="39"/>
  <c r="Q43" i="39"/>
  <c r="Q42" i="39"/>
  <c r="Q41" i="39"/>
  <c r="D45" i="39"/>
  <c r="D44" i="39"/>
  <c r="D43" i="39"/>
  <c r="D42" i="39"/>
  <c r="D41" i="39"/>
  <c r="E44" i="39"/>
  <c r="E43" i="39"/>
  <c r="E42" i="39"/>
  <c r="E41" i="39"/>
  <c r="O44" i="39"/>
  <c r="O43" i="39"/>
  <c r="O42" i="39"/>
  <c r="O41" i="39"/>
  <c r="F44" i="39"/>
  <c r="F43" i="39"/>
  <c r="F42" i="39"/>
  <c r="F41" i="39"/>
  <c r="B45" i="39"/>
  <c r="B44" i="39"/>
  <c r="B43" i="39"/>
  <c r="B42" i="39"/>
  <c r="B41" i="39"/>
  <c r="H44" i="39"/>
  <c r="H43" i="39"/>
  <c r="H42" i="39"/>
  <c r="H41" i="39"/>
  <c r="I44" i="39"/>
  <c r="I43" i="39"/>
  <c r="I42" i="39"/>
  <c r="I41" i="39"/>
  <c r="C45" i="39"/>
  <c r="C44" i="39"/>
  <c r="C43" i="39"/>
  <c r="C42" i="39"/>
  <c r="C41" i="39"/>
  <c r="J42" i="39"/>
  <c r="J43" i="39"/>
  <c r="J44" i="39"/>
  <c r="J41" i="39"/>
  <c r="K44" i="39"/>
  <c r="K43" i="39"/>
  <c r="K42" i="39"/>
  <c r="K41" i="39"/>
  <c r="P44" i="39"/>
  <c r="P43" i="39"/>
  <c r="P42" i="39"/>
  <c r="P41" i="39"/>
  <c r="L44" i="39"/>
  <c r="L43" i="39"/>
  <c r="L42" i="39"/>
  <c r="L41" i="39"/>
  <c r="N39" i="2"/>
  <c r="O39" i="2"/>
  <c r="P39" i="2"/>
  <c r="Q39" i="2"/>
  <c r="B39" i="2"/>
  <c r="G41" i="39"/>
  <c r="G42" i="39"/>
  <c r="G43" i="39"/>
  <c r="G44" i="39"/>
  <c r="C39" i="2"/>
  <c r="E39" i="2"/>
  <c r="D39" i="2"/>
  <c r="F39" i="2"/>
  <c r="G39" i="2"/>
  <c r="H39" i="2"/>
  <c r="I39" i="2"/>
  <c r="J39" i="2"/>
  <c r="K39" i="2"/>
  <c r="L39" i="2"/>
  <c r="M39" i="2"/>
  <c r="G46" i="39" l="1"/>
  <c r="I47" i="39"/>
  <c r="I46" i="39"/>
  <c r="Q47" i="39"/>
  <c r="Q46" i="39"/>
  <c r="J46" i="39"/>
  <c r="J47" i="39"/>
  <c r="H47" i="39"/>
  <c r="H46" i="39"/>
  <c r="L47" i="39"/>
  <c r="L46" i="39"/>
  <c r="M47" i="39"/>
  <c r="M46" i="39"/>
  <c r="O47" i="39"/>
  <c r="O46" i="39"/>
  <c r="E47" i="39"/>
  <c r="B47" i="39"/>
  <c r="B46" i="39"/>
  <c r="C47" i="39"/>
  <c r="C46" i="39"/>
  <c r="P47" i="39"/>
  <c r="P46" i="39"/>
  <c r="D47" i="39"/>
  <c r="D46" i="39"/>
  <c r="K47" i="39"/>
  <c r="K46" i="39"/>
  <c r="F47" i="39"/>
  <c r="F46" i="39"/>
  <c r="N47" i="39"/>
  <c r="N46" i="39"/>
</calcChain>
</file>

<file path=xl/sharedStrings.xml><?xml version="1.0" encoding="utf-8"?>
<sst xmlns="http://schemas.openxmlformats.org/spreadsheetml/2006/main" count="2901" uniqueCount="780">
  <si>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</si>
  <si>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</si>
  <si>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</si>
  <si>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</si>
  <si>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</si>
  <si>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</si>
  <si>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</si>
  <si>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</si>
  <si>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</si>
  <si>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</si>
  <si>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</si>
  <si>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</si>
  <si>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</si>
  <si>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</si>
  <si>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</si>
  <si>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</si>
  <si>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</si>
  <si>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</si>
  <si>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</si>
  <si>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</si>
  <si>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</si>
  <si>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</si>
  <si>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</si>
  <si>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</si>
  <si>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</si>
  <si>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</si>
  <si>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</si>
  <si>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</si>
  <si>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</si>
  <si>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</si>
  <si>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</si>
  <si>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</si>
  <si>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</si>
  <si>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</si>
  <si>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</si>
  <si>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</si>
  <si>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</si>
  <si>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</si>
  <si>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</si>
  <si>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</si>
  <si>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RAHUL</t>
  </si>
  <si>
    <t>RK</t>
  </si>
  <si>
    <t>ppb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</si>
  <si>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</si>
  <si>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</si>
  <si>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</si>
  <si>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</si>
  <si>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</si>
  <si>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</si>
  <si>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</si>
  <si>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</si>
  <si>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</si>
  <si>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</si>
  <si>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</si>
  <si>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</si>
  <si>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</si>
  <si>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</si>
  <si>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</si>
  <si>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</si>
  <si>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RAIPUR</t>
  </si>
  <si>
    <t>01/10/2024 01:00</t>
  </si>
  <si>
    <t>01/10/2024 02:00</t>
  </si>
  <si>
    <t>01/10/2024 03:00</t>
  </si>
  <si>
    <t>01/10/2024 04:00</t>
  </si>
  <si>
    <t>01/10/2024 05:00</t>
  </si>
  <si>
    <t>01/10/2024 06:00</t>
  </si>
  <si>
    <t>01/10/2024 07:00</t>
  </si>
  <si>
    <t>01/10/2024 08:00</t>
  </si>
  <si>
    <t>01/10/2024 09:00</t>
  </si>
  <si>
    <t>01/10/2024 10:00</t>
  </si>
  <si>
    <t>01/10/2024 11:00</t>
  </si>
  <si>
    <t>01/10/2024 12:00</t>
  </si>
  <si>
    <t>01/10/2024 13:00</t>
  </si>
  <si>
    <t>01/10/2024 14:00</t>
  </si>
  <si>
    <t>01/10/2024 15:00</t>
  </si>
  <si>
    <t>01/10/2024 16:00</t>
  </si>
  <si>
    <t>01/10/2024 17:00</t>
  </si>
  <si>
    <t>01/10/2024 18:00</t>
  </si>
  <si>
    <t>01/10/2024 19:00</t>
  </si>
  <si>
    <t>01/10/2024 20:00</t>
  </si>
  <si>
    <t>01/10/2024 21:00</t>
  </si>
  <si>
    <t>01/10/2024 22:00</t>
  </si>
  <si>
    <t>01/10/2024 23:00</t>
  </si>
  <si>
    <t>01/10/2024 24:00</t>
  </si>
  <si>
    <t>02/10/2024 01:00</t>
  </si>
  <si>
    <t>02/10/2024 02:00</t>
  </si>
  <si>
    <t>02/10/2024 03:00</t>
  </si>
  <si>
    <t>02/10/2024 04:00</t>
  </si>
  <si>
    <t>02/10/2024 05:00</t>
  </si>
  <si>
    <t>02/10/2024 06:00</t>
  </si>
  <si>
    <t>02/10/2024 07:00</t>
  </si>
  <si>
    <t>02/10/2024 08:00</t>
  </si>
  <si>
    <t>02/10/2024 09:00</t>
  </si>
  <si>
    <t>02/10/2024 10:00</t>
  </si>
  <si>
    <t>02/10/2024 11:00</t>
  </si>
  <si>
    <t>02/10/2024 12:00</t>
  </si>
  <si>
    <t>02/10/2024 13:00</t>
  </si>
  <si>
    <t>02/10/2024 14:00</t>
  </si>
  <si>
    <t>02/10/2024 15:00</t>
  </si>
  <si>
    <t>02/10/2024 16:00</t>
  </si>
  <si>
    <t>02/10/2024 17:00</t>
  </si>
  <si>
    <t>02/10/2024 18:00</t>
  </si>
  <si>
    <t>02/10/2024 19:00</t>
  </si>
  <si>
    <t>02/10/2024 20:00</t>
  </si>
  <si>
    <t>02/10/2024 21:00</t>
  </si>
  <si>
    <t>02/10/2024 22:00</t>
  </si>
  <si>
    <t>02/10/2024 23:00</t>
  </si>
  <si>
    <t>02/10/2024 24:00</t>
  </si>
  <si>
    <t>03/10/2024 01:00</t>
  </si>
  <si>
    <t>03/10/2024 02:00</t>
  </si>
  <si>
    <t>03/10/2024 03:00</t>
  </si>
  <si>
    <t>03/10/2024 04:00</t>
  </si>
  <si>
    <t>03/10/2024 05:00</t>
  </si>
  <si>
    <t>03/10/2024 06:00</t>
  </si>
  <si>
    <t>03/10/2024 07:00</t>
  </si>
  <si>
    <t>03/10/2024 08:00</t>
  </si>
  <si>
    <t>03/10/2024 09:00</t>
  </si>
  <si>
    <t>03/10/2024 10:00</t>
  </si>
  <si>
    <t>03/10/2024 11:00</t>
  </si>
  <si>
    <t>03/10/2024 12:00</t>
  </si>
  <si>
    <t>03/10/2024 13:00</t>
  </si>
  <si>
    <t>03/10/2024 14:00</t>
  </si>
  <si>
    <t>03/10/2024 15:00</t>
  </si>
  <si>
    <t>03/10/2024 16:00</t>
  </si>
  <si>
    <t>03/10/2024 17:00</t>
  </si>
  <si>
    <t>03/10/2024 18:00</t>
  </si>
  <si>
    <t>03/10/2024 19:00</t>
  </si>
  <si>
    <t>03/10/2024 20:00</t>
  </si>
  <si>
    <t>03/10/2024 21:00</t>
  </si>
  <si>
    <t>03/10/2024 22:00</t>
  </si>
  <si>
    <t>03/10/2024 23:00</t>
  </si>
  <si>
    <t>03/10/2024 24:00</t>
  </si>
  <si>
    <t>04/10/2024 01:00</t>
  </si>
  <si>
    <t>04/10/2024 02:00</t>
  </si>
  <si>
    <t>04/10/2024 03:00</t>
  </si>
  <si>
    <t>04/10/2024 04:00</t>
  </si>
  <si>
    <t>04/10/2024 05:00</t>
  </si>
  <si>
    <t>04/10/2024 06:00</t>
  </si>
  <si>
    <t>04/10/2024 07:00</t>
  </si>
  <si>
    <t>04/10/2024 08:00</t>
  </si>
  <si>
    <t>04/10/2024 09:00</t>
  </si>
  <si>
    <t>04/10/2024 10:00</t>
  </si>
  <si>
    <t>04/10/2024 11:00</t>
  </si>
  <si>
    <t>04/10/2024 12:00</t>
  </si>
  <si>
    <t>04/10/2024 13:00</t>
  </si>
  <si>
    <t>04/10/2024 14:00</t>
  </si>
  <si>
    <t>04/10/2024 15:00</t>
  </si>
  <si>
    <t>04/10/2024 16:00</t>
  </si>
  <si>
    <t>04/10/2024 17:00</t>
  </si>
  <si>
    <t>04/10/2024 18:00</t>
  </si>
  <si>
    <t>04/10/2024 19:00</t>
  </si>
  <si>
    <t>04/10/2024 20:00</t>
  </si>
  <si>
    <t>04/10/2024 21:00</t>
  </si>
  <si>
    <t>04/10/2024 22:00</t>
  </si>
  <si>
    <t>04/10/2024 23:00</t>
  </si>
  <si>
    <t>04/10/2024 24:00</t>
  </si>
  <si>
    <t>05/10/2024 01:00</t>
  </si>
  <si>
    <t>05/10/2024 02:00</t>
  </si>
  <si>
    <t>05/10/2024 03:00</t>
  </si>
  <si>
    <t>05/10/2024 04:00</t>
  </si>
  <si>
    <t>05/10/2024 05:00</t>
  </si>
  <si>
    <t>05/10/2024 06:00</t>
  </si>
  <si>
    <t>05/10/2024 07:00</t>
  </si>
  <si>
    <t>05/10/2024 08:00</t>
  </si>
  <si>
    <t>05/10/2024 09:00</t>
  </si>
  <si>
    <t>05/10/2024 10:00</t>
  </si>
  <si>
    <t>05/10/2024 11:00</t>
  </si>
  <si>
    <t>05/10/2024 12:00</t>
  </si>
  <si>
    <t>05/10/2024 13:00</t>
  </si>
  <si>
    <t>05/10/2024 14:00</t>
  </si>
  <si>
    <t>05/10/2024 15:00</t>
  </si>
  <si>
    <t>05/10/2024 16:00</t>
  </si>
  <si>
    <t>05/10/2024 17:00</t>
  </si>
  <si>
    <t>05/10/2024 18:00</t>
  </si>
  <si>
    <t>05/10/2024 19:00</t>
  </si>
  <si>
    <t>05/10/2024 20:00</t>
  </si>
  <si>
    <t>05/10/2024 21:00</t>
  </si>
  <si>
    <t>05/10/2024 22:00</t>
  </si>
  <si>
    <t>05/10/2024 23:00</t>
  </si>
  <si>
    <t>05/10/2024 24:00</t>
  </si>
  <si>
    <t>06/10/2024 01:00</t>
  </si>
  <si>
    <t>06/10/2024 02:00</t>
  </si>
  <si>
    <t>06/10/2024 03:00</t>
  </si>
  <si>
    <t>06/10/2024 04:00</t>
  </si>
  <si>
    <t>06/10/2024 05:00</t>
  </si>
  <si>
    <t>06/10/2024 06:00</t>
  </si>
  <si>
    <t>06/10/2024 07:00</t>
  </si>
  <si>
    <t>06/10/2024 08:00</t>
  </si>
  <si>
    <t>06/10/2024 09:00</t>
  </si>
  <si>
    <t>06/10/2024 10:00</t>
  </si>
  <si>
    <t>06/10/2024 11:00</t>
  </si>
  <si>
    <t>06/10/2024 12:00</t>
  </si>
  <si>
    <t>06/10/2024 13:00</t>
  </si>
  <si>
    <t>06/10/2024 14:00</t>
  </si>
  <si>
    <t>06/10/2024 15:00</t>
  </si>
  <si>
    <t>06/10/2024 16:00</t>
  </si>
  <si>
    <t>06/10/2024 17:00</t>
  </si>
  <si>
    <t>06/10/2024 18:00</t>
  </si>
  <si>
    <t>06/10/2024 19:00</t>
  </si>
  <si>
    <t>06/10/2024 20:00</t>
  </si>
  <si>
    <t>06/10/2024 21:00</t>
  </si>
  <si>
    <t>06/10/2024 22:00</t>
  </si>
  <si>
    <t>06/10/2024 23:00</t>
  </si>
  <si>
    <t>06/10/2024 24:00</t>
  </si>
  <si>
    <t>07/10/2024 01:00</t>
  </si>
  <si>
    <t>07/10/2024 02:00</t>
  </si>
  <si>
    <t>07/10/2024 03:00</t>
  </si>
  <si>
    <t>07/10/2024 04:00</t>
  </si>
  <si>
    <t>07/10/2024 05:00</t>
  </si>
  <si>
    <t>07/10/2024 06:00</t>
  </si>
  <si>
    <t>07/10/2024 07:00</t>
  </si>
  <si>
    <t>07/10/2024 08:00</t>
  </si>
  <si>
    <t>07/10/2024 09:00</t>
  </si>
  <si>
    <t>07/10/2024 10:00</t>
  </si>
  <si>
    <t>07/10/2024 11:00</t>
  </si>
  <si>
    <t>07/10/2024 12:00</t>
  </si>
  <si>
    <t>07/10/2024 13:00</t>
  </si>
  <si>
    <t>07/10/2024 14:00</t>
  </si>
  <si>
    <t>07/10/2024 15:00</t>
  </si>
  <si>
    <t>07/10/2024 16:00</t>
  </si>
  <si>
    <t>07/10/2024 17:00</t>
  </si>
  <si>
    <t>07/10/2024 18:00</t>
  </si>
  <si>
    <t>07/10/2024 19:00</t>
  </si>
  <si>
    <t>07/10/2024 20:00</t>
  </si>
  <si>
    <t>07/10/2024 21:00</t>
  </si>
  <si>
    <t>07/10/2024 22:00</t>
  </si>
  <si>
    <t>07/10/2024 23:00</t>
  </si>
  <si>
    <t>07/10/2024 24:00</t>
  </si>
  <si>
    <t>08/10/2024 01:00</t>
  </si>
  <si>
    <t>08/10/2024 02:00</t>
  </si>
  <si>
    <t>08/10/2024 03:00</t>
  </si>
  <si>
    <t>08/10/2024 04:00</t>
  </si>
  <si>
    <t>08/10/2024 05:00</t>
  </si>
  <si>
    <t>08/10/2024 06:00</t>
  </si>
  <si>
    <t>08/10/2024 07:00</t>
  </si>
  <si>
    <t>08/10/2024 08:00</t>
  </si>
  <si>
    <t>08/10/2024 09:00</t>
  </si>
  <si>
    <t>08/10/2024 10:00</t>
  </si>
  <si>
    <t>08/10/2024 11:00</t>
  </si>
  <si>
    <t>08/10/2024 12:00</t>
  </si>
  <si>
    <t>08/10/2024 13:00</t>
  </si>
  <si>
    <t>08/10/2024 14:00</t>
  </si>
  <si>
    <t>08/10/2024 15:00</t>
  </si>
  <si>
    <t>08/10/2024 16:00</t>
  </si>
  <si>
    <t>08/10/2024 17:00</t>
  </si>
  <si>
    <t>08/10/2024 18:00</t>
  </si>
  <si>
    <t>08/10/2024 19:00</t>
  </si>
  <si>
    <t>08/10/2024 20:00</t>
  </si>
  <si>
    <t>08/10/2024 21:00</t>
  </si>
  <si>
    <t>08/10/2024 22:00</t>
  </si>
  <si>
    <t>08/10/2024 23:00</t>
  </si>
  <si>
    <t>08/10/2024 24:00</t>
  </si>
  <si>
    <t>09/10/2024 01:00</t>
  </si>
  <si>
    <t>09/10/2024 02:00</t>
  </si>
  <si>
    <t>09/10/2024 03:00</t>
  </si>
  <si>
    <t>09/10/2024 04:00</t>
  </si>
  <si>
    <t>09/10/2024 05:00</t>
  </si>
  <si>
    <t>09/10/2024 06:00</t>
  </si>
  <si>
    <t>09/10/2024 07:00</t>
  </si>
  <si>
    <t>09/10/2024 08:00</t>
  </si>
  <si>
    <t>09/10/2024 09:00</t>
  </si>
  <si>
    <t>09/10/2024 10:00</t>
  </si>
  <si>
    <t>09/10/2024 11:00</t>
  </si>
  <si>
    <t>09/10/2024 12:00</t>
  </si>
  <si>
    <t>09/10/2024 13:00</t>
  </si>
  <si>
    <t>09/10/2024 14:00</t>
  </si>
  <si>
    <t>09/10/2024 15:00</t>
  </si>
  <si>
    <t>09/10/2024 16:00</t>
  </si>
  <si>
    <t>09/10/2024 17:00</t>
  </si>
  <si>
    <t>09/10/2024 18:00</t>
  </si>
  <si>
    <t>09/10/2024 19:00</t>
  </si>
  <si>
    <t>09/10/2024 20:00</t>
  </si>
  <si>
    <t>09/10/2024 21:00</t>
  </si>
  <si>
    <t>09/10/2024 22:00</t>
  </si>
  <si>
    <t>09/10/2024 23:00</t>
  </si>
  <si>
    <t>09/10/2024 24:00</t>
  </si>
  <si>
    <t>10/10/2024 01:00</t>
  </si>
  <si>
    <t>10/10/2024 02:00</t>
  </si>
  <si>
    <t>10/10/2024 03:00</t>
  </si>
  <si>
    <t>10/10/2024 04:00</t>
  </si>
  <si>
    <t>10/10/2024 05:00</t>
  </si>
  <si>
    <t>10/10/2024 06:00</t>
  </si>
  <si>
    <t>10/10/2024 07:00</t>
  </si>
  <si>
    <t>10/10/2024 08:00</t>
  </si>
  <si>
    <t>10/10/2024 09:00</t>
  </si>
  <si>
    <t>10/10/2024 10:00</t>
  </si>
  <si>
    <t>10/10/2024 11:00</t>
  </si>
  <si>
    <t>10/10/2024 12:00</t>
  </si>
  <si>
    <t>10/10/2024 13:00</t>
  </si>
  <si>
    <t>10/10/2024 14:00</t>
  </si>
  <si>
    <t>10/10/2024 15:00</t>
  </si>
  <si>
    <t>10/10/2024 16:00</t>
  </si>
  <si>
    <t>10/10/2024 17:00</t>
  </si>
  <si>
    <t>10/10/2024 18:00</t>
  </si>
  <si>
    <t>10/10/2024 19:00</t>
  </si>
  <si>
    <t>10/10/2024 20:00</t>
  </si>
  <si>
    <t>10/10/2024 21:00</t>
  </si>
  <si>
    <t>10/10/2024 22:00</t>
  </si>
  <si>
    <t>10/10/2024 23:00</t>
  </si>
  <si>
    <t>10/10/2024 24:00</t>
  </si>
  <si>
    <t>11/10/2024 01:00</t>
  </si>
  <si>
    <t>11/10/2024 02:00</t>
  </si>
  <si>
    <t>11/10/2024 03:00</t>
  </si>
  <si>
    <t>11/10/2024 04:00</t>
  </si>
  <si>
    <t>11/10/2024 05:00</t>
  </si>
  <si>
    <t>11/10/2024 06:00</t>
  </si>
  <si>
    <t>11/10/2024 07:00</t>
  </si>
  <si>
    <t>11/10/2024 08:00</t>
  </si>
  <si>
    <t>11/10/2024 09:00</t>
  </si>
  <si>
    <t>11/10/2024 10:00</t>
  </si>
  <si>
    <t>11/10/2024 11:00</t>
  </si>
  <si>
    <t>11/10/2024 12:00</t>
  </si>
  <si>
    <t>11/10/2024 13:00</t>
  </si>
  <si>
    <t>11/10/2024 14:00</t>
  </si>
  <si>
    <t>11/10/2024 15:00</t>
  </si>
  <si>
    <t>11/10/2024 16:00</t>
  </si>
  <si>
    <t>11/10/2024 17:00</t>
  </si>
  <si>
    <t>11/10/2024 18:00</t>
  </si>
  <si>
    <t>11/10/2024 19:00</t>
  </si>
  <si>
    <t>11/10/2024 20:00</t>
  </si>
  <si>
    <t>11/10/2024 21:00</t>
  </si>
  <si>
    <t>11/10/2024 22:00</t>
  </si>
  <si>
    <t>11/10/2024 23:00</t>
  </si>
  <si>
    <t>11/10/2024 24:00</t>
  </si>
  <si>
    <t>12/10/2024 01:00</t>
  </si>
  <si>
    <t>12/10/2024 02:00</t>
  </si>
  <si>
    <t>12/10/2024 03:00</t>
  </si>
  <si>
    <t>12/10/2024 04:00</t>
  </si>
  <si>
    <t>12/10/2024 05:00</t>
  </si>
  <si>
    <t>12/10/2024 06:00</t>
  </si>
  <si>
    <t>12/10/2024 07:00</t>
  </si>
  <si>
    <t>12/10/2024 08:00</t>
  </si>
  <si>
    <t>12/10/2024 09:00</t>
  </si>
  <si>
    <t>12/10/2024 10:00</t>
  </si>
  <si>
    <t>12/10/2024 11:00</t>
  </si>
  <si>
    <t>12/10/2024 12:00</t>
  </si>
  <si>
    <t>12/10/2024 13:00</t>
  </si>
  <si>
    <t>12/10/2024 14:00</t>
  </si>
  <si>
    <t>12/10/2024 15:00</t>
  </si>
  <si>
    <t>12/10/2024 16:00</t>
  </si>
  <si>
    <t>12/10/2024 17:00</t>
  </si>
  <si>
    <t>12/10/2024 18:00</t>
  </si>
  <si>
    <t>12/10/2024 19:00</t>
  </si>
  <si>
    <t>12/10/2024 20:00</t>
  </si>
  <si>
    <t>12/10/2024 21:00</t>
  </si>
  <si>
    <t>12/10/2024 22:00</t>
  </si>
  <si>
    <t>12/10/2024 23:00</t>
  </si>
  <si>
    <t>12/10/2024 24:00</t>
  </si>
  <si>
    <t>13/10/2024 01:00</t>
  </si>
  <si>
    <t>13/10/2024 02:00</t>
  </si>
  <si>
    <t>13/10/2024 03:00</t>
  </si>
  <si>
    <t>13/10/2024 04:00</t>
  </si>
  <si>
    <t>13/10/2024 05:00</t>
  </si>
  <si>
    <t>13/10/2024 06:00</t>
  </si>
  <si>
    <t>13/10/2024 07:00</t>
  </si>
  <si>
    <t>13/10/2024 08:00</t>
  </si>
  <si>
    <t>13/10/2024 09:00</t>
  </si>
  <si>
    <t>13/10/2024 10:00</t>
  </si>
  <si>
    <t>13/10/2024 11:00</t>
  </si>
  <si>
    <t>13/10/2024 12:00</t>
  </si>
  <si>
    <t>13/10/2024 13:00</t>
  </si>
  <si>
    <t>13/10/2024 14:00</t>
  </si>
  <si>
    <t>13/10/2024 15:00</t>
  </si>
  <si>
    <t>13/10/2024 16:00</t>
  </si>
  <si>
    <t>13/10/2024 17:00</t>
  </si>
  <si>
    <t>13/10/2024 18:00</t>
  </si>
  <si>
    <t>13/10/2024 19:00</t>
  </si>
  <si>
    <t>13/10/2024 20:00</t>
  </si>
  <si>
    <t>13/10/2024 21:00</t>
  </si>
  <si>
    <t>13/10/2024 22:00</t>
  </si>
  <si>
    <t>13/10/2024 23:00</t>
  </si>
  <si>
    <t>13/10/2024 24:00</t>
  </si>
  <si>
    <t>14/10/2024 01:00</t>
  </si>
  <si>
    <t>14/10/2024 02:00</t>
  </si>
  <si>
    <t>14/10/2024 03:00</t>
  </si>
  <si>
    <t>14/10/2024 04:00</t>
  </si>
  <si>
    <t>14/10/2024 05:00</t>
  </si>
  <si>
    <t>14/10/2024 06:00</t>
  </si>
  <si>
    <t>14/10/2024 07:00</t>
  </si>
  <si>
    <t>14/10/2024 08:00</t>
  </si>
  <si>
    <t>14/10/2024 09:00</t>
  </si>
  <si>
    <t>14/10/2024 10:00</t>
  </si>
  <si>
    <t>14/10/2024 11:00</t>
  </si>
  <si>
    <t>14/10/2024 12:00</t>
  </si>
  <si>
    <t>14/10/2024 13:00</t>
  </si>
  <si>
    <t>14/10/2024 14:00</t>
  </si>
  <si>
    <t>14/10/2024 15:00</t>
  </si>
  <si>
    <t>14/10/2024 16:00</t>
  </si>
  <si>
    <t>14/10/2024 17:00</t>
  </si>
  <si>
    <t>14/10/2024 18:00</t>
  </si>
  <si>
    <t>14/10/2024 19:00</t>
  </si>
  <si>
    <t>14/10/2024 20:00</t>
  </si>
  <si>
    <t>14/10/2024 21:00</t>
  </si>
  <si>
    <t>14/10/2024 22:00</t>
  </si>
  <si>
    <t>14/10/2024 23:00</t>
  </si>
  <si>
    <t>14/10/2024 24:00</t>
  </si>
  <si>
    <t>15/10/2024 01:00</t>
  </si>
  <si>
    <t>15/10/2024 02:00</t>
  </si>
  <si>
    <t>15/10/2024 03:00</t>
  </si>
  <si>
    <t>15/10/2024 04:00</t>
  </si>
  <si>
    <t>15/10/2024 05:00</t>
  </si>
  <si>
    <t>15/10/2024 06:00</t>
  </si>
  <si>
    <t>15/10/2024 07:00</t>
  </si>
  <si>
    <t>15/10/2024 08:00</t>
  </si>
  <si>
    <t>15/10/2024 09:00</t>
  </si>
  <si>
    <t>15/10/2024 10:00</t>
  </si>
  <si>
    <t>15/10/2024 11:00</t>
  </si>
  <si>
    <t>15/10/2024 12:00</t>
  </si>
  <si>
    <t>15/10/2024 13:00</t>
  </si>
  <si>
    <t>15/10/2024 14:00</t>
  </si>
  <si>
    <t>15/10/2024 15:00</t>
  </si>
  <si>
    <t>15/10/2024 16:00</t>
  </si>
  <si>
    <t>15/10/2024 17:00</t>
  </si>
  <si>
    <t>15/10/2024 18:00</t>
  </si>
  <si>
    <t>15/10/2024 19:00</t>
  </si>
  <si>
    <t>15/10/2024 20:00</t>
  </si>
  <si>
    <t>15/10/2024 21:00</t>
  </si>
  <si>
    <t>15/10/2024 22:00</t>
  </si>
  <si>
    <t>15/10/2024 23:00</t>
  </si>
  <si>
    <t>15/10/2024 24:00</t>
  </si>
  <si>
    <t>16/10/2024 01:00</t>
  </si>
  <si>
    <t>16/10/2024 02:00</t>
  </si>
  <si>
    <t>16/10/2024 03:00</t>
  </si>
  <si>
    <t>16/10/2024 04:00</t>
  </si>
  <si>
    <t>16/10/2024 05:00</t>
  </si>
  <si>
    <t>16/10/2024 06:00</t>
  </si>
  <si>
    <t>16/10/2024 07:00</t>
  </si>
  <si>
    <t>16/10/2024 08:00</t>
  </si>
  <si>
    <t>16/10/2024 09:00</t>
  </si>
  <si>
    <t>16/10/2024 10:00</t>
  </si>
  <si>
    <t>16/10/2024 11:00</t>
  </si>
  <si>
    <t>16/10/2024 12:00</t>
  </si>
  <si>
    <t>16/10/2024 13:00</t>
  </si>
  <si>
    <t>16/10/2024 14:00</t>
  </si>
  <si>
    <t>16/10/2024 15:00</t>
  </si>
  <si>
    <t>16/10/2024 16:00</t>
  </si>
  <si>
    <t>16/10/2024 17:00</t>
  </si>
  <si>
    <t>16/10/2024 18:00</t>
  </si>
  <si>
    <t>16/10/2024 19:00</t>
  </si>
  <si>
    <t>16/10/2024 20:00</t>
  </si>
  <si>
    <t>16/10/2024 21:00</t>
  </si>
  <si>
    <t>16/10/2024 22:00</t>
  </si>
  <si>
    <t>16/10/2024 23:00</t>
  </si>
  <si>
    <t>16/10/2024 24:00</t>
  </si>
  <si>
    <t>17/10/2024 01:00</t>
  </si>
  <si>
    <t>17/10/2024 02:00</t>
  </si>
  <si>
    <t>17/10/2024 03:00</t>
  </si>
  <si>
    <t>17/10/2024 04:00</t>
  </si>
  <si>
    <t>17/10/2024 05:00</t>
  </si>
  <si>
    <t>17/10/2024 06:00</t>
  </si>
  <si>
    <t>17/10/2024 07:00</t>
  </si>
  <si>
    <t>17/10/2024 08:00</t>
  </si>
  <si>
    <t>17/10/2024 09:00</t>
  </si>
  <si>
    <t>17/10/2024 10:00</t>
  </si>
  <si>
    <t>17/10/2024 11:00</t>
  </si>
  <si>
    <t>17/10/2024 12:00</t>
  </si>
  <si>
    <t>17/10/2024 13:00</t>
  </si>
  <si>
    <t>17/10/2024 14:00</t>
  </si>
  <si>
    <t>17/10/2024 15:00</t>
  </si>
  <si>
    <t>17/10/2024 16:00</t>
  </si>
  <si>
    <t>17/10/2024 17:00</t>
  </si>
  <si>
    <t>17/10/2024 18:00</t>
  </si>
  <si>
    <t>17/10/2024 19:00</t>
  </si>
  <si>
    <t>17/10/2024 20:00</t>
  </si>
  <si>
    <t>17/10/2024 21:00</t>
  </si>
  <si>
    <t>17/10/2024 22:00</t>
  </si>
  <si>
    <t>17/10/2024 23:00</t>
  </si>
  <si>
    <t>17/10/2024 24:00</t>
  </si>
  <si>
    <t>18/10/2024 01:00</t>
  </si>
  <si>
    <t>18/10/2024 02:00</t>
  </si>
  <si>
    <t>18/10/2024 03:00</t>
  </si>
  <si>
    <t>18/10/2024 04:00</t>
  </si>
  <si>
    <t>18/10/2024 05:00</t>
  </si>
  <si>
    <t>18/10/2024 06:00</t>
  </si>
  <si>
    <t>18/10/2024 07:00</t>
  </si>
  <si>
    <t>18/10/2024 08:00</t>
  </si>
  <si>
    <t>18/10/2024 09:00</t>
  </si>
  <si>
    <t>18/10/2024 10:00</t>
  </si>
  <si>
    <t>18/10/2024 11:00</t>
  </si>
  <si>
    <t>18/10/2024 12:00</t>
  </si>
  <si>
    <t>18/10/2024 13:00</t>
  </si>
  <si>
    <t>18/10/2024 14:00</t>
  </si>
  <si>
    <t>18/10/2024 15:00</t>
  </si>
  <si>
    <t>18/10/2024 16:00</t>
  </si>
  <si>
    <t>18/10/2024 17:00</t>
  </si>
  <si>
    <t>18/10/2024 18:00</t>
  </si>
  <si>
    <t>18/10/2024 19:00</t>
  </si>
  <si>
    <t>18/10/2024 20:00</t>
  </si>
  <si>
    <t>18/10/2024 21:00</t>
  </si>
  <si>
    <t>18/10/2024 22:00</t>
  </si>
  <si>
    <t>18/10/2024 23:00</t>
  </si>
  <si>
    <t>18/10/2024 24:00</t>
  </si>
  <si>
    <t>19/10/2024 01:00</t>
  </si>
  <si>
    <t>19/10/2024 02:00</t>
  </si>
  <si>
    <t>19/10/2024 03:00</t>
  </si>
  <si>
    <t>19/10/2024 04:00</t>
  </si>
  <si>
    <t>19/10/2024 05:00</t>
  </si>
  <si>
    <t>19/10/2024 06:00</t>
  </si>
  <si>
    <t>19/10/2024 07:00</t>
  </si>
  <si>
    <t>19/10/2024 08:00</t>
  </si>
  <si>
    <t>19/10/2024 09:00</t>
  </si>
  <si>
    <t>19/10/2024 10:00</t>
  </si>
  <si>
    <t>19/10/2024 11:00</t>
  </si>
  <si>
    <t>19/10/2024 12:00</t>
  </si>
  <si>
    <t>19/10/2024 13:00</t>
  </si>
  <si>
    <t>19/10/2024 14:00</t>
  </si>
  <si>
    <t>19/10/2024 15:00</t>
  </si>
  <si>
    <t>19/10/2024 16:00</t>
  </si>
  <si>
    <t>19/10/2024 17:00</t>
  </si>
  <si>
    <t>19/10/2024 18:00</t>
  </si>
  <si>
    <t>19/10/2024 19:00</t>
  </si>
  <si>
    <t>19/10/2024 20:00</t>
  </si>
  <si>
    <t>19/10/2024 21:00</t>
  </si>
  <si>
    <t>19/10/2024 22:00</t>
  </si>
  <si>
    <t>19/10/2024 23:00</t>
  </si>
  <si>
    <t>19/10/2024 24:00</t>
  </si>
  <si>
    <t>20/10/2024 01:00</t>
  </si>
  <si>
    <t>20/10/2024 02:00</t>
  </si>
  <si>
    <t>20/10/2024 03:00</t>
  </si>
  <si>
    <t>20/10/2024 04:00</t>
  </si>
  <si>
    <t>20/10/2024 05:00</t>
  </si>
  <si>
    <t>20/10/2024 06:00</t>
  </si>
  <si>
    <t>20/10/2024 07:00</t>
  </si>
  <si>
    <t>20/10/2024 08:00</t>
  </si>
  <si>
    <t>20/10/2024 09:00</t>
  </si>
  <si>
    <t>20/10/2024 10:00</t>
  </si>
  <si>
    <t>20/10/2024 11:00</t>
  </si>
  <si>
    <t>20/10/2024 12:00</t>
  </si>
  <si>
    <t>20/10/2024 13:00</t>
  </si>
  <si>
    <t>20/10/2024 14:00</t>
  </si>
  <si>
    <t>20/10/2024 15:00</t>
  </si>
  <si>
    <t>20/10/2024 16:00</t>
  </si>
  <si>
    <t>20/10/2024 17:00</t>
  </si>
  <si>
    <t>20/10/2024 18:00</t>
  </si>
  <si>
    <t>20/10/2024 19:00</t>
  </si>
  <si>
    <t>20/10/2024 20:00</t>
  </si>
  <si>
    <t>20/10/2024 21:00</t>
  </si>
  <si>
    <t>20/10/2024 22:00</t>
  </si>
  <si>
    <t>20/10/2024 23:00</t>
  </si>
  <si>
    <t>20/10/2024 24:00</t>
  </si>
  <si>
    <t>21/10/2024 01:00</t>
  </si>
  <si>
    <t>21/10/2024 02:00</t>
  </si>
  <si>
    <t>21/10/2024 03:00</t>
  </si>
  <si>
    <t>21/10/2024 04:00</t>
  </si>
  <si>
    <t>21/10/2024 05:00</t>
  </si>
  <si>
    <t>21/10/2024 06:00</t>
  </si>
  <si>
    <t>21/10/2024 07:00</t>
  </si>
  <si>
    <t>21/10/2024 08:00</t>
  </si>
  <si>
    <t>21/10/2024 09:00</t>
  </si>
  <si>
    <t>21/10/2024 10:00</t>
  </si>
  <si>
    <t>21/10/2024 11:00</t>
  </si>
  <si>
    <t>21/10/2024 12:00</t>
  </si>
  <si>
    <t>21/10/2024 13:00</t>
  </si>
  <si>
    <t>21/10/2024 14:00</t>
  </si>
  <si>
    <t>21/10/2024 15:00</t>
  </si>
  <si>
    <t>21/10/2024 16:00</t>
  </si>
  <si>
    <t>21/10/2024 17:00</t>
  </si>
  <si>
    <t>21/10/2024 18:00</t>
  </si>
  <si>
    <t>21/10/2024 19:00</t>
  </si>
  <si>
    <t>21/10/2024 20:00</t>
  </si>
  <si>
    <t>21/10/2024 21:00</t>
  </si>
  <si>
    <t>21/10/2024 22:00</t>
  </si>
  <si>
    <t>21/10/2024 23:00</t>
  </si>
  <si>
    <t>21/10/2024 24:00</t>
  </si>
  <si>
    <t>22/10/2024 01:00</t>
  </si>
  <si>
    <t>22/10/2024 02:00</t>
  </si>
  <si>
    <t>22/10/2024 03:00</t>
  </si>
  <si>
    <t>22/10/2024 04:00</t>
  </si>
  <si>
    <t>22/10/2024 05:00</t>
  </si>
  <si>
    <t>22/10/2024 06:00</t>
  </si>
  <si>
    <t>22/10/2024 07:00</t>
  </si>
  <si>
    <t>22/10/2024 08:00</t>
  </si>
  <si>
    <t>22/10/2024 09:00</t>
  </si>
  <si>
    <t>22/10/2024 10:00</t>
  </si>
  <si>
    <t>22/10/2024 11:00</t>
  </si>
  <si>
    <t>22/10/2024 12:00</t>
  </si>
  <si>
    <t>22/10/2024 13:00</t>
  </si>
  <si>
    <t>22/10/2024 14:00</t>
  </si>
  <si>
    <t>22/10/2024 15:00</t>
  </si>
  <si>
    <t>22/10/2024 16:00</t>
  </si>
  <si>
    <t>22/10/2024 17:00</t>
  </si>
  <si>
    <t>22/10/2024 18:00</t>
  </si>
  <si>
    <t>22/10/2024 19:00</t>
  </si>
  <si>
    <t>22/10/2024 20:00</t>
  </si>
  <si>
    <t>22/10/2024 21:00</t>
  </si>
  <si>
    <t>22/10/2024 22:00</t>
  </si>
  <si>
    <t>22/10/2024 23:00</t>
  </si>
  <si>
    <t>22/10/2024 24:00</t>
  </si>
  <si>
    <t>23/10/2024 01:00</t>
  </si>
  <si>
    <t>23/10/2024 02:00</t>
  </si>
  <si>
    <t>23/10/2024 03:00</t>
  </si>
  <si>
    <t>23/10/2024 04:00</t>
  </si>
  <si>
    <t>23/10/2024 05:00</t>
  </si>
  <si>
    <t>23/10/2024 06:00</t>
  </si>
  <si>
    <t>23/10/2024 07:00</t>
  </si>
  <si>
    <t>23/10/2024 08:00</t>
  </si>
  <si>
    <t>23/10/2024 09:00</t>
  </si>
  <si>
    <t>23/10/2024 10:00</t>
  </si>
  <si>
    <t>23/10/2024 11:00</t>
  </si>
  <si>
    <t>23/10/2024 12:00</t>
  </si>
  <si>
    <t>23/10/2024 13:00</t>
  </si>
  <si>
    <t>23/10/2024 14:00</t>
  </si>
  <si>
    <t>23/10/2024 15:00</t>
  </si>
  <si>
    <t>23/10/2024 16:00</t>
  </si>
  <si>
    <t>23/10/2024 17:00</t>
  </si>
  <si>
    <t>23/10/2024 18:00</t>
  </si>
  <si>
    <t>23/10/2024 19:00</t>
  </si>
  <si>
    <t>23/10/2024 20:00</t>
  </si>
  <si>
    <t>23/10/2024 21:00</t>
  </si>
  <si>
    <t>23/10/2024 22:00</t>
  </si>
  <si>
    <t>23/10/2024 23:00</t>
  </si>
  <si>
    <t>23/10/2024 24:00</t>
  </si>
  <si>
    <t>24/10/2024 01:00</t>
  </si>
  <si>
    <t>24/10/2024 02:00</t>
  </si>
  <si>
    <t>24/10/2024 03:00</t>
  </si>
  <si>
    <t>24/10/2024 04:00</t>
  </si>
  <si>
    <t>24/10/2024 05:00</t>
  </si>
  <si>
    <t>24/10/2024 06:00</t>
  </si>
  <si>
    <t>24/10/2024 07:00</t>
  </si>
  <si>
    <t>24/10/2024 08:00</t>
  </si>
  <si>
    <t>24/10/2024 09:00</t>
  </si>
  <si>
    <t>24/10/2024 10:00</t>
  </si>
  <si>
    <t>24/10/2024 11:00</t>
  </si>
  <si>
    <t>24/10/2024 12:00</t>
  </si>
  <si>
    <t>24/10/2024 13:00</t>
  </si>
  <si>
    <t>24/10/2024 14:00</t>
  </si>
  <si>
    <t>24/10/2024 15:00</t>
  </si>
  <si>
    <t>24/10/2024 16:00</t>
  </si>
  <si>
    <t>24/10/2024 17:00</t>
  </si>
  <si>
    <t>24/10/2024 18:00</t>
  </si>
  <si>
    <t>24/10/2024 19:00</t>
  </si>
  <si>
    <t>24/10/2024 20:00</t>
  </si>
  <si>
    <t>24/10/2024 21:00</t>
  </si>
  <si>
    <t>24/10/2024 22:00</t>
  </si>
  <si>
    <t>24/10/2024 23:00</t>
  </si>
  <si>
    <t>24/10/2024 24:00</t>
  </si>
  <si>
    <t>25/10/2024 01:00</t>
  </si>
  <si>
    <t>25/10/2024 02:00</t>
  </si>
  <si>
    <t>25/10/2024 03:00</t>
  </si>
  <si>
    <t>25/10/2024 04:00</t>
  </si>
  <si>
    <t>25/10/2024 05:00</t>
  </si>
  <si>
    <t>25/10/2024 06:00</t>
  </si>
  <si>
    <t>25/10/2024 07:00</t>
  </si>
  <si>
    <t>25/10/2024 08:00</t>
  </si>
  <si>
    <t>25/10/2024 09:00</t>
  </si>
  <si>
    <t>25/10/2024 10:00</t>
  </si>
  <si>
    <t>25/10/2024 11:00</t>
  </si>
  <si>
    <t>25/10/2024 12:00</t>
  </si>
  <si>
    <t>25/10/2024 13:00</t>
  </si>
  <si>
    <t>25/10/2024 14:00</t>
  </si>
  <si>
    <t>25/10/2024 15:00</t>
  </si>
  <si>
    <t>25/10/2024 16:00</t>
  </si>
  <si>
    <t>25/10/2024 17:00</t>
  </si>
  <si>
    <t>25/10/2024 18:00</t>
  </si>
  <si>
    <t>25/10/2024 19:00</t>
  </si>
  <si>
    <t>25/10/2024 20:00</t>
  </si>
  <si>
    <t>25/10/2024 21:00</t>
  </si>
  <si>
    <t>25/10/2024 22:00</t>
  </si>
  <si>
    <t>25/10/2024 23:00</t>
  </si>
  <si>
    <t>25/10/2024 24:00</t>
  </si>
  <si>
    <t>26/10/2024 01:00</t>
  </si>
  <si>
    <t>26/10/2024 02:00</t>
  </si>
  <si>
    <t>26/10/2024 03:00</t>
  </si>
  <si>
    <t>26/10/2024 04:00</t>
  </si>
  <si>
    <t>26/10/2024 05:00</t>
  </si>
  <si>
    <t>26/10/2024 06:00</t>
  </si>
  <si>
    <t>26/10/2024 07:00</t>
  </si>
  <si>
    <t>26/10/2024 08:00</t>
  </si>
  <si>
    <t>26/10/2024 09:00</t>
  </si>
  <si>
    <t>26/10/2024 10:00</t>
  </si>
  <si>
    <t>26/10/2024 11:00</t>
  </si>
  <si>
    <t>26/10/2024 12:00</t>
  </si>
  <si>
    <t>26/10/2024 13:00</t>
  </si>
  <si>
    <t>26/10/2024 14:00</t>
  </si>
  <si>
    <t>26/10/2024 15:00</t>
  </si>
  <si>
    <t>26/10/2024 16:00</t>
  </si>
  <si>
    <t>26/10/2024 17:00</t>
  </si>
  <si>
    <t>26/10/2024 18:00</t>
  </si>
  <si>
    <t>26/10/2024 19:00</t>
  </si>
  <si>
    <t>26/10/2024 20:00</t>
  </si>
  <si>
    <t>26/10/2024 21:00</t>
  </si>
  <si>
    <t>26/10/2024 22:00</t>
  </si>
  <si>
    <t>26/10/2024 23:00</t>
  </si>
  <si>
    <t>26/10/2024 24:00</t>
  </si>
  <si>
    <t>27/10/2024 23:00</t>
  </si>
  <si>
    <t>27/10/2024 24:00</t>
  </si>
  <si>
    <t>29/10/2024 01:00</t>
  </si>
  <si>
    <t>29/10/2024 02:00</t>
  </si>
  <si>
    <t>29/10/2024 03:00</t>
  </si>
  <si>
    <t>29/10/2024 04:00</t>
  </si>
  <si>
    <t>29/10/2024 05:00</t>
  </si>
  <si>
    <t>29/10/2024 06:00</t>
  </si>
  <si>
    <t>29/10/2024 07:00</t>
  </si>
  <si>
    <t>29/10/2024 08:00</t>
  </si>
  <si>
    <t>29/10/2024 09:00</t>
  </si>
  <si>
    <t>29/10/2024 10:00</t>
  </si>
  <si>
    <t>29/10/2024 11:00</t>
  </si>
  <si>
    <t>29/10/2024 12:00</t>
  </si>
  <si>
    <t>29/10/2024 13:00</t>
  </si>
  <si>
    <t>29/10/2024 14:00</t>
  </si>
  <si>
    <t>29/10/2024 15:00</t>
  </si>
  <si>
    <t>29/10/2024 16:00</t>
  </si>
  <si>
    <t>29/10/2024 17:00</t>
  </si>
  <si>
    <t>29/10/2024 18:00</t>
  </si>
  <si>
    <t>29/10/2024 19:00</t>
  </si>
  <si>
    <t>29/10/2024 20:00</t>
  </si>
  <si>
    <t>29/10/2024 21:00</t>
  </si>
  <si>
    <t>29/10/2024 22:00</t>
  </si>
  <si>
    <t>29/10/2024 23:00</t>
  </si>
  <si>
    <t>29/10/2024 24:00</t>
  </si>
  <si>
    <t>30/10/2024 01:00</t>
  </si>
  <si>
    <t>30/10/2024 02:00</t>
  </si>
  <si>
    <t>30/10/2024 03:00</t>
  </si>
  <si>
    <t>30/10/2024 04:00</t>
  </si>
  <si>
    <t>30/10/2024 05:00</t>
  </si>
  <si>
    <t>30/10/2024 06:00</t>
  </si>
  <si>
    <t>30/10/2024 07:00</t>
  </si>
  <si>
    <t>30/10/2024 08:00</t>
  </si>
  <si>
    <t>30/10/2024 09:00</t>
  </si>
  <si>
    <t>30/10/2024 10:00</t>
  </si>
  <si>
    <t>30/10/2024 11:00</t>
  </si>
  <si>
    <t>30/10/2024 12:00</t>
  </si>
  <si>
    <t>30/10/2024 13:00</t>
  </si>
  <si>
    <t>30/10/2024 14:00</t>
  </si>
  <si>
    <t>30/10/2024 15:00</t>
  </si>
  <si>
    <t>30/10/2024 16:00</t>
  </si>
  <si>
    <t>30/10/2024 17:00</t>
  </si>
  <si>
    <t>30/10/2024 18:00</t>
  </si>
  <si>
    <t>30/10/2024 19:00</t>
  </si>
  <si>
    <t>30/10/2024 20:00</t>
  </si>
  <si>
    <t>30/10/2024 21:00</t>
  </si>
  <si>
    <t>30/10/2024 22:00</t>
  </si>
  <si>
    <t>27/10/2024 01:00</t>
  </si>
  <si>
    <t>27/10/2024 02:00</t>
  </si>
  <si>
    <t>27/10/2024 03:00</t>
  </si>
  <si>
    <t>27/10/2024 04:00</t>
  </si>
  <si>
    <t>27/10/2024 05:00</t>
  </si>
  <si>
    <t>27/10/2024 06:00</t>
  </si>
  <si>
    <t>27/10/2024 07:00</t>
  </si>
  <si>
    <t>27/10/2024 08:00</t>
  </si>
  <si>
    <t>27/10/2024 09:00</t>
  </si>
  <si>
    <t>27/10/2024 10:00</t>
  </si>
  <si>
    <t>27/10/2024 11:00</t>
  </si>
  <si>
    <t>27/10/2024 12:00</t>
  </si>
  <si>
    <t>27/10/2024 13:00</t>
  </si>
  <si>
    <t>27/10/2024 14:00</t>
  </si>
  <si>
    <t>27/10/2024 15:00</t>
  </si>
  <si>
    <t>27/10/2024 16:00</t>
  </si>
  <si>
    <t>27/10/2024 17:00</t>
  </si>
  <si>
    <t>27/10/2024 18:00</t>
  </si>
  <si>
    <t>27/10/2024 19:00</t>
  </si>
  <si>
    <t>27/10/2024 20:00</t>
  </si>
  <si>
    <t>27/10/2024 21:00</t>
  </si>
  <si>
    <t>27/10/2024 22:00</t>
  </si>
  <si>
    <t>30/10/2024 23:00</t>
  </si>
  <si>
    <t>30/10/2024 24:00</t>
  </si>
  <si>
    <t>31/10/2024 01:00</t>
  </si>
  <si>
    <t>31/10/2024 02:00</t>
  </si>
  <si>
    <t>31/10/2024 03:00</t>
  </si>
  <si>
    <t>31/10/2024 04:00</t>
  </si>
  <si>
    <t>31/10/2024 05:00</t>
  </si>
  <si>
    <t>31/10/2024 06:00</t>
  </si>
  <si>
    <t>31/10/2024 07:00</t>
  </si>
  <si>
    <t>31/10/2024 08:00</t>
  </si>
  <si>
    <t>31/10/2024 09:00</t>
  </si>
  <si>
    <t>31/10/2024 10:00</t>
  </si>
  <si>
    <t>31/10/2024 11:00</t>
  </si>
  <si>
    <t>31/10/2024 12:00</t>
  </si>
  <si>
    <t>31/10/2024 13:00</t>
  </si>
  <si>
    <t>31/10/2024 14:00</t>
  </si>
  <si>
    <t>31/10/2024 15:00</t>
  </si>
  <si>
    <t>31/10/2024 16:00</t>
  </si>
  <si>
    <t>31/10/2024 17:00</t>
  </si>
  <si>
    <t>31/10/2024 18:00</t>
  </si>
  <si>
    <t>31/10/2024 19:00</t>
  </si>
  <si>
    <t>31/10/2024 20:00</t>
  </si>
  <si>
    <t>31/10/2024 21:00</t>
  </si>
  <si>
    <t>31/10/2024 22:00</t>
  </si>
  <si>
    <t>31/10/2024 23:00</t>
  </si>
  <si>
    <t>31/10/2024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</si>
</sst>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4659260841701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7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2" fontId="12" fillId="0" borderId="1" xfId="0" applyNumberFormat="1" applyFont="1" applyFill="1" applyBorder="1" applyAlignment="1">
      <alignment horizontal="center"/>
    </xf>
    <xf numFmtId="0" fontId="12" fillId="0" borderId="0" xfId="0" applyFont="1" applyFill="1"/>
    <xf numFmtId="2" fontId="12" fillId="0" borderId="0" xfId="0" applyNumberFormat="1" applyFont="1" applyFill="1"/>
    <xf numFmtId="14" fontId="4" fillId="0" borderId="1" xfId="0" applyNumberFormat="1" applyFont="1" applyFill="1" applyBorder="1" applyAlignment="1">
      <alignment horizontal="center"/>
    </xf>
    <xf numFmtId="17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4" fillId="9" borderId="0" xfId="0" applyFont="1" applyFill="1" applyAlignment="1"/>
    <xf numFmtId="0" fontId="13" fillId="0" borderId="0" xfId="0" applyFont="1" applyFill="1" applyAlignment="1">
      <alignment vertical="center"/>
    </xf>
    <xf numFmtId="0" fontId="6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2" fillId="0" borderId="0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0" fillId="0" borderId="0" xfId="0" applyBorder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/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/>
    <xf numFmtId="0" fontId="1" fillId="0" borderId="2" xfId="0" applyFont="1" applyBorder="1" applyAlignment="1"/>
    <xf numFmtId="0" fontId="14" fillId="9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U32" sqref="A9:U32"/>
      <selection pane="topRight" activeCell="U32" sqref="A9:U32"/>
      <selection pane="bottomLeft" activeCell="U32" sqref="A9:U32"/>
      <selection pane="bottomRight" activeCell="I39" sqref="I39"/>
    </sheetView>
  </sheetViews>
  <sheetFormatPr defaultColWidth="8.85546875" defaultRowHeight="15" x14ac:dyDescent="0.25"/>
  <cols>
    <col min="1" max="1" width="18.28515625" style="26" customWidth="1"/>
    <col min="2" max="2" width="14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01/10/2024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60</v>
      </c>
      <c r="B9" s="53">
        <v>5.28</v>
      </c>
      <c r="C9" s="53">
        <v>5.19</v>
      </c>
      <c r="D9" s="53">
        <v>6.95</v>
      </c>
      <c r="E9" s="53">
        <v>5.61</v>
      </c>
      <c r="F9" s="53">
        <v>3.96</v>
      </c>
      <c r="G9" s="53">
        <v>28.2</v>
      </c>
      <c r="H9" s="53">
        <v>10.68</v>
      </c>
      <c r="I9" s="54" t="s">
        <v>14</v>
      </c>
      <c r="J9" s="53">
        <v>0.42</v>
      </c>
      <c r="K9" s="53">
        <v>357.58</v>
      </c>
      <c r="L9" s="53">
        <v>25.28</v>
      </c>
      <c r="M9" s="53">
        <v>102.15</v>
      </c>
      <c r="N9" s="53">
        <v>26.1</v>
      </c>
      <c r="O9" s="53">
        <v>0</v>
      </c>
      <c r="P9" s="53">
        <v>0.42</v>
      </c>
      <c r="Q9" s="53">
        <v>9.6199999999999992</v>
      </c>
      <c r="R9" s="43"/>
      <c r="S9" s="43"/>
      <c r="T9" s="43"/>
      <c r="U9" s="43"/>
    </row>
    <row r="10" spans="1:21" s="11" customFormat="1" x14ac:dyDescent="0.25">
      <c r="A10" s="52" t="s">
        <v>61</v>
      </c>
      <c r="B10" s="53">
        <v>4.66</v>
      </c>
      <c r="C10" s="53">
        <v>4.9400000000000004</v>
      </c>
      <c r="D10" s="53">
        <v>6.24</v>
      </c>
      <c r="E10" s="53">
        <v>5.85</v>
      </c>
      <c r="F10" s="53">
        <v>4.8499999999999996</v>
      </c>
      <c r="G10" s="53">
        <v>26.75</v>
      </c>
      <c r="H10" s="53">
        <v>9.41</v>
      </c>
      <c r="I10" s="54" t="s">
        <v>14</v>
      </c>
      <c r="J10" s="53">
        <v>0.42</v>
      </c>
      <c r="K10" s="53">
        <v>17.760000000000002</v>
      </c>
      <c r="L10" s="53">
        <v>25.03</v>
      </c>
      <c r="M10" s="53">
        <v>102.15</v>
      </c>
      <c r="N10" s="53">
        <v>26.1</v>
      </c>
      <c r="O10" s="53">
        <v>0</v>
      </c>
      <c r="P10" s="53">
        <v>0.46</v>
      </c>
      <c r="Q10" s="53">
        <v>9.61</v>
      </c>
      <c r="R10" s="43"/>
      <c r="S10" s="43"/>
      <c r="T10" s="43"/>
      <c r="U10" s="43"/>
    </row>
    <row r="11" spans="1:21" s="11" customFormat="1" x14ac:dyDescent="0.25">
      <c r="A11" s="52" t="s">
        <v>62</v>
      </c>
      <c r="B11" s="53">
        <v>3.15</v>
      </c>
      <c r="C11" s="53">
        <v>4.42</v>
      </c>
      <c r="D11" s="53">
        <v>4.83</v>
      </c>
      <c r="E11" s="53">
        <v>5.84</v>
      </c>
      <c r="F11" s="53">
        <v>4.01</v>
      </c>
      <c r="G11" s="53">
        <v>23.84</v>
      </c>
      <c r="H11" s="53">
        <v>6.61</v>
      </c>
      <c r="I11" s="54" t="s">
        <v>14</v>
      </c>
      <c r="J11" s="53">
        <v>0.4</v>
      </c>
      <c r="K11" s="53">
        <v>353.38</v>
      </c>
      <c r="L11" s="53">
        <v>24.77</v>
      </c>
      <c r="M11" s="53">
        <v>102.15</v>
      </c>
      <c r="N11" s="53">
        <v>26.1</v>
      </c>
      <c r="O11" s="53">
        <v>0</v>
      </c>
      <c r="P11" s="53">
        <v>0.4</v>
      </c>
      <c r="Q11" s="53">
        <v>9.61</v>
      </c>
      <c r="R11" s="43"/>
      <c r="S11" s="43"/>
      <c r="T11" s="43"/>
      <c r="U11" s="43"/>
    </row>
    <row r="12" spans="1:21" s="11" customFormat="1" x14ac:dyDescent="0.25">
      <c r="A12" s="52" t="s">
        <v>63</v>
      </c>
      <c r="B12" s="53">
        <v>2.63</v>
      </c>
      <c r="C12" s="53">
        <v>3.78</v>
      </c>
      <c r="D12" s="53">
        <v>4.09</v>
      </c>
      <c r="E12" s="53">
        <v>5.45</v>
      </c>
      <c r="F12" s="53">
        <v>4.57</v>
      </c>
      <c r="G12" s="53">
        <v>19.11</v>
      </c>
      <c r="H12" s="53">
        <v>6.47</v>
      </c>
      <c r="I12" s="54" t="s">
        <v>14</v>
      </c>
      <c r="J12" s="53">
        <v>0.24</v>
      </c>
      <c r="K12" s="53">
        <v>344.6</v>
      </c>
      <c r="L12" s="53">
        <v>24.57</v>
      </c>
      <c r="M12" s="53">
        <v>101.89</v>
      </c>
      <c r="N12" s="53">
        <v>26.1</v>
      </c>
      <c r="O12" s="53">
        <v>0</v>
      </c>
      <c r="P12" s="53">
        <v>0.35</v>
      </c>
      <c r="Q12" s="53">
        <v>9.61</v>
      </c>
      <c r="R12" s="43"/>
      <c r="S12" s="43"/>
      <c r="T12" s="43"/>
      <c r="U12" s="43"/>
    </row>
    <row r="13" spans="1:21" s="11" customFormat="1" x14ac:dyDescent="0.25">
      <c r="A13" s="52" t="s">
        <v>64</v>
      </c>
      <c r="B13" s="53">
        <v>3.23</v>
      </c>
      <c r="C13" s="53">
        <v>3.75</v>
      </c>
      <c r="D13" s="53">
        <v>4.55</v>
      </c>
      <c r="E13" s="53">
        <v>4.97</v>
      </c>
      <c r="F13" s="53">
        <v>4.01</v>
      </c>
      <c r="G13" s="53">
        <v>17.68</v>
      </c>
      <c r="H13" s="53">
        <v>6.27</v>
      </c>
      <c r="I13" s="54" t="s">
        <v>14</v>
      </c>
      <c r="J13" s="53">
        <v>0.32</v>
      </c>
      <c r="K13" s="53">
        <v>359.03</v>
      </c>
      <c r="L13" s="53">
        <v>24.26</v>
      </c>
      <c r="M13" s="53">
        <v>101.96</v>
      </c>
      <c r="N13" s="53">
        <v>26.1</v>
      </c>
      <c r="O13" s="53">
        <v>0</v>
      </c>
      <c r="P13" s="53">
        <v>0.3</v>
      </c>
      <c r="Q13" s="53">
        <v>9.61</v>
      </c>
      <c r="R13" s="43"/>
      <c r="S13" s="43"/>
      <c r="T13" s="43"/>
      <c r="U13" s="43"/>
    </row>
    <row r="14" spans="1:21" s="11" customFormat="1" x14ac:dyDescent="0.25">
      <c r="A14" s="52" t="s">
        <v>65</v>
      </c>
      <c r="B14" s="53">
        <v>3.71</v>
      </c>
      <c r="C14" s="53">
        <v>4.3499999999999996</v>
      </c>
      <c r="D14" s="53">
        <v>5.12</v>
      </c>
      <c r="E14" s="53">
        <v>5.71</v>
      </c>
      <c r="F14" s="53">
        <v>4.42</v>
      </c>
      <c r="G14" s="53">
        <v>16.02</v>
      </c>
      <c r="H14" s="53">
        <v>7.44</v>
      </c>
      <c r="I14" s="54" t="s">
        <v>14</v>
      </c>
      <c r="J14" s="53">
        <v>0.51</v>
      </c>
      <c r="K14" s="53">
        <v>339.54</v>
      </c>
      <c r="L14" s="53">
        <v>24.17</v>
      </c>
      <c r="M14" s="53">
        <v>102</v>
      </c>
      <c r="N14" s="53">
        <v>28.5</v>
      </c>
      <c r="O14" s="53">
        <v>0</v>
      </c>
      <c r="P14" s="53">
        <v>0.35</v>
      </c>
      <c r="Q14" s="53">
        <v>9.6199999999999992</v>
      </c>
      <c r="R14" s="43"/>
      <c r="S14" s="43"/>
      <c r="T14" s="43"/>
      <c r="U14" s="43"/>
    </row>
    <row r="15" spans="1:21" s="11" customFormat="1" x14ac:dyDescent="0.25">
      <c r="A15" s="52" t="s">
        <v>66</v>
      </c>
      <c r="B15" s="53">
        <v>5.36</v>
      </c>
      <c r="C15" s="53">
        <v>5.0999999999999996</v>
      </c>
      <c r="D15" s="53">
        <v>6.94</v>
      </c>
      <c r="E15" s="53">
        <v>5.4</v>
      </c>
      <c r="F15" s="53">
        <v>3.55</v>
      </c>
      <c r="G15" s="53">
        <v>16.38</v>
      </c>
      <c r="H15" s="53">
        <v>7.23</v>
      </c>
      <c r="I15" s="54" t="s">
        <v>14</v>
      </c>
      <c r="J15" s="53">
        <v>0.31</v>
      </c>
      <c r="K15" s="53">
        <v>355.2</v>
      </c>
      <c r="L15" s="53">
        <v>26.36</v>
      </c>
      <c r="M15" s="53">
        <v>102</v>
      </c>
      <c r="N15" s="53">
        <v>145.69999999999999</v>
      </c>
      <c r="O15" s="53">
        <v>0</v>
      </c>
      <c r="P15" s="53">
        <v>0.38</v>
      </c>
      <c r="Q15" s="53">
        <v>9.61</v>
      </c>
      <c r="R15" s="43"/>
      <c r="S15" s="43"/>
      <c r="T15" s="43"/>
      <c r="U15" s="43"/>
    </row>
    <row r="16" spans="1:21" s="11" customFormat="1" x14ac:dyDescent="0.25">
      <c r="A16" s="52" t="s">
        <v>67</v>
      </c>
      <c r="B16" s="53">
        <v>6.37</v>
      </c>
      <c r="C16" s="53">
        <v>5.41</v>
      </c>
      <c r="D16" s="53">
        <v>7.65</v>
      </c>
      <c r="E16" s="53">
        <v>5.5</v>
      </c>
      <c r="F16" s="53">
        <v>4.5</v>
      </c>
      <c r="G16" s="53">
        <v>22.48</v>
      </c>
      <c r="H16" s="53">
        <v>8.23</v>
      </c>
      <c r="I16" s="54" t="s">
        <v>14</v>
      </c>
      <c r="J16" s="53">
        <v>0.4</v>
      </c>
      <c r="K16" s="53">
        <v>358.82</v>
      </c>
      <c r="L16" s="53">
        <v>29.54</v>
      </c>
      <c r="M16" s="53">
        <v>97.35</v>
      </c>
      <c r="N16" s="53">
        <v>362.1</v>
      </c>
      <c r="O16" s="53">
        <v>0</v>
      </c>
      <c r="P16" s="53">
        <v>0.51</v>
      </c>
      <c r="Q16" s="53">
        <v>9.6199999999999992</v>
      </c>
      <c r="R16" s="43"/>
      <c r="S16" s="43"/>
      <c r="T16" s="43"/>
      <c r="U16" s="43"/>
    </row>
    <row r="17" spans="1:21" s="11" customFormat="1" x14ac:dyDescent="0.25">
      <c r="A17" s="52" t="s">
        <v>68</v>
      </c>
      <c r="B17" s="53">
        <v>8.5500000000000007</v>
      </c>
      <c r="C17" s="53">
        <v>6.84</v>
      </c>
      <c r="D17" s="53">
        <v>10.43</v>
      </c>
      <c r="E17" s="53">
        <v>5.64</v>
      </c>
      <c r="F17" s="53">
        <v>3.92</v>
      </c>
      <c r="G17" s="53">
        <v>26.98</v>
      </c>
      <c r="H17" s="53">
        <v>13.51</v>
      </c>
      <c r="I17" s="54" t="s">
        <v>14</v>
      </c>
      <c r="J17" s="53">
        <v>0.59</v>
      </c>
      <c r="K17" s="53">
        <v>344.08</v>
      </c>
      <c r="L17" s="53">
        <v>32.96</v>
      </c>
      <c r="M17" s="53">
        <v>81.349999999999994</v>
      </c>
      <c r="N17" s="53">
        <v>566.29999999999995</v>
      </c>
      <c r="O17" s="53">
        <v>0</v>
      </c>
      <c r="P17" s="53">
        <v>0.77</v>
      </c>
      <c r="Q17" s="53">
        <v>9.6199999999999992</v>
      </c>
      <c r="R17" s="43"/>
      <c r="S17" s="43"/>
      <c r="T17" s="43"/>
      <c r="U17" s="43"/>
    </row>
    <row r="18" spans="1:21" s="11" customFormat="1" x14ac:dyDescent="0.25">
      <c r="A18" s="52" t="s">
        <v>69</v>
      </c>
      <c r="B18" s="53">
        <v>9.09</v>
      </c>
      <c r="C18" s="53">
        <v>9.67</v>
      </c>
      <c r="D18" s="53">
        <v>12.14</v>
      </c>
      <c r="E18" s="53">
        <v>6.08</v>
      </c>
      <c r="F18" s="53">
        <v>4.53</v>
      </c>
      <c r="G18" s="53">
        <v>31.46</v>
      </c>
      <c r="H18" s="53">
        <v>13.49</v>
      </c>
      <c r="I18" s="54" t="s">
        <v>14</v>
      </c>
      <c r="J18" s="53">
        <v>0.51</v>
      </c>
      <c r="K18" s="53">
        <v>351.63</v>
      </c>
      <c r="L18" s="53">
        <v>33.46</v>
      </c>
      <c r="M18" s="53">
        <v>71.03</v>
      </c>
      <c r="N18" s="53">
        <v>736.6</v>
      </c>
      <c r="O18" s="53">
        <v>0</v>
      </c>
      <c r="P18" s="53">
        <v>0.73</v>
      </c>
      <c r="Q18" s="53">
        <v>9.61</v>
      </c>
      <c r="R18" s="43"/>
      <c r="S18" s="43"/>
      <c r="T18" s="43"/>
      <c r="U18" s="43"/>
    </row>
    <row r="19" spans="1:21" s="11" customFormat="1" x14ac:dyDescent="0.25">
      <c r="A19" s="52" t="s">
        <v>70</v>
      </c>
      <c r="B19" s="53">
        <v>8.35</v>
      </c>
      <c r="C19" s="53">
        <v>13.03</v>
      </c>
      <c r="D19" s="53">
        <v>12.21</v>
      </c>
      <c r="E19" s="53">
        <v>5.74</v>
      </c>
      <c r="F19" s="53">
        <v>4.6100000000000003</v>
      </c>
      <c r="G19" s="53">
        <v>36.6</v>
      </c>
      <c r="H19" s="53">
        <v>16.54</v>
      </c>
      <c r="I19" s="54" t="s">
        <v>14</v>
      </c>
      <c r="J19" s="53">
        <v>0.55000000000000004</v>
      </c>
      <c r="K19" s="53">
        <v>357.7</v>
      </c>
      <c r="L19" s="53">
        <v>33.82</v>
      </c>
      <c r="M19" s="53">
        <v>68.150000000000006</v>
      </c>
      <c r="N19" s="53">
        <v>850.4</v>
      </c>
      <c r="O19" s="53">
        <v>0</v>
      </c>
      <c r="P19" s="53">
        <v>0.75</v>
      </c>
      <c r="Q19" s="53">
        <v>9.61</v>
      </c>
      <c r="R19" s="43"/>
      <c r="S19" s="43"/>
      <c r="T19" s="43"/>
      <c r="U19" s="43"/>
    </row>
    <row r="20" spans="1:21" s="11" customFormat="1" x14ac:dyDescent="0.25">
      <c r="A20" s="52" t="s">
        <v>71</v>
      </c>
      <c r="B20" s="53">
        <v>4.82</v>
      </c>
      <c r="C20" s="53">
        <v>16.62</v>
      </c>
      <c r="D20" s="53">
        <v>11.73</v>
      </c>
      <c r="E20" s="53">
        <v>6.24</v>
      </c>
      <c r="F20" s="53">
        <v>5.8</v>
      </c>
      <c r="G20" s="53">
        <v>34.51</v>
      </c>
      <c r="H20" s="53">
        <v>17.559999999999999</v>
      </c>
      <c r="I20" s="53">
        <v>3.2</v>
      </c>
      <c r="J20" s="53">
        <v>0.57999999999999996</v>
      </c>
      <c r="K20" s="53">
        <v>356.41</v>
      </c>
      <c r="L20" s="53">
        <v>34.89</v>
      </c>
      <c r="M20" s="53">
        <v>62.32</v>
      </c>
      <c r="N20" s="53">
        <v>876.9</v>
      </c>
      <c r="O20" s="53">
        <v>0</v>
      </c>
      <c r="P20" s="53">
        <v>0.71</v>
      </c>
      <c r="Q20" s="53">
        <v>9.61</v>
      </c>
      <c r="R20" s="43"/>
      <c r="S20" s="43"/>
      <c r="T20" s="43"/>
      <c r="U20" s="43"/>
    </row>
    <row r="21" spans="1:21" s="11" customFormat="1" x14ac:dyDescent="0.25">
      <c r="A21" s="52" t="s">
        <v>72</v>
      </c>
      <c r="B21" s="53">
        <v>1.96</v>
      </c>
      <c r="C21" s="53">
        <v>13.62</v>
      </c>
      <c r="D21" s="53">
        <v>8.69</v>
      </c>
      <c r="E21" s="53">
        <v>5.68</v>
      </c>
      <c r="F21" s="53">
        <v>5.68</v>
      </c>
      <c r="G21" s="53">
        <v>50.49</v>
      </c>
      <c r="H21" s="53">
        <v>18.96</v>
      </c>
      <c r="I21" s="53">
        <v>2.84</v>
      </c>
      <c r="J21" s="53">
        <v>0.38</v>
      </c>
      <c r="K21" s="53">
        <v>357.06</v>
      </c>
      <c r="L21" s="53">
        <v>33.92</v>
      </c>
      <c r="M21" s="53">
        <v>65.7</v>
      </c>
      <c r="N21" s="53">
        <v>475.8</v>
      </c>
      <c r="O21" s="53">
        <v>0</v>
      </c>
      <c r="P21" s="53">
        <v>0.66</v>
      </c>
      <c r="Q21" s="53">
        <v>9.61</v>
      </c>
      <c r="R21" s="43"/>
      <c r="S21" s="43"/>
      <c r="T21" s="43"/>
      <c r="U21" s="43"/>
    </row>
    <row r="22" spans="1:21" s="11" customFormat="1" x14ac:dyDescent="0.25">
      <c r="A22" s="52" t="s">
        <v>73</v>
      </c>
      <c r="B22" s="53">
        <v>1.9</v>
      </c>
      <c r="C22" s="53">
        <v>10.19</v>
      </c>
      <c r="D22" s="53">
        <v>6.84</v>
      </c>
      <c r="E22" s="53">
        <v>5.58</v>
      </c>
      <c r="F22" s="53">
        <v>8.57</v>
      </c>
      <c r="G22" s="53">
        <v>51.96</v>
      </c>
      <c r="H22" s="53">
        <v>18.23</v>
      </c>
      <c r="I22" s="53">
        <v>2.85</v>
      </c>
      <c r="J22" s="53">
        <v>0.63</v>
      </c>
      <c r="K22" s="53">
        <v>164.59</v>
      </c>
      <c r="L22" s="53">
        <v>32.909999999999997</v>
      </c>
      <c r="M22" s="53">
        <v>69.03</v>
      </c>
      <c r="N22" s="53">
        <v>620.6</v>
      </c>
      <c r="O22" s="53">
        <v>0</v>
      </c>
      <c r="P22" s="53">
        <v>0.53</v>
      </c>
      <c r="Q22" s="53">
        <v>9.61</v>
      </c>
      <c r="R22" s="43"/>
      <c r="S22" s="43"/>
      <c r="T22" s="43"/>
      <c r="U22" s="43"/>
    </row>
    <row r="23" spans="1:21" s="11" customFormat="1" x14ac:dyDescent="0.25">
      <c r="A23" s="52" t="s">
        <v>74</v>
      </c>
      <c r="B23" s="53">
        <v>0.6</v>
      </c>
      <c r="C23" s="53">
        <v>10.34</v>
      </c>
      <c r="D23" s="53">
        <v>5.44</v>
      </c>
      <c r="E23" s="53">
        <v>6.21</v>
      </c>
      <c r="F23" s="53">
        <v>20.010000000000002</v>
      </c>
      <c r="G23" s="53">
        <v>46.91</v>
      </c>
      <c r="H23" s="53">
        <v>13.7</v>
      </c>
      <c r="I23" s="53">
        <v>2.96</v>
      </c>
      <c r="J23" s="53">
        <v>0.32</v>
      </c>
      <c r="K23" s="53">
        <v>147.68</v>
      </c>
      <c r="L23" s="53">
        <v>31.61</v>
      </c>
      <c r="M23" s="53">
        <v>70.22</v>
      </c>
      <c r="N23" s="53">
        <v>231.7</v>
      </c>
      <c r="O23" s="53">
        <v>0</v>
      </c>
      <c r="P23" s="53">
        <v>0.4</v>
      </c>
      <c r="Q23" s="53">
        <v>9.6199999999999992</v>
      </c>
      <c r="R23" s="43"/>
      <c r="S23" s="43"/>
      <c r="T23" s="43"/>
      <c r="U23" s="43"/>
    </row>
    <row r="24" spans="1:21" s="11" customFormat="1" x14ac:dyDescent="0.25">
      <c r="A24" s="52" t="s">
        <v>75</v>
      </c>
      <c r="B24" s="53">
        <v>0.38</v>
      </c>
      <c r="C24" s="53">
        <v>12.62</v>
      </c>
      <c r="D24" s="53">
        <v>6.46</v>
      </c>
      <c r="E24" s="53">
        <v>6.21</v>
      </c>
      <c r="F24" s="53">
        <v>13.81</v>
      </c>
      <c r="G24" s="53">
        <v>36.619999999999997</v>
      </c>
      <c r="H24" s="53">
        <v>13.03</v>
      </c>
      <c r="I24" s="53">
        <v>1.77</v>
      </c>
      <c r="J24" s="53">
        <v>0.3</v>
      </c>
      <c r="K24" s="53">
        <v>46.77</v>
      </c>
      <c r="L24" s="53">
        <v>31.12</v>
      </c>
      <c r="M24" s="53">
        <v>72.17</v>
      </c>
      <c r="N24" s="53">
        <v>127.7</v>
      </c>
      <c r="O24" s="53">
        <v>0</v>
      </c>
      <c r="P24" s="53">
        <v>0.36</v>
      </c>
      <c r="Q24" s="53">
        <v>9.6199999999999992</v>
      </c>
      <c r="R24" s="43"/>
      <c r="S24" s="43"/>
      <c r="T24" s="43"/>
      <c r="U24" s="43"/>
    </row>
    <row r="25" spans="1:21" s="11" customFormat="1" x14ac:dyDescent="0.25">
      <c r="A25" s="52" t="s">
        <v>76</v>
      </c>
      <c r="B25" s="53">
        <v>0.87</v>
      </c>
      <c r="C25" s="53">
        <v>7.95</v>
      </c>
      <c r="D25" s="53">
        <v>4.43</v>
      </c>
      <c r="E25" s="53">
        <v>4.2699999999999996</v>
      </c>
      <c r="F25" s="53">
        <v>7.91</v>
      </c>
      <c r="G25" s="53">
        <v>33.200000000000003</v>
      </c>
      <c r="H25" s="53">
        <v>11.63</v>
      </c>
      <c r="I25" s="53">
        <v>1.51</v>
      </c>
      <c r="J25" s="53">
        <v>0.48</v>
      </c>
      <c r="K25" s="53">
        <v>176.65</v>
      </c>
      <c r="L25" s="53">
        <v>30.97</v>
      </c>
      <c r="M25" s="53">
        <v>73.260000000000005</v>
      </c>
      <c r="N25" s="53">
        <v>135.4</v>
      </c>
      <c r="O25" s="53">
        <v>0</v>
      </c>
      <c r="P25" s="53">
        <v>0.36</v>
      </c>
      <c r="Q25" s="53">
        <v>9.6199999999999992</v>
      </c>
      <c r="R25" s="43"/>
      <c r="S25" s="43"/>
      <c r="T25" s="43"/>
      <c r="U25" s="43"/>
    </row>
    <row r="26" spans="1:21" s="11" customFormat="1" x14ac:dyDescent="0.25">
      <c r="A26" s="52" t="s">
        <v>77</v>
      </c>
      <c r="B26" s="53">
        <v>1.34</v>
      </c>
      <c r="C26" s="53">
        <v>10.53</v>
      </c>
      <c r="D26" s="53">
        <v>6.57</v>
      </c>
      <c r="E26" s="53">
        <v>5.32</v>
      </c>
      <c r="F26" s="53">
        <v>8.98</v>
      </c>
      <c r="G26" s="53">
        <v>34.81</v>
      </c>
      <c r="H26" s="53">
        <v>12.28</v>
      </c>
      <c r="I26" s="53">
        <v>1.77</v>
      </c>
      <c r="J26" s="53">
        <v>0.4</v>
      </c>
      <c r="K26" s="53">
        <v>186.71</v>
      </c>
      <c r="L26" s="53">
        <v>30.47</v>
      </c>
      <c r="M26" s="53">
        <v>80.66</v>
      </c>
      <c r="N26" s="53">
        <v>67.400000000000006</v>
      </c>
      <c r="O26" s="53">
        <v>0</v>
      </c>
      <c r="P26" s="53">
        <v>0.48</v>
      </c>
      <c r="Q26" s="53">
        <v>9.6199999999999992</v>
      </c>
      <c r="R26" s="43"/>
      <c r="S26" s="43"/>
      <c r="T26" s="43"/>
      <c r="U26" s="43"/>
    </row>
    <row r="27" spans="1:21" s="11" customFormat="1" x14ac:dyDescent="0.25">
      <c r="A27" s="52" t="s">
        <v>78</v>
      </c>
      <c r="B27" s="53">
        <v>1.77</v>
      </c>
      <c r="C27" s="53">
        <v>9.9</v>
      </c>
      <c r="D27" s="53">
        <v>6.34</v>
      </c>
      <c r="E27" s="53">
        <v>5.0599999999999996</v>
      </c>
      <c r="F27" s="53">
        <v>4.5999999999999996</v>
      </c>
      <c r="G27" s="53">
        <v>40.200000000000003</v>
      </c>
      <c r="H27" s="53">
        <v>13.39</v>
      </c>
      <c r="I27" s="53">
        <v>2.37</v>
      </c>
      <c r="J27" s="53">
        <v>0.33</v>
      </c>
      <c r="K27" s="53">
        <v>28.6</v>
      </c>
      <c r="L27" s="53">
        <v>29.25</v>
      </c>
      <c r="M27" s="53">
        <v>87.29</v>
      </c>
      <c r="N27" s="53">
        <v>26.5</v>
      </c>
      <c r="O27" s="53">
        <v>0</v>
      </c>
      <c r="P27" s="53">
        <v>0.6</v>
      </c>
      <c r="Q27" s="53">
        <v>9.61</v>
      </c>
      <c r="R27" s="43"/>
      <c r="S27" s="43"/>
      <c r="T27" s="43"/>
      <c r="U27" s="43"/>
    </row>
    <row r="28" spans="1:21" s="11" customFormat="1" x14ac:dyDescent="0.25">
      <c r="A28" s="52" t="s">
        <v>79</v>
      </c>
      <c r="B28" s="53">
        <v>2.19</v>
      </c>
      <c r="C28" s="53">
        <v>8.52</v>
      </c>
      <c r="D28" s="53">
        <v>6.2</v>
      </c>
      <c r="E28" s="53">
        <v>5.53</v>
      </c>
      <c r="F28" s="53">
        <v>5.98</v>
      </c>
      <c r="G28" s="53">
        <v>56.74</v>
      </c>
      <c r="H28" s="53">
        <v>14.81</v>
      </c>
      <c r="I28" s="53">
        <v>2.5499999999999998</v>
      </c>
      <c r="J28" s="53">
        <v>0.52</v>
      </c>
      <c r="K28" s="53">
        <v>27.39</v>
      </c>
      <c r="L28" s="53">
        <v>28.38</v>
      </c>
      <c r="M28" s="53">
        <v>89.12</v>
      </c>
      <c r="N28" s="53">
        <v>26.1</v>
      </c>
      <c r="O28" s="53">
        <v>0</v>
      </c>
      <c r="P28" s="53">
        <v>0.56000000000000005</v>
      </c>
      <c r="Q28" s="53">
        <v>9.61</v>
      </c>
      <c r="R28" s="43"/>
      <c r="S28" s="43"/>
      <c r="T28" s="43"/>
      <c r="U28" s="43"/>
    </row>
    <row r="29" spans="1:21" s="11" customFormat="1" x14ac:dyDescent="0.25">
      <c r="A29" s="52" t="s">
        <v>80</v>
      </c>
      <c r="B29" s="53">
        <v>3.05</v>
      </c>
      <c r="C29" s="53">
        <v>7.71</v>
      </c>
      <c r="D29" s="53">
        <v>6.35</v>
      </c>
      <c r="E29" s="53">
        <v>5.34</v>
      </c>
      <c r="F29" s="53">
        <v>5.55</v>
      </c>
      <c r="G29" s="53">
        <v>54.64</v>
      </c>
      <c r="H29" s="53">
        <v>15.83</v>
      </c>
      <c r="I29" s="53">
        <v>2.57</v>
      </c>
      <c r="J29" s="53">
        <v>0.37</v>
      </c>
      <c r="K29" s="53">
        <v>355.33</v>
      </c>
      <c r="L29" s="53">
        <v>27.85</v>
      </c>
      <c r="M29" s="53">
        <v>92.89</v>
      </c>
      <c r="N29" s="53">
        <v>26.2</v>
      </c>
      <c r="O29" s="53">
        <v>0</v>
      </c>
      <c r="P29" s="53">
        <v>0.71</v>
      </c>
      <c r="Q29" s="53">
        <v>9.6199999999999992</v>
      </c>
      <c r="R29" s="43"/>
      <c r="S29" s="43"/>
      <c r="T29" s="43"/>
      <c r="U29" s="43"/>
    </row>
    <row r="30" spans="1:21" s="11" customFormat="1" x14ac:dyDescent="0.25">
      <c r="A30" s="52" t="s">
        <v>81</v>
      </c>
      <c r="B30" s="53">
        <v>5.15</v>
      </c>
      <c r="C30" s="53">
        <v>7.84</v>
      </c>
      <c r="D30" s="53">
        <v>8.23</v>
      </c>
      <c r="E30" s="53">
        <v>5.38</v>
      </c>
      <c r="F30" s="53">
        <v>4.6900000000000004</v>
      </c>
      <c r="G30" s="53">
        <v>49.05</v>
      </c>
      <c r="H30" s="53">
        <v>15.8</v>
      </c>
      <c r="I30" s="53">
        <v>2.44</v>
      </c>
      <c r="J30" s="53">
        <v>0.32</v>
      </c>
      <c r="K30" s="53">
        <v>334.48</v>
      </c>
      <c r="L30" s="53">
        <v>27.37</v>
      </c>
      <c r="M30" s="53">
        <v>96.97</v>
      </c>
      <c r="N30" s="53">
        <v>26.1</v>
      </c>
      <c r="O30" s="53">
        <v>0</v>
      </c>
      <c r="P30" s="53">
        <v>0.85</v>
      </c>
      <c r="Q30" s="53">
        <v>9.6199999999999992</v>
      </c>
      <c r="R30" s="43"/>
      <c r="S30" s="43"/>
      <c r="T30" s="43"/>
      <c r="U30" s="43"/>
    </row>
    <row r="31" spans="1:21" s="11" customFormat="1" x14ac:dyDescent="0.25">
      <c r="A31" s="52" t="s">
        <v>82</v>
      </c>
      <c r="B31" s="53">
        <v>5.89</v>
      </c>
      <c r="C31" s="53">
        <v>8.0299999999999994</v>
      </c>
      <c r="D31" s="53">
        <v>8.6999999999999993</v>
      </c>
      <c r="E31" s="53">
        <v>5.71</v>
      </c>
      <c r="F31" s="53">
        <v>4.32</v>
      </c>
      <c r="G31" s="53">
        <v>47.27</v>
      </c>
      <c r="H31" s="53">
        <v>15.28</v>
      </c>
      <c r="I31" s="53">
        <v>3.07</v>
      </c>
      <c r="J31" s="53">
        <v>0.32</v>
      </c>
      <c r="K31" s="53">
        <v>347.16</v>
      </c>
      <c r="L31" s="53">
        <v>26.92</v>
      </c>
      <c r="M31" s="53">
        <v>99.7</v>
      </c>
      <c r="N31" s="53">
        <v>26.1</v>
      </c>
      <c r="O31" s="53">
        <v>0</v>
      </c>
      <c r="P31" s="53">
        <v>0.65</v>
      </c>
      <c r="Q31" s="53">
        <v>9.6199999999999992</v>
      </c>
      <c r="R31" s="43"/>
      <c r="S31" s="43"/>
      <c r="T31" s="43"/>
      <c r="U31" s="43"/>
    </row>
    <row r="32" spans="1:21" s="11" customFormat="1" x14ac:dyDescent="0.25">
      <c r="A32" s="52" t="s">
        <v>83</v>
      </c>
      <c r="B32" s="53">
        <v>6.21</v>
      </c>
      <c r="C32" s="53">
        <v>6.91</v>
      </c>
      <c r="D32" s="53">
        <v>8.5299999999999994</v>
      </c>
      <c r="E32" s="53">
        <v>5.52</v>
      </c>
      <c r="F32" s="53">
        <v>4.47</v>
      </c>
      <c r="G32" s="53">
        <v>42.24</v>
      </c>
      <c r="H32" s="53">
        <v>15.44</v>
      </c>
      <c r="I32" s="53">
        <v>2.93</v>
      </c>
      <c r="J32" s="53">
        <v>0.36</v>
      </c>
      <c r="K32" s="53">
        <v>353.21</v>
      </c>
      <c r="L32" s="53">
        <v>26.55</v>
      </c>
      <c r="M32" s="53">
        <v>101.69</v>
      </c>
      <c r="N32" s="53">
        <v>26.1</v>
      </c>
      <c r="O32" s="53">
        <v>0</v>
      </c>
      <c r="P32" s="53">
        <v>0.56999999999999995</v>
      </c>
      <c r="Q32" s="53">
        <v>9.61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0.38</v>
      </c>
      <c r="C34" s="28">
        <f t="shared" si="0"/>
        <v>3.75</v>
      </c>
      <c r="D34" s="28">
        <f t="shared" si="0"/>
        <v>4.09</v>
      </c>
      <c r="E34" s="28">
        <f t="shared" si="0"/>
        <v>4.2699999999999996</v>
      </c>
      <c r="F34" s="28">
        <f t="shared" si="0"/>
        <v>3.55</v>
      </c>
      <c r="G34" s="28">
        <f t="shared" si="0"/>
        <v>16.02</v>
      </c>
      <c r="H34" s="28">
        <f t="shared" si="0"/>
        <v>6.27</v>
      </c>
      <c r="I34" s="28">
        <f t="shared" si="0"/>
        <v>1.51</v>
      </c>
      <c r="J34" s="28">
        <f t="shared" si="0"/>
        <v>0.24</v>
      </c>
      <c r="K34" s="28">
        <f t="shared" si="0"/>
        <v>17.760000000000002</v>
      </c>
      <c r="L34" s="28">
        <f t="shared" si="0"/>
        <v>24.17</v>
      </c>
      <c r="M34" s="28">
        <f t="shared" si="0"/>
        <v>62.32</v>
      </c>
      <c r="N34" s="28">
        <f t="shared" si="0"/>
        <v>26.1</v>
      </c>
      <c r="O34" s="28">
        <f t="shared" si="0"/>
        <v>0</v>
      </c>
      <c r="P34" s="28">
        <f t="shared" si="0"/>
        <v>0.3</v>
      </c>
      <c r="Q34" s="28">
        <f t="shared" si="0"/>
        <v>9.61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9.09</v>
      </c>
      <c r="C35" s="29">
        <f t="shared" si="1"/>
        <v>16.62</v>
      </c>
      <c r="D35" s="29">
        <f t="shared" si="1"/>
        <v>12.21</v>
      </c>
      <c r="E35" s="29">
        <f t="shared" si="1"/>
        <v>6.24</v>
      </c>
      <c r="F35" s="29">
        <f t="shared" si="1"/>
        <v>20.010000000000002</v>
      </c>
      <c r="G35" s="29">
        <f t="shared" si="1"/>
        <v>56.74</v>
      </c>
      <c r="H35" s="29">
        <f t="shared" si="1"/>
        <v>18.96</v>
      </c>
      <c r="I35" s="29">
        <f t="shared" si="1"/>
        <v>3.2</v>
      </c>
      <c r="J35" s="29">
        <f t="shared" si="1"/>
        <v>0.63</v>
      </c>
      <c r="K35" s="29">
        <f t="shared" si="1"/>
        <v>359.03</v>
      </c>
      <c r="L35" s="29">
        <f t="shared" si="1"/>
        <v>34.89</v>
      </c>
      <c r="M35" s="29">
        <f t="shared" si="1"/>
        <v>102.15</v>
      </c>
      <c r="N35" s="29">
        <f t="shared" si="1"/>
        <v>876.9</v>
      </c>
      <c r="O35" s="29">
        <f t="shared" si="1"/>
        <v>0</v>
      </c>
      <c r="P35" s="29">
        <f t="shared" si="1"/>
        <v>0.85</v>
      </c>
      <c r="Q35" s="29">
        <f t="shared" si="1"/>
        <v>9.6199999999999992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4.0212499999999993</v>
      </c>
      <c r="C36" s="28">
        <f t="shared" si="2"/>
        <v>8.2191666666666681</v>
      </c>
      <c r="D36" s="28">
        <f t="shared" si="2"/>
        <v>7.319166666666665</v>
      </c>
      <c r="E36" s="28">
        <f t="shared" si="2"/>
        <v>5.5766666666666671</v>
      </c>
      <c r="F36" s="28">
        <f t="shared" si="2"/>
        <v>6.1375000000000002</v>
      </c>
      <c r="G36" s="28">
        <f t="shared" si="2"/>
        <v>35.172499999999999</v>
      </c>
      <c r="H36" s="28">
        <f t="shared" si="2"/>
        <v>12.57583333333333</v>
      </c>
      <c r="I36" s="28">
        <f t="shared" si="2"/>
        <v>2.525384615384616</v>
      </c>
      <c r="J36" s="28">
        <f t="shared" si="2"/>
        <v>0.41583333333333328</v>
      </c>
      <c r="K36" s="28">
        <f t="shared" si="2"/>
        <v>267.55666666666673</v>
      </c>
      <c r="L36" s="28">
        <f t="shared" si="2"/>
        <v>29.017916666666665</v>
      </c>
      <c r="M36" s="28">
        <f t="shared" si="2"/>
        <v>87.216666666666683</v>
      </c>
      <c r="N36" s="28">
        <f t="shared" si="2"/>
        <v>229.69583333333335</v>
      </c>
      <c r="O36" s="28">
        <f t="shared" si="2"/>
        <v>0</v>
      </c>
      <c r="P36" s="28">
        <f t="shared" si="2"/>
        <v>0.53583333333333327</v>
      </c>
      <c r="Q36" s="28">
        <f t="shared" si="2"/>
        <v>9.6145833333333357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2.537118037219122</v>
      </c>
      <c r="C37" s="28">
        <f t="shared" ref="C37:Q37" si="3">STDEV(C9:C32)</f>
        <v>3.4373750306664639</v>
      </c>
      <c r="D37" s="28">
        <f t="shared" si="3"/>
        <v>2.3739105815669195</v>
      </c>
      <c r="E37" s="28">
        <f t="shared" si="3"/>
        <v>0.43133429652917576</v>
      </c>
      <c r="F37" s="28">
        <f t="shared" si="3"/>
        <v>3.7286088441996004</v>
      </c>
      <c r="G37" s="28">
        <f t="shared" si="3"/>
        <v>12.674960337816351</v>
      </c>
      <c r="H37" s="28">
        <f t="shared" si="3"/>
        <v>3.9545954739162514</v>
      </c>
      <c r="I37" s="28">
        <f t="shared" si="3"/>
        <v>0.5412118406042622</v>
      </c>
      <c r="J37" s="28">
        <f t="shared" si="3"/>
        <v>0.10648195056957553</v>
      </c>
      <c r="K37" s="28">
        <f t="shared" si="3"/>
        <v>128.44806806023115</v>
      </c>
      <c r="L37" s="28">
        <f t="shared" si="3"/>
        <v>3.521751020958674</v>
      </c>
      <c r="M37" s="28">
        <f t="shared" si="3"/>
        <v>14.691485752747576</v>
      </c>
      <c r="N37" s="28">
        <f t="shared" si="3"/>
        <v>291.49089251066943</v>
      </c>
      <c r="O37" s="28">
        <f t="shared" si="3"/>
        <v>0</v>
      </c>
      <c r="P37" s="28">
        <f t="shared" si="3"/>
        <v>0.1618887612358956</v>
      </c>
      <c r="Q37" s="28">
        <f t="shared" si="3"/>
        <v>5.0897737770404074E-3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>COUNT(I9:I32)+11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5" sqref="G55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3" width="11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02/10/2024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84</v>
      </c>
      <c r="B9" s="53">
        <v>5.9</v>
      </c>
      <c r="C9" s="53">
        <v>6.41</v>
      </c>
      <c r="D9" s="53">
        <v>8.08</v>
      </c>
      <c r="E9" s="53">
        <v>5.38</v>
      </c>
      <c r="F9" s="53">
        <v>4.3499999999999996</v>
      </c>
      <c r="G9" s="53">
        <v>38.659999999999997</v>
      </c>
      <c r="H9" s="53">
        <v>15.58</v>
      </c>
      <c r="I9" s="53">
        <v>3.2</v>
      </c>
      <c r="J9" s="53">
        <v>0.56000000000000005</v>
      </c>
      <c r="K9" s="53">
        <v>348.53</v>
      </c>
      <c r="L9" s="53">
        <v>26.36</v>
      </c>
      <c r="M9" s="53">
        <v>101.65</v>
      </c>
      <c r="N9" s="53">
        <v>26.1</v>
      </c>
      <c r="O9" s="53">
        <v>0</v>
      </c>
      <c r="P9" s="53">
        <v>0.57999999999999996</v>
      </c>
      <c r="Q9" s="53">
        <v>9.61</v>
      </c>
      <c r="R9" s="43"/>
      <c r="S9" s="43"/>
      <c r="T9" s="43"/>
      <c r="U9" s="43"/>
    </row>
    <row r="10" spans="1:21" s="11" customFormat="1" x14ac:dyDescent="0.25">
      <c r="A10" s="52" t="s">
        <v>85</v>
      </c>
      <c r="B10" s="53">
        <v>5.23</v>
      </c>
      <c r="C10" s="53">
        <v>5.84</v>
      </c>
      <c r="D10" s="53">
        <v>7.25</v>
      </c>
      <c r="E10" s="53">
        <v>5.18</v>
      </c>
      <c r="F10" s="53">
        <v>5.87</v>
      </c>
      <c r="G10" s="53">
        <v>38.24</v>
      </c>
      <c r="H10" s="53">
        <v>15.81</v>
      </c>
      <c r="I10" s="53">
        <v>2.93</v>
      </c>
      <c r="J10" s="53">
        <v>0.38</v>
      </c>
      <c r="K10" s="53">
        <v>353.02</v>
      </c>
      <c r="L10" s="53">
        <v>26.03</v>
      </c>
      <c r="M10" s="53">
        <v>102.21</v>
      </c>
      <c r="N10" s="53">
        <v>26.1</v>
      </c>
      <c r="O10" s="53">
        <v>0</v>
      </c>
      <c r="P10" s="53">
        <v>0.48</v>
      </c>
      <c r="Q10" s="53">
        <v>9.6199999999999992</v>
      </c>
      <c r="R10" s="43"/>
      <c r="S10" s="43"/>
      <c r="T10" s="43"/>
      <c r="U10" s="43"/>
    </row>
    <row r="11" spans="1:21" s="11" customFormat="1" x14ac:dyDescent="0.25">
      <c r="A11" s="52" t="s">
        <v>86</v>
      </c>
      <c r="B11" s="53">
        <v>4.51</v>
      </c>
      <c r="C11" s="53">
        <v>5.44</v>
      </c>
      <c r="D11" s="53">
        <v>6.46</v>
      </c>
      <c r="E11" s="53">
        <v>5.34</v>
      </c>
      <c r="F11" s="53">
        <v>4.5999999999999996</v>
      </c>
      <c r="G11" s="53">
        <v>37.630000000000003</v>
      </c>
      <c r="H11" s="53">
        <v>14.65</v>
      </c>
      <c r="I11" s="53">
        <v>2.85</v>
      </c>
      <c r="J11" s="53">
        <v>0.51</v>
      </c>
      <c r="K11" s="53">
        <v>341.14</v>
      </c>
      <c r="L11" s="53">
        <v>25.52</v>
      </c>
      <c r="M11" s="53">
        <v>102.23</v>
      </c>
      <c r="N11" s="53">
        <v>26.1</v>
      </c>
      <c r="O11" s="53">
        <v>0</v>
      </c>
      <c r="P11" s="53">
        <v>0.53</v>
      </c>
      <c r="Q11" s="53">
        <v>9.6199999999999992</v>
      </c>
      <c r="R11" s="43"/>
      <c r="S11" s="43"/>
      <c r="T11" s="43"/>
      <c r="U11" s="43"/>
    </row>
    <row r="12" spans="1:21" s="11" customFormat="1" x14ac:dyDescent="0.25">
      <c r="A12" s="52" t="s">
        <v>87</v>
      </c>
      <c r="B12" s="53">
        <v>3.21</v>
      </c>
      <c r="C12" s="53">
        <v>5.38</v>
      </c>
      <c r="D12" s="53">
        <v>5.34</v>
      </c>
      <c r="E12" s="53">
        <v>5.47</v>
      </c>
      <c r="F12" s="53">
        <v>4.09</v>
      </c>
      <c r="G12" s="53">
        <v>33.82</v>
      </c>
      <c r="H12" s="53">
        <v>14.63</v>
      </c>
      <c r="I12" s="53">
        <v>3.62</v>
      </c>
      <c r="J12" s="53">
        <v>0.5</v>
      </c>
      <c r="K12" s="53">
        <v>346.75</v>
      </c>
      <c r="L12" s="53">
        <v>25.45</v>
      </c>
      <c r="M12" s="53">
        <v>102.23</v>
      </c>
      <c r="N12" s="53">
        <v>26.1</v>
      </c>
      <c r="O12" s="53">
        <v>0</v>
      </c>
      <c r="P12" s="53">
        <v>0.48</v>
      </c>
      <c r="Q12" s="53">
        <v>9.61</v>
      </c>
      <c r="R12" s="43"/>
      <c r="S12" s="43"/>
      <c r="T12" s="43"/>
      <c r="U12" s="43"/>
    </row>
    <row r="13" spans="1:21" s="11" customFormat="1" x14ac:dyDescent="0.25">
      <c r="A13" s="52" t="s">
        <v>88</v>
      </c>
      <c r="B13" s="53">
        <v>3.56</v>
      </c>
      <c r="C13" s="53">
        <v>5.91</v>
      </c>
      <c r="D13" s="53">
        <v>5.94</v>
      </c>
      <c r="E13" s="53">
        <v>4.7699999999999996</v>
      </c>
      <c r="F13" s="53">
        <v>4.62</v>
      </c>
      <c r="G13" s="53">
        <v>34.97</v>
      </c>
      <c r="H13" s="53">
        <v>15.56</v>
      </c>
      <c r="I13" s="53">
        <v>3.78</v>
      </c>
      <c r="J13" s="53">
        <v>0.49</v>
      </c>
      <c r="K13" s="53">
        <v>341.7</v>
      </c>
      <c r="L13" s="53">
        <v>25.25</v>
      </c>
      <c r="M13" s="53">
        <v>102.23</v>
      </c>
      <c r="N13" s="53">
        <v>26.1</v>
      </c>
      <c r="O13" s="53">
        <v>0</v>
      </c>
      <c r="P13" s="53">
        <v>0.51</v>
      </c>
      <c r="Q13" s="53">
        <v>9.61</v>
      </c>
      <c r="R13" s="43"/>
      <c r="S13" s="43"/>
      <c r="T13" s="43"/>
      <c r="U13" s="43"/>
    </row>
    <row r="14" spans="1:21" s="11" customFormat="1" x14ac:dyDescent="0.25">
      <c r="A14" s="52" t="s">
        <v>89</v>
      </c>
      <c r="B14" s="53">
        <v>5.35</v>
      </c>
      <c r="C14" s="53">
        <v>6.19</v>
      </c>
      <c r="D14" s="53">
        <v>7.52</v>
      </c>
      <c r="E14" s="53">
        <v>5.01</v>
      </c>
      <c r="F14" s="53">
        <v>4.4800000000000004</v>
      </c>
      <c r="G14" s="53">
        <v>41.08</v>
      </c>
      <c r="H14" s="53">
        <v>20.3</v>
      </c>
      <c r="I14" s="53">
        <v>4.49</v>
      </c>
      <c r="J14" s="53">
        <v>0.45</v>
      </c>
      <c r="K14" s="53">
        <v>346.17</v>
      </c>
      <c r="L14" s="53">
        <v>24.74</v>
      </c>
      <c r="M14" s="53">
        <v>102.28</v>
      </c>
      <c r="N14" s="53">
        <v>27.9</v>
      </c>
      <c r="O14" s="53">
        <v>0</v>
      </c>
      <c r="P14" s="53">
        <v>0.53</v>
      </c>
      <c r="Q14" s="53">
        <v>9.6300000000000008</v>
      </c>
      <c r="R14" s="43"/>
      <c r="S14" s="43"/>
      <c r="T14" s="43"/>
      <c r="U14" s="43"/>
    </row>
    <row r="15" spans="1:21" s="11" customFormat="1" x14ac:dyDescent="0.25">
      <c r="A15" s="52" t="s">
        <v>90</v>
      </c>
      <c r="B15" s="53">
        <v>7.37</v>
      </c>
      <c r="C15" s="53">
        <v>6.72</v>
      </c>
      <c r="D15" s="53">
        <v>9.42</v>
      </c>
      <c r="E15" s="53">
        <v>5.16</v>
      </c>
      <c r="F15" s="53">
        <v>4.55</v>
      </c>
      <c r="G15" s="53">
        <v>48.37</v>
      </c>
      <c r="H15" s="53">
        <v>20.87</v>
      </c>
      <c r="I15" s="53">
        <v>3.85</v>
      </c>
      <c r="J15" s="53">
        <v>0.37</v>
      </c>
      <c r="K15" s="53">
        <v>337.24</v>
      </c>
      <c r="L15" s="53">
        <v>26.69</v>
      </c>
      <c r="M15" s="53">
        <v>102.28</v>
      </c>
      <c r="N15" s="53">
        <v>142.19999999999999</v>
      </c>
      <c r="O15" s="53">
        <v>0</v>
      </c>
      <c r="P15" s="53">
        <v>0.55000000000000004</v>
      </c>
      <c r="Q15" s="53">
        <v>9.61</v>
      </c>
      <c r="R15" s="43"/>
      <c r="S15" s="43"/>
      <c r="T15" s="43"/>
      <c r="U15" s="43"/>
    </row>
    <row r="16" spans="1:21" s="11" customFormat="1" x14ac:dyDescent="0.25">
      <c r="A16" s="52" t="s">
        <v>91</v>
      </c>
      <c r="B16" s="53">
        <v>7.38</v>
      </c>
      <c r="C16" s="53">
        <v>6.81</v>
      </c>
      <c r="D16" s="53">
        <v>9.41</v>
      </c>
      <c r="E16" s="53">
        <v>5.38</v>
      </c>
      <c r="F16" s="53">
        <v>4.1900000000000004</v>
      </c>
      <c r="G16" s="53">
        <v>55.9</v>
      </c>
      <c r="H16" s="53">
        <v>23</v>
      </c>
      <c r="I16" s="53">
        <v>4.26</v>
      </c>
      <c r="J16" s="53">
        <v>0.53</v>
      </c>
      <c r="K16" s="53">
        <v>354.05</v>
      </c>
      <c r="L16" s="53">
        <v>30.59</v>
      </c>
      <c r="M16" s="53">
        <v>94.9</v>
      </c>
      <c r="N16" s="53">
        <v>362.3</v>
      </c>
      <c r="O16" s="53">
        <v>0</v>
      </c>
      <c r="P16" s="53">
        <v>0.52</v>
      </c>
      <c r="Q16" s="53">
        <v>9.61</v>
      </c>
      <c r="R16" s="43"/>
      <c r="S16" s="43"/>
      <c r="T16" s="43"/>
      <c r="U16" s="43"/>
    </row>
    <row r="17" spans="1:21" s="11" customFormat="1" x14ac:dyDescent="0.25">
      <c r="A17" s="52" t="s">
        <v>92</v>
      </c>
      <c r="B17" s="53">
        <v>6.8</v>
      </c>
      <c r="C17" s="53">
        <v>7.34</v>
      </c>
      <c r="D17" s="53">
        <v>9.08</v>
      </c>
      <c r="E17" s="53">
        <v>5.28</v>
      </c>
      <c r="F17" s="53">
        <v>4.3099999999999996</v>
      </c>
      <c r="G17" s="53">
        <v>53.89</v>
      </c>
      <c r="H17" s="53">
        <v>23.93</v>
      </c>
      <c r="I17" s="53">
        <v>4.24</v>
      </c>
      <c r="J17" s="53">
        <v>0.62</v>
      </c>
      <c r="K17" s="53">
        <v>348.13</v>
      </c>
      <c r="L17" s="53">
        <v>33.090000000000003</v>
      </c>
      <c r="M17" s="53">
        <v>80.06</v>
      </c>
      <c r="N17" s="53">
        <v>547.70000000000005</v>
      </c>
      <c r="O17" s="53">
        <v>0</v>
      </c>
      <c r="P17" s="53">
        <v>0.7</v>
      </c>
      <c r="Q17" s="53">
        <v>9.61</v>
      </c>
      <c r="R17" s="43"/>
      <c r="S17" s="43"/>
      <c r="T17" s="43"/>
      <c r="U17" s="43"/>
    </row>
    <row r="18" spans="1:21" s="11" customFormat="1" x14ac:dyDescent="0.25">
      <c r="A18" s="52" t="s">
        <v>93</v>
      </c>
      <c r="B18" s="53">
        <v>6.65</v>
      </c>
      <c r="C18" s="53">
        <v>9.0500000000000007</v>
      </c>
      <c r="D18" s="53">
        <v>9.56</v>
      </c>
      <c r="E18" s="53">
        <v>5.18</v>
      </c>
      <c r="F18" s="53">
        <v>4.5</v>
      </c>
      <c r="G18" s="53">
        <v>51.86</v>
      </c>
      <c r="H18" s="53">
        <v>25.07</v>
      </c>
      <c r="I18" s="53">
        <v>4.07</v>
      </c>
      <c r="J18" s="53">
        <v>0.96</v>
      </c>
      <c r="K18" s="53">
        <v>328.12</v>
      </c>
      <c r="L18" s="53">
        <v>35.909999999999997</v>
      </c>
      <c r="M18" s="53">
        <v>69.069999999999993</v>
      </c>
      <c r="N18" s="53">
        <v>698</v>
      </c>
      <c r="O18" s="53">
        <v>0</v>
      </c>
      <c r="P18" s="53">
        <v>0.62</v>
      </c>
      <c r="Q18" s="53">
        <v>9.6300000000000008</v>
      </c>
      <c r="R18" s="43"/>
      <c r="S18" s="43"/>
      <c r="T18" s="43"/>
      <c r="U18" s="43"/>
    </row>
    <row r="19" spans="1:21" s="11" customFormat="1" x14ac:dyDescent="0.25">
      <c r="A19" s="52" t="s">
        <v>94</v>
      </c>
      <c r="B19" s="53">
        <v>5.53</v>
      </c>
      <c r="C19" s="53">
        <v>10.97</v>
      </c>
      <c r="D19" s="53">
        <v>9.64</v>
      </c>
      <c r="E19" s="53">
        <v>5.38</v>
      </c>
      <c r="F19" s="53">
        <v>5.31</v>
      </c>
      <c r="G19" s="53">
        <v>53.87</v>
      </c>
      <c r="H19" s="53">
        <v>25.03</v>
      </c>
      <c r="I19" s="53">
        <v>3.67</v>
      </c>
      <c r="J19" s="53">
        <v>1.57</v>
      </c>
      <c r="K19" s="53">
        <v>327.67</v>
      </c>
      <c r="L19" s="53">
        <v>35.9</v>
      </c>
      <c r="M19" s="53">
        <v>60.01</v>
      </c>
      <c r="N19" s="53">
        <v>861</v>
      </c>
      <c r="O19" s="53">
        <v>0</v>
      </c>
      <c r="P19" s="53">
        <v>0.59</v>
      </c>
      <c r="Q19" s="53">
        <v>9.6199999999999992</v>
      </c>
      <c r="R19" s="43"/>
      <c r="S19" s="43"/>
      <c r="T19" s="43"/>
      <c r="U19" s="43"/>
    </row>
    <row r="20" spans="1:21" s="11" customFormat="1" x14ac:dyDescent="0.25">
      <c r="A20" s="52" t="s">
        <v>95</v>
      </c>
      <c r="B20" s="53">
        <v>2.57</v>
      </c>
      <c r="C20" s="53">
        <v>10.79</v>
      </c>
      <c r="D20" s="53">
        <v>7.7</v>
      </c>
      <c r="E20" s="53">
        <v>5.41</v>
      </c>
      <c r="F20" s="53">
        <v>5.73</v>
      </c>
      <c r="G20" s="53">
        <v>51.65</v>
      </c>
      <c r="H20" s="53">
        <v>21.77</v>
      </c>
      <c r="I20" s="53">
        <v>3.27</v>
      </c>
      <c r="J20" s="53">
        <v>1.99</v>
      </c>
      <c r="K20" s="53">
        <v>327.24</v>
      </c>
      <c r="L20" s="53">
        <v>36.1</v>
      </c>
      <c r="M20" s="53">
        <v>55.54</v>
      </c>
      <c r="N20" s="53">
        <v>711.6</v>
      </c>
      <c r="O20" s="53">
        <v>0</v>
      </c>
      <c r="P20" s="53">
        <v>0.55000000000000004</v>
      </c>
      <c r="Q20" s="53">
        <v>9.6199999999999992</v>
      </c>
      <c r="R20" s="43"/>
      <c r="S20" s="43"/>
      <c r="T20" s="43"/>
      <c r="U20" s="43"/>
    </row>
    <row r="21" spans="1:21" s="11" customFormat="1" x14ac:dyDescent="0.25">
      <c r="A21" s="52" t="s">
        <v>96</v>
      </c>
      <c r="B21" s="53">
        <v>2.27</v>
      </c>
      <c r="C21" s="53">
        <v>10.63</v>
      </c>
      <c r="D21" s="53">
        <v>7.38</v>
      </c>
      <c r="E21" s="53">
        <v>6.11</v>
      </c>
      <c r="F21" s="53">
        <v>4.72</v>
      </c>
      <c r="G21" s="53">
        <v>51.23</v>
      </c>
      <c r="H21" s="53">
        <v>16.760000000000002</v>
      </c>
      <c r="I21" s="53">
        <v>2.46</v>
      </c>
      <c r="J21" s="53">
        <v>1.1200000000000001</v>
      </c>
      <c r="K21" s="53">
        <v>329.32</v>
      </c>
      <c r="L21" s="53">
        <v>35.31</v>
      </c>
      <c r="M21" s="53">
        <v>54.27</v>
      </c>
      <c r="N21" s="53">
        <v>463.6</v>
      </c>
      <c r="O21" s="53">
        <v>0</v>
      </c>
      <c r="P21" s="53">
        <v>0.53</v>
      </c>
      <c r="Q21" s="53">
        <v>9.6</v>
      </c>
      <c r="R21" s="43"/>
      <c r="S21" s="43"/>
      <c r="T21" s="43"/>
      <c r="U21" s="43"/>
    </row>
    <row r="22" spans="1:21" s="11" customFormat="1" x14ac:dyDescent="0.25">
      <c r="A22" s="52" t="s">
        <v>97</v>
      </c>
      <c r="B22" s="53">
        <v>2.1</v>
      </c>
      <c r="C22" s="53">
        <v>11</v>
      </c>
      <c r="D22" s="53">
        <v>6.78</v>
      </c>
      <c r="E22" s="53">
        <v>6.4</v>
      </c>
      <c r="F22" s="53">
        <v>9.5500000000000007</v>
      </c>
      <c r="G22" s="53">
        <v>49.86</v>
      </c>
      <c r="H22" s="53">
        <v>16.68</v>
      </c>
      <c r="I22" s="53">
        <v>1.82</v>
      </c>
      <c r="J22" s="53">
        <v>1.58</v>
      </c>
      <c r="K22" s="53">
        <v>331.19</v>
      </c>
      <c r="L22" s="53">
        <v>34.729999999999997</v>
      </c>
      <c r="M22" s="53">
        <v>54.67</v>
      </c>
      <c r="N22" s="53">
        <v>385.2</v>
      </c>
      <c r="O22" s="53">
        <v>0</v>
      </c>
      <c r="P22" s="53">
        <v>0.49</v>
      </c>
      <c r="Q22" s="53">
        <v>9.6199999999999992</v>
      </c>
      <c r="R22" s="43"/>
      <c r="S22" s="43"/>
      <c r="T22" s="43"/>
      <c r="U22" s="43"/>
    </row>
    <row r="23" spans="1:21" s="11" customFormat="1" x14ac:dyDescent="0.25">
      <c r="A23" s="52" t="s">
        <v>98</v>
      </c>
      <c r="B23" s="53">
        <v>1.89</v>
      </c>
      <c r="C23" s="53">
        <v>16.63</v>
      </c>
      <c r="D23" s="53">
        <v>10.199999999999999</v>
      </c>
      <c r="E23" s="53">
        <v>7.09</v>
      </c>
      <c r="F23" s="53">
        <v>12.92</v>
      </c>
      <c r="G23" s="53">
        <v>48.98</v>
      </c>
      <c r="H23" s="53">
        <v>15.22</v>
      </c>
      <c r="I23" s="53">
        <v>1.53</v>
      </c>
      <c r="J23" s="53">
        <v>1.23</v>
      </c>
      <c r="K23" s="53">
        <v>332.59</v>
      </c>
      <c r="L23" s="53">
        <v>34.08</v>
      </c>
      <c r="M23" s="53">
        <v>58.47</v>
      </c>
      <c r="N23" s="53">
        <v>250</v>
      </c>
      <c r="O23" s="53">
        <v>0</v>
      </c>
      <c r="P23" s="53">
        <v>0.44</v>
      </c>
      <c r="Q23" s="53">
        <v>9.61</v>
      </c>
      <c r="R23" s="43"/>
      <c r="S23" s="43"/>
      <c r="T23" s="43"/>
      <c r="U23" s="43"/>
    </row>
    <row r="24" spans="1:21" s="11" customFormat="1" x14ac:dyDescent="0.25">
      <c r="A24" s="52" t="s">
        <v>99</v>
      </c>
      <c r="B24" s="53">
        <v>2.27</v>
      </c>
      <c r="C24" s="53">
        <v>15.87</v>
      </c>
      <c r="D24" s="53">
        <v>9.77</v>
      </c>
      <c r="E24" s="53">
        <v>6.93</v>
      </c>
      <c r="F24" s="53">
        <v>6.63</v>
      </c>
      <c r="G24" s="53">
        <v>57.12</v>
      </c>
      <c r="H24" s="53">
        <v>15.49</v>
      </c>
      <c r="I24" s="53">
        <v>1.51</v>
      </c>
      <c r="J24" s="53">
        <v>1.03</v>
      </c>
      <c r="K24" s="53">
        <v>333.49</v>
      </c>
      <c r="L24" s="53">
        <v>32.479999999999997</v>
      </c>
      <c r="M24" s="53">
        <v>61.84</v>
      </c>
      <c r="N24" s="53">
        <v>170.3</v>
      </c>
      <c r="O24" s="53">
        <v>0</v>
      </c>
      <c r="P24" s="53">
        <v>0.48</v>
      </c>
      <c r="Q24" s="53">
        <v>9.61</v>
      </c>
      <c r="R24" s="43"/>
      <c r="S24" s="43"/>
      <c r="T24" s="43"/>
      <c r="U24" s="43"/>
    </row>
    <row r="25" spans="1:21" s="11" customFormat="1" x14ac:dyDescent="0.25">
      <c r="A25" s="52" t="s">
        <v>100</v>
      </c>
      <c r="B25" s="53">
        <v>1.32</v>
      </c>
      <c r="C25" s="53">
        <v>14.38</v>
      </c>
      <c r="D25" s="53">
        <v>8.58</v>
      </c>
      <c r="E25" s="53">
        <v>6.92</v>
      </c>
      <c r="F25" s="53">
        <v>7.13</v>
      </c>
      <c r="G25" s="53">
        <v>56.13</v>
      </c>
      <c r="H25" s="53">
        <v>17.350000000000001</v>
      </c>
      <c r="I25" s="53">
        <v>1.43</v>
      </c>
      <c r="J25" s="53">
        <v>0.47</v>
      </c>
      <c r="K25" s="53">
        <v>349.55</v>
      </c>
      <c r="L25" s="53">
        <v>31.46</v>
      </c>
      <c r="M25" s="53">
        <v>64.73</v>
      </c>
      <c r="N25" s="53">
        <v>123.5</v>
      </c>
      <c r="O25" s="53">
        <v>0</v>
      </c>
      <c r="P25" s="53">
        <v>0.63</v>
      </c>
      <c r="Q25" s="53">
        <v>9.6199999999999992</v>
      </c>
      <c r="R25" s="43"/>
      <c r="S25" s="43"/>
      <c r="T25" s="43"/>
      <c r="U25" s="43"/>
    </row>
    <row r="26" spans="1:21" s="11" customFormat="1" x14ac:dyDescent="0.25">
      <c r="A26" s="52" t="s">
        <v>101</v>
      </c>
      <c r="B26" s="53">
        <v>1.73</v>
      </c>
      <c r="C26" s="53">
        <v>11.99</v>
      </c>
      <c r="D26" s="53">
        <v>7.6</v>
      </c>
      <c r="E26" s="53">
        <v>6.71</v>
      </c>
      <c r="F26" s="53">
        <v>7.3</v>
      </c>
      <c r="G26" s="53">
        <v>51.08</v>
      </c>
      <c r="H26" s="53">
        <v>16.29</v>
      </c>
      <c r="I26" s="53">
        <v>1.72</v>
      </c>
      <c r="J26" s="53">
        <v>0.19</v>
      </c>
      <c r="K26" s="53">
        <v>336.68</v>
      </c>
      <c r="L26" s="53">
        <v>30.62</v>
      </c>
      <c r="M26" s="53">
        <v>79.98</v>
      </c>
      <c r="N26" s="53">
        <v>60.8</v>
      </c>
      <c r="O26" s="53">
        <v>0</v>
      </c>
      <c r="P26" s="53">
        <v>0.57999999999999996</v>
      </c>
      <c r="Q26" s="53">
        <v>9.6199999999999992</v>
      </c>
      <c r="R26" s="43"/>
      <c r="S26" s="43"/>
      <c r="T26" s="43"/>
      <c r="U26" s="43"/>
    </row>
    <row r="27" spans="1:21" s="11" customFormat="1" x14ac:dyDescent="0.25">
      <c r="A27" s="52" t="s">
        <v>102</v>
      </c>
      <c r="B27" s="53">
        <v>1.74</v>
      </c>
      <c r="C27" s="53">
        <v>10.43</v>
      </c>
      <c r="D27" s="53">
        <v>6.59</v>
      </c>
      <c r="E27" s="53">
        <v>6.3</v>
      </c>
      <c r="F27" s="53">
        <v>5.81</v>
      </c>
      <c r="G27" s="53">
        <v>66.760000000000005</v>
      </c>
      <c r="H27" s="53">
        <v>15.48</v>
      </c>
      <c r="I27" s="53">
        <v>1.63</v>
      </c>
      <c r="J27" s="53">
        <v>0.22</v>
      </c>
      <c r="K27" s="53">
        <v>133.99</v>
      </c>
      <c r="L27" s="53">
        <v>28.73</v>
      </c>
      <c r="M27" s="53">
        <v>88.93</v>
      </c>
      <c r="N27" s="53">
        <v>26.6</v>
      </c>
      <c r="O27" s="53">
        <v>0</v>
      </c>
      <c r="P27" s="53">
        <v>0.55000000000000004</v>
      </c>
      <c r="Q27" s="53">
        <v>9.6</v>
      </c>
      <c r="R27" s="43"/>
      <c r="S27" s="43"/>
      <c r="T27" s="43"/>
      <c r="U27" s="43"/>
    </row>
    <row r="28" spans="1:21" s="11" customFormat="1" x14ac:dyDescent="0.25">
      <c r="A28" s="52" t="s">
        <v>103</v>
      </c>
      <c r="B28" s="53">
        <v>2</v>
      </c>
      <c r="C28" s="53">
        <v>8.7200000000000006</v>
      </c>
      <c r="D28" s="53">
        <v>5.92</v>
      </c>
      <c r="E28" s="53">
        <v>6.25</v>
      </c>
      <c r="F28" s="53">
        <v>6.09</v>
      </c>
      <c r="G28" s="53">
        <v>62.53</v>
      </c>
      <c r="H28" s="53">
        <v>14.67</v>
      </c>
      <c r="I28" s="53">
        <v>2.11</v>
      </c>
      <c r="J28" s="53">
        <v>0.51</v>
      </c>
      <c r="K28" s="53">
        <v>120.51</v>
      </c>
      <c r="L28" s="53">
        <v>27.98</v>
      </c>
      <c r="M28" s="53">
        <v>96.83</v>
      </c>
      <c r="N28" s="53">
        <v>26.1</v>
      </c>
      <c r="O28" s="53">
        <v>0</v>
      </c>
      <c r="P28" s="53">
        <v>0.48</v>
      </c>
      <c r="Q28" s="53">
        <v>9.6199999999999992</v>
      </c>
      <c r="R28" s="43"/>
      <c r="S28" s="43"/>
      <c r="T28" s="43"/>
      <c r="U28" s="43"/>
    </row>
    <row r="29" spans="1:21" s="11" customFormat="1" x14ac:dyDescent="0.25">
      <c r="A29" s="52" t="s">
        <v>104</v>
      </c>
      <c r="B29" s="53">
        <v>2.41</v>
      </c>
      <c r="C29" s="53">
        <v>7.2</v>
      </c>
      <c r="D29" s="53">
        <v>5.56</v>
      </c>
      <c r="E29" s="53">
        <v>4.78</v>
      </c>
      <c r="F29" s="53">
        <v>4.43</v>
      </c>
      <c r="G29" s="53">
        <v>49.61</v>
      </c>
      <c r="H29" s="53">
        <v>13.29</v>
      </c>
      <c r="I29" s="53">
        <v>1.94</v>
      </c>
      <c r="J29" s="53">
        <v>0.22</v>
      </c>
      <c r="K29" s="53">
        <v>87.83</v>
      </c>
      <c r="L29" s="53">
        <v>27.41</v>
      </c>
      <c r="M29" s="53">
        <v>95.11</v>
      </c>
      <c r="N29" s="53">
        <v>26.1</v>
      </c>
      <c r="O29" s="53">
        <v>0</v>
      </c>
      <c r="P29" s="53">
        <v>0.53</v>
      </c>
      <c r="Q29" s="53">
        <v>9.6300000000000008</v>
      </c>
      <c r="R29" s="43"/>
      <c r="S29" s="43"/>
      <c r="T29" s="43"/>
      <c r="U29" s="43"/>
    </row>
    <row r="30" spans="1:21" s="11" customFormat="1" x14ac:dyDescent="0.25">
      <c r="A30" s="52" t="s">
        <v>105</v>
      </c>
      <c r="B30" s="53">
        <v>3.9</v>
      </c>
      <c r="C30" s="53">
        <v>6.8</v>
      </c>
      <c r="D30" s="53">
        <v>6.68</v>
      </c>
      <c r="E30" s="53">
        <v>4.8</v>
      </c>
      <c r="F30" s="53">
        <v>4.72</v>
      </c>
      <c r="G30" s="53">
        <v>42.75</v>
      </c>
      <c r="H30" s="53">
        <v>14.31</v>
      </c>
      <c r="I30" s="53">
        <v>2.29</v>
      </c>
      <c r="J30" s="53">
        <v>0.33</v>
      </c>
      <c r="K30" s="53">
        <v>356.46</v>
      </c>
      <c r="L30" s="53">
        <v>27.39</v>
      </c>
      <c r="M30" s="53">
        <v>96.2</v>
      </c>
      <c r="N30" s="53">
        <v>26.1</v>
      </c>
      <c r="O30" s="53">
        <v>0</v>
      </c>
      <c r="P30" s="53">
        <v>0.73</v>
      </c>
      <c r="Q30" s="53">
        <v>9.61</v>
      </c>
      <c r="R30" s="43"/>
      <c r="S30" s="43"/>
      <c r="T30" s="43"/>
      <c r="U30" s="43"/>
    </row>
    <row r="31" spans="1:21" s="11" customFormat="1" x14ac:dyDescent="0.25">
      <c r="A31" s="52" t="s">
        <v>106</v>
      </c>
      <c r="B31" s="53">
        <v>5</v>
      </c>
      <c r="C31" s="53">
        <v>6.97</v>
      </c>
      <c r="D31" s="53">
        <v>7.66</v>
      </c>
      <c r="E31" s="53">
        <v>4.66</v>
      </c>
      <c r="F31" s="53">
        <v>4.6399999999999997</v>
      </c>
      <c r="G31" s="53">
        <v>42.82</v>
      </c>
      <c r="H31" s="53">
        <v>14.7</v>
      </c>
      <c r="I31" s="53">
        <v>1.99</v>
      </c>
      <c r="J31" s="53">
        <v>0.33</v>
      </c>
      <c r="K31" s="53">
        <v>351.69</v>
      </c>
      <c r="L31" s="53">
        <v>26.8</v>
      </c>
      <c r="M31" s="53">
        <v>98.67</v>
      </c>
      <c r="N31" s="53">
        <v>26.1</v>
      </c>
      <c r="O31" s="53">
        <v>0</v>
      </c>
      <c r="P31" s="53">
        <v>0.65</v>
      </c>
      <c r="Q31" s="53">
        <v>9.61</v>
      </c>
      <c r="R31" s="43"/>
      <c r="S31" s="43"/>
      <c r="T31" s="43"/>
      <c r="U31" s="43"/>
    </row>
    <row r="32" spans="1:21" s="11" customFormat="1" x14ac:dyDescent="0.25">
      <c r="A32" s="52" t="s">
        <v>107</v>
      </c>
      <c r="B32" s="53">
        <v>5.01</v>
      </c>
      <c r="C32" s="53">
        <v>6.96</v>
      </c>
      <c r="D32" s="53">
        <v>7.65</v>
      </c>
      <c r="E32" s="53">
        <v>4.93</v>
      </c>
      <c r="F32" s="53">
        <v>4.6100000000000003</v>
      </c>
      <c r="G32" s="53">
        <v>43.04</v>
      </c>
      <c r="H32" s="53">
        <v>14.63</v>
      </c>
      <c r="I32" s="53">
        <v>1.99</v>
      </c>
      <c r="J32" s="53">
        <v>0.72</v>
      </c>
      <c r="K32" s="53">
        <v>147.97999999999999</v>
      </c>
      <c r="L32" s="53">
        <v>26.26</v>
      </c>
      <c r="M32" s="53">
        <v>101.62</v>
      </c>
      <c r="N32" s="53">
        <v>26.1</v>
      </c>
      <c r="O32" s="53">
        <v>0</v>
      </c>
      <c r="P32" s="53">
        <v>0.45</v>
      </c>
      <c r="Q32" s="53">
        <v>9.61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1.32</v>
      </c>
      <c r="C34" s="28">
        <f t="shared" si="0"/>
        <v>5.38</v>
      </c>
      <c r="D34" s="28">
        <f t="shared" si="0"/>
        <v>5.34</v>
      </c>
      <c r="E34" s="28">
        <f t="shared" si="0"/>
        <v>4.66</v>
      </c>
      <c r="F34" s="28">
        <f t="shared" si="0"/>
        <v>4.09</v>
      </c>
      <c r="G34" s="28">
        <f t="shared" si="0"/>
        <v>33.82</v>
      </c>
      <c r="H34" s="28">
        <f t="shared" si="0"/>
        <v>13.29</v>
      </c>
      <c r="I34" s="28">
        <f t="shared" si="0"/>
        <v>1.43</v>
      </c>
      <c r="J34" s="28">
        <f t="shared" si="0"/>
        <v>0.19</v>
      </c>
      <c r="K34" s="28">
        <f t="shared" si="0"/>
        <v>87.83</v>
      </c>
      <c r="L34" s="28">
        <f t="shared" si="0"/>
        <v>24.74</v>
      </c>
      <c r="M34" s="28">
        <f t="shared" si="0"/>
        <v>54.27</v>
      </c>
      <c r="N34" s="28">
        <f t="shared" si="0"/>
        <v>26.1</v>
      </c>
      <c r="O34" s="28">
        <f t="shared" si="0"/>
        <v>0</v>
      </c>
      <c r="P34" s="28">
        <f t="shared" si="0"/>
        <v>0.44</v>
      </c>
      <c r="Q34" s="28">
        <f t="shared" si="0"/>
        <v>9.6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7.38</v>
      </c>
      <c r="C35" s="29">
        <f t="shared" si="1"/>
        <v>16.63</v>
      </c>
      <c r="D35" s="29">
        <f t="shared" si="1"/>
        <v>10.199999999999999</v>
      </c>
      <c r="E35" s="29">
        <f t="shared" si="1"/>
        <v>7.09</v>
      </c>
      <c r="F35" s="29">
        <f t="shared" si="1"/>
        <v>12.92</v>
      </c>
      <c r="G35" s="29">
        <f t="shared" si="1"/>
        <v>66.760000000000005</v>
      </c>
      <c r="H35" s="29">
        <f t="shared" si="1"/>
        <v>25.07</v>
      </c>
      <c r="I35" s="29">
        <f t="shared" si="1"/>
        <v>4.49</v>
      </c>
      <c r="J35" s="29">
        <f t="shared" si="1"/>
        <v>1.99</v>
      </c>
      <c r="K35" s="29">
        <f t="shared" si="1"/>
        <v>356.46</v>
      </c>
      <c r="L35" s="29">
        <f t="shared" si="1"/>
        <v>36.1</v>
      </c>
      <c r="M35" s="29">
        <f t="shared" si="1"/>
        <v>102.28</v>
      </c>
      <c r="N35" s="29">
        <f t="shared" si="1"/>
        <v>861</v>
      </c>
      <c r="O35" s="29">
        <f t="shared" si="1"/>
        <v>0</v>
      </c>
      <c r="P35" s="29">
        <f t="shared" si="1"/>
        <v>0.73</v>
      </c>
      <c r="Q35" s="29">
        <f t="shared" si="1"/>
        <v>9.6300000000000008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3.9874999999999989</v>
      </c>
      <c r="C36" s="28">
        <f t="shared" si="2"/>
        <v>8.9345833333333342</v>
      </c>
      <c r="D36" s="28">
        <f t="shared" si="2"/>
        <v>7.7404166666666674</v>
      </c>
      <c r="E36" s="28">
        <f t="shared" si="2"/>
        <v>5.6175000000000006</v>
      </c>
      <c r="F36" s="28">
        <f t="shared" si="2"/>
        <v>5.6312499999999988</v>
      </c>
      <c r="G36" s="28">
        <f t="shared" si="2"/>
        <v>48.410416666666663</v>
      </c>
      <c r="H36" s="28">
        <f t="shared" si="2"/>
        <v>17.544583333333339</v>
      </c>
      <c r="I36" s="28">
        <f t="shared" si="2"/>
        <v>2.7770833333333336</v>
      </c>
      <c r="J36" s="28">
        <f t="shared" si="2"/>
        <v>0.70333333333333325</v>
      </c>
      <c r="K36" s="28">
        <f t="shared" si="2"/>
        <v>304.62666666666661</v>
      </c>
      <c r="L36" s="28">
        <f t="shared" si="2"/>
        <v>29.786666666666665</v>
      </c>
      <c r="M36" s="28">
        <f t="shared" si="2"/>
        <v>84.417083333333323</v>
      </c>
      <c r="N36" s="28">
        <f t="shared" si="2"/>
        <v>212.15416666666678</v>
      </c>
      <c r="O36" s="28">
        <f t="shared" si="2"/>
        <v>0</v>
      </c>
      <c r="P36" s="28">
        <f t="shared" si="2"/>
        <v>0.54916666666666669</v>
      </c>
      <c r="Q36" s="28">
        <f t="shared" si="2"/>
        <v>9.615000000000002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1.9792186644580583</v>
      </c>
      <c r="C37" s="28">
        <f t="shared" ref="C37:Q37" si="3">STDEV(C9:C32)</f>
        <v>3.2842959395950566</v>
      </c>
      <c r="D37" s="28">
        <f t="shared" si="3"/>
        <v>1.442336507701748</v>
      </c>
      <c r="E37" s="28">
        <f t="shared" si="3"/>
        <v>0.76229772798227224</v>
      </c>
      <c r="F37" s="28">
        <f t="shared" si="3"/>
        <v>2.0189629548467396</v>
      </c>
      <c r="G37" s="28">
        <f t="shared" si="3"/>
        <v>8.5539284029729998</v>
      </c>
      <c r="H37" s="28">
        <f t="shared" si="3"/>
        <v>3.7163551325208801</v>
      </c>
      <c r="I37" s="28">
        <f t="shared" si="3"/>
        <v>1.0237886974866695</v>
      </c>
      <c r="J37" s="28">
        <f t="shared" si="3"/>
        <v>0.48283282431073815</v>
      </c>
      <c r="K37" s="28">
        <f t="shared" si="3"/>
        <v>84.158960341707612</v>
      </c>
      <c r="L37" s="28">
        <f t="shared" si="3"/>
        <v>3.9893583080672186</v>
      </c>
      <c r="M37" s="28">
        <f t="shared" si="3"/>
        <v>19.006083803823795</v>
      </c>
      <c r="N37" s="28">
        <f t="shared" si="3"/>
        <v>262.77653422329348</v>
      </c>
      <c r="O37" s="28">
        <f t="shared" si="3"/>
        <v>0</v>
      </c>
      <c r="P37" s="28">
        <f t="shared" si="3"/>
        <v>7.4886387377765193E-2</v>
      </c>
      <c r="Q37" s="28">
        <f t="shared" si="3"/>
        <v>8.340576562283231E-3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3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03/10/2024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108</v>
      </c>
      <c r="B9" s="53">
        <v>4.2</v>
      </c>
      <c r="C9" s="53">
        <v>6.36</v>
      </c>
      <c r="D9" s="53">
        <v>6.69</v>
      </c>
      <c r="E9" s="53">
        <v>5.36</v>
      </c>
      <c r="F9" s="53">
        <v>4.41</v>
      </c>
      <c r="G9" s="53">
        <v>42.01</v>
      </c>
      <c r="H9" s="53">
        <v>16.62</v>
      </c>
      <c r="I9" s="53">
        <v>2.23</v>
      </c>
      <c r="J9" s="53">
        <v>0.31</v>
      </c>
      <c r="K9" s="53">
        <v>337.85</v>
      </c>
      <c r="L9" s="53">
        <v>26.23</v>
      </c>
      <c r="M9" s="53">
        <v>100.15</v>
      </c>
      <c r="N9" s="53">
        <v>26.1</v>
      </c>
      <c r="O9" s="53">
        <v>0</v>
      </c>
      <c r="P9" s="53">
        <v>0.46</v>
      </c>
      <c r="Q9" s="53">
        <v>9.61</v>
      </c>
      <c r="R9" s="43"/>
      <c r="S9" s="43"/>
      <c r="T9" s="43"/>
      <c r="U9" s="43"/>
    </row>
    <row r="10" spans="1:21" s="11" customFormat="1" x14ac:dyDescent="0.25">
      <c r="A10" s="52" t="s">
        <v>109</v>
      </c>
      <c r="B10" s="53">
        <v>2.65</v>
      </c>
      <c r="C10" s="53">
        <v>5.52</v>
      </c>
      <c r="D10" s="53">
        <v>5.01</v>
      </c>
      <c r="E10" s="53">
        <v>5.37</v>
      </c>
      <c r="F10" s="53">
        <v>4.93</v>
      </c>
      <c r="G10" s="53">
        <v>38.090000000000003</v>
      </c>
      <c r="H10" s="53">
        <v>16.12</v>
      </c>
      <c r="I10" s="53">
        <v>2.65</v>
      </c>
      <c r="J10" s="53">
        <v>0.34</v>
      </c>
      <c r="K10" s="53">
        <v>17.309999999999999</v>
      </c>
      <c r="L10" s="53">
        <v>26.21</v>
      </c>
      <c r="M10" s="53">
        <v>100.35</v>
      </c>
      <c r="N10" s="53">
        <v>26.1</v>
      </c>
      <c r="O10" s="53">
        <v>0</v>
      </c>
      <c r="P10" s="53">
        <v>0.39</v>
      </c>
      <c r="Q10" s="53">
        <v>9.6199999999999992</v>
      </c>
      <c r="R10" s="43"/>
      <c r="S10" s="43"/>
      <c r="T10" s="43"/>
      <c r="U10" s="43"/>
    </row>
    <row r="11" spans="1:21" s="11" customFormat="1" x14ac:dyDescent="0.25">
      <c r="A11" s="52" t="s">
        <v>110</v>
      </c>
      <c r="B11" s="53">
        <v>1.98</v>
      </c>
      <c r="C11" s="53">
        <v>4.76</v>
      </c>
      <c r="D11" s="53">
        <v>4.08</v>
      </c>
      <c r="E11" s="53">
        <v>5.29</v>
      </c>
      <c r="F11" s="53">
        <v>4.9800000000000004</v>
      </c>
      <c r="G11" s="53">
        <v>34.01</v>
      </c>
      <c r="H11" s="53">
        <v>14.1</v>
      </c>
      <c r="I11" s="53">
        <v>1.72</v>
      </c>
      <c r="J11" s="53">
        <v>0.37</v>
      </c>
      <c r="K11" s="53">
        <v>346.12</v>
      </c>
      <c r="L11" s="53">
        <v>25.93</v>
      </c>
      <c r="M11" s="53">
        <v>102.48</v>
      </c>
      <c r="N11" s="53">
        <v>26.1</v>
      </c>
      <c r="O11" s="53">
        <v>0</v>
      </c>
      <c r="P11" s="53">
        <v>0.39</v>
      </c>
      <c r="Q11" s="53">
        <v>9.6199999999999992</v>
      </c>
      <c r="R11" s="43"/>
      <c r="S11" s="43"/>
      <c r="T11" s="43"/>
      <c r="U11" s="43"/>
    </row>
    <row r="12" spans="1:21" s="11" customFormat="1" x14ac:dyDescent="0.25">
      <c r="A12" s="52" t="s">
        <v>111</v>
      </c>
      <c r="B12" s="53">
        <v>1.67</v>
      </c>
      <c r="C12" s="53">
        <v>4.57</v>
      </c>
      <c r="D12" s="53">
        <v>3.72</v>
      </c>
      <c r="E12" s="53">
        <v>5.82</v>
      </c>
      <c r="F12" s="53">
        <v>5.14</v>
      </c>
      <c r="G12" s="53">
        <v>29.88</v>
      </c>
      <c r="H12" s="53">
        <v>12.49</v>
      </c>
      <c r="I12" s="53">
        <v>2.82</v>
      </c>
      <c r="J12" s="53">
        <v>0.62</v>
      </c>
      <c r="K12" s="53">
        <v>352.38</v>
      </c>
      <c r="L12" s="53">
        <v>25.58</v>
      </c>
      <c r="M12" s="53">
        <v>102.52</v>
      </c>
      <c r="N12" s="53">
        <v>26.1</v>
      </c>
      <c r="O12" s="53">
        <v>0</v>
      </c>
      <c r="P12" s="53">
        <v>0.42</v>
      </c>
      <c r="Q12" s="53">
        <v>9.6199999999999992</v>
      </c>
      <c r="R12" s="43"/>
      <c r="S12" s="43"/>
      <c r="T12" s="43"/>
      <c r="U12" s="43"/>
    </row>
    <row r="13" spans="1:21" s="11" customFormat="1" x14ac:dyDescent="0.25">
      <c r="A13" s="52" t="s">
        <v>112</v>
      </c>
      <c r="B13" s="53">
        <v>0.94</v>
      </c>
      <c r="C13" s="53">
        <v>4.72</v>
      </c>
      <c r="D13" s="53">
        <v>3.21</v>
      </c>
      <c r="E13" s="53">
        <v>5.44</v>
      </c>
      <c r="F13" s="53">
        <v>4.3099999999999996</v>
      </c>
      <c r="G13" s="53">
        <v>32.94</v>
      </c>
      <c r="H13" s="53">
        <v>13.04</v>
      </c>
      <c r="I13" s="53">
        <v>2.76</v>
      </c>
      <c r="J13" s="53">
        <v>0.62</v>
      </c>
      <c r="K13" s="53">
        <v>332.23</v>
      </c>
      <c r="L13" s="53">
        <v>25.49</v>
      </c>
      <c r="M13" s="53">
        <v>102.36</v>
      </c>
      <c r="N13" s="53">
        <v>26.1</v>
      </c>
      <c r="O13" s="53">
        <v>0</v>
      </c>
      <c r="P13" s="53">
        <v>0.4</v>
      </c>
      <c r="Q13" s="53">
        <v>9.6</v>
      </c>
      <c r="R13" s="43"/>
      <c r="S13" s="43"/>
      <c r="T13" s="43"/>
      <c r="U13" s="43"/>
    </row>
    <row r="14" spans="1:21" s="11" customFormat="1" x14ac:dyDescent="0.25">
      <c r="A14" s="52" t="s">
        <v>113</v>
      </c>
      <c r="B14" s="53">
        <v>1.67</v>
      </c>
      <c r="C14" s="53">
        <v>5.03</v>
      </c>
      <c r="D14" s="53">
        <v>3.94</v>
      </c>
      <c r="E14" s="53">
        <v>5.39</v>
      </c>
      <c r="F14" s="53">
        <v>4.34</v>
      </c>
      <c r="G14" s="53">
        <v>31.72</v>
      </c>
      <c r="H14" s="53">
        <v>12.23</v>
      </c>
      <c r="I14" s="53">
        <v>3.04</v>
      </c>
      <c r="J14" s="53">
        <v>0.44</v>
      </c>
      <c r="K14" s="53">
        <v>349.34</v>
      </c>
      <c r="L14" s="53">
        <v>25.18</v>
      </c>
      <c r="M14" s="53">
        <v>102.68</v>
      </c>
      <c r="N14" s="53">
        <v>28.4</v>
      </c>
      <c r="O14" s="53">
        <v>0</v>
      </c>
      <c r="P14" s="53">
        <v>0.5</v>
      </c>
      <c r="Q14" s="53">
        <v>9.6199999999999992</v>
      </c>
      <c r="R14" s="43"/>
      <c r="S14" s="43"/>
      <c r="T14" s="43"/>
      <c r="U14" s="43"/>
    </row>
    <row r="15" spans="1:21" s="11" customFormat="1" x14ac:dyDescent="0.25">
      <c r="A15" s="52" t="s">
        <v>114</v>
      </c>
      <c r="B15" s="53">
        <v>2.5</v>
      </c>
      <c r="C15" s="53">
        <v>5.52</v>
      </c>
      <c r="D15" s="53">
        <v>4.8899999999999997</v>
      </c>
      <c r="E15" s="53">
        <v>5.61</v>
      </c>
      <c r="F15" s="53">
        <v>4.41</v>
      </c>
      <c r="G15" s="53">
        <v>31.82</v>
      </c>
      <c r="H15" s="53">
        <v>14.03</v>
      </c>
      <c r="I15" s="53">
        <v>2.76</v>
      </c>
      <c r="J15" s="53">
        <v>0.52</v>
      </c>
      <c r="K15" s="53">
        <v>357.33</v>
      </c>
      <c r="L15" s="53">
        <v>26.49</v>
      </c>
      <c r="M15" s="53">
        <v>102.68</v>
      </c>
      <c r="N15" s="53">
        <v>140.9</v>
      </c>
      <c r="O15" s="53">
        <v>0</v>
      </c>
      <c r="P15" s="53">
        <v>0.41</v>
      </c>
      <c r="Q15" s="53">
        <v>9.6199999999999992</v>
      </c>
      <c r="R15" s="43"/>
      <c r="S15" s="43"/>
      <c r="T15" s="43"/>
      <c r="U15" s="43"/>
    </row>
    <row r="16" spans="1:21" s="11" customFormat="1" x14ac:dyDescent="0.25">
      <c r="A16" s="52" t="s">
        <v>115</v>
      </c>
      <c r="B16" s="53">
        <v>2.77</v>
      </c>
      <c r="C16" s="53">
        <v>5.92</v>
      </c>
      <c r="D16" s="53">
        <v>5.26</v>
      </c>
      <c r="E16" s="53">
        <v>5.9</v>
      </c>
      <c r="F16" s="53">
        <v>5.33</v>
      </c>
      <c r="G16" s="53">
        <v>35.049999999999997</v>
      </c>
      <c r="H16" s="53">
        <v>12.59</v>
      </c>
      <c r="I16" s="53">
        <v>2.63</v>
      </c>
      <c r="J16" s="53">
        <v>0.62</v>
      </c>
      <c r="K16" s="53">
        <v>326.69</v>
      </c>
      <c r="L16" s="53">
        <v>30.9</v>
      </c>
      <c r="M16" s="53">
        <v>93.4</v>
      </c>
      <c r="N16" s="53">
        <v>368.1</v>
      </c>
      <c r="O16" s="53">
        <v>0</v>
      </c>
      <c r="P16" s="53">
        <v>0.5</v>
      </c>
      <c r="Q16" s="53">
        <v>9.61</v>
      </c>
      <c r="R16" s="43"/>
      <c r="S16" s="43"/>
      <c r="T16" s="43"/>
      <c r="U16" s="43"/>
    </row>
    <row r="17" spans="1:21" s="11" customFormat="1" x14ac:dyDescent="0.25">
      <c r="A17" s="52" t="s">
        <v>116</v>
      </c>
      <c r="B17" s="53">
        <v>4.6500000000000004</v>
      </c>
      <c r="C17" s="53">
        <v>8.1300000000000008</v>
      </c>
      <c r="D17" s="53">
        <v>7.97</v>
      </c>
      <c r="E17" s="53">
        <v>6.01</v>
      </c>
      <c r="F17" s="53">
        <v>4.0199999999999996</v>
      </c>
      <c r="G17" s="53">
        <v>38.880000000000003</v>
      </c>
      <c r="H17" s="53">
        <v>10.02</v>
      </c>
      <c r="I17" s="53">
        <v>3.85</v>
      </c>
      <c r="J17" s="53">
        <v>1.18</v>
      </c>
      <c r="K17" s="53">
        <v>347.82</v>
      </c>
      <c r="L17" s="53">
        <v>33.51</v>
      </c>
      <c r="M17" s="53">
        <v>73.92</v>
      </c>
      <c r="N17" s="53">
        <v>563.20000000000005</v>
      </c>
      <c r="O17" s="53">
        <v>0</v>
      </c>
      <c r="P17" s="53">
        <v>0.65</v>
      </c>
      <c r="Q17" s="53">
        <v>9.6199999999999992</v>
      </c>
      <c r="R17" s="43"/>
      <c r="S17" s="43"/>
      <c r="T17" s="43"/>
      <c r="U17" s="43"/>
    </row>
    <row r="18" spans="1:21" s="11" customFormat="1" x14ac:dyDescent="0.25">
      <c r="A18" s="52" t="s">
        <v>117</v>
      </c>
      <c r="B18" s="53">
        <v>4.6100000000000003</v>
      </c>
      <c r="C18" s="53">
        <v>10.84</v>
      </c>
      <c r="D18" s="53">
        <v>8.49</v>
      </c>
      <c r="E18" s="53">
        <v>6.16</v>
      </c>
      <c r="F18" s="53">
        <v>5.17</v>
      </c>
      <c r="G18" s="53">
        <v>46.48</v>
      </c>
      <c r="H18" s="53">
        <v>18.940000000000001</v>
      </c>
      <c r="I18" s="53">
        <v>4.01</v>
      </c>
      <c r="J18" s="53">
        <v>2.23</v>
      </c>
      <c r="K18" s="53">
        <v>328.43</v>
      </c>
      <c r="L18" s="53">
        <v>36.43</v>
      </c>
      <c r="M18" s="53">
        <v>65.430000000000007</v>
      </c>
      <c r="N18" s="53">
        <v>775.1</v>
      </c>
      <c r="O18" s="53">
        <v>0</v>
      </c>
      <c r="P18" s="53">
        <v>0.64</v>
      </c>
      <c r="Q18" s="53">
        <v>9.6199999999999992</v>
      </c>
      <c r="R18" s="43"/>
      <c r="S18" s="43"/>
      <c r="T18" s="43"/>
      <c r="U18" s="43"/>
    </row>
    <row r="19" spans="1:21" s="11" customFormat="1" x14ac:dyDescent="0.25">
      <c r="A19" s="52" t="s">
        <v>118</v>
      </c>
      <c r="B19" s="53">
        <v>2.96</v>
      </c>
      <c r="C19" s="53">
        <v>12.33</v>
      </c>
      <c r="D19" s="53">
        <v>8.31</v>
      </c>
      <c r="E19" s="53">
        <v>6.07</v>
      </c>
      <c r="F19" s="53">
        <v>5.38</v>
      </c>
      <c r="G19" s="53">
        <v>46.39</v>
      </c>
      <c r="H19" s="53">
        <v>18.28</v>
      </c>
      <c r="I19" s="53">
        <v>3.19</v>
      </c>
      <c r="J19" s="53">
        <v>2.39</v>
      </c>
      <c r="K19" s="53">
        <v>328.06</v>
      </c>
      <c r="L19" s="53">
        <v>37</v>
      </c>
      <c r="M19" s="53">
        <v>52.04</v>
      </c>
      <c r="N19" s="53">
        <v>870</v>
      </c>
      <c r="O19" s="53">
        <v>0</v>
      </c>
      <c r="P19" s="53">
        <v>0.6</v>
      </c>
      <c r="Q19" s="53">
        <v>9.6199999999999992</v>
      </c>
      <c r="R19" s="43"/>
      <c r="S19" s="43"/>
      <c r="T19" s="43"/>
      <c r="U19" s="43"/>
    </row>
    <row r="20" spans="1:21" s="11" customFormat="1" x14ac:dyDescent="0.25">
      <c r="A20" s="52" t="s">
        <v>119</v>
      </c>
      <c r="B20" s="53">
        <v>1.73</v>
      </c>
      <c r="C20" s="53">
        <v>12.33</v>
      </c>
      <c r="D20" s="53">
        <v>7.81</v>
      </c>
      <c r="E20" s="53">
        <v>5.96</v>
      </c>
      <c r="F20" s="53">
        <v>6.31</v>
      </c>
      <c r="G20" s="53">
        <v>51.63</v>
      </c>
      <c r="H20" s="53">
        <v>15.18</v>
      </c>
      <c r="I20" s="53">
        <v>2.5299999999999998</v>
      </c>
      <c r="J20" s="53">
        <v>2.99</v>
      </c>
      <c r="K20" s="53">
        <v>334.44</v>
      </c>
      <c r="L20" s="53">
        <v>37.08</v>
      </c>
      <c r="M20" s="53">
        <v>50.19</v>
      </c>
      <c r="N20" s="53">
        <v>905.6</v>
      </c>
      <c r="O20" s="53">
        <v>0</v>
      </c>
      <c r="P20" s="53">
        <v>0.57999999999999996</v>
      </c>
      <c r="Q20" s="53">
        <v>9.61</v>
      </c>
      <c r="R20" s="43"/>
      <c r="S20" s="43"/>
      <c r="T20" s="43"/>
      <c r="U20" s="43"/>
    </row>
    <row r="21" spans="1:21" s="11" customFormat="1" x14ac:dyDescent="0.25">
      <c r="A21" s="52" t="s">
        <v>120</v>
      </c>
      <c r="B21" s="53">
        <v>1.05</v>
      </c>
      <c r="C21" s="53">
        <v>11.58</v>
      </c>
      <c r="D21" s="53">
        <v>6.86</v>
      </c>
      <c r="E21" s="53">
        <v>6.35</v>
      </c>
      <c r="F21" s="53">
        <v>6.32</v>
      </c>
      <c r="G21" s="53">
        <v>50.86</v>
      </c>
      <c r="H21" s="53">
        <v>15.3</v>
      </c>
      <c r="I21" s="53">
        <v>2.0699999999999998</v>
      </c>
      <c r="J21" s="53">
        <v>3.19</v>
      </c>
      <c r="K21" s="53">
        <v>331.8</v>
      </c>
      <c r="L21" s="53">
        <v>35.799999999999997</v>
      </c>
      <c r="M21" s="53">
        <v>45.62</v>
      </c>
      <c r="N21" s="53">
        <v>755.4</v>
      </c>
      <c r="O21" s="53">
        <v>0</v>
      </c>
      <c r="P21" s="53">
        <v>0.53</v>
      </c>
      <c r="Q21" s="53">
        <v>9.61</v>
      </c>
      <c r="R21" s="43"/>
      <c r="S21" s="43"/>
      <c r="T21" s="43"/>
      <c r="U21" s="43"/>
    </row>
    <row r="22" spans="1:21" s="11" customFormat="1" x14ac:dyDescent="0.25">
      <c r="A22" s="52" t="s">
        <v>121</v>
      </c>
      <c r="B22" s="53">
        <v>0.82</v>
      </c>
      <c r="C22" s="53">
        <v>10.93</v>
      </c>
      <c r="D22" s="53">
        <v>6.28</v>
      </c>
      <c r="E22" s="53">
        <v>6.25</v>
      </c>
      <c r="F22" s="53">
        <v>6.16</v>
      </c>
      <c r="G22" s="53">
        <v>47.84</v>
      </c>
      <c r="H22" s="53">
        <v>17.82</v>
      </c>
      <c r="I22" s="53">
        <v>1.61</v>
      </c>
      <c r="J22" s="53">
        <v>2.65</v>
      </c>
      <c r="K22" s="53">
        <v>333.54</v>
      </c>
      <c r="L22" s="53">
        <v>35.47</v>
      </c>
      <c r="M22" s="53">
        <v>47.88</v>
      </c>
      <c r="N22" s="53">
        <v>292.39999999999998</v>
      </c>
      <c r="O22" s="53">
        <v>0</v>
      </c>
      <c r="P22" s="53">
        <v>0.48</v>
      </c>
      <c r="Q22" s="53">
        <v>9.61</v>
      </c>
      <c r="R22" s="43"/>
      <c r="S22" s="43"/>
      <c r="T22" s="43"/>
      <c r="U22" s="43"/>
    </row>
    <row r="23" spans="1:21" s="11" customFormat="1" x14ac:dyDescent="0.25">
      <c r="A23" s="52" t="s">
        <v>122</v>
      </c>
      <c r="B23" s="53">
        <v>1.96</v>
      </c>
      <c r="C23" s="53">
        <v>11.71</v>
      </c>
      <c r="D23" s="53">
        <v>7.69</v>
      </c>
      <c r="E23" s="53">
        <v>5.66</v>
      </c>
      <c r="F23" s="53">
        <v>5.88</v>
      </c>
      <c r="G23" s="53">
        <v>44.81</v>
      </c>
      <c r="H23" s="53">
        <v>16.09</v>
      </c>
      <c r="I23" s="53">
        <v>1.34</v>
      </c>
      <c r="J23" s="53">
        <v>2.4700000000000002</v>
      </c>
      <c r="K23" s="53">
        <v>331.47</v>
      </c>
      <c r="L23" s="53">
        <v>34.090000000000003</v>
      </c>
      <c r="M23" s="53">
        <v>50.03</v>
      </c>
      <c r="N23" s="53">
        <v>169</v>
      </c>
      <c r="O23" s="53">
        <v>0</v>
      </c>
      <c r="P23" s="53">
        <v>0.46</v>
      </c>
      <c r="Q23" s="53">
        <v>9.6199999999999992</v>
      </c>
      <c r="R23" s="43"/>
      <c r="S23" s="43"/>
      <c r="T23" s="43"/>
      <c r="U23" s="43"/>
    </row>
    <row r="24" spans="1:21" s="11" customFormat="1" x14ac:dyDescent="0.25">
      <c r="A24" s="52" t="s">
        <v>123</v>
      </c>
      <c r="B24" s="53">
        <v>1.87</v>
      </c>
      <c r="C24" s="53">
        <v>12.25</v>
      </c>
      <c r="D24" s="53">
        <v>7.81</v>
      </c>
      <c r="E24" s="53">
        <v>5.74</v>
      </c>
      <c r="F24" s="53">
        <v>5.64</v>
      </c>
      <c r="G24" s="53">
        <v>42.88</v>
      </c>
      <c r="H24" s="53">
        <v>11.08</v>
      </c>
      <c r="I24" s="53">
        <v>1.1599999999999999</v>
      </c>
      <c r="J24" s="53">
        <v>2.44</v>
      </c>
      <c r="K24" s="53">
        <v>330.73</v>
      </c>
      <c r="L24" s="53">
        <v>32.729999999999997</v>
      </c>
      <c r="M24" s="53">
        <v>56</v>
      </c>
      <c r="N24" s="53">
        <v>104.3</v>
      </c>
      <c r="O24" s="53">
        <v>0</v>
      </c>
      <c r="P24" s="53">
        <v>0.46</v>
      </c>
      <c r="Q24" s="53">
        <v>9.6199999999999992</v>
      </c>
      <c r="R24" s="43"/>
      <c r="S24" s="43"/>
      <c r="T24" s="43"/>
      <c r="U24" s="43"/>
    </row>
    <row r="25" spans="1:21" s="11" customFormat="1" x14ac:dyDescent="0.25">
      <c r="A25" s="52" t="s">
        <v>124</v>
      </c>
      <c r="B25" s="53">
        <v>1.62</v>
      </c>
      <c r="C25" s="53">
        <v>11.55</v>
      </c>
      <c r="D25" s="53">
        <v>7.34</v>
      </c>
      <c r="E25" s="53">
        <v>5.17</v>
      </c>
      <c r="F25" s="53">
        <v>5.51</v>
      </c>
      <c r="G25" s="53">
        <v>45.67</v>
      </c>
      <c r="H25" s="53">
        <v>7.78</v>
      </c>
      <c r="I25" s="53">
        <v>1.1299999999999999</v>
      </c>
      <c r="J25" s="53">
        <v>2.16</v>
      </c>
      <c r="K25" s="53">
        <v>332.54</v>
      </c>
      <c r="L25" s="53">
        <v>31.73</v>
      </c>
      <c r="M25" s="53">
        <v>59.48</v>
      </c>
      <c r="N25" s="53">
        <v>78.900000000000006</v>
      </c>
      <c r="O25" s="53">
        <v>0</v>
      </c>
      <c r="P25" s="53">
        <v>0.48</v>
      </c>
      <c r="Q25" s="53">
        <v>9.6199999999999992</v>
      </c>
      <c r="R25" s="43"/>
      <c r="S25" s="43"/>
      <c r="T25" s="43"/>
      <c r="U25" s="43"/>
    </row>
    <row r="26" spans="1:21" s="11" customFormat="1" x14ac:dyDescent="0.25">
      <c r="A26" s="52" t="s">
        <v>125</v>
      </c>
      <c r="B26" s="53">
        <v>2.5</v>
      </c>
      <c r="C26" s="53">
        <v>10.97</v>
      </c>
      <c r="D26" s="53">
        <v>7.6</v>
      </c>
      <c r="E26" s="53">
        <v>5.25</v>
      </c>
      <c r="F26" s="53">
        <v>4.82</v>
      </c>
      <c r="G26" s="53">
        <v>45.15</v>
      </c>
      <c r="H26" s="53">
        <v>5.76</v>
      </c>
      <c r="I26" s="53">
        <v>1.35</v>
      </c>
      <c r="J26" s="53">
        <v>2.0499999999999998</v>
      </c>
      <c r="K26" s="53">
        <v>332.82</v>
      </c>
      <c r="L26" s="53">
        <v>31.03</v>
      </c>
      <c r="M26" s="53">
        <v>75.52</v>
      </c>
      <c r="N26" s="53">
        <v>48.5</v>
      </c>
      <c r="O26" s="53">
        <v>0</v>
      </c>
      <c r="P26" s="53">
        <v>0.64</v>
      </c>
      <c r="Q26" s="53">
        <v>9.61</v>
      </c>
      <c r="R26" s="43"/>
      <c r="S26" s="43"/>
      <c r="T26" s="43"/>
      <c r="U26" s="43"/>
    </row>
    <row r="27" spans="1:21" s="11" customFormat="1" x14ac:dyDescent="0.25">
      <c r="A27" s="52" t="s">
        <v>126</v>
      </c>
      <c r="B27" s="53">
        <v>6.21</v>
      </c>
      <c r="C27" s="53">
        <v>10.73</v>
      </c>
      <c r="D27" s="53">
        <v>10.59</v>
      </c>
      <c r="E27" s="53">
        <v>5.73</v>
      </c>
      <c r="F27" s="53">
        <v>4.83</v>
      </c>
      <c r="G27" s="53">
        <v>44.97</v>
      </c>
      <c r="H27" s="53">
        <v>17.23</v>
      </c>
      <c r="I27" s="53">
        <v>4.54</v>
      </c>
      <c r="J27" s="53">
        <v>1.1599999999999999</v>
      </c>
      <c r="K27" s="53">
        <v>332.95</v>
      </c>
      <c r="L27" s="53">
        <v>28.87</v>
      </c>
      <c r="M27" s="53">
        <v>79.19</v>
      </c>
      <c r="N27" s="53">
        <v>26.2</v>
      </c>
      <c r="O27" s="53">
        <v>0</v>
      </c>
      <c r="P27" s="53">
        <v>1.01</v>
      </c>
      <c r="Q27" s="53">
        <v>9.61</v>
      </c>
      <c r="R27" s="43"/>
      <c r="S27" s="43"/>
      <c r="T27" s="43"/>
      <c r="U27" s="43"/>
    </row>
    <row r="28" spans="1:21" s="11" customFormat="1" x14ac:dyDescent="0.25">
      <c r="A28" s="52" t="s">
        <v>127</v>
      </c>
      <c r="B28" s="53">
        <v>10.68</v>
      </c>
      <c r="C28" s="53">
        <v>11.14</v>
      </c>
      <c r="D28" s="53">
        <v>14.38</v>
      </c>
      <c r="E28" s="53">
        <v>5.61</v>
      </c>
      <c r="F28" s="53">
        <v>6.8</v>
      </c>
      <c r="G28" s="53">
        <v>57.72</v>
      </c>
      <c r="H28" s="53">
        <v>18.09</v>
      </c>
      <c r="I28" s="53">
        <v>3.54</v>
      </c>
      <c r="J28" s="53">
        <v>0.52</v>
      </c>
      <c r="K28" s="53">
        <v>351.95</v>
      </c>
      <c r="L28" s="53">
        <v>28.86</v>
      </c>
      <c r="M28" s="53">
        <v>77.290000000000006</v>
      </c>
      <c r="N28" s="53">
        <v>26.2</v>
      </c>
      <c r="O28" s="53">
        <v>0</v>
      </c>
      <c r="P28" s="53">
        <v>1.1299999999999999</v>
      </c>
      <c r="Q28" s="53">
        <v>9.6199999999999992</v>
      </c>
      <c r="R28" s="43"/>
      <c r="S28" s="43"/>
      <c r="T28" s="43"/>
      <c r="U28" s="43"/>
    </row>
    <row r="29" spans="1:21" s="11" customFormat="1" x14ac:dyDescent="0.25">
      <c r="A29" s="52" t="s">
        <v>128</v>
      </c>
      <c r="B29" s="53">
        <v>14.49</v>
      </c>
      <c r="C29" s="53">
        <v>11.36</v>
      </c>
      <c r="D29" s="53">
        <v>17.54</v>
      </c>
      <c r="E29" s="53">
        <v>7.19</v>
      </c>
      <c r="F29" s="53">
        <v>4.34</v>
      </c>
      <c r="G29" s="53">
        <v>64.930000000000007</v>
      </c>
      <c r="H29" s="53">
        <v>26.89</v>
      </c>
      <c r="I29" s="53">
        <v>4.5999999999999996</v>
      </c>
      <c r="J29" s="53">
        <v>0.51</v>
      </c>
      <c r="K29" s="53">
        <v>334.52</v>
      </c>
      <c r="L29" s="53">
        <v>28.16</v>
      </c>
      <c r="M29" s="53">
        <v>80.23</v>
      </c>
      <c r="N29" s="53">
        <v>26.1</v>
      </c>
      <c r="O29" s="53">
        <v>0</v>
      </c>
      <c r="P29" s="53">
        <v>1.28</v>
      </c>
      <c r="Q29" s="53">
        <v>9.6199999999999992</v>
      </c>
      <c r="R29" s="43"/>
      <c r="S29" s="43"/>
      <c r="T29" s="43"/>
      <c r="U29" s="43"/>
    </row>
    <row r="30" spans="1:21" s="11" customFormat="1" x14ac:dyDescent="0.25">
      <c r="A30" s="52" t="s">
        <v>129</v>
      </c>
      <c r="B30" s="53">
        <v>16.37</v>
      </c>
      <c r="C30" s="53">
        <v>11.11</v>
      </c>
      <c r="D30" s="53">
        <v>18.46</v>
      </c>
      <c r="E30" s="53">
        <v>7.27</v>
      </c>
      <c r="F30" s="53">
        <v>4.3499999999999996</v>
      </c>
      <c r="G30" s="53">
        <v>69.36</v>
      </c>
      <c r="H30" s="53">
        <v>29.73</v>
      </c>
      <c r="I30" s="53">
        <v>4.93</v>
      </c>
      <c r="J30" s="53">
        <v>0.24</v>
      </c>
      <c r="K30" s="53">
        <v>353.27</v>
      </c>
      <c r="L30" s="53">
        <v>27.68</v>
      </c>
      <c r="M30" s="53">
        <v>88.79</v>
      </c>
      <c r="N30" s="53">
        <v>26.2</v>
      </c>
      <c r="O30" s="53">
        <v>0</v>
      </c>
      <c r="P30" s="53">
        <v>0.97</v>
      </c>
      <c r="Q30" s="53">
        <v>9.6199999999999992</v>
      </c>
      <c r="R30" s="43"/>
      <c r="S30" s="43"/>
      <c r="T30" s="43"/>
      <c r="U30" s="43"/>
    </row>
    <row r="31" spans="1:21" s="11" customFormat="1" x14ac:dyDescent="0.25">
      <c r="A31" s="52" t="s">
        <v>130</v>
      </c>
      <c r="B31" s="53">
        <v>17.21</v>
      </c>
      <c r="C31" s="53">
        <v>9.36</v>
      </c>
      <c r="D31" s="53">
        <v>18.39</v>
      </c>
      <c r="E31" s="53">
        <v>6.98</v>
      </c>
      <c r="F31" s="53">
        <v>4.37</v>
      </c>
      <c r="G31" s="53">
        <v>69.08</v>
      </c>
      <c r="H31" s="53">
        <v>28.93</v>
      </c>
      <c r="I31" s="53">
        <v>4.3</v>
      </c>
      <c r="J31" s="53">
        <v>0.3</v>
      </c>
      <c r="K31" s="53">
        <v>311.79000000000002</v>
      </c>
      <c r="L31" s="53">
        <v>26.72</v>
      </c>
      <c r="M31" s="53">
        <v>94.81</v>
      </c>
      <c r="N31" s="53">
        <v>26.1</v>
      </c>
      <c r="O31" s="53">
        <v>0</v>
      </c>
      <c r="P31" s="53">
        <v>0.98</v>
      </c>
      <c r="Q31" s="53">
        <v>9.6199999999999992</v>
      </c>
      <c r="R31" s="43"/>
      <c r="S31" s="43"/>
      <c r="T31" s="43"/>
      <c r="U31" s="43"/>
    </row>
    <row r="32" spans="1:21" s="11" customFormat="1" x14ac:dyDescent="0.25">
      <c r="A32" s="52" t="s">
        <v>131</v>
      </c>
      <c r="B32" s="53">
        <v>16.61</v>
      </c>
      <c r="C32" s="53">
        <v>8.16</v>
      </c>
      <c r="D32" s="53">
        <v>17.579999999999998</v>
      </c>
      <c r="E32" s="53">
        <v>6.77</v>
      </c>
      <c r="F32" s="53">
        <v>4.25</v>
      </c>
      <c r="G32" s="53">
        <v>67.94</v>
      </c>
      <c r="H32" s="53">
        <v>27.14</v>
      </c>
      <c r="I32" s="53">
        <v>3.45</v>
      </c>
      <c r="J32" s="53">
        <v>0.52</v>
      </c>
      <c r="K32" s="53">
        <v>353.76</v>
      </c>
      <c r="L32" s="53">
        <v>26.33</v>
      </c>
      <c r="M32" s="53">
        <v>98.87</v>
      </c>
      <c r="N32" s="53">
        <v>26.1</v>
      </c>
      <c r="O32" s="53">
        <v>0</v>
      </c>
      <c r="P32" s="53">
        <v>0.83</v>
      </c>
      <c r="Q32" s="53">
        <v>9.6199999999999992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0.82</v>
      </c>
      <c r="C34" s="28">
        <f t="shared" si="0"/>
        <v>4.57</v>
      </c>
      <c r="D34" s="28">
        <f t="shared" si="0"/>
        <v>3.21</v>
      </c>
      <c r="E34" s="28">
        <f t="shared" si="0"/>
        <v>5.17</v>
      </c>
      <c r="F34" s="28">
        <f t="shared" si="0"/>
        <v>4.0199999999999996</v>
      </c>
      <c r="G34" s="28">
        <f t="shared" si="0"/>
        <v>29.88</v>
      </c>
      <c r="H34" s="28">
        <f t="shared" si="0"/>
        <v>5.76</v>
      </c>
      <c r="I34" s="28">
        <f t="shared" si="0"/>
        <v>1.1299999999999999</v>
      </c>
      <c r="J34" s="28">
        <f t="shared" si="0"/>
        <v>0.24</v>
      </c>
      <c r="K34" s="28">
        <f t="shared" si="0"/>
        <v>17.309999999999999</v>
      </c>
      <c r="L34" s="28">
        <f t="shared" si="0"/>
        <v>25.18</v>
      </c>
      <c r="M34" s="28">
        <f t="shared" si="0"/>
        <v>45.62</v>
      </c>
      <c r="N34" s="28">
        <f t="shared" si="0"/>
        <v>26.1</v>
      </c>
      <c r="O34" s="28">
        <f t="shared" si="0"/>
        <v>0</v>
      </c>
      <c r="P34" s="28">
        <f t="shared" si="0"/>
        <v>0.39</v>
      </c>
      <c r="Q34" s="28">
        <f t="shared" si="0"/>
        <v>9.6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17.21</v>
      </c>
      <c r="C35" s="29">
        <f t="shared" si="1"/>
        <v>12.33</v>
      </c>
      <c r="D35" s="29">
        <f t="shared" si="1"/>
        <v>18.46</v>
      </c>
      <c r="E35" s="29">
        <f t="shared" si="1"/>
        <v>7.27</v>
      </c>
      <c r="F35" s="29">
        <f t="shared" si="1"/>
        <v>6.8</v>
      </c>
      <c r="G35" s="29">
        <f t="shared" si="1"/>
        <v>69.36</v>
      </c>
      <c r="H35" s="29">
        <f t="shared" si="1"/>
        <v>29.73</v>
      </c>
      <c r="I35" s="29">
        <f t="shared" si="1"/>
        <v>4.93</v>
      </c>
      <c r="J35" s="29">
        <f t="shared" si="1"/>
        <v>3.19</v>
      </c>
      <c r="K35" s="29">
        <f t="shared" si="1"/>
        <v>357.33</v>
      </c>
      <c r="L35" s="29">
        <f t="shared" si="1"/>
        <v>37.08</v>
      </c>
      <c r="M35" s="29">
        <f t="shared" si="1"/>
        <v>102.68</v>
      </c>
      <c r="N35" s="29">
        <f t="shared" si="1"/>
        <v>905.6</v>
      </c>
      <c r="O35" s="29">
        <f t="shared" si="1"/>
        <v>0</v>
      </c>
      <c r="P35" s="29">
        <f t="shared" si="1"/>
        <v>1.28</v>
      </c>
      <c r="Q35" s="29">
        <f t="shared" si="1"/>
        <v>9.6199999999999992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5.1549999999999994</v>
      </c>
      <c r="C36" s="28">
        <f t="shared" si="2"/>
        <v>9.0366666666666671</v>
      </c>
      <c r="D36" s="28">
        <f t="shared" si="2"/>
        <v>8.7458333333333318</v>
      </c>
      <c r="E36" s="28">
        <f t="shared" si="2"/>
        <v>5.9312499999999995</v>
      </c>
      <c r="F36" s="28">
        <f t="shared" si="2"/>
        <v>5.083333333333333</v>
      </c>
      <c r="G36" s="28">
        <f t="shared" si="2"/>
        <v>46.254583333333336</v>
      </c>
      <c r="H36" s="28">
        <f t="shared" si="2"/>
        <v>16.478333333333335</v>
      </c>
      <c r="I36" s="28">
        <f t="shared" si="2"/>
        <v>2.8420833333333335</v>
      </c>
      <c r="J36" s="28">
        <f t="shared" si="2"/>
        <v>1.2849999999999999</v>
      </c>
      <c r="K36" s="28">
        <f t="shared" si="2"/>
        <v>324.54750000000001</v>
      </c>
      <c r="L36" s="28">
        <f t="shared" si="2"/>
        <v>30.145833333333332</v>
      </c>
      <c r="M36" s="28">
        <f t="shared" si="2"/>
        <v>79.246249999999989</v>
      </c>
      <c r="N36" s="28">
        <f t="shared" si="2"/>
        <v>224.46666666666667</v>
      </c>
      <c r="O36" s="28">
        <f t="shared" si="2"/>
        <v>0</v>
      </c>
      <c r="P36" s="28">
        <f t="shared" si="2"/>
        <v>0.63291666666666668</v>
      </c>
      <c r="Q36" s="28">
        <f t="shared" si="2"/>
        <v>9.6162500000000026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5.4631062990557515</v>
      </c>
      <c r="C37" s="28">
        <f t="shared" ref="C37:Q37" si="3">STDEV(C9:C32)</f>
        <v>2.9173195956542681</v>
      </c>
      <c r="D37" s="28">
        <f t="shared" si="3"/>
        <v>4.847774851877177</v>
      </c>
      <c r="E37" s="28">
        <f t="shared" si="3"/>
        <v>0.60922125987054954</v>
      </c>
      <c r="F37" s="28">
        <f t="shared" si="3"/>
        <v>0.78229687829947714</v>
      </c>
      <c r="G37" s="28">
        <f t="shared" si="3"/>
        <v>12.076331137058284</v>
      </c>
      <c r="H37" s="28">
        <f t="shared" si="3"/>
        <v>6.2703905062961782</v>
      </c>
      <c r="I37" s="28">
        <f t="shared" si="3"/>
        <v>1.1428263178425762</v>
      </c>
      <c r="J37" s="28">
        <f t="shared" si="3"/>
        <v>1.0165842209383686</v>
      </c>
      <c r="K37" s="28">
        <f t="shared" si="3"/>
        <v>66.380225791171924</v>
      </c>
      <c r="L37" s="28">
        <f t="shared" si="3"/>
        <v>4.1756508648266539</v>
      </c>
      <c r="M37" s="28">
        <f t="shared" si="3"/>
        <v>21.096779645553603</v>
      </c>
      <c r="N37" s="28">
        <f t="shared" si="3"/>
        <v>305.99436150910083</v>
      </c>
      <c r="O37" s="28">
        <f t="shared" si="3"/>
        <v>0</v>
      </c>
      <c r="P37" s="28">
        <f t="shared" si="3"/>
        <v>0.25833041139067497</v>
      </c>
      <c r="Q37" s="28">
        <f t="shared" si="3"/>
        <v>5.7577924513690188E-3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8.42578125" style="20" customWidth="1"/>
    <col min="3" max="3" width="10.140625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04/10/2024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132</v>
      </c>
      <c r="B9" s="53">
        <v>14.36</v>
      </c>
      <c r="C9" s="53">
        <v>7.7</v>
      </c>
      <c r="D9" s="53">
        <v>15.54</v>
      </c>
      <c r="E9" s="53">
        <v>5.71</v>
      </c>
      <c r="F9" s="53">
        <v>4.12</v>
      </c>
      <c r="G9" s="53">
        <v>66.38</v>
      </c>
      <c r="H9" s="53">
        <v>25.22</v>
      </c>
      <c r="I9" s="53">
        <v>4.49</v>
      </c>
      <c r="J9" s="53">
        <v>0.47</v>
      </c>
      <c r="K9" s="53">
        <v>342.94</v>
      </c>
      <c r="L9" s="53">
        <v>26.11</v>
      </c>
      <c r="M9" s="53">
        <v>99.83</v>
      </c>
      <c r="N9" s="53">
        <v>26.1</v>
      </c>
      <c r="O9" s="53">
        <v>0</v>
      </c>
      <c r="P9" s="53">
        <v>0.79</v>
      </c>
      <c r="Q9" s="53">
        <v>9.6300000000000008</v>
      </c>
      <c r="R9" s="43"/>
      <c r="S9" s="43"/>
      <c r="T9" s="43"/>
      <c r="U9" s="43"/>
    </row>
    <row r="10" spans="1:21" s="11" customFormat="1" x14ac:dyDescent="0.25">
      <c r="A10" s="52" t="s">
        <v>133</v>
      </c>
      <c r="B10" s="53">
        <v>10.54</v>
      </c>
      <c r="C10" s="53">
        <v>7.12</v>
      </c>
      <c r="D10" s="53">
        <v>12.17</v>
      </c>
      <c r="E10" s="53">
        <v>5.52</v>
      </c>
      <c r="F10" s="53">
        <v>6.02</v>
      </c>
      <c r="G10" s="53">
        <v>62.59</v>
      </c>
      <c r="H10" s="53">
        <v>22.6</v>
      </c>
      <c r="I10" s="53">
        <v>4.33</v>
      </c>
      <c r="J10" s="53">
        <v>0.49</v>
      </c>
      <c r="K10" s="53">
        <v>354.83</v>
      </c>
      <c r="L10" s="53">
        <v>25.69</v>
      </c>
      <c r="M10" s="53">
        <v>101.05</v>
      </c>
      <c r="N10" s="53">
        <v>26</v>
      </c>
      <c r="O10" s="53">
        <v>0</v>
      </c>
      <c r="P10" s="53">
        <v>0.72</v>
      </c>
      <c r="Q10" s="53">
        <v>9.6199999999999992</v>
      </c>
      <c r="R10" s="43"/>
      <c r="S10" s="43"/>
      <c r="T10" s="43"/>
      <c r="U10" s="43"/>
    </row>
    <row r="11" spans="1:21" s="11" customFormat="1" x14ac:dyDescent="0.25">
      <c r="A11" s="52" t="s">
        <v>134</v>
      </c>
      <c r="B11" s="53">
        <v>8.01</v>
      </c>
      <c r="C11" s="53">
        <v>6.25</v>
      </c>
      <c r="D11" s="53">
        <v>9.69</v>
      </c>
      <c r="E11" s="53">
        <v>5.54</v>
      </c>
      <c r="F11" s="53">
        <v>4.4400000000000004</v>
      </c>
      <c r="G11" s="53">
        <v>52.04</v>
      </c>
      <c r="H11" s="53">
        <v>17.77</v>
      </c>
      <c r="I11" s="53">
        <v>3.84</v>
      </c>
      <c r="J11" s="53">
        <v>0.37</v>
      </c>
      <c r="K11" s="53">
        <v>230.53</v>
      </c>
      <c r="L11" s="53">
        <v>25.27</v>
      </c>
      <c r="M11" s="53">
        <v>102.72</v>
      </c>
      <c r="N11" s="53">
        <v>26.1</v>
      </c>
      <c r="O11" s="53">
        <v>0</v>
      </c>
      <c r="P11" s="53">
        <v>0.6</v>
      </c>
      <c r="Q11" s="53">
        <v>9.61</v>
      </c>
      <c r="R11" s="43"/>
      <c r="S11" s="43"/>
      <c r="T11" s="43"/>
      <c r="U11" s="43"/>
    </row>
    <row r="12" spans="1:21" s="11" customFormat="1" x14ac:dyDescent="0.25">
      <c r="A12" s="52" t="s">
        <v>135</v>
      </c>
      <c r="B12" s="53">
        <v>7.1</v>
      </c>
      <c r="C12" s="53">
        <v>4.92</v>
      </c>
      <c r="D12" s="53">
        <v>8.26</v>
      </c>
      <c r="E12" s="53">
        <v>5.04</v>
      </c>
      <c r="F12" s="53">
        <v>4.33</v>
      </c>
      <c r="G12" s="53">
        <v>43.07</v>
      </c>
      <c r="H12" s="53">
        <v>16.12</v>
      </c>
      <c r="I12" s="53">
        <v>2.4900000000000002</v>
      </c>
      <c r="J12" s="53">
        <v>0.28000000000000003</v>
      </c>
      <c r="K12" s="53">
        <v>330.73</v>
      </c>
      <c r="L12" s="53">
        <v>24.54</v>
      </c>
      <c r="M12" s="53">
        <v>102.8</v>
      </c>
      <c r="N12" s="53">
        <v>26.1</v>
      </c>
      <c r="O12" s="53">
        <v>0</v>
      </c>
      <c r="P12" s="53">
        <v>0.49</v>
      </c>
      <c r="Q12" s="53">
        <v>9.6199999999999992</v>
      </c>
      <c r="R12" s="43"/>
      <c r="S12" s="43"/>
      <c r="T12" s="43"/>
      <c r="U12" s="43"/>
    </row>
    <row r="13" spans="1:21" s="11" customFormat="1" x14ac:dyDescent="0.25">
      <c r="A13" s="52" t="s">
        <v>136</v>
      </c>
      <c r="B13" s="53">
        <v>6.36</v>
      </c>
      <c r="C13" s="53">
        <v>5.03</v>
      </c>
      <c r="D13" s="53">
        <v>7.7</v>
      </c>
      <c r="E13" s="53">
        <v>4.87</v>
      </c>
      <c r="F13" s="53">
        <v>4.3600000000000003</v>
      </c>
      <c r="G13" s="53">
        <v>42.74</v>
      </c>
      <c r="H13" s="53">
        <v>16.87</v>
      </c>
      <c r="I13" s="53">
        <v>4.22</v>
      </c>
      <c r="J13" s="53">
        <v>0.37</v>
      </c>
      <c r="K13" s="53">
        <v>352.1</v>
      </c>
      <c r="L13" s="53">
        <v>24.03</v>
      </c>
      <c r="M13" s="53">
        <v>102.82</v>
      </c>
      <c r="N13" s="53">
        <v>26.1</v>
      </c>
      <c r="O13" s="53">
        <v>0</v>
      </c>
      <c r="P13" s="53">
        <v>0.57999999999999996</v>
      </c>
      <c r="Q13" s="53">
        <v>9.6199999999999992</v>
      </c>
      <c r="R13" s="43"/>
      <c r="S13" s="43"/>
      <c r="T13" s="43"/>
      <c r="U13" s="43"/>
    </row>
    <row r="14" spans="1:21" s="11" customFormat="1" x14ac:dyDescent="0.25">
      <c r="A14" s="52" t="s">
        <v>137</v>
      </c>
      <c r="B14" s="53">
        <v>5.86</v>
      </c>
      <c r="C14" s="53">
        <v>5.0599999999999996</v>
      </c>
      <c r="D14" s="53">
        <v>7.33</v>
      </c>
      <c r="E14" s="53">
        <v>4.79</v>
      </c>
      <c r="F14" s="53">
        <v>4.01</v>
      </c>
      <c r="G14" s="53">
        <v>41.18</v>
      </c>
      <c r="H14" s="53">
        <v>16.649999999999999</v>
      </c>
      <c r="I14" s="53">
        <v>4.17</v>
      </c>
      <c r="J14" s="53">
        <v>0.33</v>
      </c>
      <c r="K14" s="53">
        <v>344.57</v>
      </c>
      <c r="L14" s="53">
        <v>23.82</v>
      </c>
      <c r="M14" s="53">
        <v>102.68</v>
      </c>
      <c r="N14" s="53">
        <v>28.5</v>
      </c>
      <c r="O14" s="53">
        <v>0</v>
      </c>
      <c r="P14" s="53">
        <v>0.55000000000000004</v>
      </c>
      <c r="Q14" s="53">
        <v>9.61</v>
      </c>
      <c r="R14" s="43"/>
      <c r="S14" s="43"/>
      <c r="T14" s="43"/>
      <c r="U14" s="43"/>
    </row>
    <row r="15" spans="1:21" s="11" customFormat="1" x14ac:dyDescent="0.25">
      <c r="A15" s="52" t="s">
        <v>138</v>
      </c>
      <c r="B15" s="53">
        <v>5.95</v>
      </c>
      <c r="C15" s="53">
        <v>5.2</v>
      </c>
      <c r="D15" s="53">
        <v>7.39</v>
      </c>
      <c r="E15" s="53">
        <v>5.07</v>
      </c>
      <c r="F15" s="53">
        <v>3.92</v>
      </c>
      <c r="G15" s="53">
        <v>37.590000000000003</v>
      </c>
      <c r="H15" s="53">
        <v>14.47</v>
      </c>
      <c r="I15" s="53">
        <v>3.74</v>
      </c>
      <c r="J15" s="53">
        <v>0.45</v>
      </c>
      <c r="K15" s="53">
        <v>353.4</v>
      </c>
      <c r="L15" s="53">
        <v>25.86</v>
      </c>
      <c r="M15" s="53">
        <v>99.8</v>
      </c>
      <c r="N15" s="53">
        <v>142.30000000000001</v>
      </c>
      <c r="O15" s="53">
        <v>0</v>
      </c>
      <c r="P15" s="53">
        <v>0.52</v>
      </c>
      <c r="Q15" s="53">
        <v>9.6300000000000008</v>
      </c>
      <c r="R15" s="43"/>
      <c r="S15" s="43"/>
      <c r="T15" s="43"/>
      <c r="U15" s="43"/>
    </row>
    <row r="16" spans="1:21" s="11" customFormat="1" x14ac:dyDescent="0.25">
      <c r="A16" s="52" t="s">
        <v>139</v>
      </c>
      <c r="B16" s="53">
        <v>6.63</v>
      </c>
      <c r="C16" s="53">
        <v>5.44</v>
      </c>
      <c r="D16" s="53">
        <v>8.16</v>
      </c>
      <c r="E16" s="53">
        <v>4.95</v>
      </c>
      <c r="F16" s="53">
        <v>4.32</v>
      </c>
      <c r="G16" s="53">
        <v>36.76</v>
      </c>
      <c r="H16" s="53">
        <v>12.8</v>
      </c>
      <c r="I16" s="53">
        <v>3.76</v>
      </c>
      <c r="J16" s="53">
        <v>0.51</v>
      </c>
      <c r="K16" s="53">
        <v>356.43</v>
      </c>
      <c r="L16" s="53">
        <v>29.47</v>
      </c>
      <c r="M16" s="53">
        <v>86.87</v>
      </c>
      <c r="N16" s="53">
        <v>363.7</v>
      </c>
      <c r="O16" s="53">
        <v>0</v>
      </c>
      <c r="P16" s="53">
        <v>0.82</v>
      </c>
      <c r="Q16" s="53">
        <v>9.61</v>
      </c>
      <c r="R16" s="43"/>
      <c r="S16" s="43"/>
      <c r="T16" s="43"/>
      <c r="U16" s="43"/>
    </row>
    <row r="17" spans="1:21" s="11" customFormat="1" x14ac:dyDescent="0.25">
      <c r="A17" s="52" t="s">
        <v>140</v>
      </c>
      <c r="B17" s="53">
        <v>7.2</v>
      </c>
      <c r="C17" s="53">
        <v>7.13</v>
      </c>
      <c r="D17" s="53">
        <v>9.34</v>
      </c>
      <c r="E17" s="53">
        <v>5.05</v>
      </c>
      <c r="F17" s="53">
        <v>4.67</v>
      </c>
      <c r="G17" s="53">
        <v>41.86</v>
      </c>
      <c r="H17" s="53">
        <v>14.12</v>
      </c>
      <c r="I17" s="53">
        <v>4.75</v>
      </c>
      <c r="J17" s="53">
        <v>0.76</v>
      </c>
      <c r="K17" s="53">
        <v>344.34</v>
      </c>
      <c r="L17" s="53">
        <v>32.369999999999997</v>
      </c>
      <c r="M17" s="53">
        <v>72.13</v>
      </c>
      <c r="N17" s="53">
        <v>572.1</v>
      </c>
      <c r="O17" s="53">
        <v>0</v>
      </c>
      <c r="P17" s="53">
        <v>0.71</v>
      </c>
      <c r="Q17" s="53">
        <v>9.6199999999999992</v>
      </c>
      <c r="R17" s="43"/>
      <c r="S17" s="43"/>
      <c r="T17" s="43"/>
      <c r="U17" s="43"/>
    </row>
    <row r="18" spans="1:21" s="11" customFormat="1" x14ac:dyDescent="0.25">
      <c r="A18" s="52" t="s">
        <v>141</v>
      </c>
      <c r="B18" s="53">
        <v>6.78</v>
      </c>
      <c r="C18" s="53">
        <v>10.33</v>
      </c>
      <c r="D18" s="53">
        <v>9.86</v>
      </c>
      <c r="E18" s="53">
        <v>5</v>
      </c>
      <c r="F18" s="53">
        <v>4.3</v>
      </c>
      <c r="G18" s="53">
        <v>43.15</v>
      </c>
      <c r="H18" s="53">
        <v>17.87</v>
      </c>
      <c r="I18" s="53">
        <v>4.68</v>
      </c>
      <c r="J18" s="53">
        <v>0.71</v>
      </c>
      <c r="K18" s="53">
        <v>343.34</v>
      </c>
      <c r="L18" s="53">
        <v>34.71</v>
      </c>
      <c r="M18" s="53">
        <v>65.98</v>
      </c>
      <c r="N18" s="53">
        <v>734</v>
      </c>
      <c r="O18" s="53">
        <v>0</v>
      </c>
      <c r="P18" s="53">
        <v>0.63</v>
      </c>
      <c r="Q18" s="53">
        <v>9.6300000000000008</v>
      </c>
      <c r="R18" s="43"/>
      <c r="S18" s="43"/>
      <c r="T18" s="43"/>
      <c r="U18" s="43"/>
    </row>
    <row r="19" spans="1:21" s="11" customFormat="1" x14ac:dyDescent="0.25">
      <c r="A19" s="52" t="s">
        <v>142</v>
      </c>
      <c r="B19" s="53">
        <v>4.3899999999999997</v>
      </c>
      <c r="C19" s="53">
        <v>11.26</v>
      </c>
      <c r="D19" s="53">
        <v>9.32</v>
      </c>
      <c r="E19" s="53">
        <v>4.83</v>
      </c>
      <c r="F19" s="53">
        <v>4.58</v>
      </c>
      <c r="G19" s="53">
        <v>45.28</v>
      </c>
      <c r="H19" s="53">
        <v>17.27</v>
      </c>
      <c r="I19" s="53">
        <v>4.24</v>
      </c>
      <c r="J19" s="53">
        <v>0.83</v>
      </c>
      <c r="K19" s="53">
        <v>342.28</v>
      </c>
      <c r="L19" s="53">
        <v>36.78</v>
      </c>
      <c r="M19" s="53">
        <v>53.46</v>
      </c>
      <c r="N19" s="53">
        <v>844.6</v>
      </c>
      <c r="O19" s="53">
        <v>0</v>
      </c>
      <c r="P19" s="53">
        <v>0.62</v>
      </c>
      <c r="Q19" s="53">
        <v>9.61</v>
      </c>
      <c r="R19" s="43"/>
      <c r="S19" s="43"/>
      <c r="T19" s="43"/>
      <c r="U19" s="43"/>
    </row>
    <row r="20" spans="1:21" s="11" customFormat="1" x14ac:dyDescent="0.25">
      <c r="A20" s="52" t="s">
        <v>143</v>
      </c>
      <c r="B20" s="53">
        <v>1.62</v>
      </c>
      <c r="C20" s="53">
        <v>14.18</v>
      </c>
      <c r="D20" s="53">
        <v>8.2200000000000006</v>
      </c>
      <c r="E20" s="53">
        <v>6.45</v>
      </c>
      <c r="F20" s="53">
        <v>14.22</v>
      </c>
      <c r="G20" s="55" t="s">
        <v>12</v>
      </c>
      <c r="H20" s="55" t="s">
        <v>12</v>
      </c>
      <c r="I20" s="53">
        <v>3.4</v>
      </c>
      <c r="J20" s="53">
        <v>1.55</v>
      </c>
      <c r="K20" s="53">
        <v>337.14</v>
      </c>
      <c r="L20" s="53">
        <v>36.619999999999997</v>
      </c>
      <c r="M20" s="53">
        <v>55.02</v>
      </c>
      <c r="N20" s="53">
        <v>858.9</v>
      </c>
      <c r="O20" s="53">
        <v>0</v>
      </c>
      <c r="P20" s="53">
        <v>0.5</v>
      </c>
      <c r="Q20" s="53">
        <v>9.61</v>
      </c>
      <c r="R20" s="43"/>
      <c r="S20" s="43"/>
      <c r="T20" s="43"/>
      <c r="U20" s="43"/>
    </row>
    <row r="21" spans="1:21" s="11" customFormat="1" x14ac:dyDescent="0.25">
      <c r="A21" s="52" t="s">
        <v>144</v>
      </c>
      <c r="B21" s="53">
        <v>1.1200000000000001</v>
      </c>
      <c r="C21" s="53">
        <v>13.27</v>
      </c>
      <c r="D21" s="53">
        <v>7.83</v>
      </c>
      <c r="E21" s="53">
        <v>6.58</v>
      </c>
      <c r="F21" s="53">
        <v>8.14</v>
      </c>
      <c r="G21" s="55" t="s">
        <v>12</v>
      </c>
      <c r="H21" s="55" t="s">
        <v>12</v>
      </c>
      <c r="I21" s="53">
        <v>2.12</v>
      </c>
      <c r="J21" s="53">
        <v>1.75</v>
      </c>
      <c r="K21" s="53">
        <v>329.59</v>
      </c>
      <c r="L21" s="53">
        <v>34.74</v>
      </c>
      <c r="M21" s="53">
        <v>55.09</v>
      </c>
      <c r="N21" s="53">
        <v>399.8</v>
      </c>
      <c r="O21" s="53">
        <v>0</v>
      </c>
      <c r="P21" s="53">
        <v>0.49</v>
      </c>
      <c r="Q21" s="53">
        <v>9.61</v>
      </c>
      <c r="R21" s="43"/>
      <c r="S21" s="43"/>
      <c r="T21" s="43"/>
      <c r="U21" s="43"/>
    </row>
    <row r="22" spans="1:21" s="11" customFormat="1" x14ac:dyDescent="0.25">
      <c r="A22" s="52" t="s">
        <v>145</v>
      </c>
      <c r="B22" s="53">
        <v>1.4</v>
      </c>
      <c r="C22" s="53">
        <v>11.31</v>
      </c>
      <c r="D22" s="53">
        <v>6.7</v>
      </c>
      <c r="E22" s="53">
        <v>6.35</v>
      </c>
      <c r="F22" s="53">
        <v>6.22</v>
      </c>
      <c r="G22" s="53">
        <v>118.3</v>
      </c>
      <c r="H22" s="53">
        <v>7.09</v>
      </c>
      <c r="I22" s="53">
        <v>1.98</v>
      </c>
      <c r="J22" s="53">
        <v>0.82</v>
      </c>
      <c r="K22" s="53">
        <v>333.58</v>
      </c>
      <c r="L22" s="53">
        <v>34.54</v>
      </c>
      <c r="M22" s="53">
        <v>55.12</v>
      </c>
      <c r="N22" s="53">
        <v>427</v>
      </c>
      <c r="O22" s="53">
        <v>0</v>
      </c>
      <c r="P22" s="53">
        <v>0.47</v>
      </c>
      <c r="Q22" s="53">
        <v>9.6300000000000008</v>
      </c>
      <c r="R22" s="43"/>
      <c r="S22" s="43"/>
      <c r="T22" s="43"/>
      <c r="U22" s="43"/>
    </row>
    <row r="23" spans="1:21" s="11" customFormat="1" x14ac:dyDescent="0.25">
      <c r="A23" s="52" t="s">
        <v>146</v>
      </c>
      <c r="B23" s="53">
        <v>1.43</v>
      </c>
      <c r="C23" s="53">
        <v>9.41</v>
      </c>
      <c r="D23" s="53">
        <v>5.98</v>
      </c>
      <c r="E23" s="53">
        <v>6.04</v>
      </c>
      <c r="F23" s="53">
        <v>11.02</v>
      </c>
      <c r="G23" s="53">
        <v>79.180000000000007</v>
      </c>
      <c r="H23" s="53">
        <v>9.5399999999999991</v>
      </c>
      <c r="I23" s="53">
        <v>1.75</v>
      </c>
      <c r="J23" s="53">
        <v>1.33</v>
      </c>
      <c r="K23" s="53">
        <v>348.66</v>
      </c>
      <c r="L23" s="53">
        <v>34.51</v>
      </c>
      <c r="M23" s="53">
        <v>56.57</v>
      </c>
      <c r="N23" s="53">
        <v>270.7</v>
      </c>
      <c r="O23" s="53">
        <v>0</v>
      </c>
      <c r="P23" s="53">
        <v>0.45</v>
      </c>
      <c r="Q23" s="53">
        <v>9.6199999999999992</v>
      </c>
      <c r="R23" s="43"/>
      <c r="S23" s="43"/>
      <c r="T23" s="43"/>
      <c r="U23" s="43"/>
    </row>
    <row r="24" spans="1:21" s="11" customFormat="1" x14ac:dyDescent="0.25">
      <c r="A24" s="52" t="s">
        <v>147</v>
      </c>
      <c r="B24" s="53">
        <v>1.01</v>
      </c>
      <c r="C24" s="53">
        <v>15.77</v>
      </c>
      <c r="D24" s="53">
        <v>8.9700000000000006</v>
      </c>
      <c r="E24" s="53">
        <v>6.93</v>
      </c>
      <c r="F24" s="53">
        <v>13.18</v>
      </c>
      <c r="G24" s="53">
        <v>76.63</v>
      </c>
      <c r="H24" s="53">
        <v>11.3</v>
      </c>
      <c r="I24" s="53">
        <v>1.5</v>
      </c>
      <c r="J24" s="53">
        <v>0.45</v>
      </c>
      <c r="K24" s="53">
        <v>352.78</v>
      </c>
      <c r="L24" s="53">
        <v>33.369999999999997</v>
      </c>
      <c r="M24" s="53">
        <v>54.16</v>
      </c>
      <c r="N24" s="53">
        <v>192.6</v>
      </c>
      <c r="O24" s="53">
        <v>0</v>
      </c>
      <c r="P24" s="53">
        <v>0.38</v>
      </c>
      <c r="Q24" s="53">
        <v>9.6199999999999992</v>
      </c>
      <c r="R24" s="43"/>
      <c r="S24" s="43"/>
      <c r="T24" s="43"/>
      <c r="U24" s="43"/>
    </row>
    <row r="25" spans="1:21" s="11" customFormat="1" x14ac:dyDescent="0.25">
      <c r="A25" s="52" t="s">
        <v>148</v>
      </c>
      <c r="B25" s="53">
        <v>1.64</v>
      </c>
      <c r="C25" s="53">
        <v>12.86</v>
      </c>
      <c r="D25" s="53">
        <v>7.75</v>
      </c>
      <c r="E25" s="53">
        <v>6.3</v>
      </c>
      <c r="F25" s="53">
        <v>8.4</v>
      </c>
      <c r="G25" s="53">
        <v>63.67</v>
      </c>
      <c r="H25" s="53">
        <v>10.76</v>
      </c>
      <c r="I25" s="53">
        <v>1.74</v>
      </c>
      <c r="J25" s="53">
        <v>1.61</v>
      </c>
      <c r="K25" s="53">
        <v>347.27</v>
      </c>
      <c r="L25" s="53">
        <v>33.25</v>
      </c>
      <c r="M25" s="53">
        <v>67.86</v>
      </c>
      <c r="N25" s="53">
        <v>138.80000000000001</v>
      </c>
      <c r="O25" s="53">
        <v>0</v>
      </c>
      <c r="P25" s="53">
        <v>0.39</v>
      </c>
      <c r="Q25" s="53">
        <v>9.61</v>
      </c>
      <c r="R25" s="43"/>
      <c r="S25" s="43"/>
      <c r="T25" s="43"/>
      <c r="U25" s="43"/>
    </row>
    <row r="26" spans="1:21" s="11" customFormat="1" x14ac:dyDescent="0.25">
      <c r="A26" s="52" t="s">
        <v>149</v>
      </c>
      <c r="B26" s="53">
        <v>1.43</v>
      </c>
      <c r="C26" s="53">
        <v>11.18</v>
      </c>
      <c r="D26" s="53">
        <v>6.52</v>
      </c>
      <c r="E26" s="53">
        <v>5.92</v>
      </c>
      <c r="F26" s="53">
        <v>6.45</v>
      </c>
      <c r="G26" s="53">
        <v>42.04</v>
      </c>
      <c r="H26" s="53">
        <v>8.6</v>
      </c>
      <c r="I26" s="53">
        <v>2.5</v>
      </c>
      <c r="J26" s="53">
        <v>1.67</v>
      </c>
      <c r="K26" s="53">
        <v>141.01</v>
      </c>
      <c r="L26" s="53">
        <v>28.98</v>
      </c>
      <c r="M26" s="53">
        <v>76.23</v>
      </c>
      <c r="N26" s="53">
        <v>56.6</v>
      </c>
      <c r="O26" s="53">
        <v>0</v>
      </c>
      <c r="P26" s="53">
        <v>0.32</v>
      </c>
      <c r="Q26" s="53">
        <v>9.6199999999999992</v>
      </c>
      <c r="R26" s="43"/>
      <c r="S26" s="43"/>
      <c r="T26" s="43"/>
      <c r="U26" s="43"/>
    </row>
    <row r="27" spans="1:21" s="11" customFormat="1" x14ac:dyDescent="0.25">
      <c r="A27" s="52" t="s">
        <v>150</v>
      </c>
      <c r="B27" s="53">
        <v>2.79</v>
      </c>
      <c r="C27" s="53">
        <v>9.69</v>
      </c>
      <c r="D27" s="53">
        <v>7.3</v>
      </c>
      <c r="E27" s="53">
        <v>5.79</v>
      </c>
      <c r="F27" s="53">
        <v>4.8600000000000003</v>
      </c>
      <c r="G27" s="53">
        <v>46.24</v>
      </c>
      <c r="H27" s="53">
        <v>12.06</v>
      </c>
      <c r="I27" s="53">
        <v>2.0499999999999998</v>
      </c>
      <c r="J27" s="53">
        <v>0.38</v>
      </c>
      <c r="K27" s="53">
        <v>162.06</v>
      </c>
      <c r="L27" s="53">
        <v>27.07</v>
      </c>
      <c r="M27" s="53">
        <v>71.05</v>
      </c>
      <c r="N27" s="53">
        <v>26.4</v>
      </c>
      <c r="O27" s="53">
        <v>0</v>
      </c>
      <c r="P27" s="53">
        <v>0.67</v>
      </c>
      <c r="Q27" s="53">
        <v>9.61</v>
      </c>
      <c r="R27" s="43"/>
      <c r="S27" s="43"/>
      <c r="T27" s="43"/>
      <c r="U27" s="43"/>
    </row>
    <row r="28" spans="1:21" s="11" customFormat="1" x14ac:dyDescent="0.25">
      <c r="A28" s="52" t="s">
        <v>151</v>
      </c>
      <c r="B28" s="53">
        <v>5.7</v>
      </c>
      <c r="C28" s="53">
        <v>10.3</v>
      </c>
      <c r="D28" s="53">
        <v>9.9499999999999993</v>
      </c>
      <c r="E28" s="53">
        <v>5.43</v>
      </c>
      <c r="F28" s="53">
        <v>5.45</v>
      </c>
      <c r="G28" s="53">
        <v>48.03</v>
      </c>
      <c r="H28" s="53">
        <v>12.77</v>
      </c>
      <c r="I28" s="53">
        <v>2.94</v>
      </c>
      <c r="J28" s="53">
        <v>0.49</v>
      </c>
      <c r="K28" s="53">
        <v>337.56</v>
      </c>
      <c r="L28" s="53">
        <v>27.13</v>
      </c>
      <c r="M28" s="53">
        <v>79.81</v>
      </c>
      <c r="N28" s="53">
        <v>26.1</v>
      </c>
      <c r="O28" s="53">
        <v>0</v>
      </c>
      <c r="P28" s="53">
        <v>1.24</v>
      </c>
      <c r="Q28" s="53">
        <v>9.61</v>
      </c>
      <c r="R28" s="43"/>
      <c r="S28" s="43"/>
      <c r="T28" s="43"/>
      <c r="U28" s="43"/>
    </row>
    <row r="29" spans="1:21" s="11" customFormat="1" x14ac:dyDescent="0.25">
      <c r="A29" s="52" t="s">
        <v>152</v>
      </c>
      <c r="B29" s="53">
        <v>10.7</v>
      </c>
      <c r="C29" s="53">
        <v>11.6</v>
      </c>
      <c r="D29" s="53">
        <v>14.64</v>
      </c>
      <c r="E29" s="53">
        <v>5.79</v>
      </c>
      <c r="F29" s="53">
        <v>4.1900000000000004</v>
      </c>
      <c r="G29" s="53">
        <v>52.96</v>
      </c>
      <c r="H29" s="53">
        <v>15.88</v>
      </c>
      <c r="I29" s="53">
        <v>4.13</v>
      </c>
      <c r="J29" s="53">
        <v>1.02</v>
      </c>
      <c r="K29" s="53">
        <v>357.69</v>
      </c>
      <c r="L29" s="53">
        <v>27.31</v>
      </c>
      <c r="M29" s="53">
        <v>81.790000000000006</v>
      </c>
      <c r="N29" s="53">
        <v>26.5</v>
      </c>
      <c r="O29" s="53">
        <v>0</v>
      </c>
      <c r="P29" s="53">
        <v>1.1200000000000001</v>
      </c>
      <c r="Q29" s="53">
        <v>9.6199999999999992</v>
      </c>
      <c r="R29" s="43"/>
      <c r="S29" s="43"/>
      <c r="T29" s="43"/>
      <c r="U29" s="43"/>
    </row>
    <row r="30" spans="1:21" s="11" customFormat="1" x14ac:dyDescent="0.25">
      <c r="A30" s="52" t="s">
        <v>153</v>
      </c>
      <c r="B30" s="53">
        <v>11.13</v>
      </c>
      <c r="C30" s="53">
        <v>11.13</v>
      </c>
      <c r="D30" s="53">
        <v>14.74</v>
      </c>
      <c r="E30" s="53">
        <v>5.93</v>
      </c>
      <c r="F30" s="53">
        <v>4.43</v>
      </c>
      <c r="G30" s="53">
        <v>56.2</v>
      </c>
      <c r="H30" s="53">
        <v>19.53</v>
      </c>
      <c r="I30" s="53">
        <v>4.5</v>
      </c>
      <c r="J30" s="53">
        <v>0.44</v>
      </c>
      <c r="K30" s="53">
        <v>319.58999999999997</v>
      </c>
      <c r="L30" s="53">
        <v>26.33</v>
      </c>
      <c r="M30" s="53">
        <v>82.92</v>
      </c>
      <c r="N30" s="53">
        <v>26.3</v>
      </c>
      <c r="O30" s="53">
        <v>0</v>
      </c>
      <c r="P30" s="53">
        <v>0.79</v>
      </c>
      <c r="Q30" s="53">
        <v>9.61</v>
      </c>
      <c r="R30" s="43"/>
      <c r="S30" s="43"/>
      <c r="T30" s="43"/>
      <c r="U30" s="43"/>
    </row>
    <row r="31" spans="1:21" s="11" customFormat="1" x14ac:dyDescent="0.25">
      <c r="A31" s="52" t="s">
        <v>154</v>
      </c>
      <c r="B31" s="53">
        <v>10.96</v>
      </c>
      <c r="C31" s="53">
        <v>10.42</v>
      </c>
      <c r="D31" s="53">
        <v>14.04</v>
      </c>
      <c r="E31" s="53">
        <v>5.73</v>
      </c>
      <c r="F31" s="53">
        <v>4.1100000000000003</v>
      </c>
      <c r="G31" s="53">
        <v>49.64</v>
      </c>
      <c r="H31" s="53">
        <v>16.27</v>
      </c>
      <c r="I31" s="53">
        <v>3.71</v>
      </c>
      <c r="J31" s="53">
        <v>0.63</v>
      </c>
      <c r="K31" s="53">
        <v>287.82</v>
      </c>
      <c r="L31" s="53">
        <v>25.66</v>
      </c>
      <c r="M31" s="53">
        <v>92.03</v>
      </c>
      <c r="N31" s="53">
        <v>26.2</v>
      </c>
      <c r="O31" s="53">
        <v>0</v>
      </c>
      <c r="P31" s="53">
        <v>0.72</v>
      </c>
      <c r="Q31" s="53">
        <v>9.6199999999999992</v>
      </c>
      <c r="R31" s="43"/>
      <c r="S31" s="43"/>
      <c r="T31" s="43"/>
      <c r="U31" s="43"/>
    </row>
    <row r="32" spans="1:21" s="11" customFormat="1" x14ac:dyDescent="0.25">
      <c r="A32" s="52" t="s">
        <v>155</v>
      </c>
      <c r="B32" s="53">
        <v>13.33</v>
      </c>
      <c r="C32" s="53">
        <v>9.2899999999999991</v>
      </c>
      <c r="D32" s="53">
        <v>15.37</v>
      </c>
      <c r="E32" s="53">
        <v>5.93</v>
      </c>
      <c r="F32" s="53">
        <v>4.07</v>
      </c>
      <c r="G32" s="53">
        <v>48.56</v>
      </c>
      <c r="H32" s="53">
        <v>16.760000000000002</v>
      </c>
      <c r="I32" s="53">
        <v>2.86</v>
      </c>
      <c r="J32" s="53">
        <v>0.56999999999999995</v>
      </c>
      <c r="K32" s="53">
        <v>272.39</v>
      </c>
      <c r="L32" s="53">
        <v>24.86</v>
      </c>
      <c r="M32" s="53">
        <v>94.61</v>
      </c>
      <c r="N32" s="53">
        <v>26.1</v>
      </c>
      <c r="O32" s="53">
        <v>0</v>
      </c>
      <c r="P32" s="53">
        <v>0.49</v>
      </c>
      <c r="Q32" s="53">
        <v>9.6199999999999992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1.01</v>
      </c>
      <c r="C34" s="28">
        <f t="shared" si="0"/>
        <v>4.92</v>
      </c>
      <c r="D34" s="28">
        <f t="shared" si="0"/>
        <v>5.98</v>
      </c>
      <c r="E34" s="28">
        <f t="shared" si="0"/>
        <v>4.79</v>
      </c>
      <c r="F34" s="28">
        <f t="shared" si="0"/>
        <v>3.92</v>
      </c>
      <c r="G34" s="28">
        <f t="shared" si="0"/>
        <v>36.76</v>
      </c>
      <c r="H34" s="28">
        <f t="shared" si="0"/>
        <v>7.09</v>
      </c>
      <c r="I34" s="28">
        <f t="shared" si="0"/>
        <v>1.5</v>
      </c>
      <c r="J34" s="28">
        <f t="shared" si="0"/>
        <v>0.28000000000000003</v>
      </c>
      <c r="K34" s="28">
        <f t="shared" si="0"/>
        <v>141.01</v>
      </c>
      <c r="L34" s="28">
        <f t="shared" si="0"/>
        <v>23.82</v>
      </c>
      <c r="M34" s="28">
        <f t="shared" si="0"/>
        <v>53.46</v>
      </c>
      <c r="N34" s="28">
        <f t="shared" si="0"/>
        <v>26</v>
      </c>
      <c r="O34" s="28">
        <f t="shared" si="0"/>
        <v>0</v>
      </c>
      <c r="P34" s="28">
        <f t="shared" si="0"/>
        <v>0.32</v>
      </c>
      <c r="Q34" s="28">
        <f t="shared" si="0"/>
        <v>9.61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14.36</v>
      </c>
      <c r="C35" s="29">
        <f t="shared" si="1"/>
        <v>15.77</v>
      </c>
      <c r="D35" s="29">
        <f t="shared" si="1"/>
        <v>15.54</v>
      </c>
      <c r="E35" s="29">
        <f t="shared" si="1"/>
        <v>6.93</v>
      </c>
      <c r="F35" s="29">
        <f t="shared" si="1"/>
        <v>14.22</v>
      </c>
      <c r="G35" s="29">
        <f t="shared" si="1"/>
        <v>118.3</v>
      </c>
      <c r="H35" s="29">
        <f t="shared" si="1"/>
        <v>25.22</v>
      </c>
      <c r="I35" s="29">
        <f t="shared" si="1"/>
        <v>4.75</v>
      </c>
      <c r="J35" s="29">
        <f t="shared" si="1"/>
        <v>1.75</v>
      </c>
      <c r="K35" s="29">
        <f t="shared" si="1"/>
        <v>357.69</v>
      </c>
      <c r="L35" s="29">
        <f t="shared" si="1"/>
        <v>36.78</v>
      </c>
      <c r="M35" s="29">
        <f t="shared" si="1"/>
        <v>102.82</v>
      </c>
      <c r="N35" s="29">
        <f t="shared" si="1"/>
        <v>858.9</v>
      </c>
      <c r="O35" s="29">
        <f t="shared" si="1"/>
        <v>0</v>
      </c>
      <c r="P35" s="29">
        <f t="shared" si="1"/>
        <v>1.24</v>
      </c>
      <c r="Q35" s="29">
        <f t="shared" si="1"/>
        <v>9.6300000000000008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6.1433333333333353</v>
      </c>
      <c r="C36" s="28">
        <f t="shared" si="2"/>
        <v>9.4104166666666664</v>
      </c>
      <c r="D36" s="28">
        <f t="shared" si="2"/>
        <v>9.6987500000000004</v>
      </c>
      <c r="E36" s="28">
        <f t="shared" si="2"/>
        <v>5.6475</v>
      </c>
      <c r="F36" s="28">
        <f t="shared" si="2"/>
        <v>5.9920833333333343</v>
      </c>
      <c r="G36" s="28">
        <f t="shared" si="2"/>
        <v>54.276818181818179</v>
      </c>
      <c r="H36" s="28">
        <f t="shared" si="2"/>
        <v>15.105454545454547</v>
      </c>
      <c r="I36" s="28">
        <f t="shared" si="2"/>
        <v>3.3287499999999994</v>
      </c>
      <c r="J36" s="28">
        <f t="shared" si="2"/>
        <v>0.76166666666666671</v>
      </c>
      <c r="K36" s="28">
        <f t="shared" si="2"/>
        <v>317.60958333333332</v>
      </c>
      <c r="L36" s="28">
        <f t="shared" si="2"/>
        <v>29.292500000000004</v>
      </c>
      <c r="M36" s="28">
        <f t="shared" si="2"/>
        <v>79.683333333333323</v>
      </c>
      <c r="N36" s="28">
        <f t="shared" si="2"/>
        <v>221.56666666666672</v>
      </c>
      <c r="O36" s="28">
        <f t="shared" si="2"/>
        <v>0</v>
      </c>
      <c r="P36" s="28">
        <f t="shared" si="2"/>
        <v>0.62750000000000006</v>
      </c>
      <c r="Q36" s="28">
        <f t="shared" si="2"/>
        <v>9.6175000000000015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4.1041714375018206</v>
      </c>
      <c r="C37" s="28">
        <f t="shared" ref="C37:Q37" si="3">STDEV(C9:C32)</f>
        <v>3.1331335601593966</v>
      </c>
      <c r="D37" s="28">
        <f t="shared" si="3"/>
        <v>3.0179899911955514</v>
      </c>
      <c r="E37" s="28">
        <f t="shared" si="3"/>
        <v>0.61025475792100126</v>
      </c>
      <c r="F37" s="28">
        <f t="shared" si="3"/>
        <v>2.9398417277224222</v>
      </c>
      <c r="G37" s="28">
        <f t="shared" si="3"/>
        <v>18.535721596642137</v>
      </c>
      <c r="H37" s="28">
        <f t="shared" si="3"/>
        <v>4.3699468529760672</v>
      </c>
      <c r="I37" s="28">
        <f t="shared" si="3"/>
        <v>1.0702998868663351</v>
      </c>
      <c r="J37" s="28">
        <f t="shared" si="3"/>
        <v>0.46914044125740029</v>
      </c>
      <c r="K37" s="28">
        <f t="shared" si="3"/>
        <v>59.218153979066599</v>
      </c>
      <c r="L37" s="28">
        <f t="shared" si="3"/>
        <v>4.4325282313527028</v>
      </c>
      <c r="M37" s="28">
        <f t="shared" si="3"/>
        <v>18.648967489000626</v>
      </c>
      <c r="N37" s="28">
        <f t="shared" si="3"/>
        <v>277.78635779985689</v>
      </c>
      <c r="O37" s="28">
        <f t="shared" si="3"/>
        <v>0</v>
      </c>
      <c r="P37" s="28">
        <f t="shared" si="3"/>
        <v>0.21823899942394623</v>
      </c>
      <c r="Q37" s="28">
        <f t="shared" si="3"/>
        <v>7.3720978077452233E-3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</f>
        <v>24</v>
      </c>
      <c r="H38" s="32">
        <f>COUNT(H9:H32)+2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51" sqref="H51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05/10/2024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156</v>
      </c>
      <c r="B9" s="53">
        <v>13.1</v>
      </c>
      <c r="C9" s="53">
        <v>8.2899999999999991</v>
      </c>
      <c r="D9" s="53">
        <v>14.84</v>
      </c>
      <c r="E9" s="53">
        <v>6.16</v>
      </c>
      <c r="F9" s="53">
        <v>4.13</v>
      </c>
      <c r="G9" s="53">
        <v>44.56</v>
      </c>
      <c r="H9" s="53">
        <v>11.73</v>
      </c>
      <c r="I9" s="53">
        <v>2.79</v>
      </c>
      <c r="J9" s="53">
        <v>0.49</v>
      </c>
      <c r="K9" s="53">
        <v>127.23</v>
      </c>
      <c r="L9" s="53">
        <v>24.69</v>
      </c>
      <c r="M9" s="53">
        <v>100.22</v>
      </c>
      <c r="N9" s="53">
        <v>26</v>
      </c>
      <c r="O9" s="53">
        <v>0</v>
      </c>
      <c r="P9" s="53">
        <v>0.53</v>
      </c>
      <c r="Q9" s="53">
        <v>9.6199999999999992</v>
      </c>
      <c r="R9" s="43"/>
      <c r="S9" s="43"/>
      <c r="T9" s="43"/>
      <c r="U9" s="43"/>
    </row>
    <row r="10" spans="1:21" s="11" customFormat="1" x14ac:dyDescent="0.25">
      <c r="A10" s="52" t="s">
        <v>157</v>
      </c>
      <c r="B10" s="53">
        <v>11.65</v>
      </c>
      <c r="C10" s="53">
        <v>7.43</v>
      </c>
      <c r="D10" s="53">
        <v>13.22</v>
      </c>
      <c r="E10" s="53">
        <v>6.33</v>
      </c>
      <c r="F10" s="53">
        <v>3.97</v>
      </c>
      <c r="G10" s="53">
        <v>45.32</v>
      </c>
      <c r="H10" s="53">
        <v>9.91</v>
      </c>
      <c r="I10" s="53">
        <v>4.0199999999999996</v>
      </c>
      <c r="J10" s="53">
        <v>0.46</v>
      </c>
      <c r="K10" s="53">
        <v>332.4</v>
      </c>
      <c r="L10" s="53">
        <v>24.41</v>
      </c>
      <c r="M10" s="53">
        <v>102.74</v>
      </c>
      <c r="N10" s="53">
        <v>26.1</v>
      </c>
      <c r="O10" s="53">
        <v>0</v>
      </c>
      <c r="P10" s="53">
        <v>0.48</v>
      </c>
      <c r="Q10" s="53">
        <v>9.61</v>
      </c>
      <c r="R10" s="43"/>
      <c r="S10" s="43"/>
      <c r="T10" s="43"/>
      <c r="U10" s="43"/>
    </row>
    <row r="11" spans="1:21" s="11" customFormat="1" x14ac:dyDescent="0.25">
      <c r="A11" s="52" t="s">
        <v>158</v>
      </c>
      <c r="B11" s="53">
        <v>11</v>
      </c>
      <c r="C11" s="53">
        <v>7.02</v>
      </c>
      <c r="D11" s="53">
        <v>12.48</v>
      </c>
      <c r="E11" s="53">
        <v>6.41</v>
      </c>
      <c r="F11" s="53">
        <v>3.92</v>
      </c>
      <c r="G11" s="53">
        <v>38.47</v>
      </c>
      <c r="H11" s="53">
        <v>11.13</v>
      </c>
      <c r="I11" s="53">
        <v>3.85</v>
      </c>
      <c r="J11" s="53">
        <v>0.51</v>
      </c>
      <c r="K11" s="53">
        <v>349.14</v>
      </c>
      <c r="L11" s="53">
        <v>24.04</v>
      </c>
      <c r="M11" s="53">
        <v>97.08</v>
      </c>
      <c r="N11" s="53">
        <v>26.1</v>
      </c>
      <c r="O11" s="53">
        <v>0</v>
      </c>
      <c r="P11" s="53">
        <v>0.49</v>
      </c>
      <c r="Q11" s="53">
        <v>9.6199999999999992</v>
      </c>
      <c r="R11" s="43"/>
      <c r="S11" s="43"/>
      <c r="T11" s="43"/>
      <c r="U11" s="43"/>
    </row>
    <row r="12" spans="1:21" s="11" customFormat="1" x14ac:dyDescent="0.25">
      <c r="A12" s="52" t="s">
        <v>159</v>
      </c>
      <c r="B12" s="53">
        <v>10.02</v>
      </c>
      <c r="C12" s="53">
        <v>6.36</v>
      </c>
      <c r="D12" s="53">
        <v>11.36</v>
      </c>
      <c r="E12" s="53">
        <v>6.1</v>
      </c>
      <c r="F12" s="53">
        <v>4.2300000000000004</v>
      </c>
      <c r="G12" s="53">
        <v>37.93</v>
      </c>
      <c r="H12" s="53">
        <v>11.82</v>
      </c>
      <c r="I12" s="53">
        <v>3.72</v>
      </c>
      <c r="J12" s="53">
        <v>0.4</v>
      </c>
      <c r="K12" s="53">
        <v>292.52</v>
      </c>
      <c r="L12" s="53">
        <v>24</v>
      </c>
      <c r="M12" s="53">
        <v>99.48</v>
      </c>
      <c r="N12" s="53">
        <v>26.1</v>
      </c>
      <c r="O12" s="53">
        <v>0</v>
      </c>
      <c r="P12" s="53">
        <v>0.47</v>
      </c>
      <c r="Q12" s="53">
        <v>9.6199999999999992</v>
      </c>
      <c r="R12" s="43"/>
      <c r="S12" s="43"/>
      <c r="T12" s="43"/>
      <c r="U12" s="43"/>
    </row>
    <row r="13" spans="1:21" s="11" customFormat="1" x14ac:dyDescent="0.25">
      <c r="A13" s="52" t="s">
        <v>160</v>
      </c>
      <c r="B13" s="53">
        <v>9.5399999999999991</v>
      </c>
      <c r="C13" s="53">
        <v>5.78</v>
      </c>
      <c r="D13" s="53">
        <v>10.49</v>
      </c>
      <c r="E13" s="53">
        <v>5.96</v>
      </c>
      <c r="F13" s="53">
        <v>4.1399999999999997</v>
      </c>
      <c r="G13" s="53">
        <v>40.49</v>
      </c>
      <c r="H13" s="53">
        <v>16.260000000000002</v>
      </c>
      <c r="I13" s="53">
        <v>3.57</v>
      </c>
      <c r="J13" s="53">
        <v>0.49</v>
      </c>
      <c r="K13" s="53">
        <v>328.16</v>
      </c>
      <c r="L13" s="53">
        <v>23.53</v>
      </c>
      <c r="M13" s="53">
        <v>102.76</v>
      </c>
      <c r="N13" s="53">
        <v>26.1</v>
      </c>
      <c r="O13" s="53">
        <v>0</v>
      </c>
      <c r="P13" s="53">
        <v>0.46</v>
      </c>
      <c r="Q13" s="53">
        <v>9.6199999999999992</v>
      </c>
      <c r="R13" s="43"/>
      <c r="S13" s="43"/>
      <c r="T13" s="43"/>
      <c r="U13" s="43"/>
    </row>
    <row r="14" spans="1:21" s="11" customFormat="1" x14ac:dyDescent="0.25">
      <c r="A14" s="52" t="s">
        <v>161</v>
      </c>
      <c r="B14" s="53">
        <v>9.7200000000000006</v>
      </c>
      <c r="C14" s="53">
        <v>6.32</v>
      </c>
      <c r="D14" s="53">
        <v>10.98</v>
      </c>
      <c r="E14" s="53">
        <v>6.22</v>
      </c>
      <c r="F14" s="53">
        <v>4.0199999999999996</v>
      </c>
      <c r="G14" s="53">
        <v>39.130000000000003</v>
      </c>
      <c r="H14" s="53">
        <v>17.16</v>
      </c>
      <c r="I14" s="53">
        <v>4.7699999999999996</v>
      </c>
      <c r="J14" s="53">
        <v>0.74</v>
      </c>
      <c r="K14" s="53">
        <v>343.71</v>
      </c>
      <c r="L14" s="53">
        <v>23.49</v>
      </c>
      <c r="M14" s="53">
        <v>102.01</v>
      </c>
      <c r="N14" s="53">
        <v>27.5</v>
      </c>
      <c r="O14" s="53">
        <v>0</v>
      </c>
      <c r="P14" s="53">
        <v>0.48</v>
      </c>
      <c r="Q14" s="53">
        <v>9.6</v>
      </c>
      <c r="R14" s="43"/>
      <c r="S14" s="43"/>
      <c r="T14" s="43"/>
      <c r="U14" s="43"/>
    </row>
    <row r="15" spans="1:21" s="11" customFormat="1" x14ac:dyDescent="0.25">
      <c r="A15" s="52" t="s">
        <v>162</v>
      </c>
      <c r="B15" s="53">
        <v>12.66</v>
      </c>
      <c r="C15" s="53">
        <v>7.54</v>
      </c>
      <c r="D15" s="53">
        <v>14.09</v>
      </c>
      <c r="E15" s="53">
        <v>6.08</v>
      </c>
      <c r="F15" s="53">
        <v>3.82</v>
      </c>
      <c r="G15" s="53">
        <v>38.159999999999997</v>
      </c>
      <c r="H15" s="53">
        <v>18.52</v>
      </c>
      <c r="I15" s="53">
        <v>4.88</v>
      </c>
      <c r="J15" s="53">
        <v>0.57999999999999996</v>
      </c>
      <c r="K15" s="53">
        <v>350.48</v>
      </c>
      <c r="L15" s="53">
        <v>26.62</v>
      </c>
      <c r="M15" s="53">
        <v>101.21</v>
      </c>
      <c r="N15" s="53">
        <v>152.69999999999999</v>
      </c>
      <c r="O15" s="53">
        <v>0</v>
      </c>
      <c r="P15" s="53">
        <v>0.48</v>
      </c>
      <c r="Q15" s="53">
        <v>9.61</v>
      </c>
      <c r="R15" s="43"/>
      <c r="S15" s="43"/>
      <c r="T15" s="43"/>
      <c r="U15" s="43"/>
    </row>
    <row r="16" spans="1:21" s="11" customFormat="1" x14ac:dyDescent="0.25">
      <c r="A16" s="52" t="s">
        <v>163</v>
      </c>
      <c r="B16" s="53">
        <v>15.29</v>
      </c>
      <c r="C16" s="53">
        <v>8.08</v>
      </c>
      <c r="D16" s="53">
        <v>16.48</v>
      </c>
      <c r="E16" s="53">
        <v>6.14</v>
      </c>
      <c r="F16" s="53">
        <v>3.93</v>
      </c>
      <c r="G16" s="53">
        <v>49.51</v>
      </c>
      <c r="H16" s="53">
        <v>14.96</v>
      </c>
      <c r="I16" s="53">
        <v>4.67</v>
      </c>
      <c r="J16" s="53">
        <v>1.17</v>
      </c>
      <c r="K16" s="53">
        <v>341.25</v>
      </c>
      <c r="L16" s="53">
        <v>33.020000000000003</v>
      </c>
      <c r="M16" s="53">
        <v>78.34</v>
      </c>
      <c r="N16" s="53">
        <v>387.3</v>
      </c>
      <c r="O16" s="53">
        <v>0</v>
      </c>
      <c r="P16" s="53">
        <v>0.6</v>
      </c>
      <c r="Q16" s="53">
        <v>9.6300000000000008</v>
      </c>
      <c r="R16" s="43"/>
      <c r="S16" s="43"/>
      <c r="T16" s="43"/>
      <c r="U16" s="43"/>
    </row>
    <row r="17" spans="1:21" s="11" customFormat="1" x14ac:dyDescent="0.25">
      <c r="A17" s="52" t="s">
        <v>164</v>
      </c>
      <c r="B17" s="53">
        <v>15.25</v>
      </c>
      <c r="C17" s="53">
        <v>9.35</v>
      </c>
      <c r="D17" s="53">
        <v>16.8</v>
      </c>
      <c r="E17" s="53">
        <v>6.02</v>
      </c>
      <c r="F17" s="53">
        <v>3.93</v>
      </c>
      <c r="G17" s="53">
        <v>53.48</v>
      </c>
      <c r="H17" s="53">
        <v>19.45</v>
      </c>
      <c r="I17" s="53">
        <v>4.01</v>
      </c>
      <c r="J17" s="53">
        <v>1.32</v>
      </c>
      <c r="K17" s="53">
        <v>335.93</v>
      </c>
      <c r="L17" s="53">
        <v>35.21</v>
      </c>
      <c r="M17" s="53">
        <v>55.79</v>
      </c>
      <c r="N17" s="53">
        <v>592</v>
      </c>
      <c r="O17" s="53">
        <v>0</v>
      </c>
      <c r="P17" s="53">
        <v>0.56999999999999995</v>
      </c>
      <c r="Q17" s="53">
        <v>9.6199999999999992</v>
      </c>
      <c r="R17" s="43"/>
      <c r="S17" s="43"/>
      <c r="T17" s="43"/>
      <c r="U17" s="43"/>
    </row>
    <row r="18" spans="1:21" s="11" customFormat="1" x14ac:dyDescent="0.25">
      <c r="A18" s="52" t="s">
        <v>165</v>
      </c>
      <c r="B18" s="53">
        <v>14.4</v>
      </c>
      <c r="C18" s="53">
        <v>11.53</v>
      </c>
      <c r="D18" s="53">
        <v>16.61</v>
      </c>
      <c r="E18" s="53">
        <v>6.24</v>
      </c>
      <c r="F18" s="53">
        <v>4.5999999999999996</v>
      </c>
      <c r="G18" s="53">
        <v>47.8</v>
      </c>
      <c r="H18" s="53">
        <v>15.19</v>
      </c>
      <c r="I18" s="53">
        <v>4.26</v>
      </c>
      <c r="J18" s="53">
        <v>1.56</v>
      </c>
      <c r="K18" s="53">
        <v>334.53</v>
      </c>
      <c r="L18" s="53">
        <v>37.21</v>
      </c>
      <c r="M18" s="53">
        <v>50.09</v>
      </c>
      <c r="N18" s="53">
        <v>734.7</v>
      </c>
      <c r="O18" s="53">
        <v>0</v>
      </c>
      <c r="P18" s="53">
        <v>0.57999999999999996</v>
      </c>
      <c r="Q18" s="53">
        <v>9.61</v>
      </c>
      <c r="R18" s="43"/>
      <c r="S18" s="43"/>
      <c r="T18" s="43"/>
      <c r="U18" s="43"/>
    </row>
    <row r="19" spans="1:21" s="11" customFormat="1" x14ac:dyDescent="0.25">
      <c r="A19" s="52" t="s">
        <v>166</v>
      </c>
      <c r="B19" s="53">
        <v>10.4</v>
      </c>
      <c r="C19" s="53">
        <v>13.94</v>
      </c>
      <c r="D19" s="53">
        <v>14.74</v>
      </c>
      <c r="E19" s="53">
        <v>6.32</v>
      </c>
      <c r="F19" s="53">
        <v>4.7</v>
      </c>
      <c r="G19" s="53">
        <v>50.6</v>
      </c>
      <c r="H19" s="53">
        <v>15.77</v>
      </c>
      <c r="I19" s="53">
        <v>4.01</v>
      </c>
      <c r="J19" s="53">
        <v>1.18</v>
      </c>
      <c r="K19" s="53">
        <v>333.19</v>
      </c>
      <c r="L19" s="53">
        <v>37.78</v>
      </c>
      <c r="M19" s="53">
        <v>48.98</v>
      </c>
      <c r="N19" s="53">
        <v>777.7</v>
      </c>
      <c r="O19" s="53">
        <v>0</v>
      </c>
      <c r="P19" s="53">
        <v>0.6</v>
      </c>
      <c r="Q19" s="53">
        <v>9.6199999999999992</v>
      </c>
      <c r="R19" s="43"/>
      <c r="S19" s="43"/>
      <c r="T19" s="43"/>
      <c r="U19" s="43"/>
    </row>
    <row r="20" spans="1:21" s="11" customFormat="1" x14ac:dyDescent="0.25">
      <c r="A20" s="52" t="s">
        <v>167</v>
      </c>
      <c r="B20" s="53">
        <v>6.73</v>
      </c>
      <c r="C20" s="53">
        <v>14.37</v>
      </c>
      <c r="D20" s="53">
        <v>12.64</v>
      </c>
      <c r="E20" s="53">
        <v>6.42</v>
      </c>
      <c r="F20" s="53">
        <v>4.59</v>
      </c>
      <c r="G20" s="53">
        <v>63.78</v>
      </c>
      <c r="H20" s="53">
        <v>20.16</v>
      </c>
      <c r="I20" s="53">
        <v>3.67</v>
      </c>
      <c r="J20" s="53">
        <v>1.53</v>
      </c>
      <c r="K20" s="53">
        <v>336.12</v>
      </c>
      <c r="L20" s="53">
        <v>37.1</v>
      </c>
      <c r="M20" s="53">
        <v>48.6</v>
      </c>
      <c r="N20" s="53">
        <v>771.7</v>
      </c>
      <c r="O20" s="53">
        <v>0</v>
      </c>
      <c r="P20" s="53">
        <v>0.64</v>
      </c>
      <c r="Q20" s="53">
        <v>9.61</v>
      </c>
      <c r="R20" s="43"/>
      <c r="S20" s="43"/>
      <c r="T20" s="43"/>
      <c r="U20" s="43"/>
    </row>
    <row r="21" spans="1:21" s="11" customFormat="1" x14ac:dyDescent="0.25">
      <c r="A21" s="52" t="s">
        <v>168</v>
      </c>
      <c r="B21" s="53">
        <v>4.72</v>
      </c>
      <c r="C21" s="53">
        <v>13.9</v>
      </c>
      <c r="D21" s="53">
        <v>10.94</v>
      </c>
      <c r="E21" s="53">
        <v>5.91</v>
      </c>
      <c r="F21" s="53">
        <v>5.51</v>
      </c>
      <c r="G21" s="53">
        <v>65.78</v>
      </c>
      <c r="H21" s="53">
        <v>29.64</v>
      </c>
      <c r="I21" s="53">
        <v>2.95</v>
      </c>
      <c r="J21" s="53">
        <v>2</v>
      </c>
      <c r="K21" s="53">
        <v>342.56</v>
      </c>
      <c r="L21" s="53">
        <v>36.36</v>
      </c>
      <c r="M21" s="53">
        <v>47.6</v>
      </c>
      <c r="N21" s="53">
        <v>429.3</v>
      </c>
      <c r="O21" s="53">
        <v>0</v>
      </c>
      <c r="P21" s="53">
        <v>0.61</v>
      </c>
      <c r="Q21" s="53">
        <v>9.6199999999999992</v>
      </c>
      <c r="R21" s="43"/>
      <c r="S21" s="43"/>
      <c r="T21" s="43"/>
      <c r="U21" s="43"/>
    </row>
    <row r="22" spans="1:21" s="11" customFormat="1" x14ac:dyDescent="0.25">
      <c r="A22" s="52" t="s">
        <v>169</v>
      </c>
      <c r="B22" s="53">
        <v>3.68</v>
      </c>
      <c r="C22" s="53">
        <v>13.44</v>
      </c>
      <c r="D22" s="53">
        <v>9.9700000000000006</v>
      </c>
      <c r="E22" s="53">
        <v>5.94</v>
      </c>
      <c r="F22" s="53">
        <v>6.63</v>
      </c>
      <c r="G22" s="53">
        <v>68.11</v>
      </c>
      <c r="H22" s="53">
        <v>26.27</v>
      </c>
      <c r="I22" s="53">
        <v>2.59</v>
      </c>
      <c r="J22" s="53">
        <v>1.58</v>
      </c>
      <c r="K22" s="53">
        <v>345.38</v>
      </c>
      <c r="L22" s="53">
        <v>35.520000000000003</v>
      </c>
      <c r="M22" s="53">
        <v>52.4</v>
      </c>
      <c r="N22" s="53">
        <v>495.6</v>
      </c>
      <c r="O22" s="53">
        <v>0</v>
      </c>
      <c r="P22" s="53">
        <v>0.59</v>
      </c>
      <c r="Q22" s="53">
        <v>9.6199999999999992</v>
      </c>
      <c r="R22" s="43"/>
      <c r="S22" s="43"/>
      <c r="T22" s="43"/>
      <c r="U22" s="43"/>
    </row>
    <row r="23" spans="1:21" s="11" customFormat="1" x14ac:dyDescent="0.25">
      <c r="A23" s="52" t="s">
        <v>170</v>
      </c>
      <c r="B23" s="53">
        <v>4.1500000000000004</v>
      </c>
      <c r="C23" s="53">
        <v>13.58</v>
      </c>
      <c r="D23" s="53">
        <v>10.26</v>
      </c>
      <c r="E23" s="53">
        <v>5.66</v>
      </c>
      <c r="F23" s="53">
        <v>5.21</v>
      </c>
      <c r="G23" s="53">
        <v>62.5</v>
      </c>
      <c r="H23" s="53">
        <v>21.9</v>
      </c>
      <c r="I23" s="53">
        <v>2.75</v>
      </c>
      <c r="J23" s="53">
        <v>1</v>
      </c>
      <c r="K23" s="53">
        <v>332.2</v>
      </c>
      <c r="L23" s="53">
        <v>32.36</v>
      </c>
      <c r="M23" s="53">
        <v>58.15</v>
      </c>
      <c r="N23" s="53">
        <v>112.9</v>
      </c>
      <c r="O23" s="53">
        <v>0</v>
      </c>
      <c r="P23" s="53">
        <v>0.62</v>
      </c>
      <c r="Q23" s="53">
        <v>9.6199999999999992</v>
      </c>
      <c r="R23" s="43"/>
      <c r="S23" s="43"/>
      <c r="T23" s="43"/>
      <c r="U23" s="43"/>
    </row>
    <row r="24" spans="1:21" s="11" customFormat="1" x14ac:dyDescent="0.25">
      <c r="A24" s="52" t="s">
        <v>171</v>
      </c>
      <c r="B24" s="53">
        <v>3.12</v>
      </c>
      <c r="C24" s="53">
        <v>12.25</v>
      </c>
      <c r="D24" s="53">
        <v>8.9</v>
      </c>
      <c r="E24" s="53">
        <v>5.45</v>
      </c>
      <c r="F24" s="53">
        <v>7.24</v>
      </c>
      <c r="G24" s="53">
        <v>59.6</v>
      </c>
      <c r="H24" s="53">
        <v>25.57</v>
      </c>
      <c r="I24" s="53">
        <v>2.4500000000000002</v>
      </c>
      <c r="J24" s="53">
        <v>0.72</v>
      </c>
      <c r="K24" s="53">
        <v>122.37</v>
      </c>
      <c r="L24" s="53">
        <v>30.21</v>
      </c>
      <c r="M24" s="53">
        <v>61.47</v>
      </c>
      <c r="N24" s="53">
        <v>83.2</v>
      </c>
      <c r="O24" s="53">
        <v>0</v>
      </c>
      <c r="P24" s="53">
        <v>0.53</v>
      </c>
      <c r="Q24" s="53">
        <v>9.61</v>
      </c>
      <c r="R24" s="43"/>
      <c r="S24" s="43"/>
      <c r="T24" s="43"/>
      <c r="U24" s="43"/>
    </row>
    <row r="25" spans="1:21" s="11" customFormat="1" x14ac:dyDescent="0.25">
      <c r="A25" s="52" t="s">
        <v>172</v>
      </c>
      <c r="B25" s="53">
        <v>2.2999999999999998</v>
      </c>
      <c r="C25" s="53">
        <v>9.89</v>
      </c>
      <c r="D25" s="53">
        <v>7.01</v>
      </c>
      <c r="E25" s="53">
        <v>5.37</v>
      </c>
      <c r="F25" s="53">
        <v>7.64</v>
      </c>
      <c r="G25" s="53">
        <v>55.4</v>
      </c>
      <c r="H25" s="53">
        <v>21.63</v>
      </c>
      <c r="I25" s="53">
        <v>1.48</v>
      </c>
      <c r="J25" s="53">
        <v>1.03</v>
      </c>
      <c r="K25" s="53">
        <v>116.79</v>
      </c>
      <c r="L25" s="53">
        <v>29.87</v>
      </c>
      <c r="M25" s="53">
        <v>58.3</v>
      </c>
      <c r="N25" s="53">
        <v>65.400000000000006</v>
      </c>
      <c r="O25" s="53">
        <v>0</v>
      </c>
      <c r="P25" s="53">
        <v>0.45</v>
      </c>
      <c r="Q25" s="53">
        <v>9.6199999999999992</v>
      </c>
      <c r="R25" s="43"/>
      <c r="S25" s="43"/>
      <c r="T25" s="43"/>
      <c r="U25" s="43"/>
    </row>
    <row r="26" spans="1:21" s="11" customFormat="1" x14ac:dyDescent="0.25">
      <c r="A26" s="52" t="s">
        <v>173</v>
      </c>
      <c r="B26" s="53">
        <v>1.67</v>
      </c>
      <c r="C26" s="53">
        <v>9.34</v>
      </c>
      <c r="D26" s="53">
        <v>6.16</v>
      </c>
      <c r="E26" s="53">
        <v>5.29</v>
      </c>
      <c r="F26" s="53">
        <v>7.45</v>
      </c>
      <c r="G26" s="53">
        <v>47.17</v>
      </c>
      <c r="H26" s="53">
        <v>19.91</v>
      </c>
      <c r="I26" s="53">
        <v>1.61</v>
      </c>
      <c r="J26" s="53">
        <v>0.86</v>
      </c>
      <c r="K26" s="53">
        <v>169.48</v>
      </c>
      <c r="L26" s="53">
        <v>29.65</v>
      </c>
      <c r="M26" s="53">
        <v>68</v>
      </c>
      <c r="N26" s="53">
        <v>47.9</v>
      </c>
      <c r="O26" s="53">
        <v>0</v>
      </c>
      <c r="P26" s="53">
        <v>0.47</v>
      </c>
      <c r="Q26" s="53">
        <v>9.61</v>
      </c>
      <c r="R26" s="43"/>
      <c r="S26" s="43"/>
      <c r="T26" s="43"/>
      <c r="U26" s="43"/>
    </row>
    <row r="27" spans="1:21" s="11" customFormat="1" x14ac:dyDescent="0.25">
      <c r="A27" s="52" t="s">
        <v>174</v>
      </c>
      <c r="B27" s="53">
        <v>8.58</v>
      </c>
      <c r="C27" s="53">
        <v>14.4</v>
      </c>
      <c r="D27" s="53">
        <v>14.41</v>
      </c>
      <c r="E27" s="53">
        <v>5.71</v>
      </c>
      <c r="F27" s="53">
        <v>5.07</v>
      </c>
      <c r="G27" s="53">
        <v>49.14</v>
      </c>
      <c r="H27" s="53">
        <v>18.12</v>
      </c>
      <c r="I27" s="53">
        <v>3.43</v>
      </c>
      <c r="J27" s="53">
        <v>0.49</v>
      </c>
      <c r="K27" s="53">
        <v>287.57</v>
      </c>
      <c r="L27" s="53">
        <v>27.85</v>
      </c>
      <c r="M27" s="53">
        <v>84.41</v>
      </c>
      <c r="N27" s="53">
        <v>26.3</v>
      </c>
      <c r="O27" s="53">
        <v>0</v>
      </c>
      <c r="P27" s="53">
        <v>1.23</v>
      </c>
      <c r="Q27" s="53">
        <v>9.61</v>
      </c>
      <c r="R27" s="43"/>
      <c r="S27" s="43"/>
      <c r="T27" s="43"/>
      <c r="U27" s="43"/>
    </row>
    <row r="28" spans="1:21" s="11" customFormat="1" x14ac:dyDescent="0.25">
      <c r="A28" s="52" t="s">
        <v>175</v>
      </c>
      <c r="B28" s="53">
        <v>21.94</v>
      </c>
      <c r="C28" s="53">
        <v>16.309999999999999</v>
      </c>
      <c r="D28" s="53">
        <v>26.01</v>
      </c>
      <c r="E28" s="53">
        <v>6.28</v>
      </c>
      <c r="F28" s="53">
        <v>4.26</v>
      </c>
      <c r="G28" s="53">
        <v>62.9</v>
      </c>
      <c r="H28" s="53">
        <v>25.81</v>
      </c>
      <c r="I28" s="53">
        <v>5.77</v>
      </c>
      <c r="J28" s="53">
        <v>0.54</v>
      </c>
      <c r="K28" s="53">
        <v>307.76</v>
      </c>
      <c r="L28" s="53">
        <v>26.42</v>
      </c>
      <c r="M28" s="53">
        <v>88.69</v>
      </c>
      <c r="N28" s="53">
        <v>26</v>
      </c>
      <c r="O28" s="53">
        <v>0</v>
      </c>
      <c r="P28" s="53">
        <v>1.38</v>
      </c>
      <c r="Q28" s="53">
        <v>9.61</v>
      </c>
      <c r="R28" s="43"/>
      <c r="S28" s="43"/>
      <c r="T28" s="43"/>
      <c r="U28" s="43"/>
    </row>
    <row r="29" spans="1:21" s="11" customFormat="1" x14ac:dyDescent="0.25">
      <c r="A29" s="52" t="s">
        <v>176</v>
      </c>
      <c r="B29" s="53">
        <v>25.2</v>
      </c>
      <c r="C29" s="53">
        <v>14.78</v>
      </c>
      <c r="D29" s="53">
        <v>27.66</v>
      </c>
      <c r="E29" s="53">
        <v>6.2</v>
      </c>
      <c r="F29" s="53">
        <v>4.71</v>
      </c>
      <c r="G29" s="53">
        <v>80.88</v>
      </c>
      <c r="H29" s="53">
        <v>21.27</v>
      </c>
      <c r="I29" s="53">
        <v>5.72</v>
      </c>
      <c r="J29" s="53">
        <v>0.75</v>
      </c>
      <c r="K29" s="53">
        <v>321.45</v>
      </c>
      <c r="L29" s="53">
        <v>27.06</v>
      </c>
      <c r="M29" s="53">
        <v>90.77</v>
      </c>
      <c r="N29" s="53">
        <v>26.3</v>
      </c>
      <c r="O29" s="53">
        <v>0</v>
      </c>
      <c r="P29" s="53">
        <v>1.6</v>
      </c>
      <c r="Q29" s="53">
        <v>9.6300000000000008</v>
      </c>
      <c r="R29" s="43"/>
      <c r="S29" s="43"/>
      <c r="T29" s="43"/>
      <c r="U29" s="43"/>
    </row>
    <row r="30" spans="1:21" s="11" customFormat="1" x14ac:dyDescent="0.25">
      <c r="A30" s="52" t="s">
        <v>177</v>
      </c>
      <c r="B30" s="53">
        <v>27.71</v>
      </c>
      <c r="C30" s="53">
        <v>14.02</v>
      </c>
      <c r="D30" s="53">
        <v>29.4</v>
      </c>
      <c r="E30" s="53">
        <v>6.08</v>
      </c>
      <c r="F30" s="53">
        <v>4.6399999999999997</v>
      </c>
      <c r="G30" s="53">
        <v>75.37</v>
      </c>
      <c r="H30" s="53">
        <v>22.09</v>
      </c>
      <c r="I30" s="53">
        <v>4.67</v>
      </c>
      <c r="J30" s="53">
        <v>0.53</v>
      </c>
      <c r="K30" s="53">
        <v>341.56</v>
      </c>
      <c r="L30" s="53">
        <v>25.75</v>
      </c>
      <c r="M30" s="53">
        <v>91.91</v>
      </c>
      <c r="N30" s="53">
        <v>26.2</v>
      </c>
      <c r="O30" s="53">
        <v>0</v>
      </c>
      <c r="P30" s="53">
        <v>1.5</v>
      </c>
      <c r="Q30" s="53">
        <v>9.6199999999999992</v>
      </c>
      <c r="R30" s="43"/>
      <c r="S30" s="43"/>
      <c r="T30" s="43"/>
      <c r="U30" s="43"/>
    </row>
    <row r="31" spans="1:21" s="11" customFormat="1" x14ac:dyDescent="0.25">
      <c r="A31" s="52" t="s">
        <v>178</v>
      </c>
      <c r="B31" s="53">
        <v>28.88</v>
      </c>
      <c r="C31" s="53">
        <v>13.36</v>
      </c>
      <c r="D31" s="53">
        <v>30.14</v>
      </c>
      <c r="E31" s="53">
        <v>6.17</v>
      </c>
      <c r="F31" s="53">
        <v>4.49</v>
      </c>
      <c r="G31" s="53">
        <v>69.89</v>
      </c>
      <c r="H31" s="53">
        <v>21.53</v>
      </c>
      <c r="I31" s="53">
        <v>5.18</v>
      </c>
      <c r="J31" s="53">
        <v>0.44</v>
      </c>
      <c r="K31" s="53">
        <v>350.2</v>
      </c>
      <c r="L31" s="53">
        <v>25.49</v>
      </c>
      <c r="M31" s="53">
        <v>97.77</v>
      </c>
      <c r="N31" s="53">
        <v>26.1</v>
      </c>
      <c r="O31" s="53">
        <v>0</v>
      </c>
      <c r="P31" s="53">
        <v>1.37</v>
      </c>
      <c r="Q31" s="53">
        <v>9.6300000000000008</v>
      </c>
      <c r="R31" s="43"/>
      <c r="S31" s="43"/>
      <c r="T31" s="43"/>
      <c r="U31" s="43"/>
    </row>
    <row r="32" spans="1:21" s="11" customFormat="1" x14ac:dyDescent="0.25">
      <c r="A32" s="52" t="s">
        <v>179</v>
      </c>
      <c r="B32" s="53">
        <v>26.25</v>
      </c>
      <c r="C32" s="53">
        <v>12.83</v>
      </c>
      <c r="D32" s="53">
        <v>27.76</v>
      </c>
      <c r="E32" s="53">
        <v>5.79</v>
      </c>
      <c r="F32" s="53">
        <v>4.29</v>
      </c>
      <c r="G32" s="53">
        <v>68.540000000000006</v>
      </c>
      <c r="H32" s="53">
        <v>24.18</v>
      </c>
      <c r="I32" s="53">
        <v>3.43</v>
      </c>
      <c r="J32" s="53">
        <v>0.38</v>
      </c>
      <c r="K32" s="53">
        <v>347.72</v>
      </c>
      <c r="L32" s="53">
        <v>25.23</v>
      </c>
      <c r="M32" s="53">
        <v>96.29</v>
      </c>
      <c r="N32" s="53">
        <v>26.1</v>
      </c>
      <c r="O32" s="53">
        <v>0</v>
      </c>
      <c r="P32" s="53">
        <v>0.73</v>
      </c>
      <c r="Q32" s="53">
        <v>9.61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1.67</v>
      </c>
      <c r="C34" s="28">
        <f t="shared" si="0"/>
        <v>5.78</v>
      </c>
      <c r="D34" s="28">
        <f t="shared" si="0"/>
        <v>6.16</v>
      </c>
      <c r="E34" s="28">
        <f t="shared" si="0"/>
        <v>5.29</v>
      </c>
      <c r="F34" s="28">
        <f t="shared" si="0"/>
        <v>3.82</v>
      </c>
      <c r="G34" s="28">
        <f t="shared" si="0"/>
        <v>37.93</v>
      </c>
      <c r="H34" s="28">
        <f t="shared" si="0"/>
        <v>9.91</v>
      </c>
      <c r="I34" s="28">
        <f t="shared" si="0"/>
        <v>1.48</v>
      </c>
      <c r="J34" s="28">
        <f t="shared" si="0"/>
        <v>0.38</v>
      </c>
      <c r="K34" s="28">
        <f t="shared" si="0"/>
        <v>116.79</v>
      </c>
      <c r="L34" s="28">
        <f t="shared" si="0"/>
        <v>23.49</v>
      </c>
      <c r="M34" s="28">
        <f t="shared" si="0"/>
        <v>47.6</v>
      </c>
      <c r="N34" s="28">
        <f t="shared" si="0"/>
        <v>26</v>
      </c>
      <c r="O34" s="28">
        <f t="shared" si="0"/>
        <v>0</v>
      </c>
      <c r="P34" s="28">
        <f t="shared" si="0"/>
        <v>0.45</v>
      </c>
      <c r="Q34" s="28">
        <f t="shared" si="0"/>
        <v>9.6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28.88</v>
      </c>
      <c r="C35" s="29">
        <f t="shared" si="1"/>
        <v>16.309999999999999</v>
      </c>
      <c r="D35" s="29">
        <f t="shared" si="1"/>
        <v>30.14</v>
      </c>
      <c r="E35" s="29">
        <f t="shared" si="1"/>
        <v>6.42</v>
      </c>
      <c r="F35" s="29">
        <f t="shared" si="1"/>
        <v>7.64</v>
      </c>
      <c r="G35" s="29">
        <f t="shared" si="1"/>
        <v>80.88</v>
      </c>
      <c r="H35" s="29">
        <f t="shared" si="1"/>
        <v>29.64</v>
      </c>
      <c r="I35" s="29">
        <f t="shared" si="1"/>
        <v>5.77</v>
      </c>
      <c r="J35" s="29">
        <f t="shared" si="1"/>
        <v>2</v>
      </c>
      <c r="K35" s="29">
        <f t="shared" si="1"/>
        <v>350.48</v>
      </c>
      <c r="L35" s="29">
        <f t="shared" si="1"/>
        <v>37.78</v>
      </c>
      <c r="M35" s="29">
        <f t="shared" si="1"/>
        <v>102.76</v>
      </c>
      <c r="N35" s="29">
        <f t="shared" si="1"/>
        <v>777.7</v>
      </c>
      <c r="O35" s="29">
        <f t="shared" si="1"/>
        <v>0</v>
      </c>
      <c r="P35" s="29">
        <f t="shared" si="1"/>
        <v>1.6</v>
      </c>
      <c r="Q35" s="29">
        <f t="shared" si="1"/>
        <v>9.6300000000000008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12.415000000000001</v>
      </c>
      <c r="C36" s="28">
        <f t="shared" si="2"/>
        <v>11.004583333333334</v>
      </c>
      <c r="D36" s="28">
        <f t="shared" si="2"/>
        <v>15.556249999999999</v>
      </c>
      <c r="E36" s="28">
        <f t="shared" si="2"/>
        <v>6.010416666666667</v>
      </c>
      <c r="F36" s="28">
        <f t="shared" si="2"/>
        <v>4.88</v>
      </c>
      <c r="G36" s="28">
        <f t="shared" si="2"/>
        <v>54.771250000000002</v>
      </c>
      <c r="H36" s="28">
        <f t="shared" si="2"/>
        <v>19.165833333333332</v>
      </c>
      <c r="I36" s="28">
        <f t="shared" si="2"/>
        <v>3.7604166666666665</v>
      </c>
      <c r="J36" s="28">
        <f t="shared" si="2"/>
        <v>0.86458333333333337</v>
      </c>
      <c r="K36" s="28">
        <f t="shared" si="2"/>
        <v>299.57083333333333</v>
      </c>
      <c r="L36" s="28">
        <f t="shared" si="2"/>
        <v>29.286249999999995</v>
      </c>
      <c r="M36" s="28">
        <f t="shared" si="2"/>
        <v>78.460833333333355</v>
      </c>
      <c r="N36" s="28">
        <f t="shared" si="2"/>
        <v>206.88750000000002</v>
      </c>
      <c r="O36" s="28">
        <f t="shared" si="2"/>
        <v>0</v>
      </c>
      <c r="P36" s="28">
        <f t="shared" si="2"/>
        <v>0.72749999999999992</v>
      </c>
      <c r="Q36" s="28">
        <f t="shared" si="2"/>
        <v>9.6166666666666689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8.2206584947287826</v>
      </c>
      <c r="C37" s="28">
        <f t="shared" ref="C37:Q37" si="3">STDEV(C9:C32)</f>
        <v>3.2887475866058455</v>
      </c>
      <c r="D37" s="28">
        <f t="shared" si="3"/>
        <v>7.196149823524296</v>
      </c>
      <c r="E37" s="28">
        <f t="shared" si="3"/>
        <v>0.31865859018932674</v>
      </c>
      <c r="F37" s="28">
        <f t="shared" si="3"/>
        <v>1.1705257087234822</v>
      </c>
      <c r="G37" s="28">
        <f t="shared" si="3"/>
        <v>12.694146995162093</v>
      </c>
      <c r="H37" s="28">
        <f t="shared" si="3"/>
        <v>5.2033425015470414</v>
      </c>
      <c r="I37" s="28">
        <f t="shared" si="3"/>
        <v>1.1433379019218293</v>
      </c>
      <c r="J37" s="28">
        <f t="shared" si="3"/>
        <v>0.45979181646996869</v>
      </c>
      <c r="K37" s="28">
        <f t="shared" si="3"/>
        <v>77.870848422615694</v>
      </c>
      <c r="L37" s="28">
        <f t="shared" si="3"/>
        <v>5.0108697609167505</v>
      </c>
      <c r="M37" s="28">
        <f t="shared" si="3"/>
        <v>21.473382495477921</v>
      </c>
      <c r="N37" s="28">
        <f t="shared" si="3"/>
        <v>271.95505912702311</v>
      </c>
      <c r="O37" s="28">
        <f t="shared" si="3"/>
        <v>0</v>
      </c>
      <c r="P37" s="28">
        <f t="shared" si="3"/>
        <v>0.37180230838678147</v>
      </c>
      <c r="Q37" s="28">
        <f t="shared" si="3"/>
        <v>7.6138698762690527E-3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3.5703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06/10/2024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180</v>
      </c>
      <c r="B9" s="53">
        <v>21.62</v>
      </c>
      <c r="C9" s="53">
        <v>10.86</v>
      </c>
      <c r="D9" s="53">
        <v>23.01</v>
      </c>
      <c r="E9" s="53">
        <v>4.7</v>
      </c>
      <c r="F9" s="53">
        <v>4.5599999999999996</v>
      </c>
      <c r="G9" s="53">
        <v>63.25</v>
      </c>
      <c r="H9" s="53">
        <v>21.3</v>
      </c>
      <c r="I9" s="53">
        <v>3.16</v>
      </c>
      <c r="J9" s="53">
        <v>0.51</v>
      </c>
      <c r="K9" s="53">
        <v>297.05</v>
      </c>
      <c r="L9" s="53">
        <v>24.57</v>
      </c>
      <c r="M9" s="53">
        <v>99.55</v>
      </c>
      <c r="N9" s="53">
        <v>26.1</v>
      </c>
      <c r="O9" s="53">
        <v>0</v>
      </c>
      <c r="P9" s="53">
        <v>0.83</v>
      </c>
      <c r="Q9" s="53">
        <v>9.6199999999999992</v>
      </c>
      <c r="R9" s="43"/>
      <c r="S9" s="43"/>
      <c r="T9" s="43"/>
      <c r="U9" s="43"/>
    </row>
    <row r="10" spans="1:21" s="11" customFormat="1" x14ac:dyDescent="0.25">
      <c r="A10" s="52" t="s">
        <v>181</v>
      </c>
      <c r="B10" s="53">
        <v>20.260000000000002</v>
      </c>
      <c r="C10" s="53">
        <v>9.18</v>
      </c>
      <c r="D10" s="53">
        <v>21.04</v>
      </c>
      <c r="E10" s="53">
        <v>4.88</v>
      </c>
      <c r="F10" s="53">
        <v>5.61</v>
      </c>
      <c r="G10" s="53">
        <v>54.93</v>
      </c>
      <c r="H10" s="53">
        <v>21.98</v>
      </c>
      <c r="I10" s="53">
        <v>2.2999999999999998</v>
      </c>
      <c r="J10" s="53">
        <v>0.49</v>
      </c>
      <c r="K10" s="53">
        <v>299.77</v>
      </c>
      <c r="L10" s="53">
        <v>24.42</v>
      </c>
      <c r="M10" s="53">
        <v>100.6</v>
      </c>
      <c r="N10" s="53">
        <v>26.1</v>
      </c>
      <c r="O10" s="53">
        <v>0</v>
      </c>
      <c r="P10" s="53">
        <v>0.66</v>
      </c>
      <c r="Q10" s="53">
        <v>9.6300000000000008</v>
      </c>
      <c r="R10" s="43"/>
      <c r="S10" s="43"/>
      <c r="T10" s="43"/>
      <c r="U10" s="43"/>
    </row>
    <row r="11" spans="1:21" s="11" customFormat="1" x14ac:dyDescent="0.25">
      <c r="A11" s="52" t="s">
        <v>182</v>
      </c>
      <c r="B11" s="53">
        <v>17.47</v>
      </c>
      <c r="C11" s="53">
        <v>8.36</v>
      </c>
      <c r="D11" s="53">
        <v>18.38</v>
      </c>
      <c r="E11" s="53">
        <v>4.9800000000000004</v>
      </c>
      <c r="F11" s="53">
        <v>3.95</v>
      </c>
      <c r="G11" s="53">
        <v>54.6</v>
      </c>
      <c r="H11" s="53">
        <v>14.57</v>
      </c>
      <c r="I11" s="53">
        <v>3.99</v>
      </c>
      <c r="J11" s="53">
        <v>0.49</v>
      </c>
      <c r="K11" s="53">
        <v>280.57</v>
      </c>
      <c r="L11" s="53">
        <v>24.31</v>
      </c>
      <c r="M11" s="53">
        <v>102.73</v>
      </c>
      <c r="N11" s="53">
        <v>26.1</v>
      </c>
      <c r="O11" s="53">
        <v>0</v>
      </c>
      <c r="P11" s="53">
        <v>0.66</v>
      </c>
      <c r="Q11" s="53">
        <v>9.61</v>
      </c>
      <c r="R11" s="43"/>
      <c r="S11" s="43"/>
      <c r="T11" s="43"/>
      <c r="U11" s="43"/>
    </row>
    <row r="12" spans="1:21" s="11" customFormat="1" x14ac:dyDescent="0.25">
      <c r="A12" s="52" t="s">
        <v>183</v>
      </c>
      <c r="B12" s="53">
        <v>14.71</v>
      </c>
      <c r="C12" s="53">
        <v>7.91</v>
      </c>
      <c r="D12" s="53">
        <v>15.93</v>
      </c>
      <c r="E12" s="53">
        <v>5.27</v>
      </c>
      <c r="F12" s="53">
        <v>4.43</v>
      </c>
      <c r="G12" s="53">
        <v>49.78</v>
      </c>
      <c r="H12" s="53">
        <v>9.76</v>
      </c>
      <c r="I12" s="53">
        <v>3.52</v>
      </c>
      <c r="J12" s="53">
        <v>0.47</v>
      </c>
      <c r="K12" s="53">
        <v>326.39</v>
      </c>
      <c r="L12" s="53">
        <v>24.06</v>
      </c>
      <c r="M12" s="53">
        <v>102.78</v>
      </c>
      <c r="N12" s="53">
        <v>26.1</v>
      </c>
      <c r="O12" s="53">
        <v>0</v>
      </c>
      <c r="P12" s="53">
        <v>0.59</v>
      </c>
      <c r="Q12" s="53">
        <v>9.6199999999999992</v>
      </c>
      <c r="R12" s="43"/>
      <c r="S12" s="43"/>
      <c r="T12" s="43"/>
      <c r="U12" s="43"/>
    </row>
    <row r="13" spans="1:21" s="11" customFormat="1" x14ac:dyDescent="0.25">
      <c r="A13" s="52" t="s">
        <v>184</v>
      </c>
      <c r="B13" s="53">
        <v>14.94</v>
      </c>
      <c r="C13" s="53">
        <v>6.79</v>
      </c>
      <c r="D13" s="53">
        <v>15.22</v>
      </c>
      <c r="E13" s="53">
        <v>5.26</v>
      </c>
      <c r="F13" s="53">
        <v>5.26</v>
      </c>
      <c r="G13" s="53">
        <v>49.58</v>
      </c>
      <c r="H13" s="53">
        <v>25.92</v>
      </c>
      <c r="I13" s="53">
        <v>4.2</v>
      </c>
      <c r="J13" s="53">
        <v>0.51</v>
      </c>
      <c r="K13" s="53">
        <v>282.27999999999997</v>
      </c>
      <c r="L13" s="53">
        <v>23.68</v>
      </c>
      <c r="M13" s="53">
        <v>102.77</v>
      </c>
      <c r="N13" s="53">
        <v>26.1</v>
      </c>
      <c r="O13" s="53">
        <v>0</v>
      </c>
      <c r="P13" s="53">
        <v>0.61</v>
      </c>
      <c r="Q13" s="53">
        <v>9.6300000000000008</v>
      </c>
      <c r="R13" s="43"/>
      <c r="S13" s="43"/>
      <c r="T13" s="43"/>
      <c r="U13" s="43"/>
    </row>
    <row r="14" spans="1:21" s="11" customFormat="1" x14ac:dyDescent="0.25">
      <c r="A14" s="52" t="s">
        <v>185</v>
      </c>
      <c r="B14" s="53">
        <v>14.76</v>
      </c>
      <c r="C14" s="53">
        <v>6.18</v>
      </c>
      <c r="D14" s="53">
        <v>15.06</v>
      </c>
      <c r="E14" s="53">
        <v>5.46</v>
      </c>
      <c r="F14" s="53">
        <v>4.08</v>
      </c>
      <c r="G14" s="53">
        <v>46.79</v>
      </c>
      <c r="H14" s="53">
        <v>37.39</v>
      </c>
      <c r="I14" s="53">
        <v>2.6</v>
      </c>
      <c r="J14" s="53">
        <v>0.46</v>
      </c>
      <c r="K14" s="53">
        <v>223.21</v>
      </c>
      <c r="L14" s="53">
        <v>23.52</v>
      </c>
      <c r="M14" s="53">
        <v>102.8</v>
      </c>
      <c r="N14" s="53">
        <v>27.3</v>
      </c>
      <c r="O14" s="53">
        <v>0</v>
      </c>
      <c r="P14" s="53">
        <v>0.5</v>
      </c>
      <c r="Q14" s="53">
        <v>9.61</v>
      </c>
      <c r="R14" s="43"/>
      <c r="S14" s="43"/>
      <c r="T14" s="43"/>
      <c r="U14" s="43"/>
    </row>
    <row r="15" spans="1:21" s="11" customFormat="1" x14ac:dyDescent="0.25">
      <c r="A15" s="52" t="s">
        <v>186</v>
      </c>
      <c r="B15" s="53">
        <v>17.86</v>
      </c>
      <c r="C15" s="53">
        <v>6.66</v>
      </c>
      <c r="D15" s="53">
        <v>17.8</v>
      </c>
      <c r="E15" s="53">
        <v>5.85</v>
      </c>
      <c r="F15" s="53">
        <v>3.8</v>
      </c>
      <c r="G15" s="53">
        <v>41.89</v>
      </c>
      <c r="H15" s="53">
        <v>20.57</v>
      </c>
      <c r="I15" s="53">
        <v>5.19</v>
      </c>
      <c r="J15" s="53">
        <v>1.1299999999999999</v>
      </c>
      <c r="K15" s="53">
        <v>357.61</v>
      </c>
      <c r="L15" s="53">
        <v>25.78</v>
      </c>
      <c r="M15" s="53">
        <v>102.79</v>
      </c>
      <c r="N15" s="53">
        <v>127.9</v>
      </c>
      <c r="O15" s="53">
        <v>0</v>
      </c>
      <c r="P15" s="53">
        <v>0.63</v>
      </c>
      <c r="Q15" s="53">
        <v>9.61</v>
      </c>
      <c r="R15" s="43"/>
      <c r="S15" s="43"/>
      <c r="T15" s="43"/>
      <c r="U15" s="43"/>
    </row>
    <row r="16" spans="1:21" s="11" customFormat="1" x14ac:dyDescent="0.25">
      <c r="A16" s="52" t="s">
        <v>187</v>
      </c>
      <c r="B16" s="53">
        <v>20.329999999999998</v>
      </c>
      <c r="C16" s="53">
        <v>8.25</v>
      </c>
      <c r="D16" s="53">
        <v>20.61</v>
      </c>
      <c r="E16" s="53">
        <v>6.51</v>
      </c>
      <c r="F16" s="53">
        <v>4.33</v>
      </c>
      <c r="G16" s="53">
        <v>44.6</v>
      </c>
      <c r="H16" s="53">
        <v>23.19</v>
      </c>
      <c r="I16" s="53">
        <v>5.53</v>
      </c>
      <c r="J16" s="53">
        <v>1.25</v>
      </c>
      <c r="K16" s="53">
        <v>343.77</v>
      </c>
      <c r="L16" s="53">
        <v>31.73</v>
      </c>
      <c r="M16" s="53">
        <v>87.69</v>
      </c>
      <c r="N16" s="53">
        <v>318.89999999999998</v>
      </c>
      <c r="O16" s="53">
        <v>0</v>
      </c>
      <c r="P16" s="53">
        <v>0.72</v>
      </c>
      <c r="Q16" s="53">
        <v>9.6199999999999992</v>
      </c>
      <c r="R16" s="43"/>
      <c r="S16" s="43"/>
      <c r="T16" s="43"/>
      <c r="U16" s="43"/>
    </row>
    <row r="17" spans="1:21" s="11" customFormat="1" x14ac:dyDescent="0.25">
      <c r="A17" s="52" t="s">
        <v>188</v>
      </c>
      <c r="B17" s="53">
        <v>24.13</v>
      </c>
      <c r="C17" s="53">
        <v>10.89</v>
      </c>
      <c r="D17" s="53">
        <v>25.04</v>
      </c>
      <c r="E17" s="53">
        <v>6.93</v>
      </c>
      <c r="F17" s="53">
        <v>4.72</v>
      </c>
      <c r="G17" s="53">
        <v>63.55</v>
      </c>
      <c r="H17" s="53">
        <v>13.68</v>
      </c>
      <c r="I17" s="53">
        <v>5.34</v>
      </c>
      <c r="J17" s="53">
        <v>1.37</v>
      </c>
      <c r="K17" s="53">
        <v>350.45</v>
      </c>
      <c r="L17" s="53">
        <v>33.79</v>
      </c>
      <c r="M17" s="53">
        <v>66.849999999999994</v>
      </c>
      <c r="N17" s="53">
        <v>507</v>
      </c>
      <c r="O17" s="53">
        <v>0</v>
      </c>
      <c r="P17" s="53">
        <v>1.06</v>
      </c>
      <c r="Q17" s="53">
        <v>9.6300000000000008</v>
      </c>
      <c r="R17" s="43"/>
      <c r="S17" s="43"/>
      <c r="T17" s="43"/>
      <c r="U17" s="43"/>
    </row>
    <row r="18" spans="1:21" s="11" customFormat="1" x14ac:dyDescent="0.25">
      <c r="A18" s="52" t="s">
        <v>189</v>
      </c>
      <c r="B18" s="53">
        <v>24.78</v>
      </c>
      <c r="C18" s="53">
        <v>13.04</v>
      </c>
      <c r="D18" s="53">
        <v>26.29</v>
      </c>
      <c r="E18" s="53">
        <v>6.5</v>
      </c>
      <c r="F18" s="53">
        <v>4.96</v>
      </c>
      <c r="G18" s="53">
        <v>107.96</v>
      </c>
      <c r="H18" s="53">
        <v>155.80000000000001</v>
      </c>
      <c r="I18" s="53">
        <v>4.95</v>
      </c>
      <c r="J18" s="53">
        <v>1.28</v>
      </c>
      <c r="K18" s="53">
        <v>350</v>
      </c>
      <c r="L18" s="53">
        <v>35.6</v>
      </c>
      <c r="M18" s="53">
        <v>55.61</v>
      </c>
      <c r="N18" s="53">
        <v>665.5</v>
      </c>
      <c r="O18" s="53">
        <v>0</v>
      </c>
      <c r="P18" s="53">
        <v>0.96</v>
      </c>
      <c r="Q18" s="53">
        <v>9.6300000000000008</v>
      </c>
      <c r="R18" s="43"/>
      <c r="S18" s="43"/>
      <c r="T18" s="43"/>
      <c r="U18" s="43"/>
    </row>
    <row r="19" spans="1:21" s="11" customFormat="1" x14ac:dyDescent="0.25">
      <c r="A19" s="52" t="s">
        <v>190</v>
      </c>
      <c r="B19" s="53">
        <v>23.38</v>
      </c>
      <c r="C19" s="53">
        <v>14.99</v>
      </c>
      <c r="D19" s="53">
        <v>25.69</v>
      </c>
      <c r="E19" s="53">
        <v>6.33</v>
      </c>
      <c r="F19" s="53">
        <v>4.53</v>
      </c>
      <c r="G19" s="53">
        <v>112.38</v>
      </c>
      <c r="H19" s="53">
        <v>6.9</v>
      </c>
      <c r="I19" s="53">
        <v>5.59</v>
      </c>
      <c r="J19" s="53">
        <v>1.54</v>
      </c>
      <c r="K19" s="53">
        <v>351.44</v>
      </c>
      <c r="L19" s="53">
        <v>36.799999999999997</v>
      </c>
      <c r="M19" s="53">
        <v>52.48</v>
      </c>
      <c r="N19" s="53">
        <v>713.1</v>
      </c>
      <c r="O19" s="53">
        <v>0</v>
      </c>
      <c r="P19" s="53">
        <v>0.81</v>
      </c>
      <c r="Q19" s="53">
        <v>9.6300000000000008</v>
      </c>
      <c r="R19" s="43"/>
      <c r="S19" s="43"/>
      <c r="T19" s="43"/>
      <c r="U19" s="43"/>
    </row>
    <row r="20" spans="1:21" s="11" customFormat="1" x14ac:dyDescent="0.25">
      <c r="A20" s="52" t="s">
        <v>191</v>
      </c>
      <c r="B20" s="53">
        <v>18.47</v>
      </c>
      <c r="C20" s="53">
        <v>15.18</v>
      </c>
      <c r="D20" s="53">
        <v>22.68</v>
      </c>
      <c r="E20" s="53">
        <v>6.2</v>
      </c>
      <c r="F20" s="53">
        <v>4.42</v>
      </c>
      <c r="G20" s="53">
        <v>106.76</v>
      </c>
      <c r="H20" s="53">
        <v>32.99</v>
      </c>
      <c r="I20" s="53">
        <v>5.26</v>
      </c>
      <c r="J20" s="53">
        <v>1.07</v>
      </c>
      <c r="K20" s="53">
        <v>336.69</v>
      </c>
      <c r="L20" s="53">
        <v>33.880000000000003</v>
      </c>
      <c r="M20" s="53">
        <v>50.58</v>
      </c>
      <c r="N20" s="53">
        <v>788.3</v>
      </c>
      <c r="O20" s="53">
        <v>0</v>
      </c>
      <c r="P20" s="53">
        <v>0.77</v>
      </c>
      <c r="Q20" s="53">
        <v>9.61</v>
      </c>
      <c r="R20" s="43"/>
      <c r="S20" s="43"/>
      <c r="T20" s="43"/>
      <c r="U20" s="43"/>
    </row>
    <row r="21" spans="1:21" s="11" customFormat="1" x14ac:dyDescent="0.25">
      <c r="A21" s="52" t="s">
        <v>192</v>
      </c>
      <c r="B21" s="53">
        <v>11.41</v>
      </c>
      <c r="C21" s="53">
        <v>15.08</v>
      </c>
      <c r="D21" s="53">
        <v>16.88</v>
      </c>
      <c r="E21" s="53">
        <v>6.01</v>
      </c>
      <c r="F21" s="53">
        <v>4.66</v>
      </c>
      <c r="G21" s="53">
        <v>90.05</v>
      </c>
      <c r="H21" s="53">
        <v>1.32</v>
      </c>
      <c r="I21" s="53">
        <v>5.39</v>
      </c>
      <c r="J21" s="53">
        <v>1.36</v>
      </c>
      <c r="K21" s="53">
        <v>339.72</v>
      </c>
      <c r="L21" s="53">
        <v>33.880000000000003</v>
      </c>
      <c r="M21" s="53">
        <v>51.06</v>
      </c>
      <c r="N21" s="53">
        <v>397.6</v>
      </c>
      <c r="O21" s="53">
        <v>0</v>
      </c>
      <c r="P21" s="53">
        <v>0.7</v>
      </c>
      <c r="Q21" s="53">
        <v>9.61</v>
      </c>
      <c r="R21" s="43"/>
      <c r="S21" s="43"/>
      <c r="T21" s="43"/>
      <c r="U21" s="43"/>
    </row>
    <row r="22" spans="1:21" s="11" customFormat="1" x14ac:dyDescent="0.25">
      <c r="A22" s="52" t="s">
        <v>193</v>
      </c>
      <c r="B22" s="53">
        <v>7.15</v>
      </c>
      <c r="C22" s="53">
        <v>14.41</v>
      </c>
      <c r="D22" s="53">
        <v>13.2</v>
      </c>
      <c r="E22" s="53">
        <v>6.07</v>
      </c>
      <c r="F22" s="53">
        <v>6.28</v>
      </c>
      <c r="G22" s="53">
        <v>84.41</v>
      </c>
      <c r="H22" s="53">
        <v>0.08</v>
      </c>
      <c r="I22" s="53">
        <v>4.4000000000000004</v>
      </c>
      <c r="J22" s="53">
        <v>1.52</v>
      </c>
      <c r="K22" s="53">
        <v>339.05</v>
      </c>
      <c r="L22" s="53">
        <v>31.93</v>
      </c>
      <c r="M22" s="53">
        <v>54.35</v>
      </c>
      <c r="N22" s="53">
        <v>210.7</v>
      </c>
      <c r="O22" s="53">
        <v>0</v>
      </c>
      <c r="P22" s="53">
        <v>0.67</v>
      </c>
      <c r="Q22" s="53">
        <v>9.61</v>
      </c>
      <c r="R22" s="43"/>
      <c r="S22" s="43"/>
      <c r="T22" s="43"/>
      <c r="U22" s="43"/>
    </row>
    <row r="23" spans="1:21" s="11" customFormat="1" x14ac:dyDescent="0.25">
      <c r="A23" s="52" t="s">
        <v>194</v>
      </c>
      <c r="B23" s="53">
        <v>6.06</v>
      </c>
      <c r="C23" s="53">
        <v>13.88</v>
      </c>
      <c r="D23" s="53">
        <v>12.11</v>
      </c>
      <c r="E23" s="53">
        <v>5.75</v>
      </c>
      <c r="F23" s="53">
        <v>5.46</v>
      </c>
      <c r="G23" s="53">
        <v>68.400000000000006</v>
      </c>
      <c r="H23" s="53">
        <v>23.19</v>
      </c>
      <c r="I23" s="53">
        <v>3.8</v>
      </c>
      <c r="J23" s="53">
        <v>1.02</v>
      </c>
      <c r="K23" s="53">
        <v>358.1</v>
      </c>
      <c r="L23" s="53">
        <v>31.72</v>
      </c>
      <c r="M23" s="53">
        <v>50.77</v>
      </c>
      <c r="N23" s="53">
        <v>220.1</v>
      </c>
      <c r="O23" s="53">
        <v>0</v>
      </c>
      <c r="P23" s="53">
        <v>0.61</v>
      </c>
      <c r="Q23" s="53">
        <v>9.6199999999999992</v>
      </c>
      <c r="R23" s="43"/>
      <c r="S23" s="43"/>
      <c r="T23" s="43"/>
      <c r="U23" s="43"/>
    </row>
    <row r="24" spans="1:21" s="11" customFormat="1" x14ac:dyDescent="0.25">
      <c r="A24" s="52" t="s">
        <v>195</v>
      </c>
      <c r="B24" s="53">
        <v>4.17</v>
      </c>
      <c r="C24" s="53">
        <v>13.66</v>
      </c>
      <c r="D24" s="53">
        <v>10.44</v>
      </c>
      <c r="E24" s="53">
        <v>6.05</v>
      </c>
      <c r="F24" s="53">
        <v>5.03</v>
      </c>
      <c r="G24" s="53">
        <v>59.57</v>
      </c>
      <c r="H24" s="53">
        <v>14.98</v>
      </c>
      <c r="I24" s="53">
        <v>3.59</v>
      </c>
      <c r="J24" s="53">
        <v>1.19</v>
      </c>
      <c r="K24" s="53">
        <v>359.12</v>
      </c>
      <c r="L24" s="53">
        <v>31.3</v>
      </c>
      <c r="M24" s="53">
        <v>51.72</v>
      </c>
      <c r="N24" s="53">
        <v>114.8</v>
      </c>
      <c r="O24" s="53">
        <v>0</v>
      </c>
      <c r="P24" s="53">
        <v>0.56999999999999995</v>
      </c>
      <c r="Q24" s="53">
        <v>9.6199999999999992</v>
      </c>
      <c r="R24" s="43"/>
      <c r="S24" s="43"/>
      <c r="T24" s="43"/>
      <c r="U24" s="43"/>
    </row>
    <row r="25" spans="1:21" s="11" customFormat="1" x14ac:dyDescent="0.25">
      <c r="A25" s="52" t="s">
        <v>196</v>
      </c>
      <c r="B25" s="53">
        <v>2.78</v>
      </c>
      <c r="C25" s="53">
        <v>13.01</v>
      </c>
      <c r="D25" s="53">
        <v>9.02</v>
      </c>
      <c r="E25" s="53">
        <v>4.53</v>
      </c>
      <c r="F25" s="53">
        <v>4.83</v>
      </c>
      <c r="G25" s="53">
        <v>56.01</v>
      </c>
      <c r="H25" s="53">
        <v>24.24</v>
      </c>
      <c r="I25" s="53">
        <v>3.55</v>
      </c>
      <c r="J25" s="53">
        <v>1.4</v>
      </c>
      <c r="K25" s="53">
        <v>339.41</v>
      </c>
      <c r="L25" s="53">
        <v>30.6</v>
      </c>
      <c r="M25" s="53">
        <v>53.56</v>
      </c>
      <c r="N25" s="53">
        <v>75.7</v>
      </c>
      <c r="O25" s="53">
        <v>0</v>
      </c>
      <c r="P25" s="53">
        <v>0.57999999999999996</v>
      </c>
      <c r="Q25" s="53">
        <v>9.61</v>
      </c>
      <c r="R25" s="43"/>
      <c r="S25" s="43"/>
      <c r="T25" s="43"/>
      <c r="U25" s="43"/>
    </row>
    <row r="26" spans="1:21" s="11" customFormat="1" x14ac:dyDescent="0.25">
      <c r="A26" s="52" t="s">
        <v>197</v>
      </c>
      <c r="B26" s="53">
        <v>4.32</v>
      </c>
      <c r="C26" s="53">
        <v>13.14</v>
      </c>
      <c r="D26" s="53">
        <v>10.33</v>
      </c>
      <c r="E26" s="53">
        <v>4.5</v>
      </c>
      <c r="F26" s="53">
        <v>5.68</v>
      </c>
      <c r="G26" s="53">
        <v>48.36</v>
      </c>
      <c r="H26" s="53">
        <v>16.37</v>
      </c>
      <c r="I26" s="53">
        <v>3.19</v>
      </c>
      <c r="J26" s="53">
        <v>1.23</v>
      </c>
      <c r="K26" s="53">
        <v>346.43</v>
      </c>
      <c r="L26" s="53">
        <v>29.68</v>
      </c>
      <c r="M26" s="53">
        <v>64.78</v>
      </c>
      <c r="N26" s="53">
        <v>47.8</v>
      </c>
      <c r="O26" s="53">
        <v>0</v>
      </c>
      <c r="P26" s="53">
        <v>1.08</v>
      </c>
      <c r="Q26" s="53">
        <v>9.61</v>
      </c>
      <c r="R26" s="43"/>
      <c r="S26" s="43"/>
      <c r="T26" s="43"/>
      <c r="U26" s="43"/>
    </row>
    <row r="27" spans="1:21" s="11" customFormat="1" x14ac:dyDescent="0.25">
      <c r="A27" s="52" t="s">
        <v>198</v>
      </c>
      <c r="B27" s="53">
        <v>7.39</v>
      </c>
      <c r="C27" s="53">
        <v>15.3</v>
      </c>
      <c r="D27" s="53">
        <v>13.92</v>
      </c>
      <c r="E27" s="53">
        <v>5.24</v>
      </c>
      <c r="F27" s="53">
        <v>5.48</v>
      </c>
      <c r="G27" s="53">
        <v>56.2</v>
      </c>
      <c r="H27" s="53">
        <v>21.68</v>
      </c>
      <c r="I27" s="53">
        <v>4.84</v>
      </c>
      <c r="J27" s="53">
        <v>0.57999999999999996</v>
      </c>
      <c r="K27" s="53">
        <v>348.77</v>
      </c>
      <c r="L27" s="53">
        <v>27.53</v>
      </c>
      <c r="M27" s="53">
        <v>73.540000000000006</v>
      </c>
      <c r="N27" s="53">
        <v>26.5</v>
      </c>
      <c r="O27" s="53">
        <v>0</v>
      </c>
      <c r="P27" s="53">
        <v>1.34</v>
      </c>
      <c r="Q27" s="53">
        <v>9.61</v>
      </c>
      <c r="R27" s="43"/>
      <c r="S27" s="43"/>
      <c r="T27" s="43"/>
      <c r="U27" s="43"/>
    </row>
    <row r="28" spans="1:21" s="11" customFormat="1" x14ac:dyDescent="0.25">
      <c r="A28" s="52" t="s">
        <v>199</v>
      </c>
      <c r="B28" s="53">
        <v>15.95</v>
      </c>
      <c r="C28" s="53">
        <v>16.82</v>
      </c>
      <c r="D28" s="53">
        <v>21.58</v>
      </c>
      <c r="E28" s="53">
        <v>7.05</v>
      </c>
      <c r="F28" s="53">
        <v>4.4800000000000004</v>
      </c>
      <c r="G28" s="53">
        <v>63.6</v>
      </c>
      <c r="H28" s="53">
        <v>25.41</v>
      </c>
      <c r="I28" s="53">
        <v>7.16</v>
      </c>
      <c r="J28" s="53">
        <v>0.53</v>
      </c>
      <c r="K28" s="53">
        <v>331.88</v>
      </c>
      <c r="L28" s="53">
        <v>26.86</v>
      </c>
      <c r="M28" s="53">
        <v>81.44</v>
      </c>
      <c r="N28" s="53">
        <v>26.2</v>
      </c>
      <c r="O28" s="53">
        <v>0</v>
      </c>
      <c r="P28" s="53">
        <v>1.93</v>
      </c>
      <c r="Q28" s="53">
        <v>9.6199999999999992</v>
      </c>
      <c r="R28" s="43"/>
      <c r="S28" s="43"/>
      <c r="T28" s="43"/>
      <c r="U28" s="43"/>
    </row>
    <row r="29" spans="1:21" s="11" customFormat="1" x14ac:dyDescent="0.25">
      <c r="A29" s="52" t="s">
        <v>200</v>
      </c>
      <c r="B29" s="53">
        <v>25.76</v>
      </c>
      <c r="C29" s="53">
        <v>16.98</v>
      </c>
      <c r="D29" s="53">
        <v>29.4</v>
      </c>
      <c r="E29" s="53">
        <v>7.89</v>
      </c>
      <c r="F29" s="53">
        <v>4.13</v>
      </c>
      <c r="G29" s="53">
        <v>68.39</v>
      </c>
      <c r="H29" s="53">
        <v>40.35</v>
      </c>
      <c r="I29" s="53">
        <v>7.07</v>
      </c>
      <c r="J29" s="53">
        <v>0.55000000000000004</v>
      </c>
      <c r="K29" s="53">
        <v>357.64</v>
      </c>
      <c r="L29" s="53">
        <v>26.42</v>
      </c>
      <c r="M29" s="53">
        <v>84.03</v>
      </c>
      <c r="N29" s="53">
        <v>26.1</v>
      </c>
      <c r="O29" s="53">
        <v>0</v>
      </c>
      <c r="P29" s="53">
        <v>2.11</v>
      </c>
      <c r="Q29" s="53">
        <v>9.6300000000000008</v>
      </c>
      <c r="R29" s="43"/>
      <c r="S29" s="43"/>
      <c r="T29" s="43"/>
      <c r="U29" s="43"/>
    </row>
    <row r="30" spans="1:21" s="11" customFormat="1" x14ac:dyDescent="0.25">
      <c r="A30" s="52" t="s">
        <v>201</v>
      </c>
      <c r="B30" s="53">
        <v>39.76</v>
      </c>
      <c r="C30" s="53">
        <v>16.010000000000002</v>
      </c>
      <c r="D30" s="53">
        <v>39.89</v>
      </c>
      <c r="E30" s="53">
        <v>7.43</v>
      </c>
      <c r="F30" s="53">
        <v>4.2699999999999996</v>
      </c>
      <c r="G30" s="53">
        <v>81.33</v>
      </c>
      <c r="H30" s="53">
        <v>25.7</v>
      </c>
      <c r="I30" s="53">
        <v>9.36</v>
      </c>
      <c r="J30" s="53">
        <v>0.52</v>
      </c>
      <c r="K30" s="53">
        <v>310.83999999999997</v>
      </c>
      <c r="L30" s="53">
        <v>25.95</v>
      </c>
      <c r="M30" s="53">
        <v>87.99</v>
      </c>
      <c r="N30" s="53">
        <v>26.2</v>
      </c>
      <c r="O30" s="53">
        <v>0</v>
      </c>
      <c r="P30" s="53">
        <v>2.42</v>
      </c>
      <c r="Q30" s="53">
        <v>9.6199999999999992</v>
      </c>
      <c r="R30" s="43"/>
      <c r="S30" s="43"/>
      <c r="T30" s="43"/>
      <c r="U30" s="43"/>
    </row>
    <row r="31" spans="1:21" s="11" customFormat="1" x14ac:dyDescent="0.25">
      <c r="A31" s="52" t="s">
        <v>202</v>
      </c>
      <c r="B31" s="53">
        <v>46.77</v>
      </c>
      <c r="C31" s="53">
        <v>14.85</v>
      </c>
      <c r="D31" s="53">
        <v>45.05</v>
      </c>
      <c r="E31" s="53">
        <v>7.57</v>
      </c>
      <c r="F31" s="53">
        <v>4.57</v>
      </c>
      <c r="G31" s="53">
        <v>85.24</v>
      </c>
      <c r="H31" s="53">
        <v>41.98</v>
      </c>
      <c r="I31" s="53">
        <v>7.14</v>
      </c>
      <c r="J31" s="53">
        <v>0.56000000000000005</v>
      </c>
      <c r="K31" s="53">
        <v>303.08999999999997</v>
      </c>
      <c r="L31" s="53">
        <v>25.65</v>
      </c>
      <c r="M31" s="53">
        <v>93.48</v>
      </c>
      <c r="N31" s="53">
        <v>26.1</v>
      </c>
      <c r="O31" s="53">
        <v>0</v>
      </c>
      <c r="P31" s="53">
        <v>1.6</v>
      </c>
      <c r="Q31" s="53">
        <v>9.6199999999999992</v>
      </c>
      <c r="R31" s="43"/>
      <c r="S31" s="43"/>
      <c r="T31" s="43"/>
      <c r="U31" s="43"/>
    </row>
    <row r="32" spans="1:21" s="11" customFormat="1" x14ac:dyDescent="0.25">
      <c r="A32" s="52" t="s">
        <v>203</v>
      </c>
      <c r="B32" s="53">
        <v>54.13</v>
      </c>
      <c r="C32" s="53">
        <v>14.38</v>
      </c>
      <c r="D32" s="53">
        <v>50.56</v>
      </c>
      <c r="E32" s="53">
        <v>7.96</v>
      </c>
      <c r="F32" s="53">
        <v>4.22</v>
      </c>
      <c r="G32" s="53">
        <v>85.8</v>
      </c>
      <c r="H32" s="53">
        <v>36.880000000000003</v>
      </c>
      <c r="I32" s="53">
        <v>6.83</v>
      </c>
      <c r="J32" s="53">
        <v>0.55000000000000004</v>
      </c>
      <c r="K32" s="53">
        <v>344.33</v>
      </c>
      <c r="L32" s="53">
        <v>25.14</v>
      </c>
      <c r="M32" s="53">
        <v>97.51</v>
      </c>
      <c r="N32" s="53">
        <v>26.3</v>
      </c>
      <c r="O32" s="53">
        <v>0</v>
      </c>
      <c r="P32" s="53">
        <v>1.72</v>
      </c>
      <c r="Q32" s="53">
        <v>9.68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2.78</v>
      </c>
      <c r="C34" s="28">
        <f t="shared" si="0"/>
        <v>6.18</v>
      </c>
      <c r="D34" s="28">
        <f t="shared" si="0"/>
        <v>9.02</v>
      </c>
      <c r="E34" s="28">
        <f t="shared" si="0"/>
        <v>4.5</v>
      </c>
      <c r="F34" s="28">
        <f t="shared" si="0"/>
        <v>3.8</v>
      </c>
      <c r="G34" s="28">
        <f t="shared" si="0"/>
        <v>41.89</v>
      </c>
      <c r="H34" s="28">
        <f t="shared" si="0"/>
        <v>0.08</v>
      </c>
      <c r="I34" s="28">
        <f t="shared" si="0"/>
        <v>2.2999999999999998</v>
      </c>
      <c r="J34" s="28">
        <f t="shared" si="0"/>
        <v>0.46</v>
      </c>
      <c r="K34" s="28">
        <f t="shared" si="0"/>
        <v>223.21</v>
      </c>
      <c r="L34" s="28">
        <f t="shared" si="0"/>
        <v>23.52</v>
      </c>
      <c r="M34" s="28">
        <f t="shared" si="0"/>
        <v>50.58</v>
      </c>
      <c r="N34" s="28">
        <f t="shared" si="0"/>
        <v>26.1</v>
      </c>
      <c r="O34" s="28">
        <f t="shared" si="0"/>
        <v>0</v>
      </c>
      <c r="P34" s="28">
        <f t="shared" si="0"/>
        <v>0.5</v>
      </c>
      <c r="Q34" s="28">
        <f t="shared" si="0"/>
        <v>9.61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54.13</v>
      </c>
      <c r="C35" s="29">
        <f t="shared" si="1"/>
        <v>16.98</v>
      </c>
      <c r="D35" s="29">
        <f t="shared" si="1"/>
        <v>50.56</v>
      </c>
      <c r="E35" s="29">
        <f t="shared" si="1"/>
        <v>7.96</v>
      </c>
      <c r="F35" s="29">
        <f t="shared" si="1"/>
        <v>6.28</v>
      </c>
      <c r="G35" s="29">
        <f t="shared" si="1"/>
        <v>112.38</v>
      </c>
      <c r="H35" s="29">
        <f t="shared" si="1"/>
        <v>155.80000000000001</v>
      </c>
      <c r="I35" s="29">
        <f t="shared" si="1"/>
        <v>9.36</v>
      </c>
      <c r="J35" s="29">
        <f t="shared" si="1"/>
        <v>1.54</v>
      </c>
      <c r="K35" s="29">
        <f t="shared" si="1"/>
        <v>359.12</v>
      </c>
      <c r="L35" s="29">
        <f t="shared" si="1"/>
        <v>36.799999999999997</v>
      </c>
      <c r="M35" s="29">
        <f t="shared" si="1"/>
        <v>102.8</v>
      </c>
      <c r="N35" s="29">
        <f t="shared" si="1"/>
        <v>788.3</v>
      </c>
      <c r="O35" s="29">
        <f t="shared" si="1"/>
        <v>0</v>
      </c>
      <c r="P35" s="29">
        <f t="shared" si="1"/>
        <v>2.42</v>
      </c>
      <c r="Q35" s="29">
        <f t="shared" si="1"/>
        <v>9.68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19.098333333333329</v>
      </c>
      <c r="C36" s="28">
        <f t="shared" si="2"/>
        <v>12.325416666666667</v>
      </c>
      <c r="D36" s="28">
        <f t="shared" si="2"/>
        <v>21.630416666666662</v>
      </c>
      <c r="E36" s="28">
        <f t="shared" si="2"/>
        <v>6.0383333333333331</v>
      </c>
      <c r="F36" s="28">
        <f t="shared" si="2"/>
        <v>4.7391666666666667</v>
      </c>
      <c r="G36" s="28">
        <f t="shared" si="2"/>
        <v>68.476249999999993</v>
      </c>
      <c r="H36" s="28">
        <f t="shared" si="2"/>
        <v>27.342916666666671</v>
      </c>
      <c r="I36" s="28">
        <f t="shared" si="2"/>
        <v>4.9145833333333337</v>
      </c>
      <c r="J36" s="28">
        <f t="shared" si="2"/>
        <v>0.89916666666666656</v>
      </c>
      <c r="K36" s="28">
        <f t="shared" si="2"/>
        <v>328.23375000000004</v>
      </c>
      <c r="L36" s="28">
        <f t="shared" si="2"/>
        <v>28.7</v>
      </c>
      <c r="M36" s="28">
        <f t="shared" si="2"/>
        <v>77.977499999999978</v>
      </c>
      <c r="N36" s="28">
        <f t="shared" si="2"/>
        <v>187.60833333333335</v>
      </c>
      <c r="O36" s="28">
        <f t="shared" si="2"/>
        <v>0</v>
      </c>
      <c r="P36" s="28">
        <f t="shared" si="2"/>
        <v>1.0054166666666664</v>
      </c>
      <c r="Q36" s="28">
        <f t="shared" si="2"/>
        <v>9.6212500000000016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12.913994319162551</v>
      </c>
      <c r="C37" s="28">
        <f t="shared" ref="C37:Q37" si="3">STDEV(C9:C32)</f>
        <v>3.4536873542027107</v>
      </c>
      <c r="D37" s="28">
        <f t="shared" si="3"/>
        <v>10.695512053179616</v>
      </c>
      <c r="E37" s="28">
        <f t="shared" si="3"/>
        <v>1.041581851619535</v>
      </c>
      <c r="F37" s="28">
        <f t="shared" si="3"/>
        <v>0.62003447776973053</v>
      </c>
      <c r="G37" s="28">
        <f t="shared" si="3"/>
        <v>20.969081548276325</v>
      </c>
      <c r="H37" s="28">
        <f t="shared" si="3"/>
        <v>29.543512710866001</v>
      </c>
      <c r="I37" s="28">
        <f t="shared" si="3"/>
        <v>1.6964771149205853</v>
      </c>
      <c r="J37" s="28">
        <f t="shared" si="3"/>
        <v>0.40624384053301593</v>
      </c>
      <c r="K37" s="28">
        <f t="shared" si="3"/>
        <v>32.920047125078533</v>
      </c>
      <c r="L37" s="28">
        <f t="shared" si="3"/>
        <v>4.2173822501023643</v>
      </c>
      <c r="M37" s="28">
        <f t="shared" si="3"/>
        <v>21.309318486235739</v>
      </c>
      <c r="N37" s="28">
        <f t="shared" si="3"/>
        <v>245.26802538317608</v>
      </c>
      <c r="O37" s="28">
        <f t="shared" si="3"/>
        <v>0</v>
      </c>
      <c r="P37" s="28">
        <f t="shared" si="3"/>
        <v>0.55030409906639421</v>
      </c>
      <c r="Q37" s="28">
        <f t="shared" si="3"/>
        <v>1.4836060651405471E-2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5" sqref="G55"/>
    </sheetView>
  </sheetViews>
  <sheetFormatPr defaultColWidth="8.85546875" defaultRowHeight="15" x14ac:dyDescent="0.25"/>
  <cols>
    <col min="1" max="1" width="18.28515625" style="26" customWidth="1"/>
    <col min="2" max="2" width="1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07/10/2024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204</v>
      </c>
      <c r="B9" s="53">
        <v>54.36</v>
      </c>
      <c r="C9" s="53">
        <v>13.88</v>
      </c>
      <c r="D9" s="53">
        <v>50.84</v>
      </c>
      <c r="E9" s="53">
        <v>6.3</v>
      </c>
      <c r="F9" s="53">
        <v>4.16</v>
      </c>
      <c r="G9" s="53">
        <v>90.13</v>
      </c>
      <c r="H9" s="53">
        <v>29.72</v>
      </c>
      <c r="I9" s="53">
        <v>5.73</v>
      </c>
      <c r="J9" s="53">
        <v>0.51</v>
      </c>
      <c r="K9" s="53">
        <v>319.24</v>
      </c>
      <c r="L9" s="53">
        <v>24.72</v>
      </c>
      <c r="M9" s="53">
        <v>100.76</v>
      </c>
      <c r="N9" s="53">
        <v>26.1</v>
      </c>
      <c r="O9" s="53">
        <v>0</v>
      </c>
      <c r="P9" s="53">
        <v>1.45</v>
      </c>
      <c r="Q9" s="53">
        <v>9.65</v>
      </c>
      <c r="R9" s="43"/>
      <c r="S9" s="43"/>
      <c r="T9" s="43"/>
      <c r="U9" s="43"/>
    </row>
    <row r="10" spans="1:21" s="11" customFormat="1" x14ac:dyDescent="0.25">
      <c r="A10" s="52" t="s">
        <v>205</v>
      </c>
      <c r="B10" s="53">
        <v>50.36</v>
      </c>
      <c r="C10" s="53">
        <v>11.97</v>
      </c>
      <c r="D10" s="53">
        <v>46.64</v>
      </c>
      <c r="E10" s="53">
        <v>6</v>
      </c>
      <c r="F10" s="53">
        <v>4.2300000000000004</v>
      </c>
      <c r="G10" s="53">
        <v>89.02</v>
      </c>
      <c r="H10" s="53">
        <v>19.13</v>
      </c>
      <c r="I10" s="53">
        <v>5.67</v>
      </c>
      <c r="J10" s="53">
        <v>1.52</v>
      </c>
      <c r="K10" s="53">
        <v>338.87</v>
      </c>
      <c r="L10" s="53">
        <v>25.23</v>
      </c>
      <c r="M10" s="53">
        <v>101.65</v>
      </c>
      <c r="N10" s="53">
        <v>26.2</v>
      </c>
      <c r="O10" s="53">
        <v>0</v>
      </c>
      <c r="P10" s="53">
        <v>1.2</v>
      </c>
      <c r="Q10" s="53">
        <v>9.64</v>
      </c>
      <c r="R10" s="43"/>
      <c r="S10" s="43"/>
      <c r="T10" s="43"/>
      <c r="U10" s="43"/>
    </row>
    <row r="11" spans="1:21" s="11" customFormat="1" x14ac:dyDescent="0.25">
      <c r="A11" s="52" t="s">
        <v>206</v>
      </c>
      <c r="B11" s="53">
        <v>44.55</v>
      </c>
      <c r="C11" s="53">
        <v>10.1</v>
      </c>
      <c r="D11" s="53">
        <v>41</v>
      </c>
      <c r="E11" s="53">
        <v>6.11</v>
      </c>
      <c r="F11" s="53">
        <v>4.3099999999999996</v>
      </c>
      <c r="G11" s="53">
        <v>86.16</v>
      </c>
      <c r="H11" s="53">
        <v>25.13</v>
      </c>
      <c r="I11" s="53">
        <v>6.05</v>
      </c>
      <c r="J11" s="53">
        <v>0.77</v>
      </c>
      <c r="K11" s="53">
        <v>333.31</v>
      </c>
      <c r="L11" s="53">
        <v>25.17</v>
      </c>
      <c r="M11" s="53">
        <v>98.31</v>
      </c>
      <c r="N11" s="53">
        <v>26.4</v>
      </c>
      <c r="O11" s="53">
        <v>0</v>
      </c>
      <c r="P11" s="53">
        <v>0.87</v>
      </c>
      <c r="Q11" s="53">
        <v>9.64</v>
      </c>
      <c r="R11" s="43"/>
      <c r="S11" s="43"/>
      <c r="T11" s="43"/>
      <c r="U11" s="43"/>
    </row>
    <row r="12" spans="1:21" s="11" customFormat="1" x14ac:dyDescent="0.25">
      <c r="A12" s="52" t="s">
        <v>207</v>
      </c>
      <c r="B12" s="53">
        <v>37.520000000000003</v>
      </c>
      <c r="C12" s="53">
        <v>10.08</v>
      </c>
      <c r="D12" s="53">
        <v>35.32</v>
      </c>
      <c r="E12" s="53">
        <v>5.99</v>
      </c>
      <c r="F12" s="53">
        <v>4.41</v>
      </c>
      <c r="G12" s="53">
        <v>87.04</v>
      </c>
      <c r="H12" s="53">
        <v>42.76</v>
      </c>
      <c r="I12" s="53">
        <v>4.18</v>
      </c>
      <c r="J12" s="53">
        <v>0.59</v>
      </c>
      <c r="K12" s="53">
        <v>338.69</v>
      </c>
      <c r="L12" s="53">
        <v>24.56</v>
      </c>
      <c r="M12" s="53">
        <v>97.3</v>
      </c>
      <c r="N12" s="53">
        <v>26.2</v>
      </c>
      <c r="O12" s="53">
        <v>0</v>
      </c>
      <c r="P12" s="53">
        <v>0.91</v>
      </c>
      <c r="Q12" s="53">
        <v>9.6300000000000008</v>
      </c>
      <c r="R12" s="43"/>
      <c r="S12" s="43"/>
      <c r="T12" s="43"/>
      <c r="U12" s="43"/>
    </row>
    <row r="13" spans="1:21" s="11" customFormat="1" x14ac:dyDescent="0.25">
      <c r="A13" s="52" t="s">
        <v>208</v>
      </c>
      <c r="B13" s="53">
        <v>30.24</v>
      </c>
      <c r="C13" s="53">
        <v>10.06</v>
      </c>
      <c r="D13" s="53">
        <v>29.44</v>
      </c>
      <c r="E13" s="53">
        <v>5.22</v>
      </c>
      <c r="F13" s="53">
        <v>4.28</v>
      </c>
      <c r="G13" s="53">
        <v>87.08</v>
      </c>
      <c r="H13" s="53">
        <v>16.04</v>
      </c>
      <c r="I13" s="53">
        <v>5.56</v>
      </c>
      <c r="J13" s="53">
        <v>0.46</v>
      </c>
      <c r="K13" s="53">
        <v>330.33</v>
      </c>
      <c r="L13" s="53">
        <v>24.25</v>
      </c>
      <c r="M13" s="53">
        <v>99.5</v>
      </c>
      <c r="N13" s="53">
        <v>26.3</v>
      </c>
      <c r="O13" s="53">
        <v>0</v>
      </c>
      <c r="P13" s="53">
        <v>0.88</v>
      </c>
      <c r="Q13" s="53">
        <v>9.6199999999999992</v>
      </c>
      <c r="R13" s="43"/>
      <c r="S13" s="43"/>
      <c r="T13" s="43"/>
      <c r="U13" s="43"/>
    </row>
    <row r="14" spans="1:21" s="11" customFormat="1" x14ac:dyDescent="0.25">
      <c r="A14" s="52" t="s">
        <v>209</v>
      </c>
      <c r="B14" s="53">
        <v>27.18</v>
      </c>
      <c r="C14" s="53">
        <v>10.029999999999999</v>
      </c>
      <c r="D14" s="53">
        <v>27.04</v>
      </c>
      <c r="E14" s="53">
        <v>5.13</v>
      </c>
      <c r="F14" s="53">
        <v>4.4000000000000004</v>
      </c>
      <c r="G14" s="53">
        <v>89.34</v>
      </c>
      <c r="H14" s="53">
        <v>22.31</v>
      </c>
      <c r="I14" s="53">
        <v>4.7699999999999996</v>
      </c>
      <c r="J14" s="53">
        <v>0.53</v>
      </c>
      <c r="K14" s="53">
        <v>359.1</v>
      </c>
      <c r="L14" s="53">
        <v>24.32</v>
      </c>
      <c r="M14" s="53">
        <v>99.44</v>
      </c>
      <c r="N14" s="53">
        <v>27.4</v>
      </c>
      <c r="O14" s="53">
        <v>0</v>
      </c>
      <c r="P14" s="53">
        <v>0.86</v>
      </c>
      <c r="Q14" s="53">
        <v>9.6199999999999992</v>
      </c>
      <c r="R14" s="43"/>
      <c r="S14" s="43"/>
      <c r="T14" s="43"/>
      <c r="U14" s="43"/>
    </row>
    <row r="15" spans="1:21" s="11" customFormat="1" x14ac:dyDescent="0.25">
      <c r="A15" s="52" t="s">
        <v>210</v>
      </c>
      <c r="B15" s="53">
        <v>25.24</v>
      </c>
      <c r="C15" s="53">
        <v>9.1199999999999992</v>
      </c>
      <c r="D15" s="53">
        <v>24.9</v>
      </c>
      <c r="E15" s="53">
        <v>5.22</v>
      </c>
      <c r="F15" s="53">
        <v>4.0999999999999996</v>
      </c>
      <c r="G15" s="53">
        <v>88.16</v>
      </c>
      <c r="H15" s="53">
        <v>38.479999999999997</v>
      </c>
      <c r="I15" s="53">
        <v>4.71</v>
      </c>
      <c r="J15" s="53">
        <v>1.27</v>
      </c>
      <c r="K15" s="53">
        <v>346.09</v>
      </c>
      <c r="L15" s="53">
        <v>25.45</v>
      </c>
      <c r="M15" s="53">
        <v>98.37</v>
      </c>
      <c r="N15" s="53">
        <v>106.9</v>
      </c>
      <c r="O15" s="53">
        <v>0</v>
      </c>
      <c r="P15" s="53">
        <v>0.8</v>
      </c>
      <c r="Q15" s="53">
        <v>9.61</v>
      </c>
      <c r="R15" s="43"/>
      <c r="S15" s="43"/>
      <c r="T15" s="43"/>
      <c r="U15" s="43"/>
    </row>
    <row r="16" spans="1:21" s="11" customFormat="1" x14ac:dyDescent="0.25">
      <c r="A16" s="52" t="s">
        <v>211</v>
      </c>
      <c r="B16" s="53">
        <v>24.4</v>
      </c>
      <c r="C16" s="53">
        <v>11.33</v>
      </c>
      <c r="D16" s="53">
        <v>25.36</v>
      </c>
      <c r="E16" s="53">
        <v>5.28</v>
      </c>
      <c r="F16" s="53">
        <v>4.33</v>
      </c>
      <c r="G16" s="53">
        <v>73.209999999999994</v>
      </c>
      <c r="H16" s="53">
        <v>29.17</v>
      </c>
      <c r="I16" s="53">
        <v>6.23</v>
      </c>
      <c r="J16" s="53">
        <v>1.39</v>
      </c>
      <c r="K16" s="53">
        <v>336.49</v>
      </c>
      <c r="L16" s="53">
        <v>29.13</v>
      </c>
      <c r="M16" s="53">
        <v>86.84</v>
      </c>
      <c r="N16" s="53">
        <v>284.89999999999998</v>
      </c>
      <c r="O16" s="53">
        <v>0</v>
      </c>
      <c r="P16" s="53">
        <v>0.9</v>
      </c>
      <c r="Q16" s="53">
        <v>9.61</v>
      </c>
      <c r="R16" s="43"/>
      <c r="S16" s="43"/>
      <c r="T16" s="43"/>
      <c r="U16" s="43"/>
    </row>
    <row r="17" spans="1:21" s="11" customFormat="1" x14ac:dyDescent="0.25">
      <c r="A17" s="52" t="s">
        <v>212</v>
      </c>
      <c r="B17" s="53">
        <v>24.01</v>
      </c>
      <c r="C17" s="53">
        <v>12.6</v>
      </c>
      <c r="D17" s="53">
        <v>25.39</v>
      </c>
      <c r="E17" s="53">
        <v>5.32</v>
      </c>
      <c r="F17" s="53">
        <v>4.16</v>
      </c>
      <c r="G17" s="53">
        <v>82.46</v>
      </c>
      <c r="H17" s="53">
        <v>31.48</v>
      </c>
      <c r="I17" s="53">
        <v>6.28</v>
      </c>
      <c r="J17" s="53">
        <v>1.48</v>
      </c>
      <c r="K17" s="53">
        <v>346.65</v>
      </c>
      <c r="L17" s="53">
        <v>31.34</v>
      </c>
      <c r="M17" s="53">
        <v>72.06</v>
      </c>
      <c r="N17" s="53">
        <v>485.2</v>
      </c>
      <c r="O17" s="53">
        <v>0</v>
      </c>
      <c r="P17" s="53">
        <v>0.89</v>
      </c>
      <c r="Q17" s="53">
        <v>9.6199999999999992</v>
      </c>
      <c r="R17" s="43"/>
      <c r="S17" s="43"/>
      <c r="T17" s="43"/>
      <c r="U17" s="43"/>
    </row>
    <row r="18" spans="1:21" s="11" customFormat="1" x14ac:dyDescent="0.25">
      <c r="A18" s="52" t="s">
        <v>213</v>
      </c>
      <c r="B18" s="53">
        <v>21.07</v>
      </c>
      <c r="C18" s="53">
        <v>12.78</v>
      </c>
      <c r="D18" s="53">
        <v>23.39</v>
      </c>
      <c r="E18" s="53">
        <v>5.66</v>
      </c>
      <c r="F18" s="53">
        <v>4.41</v>
      </c>
      <c r="G18" s="53">
        <v>86.45</v>
      </c>
      <c r="H18" s="53">
        <v>29.39</v>
      </c>
      <c r="I18" s="53">
        <v>5.6</v>
      </c>
      <c r="J18" s="53">
        <v>1</v>
      </c>
      <c r="K18" s="53">
        <v>336.76</v>
      </c>
      <c r="L18" s="53">
        <v>31.45</v>
      </c>
      <c r="M18" s="53">
        <v>71.48</v>
      </c>
      <c r="N18" s="53">
        <v>618</v>
      </c>
      <c r="O18" s="53">
        <v>0</v>
      </c>
      <c r="P18" s="53">
        <v>0.8</v>
      </c>
      <c r="Q18" s="53">
        <v>9.6300000000000008</v>
      </c>
      <c r="R18" s="43"/>
      <c r="S18" s="43"/>
      <c r="T18" s="43"/>
      <c r="U18" s="43"/>
    </row>
    <row r="19" spans="1:21" s="11" customFormat="1" x14ac:dyDescent="0.25">
      <c r="A19" s="52" t="s">
        <v>214</v>
      </c>
      <c r="B19" s="53">
        <v>15.65</v>
      </c>
      <c r="C19" s="53">
        <v>25.22</v>
      </c>
      <c r="D19" s="53">
        <v>18.98</v>
      </c>
      <c r="E19" s="53">
        <v>6.72</v>
      </c>
      <c r="F19" s="53">
        <v>8.5</v>
      </c>
      <c r="G19" s="53">
        <v>73.92</v>
      </c>
      <c r="H19" s="53">
        <v>23.82</v>
      </c>
      <c r="I19" s="53">
        <v>5.47</v>
      </c>
      <c r="J19" s="53">
        <v>1.08</v>
      </c>
      <c r="K19" s="53">
        <v>327.61</v>
      </c>
      <c r="L19" s="53">
        <v>32.71</v>
      </c>
      <c r="M19" s="53">
        <v>68.02</v>
      </c>
      <c r="N19" s="53">
        <v>715.5</v>
      </c>
      <c r="O19" s="53">
        <v>0</v>
      </c>
      <c r="P19" s="53">
        <v>0.74</v>
      </c>
      <c r="Q19" s="53">
        <v>9.6300000000000008</v>
      </c>
      <c r="R19" s="43"/>
      <c r="S19" s="43"/>
      <c r="T19" s="43"/>
      <c r="U19" s="43"/>
    </row>
    <row r="20" spans="1:21" s="11" customFormat="1" x14ac:dyDescent="0.25">
      <c r="A20" s="52" t="s">
        <v>215</v>
      </c>
      <c r="B20" s="53">
        <v>2.5499999999999998</v>
      </c>
      <c r="C20" s="53">
        <v>24.01</v>
      </c>
      <c r="D20" s="53">
        <v>14.59</v>
      </c>
      <c r="E20" s="53">
        <v>6.51</v>
      </c>
      <c r="F20" s="53">
        <v>7.46</v>
      </c>
      <c r="G20" s="53">
        <v>48.47</v>
      </c>
      <c r="H20" s="53">
        <v>27.55</v>
      </c>
      <c r="I20" s="53">
        <v>5.62</v>
      </c>
      <c r="J20" s="53">
        <v>1.23</v>
      </c>
      <c r="K20" s="53">
        <v>327.54000000000002</v>
      </c>
      <c r="L20" s="53">
        <v>32.93</v>
      </c>
      <c r="M20" s="53">
        <v>61.68</v>
      </c>
      <c r="N20" s="53">
        <v>754.5</v>
      </c>
      <c r="O20" s="53">
        <v>0</v>
      </c>
      <c r="P20" s="53">
        <v>0.64</v>
      </c>
      <c r="Q20" s="53">
        <v>9.61</v>
      </c>
      <c r="R20" s="43"/>
      <c r="S20" s="43"/>
      <c r="T20" s="43"/>
      <c r="U20" s="43"/>
    </row>
    <row r="21" spans="1:21" s="11" customFormat="1" x14ac:dyDescent="0.25">
      <c r="A21" s="52" t="s">
        <v>216</v>
      </c>
      <c r="B21" s="53">
        <v>1.33</v>
      </c>
      <c r="C21" s="53">
        <v>25</v>
      </c>
      <c r="D21" s="53">
        <v>13.76</v>
      </c>
      <c r="E21" s="53">
        <v>6.5</v>
      </c>
      <c r="F21" s="53">
        <v>12.71</v>
      </c>
      <c r="G21" s="53">
        <v>75.209999999999994</v>
      </c>
      <c r="H21" s="53">
        <v>26.96</v>
      </c>
      <c r="I21" s="53">
        <v>5.91</v>
      </c>
      <c r="J21" s="53">
        <v>1.21</v>
      </c>
      <c r="K21" s="53">
        <v>333.42</v>
      </c>
      <c r="L21" s="53">
        <v>34.47</v>
      </c>
      <c r="M21" s="53">
        <v>58.14</v>
      </c>
      <c r="N21" s="53">
        <v>397.3</v>
      </c>
      <c r="O21" s="53">
        <v>0</v>
      </c>
      <c r="P21" s="53">
        <v>0.66</v>
      </c>
      <c r="Q21" s="53">
        <v>9.6199999999999992</v>
      </c>
      <c r="R21" s="43"/>
      <c r="S21" s="43"/>
      <c r="T21" s="43"/>
      <c r="U21" s="43"/>
    </row>
    <row r="22" spans="1:21" s="11" customFormat="1" x14ac:dyDescent="0.25">
      <c r="A22" s="52" t="s">
        <v>217</v>
      </c>
      <c r="B22" s="53">
        <v>0.51</v>
      </c>
      <c r="C22" s="53">
        <v>14.36</v>
      </c>
      <c r="D22" s="53">
        <v>7.91</v>
      </c>
      <c r="E22" s="53">
        <v>5.7</v>
      </c>
      <c r="F22" s="53">
        <v>12.63</v>
      </c>
      <c r="G22" s="53">
        <v>101.92</v>
      </c>
      <c r="H22" s="53">
        <v>25.56</v>
      </c>
      <c r="I22" s="53">
        <v>3.92</v>
      </c>
      <c r="J22" s="53">
        <v>1.29</v>
      </c>
      <c r="K22" s="53">
        <v>134.83000000000001</v>
      </c>
      <c r="L22" s="53">
        <v>30.78</v>
      </c>
      <c r="M22" s="53">
        <v>61.58</v>
      </c>
      <c r="N22" s="53">
        <v>330.2</v>
      </c>
      <c r="O22" s="53">
        <v>0</v>
      </c>
      <c r="P22" s="53">
        <v>0.55000000000000004</v>
      </c>
      <c r="Q22" s="53">
        <v>9.6199999999999992</v>
      </c>
      <c r="R22" s="43"/>
      <c r="S22" s="43"/>
      <c r="T22" s="43"/>
      <c r="U22" s="43"/>
    </row>
    <row r="23" spans="1:21" s="11" customFormat="1" x14ac:dyDescent="0.25">
      <c r="A23" s="52" t="s">
        <v>218</v>
      </c>
      <c r="B23" s="53">
        <v>1</v>
      </c>
      <c r="C23" s="53">
        <v>8.89</v>
      </c>
      <c r="D23" s="53">
        <v>5.1100000000000003</v>
      </c>
      <c r="E23" s="53">
        <v>5.69</v>
      </c>
      <c r="F23" s="53">
        <v>9.6999999999999993</v>
      </c>
      <c r="G23" s="53">
        <v>74.55</v>
      </c>
      <c r="H23" s="53">
        <v>25.24</v>
      </c>
      <c r="I23" s="53">
        <v>2.69</v>
      </c>
      <c r="J23" s="53">
        <v>0.76</v>
      </c>
      <c r="K23" s="53">
        <v>338.71</v>
      </c>
      <c r="L23" s="53">
        <v>30.98</v>
      </c>
      <c r="M23" s="53">
        <v>65.180000000000007</v>
      </c>
      <c r="N23" s="53">
        <v>231.1</v>
      </c>
      <c r="O23" s="53">
        <v>0</v>
      </c>
      <c r="P23" s="53">
        <v>0.54</v>
      </c>
      <c r="Q23" s="53">
        <v>9.6199999999999992</v>
      </c>
      <c r="R23" s="43"/>
      <c r="S23" s="43"/>
      <c r="T23" s="43"/>
      <c r="U23" s="43"/>
    </row>
    <row r="24" spans="1:21" s="11" customFormat="1" x14ac:dyDescent="0.25">
      <c r="A24" s="52" t="s">
        <v>219</v>
      </c>
      <c r="B24" s="53">
        <v>1.24</v>
      </c>
      <c r="C24" s="53">
        <v>13.96</v>
      </c>
      <c r="D24" s="53">
        <v>8.1300000000000008</v>
      </c>
      <c r="E24" s="53">
        <v>6.6</v>
      </c>
      <c r="F24" s="53">
        <v>11.2</v>
      </c>
      <c r="G24" s="53">
        <v>58.97</v>
      </c>
      <c r="H24" s="53">
        <v>33.08</v>
      </c>
      <c r="I24" s="53">
        <v>3</v>
      </c>
      <c r="J24" s="53">
        <v>1.49</v>
      </c>
      <c r="K24" s="53">
        <v>339.31</v>
      </c>
      <c r="L24" s="53">
        <v>31.24</v>
      </c>
      <c r="M24" s="53">
        <v>73.17</v>
      </c>
      <c r="N24" s="53">
        <v>129.19999999999999</v>
      </c>
      <c r="O24" s="53">
        <v>0</v>
      </c>
      <c r="P24" s="53">
        <v>0.57999999999999996</v>
      </c>
      <c r="Q24" s="53">
        <v>9.61</v>
      </c>
      <c r="R24" s="43"/>
      <c r="S24" s="43"/>
      <c r="T24" s="43"/>
      <c r="U24" s="43"/>
    </row>
    <row r="25" spans="1:21" s="11" customFormat="1" x14ac:dyDescent="0.25">
      <c r="A25" s="52" t="s">
        <v>220</v>
      </c>
      <c r="B25" s="53">
        <v>1.92</v>
      </c>
      <c r="C25" s="53">
        <v>15.26</v>
      </c>
      <c r="D25" s="53">
        <v>9.3800000000000008</v>
      </c>
      <c r="E25" s="53">
        <v>6.29</v>
      </c>
      <c r="F25" s="53">
        <v>6.88</v>
      </c>
      <c r="G25" s="53">
        <v>80.959999999999994</v>
      </c>
      <c r="H25" s="53">
        <v>35.369999999999997</v>
      </c>
      <c r="I25" s="53">
        <v>3.59</v>
      </c>
      <c r="J25" s="53">
        <v>1.56</v>
      </c>
      <c r="K25" s="53">
        <v>332.73</v>
      </c>
      <c r="L25" s="53">
        <v>29.56</v>
      </c>
      <c r="M25" s="53">
        <v>74.47</v>
      </c>
      <c r="N25" s="53">
        <v>135</v>
      </c>
      <c r="O25" s="53">
        <v>0</v>
      </c>
      <c r="P25" s="53">
        <v>0.56999999999999995</v>
      </c>
      <c r="Q25" s="53">
        <v>9.6199999999999992</v>
      </c>
      <c r="R25" s="43"/>
      <c r="S25" s="43"/>
      <c r="T25" s="43"/>
      <c r="U25" s="43"/>
    </row>
    <row r="26" spans="1:21" s="11" customFormat="1" x14ac:dyDescent="0.25">
      <c r="A26" s="52" t="s">
        <v>221</v>
      </c>
      <c r="B26" s="53">
        <v>3.56</v>
      </c>
      <c r="C26" s="53">
        <v>22.42</v>
      </c>
      <c r="D26" s="53">
        <v>14.3</v>
      </c>
      <c r="E26" s="53">
        <v>6.93</v>
      </c>
      <c r="F26" s="53">
        <v>5.53</v>
      </c>
      <c r="G26" s="53">
        <v>74.41</v>
      </c>
      <c r="H26" s="53">
        <v>30.21</v>
      </c>
      <c r="I26" s="53">
        <v>3.12</v>
      </c>
      <c r="J26" s="53">
        <v>2.0299999999999998</v>
      </c>
      <c r="K26" s="53">
        <v>357.93</v>
      </c>
      <c r="L26" s="53">
        <v>29.24</v>
      </c>
      <c r="M26" s="53">
        <v>78.27</v>
      </c>
      <c r="N26" s="53">
        <v>102.7</v>
      </c>
      <c r="O26" s="53">
        <v>0</v>
      </c>
      <c r="P26" s="53">
        <v>0.7</v>
      </c>
      <c r="Q26" s="53">
        <v>9.6199999999999992</v>
      </c>
      <c r="R26" s="43"/>
      <c r="S26" s="43"/>
      <c r="T26" s="43"/>
      <c r="U26" s="43"/>
    </row>
    <row r="27" spans="1:21" s="11" customFormat="1" x14ac:dyDescent="0.25">
      <c r="A27" s="52" t="s">
        <v>222</v>
      </c>
      <c r="B27" s="53">
        <v>1.79</v>
      </c>
      <c r="C27" s="53">
        <v>19.37</v>
      </c>
      <c r="D27" s="53">
        <v>11.55</v>
      </c>
      <c r="E27" s="53">
        <v>5.79</v>
      </c>
      <c r="F27" s="53">
        <v>5.41</v>
      </c>
      <c r="G27" s="53">
        <v>69.36</v>
      </c>
      <c r="H27" s="53">
        <v>28.83</v>
      </c>
      <c r="I27" s="53">
        <v>3.86</v>
      </c>
      <c r="J27" s="53">
        <v>1.41</v>
      </c>
      <c r="K27" s="53">
        <v>163.31</v>
      </c>
      <c r="L27" s="53">
        <v>25.8</v>
      </c>
      <c r="M27" s="53">
        <v>86.94</v>
      </c>
      <c r="N27" s="53">
        <v>28.9</v>
      </c>
      <c r="O27" s="53">
        <v>0</v>
      </c>
      <c r="P27" s="53">
        <v>0.53</v>
      </c>
      <c r="Q27" s="53">
        <v>9.6199999999999992</v>
      </c>
      <c r="R27" s="43"/>
      <c r="S27" s="43"/>
      <c r="T27" s="43"/>
      <c r="U27" s="43"/>
    </row>
    <row r="28" spans="1:21" s="11" customFormat="1" x14ac:dyDescent="0.25">
      <c r="A28" s="52" t="s">
        <v>223</v>
      </c>
      <c r="B28" s="53">
        <v>1.87</v>
      </c>
      <c r="C28" s="53">
        <v>11.23</v>
      </c>
      <c r="D28" s="53">
        <v>7.21</v>
      </c>
      <c r="E28" s="53">
        <v>5.3</v>
      </c>
      <c r="F28" s="53">
        <v>5.94</v>
      </c>
      <c r="G28" s="53">
        <v>53.18</v>
      </c>
      <c r="H28" s="53">
        <v>28.06</v>
      </c>
      <c r="I28" s="53">
        <v>3.82</v>
      </c>
      <c r="J28" s="53">
        <v>0.97</v>
      </c>
      <c r="K28" s="53">
        <v>158.79</v>
      </c>
      <c r="L28" s="53">
        <v>24.58</v>
      </c>
      <c r="M28" s="53">
        <v>89.91</v>
      </c>
      <c r="N28" s="53">
        <v>26.2</v>
      </c>
      <c r="O28" s="53">
        <v>0</v>
      </c>
      <c r="P28" s="53">
        <v>0.52</v>
      </c>
      <c r="Q28" s="53">
        <v>9.6199999999999992</v>
      </c>
      <c r="R28" s="43"/>
      <c r="S28" s="43"/>
      <c r="T28" s="43"/>
      <c r="U28" s="43"/>
    </row>
    <row r="29" spans="1:21" s="11" customFormat="1" x14ac:dyDescent="0.25">
      <c r="A29" s="52" t="s">
        <v>224</v>
      </c>
      <c r="B29" s="53">
        <v>1.72</v>
      </c>
      <c r="C29" s="53">
        <v>10.46</v>
      </c>
      <c r="D29" s="53">
        <v>6.8</v>
      </c>
      <c r="E29" s="53">
        <v>4.83</v>
      </c>
      <c r="F29" s="53">
        <v>5.81</v>
      </c>
      <c r="G29" s="53">
        <v>50.84</v>
      </c>
      <c r="H29" s="53">
        <v>26.67</v>
      </c>
      <c r="I29" s="53">
        <v>3.39</v>
      </c>
      <c r="J29" s="53">
        <v>0.57999999999999996</v>
      </c>
      <c r="K29" s="53">
        <v>196.49</v>
      </c>
      <c r="L29" s="53">
        <v>24.85</v>
      </c>
      <c r="M29" s="53">
        <v>90.97</v>
      </c>
      <c r="N29" s="53">
        <v>26.2</v>
      </c>
      <c r="O29" s="53">
        <v>0</v>
      </c>
      <c r="P29" s="53">
        <v>0.56000000000000005</v>
      </c>
      <c r="Q29" s="53">
        <v>9.6199999999999992</v>
      </c>
      <c r="R29" s="43"/>
      <c r="S29" s="43"/>
      <c r="T29" s="43"/>
      <c r="U29" s="43"/>
    </row>
    <row r="30" spans="1:21" s="11" customFormat="1" x14ac:dyDescent="0.25">
      <c r="A30" s="52" t="s">
        <v>225</v>
      </c>
      <c r="B30" s="53">
        <v>1.97</v>
      </c>
      <c r="C30" s="53">
        <v>10.27</v>
      </c>
      <c r="D30" s="53">
        <v>6.95</v>
      </c>
      <c r="E30" s="53">
        <v>4.63</v>
      </c>
      <c r="F30" s="53">
        <v>5.16</v>
      </c>
      <c r="G30" s="53">
        <v>45.28</v>
      </c>
      <c r="H30" s="53">
        <v>16.8</v>
      </c>
      <c r="I30" s="53">
        <v>3.22</v>
      </c>
      <c r="J30" s="53">
        <v>0.52</v>
      </c>
      <c r="K30" s="53">
        <v>171.04</v>
      </c>
      <c r="L30" s="53">
        <v>24.79</v>
      </c>
      <c r="M30" s="53">
        <v>94.6</v>
      </c>
      <c r="N30" s="53">
        <v>26.4</v>
      </c>
      <c r="O30" s="53">
        <v>0</v>
      </c>
      <c r="P30" s="53">
        <v>0.53</v>
      </c>
      <c r="Q30" s="53">
        <v>9.61</v>
      </c>
      <c r="R30" s="43"/>
      <c r="S30" s="43"/>
      <c r="T30" s="43"/>
      <c r="U30" s="43"/>
    </row>
    <row r="31" spans="1:21" s="11" customFormat="1" x14ac:dyDescent="0.25">
      <c r="A31" s="52" t="s">
        <v>226</v>
      </c>
      <c r="B31" s="53">
        <v>2.54</v>
      </c>
      <c r="C31" s="53">
        <v>9.3000000000000007</v>
      </c>
      <c r="D31" s="53">
        <v>6.72</v>
      </c>
      <c r="E31" s="53">
        <v>4.17</v>
      </c>
      <c r="F31" s="53">
        <v>4.7699999999999996</v>
      </c>
      <c r="G31" s="53">
        <v>49.66</v>
      </c>
      <c r="H31" s="53">
        <v>28.08</v>
      </c>
      <c r="I31" s="53">
        <v>3.1</v>
      </c>
      <c r="J31" s="53">
        <v>0.65</v>
      </c>
      <c r="K31" s="53">
        <v>182.35</v>
      </c>
      <c r="L31" s="53">
        <v>24.53</v>
      </c>
      <c r="M31" s="53">
        <v>96.01</v>
      </c>
      <c r="N31" s="53">
        <v>26.1</v>
      </c>
      <c r="O31" s="53">
        <v>0</v>
      </c>
      <c r="P31" s="53">
        <v>0.47</v>
      </c>
      <c r="Q31" s="53">
        <v>9.61</v>
      </c>
      <c r="R31" s="43"/>
      <c r="S31" s="43"/>
      <c r="T31" s="43"/>
      <c r="U31" s="43"/>
    </row>
    <row r="32" spans="1:21" s="11" customFormat="1" x14ac:dyDescent="0.25">
      <c r="A32" s="52" t="s">
        <v>227</v>
      </c>
      <c r="B32" s="53">
        <v>3.43</v>
      </c>
      <c r="C32" s="53">
        <v>8.8699999999999992</v>
      </c>
      <c r="D32" s="53">
        <v>7.38</v>
      </c>
      <c r="E32" s="53">
        <v>4.5199999999999996</v>
      </c>
      <c r="F32" s="53">
        <v>5.26</v>
      </c>
      <c r="G32" s="53">
        <v>44.58</v>
      </c>
      <c r="H32" s="53">
        <v>25.42</v>
      </c>
      <c r="I32" s="53">
        <v>1.83</v>
      </c>
      <c r="J32" s="53">
        <v>0.56999999999999995</v>
      </c>
      <c r="K32" s="53">
        <v>330.62</v>
      </c>
      <c r="L32" s="53">
        <v>24.46</v>
      </c>
      <c r="M32" s="53">
        <v>99.1</v>
      </c>
      <c r="N32" s="53">
        <v>26.1</v>
      </c>
      <c r="O32" s="53">
        <v>0</v>
      </c>
      <c r="P32" s="53">
        <v>0.69</v>
      </c>
      <c r="Q32" s="53">
        <v>9.61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0.51</v>
      </c>
      <c r="C34" s="28">
        <f t="shared" si="0"/>
        <v>8.8699999999999992</v>
      </c>
      <c r="D34" s="28">
        <f t="shared" si="0"/>
        <v>5.1100000000000003</v>
      </c>
      <c r="E34" s="28">
        <f t="shared" si="0"/>
        <v>4.17</v>
      </c>
      <c r="F34" s="28">
        <f t="shared" si="0"/>
        <v>4.0999999999999996</v>
      </c>
      <c r="G34" s="28">
        <f t="shared" si="0"/>
        <v>44.58</v>
      </c>
      <c r="H34" s="28">
        <f t="shared" si="0"/>
        <v>16.04</v>
      </c>
      <c r="I34" s="28">
        <f t="shared" si="0"/>
        <v>1.83</v>
      </c>
      <c r="J34" s="28">
        <f t="shared" si="0"/>
        <v>0.46</v>
      </c>
      <c r="K34" s="28">
        <f t="shared" si="0"/>
        <v>134.83000000000001</v>
      </c>
      <c r="L34" s="28">
        <f t="shared" si="0"/>
        <v>24.25</v>
      </c>
      <c r="M34" s="28">
        <f t="shared" si="0"/>
        <v>58.14</v>
      </c>
      <c r="N34" s="28">
        <f t="shared" si="0"/>
        <v>26.1</v>
      </c>
      <c r="O34" s="28">
        <f t="shared" si="0"/>
        <v>0</v>
      </c>
      <c r="P34" s="28">
        <f t="shared" si="0"/>
        <v>0.47</v>
      </c>
      <c r="Q34" s="28">
        <f t="shared" si="0"/>
        <v>9.61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54.36</v>
      </c>
      <c r="C35" s="29">
        <f t="shared" si="1"/>
        <v>25.22</v>
      </c>
      <c r="D35" s="29">
        <f t="shared" si="1"/>
        <v>50.84</v>
      </c>
      <c r="E35" s="29">
        <f t="shared" si="1"/>
        <v>6.93</v>
      </c>
      <c r="F35" s="29">
        <f t="shared" si="1"/>
        <v>12.71</v>
      </c>
      <c r="G35" s="29">
        <f t="shared" si="1"/>
        <v>101.92</v>
      </c>
      <c r="H35" s="29">
        <f t="shared" si="1"/>
        <v>42.76</v>
      </c>
      <c r="I35" s="29">
        <f t="shared" si="1"/>
        <v>6.28</v>
      </c>
      <c r="J35" s="29">
        <f t="shared" si="1"/>
        <v>2.0299999999999998</v>
      </c>
      <c r="K35" s="29">
        <f t="shared" si="1"/>
        <v>359.1</v>
      </c>
      <c r="L35" s="29">
        <f t="shared" si="1"/>
        <v>34.47</v>
      </c>
      <c r="M35" s="29">
        <f t="shared" si="1"/>
        <v>101.65</v>
      </c>
      <c r="N35" s="29">
        <f t="shared" si="1"/>
        <v>754.5</v>
      </c>
      <c r="O35" s="29">
        <f t="shared" si="1"/>
        <v>0</v>
      </c>
      <c r="P35" s="29">
        <f t="shared" si="1"/>
        <v>1.45</v>
      </c>
      <c r="Q35" s="29">
        <f t="shared" si="1"/>
        <v>9.65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15.833750000000002</v>
      </c>
      <c r="C36" s="28">
        <f t="shared" si="2"/>
        <v>13.77375</v>
      </c>
      <c r="D36" s="28">
        <f t="shared" si="2"/>
        <v>19.50375</v>
      </c>
      <c r="E36" s="28">
        <f t="shared" si="2"/>
        <v>5.6837500000000007</v>
      </c>
      <c r="F36" s="28">
        <f t="shared" si="2"/>
        <v>6.239583333333333</v>
      </c>
      <c r="G36" s="28">
        <f t="shared" si="2"/>
        <v>73.348333333333343</v>
      </c>
      <c r="H36" s="28">
        <f t="shared" si="2"/>
        <v>27.719166666666656</v>
      </c>
      <c r="I36" s="28">
        <f t="shared" si="2"/>
        <v>4.4716666666666658</v>
      </c>
      <c r="J36" s="28">
        <f t="shared" si="2"/>
        <v>1.0362499999999997</v>
      </c>
      <c r="K36" s="28">
        <f t="shared" si="2"/>
        <v>295.00875000000002</v>
      </c>
      <c r="L36" s="28">
        <f t="shared" si="2"/>
        <v>27.772499999999997</v>
      </c>
      <c r="M36" s="28">
        <f t="shared" si="2"/>
        <v>84.322916666666671</v>
      </c>
      <c r="N36" s="28">
        <f t="shared" si="2"/>
        <v>192.04166666666663</v>
      </c>
      <c r="O36" s="28">
        <f t="shared" si="2"/>
        <v>0</v>
      </c>
      <c r="P36" s="28">
        <f t="shared" si="2"/>
        <v>0.74333333333333329</v>
      </c>
      <c r="Q36" s="28">
        <f t="shared" si="2"/>
        <v>9.6212500000000034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17.540970379309865</v>
      </c>
      <c r="C37" s="28">
        <f t="shared" ref="C37:Q37" si="3">STDEV(C9:C32)</f>
        <v>5.3419438023023575</v>
      </c>
      <c r="D37" s="28">
        <f t="shared" si="3"/>
        <v>13.514880305571081</v>
      </c>
      <c r="E37" s="28">
        <f t="shared" si="3"/>
        <v>0.7405862102298375</v>
      </c>
      <c r="F37" s="28">
        <f t="shared" si="3"/>
        <v>2.723472015431879</v>
      </c>
      <c r="G37" s="28">
        <f t="shared" si="3"/>
        <v>16.951833469303924</v>
      </c>
      <c r="H37" s="28">
        <f t="shared" si="3"/>
        <v>6.1091370746695546</v>
      </c>
      <c r="I37" s="28">
        <f t="shared" si="3"/>
        <v>1.3119705281242684</v>
      </c>
      <c r="J37" s="28">
        <f t="shared" si="3"/>
        <v>0.43791812317908907</v>
      </c>
      <c r="K37" s="28">
        <f t="shared" si="3"/>
        <v>76.164543805842854</v>
      </c>
      <c r="L37" s="28">
        <f t="shared" si="3"/>
        <v>3.4655889141297642</v>
      </c>
      <c r="M37" s="28">
        <f t="shared" si="3"/>
        <v>14.833775056523292</v>
      </c>
      <c r="N37" s="28">
        <f t="shared" si="3"/>
        <v>235.92938869347196</v>
      </c>
      <c r="O37" s="28">
        <f t="shared" si="3"/>
        <v>0</v>
      </c>
      <c r="P37" s="28">
        <f t="shared" si="3"/>
        <v>0.2325224003546042</v>
      </c>
      <c r="Q37" s="28">
        <f t="shared" si="3"/>
        <v>1.0759222535352024E-2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5" sqref="G55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08/10/2024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228</v>
      </c>
      <c r="B9" s="53">
        <v>3.65</v>
      </c>
      <c r="C9" s="53">
        <v>9.66</v>
      </c>
      <c r="D9" s="53">
        <v>7.98</v>
      </c>
      <c r="E9" s="53">
        <v>5.19</v>
      </c>
      <c r="F9" s="53">
        <v>4.76</v>
      </c>
      <c r="G9" s="53">
        <v>50.33</v>
      </c>
      <c r="H9" s="53">
        <v>25.32</v>
      </c>
      <c r="I9" s="53">
        <v>3.4</v>
      </c>
      <c r="J9" s="53">
        <v>0.72</v>
      </c>
      <c r="K9" s="53">
        <v>165.69</v>
      </c>
      <c r="L9" s="53">
        <v>24.25</v>
      </c>
      <c r="M9" s="53">
        <v>101.46</v>
      </c>
      <c r="N9" s="53">
        <v>26.1</v>
      </c>
      <c r="O9" s="53">
        <v>0</v>
      </c>
      <c r="P9" s="53">
        <v>0.47</v>
      </c>
      <c r="Q9" s="53">
        <v>9.61</v>
      </c>
      <c r="R9" s="43"/>
      <c r="S9" s="43"/>
      <c r="T9" s="43"/>
      <c r="U9" s="43"/>
    </row>
    <row r="10" spans="1:21" s="11" customFormat="1" x14ac:dyDescent="0.25">
      <c r="A10" s="52" t="s">
        <v>229</v>
      </c>
      <c r="B10" s="53">
        <v>3.15</v>
      </c>
      <c r="C10" s="53">
        <v>9.1199999999999992</v>
      </c>
      <c r="D10" s="53">
        <v>7.29</v>
      </c>
      <c r="E10" s="53">
        <v>5.08</v>
      </c>
      <c r="F10" s="53">
        <v>4.21</v>
      </c>
      <c r="G10" s="53">
        <v>52.52</v>
      </c>
      <c r="H10" s="53">
        <v>21.58</v>
      </c>
      <c r="I10" s="53">
        <v>2.69</v>
      </c>
      <c r="J10" s="53">
        <v>0.48</v>
      </c>
      <c r="K10" s="53">
        <v>355.81</v>
      </c>
      <c r="L10" s="53">
        <v>23.77</v>
      </c>
      <c r="M10" s="53">
        <v>102.67</v>
      </c>
      <c r="N10" s="53">
        <v>26.1</v>
      </c>
      <c r="O10" s="53">
        <v>0</v>
      </c>
      <c r="P10" s="53">
        <v>0.45</v>
      </c>
      <c r="Q10" s="53">
        <v>9.6300000000000008</v>
      </c>
      <c r="R10" s="43"/>
      <c r="S10" s="43"/>
      <c r="T10" s="43"/>
      <c r="U10" s="43"/>
    </row>
    <row r="11" spans="1:21" s="11" customFormat="1" x14ac:dyDescent="0.25">
      <c r="A11" s="52" t="s">
        <v>230</v>
      </c>
      <c r="B11" s="53">
        <v>3.37</v>
      </c>
      <c r="C11" s="53">
        <v>8.26</v>
      </c>
      <c r="D11" s="53">
        <v>6.75</v>
      </c>
      <c r="E11" s="53">
        <v>4.87</v>
      </c>
      <c r="F11" s="53">
        <v>4.6399999999999997</v>
      </c>
      <c r="G11" s="53">
        <v>46.99</v>
      </c>
      <c r="H11" s="53">
        <v>23.08</v>
      </c>
      <c r="I11" s="53">
        <v>2.7</v>
      </c>
      <c r="J11" s="53">
        <v>0.48</v>
      </c>
      <c r="K11" s="53">
        <v>339.44</v>
      </c>
      <c r="L11" s="53">
        <v>23.62</v>
      </c>
      <c r="M11" s="53">
        <v>102.68</v>
      </c>
      <c r="N11" s="53">
        <v>26.1</v>
      </c>
      <c r="O11" s="53">
        <v>0</v>
      </c>
      <c r="P11" s="53">
        <v>0.5</v>
      </c>
      <c r="Q11" s="53">
        <v>9.6199999999999992</v>
      </c>
      <c r="R11" s="43"/>
      <c r="S11" s="43"/>
      <c r="T11" s="43"/>
      <c r="U11" s="43"/>
    </row>
    <row r="12" spans="1:21" s="11" customFormat="1" x14ac:dyDescent="0.25">
      <c r="A12" s="52" t="s">
        <v>231</v>
      </c>
      <c r="B12" s="53">
        <v>3.39</v>
      </c>
      <c r="C12" s="53">
        <v>6.73</v>
      </c>
      <c r="D12" s="53">
        <v>6.23</v>
      </c>
      <c r="E12" s="53">
        <v>4.74</v>
      </c>
      <c r="F12" s="53">
        <v>4.67</v>
      </c>
      <c r="G12" s="53">
        <v>45.18</v>
      </c>
      <c r="H12" s="53">
        <v>23.3</v>
      </c>
      <c r="I12" s="53">
        <v>1.2</v>
      </c>
      <c r="J12" s="53">
        <v>0.47</v>
      </c>
      <c r="K12" s="53">
        <v>336.35</v>
      </c>
      <c r="L12" s="53">
        <v>23.52</v>
      </c>
      <c r="M12" s="53">
        <v>102.68</v>
      </c>
      <c r="N12" s="53">
        <v>26.1</v>
      </c>
      <c r="O12" s="53">
        <v>0</v>
      </c>
      <c r="P12" s="53">
        <v>0.37</v>
      </c>
      <c r="Q12" s="53">
        <v>9.61</v>
      </c>
      <c r="R12" s="43"/>
      <c r="S12" s="43"/>
      <c r="T12" s="43"/>
      <c r="U12" s="43"/>
    </row>
    <row r="13" spans="1:21" s="11" customFormat="1" x14ac:dyDescent="0.25">
      <c r="A13" s="52" t="s">
        <v>232</v>
      </c>
      <c r="B13" s="53">
        <v>5.19</v>
      </c>
      <c r="C13" s="53">
        <v>7.2</v>
      </c>
      <c r="D13" s="53">
        <v>7.88</v>
      </c>
      <c r="E13" s="53">
        <v>5.35</v>
      </c>
      <c r="F13" s="53">
        <v>4.59</v>
      </c>
      <c r="G13" s="53">
        <v>43.96</v>
      </c>
      <c r="H13" s="53">
        <v>22.42</v>
      </c>
      <c r="I13" s="53">
        <v>3.2</v>
      </c>
      <c r="J13" s="53">
        <v>0.44</v>
      </c>
      <c r="K13" s="53">
        <v>329.52</v>
      </c>
      <c r="L13" s="53">
        <v>23.17</v>
      </c>
      <c r="M13" s="53">
        <v>102.69</v>
      </c>
      <c r="N13" s="53">
        <v>26.1</v>
      </c>
      <c r="O13" s="53">
        <v>0</v>
      </c>
      <c r="P13" s="53">
        <v>0.46</v>
      </c>
      <c r="Q13" s="53">
        <v>9.61</v>
      </c>
      <c r="R13" s="43"/>
      <c r="S13" s="43"/>
      <c r="T13" s="43"/>
      <c r="U13" s="43"/>
    </row>
    <row r="14" spans="1:21" s="11" customFormat="1" x14ac:dyDescent="0.25">
      <c r="A14" s="52" t="s">
        <v>233</v>
      </c>
      <c r="B14" s="53">
        <v>6.14</v>
      </c>
      <c r="C14" s="53">
        <v>7.49</v>
      </c>
      <c r="D14" s="53">
        <v>8.83</v>
      </c>
      <c r="E14" s="53">
        <v>5.58</v>
      </c>
      <c r="F14" s="53">
        <v>4.0199999999999996</v>
      </c>
      <c r="G14" s="53">
        <v>50.08</v>
      </c>
      <c r="H14" s="53">
        <v>20.91</v>
      </c>
      <c r="I14" s="53">
        <v>3.16</v>
      </c>
      <c r="J14" s="53">
        <v>0.52</v>
      </c>
      <c r="K14" s="53">
        <v>356.39</v>
      </c>
      <c r="L14" s="53">
        <v>23.13</v>
      </c>
      <c r="M14" s="53">
        <v>102.69</v>
      </c>
      <c r="N14" s="53">
        <v>27.3</v>
      </c>
      <c r="O14" s="53">
        <v>0</v>
      </c>
      <c r="P14" s="53">
        <v>0.52</v>
      </c>
      <c r="Q14" s="53">
        <v>9.61</v>
      </c>
      <c r="R14" s="43"/>
      <c r="S14" s="43"/>
      <c r="T14" s="43"/>
      <c r="U14" s="43"/>
    </row>
    <row r="15" spans="1:21" s="11" customFormat="1" x14ac:dyDescent="0.25">
      <c r="A15" s="52" t="s">
        <v>234</v>
      </c>
      <c r="B15" s="53">
        <v>10.82</v>
      </c>
      <c r="C15" s="53">
        <v>7.26</v>
      </c>
      <c r="D15" s="53">
        <v>12.24</v>
      </c>
      <c r="E15" s="53">
        <v>5.65</v>
      </c>
      <c r="F15" s="53">
        <v>4.0199999999999996</v>
      </c>
      <c r="G15" s="53">
        <v>55.99</v>
      </c>
      <c r="H15" s="53">
        <v>25.49</v>
      </c>
      <c r="I15" s="53">
        <v>3.24</v>
      </c>
      <c r="J15" s="53">
        <v>0.59</v>
      </c>
      <c r="K15" s="53">
        <v>296.44</v>
      </c>
      <c r="L15" s="53">
        <v>24.75</v>
      </c>
      <c r="M15" s="53">
        <v>102.7</v>
      </c>
      <c r="N15" s="53">
        <v>113.4</v>
      </c>
      <c r="O15" s="53">
        <v>0</v>
      </c>
      <c r="P15" s="53">
        <v>0.64</v>
      </c>
      <c r="Q15" s="53">
        <v>9.6300000000000008</v>
      </c>
      <c r="R15" s="43"/>
      <c r="S15" s="43"/>
      <c r="T15" s="43"/>
      <c r="U15" s="43"/>
    </row>
    <row r="16" spans="1:21" s="11" customFormat="1" x14ac:dyDescent="0.25">
      <c r="A16" s="52" t="s">
        <v>235</v>
      </c>
      <c r="B16" s="53">
        <v>11.04</v>
      </c>
      <c r="C16" s="53">
        <v>7.41</v>
      </c>
      <c r="D16" s="53">
        <v>12.47</v>
      </c>
      <c r="E16" s="53">
        <v>5.58</v>
      </c>
      <c r="F16" s="53">
        <v>4.6399999999999997</v>
      </c>
      <c r="G16" s="53">
        <v>55.5</v>
      </c>
      <c r="H16" s="53">
        <v>27.37</v>
      </c>
      <c r="I16" s="53">
        <v>3.63</v>
      </c>
      <c r="J16" s="53">
        <v>1.32</v>
      </c>
      <c r="K16" s="53">
        <v>120.9</v>
      </c>
      <c r="L16" s="53">
        <v>26.3</v>
      </c>
      <c r="M16" s="53">
        <v>94.28</v>
      </c>
      <c r="N16" s="53">
        <v>298.89999999999998</v>
      </c>
      <c r="O16" s="53">
        <v>0</v>
      </c>
      <c r="P16" s="53">
        <v>0.42</v>
      </c>
      <c r="Q16" s="53">
        <v>9.6199999999999992</v>
      </c>
      <c r="R16" s="43"/>
      <c r="S16" s="43"/>
      <c r="T16" s="43"/>
      <c r="U16" s="43"/>
    </row>
    <row r="17" spans="1:21" s="11" customFormat="1" x14ac:dyDescent="0.25">
      <c r="A17" s="52" t="s">
        <v>236</v>
      </c>
      <c r="B17" s="53">
        <v>8.9499999999999993</v>
      </c>
      <c r="C17" s="53">
        <v>8.52</v>
      </c>
      <c r="D17" s="53">
        <v>11.22</v>
      </c>
      <c r="E17" s="53">
        <v>6.21</v>
      </c>
      <c r="F17" s="53">
        <v>4.53</v>
      </c>
      <c r="G17" s="53">
        <v>56.35</v>
      </c>
      <c r="H17" s="53">
        <v>29.04</v>
      </c>
      <c r="I17" s="53">
        <v>5.7</v>
      </c>
      <c r="J17" s="53">
        <v>0.97</v>
      </c>
      <c r="K17" s="53">
        <v>118.51</v>
      </c>
      <c r="L17" s="53">
        <v>29.68</v>
      </c>
      <c r="M17" s="53">
        <v>87.59</v>
      </c>
      <c r="N17" s="53">
        <v>479.7</v>
      </c>
      <c r="O17" s="53">
        <v>0</v>
      </c>
      <c r="P17" s="53">
        <v>0.45</v>
      </c>
      <c r="Q17" s="53">
        <v>9.6</v>
      </c>
      <c r="R17" s="43"/>
      <c r="S17" s="43"/>
      <c r="T17" s="43"/>
      <c r="U17" s="43"/>
    </row>
    <row r="18" spans="1:21" s="11" customFormat="1" x14ac:dyDescent="0.25">
      <c r="A18" s="52" t="s">
        <v>237</v>
      </c>
      <c r="B18" s="53">
        <v>5.91</v>
      </c>
      <c r="C18" s="53">
        <v>9.3000000000000007</v>
      </c>
      <c r="D18" s="53">
        <v>9.52</v>
      </c>
      <c r="E18" s="53">
        <v>5.99</v>
      </c>
      <c r="F18" s="53">
        <v>4.28</v>
      </c>
      <c r="G18" s="53">
        <v>61.46</v>
      </c>
      <c r="H18" s="53">
        <v>25.48</v>
      </c>
      <c r="I18" s="53">
        <v>5.42</v>
      </c>
      <c r="J18" s="53">
        <v>0.86</v>
      </c>
      <c r="K18" s="53">
        <v>154.59</v>
      </c>
      <c r="L18" s="53">
        <v>30.28</v>
      </c>
      <c r="M18" s="53">
        <v>77.349999999999994</v>
      </c>
      <c r="N18" s="53">
        <v>602.29999999999995</v>
      </c>
      <c r="O18" s="53">
        <v>0</v>
      </c>
      <c r="P18" s="53">
        <v>0.43</v>
      </c>
      <c r="Q18" s="53">
        <v>9.6199999999999992</v>
      </c>
      <c r="R18" s="43"/>
      <c r="S18" s="43"/>
      <c r="T18" s="43"/>
      <c r="U18" s="43"/>
    </row>
    <row r="19" spans="1:21" s="11" customFormat="1" x14ac:dyDescent="0.25">
      <c r="A19" s="52" t="s">
        <v>238</v>
      </c>
      <c r="B19" s="53">
        <v>3.58</v>
      </c>
      <c r="C19" s="53">
        <v>9.83</v>
      </c>
      <c r="D19" s="53">
        <v>8.01</v>
      </c>
      <c r="E19" s="53">
        <v>6.04</v>
      </c>
      <c r="F19" s="53">
        <v>4.6399999999999997</v>
      </c>
      <c r="G19" s="53">
        <v>50.1</v>
      </c>
      <c r="H19" s="53">
        <v>20.52</v>
      </c>
      <c r="I19" s="53">
        <v>5.5</v>
      </c>
      <c r="J19" s="53">
        <v>1.04</v>
      </c>
      <c r="K19" s="53">
        <v>347.58</v>
      </c>
      <c r="L19" s="53">
        <v>32.75</v>
      </c>
      <c r="M19" s="53">
        <v>70.03</v>
      </c>
      <c r="N19" s="53">
        <v>719.8</v>
      </c>
      <c r="O19" s="53">
        <v>0</v>
      </c>
      <c r="P19" s="53">
        <v>0.59</v>
      </c>
      <c r="Q19" s="53">
        <v>9.6300000000000008</v>
      </c>
      <c r="R19" s="43"/>
      <c r="S19" s="43"/>
      <c r="T19" s="43"/>
      <c r="U19" s="43"/>
    </row>
    <row r="20" spans="1:21" s="11" customFormat="1" x14ac:dyDescent="0.25">
      <c r="A20" s="52" t="s">
        <v>239</v>
      </c>
      <c r="B20" s="53">
        <v>3.23</v>
      </c>
      <c r="C20" s="53">
        <v>9.33</v>
      </c>
      <c r="D20" s="53">
        <v>7.47</v>
      </c>
      <c r="E20" s="53">
        <v>5.98</v>
      </c>
      <c r="F20" s="53">
        <v>5.07</v>
      </c>
      <c r="G20" s="53">
        <v>51.19</v>
      </c>
      <c r="H20" s="53">
        <v>27.78</v>
      </c>
      <c r="I20" s="53">
        <v>3.86</v>
      </c>
      <c r="J20" s="53">
        <v>0.8</v>
      </c>
      <c r="K20" s="53">
        <v>130.86000000000001</v>
      </c>
      <c r="L20" s="53">
        <v>31.22</v>
      </c>
      <c r="M20" s="53">
        <v>71.319999999999993</v>
      </c>
      <c r="N20" s="53">
        <v>564.9</v>
      </c>
      <c r="O20" s="53">
        <v>0</v>
      </c>
      <c r="P20" s="53">
        <v>0.5</v>
      </c>
      <c r="Q20" s="53">
        <v>9.6300000000000008</v>
      </c>
      <c r="R20" s="43"/>
      <c r="S20" s="43"/>
      <c r="T20" s="43"/>
      <c r="U20" s="43"/>
    </row>
    <row r="21" spans="1:21" s="11" customFormat="1" x14ac:dyDescent="0.25">
      <c r="A21" s="52" t="s">
        <v>240</v>
      </c>
      <c r="B21" s="53">
        <v>3.03</v>
      </c>
      <c r="C21" s="53">
        <v>12.79</v>
      </c>
      <c r="D21" s="53">
        <v>9.11</v>
      </c>
      <c r="E21" s="53">
        <v>4.8099999999999996</v>
      </c>
      <c r="F21" s="53">
        <v>5.05</v>
      </c>
      <c r="G21" s="53">
        <v>54.97</v>
      </c>
      <c r="H21" s="53">
        <v>25.93</v>
      </c>
      <c r="I21" s="53">
        <v>4.82</v>
      </c>
      <c r="J21" s="53">
        <v>2.58</v>
      </c>
      <c r="K21" s="53">
        <v>339.86</v>
      </c>
      <c r="L21" s="53">
        <v>31.04</v>
      </c>
      <c r="M21" s="53">
        <v>79.64</v>
      </c>
      <c r="N21" s="53">
        <v>249.2</v>
      </c>
      <c r="O21" s="53">
        <v>0</v>
      </c>
      <c r="P21" s="53">
        <v>0.51</v>
      </c>
      <c r="Q21" s="53">
        <v>9.6199999999999992</v>
      </c>
      <c r="R21" s="43"/>
      <c r="S21" s="43"/>
      <c r="T21" s="43"/>
      <c r="U21" s="43"/>
    </row>
    <row r="22" spans="1:21" s="11" customFormat="1" x14ac:dyDescent="0.25">
      <c r="A22" s="52" t="s">
        <v>241</v>
      </c>
      <c r="B22" s="53">
        <v>3.83</v>
      </c>
      <c r="C22" s="53">
        <v>13.26</v>
      </c>
      <c r="D22" s="53">
        <v>9.52</v>
      </c>
      <c r="E22" s="53">
        <v>5.05</v>
      </c>
      <c r="F22" s="53">
        <v>4.5999999999999996</v>
      </c>
      <c r="G22" s="53">
        <v>60.17</v>
      </c>
      <c r="H22" s="53">
        <v>21.11</v>
      </c>
      <c r="I22" s="53">
        <v>5.05</v>
      </c>
      <c r="J22" s="53">
        <v>1.88</v>
      </c>
      <c r="K22" s="53">
        <v>344.79</v>
      </c>
      <c r="L22" s="53">
        <v>26.06</v>
      </c>
      <c r="M22" s="53">
        <v>92.57</v>
      </c>
      <c r="N22" s="53">
        <v>166.8</v>
      </c>
      <c r="O22" s="53">
        <v>0</v>
      </c>
      <c r="P22" s="53">
        <v>0.54</v>
      </c>
      <c r="Q22" s="53">
        <v>9.61</v>
      </c>
      <c r="R22" s="43"/>
      <c r="S22" s="43"/>
      <c r="T22" s="43"/>
      <c r="U22" s="43"/>
    </row>
    <row r="23" spans="1:21" s="11" customFormat="1" x14ac:dyDescent="0.25">
      <c r="A23" s="52" t="s">
        <v>242</v>
      </c>
      <c r="B23" s="53">
        <v>5.17</v>
      </c>
      <c r="C23" s="53">
        <v>12.02</v>
      </c>
      <c r="D23" s="53">
        <v>10.06</v>
      </c>
      <c r="E23" s="53">
        <v>4.62</v>
      </c>
      <c r="F23" s="53">
        <v>4.58</v>
      </c>
      <c r="G23" s="53">
        <v>54.95</v>
      </c>
      <c r="H23" s="53">
        <v>18.72</v>
      </c>
      <c r="I23" s="53">
        <v>3.53</v>
      </c>
      <c r="J23" s="53">
        <v>0.99</v>
      </c>
      <c r="K23" s="53">
        <v>343.45</v>
      </c>
      <c r="L23" s="53">
        <v>28.24</v>
      </c>
      <c r="M23" s="53">
        <v>91.48</v>
      </c>
      <c r="N23" s="53">
        <v>186.8</v>
      </c>
      <c r="O23" s="53">
        <v>0</v>
      </c>
      <c r="P23" s="53">
        <v>0.82</v>
      </c>
      <c r="Q23" s="53">
        <v>9.6199999999999992</v>
      </c>
      <c r="R23" s="43"/>
      <c r="S23" s="43"/>
      <c r="T23" s="43"/>
      <c r="U23" s="43"/>
    </row>
    <row r="24" spans="1:21" s="11" customFormat="1" x14ac:dyDescent="0.25">
      <c r="A24" s="52" t="s">
        <v>243</v>
      </c>
      <c r="B24" s="53">
        <v>7.98</v>
      </c>
      <c r="C24" s="53">
        <v>12.16</v>
      </c>
      <c r="D24" s="53">
        <v>12.76</v>
      </c>
      <c r="E24" s="53">
        <v>5.64</v>
      </c>
      <c r="F24" s="53">
        <v>4.87</v>
      </c>
      <c r="G24" s="53">
        <v>48.88</v>
      </c>
      <c r="H24" s="53">
        <v>21.65</v>
      </c>
      <c r="I24" s="53">
        <v>3.26</v>
      </c>
      <c r="J24" s="53">
        <v>1.07</v>
      </c>
      <c r="K24" s="53">
        <v>350.56</v>
      </c>
      <c r="L24" s="53">
        <v>28.17</v>
      </c>
      <c r="M24" s="53">
        <v>80.16</v>
      </c>
      <c r="N24" s="53">
        <v>119.6</v>
      </c>
      <c r="O24" s="53">
        <v>0</v>
      </c>
      <c r="P24" s="53">
        <v>0.79</v>
      </c>
      <c r="Q24" s="53">
        <v>9.6199999999999992</v>
      </c>
      <c r="R24" s="43"/>
      <c r="S24" s="43"/>
      <c r="T24" s="43"/>
      <c r="U24" s="43"/>
    </row>
    <row r="25" spans="1:21" s="11" customFormat="1" x14ac:dyDescent="0.25">
      <c r="A25" s="52" t="s">
        <v>244</v>
      </c>
      <c r="B25" s="53">
        <v>7.97</v>
      </c>
      <c r="C25" s="53">
        <v>12.94</v>
      </c>
      <c r="D25" s="53">
        <v>12.72</v>
      </c>
      <c r="E25" s="53">
        <v>5.61</v>
      </c>
      <c r="F25" s="53">
        <v>5.33</v>
      </c>
      <c r="G25" s="53">
        <v>55.16</v>
      </c>
      <c r="H25" s="53">
        <v>22.14</v>
      </c>
      <c r="I25" s="53">
        <v>2.69</v>
      </c>
      <c r="J25" s="53">
        <v>1.06</v>
      </c>
      <c r="K25" s="53">
        <v>337.96</v>
      </c>
      <c r="L25" s="53">
        <v>28.2</v>
      </c>
      <c r="M25" s="53">
        <v>80.92</v>
      </c>
      <c r="N25" s="53">
        <v>85.5</v>
      </c>
      <c r="O25" s="53">
        <v>0</v>
      </c>
      <c r="P25" s="53">
        <v>1.01</v>
      </c>
      <c r="Q25" s="53">
        <v>9.6199999999999992</v>
      </c>
      <c r="R25" s="43"/>
      <c r="S25" s="43"/>
      <c r="T25" s="43"/>
      <c r="U25" s="43"/>
    </row>
    <row r="26" spans="1:21" s="11" customFormat="1" x14ac:dyDescent="0.25">
      <c r="A26" s="52" t="s">
        <v>245</v>
      </c>
      <c r="B26" s="53">
        <v>11.82</v>
      </c>
      <c r="C26" s="53">
        <v>15.65</v>
      </c>
      <c r="D26" s="53">
        <v>17.66</v>
      </c>
      <c r="E26" s="53">
        <v>5.93</v>
      </c>
      <c r="F26" s="53">
        <v>4.4400000000000004</v>
      </c>
      <c r="G26" s="53">
        <v>58.28</v>
      </c>
      <c r="H26" s="53">
        <v>14.39</v>
      </c>
      <c r="I26" s="53">
        <v>4.84</v>
      </c>
      <c r="J26" s="53">
        <v>0.97</v>
      </c>
      <c r="K26" s="53">
        <v>344.11</v>
      </c>
      <c r="L26" s="53">
        <v>28.15</v>
      </c>
      <c r="M26" s="53">
        <v>92.35</v>
      </c>
      <c r="N26" s="53">
        <v>52.7</v>
      </c>
      <c r="O26" s="53">
        <v>0</v>
      </c>
      <c r="P26" s="53">
        <v>0.99</v>
      </c>
      <c r="Q26" s="53">
        <v>9.6199999999999992</v>
      </c>
      <c r="R26" s="43"/>
      <c r="S26" s="43"/>
      <c r="T26" s="43"/>
      <c r="U26" s="43"/>
    </row>
    <row r="27" spans="1:21" s="11" customFormat="1" x14ac:dyDescent="0.25">
      <c r="A27" s="52" t="s">
        <v>246</v>
      </c>
      <c r="B27" s="53">
        <v>21.04</v>
      </c>
      <c r="C27" s="53">
        <v>15.74</v>
      </c>
      <c r="D27" s="53">
        <v>24.64</v>
      </c>
      <c r="E27" s="53">
        <v>6.72</v>
      </c>
      <c r="F27" s="53">
        <v>4.4800000000000004</v>
      </c>
      <c r="G27" s="53">
        <v>62.15</v>
      </c>
      <c r="H27" s="53">
        <v>9.64</v>
      </c>
      <c r="I27" s="53">
        <v>5.95</v>
      </c>
      <c r="J27" s="53">
        <v>1.31</v>
      </c>
      <c r="K27" s="53">
        <v>345.06</v>
      </c>
      <c r="L27" s="53">
        <v>25.99</v>
      </c>
      <c r="M27" s="53">
        <v>96.22</v>
      </c>
      <c r="N27" s="53">
        <v>26.5</v>
      </c>
      <c r="O27" s="53">
        <v>0</v>
      </c>
      <c r="P27" s="53">
        <v>1.55</v>
      </c>
      <c r="Q27" s="53">
        <v>9.6199999999999992</v>
      </c>
      <c r="R27" s="43"/>
      <c r="S27" s="43"/>
      <c r="T27" s="43"/>
      <c r="U27" s="43"/>
    </row>
    <row r="28" spans="1:21" s="11" customFormat="1" x14ac:dyDescent="0.25">
      <c r="A28" s="52" t="s">
        <v>247</v>
      </c>
      <c r="B28" s="53">
        <v>22.85</v>
      </c>
      <c r="C28" s="53">
        <v>14.04</v>
      </c>
      <c r="D28" s="53">
        <v>25.43</v>
      </c>
      <c r="E28" s="53">
        <v>6.69</v>
      </c>
      <c r="F28" s="53">
        <v>4.55</v>
      </c>
      <c r="G28" s="53">
        <v>69.88</v>
      </c>
      <c r="H28" s="53">
        <v>6.65</v>
      </c>
      <c r="I28" s="53">
        <v>5.64</v>
      </c>
      <c r="J28" s="53">
        <v>1.47</v>
      </c>
      <c r="K28" s="53">
        <v>350.54</v>
      </c>
      <c r="L28" s="53">
        <v>26.02</v>
      </c>
      <c r="M28" s="53">
        <v>96.72</v>
      </c>
      <c r="N28" s="53">
        <v>26.3</v>
      </c>
      <c r="O28" s="53">
        <v>0</v>
      </c>
      <c r="P28" s="53">
        <v>1.18</v>
      </c>
      <c r="Q28" s="53">
        <v>9.6199999999999992</v>
      </c>
      <c r="R28" s="43"/>
      <c r="S28" s="43"/>
      <c r="T28" s="43"/>
      <c r="U28" s="43"/>
    </row>
    <row r="29" spans="1:21" s="11" customFormat="1" x14ac:dyDescent="0.25">
      <c r="A29" s="52" t="s">
        <v>248</v>
      </c>
      <c r="B29" s="53">
        <v>23.55</v>
      </c>
      <c r="C29" s="53">
        <v>13.05</v>
      </c>
      <c r="D29" s="53">
        <v>25.7</v>
      </c>
      <c r="E29" s="53">
        <v>6.24</v>
      </c>
      <c r="F29" s="53">
        <v>4.38</v>
      </c>
      <c r="G29" s="53">
        <v>71.95</v>
      </c>
      <c r="H29" s="53">
        <v>4.66</v>
      </c>
      <c r="I29" s="53">
        <v>5.21</v>
      </c>
      <c r="J29" s="53">
        <v>1.07</v>
      </c>
      <c r="K29" s="53">
        <v>345.04</v>
      </c>
      <c r="L29" s="53">
        <v>25.71</v>
      </c>
      <c r="M29" s="53">
        <v>102.59</v>
      </c>
      <c r="N29" s="53">
        <v>26.2</v>
      </c>
      <c r="O29" s="53">
        <v>0</v>
      </c>
      <c r="P29" s="53">
        <v>1.34</v>
      </c>
      <c r="Q29" s="53">
        <v>9.61</v>
      </c>
      <c r="R29" s="43"/>
      <c r="S29" s="43"/>
      <c r="T29" s="43"/>
      <c r="U29" s="43"/>
    </row>
    <row r="30" spans="1:21" s="11" customFormat="1" x14ac:dyDescent="0.25">
      <c r="A30" s="52" t="s">
        <v>249</v>
      </c>
      <c r="B30" s="53">
        <v>27.87</v>
      </c>
      <c r="C30" s="53">
        <v>12.93</v>
      </c>
      <c r="D30" s="53">
        <v>29.05</v>
      </c>
      <c r="E30" s="53">
        <v>6.71</v>
      </c>
      <c r="F30" s="53">
        <v>4.41</v>
      </c>
      <c r="G30" s="53">
        <v>76.930000000000007</v>
      </c>
      <c r="H30" s="53">
        <v>3.33</v>
      </c>
      <c r="I30" s="53">
        <v>5.99</v>
      </c>
      <c r="J30" s="53">
        <v>0.59</v>
      </c>
      <c r="K30" s="53">
        <v>347.52</v>
      </c>
      <c r="L30" s="53">
        <v>25.1</v>
      </c>
      <c r="M30" s="53">
        <v>102.67</v>
      </c>
      <c r="N30" s="53">
        <v>26.1</v>
      </c>
      <c r="O30" s="53">
        <v>0</v>
      </c>
      <c r="P30" s="53">
        <v>1.71</v>
      </c>
      <c r="Q30" s="53">
        <v>9.6199999999999992</v>
      </c>
      <c r="R30" s="43"/>
      <c r="S30" s="43"/>
      <c r="T30" s="43"/>
      <c r="U30" s="43"/>
    </row>
    <row r="31" spans="1:21" s="11" customFormat="1" x14ac:dyDescent="0.25">
      <c r="A31" s="52" t="s">
        <v>250</v>
      </c>
      <c r="B31" s="53">
        <v>29.75</v>
      </c>
      <c r="C31" s="53">
        <v>12.17</v>
      </c>
      <c r="D31" s="53">
        <v>30.22</v>
      </c>
      <c r="E31" s="53">
        <v>6.74</v>
      </c>
      <c r="F31" s="53">
        <v>4.68</v>
      </c>
      <c r="G31" s="53">
        <v>85.25</v>
      </c>
      <c r="H31" s="53">
        <v>3.22</v>
      </c>
      <c r="I31" s="53">
        <v>6.26</v>
      </c>
      <c r="J31" s="53">
        <v>0.5</v>
      </c>
      <c r="K31" s="53">
        <v>157.59</v>
      </c>
      <c r="L31" s="53">
        <v>24.93</v>
      </c>
      <c r="M31" s="53">
        <v>102.65</v>
      </c>
      <c r="N31" s="53">
        <v>26.2</v>
      </c>
      <c r="O31" s="53">
        <v>0</v>
      </c>
      <c r="P31" s="53">
        <v>1.3</v>
      </c>
      <c r="Q31" s="53">
        <v>9.6199999999999992</v>
      </c>
      <c r="R31" s="43"/>
      <c r="S31" s="43"/>
      <c r="T31" s="43"/>
      <c r="U31" s="43"/>
    </row>
    <row r="32" spans="1:21" s="11" customFormat="1" x14ac:dyDescent="0.25">
      <c r="A32" s="52" t="s">
        <v>251</v>
      </c>
      <c r="B32" s="53">
        <v>25.48</v>
      </c>
      <c r="C32" s="53">
        <v>8.92</v>
      </c>
      <c r="D32" s="53">
        <v>25.09</v>
      </c>
      <c r="E32" s="53">
        <v>5.53</v>
      </c>
      <c r="F32" s="53">
        <v>4.12</v>
      </c>
      <c r="G32" s="53">
        <v>77.2</v>
      </c>
      <c r="H32" s="53">
        <v>2.25</v>
      </c>
      <c r="I32" s="53">
        <v>3.51</v>
      </c>
      <c r="J32" s="53">
        <v>0.52</v>
      </c>
      <c r="K32" s="53">
        <v>263.39999999999998</v>
      </c>
      <c r="L32" s="53">
        <v>24.55</v>
      </c>
      <c r="M32" s="53">
        <v>102.5</v>
      </c>
      <c r="N32" s="53">
        <v>26.2</v>
      </c>
      <c r="O32" s="53">
        <v>0</v>
      </c>
      <c r="P32" s="53">
        <v>0.63</v>
      </c>
      <c r="Q32" s="53">
        <v>9.6300000000000008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3.03</v>
      </c>
      <c r="C34" s="28">
        <f t="shared" si="0"/>
        <v>6.73</v>
      </c>
      <c r="D34" s="28">
        <f t="shared" si="0"/>
        <v>6.23</v>
      </c>
      <c r="E34" s="28">
        <f t="shared" si="0"/>
        <v>4.62</v>
      </c>
      <c r="F34" s="28">
        <f t="shared" si="0"/>
        <v>4.0199999999999996</v>
      </c>
      <c r="G34" s="28">
        <f t="shared" si="0"/>
        <v>43.96</v>
      </c>
      <c r="H34" s="28">
        <f t="shared" si="0"/>
        <v>2.25</v>
      </c>
      <c r="I34" s="28">
        <f t="shared" si="0"/>
        <v>1.2</v>
      </c>
      <c r="J34" s="28">
        <f t="shared" si="0"/>
        <v>0.44</v>
      </c>
      <c r="K34" s="28">
        <f t="shared" si="0"/>
        <v>118.51</v>
      </c>
      <c r="L34" s="28">
        <f t="shared" si="0"/>
        <v>23.13</v>
      </c>
      <c r="M34" s="28">
        <f t="shared" si="0"/>
        <v>70.03</v>
      </c>
      <c r="N34" s="28">
        <f t="shared" si="0"/>
        <v>26.1</v>
      </c>
      <c r="O34" s="28">
        <f t="shared" si="0"/>
        <v>0</v>
      </c>
      <c r="P34" s="28">
        <f t="shared" si="0"/>
        <v>0.37</v>
      </c>
      <c r="Q34" s="28">
        <f t="shared" si="0"/>
        <v>9.6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29.75</v>
      </c>
      <c r="C35" s="29">
        <f t="shared" si="1"/>
        <v>15.74</v>
      </c>
      <c r="D35" s="29">
        <f t="shared" si="1"/>
        <v>30.22</v>
      </c>
      <c r="E35" s="29">
        <f t="shared" si="1"/>
        <v>6.74</v>
      </c>
      <c r="F35" s="29">
        <f t="shared" si="1"/>
        <v>5.33</v>
      </c>
      <c r="G35" s="29">
        <f t="shared" si="1"/>
        <v>85.25</v>
      </c>
      <c r="H35" s="29">
        <f t="shared" si="1"/>
        <v>29.04</v>
      </c>
      <c r="I35" s="29">
        <f t="shared" si="1"/>
        <v>6.26</v>
      </c>
      <c r="J35" s="29">
        <f t="shared" si="1"/>
        <v>2.58</v>
      </c>
      <c r="K35" s="29">
        <f t="shared" si="1"/>
        <v>356.39</v>
      </c>
      <c r="L35" s="29">
        <f t="shared" si="1"/>
        <v>32.75</v>
      </c>
      <c r="M35" s="29">
        <f t="shared" si="1"/>
        <v>102.7</v>
      </c>
      <c r="N35" s="29">
        <f t="shared" si="1"/>
        <v>719.8</v>
      </c>
      <c r="O35" s="29">
        <f t="shared" si="1"/>
        <v>0</v>
      </c>
      <c r="P35" s="29">
        <f t="shared" si="1"/>
        <v>1.71</v>
      </c>
      <c r="Q35" s="29">
        <f t="shared" si="1"/>
        <v>9.6300000000000008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10.781666666666666</v>
      </c>
      <c r="C36" s="28">
        <f t="shared" si="2"/>
        <v>10.657499999999999</v>
      </c>
      <c r="D36" s="28">
        <f t="shared" si="2"/>
        <v>14.077083333333333</v>
      </c>
      <c r="E36" s="28">
        <f t="shared" si="2"/>
        <v>5.6895833333333341</v>
      </c>
      <c r="F36" s="28">
        <f t="shared" si="2"/>
        <v>4.5650000000000004</v>
      </c>
      <c r="G36" s="28">
        <f t="shared" si="2"/>
        <v>58.142500000000013</v>
      </c>
      <c r="H36" s="28">
        <f t="shared" si="2"/>
        <v>18.582499999999996</v>
      </c>
      <c r="I36" s="28">
        <f t="shared" si="2"/>
        <v>4.1854166666666659</v>
      </c>
      <c r="J36" s="28">
        <f t="shared" si="2"/>
        <v>0.94583333333333319</v>
      </c>
      <c r="K36" s="28">
        <f t="shared" si="2"/>
        <v>288.41500000000002</v>
      </c>
      <c r="L36" s="28">
        <f t="shared" si="2"/>
        <v>26.608333333333334</v>
      </c>
      <c r="M36" s="28">
        <f t="shared" si="2"/>
        <v>93.275416666666672</v>
      </c>
      <c r="N36" s="28">
        <f t="shared" si="2"/>
        <v>164.78749999999997</v>
      </c>
      <c r="O36" s="28">
        <f t="shared" si="2"/>
        <v>0</v>
      </c>
      <c r="P36" s="28">
        <f t="shared" si="2"/>
        <v>0.75708333333333344</v>
      </c>
      <c r="Q36" s="28">
        <f t="shared" si="2"/>
        <v>9.6187500000000004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8.9589118451559386</v>
      </c>
      <c r="C37" s="28">
        <f t="shared" ref="C37:Q37" si="3">STDEV(C9:C32)</f>
        <v>2.7702209141228304</v>
      </c>
      <c r="D37" s="28">
        <f t="shared" si="3"/>
        <v>7.9109173211656616</v>
      </c>
      <c r="E37" s="28">
        <f t="shared" si="3"/>
        <v>0.6538413526940221</v>
      </c>
      <c r="F37" s="28">
        <f t="shared" si="3"/>
        <v>0.31839270256002777</v>
      </c>
      <c r="G37" s="28">
        <f t="shared" si="3"/>
        <v>10.843912838646942</v>
      </c>
      <c r="H37" s="28">
        <f t="shared" si="3"/>
        <v>8.6949291819002763</v>
      </c>
      <c r="I37" s="28">
        <f t="shared" si="3"/>
        <v>1.3552826727987075</v>
      </c>
      <c r="J37" s="28">
        <f t="shared" si="3"/>
        <v>0.50891971406334713</v>
      </c>
      <c r="K37" s="28">
        <f t="shared" si="3"/>
        <v>89.399628926376991</v>
      </c>
      <c r="L37" s="28">
        <f t="shared" si="3"/>
        <v>2.815135592790698</v>
      </c>
      <c r="M37" s="28">
        <f t="shared" si="3"/>
        <v>11.016341608153505</v>
      </c>
      <c r="N37" s="28">
        <f t="shared" si="3"/>
        <v>212.44730766147327</v>
      </c>
      <c r="O37" s="28">
        <f t="shared" si="3"/>
        <v>0</v>
      </c>
      <c r="P37" s="28">
        <f t="shared" si="3"/>
        <v>0.39328581449635058</v>
      </c>
      <c r="Q37" s="28">
        <f t="shared" si="3"/>
        <v>7.9741429960682991E-3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09/10/2024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252</v>
      </c>
      <c r="B9" s="53">
        <v>22.22</v>
      </c>
      <c r="C9" s="53">
        <v>7.09</v>
      </c>
      <c r="D9" s="53">
        <v>21.52</v>
      </c>
      <c r="E9" s="53">
        <v>5.19</v>
      </c>
      <c r="F9" s="53">
        <v>3.87</v>
      </c>
      <c r="G9" s="53">
        <v>52.8</v>
      </c>
      <c r="H9" s="53">
        <v>1.58</v>
      </c>
      <c r="I9" s="53">
        <v>2.16</v>
      </c>
      <c r="J9" s="53">
        <v>0.46</v>
      </c>
      <c r="K9" s="53">
        <v>336.92</v>
      </c>
      <c r="L9" s="53">
        <v>24.07</v>
      </c>
      <c r="M9" s="53">
        <v>102.66</v>
      </c>
      <c r="N9" s="53">
        <v>26.2</v>
      </c>
      <c r="O9" s="53">
        <v>0</v>
      </c>
      <c r="P9" s="53">
        <v>0.81</v>
      </c>
      <c r="Q9" s="53">
        <v>9.6199999999999992</v>
      </c>
      <c r="R9" s="43"/>
      <c r="S9" s="43"/>
      <c r="T9" s="43"/>
      <c r="U9" s="43"/>
    </row>
    <row r="10" spans="1:21" s="11" customFormat="1" x14ac:dyDescent="0.25">
      <c r="A10" s="52" t="s">
        <v>253</v>
      </c>
      <c r="B10" s="53">
        <v>20.29</v>
      </c>
      <c r="C10" s="53">
        <v>7.61</v>
      </c>
      <c r="D10" s="53">
        <v>20.25</v>
      </c>
      <c r="E10" s="53">
        <v>4.8499999999999996</v>
      </c>
      <c r="F10" s="53">
        <v>4.41</v>
      </c>
      <c r="G10" s="53">
        <v>43.81</v>
      </c>
      <c r="H10" s="53">
        <v>4.34</v>
      </c>
      <c r="I10" s="53">
        <v>4.6900000000000004</v>
      </c>
      <c r="J10" s="53">
        <v>0.49</v>
      </c>
      <c r="K10" s="53">
        <v>309.36</v>
      </c>
      <c r="L10" s="53">
        <v>23.8</v>
      </c>
      <c r="M10" s="53">
        <v>102.7</v>
      </c>
      <c r="N10" s="53">
        <v>26.1</v>
      </c>
      <c r="O10" s="53">
        <v>0</v>
      </c>
      <c r="P10" s="53">
        <v>0.88</v>
      </c>
      <c r="Q10" s="53">
        <v>9.6199999999999992</v>
      </c>
      <c r="R10" s="43"/>
      <c r="S10" s="43"/>
      <c r="T10" s="43"/>
      <c r="U10" s="43"/>
    </row>
    <row r="11" spans="1:21" s="11" customFormat="1" x14ac:dyDescent="0.25">
      <c r="A11" s="52" t="s">
        <v>254</v>
      </c>
      <c r="B11" s="53">
        <v>17.809999999999999</v>
      </c>
      <c r="C11" s="53">
        <v>6.89</v>
      </c>
      <c r="D11" s="53">
        <v>17.88</v>
      </c>
      <c r="E11" s="53">
        <v>4.5999999999999996</v>
      </c>
      <c r="F11" s="53">
        <v>3.67</v>
      </c>
      <c r="G11" s="53">
        <v>45.99</v>
      </c>
      <c r="H11" s="53">
        <v>5.44</v>
      </c>
      <c r="I11" s="53">
        <v>4.3499999999999996</v>
      </c>
      <c r="J11" s="53">
        <v>0.47</v>
      </c>
      <c r="K11" s="53">
        <v>307.14</v>
      </c>
      <c r="L11" s="53">
        <v>23.78</v>
      </c>
      <c r="M11" s="53">
        <v>102.7</v>
      </c>
      <c r="N11" s="53">
        <v>26.1</v>
      </c>
      <c r="O11" s="53">
        <v>0</v>
      </c>
      <c r="P11" s="53">
        <v>0.71</v>
      </c>
      <c r="Q11" s="53">
        <v>9.6300000000000008</v>
      </c>
      <c r="R11" s="43"/>
      <c r="S11" s="43"/>
      <c r="T11" s="43"/>
      <c r="U11" s="43"/>
    </row>
    <row r="12" spans="1:21" s="11" customFormat="1" x14ac:dyDescent="0.25">
      <c r="A12" s="52" t="s">
        <v>255</v>
      </c>
      <c r="B12" s="53">
        <v>14.99</v>
      </c>
      <c r="C12" s="53">
        <v>6.28</v>
      </c>
      <c r="D12" s="53">
        <v>15.3</v>
      </c>
      <c r="E12" s="53">
        <v>4.6399999999999997</v>
      </c>
      <c r="F12" s="53">
        <v>3.71</v>
      </c>
      <c r="G12" s="53">
        <v>47.34</v>
      </c>
      <c r="H12" s="53">
        <v>3.88</v>
      </c>
      <c r="I12" s="53">
        <v>4.18</v>
      </c>
      <c r="J12" s="53">
        <v>0.55000000000000004</v>
      </c>
      <c r="K12" s="53">
        <v>334.41</v>
      </c>
      <c r="L12" s="53">
        <v>23.59</v>
      </c>
      <c r="M12" s="53">
        <v>102.73</v>
      </c>
      <c r="N12" s="53">
        <v>26.1</v>
      </c>
      <c r="O12" s="53">
        <v>0</v>
      </c>
      <c r="P12" s="53">
        <v>0.55000000000000004</v>
      </c>
      <c r="Q12" s="53">
        <v>9.6199999999999992</v>
      </c>
      <c r="R12" s="43"/>
      <c r="S12" s="43"/>
      <c r="T12" s="43"/>
      <c r="U12" s="43"/>
    </row>
    <row r="13" spans="1:21" s="11" customFormat="1" x14ac:dyDescent="0.25">
      <c r="A13" s="52" t="s">
        <v>256</v>
      </c>
      <c r="B13" s="53">
        <v>15.85</v>
      </c>
      <c r="C13" s="53">
        <v>5.67</v>
      </c>
      <c r="D13" s="53">
        <v>15.51</v>
      </c>
      <c r="E13" s="53">
        <v>6.16</v>
      </c>
      <c r="F13" s="53">
        <v>3.95</v>
      </c>
      <c r="G13" s="53">
        <v>44.2</v>
      </c>
      <c r="H13" s="53">
        <v>2.78</v>
      </c>
      <c r="I13" s="53">
        <v>2.3199999999999998</v>
      </c>
      <c r="J13" s="53">
        <v>0.41</v>
      </c>
      <c r="K13" s="53">
        <v>332.43</v>
      </c>
      <c r="L13" s="53">
        <v>23.13</v>
      </c>
      <c r="M13" s="53">
        <v>102.73</v>
      </c>
      <c r="N13" s="53">
        <v>26.1</v>
      </c>
      <c r="O13" s="53">
        <v>0</v>
      </c>
      <c r="P13" s="53">
        <v>0.55000000000000004</v>
      </c>
      <c r="Q13" s="53">
        <v>9.6199999999999992</v>
      </c>
      <c r="R13" s="43"/>
      <c r="S13" s="43"/>
      <c r="T13" s="43"/>
      <c r="U13" s="43"/>
    </row>
    <row r="14" spans="1:21" s="11" customFormat="1" x14ac:dyDescent="0.25">
      <c r="A14" s="52" t="s">
        <v>257</v>
      </c>
      <c r="B14" s="53">
        <v>15.7</v>
      </c>
      <c r="C14" s="53">
        <v>5.92</v>
      </c>
      <c r="D14" s="53">
        <v>15.6</v>
      </c>
      <c r="E14" s="53">
        <v>5.72</v>
      </c>
      <c r="F14" s="53">
        <v>4.41</v>
      </c>
      <c r="G14" s="53">
        <v>42.9</v>
      </c>
      <c r="H14" s="53">
        <v>4.43</v>
      </c>
      <c r="I14" s="53">
        <v>4.7699999999999996</v>
      </c>
      <c r="J14" s="53">
        <v>0.62</v>
      </c>
      <c r="K14" s="53">
        <v>143.88</v>
      </c>
      <c r="L14" s="53">
        <v>23.06</v>
      </c>
      <c r="M14" s="53">
        <v>102.73</v>
      </c>
      <c r="N14" s="53">
        <v>28.1</v>
      </c>
      <c r="O14" s="53">
        <v>0</v>
      </c>
      <c r="P14" s="53">
        <v>0.66</v>
      </c>
      <c r="Q14" s="53">
        <v>9.6199999999999992</v>
      </c>
      <c r="R14" s="43"/>
      <c r="S14" s="43"/>
      <c r="T14" s="43"/>
      <c r="U14" s="43"/>
    </row>
    <row r="15" spans="1:21" s="11" customFormat="1" x14ac:dyDescent="0.25">
      <c r="A15" s="52" t="s">
        <v>258</v>
      </c>
      <c r="B15" s="53">
        <v>16.48</v>
      </c>
      <c r="C15" s="53">
        <v>5.22</v>
      </c>
      <c r="D15" s="53">
        <v>15.84</v>
      </c>
      <c r="E15" s="53">
        <v>7.07</v>
      </c>
      <c r="F15" s="53">
        <v>4.12</v>
      </c>
      <c r="G15" s="53">
        <v>42.28</v>
      </c>
      <c r="H15" s="53">
        <v>4.3600000000000003</v>
      </c>
      <c r="I15" s="53">
        <v>3.98</v>
      </c>
      <c r="J15" s="53">
        <v>0.33</v>
      </c>
      <c r="K15" s="53">
        <v>88.18</v>
      </c>
      <c r="L15" s="53">
        <v>23.92</v>
      </c>
      <c r="M15" s="53">
        <v>102.73</v>
      </c>
      <c r="N15" s="53">
        <v>107.2</v>
      </c>
      <c r="O15" s="53">
        <v>0</v>
      </c>
      <c r="P15" s="53">
        <v>0.57999999999999996</v>
      </c>
      <c r="Q15" s="53">
        <v>9.61</v>
      </c>
      <c r="R15" s="43"/>
      <c r="S15" s="43"/>
      <c r="T15" s="43"/>
      <c r="U15" s="43"/>
    </row>
    <row r="16" spans="1:21" s="11" customFormat="1" x14ac:dyDescent="0.25">
      <c r="A16" s="52" t="s">
        <v>259</v>
      </c>
      <c r="B16" s="53">
        <v>19.28</v>
      </c>
      <c r="C16" s="53">
        <v>5.8</v>
      </c>
      <c r="D16" s="53">
        <v>18.489999999999998</v>
      </c>
      <c r="E16" s="53">
        <v>6.8</v>
      </c>
      <c r="F16" s="53">
        <v>3.9</v>
      </c>
      <c r="G16" s="53">
        <v>40.700000000000003</v>
      </c>
      <c r="H16" s="53">
        <v>3.96</v>
      </c>
      <c r="I16" s="53">
        <v>4.04</v>
      </c>
      <c r="J16" s="53">
        <v>1.31</v>
      </c>
      <c r="K16" s="53">
        <v>350.3</v>
      </c>
      <c r="L16" s="53">
        <v>29.21</v>
      </c>
      <c r="M16" s="53">
        <v>101.92</v>
      </c>
      <c r="N16" s="53">
        <v>245.3</v>
      </c>
      <c r="O16" s="53">
        <v>0</v>
      </c>
      <c r="P16" s="53">
        <v>0.92</v>
      </c>
      <c r="Q16" s="53">
        <v>9.6300000000000008</v>
      </c>
      <c r="R16" s="43"/>
      <c r="S16" s="43"/>
      <c r="T16" s="43"/>
      <c r="U16" s="43"/>
    </row>
    <row r="17" spans="1:21" s="11" customFormat="1" x14ac:dyDescent="0.25">
      <c r="A17" s="52" t="s">
        <v>260</v>
      </c>
      <c r="B17" s="53">
        <v>20.97</v>
      </c>
      <c r="C17" s="53">
        <v>9.3699999999999992</v>
      </c>
      <c r="D17" s="53">
        <v>21.71</v>
      </c>
      <c r="E17" s="53">
        <v>6.42</v>
      </c>
      <c r="F17" s="53">
        <v>4.57</v>
      </c>
      <c r="G17" s="53">
        <v>59.77</v>
      </c>
      <c r="H17" s="53">
        <v>2.77</v>
      </c>
      <c r="I17" s="53">
        <v>5.2</v>
      </c>
      <c r="J17" s="53">
        <v>1.33</v>
      </c>
      <c r="K17" s="53">
        <v>340.85</v>
      </c>
      <c r="L17" s="53">
        <v>32.130000000000003</v>
      </c>
      <c r="M17" s="53">
        <v>77.88</v>
      </c>
      <c r="N17" s="53">
        <v>423</v>
      </c>
      <c r="O17" s="53">
        <v>0</v>
      </c>
      <c r="P17" s="53">
        <v>0.95</v>
      </c>
      <c r="Q17" s="53">
        <v>9.6199999999999992</v>
      </c>
      <c r="R17" s="43"/>
      <c r="S17" s="43"/>
      <c r="T17" s="43"/>
      <c r="U17" s="43"/>
    </row>
    <row r="18" spans="1:21" s="11" customFormat="1" x14ac:dyDescent="0.25">
      <c r="A18" s="52" t="s">
        <v>261</v>
      </c>
      <c r="B18" s="53">
        <v>20.82</v>
      </c>
      <c r="C18" s="53">
        <v>12.31</v>
      </c>
      <c r="D18" s="53">
        <v>21.79</v>
      </c>
      <c r="E18" s="53">
        <v>6.43</v>
      </c>
      <c r="F18" s="53">
        <v>5</v>
      </c>
      <c r="G18" s="53">
        <v>94.86</v>
      </c>
      <c r="H18" s="53">
        <v>3.3</v>
      </c>
      <c r="I18" s="53">
        <v>5.5</v>
      </c>
      <c r="J18" s="53">
        <v>1.1200000000000001</v>
      </c>
      <c r="K18" s="53">
        <v>348.01</v>
      </c>
      <c r="L18" s="53">
        <v>30.41</v>
      </c>
      <c r="M18" s="53">
        <v>85.43</v>
      </c>
      <c r="N18" s="53">
        <v>460.1</v>
      </c>
      <c r="O18" s="53">
        <v>0</v>
      </c>
      <c r="P18" s="53">
        <v>0.82</v>
      </c>
      <c r="Q18" s="53">
        <v>9.6300000000000008</v>
      </c>
      <c r="R18" s="43"/>
      <c r="S18" s="43"/>
      <c r="T18" s="43"/>
      <c r="U18" s="43"/>
    </row>
    <row r="19" spans="1:21" s="11" customFormat="1" x14ac:dyDescent="0.25">
      <c r="A19" s="52" t="s">
        <v>262</v>
      </c>
      <c r="B19" s="53">
        <v>15.26</v>
      </c>
      <c r="C19" s="53">
        <v>16.739999999999998</v>
      </c>
      <c r="D19" s="53">
        <v>19</v>
      </c>
      <c r="E19" s="53">
        <v>6.95</v>
      </c>
      <c r="F19" s="53">
        <v>10.61</v>
      </c>
      <c r="G19" s="53">
        <v>102.03</v>
      </c>
      <c r="H19" s="53">
        <v>3.77</v>
      </c>
      <c r="I19" s="53">
        <v>6.38</v>
      </c>
      <c r="J19" s="53">
        <v>1.31</v>
      </c>
      <c r="K19" s="53">
        <v>340.67</v>
      </c>
      <c r="L19" s="53">
        <v>30.84</v>
      </c>
      <c r="M19" s="53">
        <v>84.36</v>
      </c>
      <c r="N19" s="53">
        <v>806.2</v>
      </c>
      <c r="O19" s="53">
        <v>0</v>
      </c>
      <c r="P19" s="53">
        <v>0.95</v>
      </c>
      <c r="Q19" s="53">
        <v>9.6199999999999992</v>
      </c>
      <c r="R19" s="43"/>
      <c r="S19" s="43"/>
      <c r="T19" s="43"/>
      <c r="U19" s="43"/>
    </row>
    <row r="20" spans="1:21" s="11" customFormat="1" x14ac:dyDescent="0.25">
      <c r="A20" s="52" t="s">
        <v>263</v>
      </c>
      <c r="B20" s="53">
        <v>2.61</v>
      </c>
      <c r="C20" s="53">
        <v>19.18</v>
      </c>
      <c r="D20" s="53">
        <v>12.11</v>
      </c>
      <c r="E20" s="53">
        <v>7.4</v>
      </c>
      <c r="F20" s="53">
        <v>9.6</v>
      </c>
      <c r="G20" s="54" t="s">
        <v>14</v>
      </c>
      <c r="H20" s="54" t="s">
        <v>14</v>
      </c>
      <c r="I20" s="53">
        <v>5.57</v>
      </c>
      <c r="J20" s="53">
        <v>1.73</v>
      </c>
      <c r="K20" s="53">
        <v>138.12</v>
      </c>
      <c r="L20" s="53">
        <v>31.51</v>
      </c>
      <c r="M20" s="53">
        <v>72.010000000000005</v>
      </c>
      <c r="N20" s="53">
        <v>872.2</v>
      </c>
      <c r="O20" s="53">
        <v>0</v>
      </c>
      <c r="P20" s="53">
        <v>0.65</v>
      </c>
      <c r="Q20" s="53">
        <v>9.6199999999999992</v>
      </c>
      <c r="R20" s="43"/>
      <c r="S20" s="43"/>
      <c r="T20" s="43"/>
      <c r="U20" s="43"/>
    </row>
    <row r="21" spans="1:21" s="11" customFormat="1" x14ac:dyDescent="0.25">
      <c r="A21" s="52" t="s">
        <v>264</v>
      </c>
      <c r="B21" s="53">
        <v>1.1200000000000001</v>
      </c>
      <c r="C21" s="53">
        <v>9.0399999999999991</v>
      </c>
      <c r="D21" s="53">
        <v>5.62</v>
      </c>
      <c r="E21" s="53">
        <v>4.62</v>
      </c>
      <c r="F21" s="53">
        <v>5.94</v>
      </c>
      <c r="G21" s="54" t="s">
        <v>14</v>
      </c>
      <c r="H21" s="54" t="s">
        <v>14</v>
      </c>
      <c r="I21" s="53">
        <v>4.08</v>
      </c>
      <c r="J21" s="53">
        <v>0.92</v>
      </c>
      <c r="K21" s="53">
        <v>141.87</v>
      </c>
      <c r="L21" s="53">
        <v>32.020000000000003</v>
      </c>
      <c r="M21" s="53">
        <v>70.03</v>
      </c>
      <c r="N21" s="53">
        <v>572.9</v>
      </c>
      <c r="O21" s="53">
        <v>0</v>
      </c>
      <c r="P21" s="53">
        <v>0.53</v>
      </c>
      <c r="Q21" s="53">
        <v>9.61</v>
      </c>
      <c r="R21" s="43"/>
      <c r="S21" s="43"/>
      <c r="T21" s="43"/>
      <c r="U21" s="43"/>
    </row>
    <row r="22" spans="1:21" s="11" customFormat="1" x14ac:dyDescent="0.25">
      <c r="A22" s="52" t="s">
        <v>265</v>
      </c>
      <c r="B22" s="53">
        <v>1.8</v>
      </c>
      <c r="C22" s="53">
        <v>9.82</v>
      </c>
      <c r="D22" s="53">
        <v>6.57</v>
      </c>
      <c r="E22" s="53">
        <v>5.12</v>
      </c>
      <c r="F22" s="53">
        <v>6.13</v>
      </c>
      <c r="G22" s="54" t="s">
        <v>14</v>
      </c>
      <c r="H22" s="54" t="s">
        <v>14</v>
      </c>
      <c r="I22" s="53">
        <v>4.34</v>
      </c>
      <c r="J22" s="53">
        <v>1.49</v>
      </c>
      <c r="K22" s="53">
        <v>351.55</v>
      </c>
      <c r="L22" s="53">
        <v>32.520000000000003</v>
      </c>
      <c r="M22" s="53">
        <v>68.290000000000006</v>
      </c>
      <c r="N22" s="53">
        <v>435</v>
      </c>
      <c r="O22" s="53">
        <v>0</v>
      </c>
      <c r="P22" s="53">
        <v>0.5</v>
      </c>
      <c r="Q22" s="53">
        <v>9.6199999999999992</v>
      </c>
      <c r="R22" s="43"/>
      <c r="S22" s="43"/>
      <c r="T22" s="43"/>
      <c r="U22" s="43"/>
    </row>
    <row r="23" spans="1:21" s="11" customFormat="1" x14ac:dyDescent="0.25">
      <c r="A23" s="52" t="s">
        <v>266</v>
      </c>
      <c r="B23" s="53">
        <v>3.73</v>
      </c>
      <c r="C23" s="53">
        <v>15.27</v>
      </c>
      <c r="D23" s="53">
        <v>10.97</v>
      </c>
      <c r="E23" s="53">
        <v>5.45</v>
      </c>
      <c r="F23" s="53">
        <v>5.83</v>
      </c>
      <c r="G23" s="54" t="s">
        <v>14</v>
      </c>
      <c r="H23" s="54" t="s">
        <v>14</v>
      </c>
      <c r="I23" s="53">
        <v>4.01</v>
      </c>
      <c r="J23" s="53">
        <v>1.54</v>
      </c>
      <c r="K23" s="53">
        <v>336.95</v>
      </c>
      <c r="L23" s="53">
        <v>30.26</v>
      </c>
      <c r="M23" s="53">
        <v>67.69</v>
      </c>
      <c r="N23" s="53">
        <v>231.8</v>
      </c>
      <c r="O23" s="53">
        <v>0</v>
      </c>
      <c r="P23" s="53">
        <v>0.62</v>
      </c>
      <c r="Q23" s="53">
        <v>9.6199999999999992</v>
      </c>
      <c r="R23" s="43"/>
      <c r="S23" s="43"/>
      <c r="T23" s="43"/>
      <c r="U23" s="43"/>
    </row>
    <row r="24" spans="1:21" s="11" customFormat="1" x14ac:dyDescent="0.25">
      <c r="A24" s="52" t="s">
        <v>267</v>
      </c>
      <c r="B24" s="53">
        <v>4.01</v>
      </c>
      <c r="C24" s="53">
        <v>34.54</v>
      </c>
      <c r="D24" s="53">
        <v>19.84</v>
      </c>
      <c r="E24" s="53">
        <v>5.92</v>
      </c>
      <c r="F24" s="53">
        <v>10.94</v>
      </c>
      <c r="G24" s="54" t="s">
        <v>14</v>
      </c>
      <c r="H24" s="54" t="s">
        <v>14</v>
      </c>
      <c r="I24" s="53">
        <v>3.57</v>
      </c>
      <c r="J24" s="53">
        <v>1.28</v>
      </c>
      <c r="K24" s="53">
        <v>350.35</v>
      </c>
      <c r="L24" s="53">
        <v>30.42</v>
      </c>
      <c r="M24" s="53">
        <v>69.98</v>
      </c>
      <c r="N24" s="53">
        <v>114</v>
      </c>
      <c r="O24" s="53">
        <v>0</v>
      </c>
      <c r="P24" s="53">
        <v>0.67</v>
      </c>
      <c r="Q24" s="53">
        <v>9.6199999999999992</v>
      </c>
      <c r="R24" s="43"/>
      <c r="S24" s="43"/>
      <c r="T24" s="43"/>
      <c r="U24" s="43"/>
    </row>
    <row r="25" spans="1:21" s="11" customFormat="1" x14ac:dyDescent="0.25">
      <c r="A25" s="52" t="s">
        <v>268</v>
      </c>
      <c r="B25" s="53">
        <v>3.64</v>
      </c>
      <c r="C25" s="53">
        <v>25.45</v>
      </c>
      <c r="D25" s="53">
        <v>14.78</v>
      </c>
      <c r="E25" s="53">
        <v>6.21</v>
      </c>
      <c r="F25" s="53">
        <v>5.41</v>
      </c>
      <c r="G25" s="54" t="s">
        <v>14</v>
      </c>
      <c r="H25" s="54" t="s">
        <v>14</v>
      </c>
      <c r="I25" s="53">
        <v>2.68</v>
      </c>
      <c r="J25" s="53">
        <v>1.4</v>
      </c>
      <c r="K25" s="53">
        <v>341.59</v>
      </c>
      <c r="L25" s="53">
        <v>30.2</v>
      </c>
      <c r="M25" s="53">
        <v>72.31</v>
      </c>
      <c r="N25" s="53">
        <v>82.7</v>
      </c>
      <c r="O25" s="53">
        <v>0</v>
      </c>
      <c r="P25" s="53">
        <v>0.79</v>
      </c>
      <c r="Q25" s="53">
        <v>9.6199999999999992</v>
      </c>
      <c r="R25" s="43"/>
      <c r="S25" s="43"/>
      <c r="T25" s="43"/>
      <c r="U25" s="43"/>
    </row>
    <row r="26" spans="1:21" s="11" customFormat="1" x14ac:dyDescent="0.25">
      <c r="A26" s="52" t="s">
        <v>269</v>
      </c>
      <c r="B26" s="53">
        <v>4.03</v>
      </c>
      <c r="C26" s="53">
        <v>19.57</v>
      </c>
      <c r="D26" s="53">
        <v>13.41</v>
      </c>
      <c r="E26" s="53">
        <v>6.06</v>
      </c>
      <c r="F26" s="53">
        <v>5.9</v>
      </c>
      <c r="G26" s="53">
        <v>40.22</v>
      </c>
      <c r="H26" s="53">
        <v>59.93</v>
      </c>
      <c r="I26" s="53">
        <v>3.29</v>
      </c>
      <c r="J26" s="53">
        <v>0.57999999999999996</v>
      </c>
      <c r="K26" s="53">
        <v>319.8</v>
      </c>
      <c r="L26" s="53">
        <v>27.81</v>
      </c>
      <c r="M26" s="53">
        <v>78.28</v>
      </c>
      <c r="N26" s="53">
        <v>44.6</v>
      </c>
      <c r="O26" s="53">
        <v>0</v>
      </c>
      <c r="P26" s="53">
        <v>0.75</v>
      </c>
      <c r="Q26" s="53">
        <v>9.6300000000000008</v>
      </c>
      <c r="R26" s="43"/>
      <c r="S26" s="43"/>
      <c r="T26" s="43"/>
      <c r="U26" s="43"/>
    </row>
    <row r="27" spans="1:21" s="11" customFormat="1" x14ac:dyDescent="0.25">
      <c r="A27" s="52" t="s">
        <v>270</v>
      </c>
      <c r="B27" s="53">
        <v>4.18</v>
      </c>
      <c r="C27" s="53">
        <v>13.73</v>
      </c>
      <c r="D27" s="53">
        <v>10.34</v>
      </c>
      <c r="E27" s="53">
        <v>6.15</v>
      </c>
      <c r="F27" s="53">
        <v>4.91</v>
      </c>
      <c r="G27" s="53">
        <v>53.19</v>
      </c>
      <c r="H27" s="53">
        <v>85.15</v>
      </c>
      <c r="I27" s="53">
        <v>3.94</v>
      </c>
      <c r="J27" s="53">
        <v>0.41</v>
      </c>
      <c r="K27" s="53">
        <v>117.54</v>
      </c>
      <c r="L27" s="53">
        <v>27.03</v>
      </c>
      <c r="M27" s="53">
        <v>80.069999999999993</v>
      </c>
      <c r="N27" s="53">
        <v>26.3</v>
      </c>
      <c r="O27" s="53">
        <v>0</v>
      </c>
      <c r="P27" s="53">
        <v>1.03</v>
      </c>
      <c r="Q27" s="53">
        <v>9.61</v>
      </c>
      <c r="R27" s="43"/>
      <c r="S27" s="43"/>
      <c r="T27" s="43"/>
      <c r="U27" s="43"/>
    </row>
    <row r="28" spans="1:21" s="11" customFormat="1" x14ac:dyDescent="0.25">
      <c r="A28" s="52" t="s">
        <v>271</v>
      </c>
      <c r="B28" s="53">
        <v>3.68</v>
      </c>
      <c r="C28" s="53">
        <v>12.28</v>
      </c>
      <c r="D28" s="53">
        <v>9.36</v>
      </c>
      <c r="E28" s="53">
        <v>6.22</v>
      </c>
      <c r="F28" s="53">
        <v>4.74</v>
      </c>
      <c r="G28" s="53">
        <v>55.11</v>
      </c>
      <c r="H28" s="53">
        <v>7.53</v>
      </c>
      <c r="I28" s="53">
        <v>3.44</v>
      </c>
      <c r="J28" s="53">
        <v>0.68</v>
      </c>
      <c r="K28" s="53">
        <v>116.42</v>
      </c>
      <c r="L28" s="53">
        <v>27.12</v>
      </c>
      <c r="M28" s="53">
        <v>77.92</v>
      </c>
      <c r="N28" s="53">
        <v>26.1</v>
      </c>
      <c r="O28" s="53">
        <v>0</v>
      </c>
      <c r="P28" s="53">
        <v>0.82</v>
      </c>
      <c r="Q28" s="53">
        <v>9.6199999999999992</v>
      </c>
      <c r="R28" s="43"/>
      <c r="S28" s="43"/>
      <c r="T28" s="43"/>
      <c r="U28" s="43"/>
    </row>
    <row r="29" spans="1:21" s="11" customFormat="1" x14ac:dyDescent="0.25">
      <c r="A29" s="52" t="s">
        <v>272</v>
      </c>
      <c r="B29" s="53">
        <v>3.86</v>
      </c>
      <c r="C29" s="53">
        <v>11.06</v>
      </c>
      <c r="D29" s="53">
        <v>8.69</v>
      </c>
      <c r="E29" s="53">
        <v>5.45</v>
      </c>
      <c r="F29" s="53">
        <v>4.7699999999999996</v>
      </c>
      <c r="G29" s="53">
        <v>54.25</v>
      </c>
      <c r="H29" s="53">
        <v>64.510000000000005</v>
      </c>
      <c r="I29" s="53">
        <v>3.6</v>
      </c>
      <c r="J29" s="53">
        <v>1.1299999999999999</v>
      </c>
      <c r="K29" s="53">
        <v>107.62</v>
      </c>
      <c r="L29" s="53">
        <v>26.85</v>
      </c>
      <c r="M29" s="53">
        <v>88.63</v>
      </c>
      <c r="N29" s="53">
        <v>26.1</v>
      </c>
      <c r="O29" s="53">
        <v>0</v>
      </c>
      <c r="P29" s="53">
        <v>1.03</v>
      </c>
      <c r="Q29" s="53">
        <v>9.61</v>
      </c>
      <c r="R29" s="43"/>
      <c r="S29" s="43"/>
      <c r="T29" s="43"/>
      <c r="U29" s="43"/>
    </row>
    <row r="30" spans="1:21" s="11" customFormat="1" x14ac:dyDescent="0.25">
      <c r="A30" s="52" t="s">
        <v>273</v>
      </c>
      <c r="B30" s="53">
        <v>4</v>
      </c>
      <c r="C30" s="53">
        <v>10.1</v>
      </c>
      <c r="D30" s="53">
        <v>8.19</v>
      </c>
      <c r="E30" s="53">
        <v>5.51</v>
      </c>
      <c r="F30" s="53">
        <v>4.46</v>
      </c>
      <c r="G30" s="53">
        <v>54.33</v>
      </c>
      <c r="H30" s="53">
        <v>7.74</v>
      </c>
      <c r="I30" s="53">
        <v>3.27</v>
      </c>
      <c r="J30" s="53">
        <v>0.67</v>
      </c>
      <c r="K30" s="53">
        <v>158.84</v>
      </c>
      <c r="L30" s="53">
        <v>26.45</v>
      </c>
      <c r="M30" s="53">
        <v>100.56</v>
      </c>
      <c r="N30" s="53">
        <v>26.3</v>
      </c>
      <c r="O30" s="53">
        <v>0</v>
      </c>
      <c r="P30" s="53">
        <v>0.68</v>
      </c>
      <c r="Q30" s="53">
        <v>9.6300000000000008</v>
      </c>
      <c r="R30" s="43"/>
      <c r="S30" s="43"/>
      <c r="T30" s="43"/>
      <c r="U30" s="43"/>
    </row>
    <row r="31" spans="1:21" s="11" customFormat="1" x14ac:dyDescent="0.25">
      <c r="A31" s="52" t="s">
        <v>274</v>
      </c>
      <c r="B31" s="53">
        <v>5.88</v>
      </c>
      <c r="C31" s="53">
        <v>9.07</v>
      </c>
      <c r="D31" s="53">
        <v>8.91</v>
      </c>
      <c r="E31" s="53">
        <v>5.3</v>
      </c>
      <c r="F31" s="53">
        <v>4.28</v>
      </c>
      <c r="G31" s="53">
        <v>53.14</v>
      </c>
      <c r="H31" s="53">
        <v>1.08</v>
      </c>
      <c r="I31" s="53">
        <v>4.13</v>
      </c>
      <c r="J31" s="53">
        <v>0.47</v>
      </c>
      <c r="K31" s="53">
        <v>330.5</v>
      </c>
      <c r="L31" s="53">
        <v>25.65</v>
      </c>
      <c r="M31" s="53">
        <v>102.49</v>
      </c>
      <c r="N31" s="53">
        <v>26.2</v>
      </c>
      <c r="O31" s="53">
        <v>0</v>
      </c>
      <c r="P31" s="53">
        <v>0.66</v>
      </c>
      <c r="Q31" s="53">
        <v>9.6300000000000008</v>
      </c>
      <c r="R31" s="43"/>
      <c r="S31" s="43"/>
      <c r="T31" s="43"/>
      <c r="U31" s="43"/>
    </row>
    <row r="32" spans="1:21" s="11" customFormat="1" x14ac:dyDescent="0.25">
      <c r="A32" s="52" t="s">
        <v>275</v>
      </c>
      <c r="B32" s="53">
        <v>5.76</v>
      </c>
      <c r="C32" s="53">
        <v>7.41</v>
      </c>
      <c r="D32" s="53">
        <v>8.49</v>
      </c>
      <c r="E32" s="53">
        <v>5.25</v>
      </c>
      <c r="F32" s="53">
        <v>4.09</v>
      </c>
      <c r="G32" s="53">
        <v>45.35</v>
      </c>
      <c r="H32" s="53">
        <v>0.17</v>
      </c>
      <c r="I32" s="53">
        <v>3.5</v>
      </c>
      <c r="J32" s="53">
        <v>0.73</v>
      </c>
      <c r="K32" s="53">
        <v>133.59</v>
      </c>
      <c r="L32" s="53">
        <v>25.05</v>
      </c>
      <c r="M32" s="53">
        <v>102.68</v>
      </c>
      <c r="N32" s="53">
        <v>26.1</v>
      </c>
      <c r="O32" s="53">
        <v>0</v>
      </c>
      <c r="P32" s="53">
        <v>0.6</v>
      </c>
      <c r="Q32" s="53">
        <v>9.6300000000000008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1.1200000000000001</v>
      </c>
      <c r="C34" s="28">
        <f t="shared" si="0"/>
        <v>5.22</v>
      </c>
      <c r="D34" s="28">
        <f t="shared" si="0"/>
        <v>5.62</v>
      </c>
      <c r="E34" s="28">
        <f t="shared" si="0"/>
        <v>4.5999999999999996</v>
      </c>
      <c r="F34" s="28">
        <f t="shared" si="0"/>
        <v>3.67</v>
      </c>
      <c r="G34" s="28">
        <f t="shared" si="0"/>
        <v>40.22</v>
      </c>
      <c r="H34" s="28">
        <f t="shared" si="0"/>
        <v>0.17</v>
      </c>
      <c r="I34" s="28">
        <f t="shared" si="0"/>
        <v>2.16</v>
      </c>
      <c r="J34" s="28">
        <f t="shared" si="0"/>
        <v>0.33</v>
      </c>
      <c r="K34" s="28">
        <f t="shared" si="0"/>
        <v>88.18</v>
      </c>
      <c r="L34" s="28">
        <f t="shared" si="0"/>
        <v>23.06</v>
      </c>
      <c r="M34" s="28">
        <f t="shared" si="0"/>
        <v>67.69</v>
      </c>
      <c r="N34" s="28">
        <f t="shared" si="0"/>
        <v>26.1</v>
      </c>
      <c r="O34" s="28">
        <f t="shared" si="0"/>
        <v>0</v>
      </c>
      <c r="P34" s="28">
        <f t="shared" si="0"/>
        <v>0.5</v>
      </c>
      <c r="Q34" s="28">
        <f t="shared" si="0"/>
        <v>9.61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22.22</v>
      </c>
      <c r="C35" s="29">
        <f t="shared" si="1"/>
        <v>34.54</v>
      </c>
      <c r="D35" s="29">
        <f t="shared" si="1"/>
        <v>21.79</v>
      </c>
      <c r="E35" s="29">
        <f t="shared" si="1"/>
        <v>7.4</v>
      </c>
      <c r="F35" s="29">
        <f t="shared" si="1"/>
        <v>10.94</v>
      </c>
      <c r="G35" s="29">
        <f t="shared" si="1"/>
        <v>102.03</v>
      </c>
      <c r="H35" s="29">
        <f t="shared" si="1"/>
        <v>85.15</v>
      </c>
      <c r="I35" s="29">
        <f t="shared" si="1"/>
        <v>6.38</v>
      </c>
      <c r="J35" s="29">
        <f t="shared" si="1"/>
        <v>1.73</v>
      </c>
      <c r="K35" s="29">
        <f t="shared" si="1"/>
        <v>351.55</v>
      </c>
      <c r="L35" s="29">
        <f t="shared" si="1"/>
        <v>32.520000000000003</v>
      </c>
      <c r="M35" s="29">
        <f t="shared" si="1"/>
        <v>102.73</v>
      </c>
      <c r="N35" s="29">
        <f t="shared" si="1"/>
        <v>872.2</v>
      </c>
      <c r="O35" s="29">
        <f t="shared" si="1"/>
        <v>0</v>
      </c>
      <c r="P35" s="29">
        <f t="shared" si="1"/>
        <v>1.03</v>
      </c>
      <c r="Q35" s="29">
        <f t="shared" si="1"/>
        <v>9.6300000000000008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10.332083333333333</v>
      </c>
      <c r="C36" s="28">
        <f t="shared" si="2"/>
        <v>11.892499999999998</v>
      </c>
      <c r="D36" s="28">
        <f t="shared" si="2"/>
        <v>14.17375</v>
      </c>
      <c r="E36" s="28">
        <f t="shared" si="2"/>
        <v>5.8120833333333346</v>
      </c>
      <c r="F36" s="28">
        <f t="shared" si="2"/>
        <v>5.3841666666666654</v>
      </c>
      <c r="G36" s="28">
        <f t="shared" si="2"/>
        <v>54.015000000000001</v>
      </c>
      <c r="H36" s="28">
        <f t="shared" si="2"/>
        <v>14.817777777777779</v>
      </c>
      <c r="I36" s="28">
        <f t="shared" si="2"/>
        <v>4.0412499999999998</v>
      </c>
      <c r="J36" s="28">
        <f t="shared" si="2"/>
        <v>0.89291666666666669</v>
      </c>
      <c r="K36" s="28">
        <f t="shared" si="2"/>
        <v>257.3704166666667</v>
      </c>
      <c r="L36" s="28">
        <f t="shared" si="2"/>
        <v>27.53458333333333</v>
      </c>
      <c r="M36" s="28">
        <f t="shared" si="2"/>
        <v>88.312916666666652</v>
      </c>
      <c r="N36" s="28">
        <f t="shared" si="2"/>
        <v>196.28333333333339</v>
      </c>
      <c r="O36" s="28">
        <f t="shared" si="2"/>
        <v>0</v>
      </c>
      <c r="P36" s="28">
        <f t="shared" si="2"/>
        <v>0.73791666666666667</v>
      </c>
      <c r="Q36" s="28">
        <f t="shared" si="2"/>
        <v>9.6212500000000016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7.6124057667711718</v>
      </c>
      <c r="C37" s="28">
        <f t="shared" ref="C37:Q37" si="3">STDEV(C9:C32)</f>
        <v>7.0775021693053386</v>
      </c>
      <c r="D37" s="28">
        <f t="shared" si="3"/>
        <v>5.1564091082171073</v>
      </c>
      <c r="E37" s="28">
        <f t="shared" si="3"/>
        <v>0.80094498083128085</v>
      </c>
      <c r="F37" s="28">
        <f t="shared" si="3"/>
        <v>2.0709773300181964</v>
      </c>
      <c r="G37" s="28">
        <f t="shared" si="3"/>
        <v>17.191840831524431</v>
      </c>
      <c r="H37" s="28">
        <f t="shared" si="3"/>
        <v>25.816175858320157</v>
      </c>
      <c r="I37" s="28">
        <f t="shared" si="3"/>
        <v>1.0009313597627549</v>
      </c>
      <c r="J37" s="28">
        <f t="shared" si="3"/>
        <v>0.43900558743266788</v>
      </c>
      <c r="K37" s="28">
        <f t="shared" si="3"/>
        <v>104.24959741259627</v>
      </c>
      <c r="L37" s="28">
        <f t="shared" si="3"/>
        <v>3.2752072342885956</v>
      </c>
      <c r="M37" s="28">
        <f t="shared" si="3"/>
        <v>14.175503818718221</v>
      </c>
      <c r="N37" s="28">
        <f t="shared" si="3"/>
        <v>259.56771197791386</v>
      </c>
      <c r="O37" s="28">
        <f t="shared" si="3"/>
        <v>0</v>
      </c>
      <c r="P37" s="28">
        <f t="shared" si="3"/>
        <v>0.16048782065848524</v>
      </c>
      <c r="Q37" s="28">
        <f t="shared" si="3"/>
        <v>6.7967383482020654E-3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COUNT(G9:G32)+6</f>
        <v>24</v>
      </c>
      <c r="H38" s="32">
        <f>COUNT(H9:H32)+6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10/10/2024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276</v>
      </c>
      <c r="B9" s="53">
        <v>5.39</v>
      </c>
      <c r="C9" s="53">
        <v>5.67</v>
      </c>
      <c r="D9" s="53">
        <v>7.27</v>
      </c>
      <c r="E9" s="53">
        <v>4.91</v>
      </c>
      <c r="F9" s="53">
        <v>3.88</v>
      </c>
      <c r="G9" s="53">
        <v>37.29</v>
      </c>
      <c r="H9" s="53">
        <v>48.65</v>
      </c>
      <c r="I9" s="53">
        <v>2.2799999999999998</v>
      </c>
      <c r="J9" s="53">
        <v>0.38</v>
      </c>
      <c r="K9" s="53">
        <v>318.20999999999998</v>
      </c>
      <c r="L9" s="53">
        <v>24.5</v>
      </c>
      <c r="M9" s="53">
        <v>102.69</v>
      </c>
      <c r="N9" s="53">
        <v>26.1</v>
      </c>
      <c r="O9" s="53">
        <v>0</v>
      </c>
      <c r="P9" s="53">
        <v>0.48</v>
      </c>
      <c r="Q9" s="53">
        <v>9.6199999999999992</v>
      </c>
      <c r="R9" s="43"/>
      <c r="S9" s="43"/>
      <c r="T9" s="43"/>
      <c r="U9" s="43"/>
    </row>
    <row r="10" spans="1:21" s="11" customFormat="1" x14ac:dyDescent="0.25">
      <c r="A10" s="52" t="s">
        <v>277</v>
      </c>
      <c r="B10" s="53">
        <v>5.29</v>
      </c>
      <c r="C10" s="53">
        <v>5.15</v>
      </c>
      <c r="D10" s="53">
        <v>6.93</v>
      </c>
      <c r="E10" s="53">
        <v>5.0599999999999996</v>
      </c>
      <c r="F10" s="53">
        <v>5.25</v>
      </c>
      <c r="G10" s="53">
        <v>35.04</v>
      </c>
      <c r="H10" s="53">
        <v>23.25</v>
      </c>
      <c r="I10" s="53">
        <v>1.49</v>
      </c>
      <c r="J10" s="53">
        <v>0.56999999999999995</v>
      </c>
      <c r="K10" s="53">
        <v>334.65</v>
      </c>
      <c r="L10" s="53">
        <v>24.54</v>
      </c>
      <c r="M10" s="53">
        <v>100.92</v>
      </c>
      <c r="N10" s="53">
        <v>26</v>
      </c>
      <c r="O10" s="53">
        <v>0</v>
      </c>
      <c r="P10" s="53">
        <v>0.47</v>
      </c>
      <c r="Q10" s="53">
        <v>9.61</v>
      </c>
      <c r="R10" s="43"/>
      <c r="S10" s="43"/>
      <c r="T10" s="43"/>
      <c r="U10" s="43"/>
    </row>
    <row r="11" spans="1:21" s="11" customFormat="1" x14ac:dyDescent="0.25">
      <c r="A11" s="52" t="s">
        <v>278</v>
      </c>
      <c r="B11" s="53">
        <v>4.82</v>
      </c>
      <c r="C11" s="53">
        <v>5.48</v>
      </c>
      <c r="D11" s="53">
        <v>6.73</v>
      </c>
      <c r="E11" s="53">
        <v>4.7699999999999996</v>
      </c>
      <c r="F11" s="53">
        <v>4.12</v>
      </c>
      <c r="G11" s="53">
        <v>30.08</v>
      </c>
      <c r="H11" s="53">
        <v>15.76</v>
      </c>
      <c r="I11" s="53">
        <v>3.78</v>
      </c>
      <c r="J11" s="53">
        <v>0.5</v>
      </c>
      <c r="K11" s="53">
        <v>332.01</v>
      </c>
      <c r="L11" s="53">
        <v>24.12</v>
      </c>
      <c r="M11" s="53">
        <v>102.09</v>
      </c>
      <c r="N11" s="53">
        <v>26.2</v>
      </c>
      <c r="O11" s="53">
        <v>0</v>
      </c>
      <c r="P11" s="53">
        <v>0.46</v>
      </c>
      <c r="Q11" s="53">
        <v>9.6199999999999992</v>
      </c>
      <c r="R11" s="43"/>
      <c r="S11" s="43"/>
      <c r="T11" s="43"/>
      <c r="U11" s="43"/>
    </row>
    <row r="12" spans="1:21" s="11" customFormat="1" x14ac:dyDescent="0.25">
      <c r="A12" s="52" t="s">
        <v>279</v>
      </c>
      <c r="B12" s="53">
        <v>4.5599999999999996</v>
      </c>
      <c r="C12" s="53">
        <v>5.13</v>
      </c>
      <c r="D12" s="53">
        <v>6.34</v>
      </c>
      <c r="E12" s="53">
        <v>5.82</v>
      </c>
      <c r="F12" s="53">
        <v>3.54</v>
      </c>
      <c r="G12" s="53">
        <v>27.28</v>
      </c>
      <c r="H12" s="53">
        <v>6.84</v>
      </c>
      <c r="I12" s="53">
        <v>3.28</v>
      </c>
      <c r="J12" s="53">
        <v>0.49</v>
      </c>
      <c r="K12" s="53">
        <v>358.7</v>
      </c>
      <c r="L12" s="53">
        <v>23.52</v>
      </c>
      <c r="M12" s="53">
        <v>102.62</v>
      </c>
      <c r="N12" s="53">
        <v>26.1</v>
      </c>
      <c r="O12" s="53">
        <v>0</v>
      </c>
      <c r="P12" s="53">
        <v>0.42</v>
      </c>
      <c r="Q12" s="53">
        <v>9.6300000000000008</v>
      </c>
      <c r="R12" s="43"/>
      <c r="S12" s="43"/>
      <c r="T12" s="43"/>
      <c r="U12" s="43"/>
    </row>
    <row r="13" spans="1:21" s="11" customFormat="1" x14ac:dyDescent="0.25">
      <c r="A13" s="52" t="s">
        <v>280</v>
      </c>
      <c r="B13" s="53">
        <v>5.48</v>
      </c>
      <c r="C13" s="53">
        <v>4.83</v>
      </c>
      <c r="D13" s="53">
        <v>6.85</v>
      </c>
      <c r="E13" s="53">
        <v>5.37</v>
      </c>
      <c r="F13" s="53">
        <v>3.81</v>
      </c>
      <c r="G13" s="53">
        <v>22.49</v>
      </c>
      <c r="H13" s="53">
        <v>1.78</v>
      </c>
      <c r="I13" s="53">
        <v>2.79</v>
      </c>
      <c r="J13" s="53">
        <v>0.32</v>
      </c>
      <c r="K13" s="53">
        <v>297.98</v>
      </c>
      <c r="L13" s="53">
        <v>23.35</v>
      </c>
      <c r="M13" s="53">
        <v>102.63</v>
      </c>
      <c r="N13" s="53">
        <v>26.1</v>
      </c>
      <c r="O13" s="53">
        <v>0</v>
      </c>
      <c r="P13" s="53">
        <v>0.43</v>
      </c>
      <c r="Q13" s="53">
        <v>9.6199999999999992</v>
      </c>
      <c r="R13" s="43"/>
      <c r="S13" s="43"/>
      <c r="T13" s="43"/>
      <c r="U13" s="43"/>
    </row>
    <row r="14" spans="1:21" s="11" customFormat="1" x14ac:dyDescent="0.25">
      <c r="A14" s="52" t="s">
        <v>281</v>
      </c>
      <c r="B14" s="53">
        <v>7.99</v>
      </c>
      <c r="C14" s="53">
        <v>5.04</v>
      </c>
      <c r="D14" s="53">
        <v>9.0399999999999991</v>
      </c>
      <c r="E14" s="53">
        <v>6.1</v>
      </c>
      <c r="F14" s="53">
        <v>3.46</v>
      </c>
      <c r="G14" s="53">
        <v>25.25</v>
      </c>
      <c r="H14" s="53">
        <v>25.42</v>
      </c>
      <c r="I14" s="53">
        <v>3.41</v>
      </c>
      <c r="J14" s="53">
        <v>0.28000000000000003</v>
      </c>
      <c r="K14" s="53">
        <v>354.99</v>
      </c>
      <c r="L14" s="53">
        <v>23.12</v>
      </c>
      <c r="M14" s="53">
        <v>102.64</v>
      </c>
      <c r="N14" s="53">
        <v>27.9</v>
      </c>
      <c r="O14" s="53">
        <v>0</v>
      </c>
      <c r="P14" s="53">
        <v>0.64</v>
      </c>
      <c r="Q14" s="53">
        <v>9.6199999999999992</v>
      </c>
      <c r="R14" s="43"/>
      <c r="S14" s="43"/>
      <c r="T14" s="43"/>
      <c r="U14" s="43"/>
    </row>
    <row r="15" spans="1:21" s="11" customFormat="1" x14ac:dyDescent="0.25">
      <c r="A15" s="52" t="s">
        <v>282</v>
      </c>
      <c r="B15" s="53">
        <v>12.62</v>
      </c>
      <c r="C15" s="53">
        <v>6.36</v>
      </c>
      <c r="D15" s="53">
        <v>13.44</v>
      </c>
      <c r="E15" s="53">
        <v>6.18</v>
      </c>
      <c r="F15" s="53">
        <v>4.1500000000000004</v>
      </c>
      <c r="G15" s="53">
        <v>44.92</v>
      </c>
      <c r="H15" s="53">
        <v>7.63</v>
      </c>
      <c r="I15" s="53">
        <v>4.97</v>
      </c>
      <c r="J15" s="53">
        <v>0.59</v>
      </c>
      <c r="K15" s="53">
        <v>355.52</v>
      </c>
      <c r="L15" s="53">
        <v>25.32</v>
      </c>
      <c r="M15" s="53">
        <v>102.66</v>
      </c>
      <c r="N15" s="53">
        <v>112</v>
      </c>
      <c r="O15" s="53">
        <v>0</v>
      </c>
      <c r="P15" s="53">
        <v>0.87</v>
      </c>
      <c r="Q15" s="53">
        <v>9.61</v>
      </c>
      <c r="R15" s="43"/>
      <c r="S15" s="43"/>
      <c r="T15" s="43"/>
      <c r="U15" s="43"/>
    </row>
    <row r="16" spans="1:21" s="11" customFormat="1" x14ac:dyDescent="0.25">
      <c r="A16" s="52" t="s">
        <v>283</v>
      </c>
      <c r="B16" s="53">
        <v>15.03</v>
      </c>
      <c r="C16" s="53">
        <v>7.42</v>
      </c>
      <c r="D16" s="53">
        <v>15.93</v>
      </c>
      <c r="E16" s="53">
        <v>6.59</v>
      </c>
      <c r="F16" s="53">
        <v>4.3499999999999996</v>
      </c>
      <c r="G16" s="53">
        <v>55.73</v>
      </c>
      <c r="H16" s="53">
        <v>224.2</v>
      </c>
      <c r="I16" s="53">
        <v>5</v>
      </c>
      <c r="J16" s="53">
        <v>1.3</v>
      </c>
      <c r="K16" s="53">
        <v>123.01</v>
      </c>
      <c r="L16" s="53">
        <v>27.72</v>
      </c>
      <c r="M16" s="53">
        <v>99.18</v>
      </c>
      <c r="N16" s="53">
        <v>371</v>
      </c>
      <c r="O16" s="53">
        <v>0</v>
      </c>
      <c r="P16" s="53">
        <v>0.76</v>
      </c>
      <c r="Q16" s="53">
        <v>9.6</v>
      </c>
      <c r="R16" s="43"/>
      <c r="S16" s="43"/>
      <c r="T16" s="43"/>
      <c r="U16" s="43"/>
    </row>
    <row r="17" spans="1:21" s="11" customFormat="1" x14ac:dyDescent="0.25">
      <c r="A17" s="52" t="s">
        <v>284</v>
      </c>
      <c r="B17" s="53">
        <v>15.93</v>
      </c>
      <c r="C17" s="53">
        <v>8</v>
      </c>
      <c r="D17" s="53">
        <v>16.95</v>
      </c>
      <c r="E17" s="53">
        <v>4.91</v>
      </c>
      <c r="F17" s="53">
        <v>4.0999999999999996</v>
      </c>
      <c r="G17" s="53">
        <v>69.819999999999993</v>
      </c>
      <c r="H17" s="53">
        <v>40.94</v>
      </c>
      <c r="I17" s="53">
        <v>5.23</v>
      </c>
      <c r="J17" s="53">
        <v>0.97</v>
      </c>
      <c r="K17" s="53">
        <v>349.61</v>
      </c>
      <c r="L17" s="53">
        <v>32.619999999999997</v>
      </c>
      <c r="M17" s="53">
        <v>79.97</v>
      </c>
      <c r="N17" s="53">
        <v>497.2</v>
      </c>
      <c r="O17" s="53">
        <v>0</v>
      </c>
      <c r="P17" s="53">
        <v>0.67</v>
      </c>
      <c r="Q17" s="53">
        <v>9.61</v>
      </c>
      <c r="R17" s="43"/>
      <c r="S17" s="43"/>
      <c r="T17" s="43"/>
      <c r="U17" s="43"/>
    </row>
    <row r="18" spans="1:21" s="11" customFormat="1" x14ac:dyDescent="0.25">
      <c r="A18" s="52" t="s">
        <v>285</v>
      </c>
      <c r="B18" s="53">
        <v>15.22</v>
      </c>
      <c r="C18" s="53">
        <v>8.6300000000000008</v>
      </c>
      <c r="D18" s="53">
        <v>16.43</v>
      </c>
      <c r="E18" s="53">
        <v>4.37</v>
      </c>
      <c r="F18" s="53">
        <v>4.2300000000000004</v>
      </c>
      <c r="G18" s="53">
        <v>63.94</v>
      </c>
      <c r="H18" s="53">
        <v>0.82</v>
      </c>
      <c r="I18" s="53">
        <v>4.05</v>
      </c>
      <c r="J18" s="53">
        <v>0.5</v>
      </c>
      <c r="K18" s="53">
        <v>351.2</v>
      </c>
      <c r="L18" s="53">
        <v>32.17</v>
      </c>
      <c r="M18" s="53">
        <v>73.72</v>
      </c>
      <c r="N18" s="53">
        <v>598.70000000000005</v>
      </c>
      <c r="O18" s="53">
        <v>0</v>
      </c>
      <c r="P18" s="53">
        <v>0.62</v>
      </c>
      <c r="Q18" s="53">
        <v>9.6199999999999992</v>
      </c>
      <c r="R18" s="43"/>
      <c r="S18" s="43"/>
      <c r="T18" s="43"/>
      <c r="U18" s="43"/>
    </row>
    <row r="19" spans="1:21" s="11" customFormat="1" x14ac:dyDescent="0.25">
      <c r="A19" s="52" t="s">
        <v>286</v>
      </c>
      <c r="B19" s="53">
        <v>12.66</v>
      </c>
      <c r="C19" s="53">
        <v>9.5500000000000007</v>
      </c>
      <c r="D19" s="53">
        <v>14.68</v>
      </c>
      <c r="E19" s="53">
        <v>4.4800000000000004</v>
      </c>
      <c r="F19" s="53">
        <v>4.46</v>
      </c>
      <c r="G19" s="53">
        <v>58.79</v>
      </c>
      <c r="H19" s="53">
        <v>16.59</v>
      </c>
      <c r="I19" s="53">
        <v>6.01</v>
      </c>
      <c r="J19" s="53">
        <v>0.55000000000000004</v>
      </c>
      <c r="K19" s="53">
        <v>347.2</v>
      </c>
      <c r="L19" s="53">
        <v>32.56</v>
      </c>
      <c r="M19" s="53">
        <v>69.33</v>
      </c>
      <c r="N19" s="53">
        <v>573.1</v>
      </c>
      <c r="O19" s="53">
        <v>0</v>
      </c>
      <c r="P19" s="53">
        <v>0.63</v>
      </c>
      <c r="Q19" s="53">
        <v>9.61</v>
      </c>
      <c r="R19" s="43"/>
      <c r="S19" s="43"/>
      <c r="T19" s="43"/>
      <c r="U19" s="43"/>
    </row>
    <row r="20" spans="1:21" s="11" customFormat="1" x14ac:dyDescent="0.25">
      <c r="A20" s="52" t="s">
        <v>287</v>
      </c>
      <c r="B20" s="53">
        <v>8.93</v>
      </c>
      <c r="C20" s="53">
        <v>10.5</v>
      </c>
      <c r="D20" s="53">
        <v>12.63</v>
      </c>
      <c r="E20" s="53">
        <v>4.18</v>
      </c>
      <c r="F20" s="53">
        <v>4.1500000000000004</v>
      </c>
      <c r="G20" s="53">
        <v>52.38</v>
      </c>
      <c r="H20" s="53">
        <v>19.09</v>
      </c>
      <c r="I20" s="53">
        <v>5.76</v>
      </c>
      <c r="J20" s="53">
        <v>0.76</v>
      </c>
      <c r="K20" s="53">
        <v>348.66</v>
      </c>
      <c r="L20" s="53">
        <v>32.72</v>
      </c>
      <c r="M20" s="53">
        <v>68.72</v>
      </c>
      <c r="N20" s="53">
        <v>221.4</v>
      </c>
      <c r="O20" s="53">
        <v>0</v>
      </c>
      <c r="P20" s="53">
        <v>0.63</v>
      </c>
      <c r="Q20" s="53">
        <v>9.6199999999999992</v>
      </c>
      <c r="R20" s="43"/>
      <c r="S20" s="43"/>
      <c r="T20" s="43"/>
      <c r="U20" s="43"/>
    </row>
    <row r="21" spans="1:21" s="11" customFormat="1" x14ac:dyDescent="0.25">
      <c r="A21" s="52" t="s">
        <v>288</v>
      </c>
      <c r="B21" s="53">
        <v>10.78</v>
      </c>
      <c r="C21" s="53">
        <v>10.64</v>
      </c>
      <c r="D21" s="53">
        <v>14.05</v>
      </c>
      <c r="E21" s="53">
        <v>4.78</v>
      </c>
      <c r="F21" s="53">
        <v>4.24</v>
      </c>
      <c r="G21" s="53">
        <v>45.04</v>
      </c>
      <c r="H21" s="53">
        <v>1.53</v>
      </c>
      <c r="I21" s="53">
        <v>4.1500000000000004</v>
      </c>
      <c r="J21" s="53">
        <v>1.95</v>
      </c>
      <c r="K21" s="53">
        <v>340.38</v>
      </c>
      <c r="L21" s="53">
        <v>30.99</v>
      </c>
      <c r="M21" s="53">
        <v>75.69</v>
      </c>
      <c r="N21" s="53">
        <v>206.7</v>
      </c>
      <c r="O21" s="53">
        <v>0</v>
      </c>
      <c r="P21" s="53">
        <v>0.67</v>
      </c>
      <c r="Q21" s="53">
        <v>9.61</v>
      </c>
      <c r="R21" s="43"/>
      <c r="S21" s="43"/>
      <c r="T21" s="43"/>
      <c r="U21" s="43"/>
    </row>
    <row r="22" spans="1:21" s="11" customFormat="1" x14ac:dyDescent="0.25">
      <c r="A22" s="52" t="s">
        <v>289</v>
      </c>
      <c r="B22" s="53">
        <v>10.46</v>
      </c>
      <c r="C22" s="53">
        <v>12.29</v>
      </c>
      <c r="D22" s="53">
        <v>14.19</v>
      </c>
      <c r="E22" s="53">
        <v>4.7300000000000004</v>
      </c>
      <c r="F22" s="53">
        <v>4.25</v>
      </c>
      <c r="G22" s="53">
        <v>44.14</v>
      </c>
      <c r="H22" s="53">
        <v>0.15</v>
      </c>
      <c r="I22" s="53">
        <v>4.3</v>
      </c>
      <c r="J22" s="53">
        <v>1.93</v>
      </c>
      <c r="K22" s="53">
        <v>349.79</v>
      </c>
      <c r="L22" s="53">
        <v>28.67</v>
      </c>
      <c r="M22" s="53">
        <v>102.7</v>
      </c>
      <c r="N22" s="53">
        <v>181.4</v>
      </c>
      <c r="O22" s="53">
        <v>5.2</v>
      </c>
      <c r="P22" s="53">
        <v>0.65</v>
      </c>
      <c r="Q22" s="53">
        <v>9.61</v>
      </c>
      <c r="R22" s="43"/>
      <c r="S22" s="43"/>
      <c r="T22" s="43"/>
      <c r="U22" s="43"/>
    </row>
    <row r="23" spans="1:21" s="11" customFormat="1" x14ac:dyDescent="0.25">
      <c r="A23" s="52" t="s">
        <v>290</v>
      </c>
      <c r="B23" s="53">
        <v>8.52</v>
      </c>
      <c r="C23" s="53">
        <v>13.76</v>
      </c>
      <c r="D23" s="53">
        <v>12.61</v>
      </c>
      <c r="E23" s="53">
        <v>5</v>
      </c>
      <c r="F23" s="53">
        <v>7</v>
      </c>
      <c r="G23" s="53">
        <v>35.68</v>
      </c>
      <c r="H23" s="53">
        <v>141.56</v>
      </c>
      <c r="I23" s="53">
        <v>3.84</v>
      </c>
      <c r="J23" s="53">
        <v>0.69</v>
      </c>
      <c r="K23" s="53">
        <v>320.04000000000002</v>
      </c>
      <c r="L23" s="53">
        <v>27.32</v>
      </c>
      <c r="M23" s="53">
        <v>102.68</v>
      </c>
      <c r="N23" s="53">
        <v>188.6</v>
      </c>
      <c r="O23" s="53">
        <v>0.2</v>
      </c>
      <c r="P23" s="53">
        <v>0.81</v>
      </c>
      <c r="Q23" s="53">
        <v>9.6199999999999992</v>
      </c>
      <c r="R23" s="43"/>
      <c r="S23" s="43"/>
      <c r="T23" s="43"/>
      <c r="U23" s="43"/>
    </row>
    <row r="24" spans="1:21" s="11" customFormat="1" x14ac:dyDescent="0.25">
      <c r="A24" s="52" t="s">
        <v>291</v>
      </c>
      <c r="B24" s="53">
        <v>4.3499999999999996</v>
      </c>
      <c r="C24" s="53">
        <v>13.54</v>
      </c>
      <c r="D24" s="53">
        <v>10.15</v>
      </c>
      <c r="E24" s="53">
        <v>5</v>
      </c>
      <c r="F24" s="53">
        <v>6.31</v>
      </c>
      <c r="G24" s="53">
        <v>66.03</v>
      </c>
      <c r="H24" s="53">
        <v>0</v>
      </c>
      <c r="I24" s="53">
        <v>2.46</v>
      </c>
      <c r="J24" s="53">
        <v>0.93</v>
      </c>
      <c r="K24" s="53">
        <v>330.41</v>
      </c>
      <c r="L24" s="53">
        <v>28.95</v>
      </c>
      <c r="M24" s="53">
        <v>83.23</v>
      </c>
      <c r="N24" s="53">
        <v>116.4</v>
      </c>
      <c r="O24" s="53">
        <v>0</v>
      </c>
      <c r="P24" s="53">
        <v>0.62</v>
      </c>
      <c r="Q24" s="53">
        <v>9.61</v>
      </c>
      <c r="R24" s="43"/>
      <c r="S24" s="43"/>
      <c r="T24" s="43"/>
      <c r="U24" s="43"/>
    </row>
    <row r="25" spans="1:21" s="11" customFormat="1" x14ac:dyDescent="0.25">
      <c r="A25" s="52" t="s">
        <v>292</v>
      </c>
      <c r="B25" s="53">
        <v>7.4</v>
      </c>
      <c r="C25" s="53">
        <v>22.02</v>
      </c>
      <c r="D25" s="53">
        <v>16.88</v>
      </c>
      <c r="E25" s="53">
        <v>6.01</v>
      </c>
      <c r="F25" s="53">
        <v>5.72</v>
      </c>
      <c r="G25" s="53">
        <v>66.03</v>
      </c>
      <c r="H25" s="53">
        <v>5.07</v>
      </c>
      <c r="I25" s="53">
        <v>2.23</v>
      </c>
      <c r="J25" s="53">
        <v>0.95</v>
      </c>
      <c r="K25" s="53">
        <v>347.33</v>
      </c>
      <c r="L25" s="53">
        <v>29.1</v>
      </c>
      <c r="M25" s="53">
        <v>79.13</v>
      </c>
      <c r="N25" s="53">
        <v>75.2</v>
      </c>
      <c r="O25" s="53">
        <v>0</v>
      </c>
      <c r="P25" s="53">
        <v>0.8</v>
      </c>
      <c r="Q25" s="53">
        <v>9.6199999999999992</v>
      </c>
      <c r="R25" s="43"/>
      <c r="S25" s="43"/>
      <c r="T25" s="43"/>
      <c r="U25" s="43"/>
    </row>
    <row r="26" spans="1:21" s="11" customFormat="1" x14ac:dyDescent="0.25">
      <c r="A26" s="52" t="s">
        <v>293</v>
      </c>
      <c r="B26" s="53">
        <v>11.56</v>
      </c>
      <c r="C26" s="53">
        <v>19.84</v>
      </c>
      <c r="D26" s="53">
        <v>16.920000000000002</v>
      </c>
      <c r="E26" s="53">
        <v>5.7</v>
      </c>
      <c r="F26" s="53">
        <v>5.37</v>
      </c>
      <c r="G26" s="53">
        <v>58.05</v>
      </c>
      <c r="H26" s="53">
        <v>5.07</v>
      </c>
      <c r="I26" s="53">
        <v>3.51</v>
      </c>
      <c r="J26" s="53">
        <v>0.53</v>
      </c>
      <c r="K26" s="53">
        <v>341.95</v>
      </c>
      <c r="L26" s="53">
        <v>28.27</v>
      </c>
      <c r="M26" s="53">
        <v>97.86</v>
      </c>
      <c r="N26" s="53">
        <v>38.6</v>
      </c>
      <c r="O26" s="53">
        <v>0</v>
      </c>
      <c r="P26" s="53">
        <v>1.64</v>
      </c>
      <c r="Q26" s="53">
        <v>9.6300000000000008</v>
      </c>
      <c r="R26" s="43"/>
      <c r="S26" s="43"/>
      <c r="T26" s="43"/>
      <c r="U26" s="43"/>
    </row>
    <row r="27" spans="1:21" s="11" customFormat="1" x14ac:dyDescent="0.25">
      <c r="A27" s="52" t="s">
        <v>294</v>
      </c>
      <c r="B27" s="53">
        <v>27.36</v>
      </c>
      <c r="C27" s="53">
        <v>13.58</v>
      </c>
      <c r="D27" s="53">
        <v>28.79</v>
      </c>
      <c r="E27" s="53">
        <v>5.96</v>
      </c>
      <c r="F27" s="53">
        <v>4.38</v>
      </c>
      <c r="G27" s="53">
        <v>62.46</v>
      </c>
      <c r="H27" s="53">
        <v>3.75</v>
      </c>
      <c r="I27" s="53">
        <v>6.82</v>
      </c>
      <c r="J27" s="53">
        <v>0.53</v>
      </c>
      <c r="K27" s="53">
        <v>344.51</v>
      </c>
      <c r="L27" s="53">
        <v>26.32</v>
      </c>
      <c r="M27" s="53">
        <v>102.63</v>
      </c>
      <c r="N27" s="53">
        <v>26.5</v>
      </c>
      <c r="O27" s="53">
        <v>0</v>
      </c>
      <c r="P27" s="53">
        <v>2.2999999999999998</v>
      </c>
      <c r="Q27" s="53">
        <v>9.6300000000000008</v>
      </c>
      <c r="R27" s="43"/>
      <c r="S27" s="43"/>
      <c r="T27" s="43"/>
      <c r="U27" s="43"/>
    </row>
    <row r="28" spans="1:21" s="11" customFormat="1" x14ac:dyDescent="0.25">
      <c r="A28" s="52" t="s">
        <v>295</v>
      </c>
      <c r="B28" s="53">
        <v>44.5</v>
      </c>
      <c r="C28" s="53">
        <v>12.02</v>
      </c>
      <c r="D28" s="53">
        <v>41.87</v>
      </c>
      <c r="E28" s="53">
        <v>7.32</v>
      </c>
      <c r="F28" s="53">
        <v>6.47</v>
      </c>
      <c r="G28" s="53">
        <v>73.75</v>
      </c>
      <c r="H28" s="53">
        <v>2.59</v>
      </c>
      <c r="I28" s="53">
        <v>12.24</v>
      </c>
      <c r="J28" s="53">
        <v>0.37</v>
      </c>
      <c r="K28" s="53">
        <v>346.81</v>
      </c>
      <c r="L28" s="53">
        <v>25.84</v>
      </c>
      <c r="M28" s="53">
        <v>102.64</v>
      </c>
      <c r="N28" s="53">
        <v>26.1</v>
      </c>
      <c r="O28" s="53">
        <v>0</v>
      </c>
      <c r="P28" s="53">
        <v>2.67</v>
      </c>
      <c r="Q28" s="53">
        <v>9.6199999999999992</v>
      </c>
      <c r="R28" s="43"/>
      <c r="S28" s="43"/>
      <c r="T28" s="43"/>
      <c r="U28" s="43"/>
    </row>
    <row r="29" spans="1:21" s="11" customFormat="1" x14ac:dyDescent="0.25">
      <c r="A29" s="52" t="s">
        <v>296</v>
      </c>
      <c r="B29" s="53">
        <v>58.36</v>
      </c>
      <c r="C29" s="53">
        <v>11.48</v>
      </c>
      <c r="D29" s="53">
        <v>52.41</v>
      </c>
      <c r="E29" s="53">
        <v>8.84</v>
      </c>
      <c r="F29" s="53">
        <v>4.21</v>
      </c>
      <c r="G29" s="53">
        <v>80.8</v>
      </c>
      <c r="H29" s="53">
        <v>19.86</v>
      </c>
      <c r="I29" s="53">
        <v>11.99</v>
      </c>
      <c r="J29" s="53">
        <v>0.55000000000000004</v>
      </c>
      <c r="K29" s="53">
        <v>341.9</v>
      </c>
      <c r="L29" s="53">
        <v>25.72</v>
      </c>
      <c r="M29" s="53">
        <v>102.64</v>
      </c>
      <c r="N29" s="53">
        <v>26.1</v>
      </c>
      <c r="O29" s="53">
        <v>0</v>
      </c>
      <c r="P29" s="53">
        <v>2.99</v>
      </c>
      <c r="Q29" s="53">
        <v>9.66</v>
      </c>
      <c r="R29" s="43"/>
      <c r="S29" s="43"/>
      <c r="T29" s="43"/>
      <c r="U29" s="43"/>
    </row>
    <row r="30" spans="1:21" s="11" customFormat="1" x14ac:dyDescent="0.25">
      <c r="A30" s="52" t="s">
        <v>297</v>
      </c>
      <c r="B30" s="53">
        <v>74.52</v>
      </c>
      <c r="C30" s="53">
        <v>10.039999999999999</v>
      </c>
      <c r="D30" s="53">
        <v>64.8</v>
      </c>
      <c r="E30" s="53">
        <v>9.31</v>
      </c>
      <c r="F30" s="53">
        <v>4.4400000000000004</v>
      </c>
      <c r="G30" s="53">
        <v>88.43</v>
      </c>
      <c r="H30" s="53">
        <v>118.5</v>
      </c>
      <c r="I30" s="53">
        <v>14.46</v>
      </c>
      <c r="J30" s="53">
        <v>0.56000000000000005</v>
      </c>
      <c r="K30" s="53">
        <v>325.45999999999998</v>
      </c>
      <c r="L30" s="53">
        <v>25.09</v>
      </c>
      <c r="M30" s="53">
        <v>102.68</v>
      </c>
      <c r="N30" s="53">
        <v>26.1</v>
      </c>
      <c r="O30" s="53">
        <v>0</v>
      </c>
      <c r="P30" s="53">
        <v>3.94</v>
      </c>
      <c r="Q30" s="53">
        <v>9.64</v>
      </c>
      <c r="R30" s="43"/>
      <c r="S30" s="43"/>
      <c r="T30" s="43"/>
      <c r="U30" s="43"/>
    </row>
    <row r="31" spans="1:21" s="11" customFormat="1" x14ac:dyDescent="0.25">
      <c r="A31" s="52" t="s">
        <v>298</v>
      </c>
      <c r="B31" s="53">
        <v>86.4</v>
      </c>
      <c r="C31" s="53">
        <v>10.07</v>
      </c>
      <c r="D31" s="53">
        <v>74.540000000000006</v>
      </c>
      <c r="E31" s="53">
        <v>9.5299999999999994</v>
      </c>
      <c r="F31" s="53">
        <v>4.5</v>
      </c>
      <c r="G31" s="53">
        <v>92.09</v>
      </c>
      <c r="H31" s="53">
        <v>118.5</v>
      </c>
      <c r="I31" s="53">
        <v>15.93</v>
      </c>
      <c r="J31" s="53">
        <v>0.53</v>
      </c>
      <c r="K31" s="53">
        <v>324.49</v>
      </c>
      <c r="L31" s="53">
        <v>24.77</v>
      </c>
      <c r="M31" s="53">
        <v>102.68</v>
      </c>
      <c r="N31" s="53">
        <v>26.1</v>
      </c>
      <c r="O31" s="53">
        <v>0</v>
      </c>
      <c r="P31" s="53">
        <v>4.41</v>
      </c>
      <c r="Q31" s="53">
        <v>9.66</v>
      </c>
      <c r="R31" s="43"/>
      <c r="S31" s="43"/>
      <c r="T31" s="43"/>
      <c r="U31" s="43"/>
    </row>
    <row r="32" spans="1:21" s="11" customFormat="1" x14ac:dyDescent="0.25">
      <c r="A32" s="52" t="s">
        <v>299</v>
      </c>
      <c r="B32" s="53">
        <v>88.29</v>
      </c>
      <c r="C32" s="53">
        <v>10.27</v>
      </c>
      <c r="D32" s="53">
        <v>75.67</v>
      </c>
      <c r="E32" s="53">
        <v>8.56</v>
      </c>
      <c r="F32" s="53">
        <v>4.53</v>
      </c>
      <c r="G32" s="53">
        <v>92.09</v>
      </c>
      <c r="H32" s="53">
        <v>0</v>
      </c>
      <c r="I32" s="53">
        <v>10.85</v>
      </c>
      <c r="J32" s="53">
        <v>0.53</v>
      </c>
      <c r="K32" s="53">
        <v>323.93</v>
      </c>
      <c r="L32" s="53">
        <v>24.7</v>
      </c>
      <c r="M32" s="53">
        <v>102.68</v>
      </c>
      <c r="N32" s="53">
        <v>26.1</v>
      </c>
      <c r="O32" s="53">
        <v>0</v>
      </c>
      <c r="P32" s="53">
        <v>2.98</v>
      </c>
      <c r="Q32" s="53">
        <v>9.7100000000000009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4.3499999999999996</v>
      </c>
      <c r="C34" s="28">
        <f t="shared" si="0"/>
        <v>4.83</v>
      </c>
      <c r="D34" s="28">
        <f t="shared" si="0"/>
        <v>6.34</v>
      </c>
      <c r="E34" s="28">
        <f t="shared" si="0"/>
        <v>4.18</v>
      </c>
      <c r="F34" s="28">
        <f t="shared" si="0"/>
        <v>3.46</v>
      </c>
      <c r="G34" s="28">
        <f t="shared" si="0"/>
        <v>22.49</v>
      </c>
      <c r="H34" s="28">
        <f t="shared" si="0"/>
        <v>0</v>
      </c>
      <c r="I34" s="28">
        <f t="shared" si="0"/>
        <v>1.49</v>
      </c>
      <c r="J34" s="28">
        <f t="shared" si="0"/>
        <v>0.28000000000000003</v>
      </c>
      <c r="K34" s="28">
        <f t="shared" si="0"/>
        <v>123.01</v>
      </c>
      <c r="L34" s="28">
        <f t="shared" si="0"/>
        <v>23.12</v>
      </c>
      <c r="M34" s="28">
        <f t="shared" si="0"/>
        <v>68.72</v>
      </c>
      <c r="N34" s="28">
        <f t="shared" si="0"/>
        <v>26</v>
      </c>
      <c r="O34" s="28">
        <f t="shared" si="0"/>
        <v>0</v>
      </c>
      <c r="P34" s="28">
        <f t="shared" si="0"/>
        <v>0.42</v>
      </c>
      <c r="Q34" s="28">
        <f t="shared" si="0"/>
        <v>9.6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88.29</v>
      </c>
      <c r="C35" s="29">
        <f t="shared" si="1"/>
        <v>22.02</v>
      </c>
      <c r="D35" s="29">
        <f t="shared" si="1"/>
        <v>75.67</v>
      </c>
      <c r="E35" s="29">
        <f t="shared" si="1"/>
        <v>9.5299999999999994</v>
      </c>
      <c r="F35" s="29">
        <f t="shared" si="1"/>
        <v>7</v>
      </c>
      <c r="G35" s="29">
        <f t="shared" si="1"/>
        <v>92.09</v>
      </c>
      <c r="H35" s="29">
        <f t="shared" si="1"/>
        <v>224.2</v>
      </c>
      <c r="I35" s="29">
        <f t="shared" si="1"/>
        <v>15.93</v>
      </c>
      <c r="J35" s="29">
        <f t="shared" si="1"/>
        <v>1.95</v>
      </c>
      <c r="K35" s="29">
        <f t="shared" si="1"/>
        <v>358.7</v>
      </c>
      <c r="L35" s="29">
        <f t="shared" si="1"/>
        <v>32.72</v>
      </c>
      <c r="M35" s="29">
        <f t="shared" si="1"/>
        <v>102.7</v>
      </c>
      <c r="N35" s="29">
        <f t="shared" si="1"/>
        <v>598.70000000000005</v>
      </c>
      <c r="O35" s="29">
        <f t="shared" si="1"/>
        <v>5.2</v>
      </c>
      <c r="P35" s="29">
        <f t="shared" si="1"/>
        <v>4.41</v>
      </c>
      <c r="Q35" s="29">
        <f t="shared" si="1"/>
        <v>9.7100000000000009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22.767499999999998</v>
      </c>
      <c r="C36" s="28">
        <f t="shared" si="2"/>
        <v>10.054583333333335</v>
      </c>
      <c r="D36" s="28">
        <f t="shared" si="2"/>
        <v>23.170833333333331</v>
      </c>
      <c r="E36" s="28">
        <f t="shared" si="2"/>
        <v>5.9783333333333326</v>
      </c>
      <c r="F36" s="28">
        <f t="shared" si="2"/>
        <v>4.621666666666667</v>
      </c>
      <c r="G36" s="28">
        <f t="shared" si="2"/>
        <v>55.316666666666663</v>
      </c>
      <c r="H36" s="28">
        <f t="shared" si="2"/>
        <v>35.314583333333331</v>
      </c>
      <c r="I36" s="28">
        <f t="shared" si="2"/>
        <v>5.867916666666666</v>
      </c>
      <c r="J36" s="28">
        <f t="shared" si="2"/>
        <v>0.71916666666666662</v>
      </c>
      <c r="K36" s="28">
        <f t="shared" si="2"/>
        <v>329.53083333333331</v>
      </c>
      <c r="L36" s="28">
        <f t="shared" si="2"/>
        <v>27.166666666666671</v>
      </c>
      <c r="M36" s="28">
        <f t="shared" si="2"/>
        <v>94.350416666666661</v>
      </c>
      <c r="N36" s="28">
        <f t="shared" si="2"/>
        <v>145.65416666666664</v>
      </c>
      <c r="O36" s="28">
        <f t="shared" si="2"/>
        <v>0.22500000000000001</v>
      </c>
      <c r="P36" s="28">
        <f t="shared" si="2"/>
        <v>1.3150000000000002</v>
      </c>
      <c r="Q36" s="28">
        <f t="shared" si="2"/>
        <v>9.6254166666666663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26.636412353083109</v>
      </c>
      <c r="C37" s="28">
        <f t="shared" ref="C37:Q37" si="3">STDEV(C9:C32)</f>
        <v>4.4561076592710869</v>
      </c>
      <c r="D37" s="28">
        <f t="shared" si="3"/>
        <v>21.707901570158967</v>
      </c>
      <c r="E37" s="28">
        <f t="shared" si="3"/>
        <v>1.5993549424327509</v>
      </c>
      <c r="F37" s="28">
        <f t="shared" si="3"/>
        <v>0.92319702860396535</v>
      </c>
      <c r="G37" s="28">
        <f t="shared" si="3"/>
        <v>21.109150430182133</v>
      </c>
      <c r="H37" s="28">
        <f t="shared" si="3"/>
        <v>57.162614719394796</v>
      </c>
      <c r="I37" s="28">
        <f t="shared" si="3"/>
        <v>4.079240103112415</v>
      </c>
      <c r="J37" s="28">
        <f t="shared" si="3"/>
        <v>0.44153799055285092</v>
      </c>
      <c r="K37" s="28">
        <f t="shared" si="3"/>
        <v>46.331248250967235</v>
      </c>
      <c r="L37" s="28">
        <f t="shared" si="3"/>
        <v>3.173921818530574</v>
      </c>
      <c r="M37" s="28">
        <f t="shared" si="3"/>
        <v>12.606192915342877</v>
      </c>
      <c r="N37" s="28">
        <f t="shared" si="3"/>
        <v>182.29459907372259</v>
      </c>
      <c r="O37" s="28">
        <f t="shared" si="3"/>
        <v>1.060455193485941</v>
      </c>
      <c r="P37" s="28">
        <f t="shared" si="3"/>
        <v>1.2040980748730741</v>
      </c>
      <c r="Q37" s="28">
        <f t="shared" si="3"/>
        <v>2.3215281074377217E-2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4" sqref="G54"/>
    </sheetView>
  </sheetViews>
  <sheetFormatPr defaultColWidth="8.85546875" defaultRowHeight="15" x14ac:dyDescent="0.25"/>
  <cols>
    <col min="1" max="1" width="18.28515625" style="26" customWidth="1"/>
    <col min="2" max="2" width="14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5.5" customHeight="1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11/10/2024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300</v>
      </c>
      <c r="B9" s="53">
        <v>89.8</v>
      </c>
      <c r="C9" s="53">
        <v>9.61</v>
      </c>
      <c r="D9" s="53">
        <v>77.03</v>
      </c>
      <c r="E9" s="53">
        <v>7.26</v>
      </c>
      <c r="F9" s="53">
        <v>4.13</v>
      </c>
      <c r="G9" s="53">
        <v>85.66</v>
      </c>
      <c r="H9" s="53">
        <v>34.29</v>
      </c>
      <c r="I9" s="53">
        <v>11.13</v>
      </c>
      <c r="J9" s="53">
        <v>0.51</v>
      </c>
      <c r="K9" s="53">
        <v>338.54</v>
      </c>
      <c r="L9" s="53">
        <v>24.27</v>
      </c>
      <c r="M9" s="53">
        <v>102.68</v>
      </c>
      <c r="N9" s="53">
        <v>26.1</v>
      </c>
      <c r="O9" s="53">
        <v>0</v>
      </c>
      <c r="P9" s="53">
        <v>2.19</v>
      </c>
      <c r="Q9" s="53">
        <v>9.7200000000000006</v>
      </c>
      <c r="R9" s="43"/>
      <c r="S9" s="43"/>
      <c r="T9" s="43"/>
      <c r="U9" s="43"/>
    </row>
    <row r="10" spans="1:21" s="11" customFormat="1" x14ac:dyDescent="0.25">
      <c r="A10" s="52" t="s">
        <v>301</v>
      </c>
      <c r="B10" s="53">
        <v>80.41</v>
      </c>
      <c r="C10" s="53">
        <v>8.02</v>
      </c>
      <c r="D10" s="53">
        <v>68.67</v>
      </c>
      <c r="E10" s="53">
        <v>6.37</v>
      </c>
      <c r="F10" s="53">
        <v>4.72</v>
      </c>
      <c r="G10" s="53">
        <v>84.65</v>
      </c>
      <c r="H10" s="53">
        <v>36.08</v>
      </c>
      <c r="I10" s="53">
        <v>6.54</v>
      </c>
      <c r="J10" s="53">
        <v>0.52</v>
      </c>
      <c r="K10" s="53">
        <v>322.83</v>
      </c>
      <c r="L10" s="53">
        <v>23.87</v>
      </c>
      <c r="M10" s="53">
        <v>102.72</v>
      </c>
      <c r="N10" s="53">
        <v>26.1</v>
      </c>
      <c r="O10" s="53">
        <v>0</v>
      </c>
      <c r="P10" s="53">
        <v>1.21</v>
      </c>
      <c r="Q10" s="53">
        <v>9.69</v>
      </c>
      <c r="R10" s="43"/>
      <c r="S10" s="43"/>
      <c r="T10" s="43"/>
      <c r="U10" s="43"/>
    </row>
    <row r="11" spans="1:21" s="11" customFormat="1" x14ac:dyDescent="0.25">
      <c r="A11" s="52" t="s">
        <v>302</v>
      </c>
      <c r="B11" s="53">
        <v>71.69</v>
      </c>
      <c r="C11" s="53">
        <v>6.67</v>
      </c>
      <c r="D11" s="53">
        <v>60.98</v>
      </c>
      <c r="E11" s="53">
        <v>5.58</v>
      </c>
      <c r="F11" s="53">
        <v>3.56</v>
      </c>
      <c r="G11" s="53">
        <v>71.150000000000006</v>
      </c>
      <c r="H11" s="53">
        <v>36.08</v>
      </c>
      <c r="I11" s="53">
        <v>4.38</v>
      </c>
      <c r="J11" s="53">
        <v>0.49</v>
      </c>
      <c r="K11" s="53">
        <v>310.14</v>
      </c>
      <c r="L11" s="53">
        <v>24</v>
      </c>
      <c r="M11" s="53">
        <v>102.71</v>
      </c>
      <c r="N11" s="53">
        <v>26.1</v>
      </c>
      <c r="O11" s="53">
        <v>0</v>
      </c>
      <c r="P11" s="53">
        <v>1</v>
      </c>
      <c r="Q11" s="53">
        <v>9.6300000000000008</v>
      </c>
      <c r="R11" s="43"/>
      <c r="S11" s="43"/>
      <c r="T11" s="43"/>
      <c r="U11" s="43"/>
    </row>
    <row r="12" spans="1:21" s="11" customFormat="1" x14ac:dyDescent="0.25">
      <c r="A12" s="52" t="s">
        <v>303</v>
      </c>
      <c r="B12" s="53">
        <v>62.74</v>
      </c>
      <c r="C12" s="53">
        <v>7.16</v>
      </c>
      <c r="D12" s="53">
        <v>53.98</v>
      </c>
      <c r="E12" s="53">
        <v>6.04</v>
      </c>
      <c r="F12" s="53">
        <v>4</v>
      </c>
      <c r="G12" s="53">
        <v>61.64</v>
      </c>
      <c r="H12" s="53">
        <v>20.37</v>
      </c>
      <c r="I12" s="53">
        <v>6.59</v>
      </c>
      <c r="J12" s="53">
        <v>0.35</v>
      </c>
      <c r="K12" s="53">
        <v>287.27</v>
      </c>
      <c r="L12" s="53">
        <v>24.05</v>
      </c>
      <c r="M12" s="53">
        <v>102.7</v>
      </c>
      <c r="N12" s="53">
        <v>26.1</v>
      </c>
      <c r="O12" s="53">
        <v>0</v>
      </c>
      <c r="P12" s="53">
        <v>1.17</v>
      </c>
      <c r="Q12" s="53">
        <v>9.6300000000000008</v>
      </c>
      <c r="R12" s="43"/>
      <c r="S12" s="43"/>
      <c r="T12" s="43"/>
      <c r="U12" s="43"/>
    </row>
    <row r="13" spans="1:21" s="11" customFormat="1" x14ac:dyDescent="0.25">
      <c r="A13" s="52" t="s">
        <v>304</v>
      </c>
      <c r="B13" s="53">
        <v>51.45</v>
      </c>
      <c r="C13" s="53">
        <v>6.7</v>
      </c>
      <c r="D13" s="53">
        <v>44.76</v>
      </c>
      <c r="E13" s="53">
        <v>5.86</v>
      </c>
      <c r="F13" s="53">
        <v>3.92</v>
      </c>
      <c r="G13" s="53">
        <v>57.14</v>
      </c>
      <c r="H13" s="53">
        <v>7.55</v>
      </c>
      <c r="I13" s="53">
        <v>5.79</v>
      </c>
      <c r="J13" s="53">
        <v>0.49</v>
      </c>
      <c r="K13" s="53">
        <v>350.61</v>
      </c>
      <c r="L13" s="53">
        <v>23.67</v>
      </c>
      <c r="M13" s="53">
        <v>102.7</v>
      </c>
      <c r="N13" s="53">
        <v>26.1</v>
      </c>
      <c r="O13" s="53">
        <v>0</v>
      </c>
      <c r="P13" s="53">
        <v>0.96</v>
      </c>
      <c r="Q13" s="53">
        <v>9.64</v>
      </c>
      <c r="R13" s="43"/>
      <c r="S13" s="43"/>
      <c r="T13" s="43"/>
      <c r="U13" s="43"/>
    </row>
    <row r="14" spans="1:21" s="11" customFormat="1" x14ac:dyDescent="0.25">
      <c r="A14" s="52" t="s">
        <v>305</v>
      </c>
      <c r="B14" s="53">
        <v>43.87</v>
      </c>
      <c r="C14" s="53">
        <v>6.22</v>
      </c>
      <c r="D14" s="53">
        <v>38.43</v>
      </c>
      <c r="E14" s="53">
        <v>5.54</v>
      </c>
      <c r="F14" s="53">
        <v>3.71</v>
      </c>
      <c r="G14" s="53">
        <v>42.67</v>
      </c>
      <c r="H14" s="53">
        <v>15.86</v>
      </c>
      <c r="I14" s="53">
        <v>4.16</v>
      </c>
      <c r="J14" s="53">
        <v>0.42</v>
      </c>
      <c r="K14" s="53">
        <v>279.58999999999997</v>
      </c>
      <c r="L14" s="53">
        <v>23.36</v>
      </c>
      <c r="M14" s="53">
        <v>102.72</v>
      </c>
      <c r="N14" s="53">
        <v>30.3</v>
      </c>
      <c r="O14" s="53">
        <v>0</v>
      </c>
      <c r="P14" s="53">
        <v>0.42</v>
      </c>
      <c r="Q14" s="53">
        <v>9.64</v>
      </c>
      <c r="R14" s="43"/>
      <c r="S14" s="43"/>
      <c r="T14" s="43"/>
      <c r="U14" s="43"/>
    </row>
    <row r="15" spans="1:21" s="11" customFormat="1" x14ac:dyDescent="0.25">
      <c r="A15" s="52" t="s">
        <v>306</v>
      </c>
      <c r="B15" s="53">
        <v>39.53</v>
      </c>
      <c r="C15" s="53">
        <v>4.75</v>
      </c>
      <c r="D15" s="53">
        <v>34.18</v>
      </c>
      <c r="E15" s="53">
        <v>5.23</v>
      </c>
      <c r="F15" s="53">
        <v>3.33</v>
      </c>
      <c r="G15" s="53">
        <v>37.840000000000003</v>
      </c>
      <c r="H15" s="53">
        <v>15.86</v>
      </c>
      <c r="I15" s="53">
        <v>2.33</v>
      </c>
      <c r="J15" s="53">
        <v>0.38</v>
      </c>
      <c r="K15" s="53">
        <v>110.92</v>
      </c>
      <c r="L15" s="53">
        <v>25.72</v>
      </c>
      <c r="M15" s="53">
        <v>102.73</v>
      </c>
      <c r="N15" s="53">
        <v>172.2</v>
      </c>
      <c r="O15" s="53">
        <v>0</v>
      </c>
      <c r="P15" s="53">
        <v>0.39</v>
      </c>
      <c r="Q15" s="53">
        <v>9.6199999999999992</v>
      </c>
      <c r="R15" s="43"/>
      <c r="S15" s="43"/>
      <c r="T15" s="43"/>
      <c r="U15" s="43"/>
    </row>
    <row r="16" spans="1:21" s="11" customFormat="1" x14ac:dyDescent="0.25">
      <c r="A16" s="52" t="s">
        <v>307</v>
      </c>
      <c r="B16" s="53">
        <v>35.83</v>
      </c>
      <c r="C16" s="53">
        <v>5.4</v>
      </c>
      <c r="D16" s="53">
        <v>31.29</v>
      </c>
      <c r="E16" s="53">
        <v>5.26</v>
      </c>
      <c r="F16" s="53">
        <v>4</v>
      </c>
      <c r="G16" s="53">
        <v>33.89</v>
      </c>
      <c r="H16" s="53">
        <v>7.3</v>
      </c>
      <c r="I16" s="53">
        <v>6.82</v>
      </c>
      <c r="J16" s="53">
        <v>1.1200000000000001</v>
      </c>
      <c r="K16" s="53">
        <v>140.94999999999999</v>
      </c>
      <c r="L16" s="53">
        <v>28.59</v>
      </c>
      <c r="M16" s="53">
        <v>93.89</v>
      </c>
      <c r="N16" s="53">
        <v>418.8</v>
      </c>
      <c r="O16" s="53">
        <v>0</v>
      </c>
      <c r="P16" s="53">
        <v>0.95</v>
      </c>
      <c r="Q16" s="53">
        <v>9.6199999999999992</v>
      </c>
      <c r="R16" s="43"/>
      <c r="S16" s="43"/>
      <c r="T16" s="43"/>
      <c r="U16" s="43"/>
    </row>
    <row r="17" spans="1:21" s="11" customFormat="1" x14ac:dyDescent="0.25">
      <c r="A17" s="52" t="s">
        <v>308</v>
      </c>
      <c r="B17" s="53">
        <v>28.65</v>
      </c>
      <c r="C17" s="53">
        <v>6.13</v>
      </c>
      <c r="D17" s="53">
        <v>25.89</v>
      </c>
      <c r="E17" s="53">
        <v>4.96</v>
      </c>
      <c r="F17" s="53">
        <v>3.81</v>
      </c>
      <c r="G17" s="53">
        <v>22.12</v>
      </c>
      <c r="H17" s="53">
        <v>1.31</v>
      </c>
      <c r="I17" s="53">
        <v>6.42</v>
      </c>
      <c r="J17" s="53">
        <v>0.94</v>
      </c>
      <c r="K17" s="53">
        <v>139.05000000000001</v>
      </c>
      <c r="L17" s="53">
        <v>30.88</v>
      </c>
      <c r="M17" s="53">
        <v>78.06</v>
      </c>
      <c r="N17" s="53">
        <v>611.29999999999995</v>
      </c>
      <c r="O17" s="53">
        <v>0</v>
      </c>
      <c r="P17" s="53">
        <v>0.77</v>
      </c>
      <c r="Q17" s="53">
        <v>9.6199999999999992</v>
      </c>
      <c r="R17" s="43"/>
      <c r="S17" s="43"/>
      <c r="T17" s="43"/>
      <c r="U17" s="43"/>
    </row>
    <row r="18" spans="1:21" s="11" customFormat="1" x14ac:dyDescent="0.25">
      <c r="A18" s="52" t="s">
        <v>309</v>
      </c>
      <c r="B18" s="53">
        <v>21.39</v>
      </c>
      <c r="C18" s="53">
        <v>6.1</v>
      </c>
      <c r="D18" s="53">
        <v>20.34</v>
      </c>
      <c r="E18" s="53">
        <v>4.78</v>
      </c>
      <c r="F18" s="53">
        <v>3.77</v>
      </c>
      <c r="G18" s="53">
        <v>19.309999999999999</v>
      </c>
      <c r="H18" s="53">
        <v>0.26</v>
      </c>
      <c r="I18" s="53">
        <v>5.39</v>
      </c>
      <c r="J18" s="53">
        <v>0.97</v>
      </c>
      <c r="K18" s="53">
        <v>137.25</v>
      </c>
      <c r="L18" s="53">
        <v>30.38</v>
      </c>
      <c r="M18" s="53">
        <v>74.52</v>
      </c>
      <c r="N18" s="53">
        <v>789</v>
      </c>
      <c r="O18" s="53">
        <v>0</v>
      </c>
      <c r="P18" s="53">
        <v>0.56000000000000005</v>
      </c>
      <c r="Q18" s="53">
        <v>9.6199999999999992</v>
      </c>
      <c r="R18" s="43"/>
      <c r="S18" s="43"/>
      <c r="T18" s="43"/>
      <c r="U18" s="43"/>
    </row>
    <row r="19" spans="1:21" s="11" customFormat="1" x14ac:dyDescent="0.25">
      <c r="A19" s="52" t="s">
        <v>310</v>
      </c>
      <c r="B19" s="53">
        <v>15.27</v>
      </c>
      <c r="C19" s="53">
        <v>6.2</v>
      </c>
      <c r="D19" s="53">
        <v>15.4</v>
      </c>
      <c r="E19" s="53">
        <v>4.68</v>
      </c>
      <c r="F19" s="53">
        <v>3.73</v>
      </c>
      <c r="G19" s="53">
        <v>16.07</v>
      </c>
      <c r="H19" s="53">
        <v>2.0499999999999998</v>
      </c>
      <c r="I19" s="53">
        <v>4.95</v>
      </c>
      <c r="J19" s="53">
        <v>1.66</v>
      </c>
      <c r="K19" s="53">
        <v>143.22</v>
      </c>
      <c r="L19" s="53">
        <v>30.96</v>
      </c>
      <c r="M19" s="53">
        <v>67.8</v>
      </c>
      <c r="N19" s="53">
        <v>914.1</v>
      </c>
      <c r="O19" s="53">
        <v>0</v>
      </c>
      <c r="P19" s="53">
        <v>0.49</v>
      </c>
      <c r="Q19" s="53">
        <v>9.6300000000000008</v>
      </c>
      <c r="R19" s="43"/>
      <c r="S19" s="43"/>
      <c r="T19" s="43"/>
      <c r="U19" s="43"/>
    </row>
    <row r="20" spans="1:21" s="11" customFormat="1" x14ac:dyDescent="0.25">
      <c r="A20" s="52" t="s">
        <v>311</v>
      </c>
      <c r="B20" s="53">
        <v>10.56</v>
      </c>
      <c r="C20" s="53">
        <v>7.22</v>
      </c>
      <c r="D20" s="53">
        <v>11.74</v>
      </c>
      <c r="E20" s="53">
        <v>4.4800000000000004</v>
      </c>
      <c r="F20" s="53">
        <v>3.98</v>
      </c>
      <c r="G20" s="53">
        <v>16.07</v>
      </c>
      <c r="H20" s="53">
        <v>6.3</v>
      </c>
      <c r="I20" s="53">
        <v>5.66</v>
      </c>
      <c r="J20" s="53">
        <v>1.62</v>
      </c>
      <c r="K20" s="53">
        <v>138.68</v>
      </c>
      <c r="L20" s="53">
        <v>31.54</v>
      </c>
      <c r="M20" s="53">
        <v>63.16</v>
      </c>
      <c r="N20" s="53">
        <v>990.9</v>
      </c>
      <c r="O20" s="53">
        <v>0</v>
      </c>
      <c r="P20" s="53">
        <v>0.42</v>
      </c>
      <c r="Q20" s="53">
        <v>9.6199999999999992</v>
      </c>
      <c r="R20" s="43"/>
      <c r="S20" s="43"/>
      <c r="T20" s="43"/>
      <c r="U20" s="43"/>
    </row>
    <row r="21" spans="1:21" s="11" customFormat="1" x14ac:dyDescent="0.25">
      <c r="A21" s="52" t="s">
        <v>312</v>
      </c>
      <c r="B21" s="53">
        <v>6.71</v>
      </c>
      <c r="C21" s="53">
        <v>7.41</v>
      </c>
      <c r="D21" s="53">
        <v>8.9600000000000009</v>
      </c>
      <c r="E21" s="53">
        <v>5.71</v>
      </c>
      <c r="F21" s="53">
        <v>4.3499999999999996</v>
      </c>
      <c r="G21" s="53">
        <v>15.29</v>
      </c>
      <c r="H21" s="53">
        <v>6.3</v>
      </c>
      <c r="I21" s="53">
        <v>5.69</v>
      </c>
      <c r="J21" s="53">
        <v>1.44</v>
      </c>
      <c r="K21" s="53">
        <v>138.30000000000001</v>
      </c>
      <c r="L21" s="53">
        <v>31.88</v>
      </c>
      <c r="M21" s="53">
        <v>64.13</v>
      </c>
      <c r="N21" s="53">
        <v>915.3</v>
      </c>
      <c r="O21" s="53">
        <v>0</v>
      </c>
      <c r="P21" s="53">
        <v>0.36</v>
      </c>
      <c r="Q21" s="53">
        <v>9.61</v>
      </c>
      <c r="R21" s="43"/>
      <c r="S21" s="43"/>
      <c r="T21" s="43"/>
      <c r="U21" s="43"/>
    </row>
    <row r="22" spans="1:21" s="11" customFormat="1" x14ac:dyDescent="0.25">
      <c r="A22" s="52" t="s">
        <v>313</v>
      </c>
      <c r="B22" s="53">
        <v>3.97</v>
      </c>
      <c r="C22" s="53">
        <v>7.04</v>
      </c>
      <c r="D22" s="53">
        <v>6.86</v>
      </c>
      <c r="E22" s="53">
        <v>5.9</v>
      </c>
      <c r="F22" s="53">
        <v>4.72</v>
      </c>
      <c r="G22" s="53">
        <v>15.29</v>
      </c>
      <c r="H22" s="53">
        <v>1.77</v>
      </c>
      <c r="I22" s="53">
        <v>4.47</v>
      </c>
      <c r="J22" s="53">
        <v>1.38</v>
      </c>
      <c r="K22" s="53">
        <v>143.74</v>
      </c>
      <c r="L22" s="53">
        <v>30.73</v>
      </c>
      <c r="M22" s="53">
        <v>64.75</v>
      </c>
      <c r="N22" s="53">
        <v>252.4</v>
      </c>
      <c r="O22" s="53">
        <v>0</v>
      </c>
      <c r="P22" s="53">
        <v>0.41</v>
      </c>
      <c r="Q22" s="53">
        <v>9.6199999999999992</v>
      </c>
      <c r="R22" s="43"/>
      <c r="S22" s="43"/>
      <c r="T22" s="43"/>
      <c r="U22" s="43"/>
    </row>
    <row r="23" spans="1:21" s="11" customFormat="1" x14ac:dyDescent="0.25">
      <c r="A23" s="52" t="s">
        <v>314</v>
      </c>
      <c r="B23" s="53">
        <v>2.62</v>
      </c>
      <c r="C23" s="53">
        <v>5.9</v>
      </c>
      <c r="D23" s="53">
        <v>5.18</v>
      </c>
      <c r="E23" s="53">
        <v>5.37</v>
      </c>
      <c r="F23" s="53">
        <v>4.66</v>
      </c>
      <c r="G23" s="53">
        <v>12.91</v>
      </c>
      <c r="H23" s="53">
        <v>1.74</v>
      </c>
      <c r="I23" s="53">
        <v>2.9</v>
      </c>
      <c r="J23" s="53">
        <v>1.1599999999999999</v>
      </c>
      <c r="K23" s="53">
        <v>141.91</v>
      </c>
      <c r="L23" s="53">
        <v>30.79</v>
      </c>
      <c r="M23" s="53">
        <v>62.33</v>
      </c>
      <c r="N23" s="53">
        <v>155.5</v>
      </c>
      <c r="O23" s="53">
        <v>0</v>
      </c>
      <c r="P23" s="53">
        <v>0.34</v>
      </c>
      <c r="Q23" s="53">
        <v>9.61</v>
      </c>
      <c r="R23" s="43"/>
      <c r="S23" s="43"/>
      <c r="T23" s="43"/>
      <c r="U23" s="43"/>
    </row>
    <row r="24" spans="1:21" s="11" customFormat="1" x14ac:dyDescent="0.25">
      <c r="A24" s="52" t="s">
        <v>315</v>
      </c>
      <c r="B24" s="53">
        <v>1.99</v>
      </c>
      <c r="C24" s="53">
        <v>6.1</v>
      </c>
      <c r="D24" s="53">
        <v>4.59</v>
      </c>
      <c r="E24" s="53">
        <v>5.97</v>
      </c>
      <c r="F24" s="53">
        <v>4.68</v>
      </c>
      <c r="G24" s="53">
        <v>12.91</v>
      </c>
      <c r="H24" s="53">
        <v>0.56000000000000005</v>
      </c>
      <c r="I24" s="53">
        <v>2.4700000000000002</v>
      </c>
      <c r="J24" s="53">
        <v>1.17</v>
      </c>
      <c r="K24" s="53">
        <v>135.05000000000001</v>
      </c>
      <c r="L24" s="53">
        <v>30.15</v>
      </c>
      <c r="M24" s="53">
        <v>61.48</v>
      </c>
      <c r="N24" s="53">
        <v>83.6</v>
      </c>
      <c r="O24" s="53">
        <v>0</v>
      </c>
      <c r="P24" s="53">
        <v>0.32</v>
      </c>
      <c r="Q24" s="53">
        <v>9.61</v>
      </c>
      <c r="R24" s="43"/>
      <c r="S24" s="43"/>
      <c r="T24" s="43"/>
      <c r="U24" s="43"/>
    </row>
    <row r="25" spans="1:21" s="11" customFormat="1" x14ac:dyDescent="0.25">
      <c r="A25" s="52" t="s">
        <v>316</v>
      </c>
      <c r="B25" s="53">
        <v>1.52</v>
      </c>
      <c r="C25" s="53">
        <v>6.5</v>
      </c>
      <c r="D25" s="53">
        <v>4.6100000000000003</v>
      </c>
      <c r="E25" s="53">
        <v>5.84</v>
      </c>
      <c r="F25" s="53">
        <v>4.79</v>
      </c>
      <c r="G25" s="53">
        <v>11.61</v>
      </c>
      <c r="H25" s="53">
        <v>3.13</v>
      </c>
      <c r="I25" s="53">
        <v>2.3199999999999998</v>
      </c>
      <c r="J25" s="53">
        <v>0.94</v>
      </c>
      <c r="K25" s="53">
        <v>164.64</v>
      </c>
      <c r="L25" s="53">
        <v>29.84</v>
      </c>
      <c r="M25" s="53">
        <v>61.84</v>
      </c>
      <c r="N25" s="53">
        <v>61.2</v>
      </c>
      <c r="O25" s="53">
        <v>0</v>
      </c>
      <c r="P25" s="53">
        <v>0.36</v>
      </c>
      <c r="Q25" s="53">
        <v>9.61</v>
      </c>
      <c r="R25" s="43"/>
      <c r="S25" s="43"/>
      <c r="T25" s="43"/>
      <c r="U25" s="43"/>
    </row>
    <row r="26" spans="1:21" s="11" customFormat="1" x14ac:dyDescent="0.25">
      <c r="A26" s="52" t="s">
        <v>317</v>
      </c>
      <c r="B26" s="53">
        <v>1.72</v>
      </c>
      <c r="C26" s="53">
        <v>6.61</v>
      </c>
      <c r="D26" s="53">
        <v>4.68</v>
      </c>
      <c r="E26" s="53">
        <v>5.71</v>
      </c>
      <c r="F26" s="53">
        <v>4.5199999999999996</v>
      </c>
      <c r="G26" s="53">
        <v>10.34</v>
      </c>
      <c r="H26" s="53">
        <v>3.13</v>
      </c>
      <c r="I26" s="53">
        <v>2.0499999999999998</v>
      </c>
      <c r="J26" s="53">
        <v>0.81</v>
      </c>
      <c r="K26" s="53">
        <v>149.26</v>
      </c>
      <c r="L26" s="53">
        <v>29.48</v>
      </c>
      <c r="M26" s="53">
        <v>67.77</v>
      </c>
      <c r="N26" s="53">
        <v>42.3</v>
      </c>
      <c r="O26" s="53">
        <v>0</v>
      </c>
      <c r="P26" s="53">
        <v>0.34</v>
      </c>
      <c r="Q26" s="53">
        <v>9.6199999999999992</v>
      </c>
      <c r="R26" s="43"/>
      <c r="S26" s="43"/>
      <c r="T26" s="43"/>
      <c r="U26" s="43"/>
    </row>
    <row r="27" spans="1:21" s="11" customFormat="1" x14ac:dyDescent="0.25">
      <c r="A27" s="52" t="s">
        <v>318</v>
      </c>
      <c r="B27" s="53">
        <v>2.14</v>
      </c>
      <c r="C27" s="53">
        <v>6.45</v>
      </c>
      <c r="D27" s="53">
        <v>4.92</v>
      </c>
      <c r="E27" s="53">
        <v>5.77</v>
      </c>
      <c r="F27" s="53">
        <v>4.1500000000000004</v>
      </c>
      <c r="G27" s="53">
        <v>11.52</v>
      </c>
      <c r="H27" s="53">
        <v>9.91</v>
      </c>
      <c r="I27" s="53">
        <v>1.94</v>
      </c>
      <c r="J27" s="53">
        <v>1.52</v>
      </c>
      <c r="K27" s="53">
        <v>119.93</v>
      </c>
      <c r="L27" s="53">
        <v>28.32</v>
      </c>
      <c r="M27" s="53">
        <v>68.52</v>
      </c>
      <c r="N27" s="53">
        <v>26</v>
      </c>
      <c r="O27" s="53">
        <v>0</v>
      </c>
      <c r="P27" s="53">
        <v>0.4</v>
      </c>
      <c r="Q27" s="53">
        <v>9.61</v>
      </c>
      <c r="R27" s="43"/>
      <c r="S27" s="43"/>
      <c r="T27" s="43"/>
      <c r="U27" s="43"/>
    </row>
    <row r="28" spans="1:21" s="11" customFormat="1" x14ac:dyDescent="0.25">
      <c r="A28" s="52" t="s">
        <v>319</v>
      </c>
      <c r="B28" s="53">
        <v>3.33</v>
      </c>
      <c r="C28" s="53">
        <v>7.54</v>
      </c>
      <c r="D28" s="53">
        <v>6.61</v>
      </c>
      <c r="E28" s="53">
        <v>5.98</v>
      </c>
      <c r="F28" s="53">
        <v>4.6500000000000004</v>
      </c>
      <c r="G28" s="53">
        <v>19.97</v>
      </c>
      <c r="H28" s="53">
        <v>9.91</v>
      </c>
      <c r="I28" s="53">
        <v>2.95</v>
      </c>
      <c r="J28" s="53">
        <v>0.64</v>
      </c>
      <c r="K28" s="53">
        <v>125.53</v>
      </c>
      <c r="L28" s="53">
        <v>27.66</v>
      </c>
      <c r="M28" s="53">
        <v>83.25</v>
      </c>
      <c r="N28" s="53">
        <v>26.4</v>
      </c>
      <c r="O28" s="53">
        <v>0</v>
      </c>
      <c r="P28" s="53">
        <v>0.8</v>
      </c>
      <c r="Q28" s="53">
        <v>9.6300000000000008</v>
      </c>
      <c r="R28" s="43"/>
      <c r="S28" s="43"/>
      <c r="T28" s="43"/>
      <c r="U28" s="43"/>
    </row>
    <row r="29" spans="1:21" s="11" customFormat="1" x14ac:dyDescent="0.25">
      <c r="A29" s="52" t="s">
        <v>320</v>
      </c>
      <c r="B29" s="53">
        <v>9.44</v>
      </c>
      <c r="C29" s="53">
        <v>9.08</v>
      </c>
      <c r="D29" s="53">
        <v>12.32</v>
      </c>
      <c r="E29" s="53">
        <v>6.16</v>
      </c>
      <c r="F29" s="53">
        <v>4.16</v>
      </c>
      <c r="G29" s="53">
        <v>23.61</v>
      </c>
      <c r="H29" s="53">
        <v>17.309999999999999</v>
      </c>
      <c r="I29" s="53">
        <v>4.09</v>
      </c>
      <c r="J29" s="53">
        <v>0.39</v>
      </c>
      <c r="K29" s="53">
        <v>337.72</v>
      </c>
      <c r="L29" s="53">
        <v>26.68</v>
      </c>
      <c r="M29" s="53">
        <v>87.99</v>
      </c>
      <c r="N29" s="53">
        <v>26.2</v>
      </c>
      <c r="O29" s="53">
        <v>0</v>
      </c>
      <c r="P29" s="53">
        <v>1.32</v>
      </c>
      <c r="Q29" s="53">
        <v>9.61</v>
      </c>
      <c r="R29" s="43"/>
      <c r="S29" s="43"/>
      <c r="T29" s="43"/>
      <c r="U29" s="43"/>
    </row>
    <row r="30" spans="1:21" s="11" customFormat="1" x14ac:dyDescent="0.25">
      <c r="A30" s="52" t="s">
        <v>321</v>
      </c>
      <c r="B30" s="53">
        <v>24.33</v>
      </c>
      <c r="C30" s="53">
        <v>9.42</v>
      </c>
      <c r="D30" s="53">
        <v>24.24</v>
      </c>
      <c r="E30" s="53">
        <v>6.72</v>
      </c>
      <c r="F30" s="53">
        <v>4.13</v>
      </c>
      <c r="G30" s="53">
        <v>41.51</v>
      </c>
      <c r="H30" s="53">
        <v>17.309999999999999</v>
      </c>
      <c r="I30" s="53">
        <v>5.92</v>
      </c>
      <c r="J30" s="53">
        <v>0.59</v>
      </c>
      <c r="K30" s="53">
        <v>348.44</v>
      </c>
      <c r="L30" s="53">
        <v>26.33</v>
      </c>
      <c r="M30" s="53">
        <v>95.13</v>
      </c>
      <c r="N30" s="53">
        <v>26.3</v>
      </c>
      <c r="O30" s="53">
        <v>0</v>
      </c>
      <c r="P30" s="53">
        <v>1.38</v>
      </c>
      <c r="Q30" s="53">
        <v>9.61</v>
      </c>
      <c r="R30" s="43"/>
      <c r="S30" s="43"/>
      <c r="T30" s="43"/>
      <c r="U30" s="43"/>
    </row>
    <row r="31" spans="1:21" s="11" customFormat="1" x14ac:dyDescent="0.25">
      <c r="A31" s="52" t="s">
        <v>322</v>
      </c>
      <c r="B31" s="53">
        <v>33.01</v>
      </c>
      <c r="C31" s="53">
        <v>8.17</v>
      </c>
      <c r="D31" s="53">
        <v>30.68</v>
      </c>
      <c r="E31" s="53">
        <v>6.71</v>
      </c>
      <c r="F31" s="53">
        <v>3.77</v>
      </c>
      <c r="G31" s="53">
        <v>48.55</v>
      </c>
      <c r="H31" s="53">
        <v>15.9</v>
      </c>
      <c r="I31" s="53">
        <v>6.64</v>
      </c>
      <c r="J31" s="53">
        <v>0.55000000000000004</v>
      </c>
      <c r="K31" s="53">
        <v>316.8</v>
      </c>
      <c r="L31" s="53">
        <v>25.44</v>
      </c>
      <c r="M31" s="53">
        <v>97.75</v>
      </c>
      <c r="N31" s="53">
        <v>26.2</v>
      </c>
      <c r="O31" s="53">
        <v>0</v>
      </c>
      <c r="P31" s="53">
        <v>1.88</v>
      </c>
      <c r="Q31" s="53">
        <v>9.6300000000000008</v>
      </c>
      <c r="R31" s="43"/>
      <c r="S31" s="43"/>
      <c r="T31" s="43"/>
      <c r="U31" s="43"/>
    </row>
    <row r="32" spans="1:21" s="11" customFormat="1" x14ac:dyDescent="0.25">
      <c r="A32" s="52" t="s">
        <v>323</v>
      </c>
      <c r="B32" s="53">
        <v>36.94</v>
      </c>
      <c r="C32" s="53">
        <v>8.68</v>
      </c>
      <c r="D32" s="53">
        <v>34.15</v>
      </c>
      <c r="E32" s="53">
        <v>6.61</v>
      </c>
      <c r="F32" s="53">
        <v>3.68</v>
      </c>
      <c r="G32" s="53">
        <v>48.55</v>
      </c>
      <c r="H32" s="53">
        <v>15.9</v>
      </c>
      <c r="I32" s="53">
        <v>7.93</v>
      </c>
      <c r="J32" s="53">
        <v>0.49</v>
      </c>
      <c r="K32" s="53">
        <v>322.39</v>
      </c>
      <c r="L32" s="53">
        <v>25.61</v>
      </c>
      <c r="M32" s="53">
        <v>99.19</v>
      </c>
      <c r="N32" s="53">
        <v>26.3</v>
      </c>
      <c r="O32" s="53">
        <v>0</v>
      </c>
      <c r="P32" s="53">
        <v>1.67</v>
      </c>
      <c r="Q32" s="53">
        <v>9.6300000000000008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1.52</v>
      </c>
      <c r="C34" s="28">
        <f t="shared" si="0"/>
        <v>4.75</v>
      </c>
      <c r="D34" s="28">
        <f t="shared" si="0"/>
        <v>4.59</v>
      </c>
      <c r="E34" s="28">
        <f t="shared" si="0"/>
        <v>4.4800000000000004</v>
      </c>
      <c r="F34" s="28">
        <f t="shared" si="0"/>
        <v>3.33</v>
      </c>
      <c r="G34" s="28">
        <f t="shared" si="0"/>
        <v>10.34</v>
      </c>
      <c r="H34" s="28">
        <f t="shared" si="0"/>
        <v>0.26</v>
      </c>
      <c r="I34" s="28">
        <f t="shared" si="0"/>
        <v>1.94</v>
      </c>
      <c r="J34" s="28">
        <f t="shared" si="0"/>
        <v>0.35</v>
      </c>
      <c r="K34" s="28">
        <f t="shared" si="0"/>
        <v>110.92</v>
      </c>
      <c r="L34" s="28">
        <f t="shared" si="0"/>
        <v>23.36</v>
      </c>
      <c r="M34" s="28">
        <f t="shared" si="0"/>
        <v>61.48</v>
      </c>
      <c r="N34" s="28">
        <f t="shared" si="0"/>
        <v>26</v>
      </c>
      <c r="O34" s="28">
        <f t="shared" si="0"/>
        <v>0</v>
      </c>
      <c r="P34" s="28">
        <f t="shared" si="0"/>
        <v>0.32</v>
      </c>
      <c r="Q34" s="28">
        <f t="shared" si="0"/>
        <v>9.61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89.8</v>
      </c>
      <c r="C35" s="29">
        <f t="shared" si="1"/>
        <v>9.61</v>
      </c>
      <c r="D35" s="29">
        <f t="shared" si="1"/>
        <v>77.03</v>
      </c>
      <c r="E35" s="29">
        <f t="shared" si="1"/>
        <v>7.26</v>
      </c>
      <c r="F35" s="29">
        <f t="shared" si="1"/>
        <v>4.79</v>
      </c>
      <c r="G35" s="29">
        <f t="shared" si="1"/>
        <v>85.66</v>
      </c>
      <c r="H35" s="29">
        <f t="shared" si="1"/>
        <v>36.08</v>
      </c>
      <c r="I35" s="29">
        <f t="shared" si="1"/>
        <v>11.13</v>
      </c>
      <c r="J35" s="29">
        <f t="shared" si="1"/>
        <v>1.66</v>
      </c>
      <c r="K35" s="29">
        <f t="shared" si="1"/>
        <v>350.61</v>
      </c>
      <c r="L35" s="29">
        <f t="shared" si="1"/>
        <v>31.88</v>
      </c>
      <c r="M35" s="29">
        <f t="shared" si="1"/>
        <v>102.73</v>
      </c>
      <c r="N35" s="29">
        <f t="shared" si="1"/>
        <v>990.9</v>
      </c>
      <c r="O35" s="29">
        <f t="shared" si="1"/>
        <v>0</v>
      </c>
      <c r="P35" s="29">
        <f t="shared" si="1"/>
        <v>2.19</v>
      </c>
      <c r="Q35" s="29">
        <f t="shared" si="1"/>
        <v>9.7200000000000006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28.287916666666671</v>
      </c>
      <c r="C36" s="28">
        <f t="shared" si="2"/>
        <v>7.044999999999999</v>
      </c>
      <c r="D36" s="28">
        <f t="shared" si="2"/>
        <v>26.270416666666659</v>
      </c>
      <c r="E36" s="28">
        <f t="shared" si="2"/>
        <v>5.7704166666666667</v>
      </c>
      <c r="F36" s="28">
        <f t="shared" si="2"/>
        <v>4.121666666666667</v>
      </c>
      <c r="G36" s="28">
        <f t="shared" si="2"/>
        <v>34.177916666666661</v>
      </c>
      <c r="H36" s="28">
        <f t="shared" si="2"/>
        <v>11.92416666666667</v>
      </c>
      <c r="I36" s="28">
        <f t="shared" si="2"/>
        <v>4.9804166666666667</v>
      </c>
      <c r="J36" s="28">
        <f t="shared" si="2"/>
        <v>0.85624999999999984</v>
      </c>
      <c r="K36" s="28">
        <f t="shared" si="2"/>
        <v>214.28166666666667</v>
      </c>
      <c r="L36" s="28">
        <f t="shared" si="2"/>
        <v>27.675000000000001</v>
      </c>
      <c r="M36" s="28">
        <f t="shared" si="2"/>
        <v>83.771666666666661</v>
      </c>
      <c r="N36" s="28">
        <f t="shared" si="2"/>
        <v>238.5333333333333</v>
      </c>
      <c r="O36" s="28">
        <f t="shared" si="2"/>
        <v>0</v>
      </c>
      <c r="P36" s="28">
        <f t="shared" si="2"/>
        <v>0.83791666666666664</v>
      </c>
      <c r="Q36" s="28">
        <f t="shared" si="2"/>
        <v>9.6283333333333374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26.921452247662799</v>
      </c>
      <c r="C37" s="28">
        <f t="shared" ref="C37:Q37" si="3">STDEV(C9:C32)</f>
        <v>1.2523820781076491</v>
      </c>
      <c r="D37" s="28">
        <f t="shared" si="3"/>
        <v>21.807606865727962</v>
      </c>
      <c r="E37" s="28">
        <f t="shared" si="3"/>
        <v>0.68229458872037307</v>
      </c>
      <c r="F37" s="28">
        <f t="shared" si="3"/>
        <v>0.42485462134165503</v>
      </c>
      <c r="G37" s="28">
        <f t="shared" si="3"/>
        <v>23.722634207268914</v>
      </c>
      <c r="H37" s="28">
        <f t="shared" si="3"/>
        <v>11.049158896442774</v>
      </c>
      <c r="I37" s="28">
        <f t="shared" si="3"/>
        <v>2.1987871739283644</v>
      </c>
      <c r="J37" s="28">
        <f t="shared" si="3"/>
        <v>0.4329857162017966</v>
      </c>
      <c r="K37" s="28">
        <f t="shared" si="3"/>
        <v>94.219579137001162</v>
      </c>
      <c r="L37" s="28">
        <f t="shared" si="3"/>
        <v>2.938642099899897</v>
      </c>
      <c r="M37" s="28">
        <f t="shared" si="3"/>
        <v>17.022903156749109</v>
      </c>
      <c r="N37" s="28">
        <f t="shared" si="3"/>
        <v>336.20633631701554</v>
      </c>
      <c r="O37" s="28">
        <f t="shared" si="3"/>
        <v>0</v>
      </c>
      <c r="P37" s="28">
        <f t="shared" si="3"/>
        <v>0.54314686272936696</v>
      </c>
      <c r="Q37" s="28">
        <f t="shared" si="3"/>
        <v>2.581988897471639E-2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12/10/2024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324</v>
      </c>
      <c r="B9" s="53">
        <v>37.74</v>
      </c>
      <c r="C9" s="53">
        <v>8.76</v>
      </c>
      <c r="D9" s="53">
        <v>34.840000000000003</v>
      </c>
      <c r="E9" s="53">
        <v>5.49</v>
      </c>
      <c r="F9" s="53">
        <v>4.21</v>
      </c>
      <c r="G9" s="53">
        <v>49.31</v>
      </c>
      <c r="H9" s="53">
        <v>24.66</v>
      </c>
      <c r="I9" s="53">
        <v>6.89</v>
      </c>
      <c r="J9" s="53">
        <v>0.49</v>
      </c>
      <c r="K9" s="53">
        <v>312.89</v>
      </c>
      <c r="L9" s="53">
        <v>25.38</v>
      </c>
      <c r="M9" s="53">
        <v>100.81</v>
      </c>
      <c r="N9" s="53">
        <v>26.4</v>
      </c>
      <c r="O9" s="53">
        <v>0</v>
      </c>
      <c r="P9" s="53">
        <v>1.23</v>
      </c>
      <c r="Q9" s="53">
        <v>9.6199999999999992</v>
      </c>
      <c r="R9" s="43"/>
      <c r="S9" s="43"/>
      <c r="T9" s="43"/>
      <c r="U9" s="43"/>
    </row>
    <row r="10" spans="1:21" s="11" customFormat="1" x14ac:dyDescent="0.25">
      <c r="A10" s="52" t="s">
        <v>325</v>
      </c>
      <c r="B10" s="53">
        <v>35.81</v>
      </c>
      <c r="C10" s="53">
        <v>8.18</v>
      </c>
      <c r="D10" s="53">
        <v>32.479999999999997</v>
      </c>
      <c r="E10" s="53">
        <v>5.51</v>
      </c>
      <c r="F10" s="53">
        <v>4.5599999999999996</v>
      </c>
      <c r="G10" s="53">
        <v>50.87</v>
      </c>
      <c r="H10" s="53">
        <v>24.66</v>
      </c>
      <c r="I10" s="53">
        <v>5.82</v>
      </c>
      <c r="J10" s="53">
        <v>0.44</v>
      </c>
      <c r="K10" s="53">
        <v>339.08</v>
      </c>
      <c r="L10" s="53">
        <v>24.82</v>
      </c>
      <c r="M10" s="53">
        <v>102.64</v>
      </c>
      <c r="N10" s="53">
        <v>26.2</v>
      </c>
      <c r="O10" s="53">
        <v>0</v>
      </c>
      <c r="P10" s="53">
        <v>1.07</v>
      </c>
      <c r="Q10" s="53">
        <v>9.64</v>
      </c>
      <c r="R10" s="43"/>
      <c r="S10" s="43"/>
      <c r="T10" s="43"/>
      <c r="U10" s="43"/>
    </row>
    <row r="11" spans="1:21" s="11" customFormat="1" x14ac:dyDescent="0.25">
      <c r="A11" s="52" t="s">
        <v>326</v>
      </c>
      <c r="B11" s="53">
        <v>35.69</v>
      </c>
      <c r="C11" s="53">
        <v>6.64</v>
      </c>
      <c r="D11" s="53">
        <v>32.08</v>
      </c>
      <c r="E11" s="53">
        <v>5.24</v>
      </c>
      <c r="F11" s="53">
        <v>3.37</v>
      </c>
      <c r="G11" s="53">
        <v>50.87</v>
      </c>
      <c r="H11" s="53">
        <v>22.53</v>
      </c>
      <c r="I11" s="53">
        <v>5.0199999999999996</v>
      </c>
      <c r="J11" s="53">
        <v>0.54</v>
      </c>
      <c r="K11" s="53">
        <v>299.57</v>
      </c>
      <c r="L11" s="53">
        <v>24.5</v>
      </c>
      <c r="M11" s="53">
        <v>102.7</v>
      </c>
      <c r="N11" s="53">
        <v>26.2</v>
      </c>
      <c r="O11" s="53">
        <v>0</v>
      </c>
      <c r="P11" s="53">
        <v>0.71</v>
      </c>
      <c r="Q11" s="53">
        <v>9.6300000000000008</v>
      </c>
      <c r="R11" s="43"/>
      <c r="S11" s="43"/>
      <c r="T11" s="43"/>
      <c r="U11" s="43"/>
    </row>
    <row r="12" spans="1:21" s="11" customFormat="1" x14ac:dyDescent="0.25">
      <c r="A12" s="52" t="s">
        <v>327</v>
      </c>
      <c r="B12" s="53">
        <v>33.950000000000003</v>
      </c>
      <c r="C12" s="53">
        <v>5.38</v>
      </c>
      <c r="D12" s="53">
        <v>30</v>
      </c>
      <c r="E12" s="53">
        <v>5.15</v>
      </c>
      <c r="F12" s="53">
        <v>3.47</v>
      </c>
      <c r="G12" s="53">
        <v>47.69</v>
      </c>
      <c r="H12" s="53">
        <v>22.53</v>
      </c>
      <c r="I12" s="53">
        <v>3.15</v>
      </c>
      <c r="J12" s="53">
        <v>0.47</v>
      </c>
      <c r="K12" s="53">
        <v>257.72000000000003</v>
      </c>
      <c r="L12" s="53">
        <v>24.6</v>
      </c>
      <c r="M12" s="53">
        <v>102.66</v>
      </c>
      <c r="N12" s="53">
        <v>26</v>
      </c>
      <c r="O12" s="53">
        <v>0</v>
      </c>
      <c r="P12" s="53">
        <v>0.62</v>
      </c>
      <c r="Q12" s="53">
        <v>9.6300000000000008</v>
      </c>
      <c r="R12" s="43"/>
      <c r="S12" s="43"/>
      <c r="T12" s="43"/>
      <c r="U12" s="43"/>
    </row>
    <row r="13" spans="1:21" s="11" customFormat="1" x14ac:dyDescent="0.25">
      <c r="A13" s="52" t="s">
        <v>328</v>
      </c>
      <c r="B13" s="53">
        <v>30.17</v>
      </c>
      <c r="C13" s="53">
        <v>6.06</v>
      </c>
      <c r="D13" s="53">
        <v>27.35</v>
      </c>
      <c r="E13" s="53">
        <v>5.22</v>
      </c>
      <c r="F13" s="53">
        <v>4.0999999999999996</v>
      </c>
      <c r="G13" s="53">
        <v>41.98</v>
      </c>
      <c r="H13" s="53">
        <v>30.89</v>
      </c>
      <c r="I13" s="53">
        <v>4.26</v>
      </c>
      <c r="J13" s="53">
        <v>0.6</v>
      </c>
      <c r="K13" s="53">
        <v>262.48</v>
      </c>
      <c r="L13" s="53">
        <v>24.69</v>
      </c>
      <c r="M13" s="53">
        <v>102.6</v>
      </c>
      <c r="N13" s="53">
        <v>26.2</v>
      </c>
      <c r="O13" s="53">
        <v>0</v>
      </c>
      <c r="P13" s="53">
        <v>0.66</v>
      </c>
      <c r="Q13" s="53">
        <v>9.6199999999999992</v>
      </c>
      <c r="R13" s="43"/>
      <c r="S13" s="43"/>
      <c r="T13" s="43"/>
      <c r="U13" s="43"/>
    </row>
    <row r="14" spans="1:21" s="11" customFormat="1" x14ac:dyDescent="0.25">
      <c r="A14" s="52" t="s">
        <v>329</v>
      </c>
      <c r="B14" s="53">
        <v>25.31</v>
      </c>
      <c r="C14" s="53">
        <v>6.47</v>
      </c>
      <c r="D14" s="53">
        <v>23.52</v>
      </c>
      <c r="E14" s="53">
        <v>5.08</v>
      </c>
      <c r="F14" s="53">
        <v>3.66</v>
      </c>
      <c r="G14" s="53">
        <v>37.090000000000003</v>
      </c>
      <c r="H14" s="53">
        <v>30.89</v>
      </c>
      <c r="I14" s="53">
        <v>3.8</v>
      </c>
      <c r="J14" s="53">
        <v>0.54</v>
      </c>
      <c r="K14" s="53">
        <v>291.36</v>
      </c>
      <c r="L14" s="53">
        <v>24.48</v>
      </c>
      <c r="M14" s="53">
        <v>102.66</v>
      </c>
      <c r="N14" s="53">
        <v>29.2</v>
      </c>
      <c r="O14" s="53">
        <v>0</v>
      </c>
      <c r="P14" s="53">
        <v>0.57999999999999996</v>
      </c>
      <c r="Q14" s="53">
        <v>9.6199999999999992</v>
      </c>
      <c r="R14" s="43"/>
      <c r="S14" s="43"/>
      <c r="T14" s="43"/>
      <c r="U14" s="43"/>
    </row>
    <row r="15" spans="1:21" s="11" customFormat="1" x14ac:dyDescent="0.25">
      <c r="A15" s="52" t="s">
        <v>330</v>
      </c>
      <c r="B15" s="53">
        <v>26.44</v>
      </c>
      <c r="C15" s="53">
        <v>6.08</v>
      </c>
      <c r="D15" s="53">
        <v>24.38</v>
      </c>
      <c r="E15" s="53">
        <v>5.13</v>
      </c>
      <c r="F15" s="53">
        <v>3.79</v>
      </c>
      <c r="G15" s="53">
        <v>30.96</v>
      </c>
      <c r="H15" s="53">
        <v>18.53</v>
      </c>
      <c r="I15" s="53">
        <v>4.1100000000000003</v>
      </c>
      <c r="J15" s="53">
        <v>0.96</v>
      </c>
      <c r="K15" s="53">
        <v>218.18</v>
      </c>
      <c r="L15" s="53">
        <v>26.15</v>
      </c>
      <c r="M15" s="53">
        <v>102.68</v>
      </c>
      <c r="N15" s="53">
        <v>156.80000000000001</v>
      </c>
      <c r="O15" s="53">
        <v>0</v>
      </c>
      <c r="P15" s="53">
        <v>0.46</v>
      </c>
      <c r="Q15" s="53">
        <v>9.6199999999999992</v>
      </c>
      <c r="R15" s="43"/>
      <c r="S15" s="43"/>
      <c r="T15" s="43"/>
      <c r="U15" s="43"/>
    </row>
    <row r="16" spans="1:21" s="11" customFormat="1" x14ac:dyDescent="0.25">
      <c r="A16" s="52" t="s">
        <v>331</v>
      </c>
      <c r="B16" s="53">
        <v>24.55</v>
      </c>
      <c r="C16" s="53">
        <v>4.87</v>
      </c>
      <c r="D16" s="53">
        <v>22.23</v>
      </c>
      <c r="E16" s="53">
        <v>4.83</v>
      </c>
      <c r="F16" s="53">
        <v>5.15</v>
      </c>
      <c r="G16" s="53">
        <v>30.96</v>
      </c>
      <c r="H16" s="53">
        <v>11.49</v>
      </c>
      <c r="I16" s="53">
        <v>2.62</v>
      </c>
      <c r="J16" s="53">
        <v>1.07</v>
      </c>
      <c r="K16" s="53">
        <v>130.55000000000001</v>
      </c>
      <c r="L16" s="53">
        <v>30.25</v>
      </c>
      <c r="M16" s="53">
        <v>87.19</v>
      </c>
      <c r="N16" s="53">
        <v>396.7</v>
      </c>
      <c r="O16" s="53">
        <v>0</v>
      </c>
      <c r="P16" s="53">
        <v>0.49</v>
      </c>
      <c r="Q16" s="53">
        <v>9.6199999999999992</v>
      </c>
      <c r="R16" s="43"/>
      <c r="S16" s="43"/>
      <c r="T16" s="43"/>
      <c r="U16" s="43"/>
    </row>
    <row r="17" spans="1:21" s="11" customFormat="1" x14ac:dyDescent="0.25">
      <c r="A17" s="52" t="s">
        <v>332</v>
      </c>
      <c r="B17" s="53">
        <v>21.83</v>
      </c>
      <c r="C17" s="53">
        <v>5.99</v>
      </c>
      <c r="D17" s="53">
        <v>20.14</v>
      </c>
      <c r="E17" s="53">
        <v>5.26</v>
      </c>
      <c r="F17" s="53">
        <v>3.96</v>
      </c>
      <c r="G17" s="53">
        <v>25.51</v>
      </c>
      <c r="H17" s="53">
        <v>7.35</v>
      </c>
      <c r="I17" s="53">
        <v>5.44</v>
      </c>
      <c r="J17" s="53">
        <v>0.39</v>
      </c>
      <c r="K17" s="53">
        <v>342.57</v>
      </c>
      <c r="L17" s="53">
        <v>32.54</v>
      </c>
      <c r="M17" s="53">
        <v>73</v>
      </c>
      <c r="N17" s="53">
        <v>621.4</v>
      </c>
      <c r="O17" s="53">
        <v>0</v>
      </c>
      <c r="P17" s="53">
        <v>0.56999999999999995</v>
      </c>
      <c r="Q17" s="53">
        <v>9.6199999999999992</v>
      </c>
      <c r="R17" s="43"/>
      <c r="S17" s="43"/>
      <c r="T17" s="43"/>
      <c r="U17" s="43"/>
    </row>
    <row r="18" spans="1:21" s="11" customFormat="1" x14ac:dyDescent="0.25">
      <c r="A18" s="52" t="s">
        <v>333</v>
      </c>
      <c r="B18" s="53">
        <v>17.03</v>
      </c>
      <c r="C18" s="53">
        <v>7.01</v>
      </c>
      <c r="D18" s="53">
        <v>17.13</v>
      </c>
      <c r="E18" s="53">
        <v>4.9800000000000004</v>
      </c>
      <c r="F18" s="53">
        <v>4.05</v>
      </c>
      <c r="G18" s="53">
        <v>22.62</v>
      </c>
      <c r="H18" s="53">
        <v>8.6300000000000008</v>
      </c>
      <c r="I18" s="53">
        <v>4.96</v>
      </c>
      <c r="J18" s="53">
        <v>0.83</v>
      </c>
      <c r="K18" s="53">
        <v>132.84</v>
      </c>
      <c r="L18" s="53">
        <v>31.15</v>
      </c>
      <c r="M18" s="53">
        <v>73.540000000000006</v>
      </c>
      <c r="N18" s="53">
        <v>758.6</v>
      </c>
      <c r="O18" s="53">
        <v>0</v>
      </c>
      <c r="P18" s="53">
        <v>0.47</v>
      </c>
      <c r="Q18" s="53">
        <v>9.6199999999999992</v>
      </c>
      <c r="R18" s="43"/>
      <c r="S18" s="43"/>
      <c r="T18" s="43"/>
      <c r="U18" s="43"/>
    </row>
    <row r="19" spans="1:21" s="11" customFormat="1" x14ac:dyDescent="0.25">
      <c r="A19" s="52" t="s">
        <v>334</v>
      </c>
      <c r="B19" s="53">
        <v>11.66</v>
      </c>
      <c r="C19" s="53">
        <v>7.32</v>
      </c>
      <c r="D19" s="53">
        <v>13.17</v>
      </c>
      <c r="E19" s="53">
        <v>4.9400000000000004</v>
      </c>
      <c r="F19" s="53">
        <v>3.71</v>
      </c>
      <c r="G19" s="53">
        <v>20.61</v>
      </c>
      <c r="H19" s="53">
        <v>8.6300000000000008</v>
      </c>
      <c r="I19" s="53">
        <v>5.4</v>
      </c>
      <c r="J19" s="53">
        <v>1.1200000000000001</v>
      </c>
      <c r="K19" s="53">
        <v>140.26</v>
      </c>
      <c r="L19" s="53">
        <v>31.76</v>
      </c>
      <c r="M19" s="53">
        <v>64.05</v>
      </c>
      <c r="N19" s="53">
        <v>940.9</v>
      </c>
      <c r="O19" s="53">
        <v>0</v>
      </c>
      <c r="P19" s="53">
        <v>0.45</v>
      </c>
      <c r="Q19" s="53">
        <v>9.6199999999999992</v>
      </c>
      <c r="R19" s="43"/>
      <c r="S19" s="43"/>
      <c r="T19" s="43"/>
      <c r="U19" s="43"/>
    </row>
    <row r="20" spans="1:21" s="11" customFormat="1" x14ac:dyDescent="0.25">
      <c r="A20" s="52" t="s">
        <v>335</v>
      </c>
      <c r="B20" s="53">
        <v>8.81</v>
      </c>
      <c r="C20" s="53">
        <v>6.76</v>
      </c>
      <c r="D20" s="53">
        <v>10.47</v>
      </c>
      <c r="E20" s="53">
        <v>4.51</v>
      </c>
      <c r="F20" s="53">
        <v>4.2699999999999996</v>
      </c>
      <c r="G20" s="53">
        <v>20.61</v>
      </c>
      <c r="H20" s="53">
        <v>29.55</v>
      </c>
      <c r="I20" s="53">
        <v>4.12</v>
      </c>
      <c r="J20" s="53">
        <v>1.1399999999999999</v>
      </c>
      <c r="K20" s="53">
        <v>133.61000000000001</v>
      </c>
      <c r="L20" s="53">
        <v>32.32</v>
      </c>
      <c r="M20" s="53">
        <v>63.55</v>
      </c>
      <c r="N20" s="53">
        <v>931</v>
      </c>
      <c r="O20" s="53">
        <v>0</v>
      </c>
      <c r="P20" s="53">
        <v>0.41</v>
      </c>
      <c r="Q20" s="53">
        <v>9.6199999999999992</v>
      </c>
      <c r="R20" s="43"/>
      <c r="S20" s="43"/>
      <c r="T20" s="43"/>
      <c r="U20" s="43"/>
    </row>
    <row r="21" spans="1:21" s="11" customFormat="1" x14ac:dyDescent="0.25">
      <c r="A21" s="52" t="s">
        <v>336</v>
      </c>
      <c r="B21" s="53">
        <v>6.57</v>
      </c>
      <c r="C21" s="53">
        <v>7.67</v>
      </c>
      <c r="D21" s="53">
        <v>8.83</v>
      </c>
      <c r="E21" s="53">
        <v>4.7</v>
      </c>
      <c r="F21" s="53">
        <v>4.3600000000000003</v>
      </c>
      <c r="G21" s="53">
        <v>18.07</v>
      </c>
      <c r="H21" s="53">
        <v>29.55</v>
      </c>
      <c r="I21" s="53">
        <v>4.5</v>
      </c>
      <c r="J21" s="53">
        <v>1.51</v>
      </c>
      <c r="K21" s="53">
        <v>345.75</v>
      </c>
      <c r="L21" s="53">
        <v>31.9</v>
      </c>
      <c r="M21" s="53">
        <v>62.61</v>
      </c>
      <c r="N21" s="53">
        <v>781.5</v>
      </c>
      <c r="O21" s="53">
        <v>0</v>
      </c>
      <c r="P21" s="53">
        <v>0.39</v>
      </c>
      <c r="Q21" s="53">
        <v>9.6199999999999992</v>
      </c>
      <c r="R21" s="43"/>
      <c r="S21" s="43"/>
      <c r="T21" s="43"/>
      <c r="U21" s="43"/>
    </row>
    <row r="22" spans="1:21" s="11" customFormat="1" x14ac:dyDescent="0.25">
      <c r="A22" s="52" t="s">
        <v>337</v>
      </c>
      <c r="B22" s="53">
        <v>4.4400000000000004</v>
      </c>
      <c r="C22" s="53">
        <v>8.2100000000000009</v>
      </c>
      <c r="D22" s="53">
        <v>7.58</v>
      </c>
      <c r="E22" s="53">
        <v>5.04</v>
      </c>
      <c r="F22" s="53">
        <v>4.2300000000000004</v>
      </c>
      <c r="G22" s="53">
        <v>18.07</v>
      </c>
      <c r="H22" s="53">
        <v>20.99</v>
      </c>
      <c r="I22" s="53">
        <v>4.45</v>
      </c>
      <c r="J22" s="53">
        <v>1.1000000000000001</v>
      </c>
      <c r="K22" s="53">
        <v>107.27</v>
      </c>
      <c r="L22" s="53">
        <v>32.07</v>
      </c>
      <c r="M22" s="53">
        <v>56.22</v>
      </c>
      <c r="N22" s="53">
        <v>436.8</v>
      </c>
      <c r="O22" s="53">
        <v>0</v>
      </c>
      <c r="P22" s="53">
        <v>0.43</v>
      </c>
      <c r="Q22" s="53">
        <v>9.61</v>
      </c>
      <c r="R22" s="43"/>
      <c r="S22" s="43"/>
      <c r="T22" s="43"/>
      <c r="U22" s="43"/>
    </row>
    <row r="23" spans="1:21" s="11" customFormat="1" x14ac:dyDescent="0.25">
      <c r="A23" s="52" t="s">
        <v>338</v>
      </c>
      <c r="B23" s="53">
        <v>3.11</v>
      </c>
      <c r="C23" s="53">
        <v>7.97</v>
      </c>
      <c r="D23" s="53">
        <v>6.65</v>
      </c>
      <c r="E23" s="53">
        <v>4.59</v>
      </c>
      <c r="F23" s="53">
        <v>4.5599999999999996</v>
      </c>
      <c r="G23" s="53">
        <v>18.399999999999999</v>
      </c>
      <c r="H23" s="53">
        <v>11.54</v>
      </c>
      <c r="I23" s="53">
        <v>4.04</v>
      </c>
      <c r="J23" s="53">
        <v>1.38</v>
      </c>
      <c r="K23" s="53">
        <v>120.54</v>
      </c>
      <c r="L23" s="53">
        <v>30.84</v>
      </c>
      <c r="M23" s="53">
        <v>58.5</v>
      </c>
      <c r="N23" s="53">
        <v>137.69999999999999</v>
      </c>
      <c r="O23" s="53">
        <v>0</v>
      </c>
      <c r="P23" s="53">
        <v>0.4</v>
      </c>
      <c r="Q23" s="53">
        <v>9.6199999999999992</v>
      </c>
      <c r="R23" s="43"/>
      <c r="S23" s="43"/>
      <c r="T23" s="43"/>
      <c r="U23" s="43"/>
    </row>
    <row r="24" spans="1:21" s="11" customFormat="1" x14ac:dyDescent="0.25">
      <c r="A24" s="52" t="s">
        <v>339</v>
      </c>
      <c r="B24" s="53">
        <v>2.0699999999999998</v>
      </c>
      <c r="C24" s="53">
        <v>6.69</v>
      </c>
      <c r="D24" s="53">
        <v>5.16</v>
      </c>
      <c r="E24" s="53">
        <v>4.63</v>
      </c>
      <c r="F24" s="53">
        <v>4.55</v>
      </c>
      <c r="G24" s="53">
        <v>18.399999999999999</v>
      </c>
      <c r="H24" s="53">
        <v>11.08</v>
      </c>
      <c r="I24" s="53">
        <v>3.21</v>
      </c>
      <c r="J24" s="53">
        <v>1.75</v>
      </c>
      <c r="K24" s="53">
        <v>118.37</v>
      </c>
      <c r="L24" s="53">
        <v>30.44</v>
      </c>
      <c r="M24" s="53">
        <v>59.87</v>
      </c>
      <c r="N24" s="53">
        <v>79.900000000000006</v>
      </c>
      <c r="O24" s="53">
        <v>0</v>
      </c>
      <c r="P24" s="53">
        <v>0.36</v>
      </c>
      <c r="Q24" s="53">
        <v>9.6199999999999992</v>
      </c>
      <c r="R24" s="43"/>
      <c r="S24" s="43"/>
      <c r="T24" s="43"/>
      <c r="U24" s="43"/>
    </row>
    <row r="25" spans="1:21" s="11" customFormat="1" x14ac:dyDescent="0.25">
      <c r="A25" s="52" t="s">
        <v>340</v>
      </c>
      <c r="B25" s="53">
        <v>1.84</v>
      </c>
      <c r="C25" s="53">
        <v>6.13</v>
      </c>
      <c r="D25" s="53">
        <v>4.67</v>
      </c>
      <c r="E25" s="53">
        <v>4.8600000000000003</v>
      </c>
      <c r="F25" s="53">
        <v>4.57</v>
      </c>
      <c r="G25" s="53">
        <v>18.18</v>
      </c>
      <c r="H25" s="53">
        <v>6.7</v>
      </c>
      <c r="I25" s="53">
        <v>3.43</v>
      </c>
      <c r="J25" s="53">
        <v>1.55</v>
      </c>
      <c r="K25" s="53">
        <v>119.82</v>
      </c>
      <c r="L25" s="53">
        <v>30</v>
      </c>
      <c r="M25" s="53">
        <v>60.72</v>
      </c>
      <c r="N25" s="53">
        <v>57.4</v>
      </c>
      <c r="O25" s="53">
        <v>0</v>
      </c>
      <c r="P25" s="53">
        <v>0.43</v>
      </c>
      <c r="Q25" s="53">
        <v>9.6199999999999992</v>
      </c>
      <c r="R25" s="43"/>
      <c r="S25" s="43"/>
      <c r="T25" s="43"/>
      <c r="U25" s="43"/>
    </row>
    <row r="26" spans="1:21" s="11" customFormat="1" x14ac:dyDescent="0.25">
      <c r="A26" s="52" t="s">
        <v>341</v>
      </c>
      <c r="B26" s="53">
        <v>1.58</v>
      </c>
      <c r="C26" s="53">
        <v>5.59</v>
      </c>
      <c r="D26" s="53">
        <v>4.08</v>
      </c>
      <c r="E26" s="53">
        <v>4.8899999999999997</v>
      </c>
      <c r="F26" s="53">
        <v>4.3099999999999996</v>
      </c>
      <c r="G26" s="53">
        <v>18.18</v>
      </c>
      <c r="H26" s="53">
        <v>6.7</v>
      </c>
      <c r="I26" s="53">
        <v>3.24</v>
      </c>
      <c r="J26" s="53">
        <v>1.1000000000000001</v>
      </c>
      <c r="K26" s="53">
        <v>115.82</v>
      </c>
      <c r="L26" s="53">
        <v>29.12</v>
      </c>
      <c r="M26" s="53">
        <v>68.430000000000007</v>
      </c>
      <c r="N26" s="53">
        <v>32</v>
      </c>
      <c r="O26" s="53">
        <v>0</v>
      </c>
      <c r="P26" s="53">
        <v>0.4</v>
      </c>
      <c r="Q26" s="53">
        <v>9.61</v>
      </c>
      <c r="R26" s="43"/>
      <c r="S26" s="43"/>
      <c r="T26" s="43"/>
      <c r="U26" s="43"/>
    </row>
    <row r="27" spans="1:21" s="11" customFormat="1" x14ac:dyDescent="0.25">
      <c r="A27" s="52" t="s">
        <v>342</v>
      </c>
      <c r="B27" s="53">
        <v>1.78</v>
      </c>
      <c r="C27" s="53">
        <v>6.04</v>
      </c>
      <c r="D27" s="53">
        <v>4.4800000000000004</v>
      </c>
      <c r="E27" s="53">
        <v>4.74</v>
      </c>
      <c r="F27" s="53">
        <v>4.28</v>
      </c>
      <c r="G27" s="53">
        <v>14.43</v>
      </c>
      <c r="H27" s="53">
        <v>4.8499999999999996</v>
      </c>
      <c r="I27" s="53">
        <v>2.09</v>
      </c>
      <c r="J27" s="53">
        <v>0.78</v>
      </c>
      <c r="K27" s="53">
        <v>116.94</v>
      </c>
      <c r="L27" s="53">
        <v>28.49</v>
      </c>
      <c r="M27" s="53">
        <v>73.08</v>
      </c>
      <c r="N27" s="53">
        <v>26.1</v>
      </c>
      <c r="O27" s="53">
        <v>0</v>
      </c>
      <c r="P27" s="53">
        <v>0.52</v>
      </c>
      <c r="Q27" s="53">
        <v>9.61</v>
      </c>
      <c r="R27" s="43"/>
      <c r="S27" s="43"/>
      <c r="T27" s="43"/>
      <c r="U27" s="43"/>
    </row>
    <row r="28" spans="1:21" s="11" customFormat="1" x14ac:dyDescent="0.25">
      <c r="A28" s="52" t="s">
        <v>343</v>
      </c>
      <c r="B28" s="53">
        <v>2.33</v>
      </c>
      <c r="C28" s="53">
        <v>5.54</v>
      </c>
      <c r="D28" s="53">
        <v>4.7699999999999996</v>
      </c>
      <c r="E28" s="53">
        <v>4.8099999999999996</v>
      </c>
      <c r="F28" s="53">
        <v>6.17</v>
      </c>
      <c r="G28" s="53">
        <v>14.88</v>
      </c>
      <c r="H28" s="53">
        <v>96.13</v>
      </c>
      <c r="I28" s="53">
        <v>2.0499999999999998</v>
      </c>
      <c r="J28" s="53">
        <v>0.78</v>
      </c>
      <c r="K28" s="53">
        <v>119.01</v>
      </c>
      <c r="L28" s="53">
        <v>28.1</v>
      </c>
      <c r="M28" s="53">
        <v>73.34</v>
      </c>
      <c r="N28" s="53">
        <v>26.2</v>
      </c>
      <c r="O28" s="53">
        <v>0</v>
      </c>
      <c r="P28" s="53">
        <v>0.72</v>
      </c>
      <c r="Q28" s="53">
        <v>9.6199999999999992</v>
      </c>
      <c r="R28" s="43"/>
      <c r="S28" s="43"/>
      <c r="T28" s="43"/>
      <c r="U28" s="43"/>
    </row>
    <row r="29" spans="1:21" s="11" customFormat="1" x14ac:dyDescent="0.25">
      <c r="A29" s="52" t="s">
        <v>344</v>
      </c>
      <c r="B29" s="53">
        <v>3.32</v>
      </c>
      <c r="C29" s="53">
        <v>6.72</v>
      </c>
      <c r="D29" s="53">
        <v>6.17</v>
      </c>
      <c r="E29" s="53">
        <v>5.41</v>
      </c>
      <c r="F29" s="53">
        <v>4.09</v>
      </c>
      <c r="G29" s="53">
        <v>14.88</v>
      </c>
      <c r="H29" s="53">
        <v>96.13</v>
      </c>
      <c r="I29" s="53">
        <v>2.3199999999999998</v>
      </c>
      <c r="J29" s="53">
        <v>0.63</v>
      </c>
      <c r="K29" s="53">
        <v>116.69</v>
      </c>
      <c r="L29" s="53">
        <v>27.78</v>
      </c>
      <c r="M29" s="53">
        <v>77.760000000000005</v>
      </c>
      <c r="N29" s="53">
        <v>26.2</v>
      </c>
      <c r="O29" s="53">
        <v>0</v>
      </c>
      <c r="P29" s="53">
        <v>0.82</v>
      </c>
      <c r="Q29" s="53">
        <v>9.6199999999999992</v>
      </c>
      <c r="R29" s="43"/>
      <c r="S29" s="43"/>
      <c r="T29" s="43"/>
      <c r="U29" s="43"/>
    </row>
    <row r="30" spans="1:21" s="11" customFormat="1" x14ac:dyDescent="0.25">
      <c r="A30" s="52" t="s">
        <v>345</v>
      </c>
      <c r="B30" s="53">
        <v>5.25</v>
      </c>
      <c r="C30" s="53">
        <v>7.57</v>
      </c>
      <c r="D30" s="53">
        <v>8.16</v>
      </c>
      <c r="E30" s="53">
        <v>5.7</v>
      </c>
      <c r="F30" s="53">
        <v>3.99</v>
      </c>
      <c r="G30" s="53">
        <v>33.11</v>
      </c>
      <c r="H30" s="53">
        <v>19.64</v>
      </c>
      <c r="I30" s="53">
        <v>3.42</v>
      </c>
      <c r="J30" s="53">
        <v>0.89</v>
      </c>
      <c r="K30" s="53">
        <v>120.59</v>
      </c>
      <c r="L30" s="53">
        <v>27.29</v>
      </c>
      <c r="M30" s="53">
        <v>83.05</v>
      </c>
      <c r="N30" s="53">
        <v>26.2</v>
      </c>
      <c r="O30" s="53">
        <v>0</v>
      </c>
      <c r="P30" s="53">
        <v>0.65</v>
      </c>
      <c r="Q30" s="53">
        <v>9.61</v>
      </c>
      <c r="R30" s="43"/>
      <c r="S30" s="43"/>
      <c r="T30" s="43"/>
      <c r="U30" s="43"/>
    </row>
    <row r="31" spans="1:21" s="11" customFormat="1" x14ac:dyDescent="0.25">
      <c r="A31" s="52" t="s">
        <v>346</v>
      </c>
      <c r="B31" s="53">
        <v>4.83</v>
      </c>
      <c r="C31" s="53">
        <v>7.4</v>
      </c>
      <c r="D31" s="53">
        <v>7.73</v>
      </c>
      <c r="E31" s="53">
        <v>5.69</v>
      </c>
      <c r="F31" s="53">
        <v>3.95</v>
      </c>
      <c r="G31" s="53">
        <v>33.18</v>
      </c>
      <c r="H31" s="53">
        <v>18.440000000000001</v>
      </c>
      <c r="I31" s="53">
        <v>2.86</v>
      </c>
      <c r="J31" s="53">
        <v>1.17</v>
      </c>
      <c r="K31" s="53">
        <v>123.44</v>
      </c>
      <c r="L31" s="53">
        <v>26.91</v>
      </c>
      <c r="M31" s="53">
        <v>84.57</v>
      </c>
      <c r="N31" s="53">
        <v>26.1</v>
      </c>
      <c r="O31" s="53">
        <v>0</v>
      </c>
      <c r="P31" s="53">
        <v>0.52</v>
      </c>
      <c r="Q31" s="53">
        <v>9.61</v>
      </c>
      <c r="R31" s="43"/>
      <c r="S31" s="43"/>
      <c r="T31" s="43"/>
      <c r="U31" s="43"/>
    </row>
    <row r="32" spans="1:21" s="11" customFormat="1" x14ac:dyDescent="0.25">
      <c r="A32" s="52" t="s">
        <v>347</v>
      </c>
      <c r="B32" s="53">
        <v>4.82</v>
      </c>
      <c r="C32" s="53">
        <v>7.01</v>
      </c>
      <c r="D32" s="53">
        <v>7.53</v>
      </c>
      <c r="E32" s="53">
        <v>5.07</v>
      </c>
      <c r="F32" s="53">
        <v>4.3099999999999996</v>
      </c>
      <c r="G32" s="53">
        <v>33.18</v>
      </c>
      <c r="H32" s="53">
        <v>1.3</v>
      </c>
      <c r="I32" s="53">
        <v>2.95</v>
      </c>
      <c r="J32" s="53">
        <v>1.48</v>
      </c>
      <c r="K32" s="53">
        <v>120.48</v>
      </c>
      <c r="L32" s="53">
        <v>26.74</v>
      </c>
      <c r="M32" s="53">
        <v>83.97</v>
      </c>
      <c r="N32" s="53">
        <v>26.1</v>
      </c>
      <c r="O32" s="53">
        <v>0</v>
      </c>
      <c r="P32" s="53">
        <v>0.45</v>
      </c>
      <c r="Q32" s="53">
        <v>9.6199999999999992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1.58</v>
      </c>
      <c r="C34" s="28">
        <f t="shared" si="0"/>
        <v>4.87</v>
      </c>
      <c r="D34" s="28">
        <f t="shared" si="0"/>
        <v>4.08</v>
      </c>
      <c r="E34" s="28">
        <f t="shared" si="0"/>
        <v>4.51</v>
      </c>
      <c r="F34" s="28">
        <f t="shared" si="0"/>
        <v>3.37</v>
      </c>
      <c r="G34" s="28">
        <f t="shared" si="0"/>
        <v>14.43</v>
      </c>
      <c r="H34" s="28">
        <f t="shared" si="0"/>
        <v>1.3</v>
      </c>
      <c r="I34" s="28">
        <f t="shared" si="0"/>
        <v>2.0499999999999998</v>
      </c>
      <c r="J34" s="28">
        <f t="shared" si="0"/>
        <v>0.39</v>
      </c>
      <c r="K34" s="28">
        <f t="shared" si="0"/>
        <v>107.27</v>
      </c>
      <c r="L34" s="28">
        <f t="shared" si="0"/>
        <v>24.48</v>
      </c>
      <c r="M34" s="28">
        <f t="shared" si="0"/>
        <v>56.22</v>
      </c>
      <c r="N34" s="28">
        <f t="shared" si="0"/>
        <v>26</v>
      </c>
      <c r="O34" s="28">
        <f t="shared" si="0"/>
        <v>0</v>
      </c>
      <c r="P34" s="28">
        <f t="shared" si="0"/>
        <v>0.36</v>
      </c>
      <c r="Q34" s="28">
        <f t="shared" si="0"/>
        <v>9.61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37.74</v>
      </c>
      <c r="C35" s="29">
        <f t="shared" si="1"/>
        <v>8.76</v>
      </c>
      <c r="D35" s="29">
        <f t="shared" si="1"/>
        <v>34.840000000000003</v>
      </c>
      <c r="E35" s="29">
        <f t="shared" si="1"/>
        <v>5.7</v>
      </c>
      <c r="F35" s="29">
        <f t="shared" si="1"/>
        <v>6.17</v>
      </c>
      <c r="G35" s="29">
        <f t="shared" si="1"/>
        <v>50.87</v>
      </c>
      <c r="H35" s="29">
        <f t="shared" si="1"/>
        <v>96.13</v>
      </c>
      <c r="I35" s="29">
        <f t="shared" si="1"/>
        <v>6.89</v>
      </c>
      <c r="J35" s="29">
        <f t="shared" si="1"/>
        <v>1.75</v>
      </c>
      <c r="K35" s="29">
        <f t="shared" si="1"/>
        <v>345.75</v>
      </c>
      <c r="L35" s="29">
        <f t="shared" si="1"/>
        <v>32.54</v>
      </c>
      <c r="M35" s="29">
        <f t="shared" si="1"/>
        <v>102.7</v>
      </c>
      <c r="N35" s="29">
        <f t="shared" si="1"/>
        <v>940.9</v>
      </c>
      <c r="O35" s="29">
        <f t="shared" si="1"/>
        <v>0</v>
      </c>
      <c r="P35" s="29">
        <f t="shared" si="1"/>
        <v>1.23</v>
      </c>
      <c r="Q35" s="29">
        <f t="shared" si="1"/>
        <v>9.64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14.622083333333329</v>
      </c>
      <c r="C36" s="28">
        <f t="shared" si="2"/>
        <v>6.7525000000000004</v>
      </c>
      <c r="D36" s="28">
        <f t="shared" si="2"/>
        <v>15.15</v>
      </c>
      <c r="E36" s="28">
        <f t="shared" si="2"/>
        <v>5.0612500000000002</v>
      </c>
      <c r="F36" s="28">
        <f t="shared" si="2"/>
        <v>4.2362500000000001</v>
      </c>
      <c r="G36" s="28">
        <f t="shared" si="2"/>
        <v>28.418333333333322</v>
      </c>
      <c r="H36" s="28">
        <f t="shared" si="2"/>
        <v>23.474583333333332</v>
      </c>
      <c r="I36" s="28">
        <f t="shared" si="2"/>
        <v>3.9229166666666662</v>
      </c>
      <c r="J36" s="28">
        <f t="shared" si="2"/>
        <v>0.94625000000000015</v>
      </c>
      <c r="K36" s="28">
        <f t="shared" si="2"/>
        <v>187.74291666666667</v>
      </c>
      <c r="L36" s="28">
        <f t="shared" si="2"/>
        <v>28.429999999999993</v>
      </c>
      <c r="M36" s="28">
        <f t="shared" si="2"/>
        <v>80.008333333333312</v>
      </c>
      <c r="N36" s="28">
        <f t="shared" si="2"/>
        <v>235.32500000000002</v>
      </c>
      <c r="O36" s="28">
        <f t="shared" si="2"/>
        <v>0</v>
      </c>
      <c r="P36" s="28">
        <f t="shared" si="2"/>
        <v>0.57541666666666669</v>
      </c>
      <c r="Q36" s="28">
        <f t="shared" si="2"/>
        <v>9.6195833333333383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13.20559531580942</v>
      </c>
      <c r="C37" s="28">
        <f t="shared" ref="C37:Q37" si="3">STDEV(C9:C32)</f>
        <v>0.99593630842277614</v>
      </c>
      <c r="D37" s="28">
        <f t="shared" si="3"/>
        <v>10.570506959995075</v>
      </c>
      <c r="E37" s="28">
        <f t="shared" si="3"/>
        <v>0.33451213664860863</v>
      </c>
      <c r="F37" s="28">
        <f t="shared" si="3"/>
        <v>0.5696285021264168</v>
      </c>
      <c r="G37" s="28">
        <f t="shared" si="3"/>
        <v>12.346855845735108</v>
      </c>
      <c r="H37" s="28">
        <f t="shared" si="3"/>
        <v>24.09984809246129</v>
      </c>
      <c r="I37" s="28">
        <f t="shared" si="3"/>
        <v>1.2383491084878915</v>
      </c>
      <c r="J37" s="28">
        <f t="shared" si="3"/>
        <v>0.39587890660611341</v>
      </c>
      <c r="K37" s="28">
        <f t="shared" si="3"/>
        <v>90.209654668838084</v>
      </c>
      <c r="L37" s="28">
        <f t="shared" si="3"/>
        <v>2.8448397219313182</v>
      </c>
      <c r="M37" s="28">
        <f t="shared" si="3"/>
        <v>16.894299184267371</v>
      </c>
      <c r="N37" s="28">
        <f t="shared" si="3"/>
        <v>323.44226989761512</v>
      </c>
      <c r="O37" s="28">
        <f t="shared" si="3"/>
        <v>0</v>
      </c>
      <c r="P37" s="28">
        <f t="shared" si="3"/>
        <v>0.21548689391532688</v>
      </c>
      <c r="Q37" s="28">
        <f t="shared" si="3"/>
        <v>6.9025305168638152E-3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1" sqref="G51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13/10/2024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348</v>
      </c>
      <c r="B9" s="53">
        <v>3.99</v>
      </c>
      <c r="C9" s="53">
        <v>6.07</v>
      </c>
      <c r="D9" s="53">
        <v>6.37</v>
      </c>
      <c r="E9" s="53">
        <v>5.25</v>
      </c>
      <c r="F9" s="53">
        <v>4</v>
      </c>
      <c r="G9" s="53">
        <v>30.42</v>
      </c>
      <c r="H9" s="53">
        <v>0.1</v>
      </c>
      <c r="I9" s="53">
        <v>4.05</v>
      </c>
      <c r="J9" s="53">
        <v>1.65</v>
      </c>
      <c r="K9" s="53">
        <v>110.63</v>
      </c>
      <c r="L9" s="53">
        <v>26.34</v>
      </c>
      <c r="M9" s="53">
        <v>87.92</v>
      </c>
      <c r="N9" s="53">
        <v>26.2</v>
      </c>
      <c r="O9" s="53">
        <v>0</v>
      </c>
      <c r="P9" s="53">
        <v>0.46</v>
      </c>
      <c r="Q9" s="53">
        <v>9.6199999999999992</v>
      </c>
      <c r="R9" s="43"/>
      <c r="S9" s="43"/>
      <c r="T9" s="43"/>
      <c r="U9" s="43"/>
    </row>
    <row r="10" spans="1:21" s="11" customFormat="1" x14ac:dyDescent="0.25">
      <c r="A10" s="52" t="s">
        <v>349</v>
      </c>
      <c r="B10" s="53">
        <v>2.66</v>
      </c>
      <c r="C10" s="53">
        <v>5.53</v>
      </c>
      <c r="D10" s="53">
        <v>5.0199999999999996</v>
      </c>
      <c r="E10" s="53">
        <v>5.4</v>
      </c>
      <c r="F10" s="53">
        <v>4.4000000000000004</v>
      </c>
      <c r="G10" s="53">
        <v>32.31</v>
      </c>
      <c r="H10" s="53">
        <v>31.02</v>
      </c>
      <c r="I10" s="53">
        <v>5.27</v>
      </c>
      <c r="J10" s="53">
        <v>1.22</v>
      </c>
      <c r="K10" s="53">
        <v>108.13</v>
      </c>
      <c r="L10" s="53">
        <v>25.93</v>
      </c>
      <c r="M10" s="53">
        <v>91.47</v>
      </c>
      <c r="N10" s="53">
        <v>26.2</v>
      </c>
      <c r="O10" s="53">
        <v>0</v>
      </c>
      <c r="P10" s="53">
        <v>0.41</v>
      </c>
      <c r="Q10" s="53">
        <v>9.61</v>
      </c>
      <c r="R10" s="43"/>
      <c r="S10" s="43"/>
      <c r="T10" s="43"/>
      <c r="U10" s="43"/>
    </row>
    <row r="11" spans="1:21" s="11" customFormat="1" x14ac:dyDescent="0.25">
      <c r="A11" s="52" t="s">
        <v>350</v>
      </c>
      <c r="B11" s="53">
        <v>2.13</v>
      </c>
      <c r="C11" s="53">
        <v>4.87</v>
      </c>
      <c r="D11" s="53">
        <v>4.24</v>
      </c>
      <c r="E11" s="53">
        <v>4.96</v>
      </c>
      <c r="F11" s="53">
        <v>4.3899999999999997</v>
      </c>
      <c r="G11" s="53">
        <v>32.31</v>
      </c>
      <c r="H11" s="53">
        <v>31.02</v>
      </c>
      <c r="I11" s="53">
        <v>3.13</v>
      </c>
      <c r="J11" s="53">
        <v>0.51</v>
      </c>
      <c r="K11" s="53">
        <v>160.9</v>
      </c>
      <c r="L11" s="53">
        <v>25.48</v>
      </c>
      <c r="M11" s="53">
        <v>92.68</v>
      </c>
      <c r="N11" s="53">
        <v>26.1</v>
      </c>
      <c r="O11" s="53">
        <v>0</v>
      </c>
      <c r="P11" s="53">
        <v>0.4</v>
      </c>
      <c r="Q11" s="53">
        <v>9.6199999999999992</v>
      </c>
      <c r="R11" s="43"/>
      <c r="S11" s="43"/>
      <c r="T11" s="43"/>
      <c r="U11" s="43"/>
    </row>
    <row r="12" spans="1:21" s="11" customFormat="1" x14ac:dyDescent="0.25">
      <c r="A12" s="52" t="s">
        <v>351</v>
      </c>
      <c r="B12" s="53">
        <v>2.3199999999999998</v>
      </c>
      <c r="C12" s="53">
        <v>4.17</v>
      </c>
      <c r="D12" s="53">
        <v>3.88</v>
      </c>
      <c r="E12" s="53">
        <v>4.99</v>
      </c>
      <c r="F12" s="53">
        <v>4.25</v>
      </c>
      <c r="G12" s="53">
        <v>27.02</v>
      </c>
      <c r="H12" s="53">
        <v>17.03</v>
      </c>
      <c r="I12" s="53">
        <v>2.37</v>
      </c>
      <c r="J12" s="53">
        <v>0.49</v>
      </c>
      <c r="K12" s="53">
        <v>247.91</v>
      </c>
      <c r="L12" s="53">
        <v>25</v>
      </c>
      <c r="M12" s="53">
        <v>93.52</v>
      </c>
      <c r="N12" s="53">
        <v>26.2</v>
      </c>
      <c r="O12" s="53">
        <v>0</v>
      </c>
      <c r="P12" s="53">
        <v>0.28999999999999998</v>
      </c>
      <c r="Q12" s="53">
        <v>9.6199999999999992</v>
      </c>
      <c r="R12" s="43"/>
      <c r="S12" s="43"/>
      <c r="T12" s="43"/>
      <c r="U12" s="43"/>
    </row>
    <row r="13" spans="1:21" s="11" customFormat="1" x14ac:dyDescent="0.25">
      <c r="A13" s="52" t="s">
        <v>352</v>
      </c>
      <c r="B13" s="53">
        <v>2.54</v>
      </c>
      <c r="C13" s="53">
        <v>3.89</v>
      </c>
      <c r="D13" s="53">
        <v>4.07</v>
      </c>
      <c r="E13" s="53">
        <v>4.9400000000000004</v>
      </c>
      <c r="F13" s="53">
        <v>4.03</v>
      </c>
      <c r="G13" s="53">
        <v>24.62</v>
      </c>
      <c r="H13" s="53">
        <v>4.3600000000000003</v>
      </c>
      <c r="I13" s="53">
        <v>0.71</v>
      </c>
      <c r="J13" s="53">
        <v>0.39</v>
      </c>
      <c r="K13" s="53">
        <v>284.97000000000003</v>
      </c>
      <c r="L13" s="53">
        <v>24.52</v>
      </c>
      <c r="M13" s="53">
        <v>96.26</v>
      </c>
      <c r="N13" s="53">
        <v>26.2</v>
      </c>
      <c r="O13" s="53">
        <v>0</v>
      </c>
      <c r="P13" s="53">
        <v>0.3</v>
      </c>
      <c r="Q13" s="53">
        <v>9.6199999999999992</v>
      </c>
      <c r="R13" s="43"/>
      <c r="S13" s="43"/>
      <c r="T13" s="43"/>
      <c r="U13" s="43"/>
    </row>
    <row r="14" spans="1:21" s="11" customFormat="1" x14ac:dyDescent="0.25">
      <c r="A14" s="52" t="s">
        <v>353</v>
      </c>
      <c r="B14" s="53">
        <v>4.51</v>
      </c>
      <c r="C14" s="53">
        <v>5.12</v>
      </c>
      <c r="D14" s="53">
        <v>6.29</v>
      </c>
      <c r="E14" s="53">
        <v>5.01</v>
      </c>
      <c r="F14" s="53">
        <v>4.47</v>
      </c>
      <c r="G14" s="53">
        <v>23.49</v>
      </c>
      <c r="H14" s="53">
        <v>1.32</v>
      </c>
      <c r="I14" s="53">
        <v>2.62</v>
      </c>
      <c r="J14" s="53">
        <v>0.56000000000000005</v>
      </c>
      <c r="K14" s="53">
        <v>311.82</v>
      </c>
      <c r="L14" s="53">
        <v>24.39</v>
      </c>
      <c r="M14" s="53">
        <v>102.14</v>
      </c>
      <c r="N14" s="53">
        <v>28.3</v>
      </c>
      <c r="O14" s="53">
        <v>0</v>
      </c>
      <c r="P14" s="53">
        <v>0.43</v>
      </c>
      <c r="Q14" s="53">
        <v>9.6199999999999992</v>
      </c>
      <c r="R14" s="43"/>
      <c r="S14" s="43"/>
      <c r="T14" s="43"/>
      <c r="U14" s="43"/>
    </row>
    <row r="15" spans="1:21" s="11" customFormat="1" x14ac:dyDescent="0.25">
      <c r="A15" s="52" t="s">
        <v>354</v>
      </c>
      <c r="B15" s="53">
        <v>18.36</v>
      </c>
      <c r="C15" s="53">
        <v>6.29</v>
      </c>
      <c r="D15" s="53">
        <v>18.010000000000002</v>
      </c>
      <c r="E15" s="53">
        <v>5.94</v>
      </c>
      <c r="F15" s="53">
        <v>3.72</v>
      </c>
      <c r="G15" s="53">
        <v>27.1</v>
      </c>
      <c r="H15" s="53">
        <v>10.52</v>
      </c>
      <c r="I15" s="53">
        <v>3.12</v>
      </c>
      <c r="J15" s="53">
        <v>0.5</v>
      </c>
      <c r="K15" s="53">
        <v>339.89</v>
      </c>
      <c r="L15" s="53">
        <v>26.88</v>
      </c>
      <c r="M15" s="53">
        <v>102.08</v>
      </c>
      <c r="N15" s="53">
        <v>161.1</v>
      </c>
      <c r="O15" s="53">
        <v>0</v>
      </c>
      <c r="P15" s="53">
        <v>0.63</v>
      </c>
      <c r="Q15" s="53">
        <v>9.6300000000000008</v>
      </c>
      <c r="R15" s="43"/>
      <c r="S15" s="43"/>
      <c r="T15" s="43"/>
      <c r="U15" s="43"/>
    </row>
    <row r="16" spans="1:21" s="11" customFormat="1" x14ac:dyDescent="0.25">
      <c r="A16" s="52" t="s">
        <v>355</v>
      </c>
      <c r="B16" s="53">
        <v>20.25</v>
      </c>
      <c r="C16" s="53">
        <v>6.6</v>
      </c>
      <c r="D16" s="53">
        <v>19.55</v>
      </c>
      <c r="E16" s="53">
        <v>6.01</v>
      </c>
      <c r="F16" s="53">
        <v>4.05</v>
      </c>
      <c r="G16" s="53">
        <v>27.1</v>
      </c>
      <c r="H16" s="53">
        <v>10.52</v>
      </c>
      <c r="I16" s="53">
        <v>3.03</v>
      </c>
      <c r="J16" s="53">
        <v>1.1599999999999999</v>
      </c>
      <c r="K16" s="53">
        <v>145.09</v>
      </c>
      <c r="L16" s="53">
        <v>29.26</v>
      </c>
      <c r="M16" s="53">
        <v>76.05</v>
      </c>
      <c r="N16" s="53">
        <v>397.6</v>
      </c>
      <c r="O16" s="53">
        <v>0</v>
      </c>
      <c r="P16" s="53">
        <v>0.36</v>
      </c>
      <c r="Q16" s="53">
        <v>9.6199999999999992</v>
      </c>
      <c r="R16" s="43"/>
      <c r="S16" s="43"/>
      <c r="T16" s="43"/>
      <c r="U16" s="43"/>
    </row>
    <row r="17" spans="1:21" s="11" customFormat="1" x14ac:dyDescent="0.25">
      <c r="A17" s="52" t="s">
        <v>356</v>
      </c>
      <c r="B17" s="53">
        <v>17.8</v>
      </c>
      <c r="C17" s="53">
        <v>6.27</v>
      </c>
      <c r="D17" s="53">
        <v>17.329999999999998</v>
      </c>
      <c r="E17" s="53">
        <v>3.91</v>
      </c>
      <c r="F17" s="53">
        <v>4.55</v>
      </c>
      <c r="G17" s="53">
        <v>23.57</v>
      </c>
      <c r="H17" s="53">
        <v>14.48</v>
      </c>
      <c r="I17" s="53">
        <v>2.72</v>
      </c>
      <c r="J17" s="53">
        <v>1.34</v>
      </c>
      <c r="K17" s="53">
        <v>133.16</v>
      </c>
      <c r="L17" s="53">
        <v>29.54</v>
      </c>
      <c r="M17" s="53">
        <v>75.08</v>
      </c>
      <c r="N17" s="53">
        <v>617</v>
      </c>
      <c r="O17" s="53">
        <v>0</v>
      </c>
      <c r="P17" s="53">
        <v>0.38</v>
      </c>
      <c r="Q17" s="53">
        <v>9.6300000000000008</v>
      </c>
      <c r="R17" s="43"/>
      <c r="S17" s="43"/>
      <c r="T17" s="43"/>
      <c r="U17" s="43"/>
    </row>
    <row r="18" spans="1:21" s="11" customFormat="1" x14ac:dyDescent="0.25">
      <c r="A18" s="52" t="s">
        <v>357</v>
      </c>
      <c r="B18" s="53">
        <v>12.65</v>
      </c>
      <c r="C18" s="53">
        <v>7.43</v>
      </c>
      <c r="D18" s="53">
        <v>13.58</v>
      </c>
      <c r="E18" s="53">
        <v>4.1500000000000004</v>
      </c>
      <c r="F18" s="53">
        <v>4.18</v>
      </c>
      <c r="G18" s="53">
        <v>20.51</v>
      </c>
      <c r="H18" s="53">
        <v>14.48</v>
      </c>
      <c r="I18" s="53">
        <v>5.42</v>
      </c>
      <c r="J18" s="53">
        <v>1.28</v>
      </c>
      <c r="K18" s="53">
        <v>118.33</v>
      </c>
      <c r="L18" s="53">
        <v>30.77</v>
      </c>
      <c r="M18" s="53">
        <v>74.180000000000007</v>
      </c>
      <c r="N18" s="53">
        <v>737.4</v>
      </c>
      <c r="O18" s="53">
        <v>0</v>
      </c>
      <c r="P18" s="53">
        <v>0.39</v>
      </c>
      <c r="Q18" s="53">
        <v>9.6199999999999992</v>
      </c>
      <c r="R18" s="43"/>
      <c r="S18" s="43"/>
      <c r="T18" s="43"/>
      <c r="U18" s="43"/>
    </row>
    <row r="19" spans="1:21" s="11" customFormat="1" x14ac:dyDescent="0.25">
      <c r="A19" s="52" t="s">
        <v>358</v>
      </c>
      <c r="B19" s="53">
        <v>7.57</v>
      </c>
      <c r="C19" s="53">
        <v>8.2100000000000009</v>
      </c>
      <c r="D19" s="53">
        <v>9.89</v>
      </c>
      <c r="E19" s="53">
        <v>4.22</v>
      </c>
      <c r="F19" s="53">
        <v>4.59</v>
      </c>
      <c r="G19" s="53">
        <v>21.78</v>
      </c>
      <c r="H19" s="53">
        <v>7.74</v>
      </c>
      <c r="I19" s="53">
        <v>5.72</v>
      </c>
      <c r="J19" s="53">
        <v>1.31</v>
      </c>
      <c r="K19" s="53">
        <v>124.01</v>
      </c>
      <c r="L19" s="53">
        <v>31.23</v>
      </c>
      <c r="M19" s="53">
        <v>70.790000000000006</v>
      </c>
      <c r="N19" s="53">
        <v>867.6</v>
      </c>
      <c r="O19" s="53">
        <v>0</v>
      </c>
      <c r="P19" s="53">
        <v>0.38</v>
      </c>
      <c r="Q19" s="53">
        <v>9.61</v>
      </c>
      <c r="R19" s="43"/>
      <c r="S19" s="43"/>
      <c r="T19" s="43"/>
      <c r="U19" s="43"/>
    </row>
    <row r="20" spans="1:21" s="11" customFormat="1" x14ac:dyDescent="0.25">
      <c r="A20" s="52" t="s">
        <v>359</v>
      </c>
      <c r="B20" s="53">
        <v>3.76</v>
      </c>
      <c r="C20" s="53">
        <v>7.63</v>
      </c>
      <c r="D20" s="53">
        <v>7</v>
      </c>
      <c r="E20" s="53">
        <v>4.47</v>
      </c>
      <c r="F20" s="53">
        <v>4.68</v>
      </c>
      <c r="G20" s="53">
        <v>21.78</v>
      </c>
      <c r="H20" s="53">
        <v>97.77</v>
      </c>
      <c r="I20" s="53">
        <v>5.95</v>
      </c>
      <c r="J20" s="53">
        <v>2.09</v>
      </c>
      <c r="K20" s="53">
        <v>119.86</v>
      </c>
      <c r="L20" s="53">
        <v>30.75</v>
      </c>
      <c r="M20" s="53">
        <v>65.41</v>
      </c>
      <c r="N20" s="53">
        <v>884.4</v>
      </c>
      <c r="O20" s="53">
        <v>0</v>
      </c>
      <c r="P20" s="53">
        <v>0.36</v>
      </c>
      <c r="Q20" s="53">
        <v>9.6199999999999992</v>
      </c>
      <c r="R20" s="43"/>
      <c r="S20" s="43"/>
      <c r="T20" s="43"/>
      <c r="U20" s="43"/>
    </row>
    <row r="21" spans="1:21" s="11" customFormat="1" x14ac:dyDescent="0.25">
      <c r="A21" s="52" t="s">
        <v>360</v>
      </c>
      <c r="B21" s="53">
        <v>2.2999999999999998</v>
      </c>
      <c r="C21" s="53">
        <v>6.07</v>
      </c>
      <c r="D21" s="53">
        <v>5.01</v>
      </c>
      <c r="E21" s="53">
        <v>4.59</v>
      </c>
      <c r="F21" s="53">
        <v>4.34</v>
      </c>
      <c r="G21" s="53">
        <v>19.12</v>
      </c>
      <c r="H21" s="53">
        <v>97.77</v>
      </c>
      <c r="I21" s="53">
        <v>4.92</v>
      </c>
      <c r="J21" s="53">
        <v>2.0299999999999998</v>
      </c>
      <c r="K21" s="53">
        <v>121.84</v>
      </c>
      <c r="L21" s="53">
        <v>31.06</v>
      </c>
      <c r="M21" s="53">
        <v>62.17</v>
      </c>
      <c r="N21" s="53">
        <v>740.7</v>
      </c>
      <c r="O21" s="53">
        <v>0</v>
      </c>
      <c r="P21" s="53">
        <v>0.32</v>
      </c>
      <c r="Q21" s="53">
        <v>9.6300000000000008</v>
      </c>
      <c r="R21" s="43"/>
      <c r="S21" s="43"/>
      <c r="T21" s="43"/>
      <c r="U21" s="43"/>
    </row>
    <row r="22" spans="1:21" s="11" customFormat="1" x14ac:dyDescent="0.25">
      <c r="A22" s="52" t="s">
        <v>361</v>
      </c>
      <c r="B22" s="53">
        <v>1.49</v>
      </c>
      <c r="C22" s="53">
        <v>5.94</v>
      </c>
      <c r="D22" s="53">
        <v>4.12</v>
      </c>
      <c r="E22" s="53">
        <v>4.3899999999999997</v>
      </c>
      <c r="F22" s="53">
        <v>4.5199999999999996</v>
      </c>
      <c r="G22" s="53">
        <v>17.420000000000002</v>
      </c>
      <c r="H22" s="53">
        <v>20.440000000000001</v>
      </c>
      <c r="I22" s="53">
        <v>5.09</v>
      </c>
      <c r="J22" s="53">
        <v>1.75</v>
      </c>
      <c r="K22" s="53">
        <v>121.79</v>
      </c>
      <c r="L22" s="53">
        <v>31.41</v>
      </c>
      <c r="M22" s="53">
        <v>58.64</v>
      </c>
      <c r="N22" s="53">
        <v>433.2</v>
      </c>
      <c r="O22" s="53">
        <v>0</v>
      </c>
      <c r="P22" s="53">
        <v>0.37</v>
      </c>
      <c r="Q22" s="53">
        <v>9.61</v>
      </c>
      <c r="R22" s="43"/>
      <c r="S22" s="43"/>
      <c r="T22" s="43"/>
      <c r="U22" s="43"/>
    </row>
    <row r="23" spans="1:21" s="11" customFormat="1" x14ac:dyDescent="0.25">
      <c r="A23" s="52" t="s">
        <v>362</v>
      </c>
      <c r="B23" s="53">
        <v>1.48</v>
      </c>
      <c r="C23" s="53">
        <v>6.55</v>
      </c>
      <c r="D23" s="53">
        <v>4.47</v>
      </c>
      <c r="E23" s="53">
        <v>4.8499999999999996</v>
      </c>
      <c r="F23" s="53">
        <v>4.6500000000000004</v>
      </c>
      <c r="G23" s="53">
        <v>18.04</v>
      </c>
      <c r="H23" s="53">
        <v>20.440000000000001</v>
      </c>
      <c r="I23" s="53">
        <v>4.54</v>
      </c>
      <c r="J23" s="53">
        <v>1.55</v>
      </c>
      <c r="K23" s="53">
        <v>118.22</v>
      </c>
      <c r="L23" s="53">
        <v>30.47</v>
      </c>
      <c r="M23" s="53">
        <v>62.24</v>
      </c>
      <c r="N23" s="53">
        <v>159.9</v>
      </c>
      <c r="O23" s="53">
        <v>0</v>
      </c>
      <c r="P23" s="53">
        <v>0.37</v>
      </c>
      <c r="Q23" s="53">
        <v>9.61</v>
      </c>
      <c r="R23" s="43"/>
      <c r="S23" s="43"/>
      <c r="T23" s="43"/>
      <c r="U23" s="43"/>
    </row>
    <row r="24" spans="1:21" s="11" customFormat="1" x14ac:dyDescent="0.25">
      <c r="A24" s="52" t="s">
        <v>363</v>
      </c>
      <c r="B24" s="53">
        <v>1.36</v>
      </c>
      <c r="C24" s="53">
        <v>6.57</v>
      </c>
      <c r="D24" s="53">
        <v>4.4000000000000004</v>
      </c>
      <c r="E24" s="53">
        <v>4.97</v>
      </c>
      <c r="F24" s="53">
        <v>5.22</v>
      </c>
      <c r="G24" s="53">
        <v>18.04</v>
      </c>
      <c r="H24" s="53">
        <v>8.6199999999999992</v>
      </c>
      <c r="I24" s="53">
        <v>3.92</v>
      </c>
      <c r="J24" s="53">
        <v>1.91</v>
      </c>
      <c r="K24" s="53">
        <v>121.57</v>
      </c>
      <c r="L24" s="53">
        <v>30.09</v>
      </c>
      <c r="M24" s="53">
        <v>56.78</v>
      </c>
      <c r="N24" s="53">
        <v>92.5</v>
      </c>
      <c r="O24" s="53">
        <v>0</v>
      </c>
      <c r="P24" s="53">
        <v>0.33</v>
      </c>
      <c r="Q24" s="53">
        <v>9.61</v>
      </c>
      <c r="R24" s="43"/>
      <c r="S24" s="43"/>
      <c r="T24" s="43"/>
      <c r="U24" s="43"/>
    </row>
    <row r="25" spans="1:21" s="11" customFormat="1" x14ac:dyDescent="0.25">
      <c r="A25" s="52" t="s">
        <v>364</v>
      </c>
      <c r="B25" s="53">
        <v>1.22</v>
      </c>
      <c r="C25" s="53">
        <v>5.69</v>
      </c>
      <c r="D25" s="53">
        <v>3.95</v>
      </c>
      <c r="E25" s="53">
        <v>4.3600000000000003</v>
      </c>
      <c r="F25" s="53">
        <v>4.68</v>
      </c>
      <c r="G25" s="53">
        <v>13.18</v>
      </c>
      <c r="H25" s="53">
        <v>8.6199999999999992</v>
      </c>
      <c r="I25" s="53">
        <v>2.87</v>
      </c>
      <c r="J25" s="53">
        <v>1.81</v>
      </c>
      <c r="K25" s="53">
        <v>119</v>
      </c>
      <c r="L25" s="53">
        <v>29.88</v>
      </c>
      <c r="M25" s="53">
        <v>58.34</v>
      </c>
      <c r="N25" s="53">
        <v>63.1</v>
      </c>
      <c r="O25" s="53">
        <v>0</v>
      </c>
      <c r="P25" s="53">
        <v>0.31</v>
      </c>
      <c r="Q25" s="53">
        <v>9.6199999999999992</v>
      </c>
      <c r="R25" s="43"/>
      <c r="S25" s="43"/>
      <c r="T25" s="43"/>
      <c r="U25" s="43"/>
    </row>
    <row r="26" spans="1:21" s="11" customFormat="1" x14ac:dyDescent="0.25">
      <c r="A26" s="52" t="s">
        <v>365</v>
      </c>
      <c r="B26" s="53">
        <v>1.07</v>
      </c>
      <c r="C26" s="53">
        <v>5.12</v>
      </c>
      <c r="D26" s="53">
        <v>3.51</v>
      </c>
      <c r="E26" s="53">
        <v>4.24</v>
      </c>
      <c r="F26" s="53">
        <v>4.58</v>
      </c>
      <c r="G26" s="53">
        <v>15.26</v>
      </c>
      <c r="H26" s="53">
        <v>8.4499999999999993</v>
      </c>
      <c r="I26" s="53">
        <v>3.53</v>
      </c>
      <c r="J26" s="53">
        <v>1.52</v>
      </c>
      <c r="K26" s="53">
        <v>123.85</v>
      </c>
      <c r="L26" s="53">
        <v>29.18</v>
      </c>
      <c r="M26" s="53">
        <v>68.760000000000005</v>
      </c>
      <c r="N26" s="53">
        <v>41.8</v>
      </c>
      <c r="O26" s="53">
        <v>0</v>
      </c>
      <c r="P26" s="53">
        <v>0.36</v>
      </c>
      <c r="Q26" s="53">
        <v>9.61</v>
      </c>
      <c r="R26" s="43"/>
      <c r="S26" s="43"/>
      <c r="T26" s="43"/>
      <c r="U26" s="43"/>
    </row>
    <row r="27" spans="1:21" s="11" customFormat="1" x14ac:dyDescent="0.25">
      <c r="A27" s="52" t="s">
        <v>366</v>
      </c>
      <c r="B27" s="53">
        <v>0.99</v>
      </c>
      <c r="C27" s="53">
        <v>5.94</v>
      </c>
      <c r="D27" s="53">
        <v>3.9</v>
      </c>
      <c r="E27" s="53">
        <v>4.34</v>
      </c>
      <c r="F27" s="53">
        <v>4.3499999999999996</v>
      </c>
      <c r="G27" s="53">
        <v>20.239999999999998</v>
      </c>
      <c r="H27" s="53">
        <v>6.39</v>
      </c>
      <c r="I27" s="53">
        <v>2.8</v>
      </c>
      <c r="J27" s="53">
        <v>1.24</v>
      </c>
      <c r="K27" s="53">
        <v>123.97</v>
      </c>
      <c r="L27" s="53">
        <v>28.33</v>
      </c>
      <c r="M27" s="53">
        <v>73.25</v>
      </c>
      <c r="N27" s="53">
        <v>26.1</v>
      </c>
      <c r="O27" s="53">
        <v>0</v>
      </c>
      <c r="P27" s="53">
        <v>0.39</v>
      </c>
      <c r="Q27" s="53">
        <v>9.61</v>
      </c>
      <c r="R27" s="43"/>
      <c r="S27" s="43"/>
      <c r="T27" s="43"/>
      <c r="U27" s="43"/>
    </row>
    <row r="28" spans="1:21" s="11" customFormat="1" x14ac:dyDescent="0.25">
      <c r="A28" s="52" t="s">
        <v>367</v>
      </c>
      <c r="B28" s="53">
        <v>1.41</v>
      </c>
      <c r="C28" s="53">
        <v>6.08</v>
      </c>
      <c r="D28" s="53">
        <v>4.2699999999999996</v>
      </c>
      <c r="E28" s="53">
        <v>4.3899999999999997</v>
      </c>
      <c r="F28" s="53">
        <v>5.23</v>
      </c>
      <c r="G28" s="53">
        <v>21.93</v>
      </c>
      <c r="H28" s="53">
        <v>4.21</v>
      </c>
      <c r="I28" s="53">
        <v>2.85</v>
      </c>
      <c r="J28" s="53">
        <v>1.1499999999999999</v>
      </c>
      <c r="K28" s="53">
        <v>125.52</v>
      </c>
      <c r="L28" s="53">
        <v>27.88</v>
      </c>
      <c r="M28" s="53">
        <v>76.459999999999994</v>
      </c>
      <c r="N28" s="53">
        <v>26.2</v>
      </c>
      <c r="O28" s="53">
        <v>0</v>
      </c>
      <c r="P28" s="53">
        <v>0.54</v>
      </c>
      <c r="Q28" s="53">
        <v>9.6199999999999992</v>
      </c>
      <c r="R28" s="43"/>
      <c r="S28" s="43"/>
      <c r="T28" s="43"/>
      <c r="U28" s="43"/>
    </row>
    <row r="29" spans="1:21" s="11" customFormat="1" x14ac:dyDescent="0.25">
      <c r="A29" s="52" t="s">
        <v>368</v>
      </c>
      <c r="B29" s="53">
        <v>2.79</v>
      </c>
      <c r="C29" s="53">
        <v>6.25</v>
      </c>
      <c r="D29" s="53">
        <v>5.5</v>
      </c>
      <c r="E29" s="53">
        <v>4.6100000000000003</v>
      </c>
      <c r="F29" s="53">
        <v>3.74</v>
      </c>
      <c r="G29" s="53">
        <v>28.29</v>
      </c>
      <c r="H29" s="53">
        <v>20.67</v>
      </c>
      <c r="I29" s="53">
        <v>2.82</v>
      </c>
      <c r="J29" s="53">
        <v>0.67</v>
      </c>
      <c r="K29" s="53">
        <v>135.16</v>
      </c>
      <c r="L29" s="53">
        <v>27.25</v>
      </c>
      <c r="M29" s="53">
        <v>81.72</v>
      </c>
      <c r="N29" s="53">
        <v>26.3</v>
      </c>
      <c r="O29" s="53">
        <v>0</v>
      </c>
      <c r="P29" s="53">
        <v>0.63</v>
      </c>
      <c r="Q29" s="53">
        <v>9.6300000000000008</v>
      </c>
      <c r="R29" s="43"/>
      <c r="S29" s="43"/>
      <c r="T29" s="43"/>
      <c r="U29" s="43"/>
    </row>
    <row r="30" spans="1:21" s="11" customFormat="1" x14ac:dyDescent="0.25">
      <c r="A30" s="52" t="s">
        <v>369</v>
      </c>
      <c r="B30" s="53">
        <v>3.92</v>
      </c>
      <c r="C30" s="53">
        <v>6.65</v>
      </c>
      <c r="D30" s="53">
        <v>6.62</v>
      </c>
      <c r="E30" s="53">
        <v>4.53</v>
      </c>
      <c r="F30" s="53">
        <v>3.47</v>
      </c>
      <c r="G30" s="53">
        <v>28.29</v>
      </c>
      <c r="H30" s="53">
        <v>20.67</v>
      </c>
      <c r="I30" s="53">
        <v>2.09</v>
      </c>
      <c r="J30" s="53">
        <v>0.45</v>
      </c>
      <c r="K30" s="53">
        <v>122.05</v>
      </c>
      <c r="L30" s="53">
        <v>26.79</v>
      </c>
      <c r="M30" s="53">
        <v>88.38</v>
      </c>
      <c r="N30" s="53">
        <v>26.1</v>
      </c>
      <c r="O30" s="53">
        <v>0</v>
      </c>
      <c r="P30" s="53">
        <v>0.56000000000000005</v>
      </c>
      <c r="Q30" s="53">
        <v>9.6199999999999992</v>
      </c>
      <c r="R30" s="43"/>
      <c r="S30" s="43"/>
      <c r="T30" s="43"/>
      <c r="U30" s="43"/>
    </row>
    <row r="31" spans="1:21" s="11" customFormat="1" x14ac:dyDescent="0.25">
      <c r="A31" s="52" t="s">
        <v>370</v>
      </c>
      <c r="B31" s="53">
        <v>5.21</v>
      </c>
      <c r="C31" s="53">
        <v>7.09</v>
      </c>
      <c r="D31" s="53">
        <v>7.88</v>
      </c>
      <c r="E31" s="53">
        <v>4.75</v>
      </c>
      <c r="F31" s="53">
        <v>3.99</v>
      </c>
      <c r="G31" s="53">
        <v>29.57</v>
      </c>
      <c r="H31" s="53">
        <v>16.59</v>
      </c>
      <c r="I31" s="53">
        <v>3.18</v>
      </c>
      <c r="J31" s="53">
        <v>0.74</v>
      </c>
      <c r="K31" s="53">
        <v>120.19</v>
      </c>
      <c r="L31" s="53">
        <v>26.29</v>
      </c>
      <c r="M31" s="53">
        <v>88.62</v>
      </c>
      <c r="N31" s="53">
        <v>26</v>
      </c>
      <c r="O31" s="53">
        <v>0</v>
      </c>
      <c r="P31" s="53">
        <v>0.52</v>
      </c>
      <c r="Q31" s="53">
        <v>9.61</v>
      </c>
      <c r="R31" s="43"/>
      <c r="S31" s="43"/>
      <c r="T31" s="43"/>
      <c r="U31" s="43"/>
    </row>
    <row r="32" spans="1:21" s="11" customFormat="1" x14ac:dyDescent="0.25">
      <c r="A32" s="52" t="s">
        <v>371</v>
      </c>
      <c r="B32" s="53">
        <v>5.81</v>
      </c>
      <c r="C32" s="53">
        <v>7.18</v>
      </c>
      <c r="D32" s="53">
        <v>8.41</v>
      </c>
      <c r="E32" s="53">
        <v>4.74</v>
      </c>
      <c r="F32" s="53">
        <v>3.65</v>
      </c>
      <c r="G32" s="53">
        <v>29.57</v>
      </c>
      <c r="H32" s="53">
        <v>20.36</v>
      </c>
      <c r="I32" s="53">
        <v>3.16</v>
      </c>
      <c r="J32" s="53">
        <v>0.8</v>
      </c>
      <c r="K32" s="53">
        <v>113.51</v>
      </c>
      <c r="L32" s="53">
        <v>25.97</v>
      </c>
      <c r="M32" s="53">
        <v>91.92</v>
      </c>
      <c r="N32" s="53">
        <v>26.1</v>
      </c>
      <c r="O32" s="53">
        <v>0</v>
      </c>
      <c r="P32" s="53">
        <v>0.48</v>
      </c>
      <c r="Q32" s="53">
        <v>9.61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0.99</v>
      </c>
      <c r="C34" s="28">
        <f t="shared" si="0"/>
        <v>3.89</v>
      </c>
      <c r="D34" s="28">
        <f t="shared" si="0"/>
        <v>3.51</v>
      </c>
      <c r="E34" s="28">
        <f t="shared" si="0"/>
        <v>3.91</v>
      </c>
      <c r="F34" s="28">
        <f t="shared" si="0"/>
        <v>3.47</v>
      </c>
      <c r="G34" s="28">
        <f t="shared" si="0"/>
        <v>13.18</v>
      </c>
      <c r="H34" s="28">
        <f t="shared" si="0"/>
        <v>0.1</v>
      </c>
      <c r="I34" s="28">
        <f t="shared" si="0"/>
        <v>0.71</v>
      </c>
      <c r="J34" s="28">
        <f t="shared" si="0"/>
        <v>0.39</v>
      </c>
      <c r="K34" s="28">
        <f t="shared" si="0"/>
        <v>108.13</v>
      </c>
      <c r="L34" s="28">
        <f t="shared" si="0"/>
        <v>24.39</v>
      </c>
      <c r="M34" s="28">
        <f t="shared" si="0"/>
        <v>56.78</v>
      </c>
      <c r="N34" s="28">
        <f t="shared" si="0"/>
        <v>26</v>
      </c>
      <c r="O34" s="28">
        <f t="shared" si="0"/>
        <v>0</v>
      </c>
      <c r="P34" s="28">
        <f t="shared" si="0"/>
        <v>0.28999999999999998</v>
      </c>
      <c r="Q34" s="28">
        <f t="shared" si="0"/>
        <v>9.61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20.25</v>
      </c>
      <c r="C35" s="29">
        <f t="shared" si="1"/>
        <v>8.2100000000000009</v>
      </c>
      <c r="D35" s="29">
        <f t="shared" si="1"/>
        <v>19.55</v>
      </c>
      <c r="E35" s="29">
        <f t="shared" si="1"/>
        <v>6.01</v>
      </c>
      <c r="F35" s="29">
        <f t="shared" si="1"/>
        <v>5.23</v>
      </c>
      <c r="G35" s="29">
        <f t="shared" si="1"/>
        <v>32.31</v>
      </c>
      <c r="H35" s="29">
        <f t="shared" si="1"/>
        <v>97.77</v>
      </c>
      <c r="I35" s="29">
        <f t="shared" si="1"/>
        <v>5.95</v>
      </c>
      <c r="J35" s="29">
        <f t="shared" si="1"/>
        <v>2.09</v>
      </c>
      <c r="K35" s="29">
        <f t="shared" si="1"/>
        <v>339.89</v>
      </c>
      <c r="L35" s="29">
        <f t="shared" si="1"/>
        <v>31.41</v>
      </c>
      <c r="M35" s="29">
        <f t="shared" si="1"/>
        <v>102.14</v>
      </c>
      <c r="N35" s="29">
        <f t="shared" si="1"/>
        <v>884.4</v>
      </c>
      <c r="O35" s="29">
        <f t="shared" si="1"/>
        <v>0</v>
      </c>
      <c r="P35" s="29">
        <f t="shared" si="1"/>
        <v>0.63</v>
      </c>
      <c r="Q35" s="29">
        <f t="shared" si="1"/>
        <v>9.6300000000000008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5.3162499999999993</v>
      </c>
      <c r="C36" s="28">
        <f t="shared" si="2"/>
        <v>6.13375</v>
      </c>
      <c r="D36" s="28">
        <f t="shared" si="2"/>
        <v>7.3862500000000004</v>
      </c>
      <c r="E36" s="28">
        <f t="shared" si="2"/>
        <v>4.7504166666666654</v>
      </c>
      <c r="F36" s="28">
        <f t="shared" si="2"/>
        <v>4.3220833333333326</v>
      </c>
      <c r="G36" s="28">
        <f t="shared" si="2"/>
        <v>23.790000000000006</v>
      </c>
      <c r="H36" s="28">
        <f t="shared" si="2"/>
        <v>20.56625</v>
      </c>
      <c r="I36" s="28">
        <f t="shared" si="2"/>
        <v>3.5783333333333331</v>
      </c>
      <c r="J36" s="28">
        <f t="shared" si="2"/>
        <v>1.1716666666666666</v>
      </c>
      <c r="K36" s="28">
        <f t="shared" si="2"/>
        <v>152.97375000000002</v>
      </c>
      <c r="L36" s="28">
        <f t="shared" si="2"/>
        <v>28.112083333333331</v>
      </c>
      <c r="M36" s="28">
        <f t="shared" si="2"/>
        <v>78.952500000000001</v>
      </c>
      <c r="N36" s="28">
        <f t="shared" si="2"/>
        <v>229.6791666666667</v>
      </c>
      <c r="O36" s="28">
        <f t="shared" si="2"/>
        <v>0</v>
      </c>
      <c r="P36" s="28">
        <f t="shared" si="2"/>
        <v>0.41541666666666671</v>
      </c>
      <c r="Q36" s="28">
        <f t="shared" si="2"/>
        <v>9.6179166666666713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5.8162656572453937</v>
      </c>
      <c r="C37" s="28">
        <f t="shared" ref="C37:Q37" si="3">STDEV(C9:C32)</f>
        <v>1.0285820231079621</v>
      </c>
      <c r="D37" s="28">
        <f t="shared" si="3"/>
        <v>4.8156247619417032</v>
      </c>
      <c r="E37" s="28">
        <f t="shared" si="3"/>
        <v>0.52328792612021935</v>
      </c>
      <c r="F37" s="28">
        <f t="shared" si="3"/>
        <v>0.44405228018357951</v>
      </c>
      <c r="G37" s="28">
        <f t="shared" si="3"/>
        <v>5.4308754999218847</v>
      </c>
      <c r="H37" s="28">
        <f t="shared" si="3"/>
        <v>25.161144615648258</v>
      </c>
      <c r="I37" s="28">
        <f t="shared" si="3"/>
        <v>1.2960262566672842</v>
      </c>
      <c r="J37" s="28">
        <f t="shared" si="3"/>
        <v>0.54624939889861845</v>
      </c>
      <c r="K37" s="28">
        <f t="shared" si="3"/>
        <v>67.791786139139134</v>
      </c>
      <c r="L37" s="28">
        <f t="shared" si="3"/>
        <v>2.3190721142332964</v>
      </c>
      <c r="M37" s="28">
        <f t="shared" si="3"/>
        <v>14.290310566497737</v>
      </c>
      <c r="N37" s="28">
        <f t="shared" si="3"/>
        <v>306.5797888615715</v>
      </c>
      <c r="O37" s="28">
        <f t="shared" si="3"/>
        <v>0</v>
      </c>
      <c r="P37" s="28">
        <f t="shared" si="3"/>
        <v>9.7756537273525138E-2</v>
      </c>
      <c r="Q37" s="28">
        <f t="shared" si="3"/>
        <v>7.2106000875928238E-3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5" sqref="G55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14/10/2024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372</v>
      </c>
      <c r="B9" s="53">
        <v>5.51</v>
      </c>
      <c r="C9" s="53">
        <v>5.99</v>
      </c>
      <c r="D9" s="53">
        <v>7.55</v>
      </c>
      <c r="E9" s="53">
        <v>4.99</v>
      </c>
      <c r="F9" s="53">
        <v>3.59</v>
      </c>
      <c r="G9" s="53">
        <v>27.79</v>
      </c>
      <c r="H9" s="53">
        <v>20.36</v>
      </c>
      <c r="I9" s="53">
        <v>2.64</v>
      </c>
      <c r="J9" s="53">
        <v>0.99</v>
      </c>
      <c r="K9" s="53">
        <v>324.58</v>
      </c>
      <c r="L9" s="53">
        <v>25.67</v>
      </c>
      <c r="M9" s="53">
        <v>95.55</v>
      </c>
      <c r="N9" s="53">
        <v>26.1</v>
      </c>
      <c r="O9" s="53">
        <v>0</v>
      </c>
      <c r="P9" s="53">
        <v>0.47</v>
      </c>
      <c r="Q9" s="53">
        <v>9.6199999999999992</v>
      </c>
      <c r="R9" s="43"/>
      <c r="S9" s="43"/>
      <c r="T9" s="43"/>
      <c r="U9" s="43"/>
    </row>
    <row r="10" spans="1:21" s="11" customFormat="1" x14ac:dyDescent="0.25">
      <c r="A10" s="52" t="s">
        <v>373</v>
      </c>
      <c r="B10" s="53">
        <v>5.32</v>
      </c>
      <c r="C10" s="53">
        <v>5.23</v>
      </c>
      <c r="D10" s="53">
        <v>6.99</v>
      </c>
      <c r="E10" s="53">
        <v>4.9400000000000004</v>
      </c>
      <c r="F10" s="53">
        <v>6.34</v>
      </c>
      <c r="G10" s="53">
        <v>27.79</v>
      </c>
      <c r="H10" s="53">
        <v>12.17</v>
      </c>
      <c r="I10" s="53">
        <v>2.13</v>
      </c>
      <c r="J10" s="53">
        <v>0.51</v>
      </c>
      <c r="K10" s="53">
        <v>343.75</v>
      </c>
      <c r="L10" s="53">
        <v>25.01</v>
      </c>
      <c r="M10" s="53">
        <v>102.65</v>
      </c>
      <c r="N10" s="53">
        <v>26.1</v>
      </c>
      <c r="O10" s="53">
        <v>0</v>
      </c>
      <c r="P10" s="53">
        <v>0.46</v>
      </c>
      <c r="Q10" s="53">
        <v>9.6199999999999992</v>
      </c>
      <c r="R10" s="43"/>
      <c r="S10" s="43"/>
      <c r="T10" s="43"/>
      <c r="U10" s="43"/>
    </row>
    <row r="11" spans="1:21" s="11" customFormat="1" x14ac:dyDescent="0.25">
      <c r="A11" s="52" t="s">
        <v>374</v>
      </c>
      <c r="B11" s="53">
        <v>4.8499999999999996</v>
      </c>
      <c r="C11" s="53">
        <v>4.96</v>
      </c>
      <c r="D11" s="53">
        <v>6.48</v>
      </c>
      <c r="E11" s="53">
        <v>5.24</v>
      </c>
      <c r="F11" s="53">
        <v>3.97</v>
      </c>
      <c r="G11" s="53">
        <v>26.15</v>
      </c>
      <c r="H11" s="53">
        <v>19.79</v>
      </c>
      <c r="I11" s="53">
        <v>3.39</v>
      </c>
      <c r="J11" s="53">
        <v>0.59</v>
      </c>
      <c r="K11" s="53">
        <v>342.87</v>
      </c>
      <c r="L11" s="53">
        <v>24.51</v>
      </c>
      <c r="M11" s="53">
        <v>102.7</v>
      </c>
      <c r="N11" s="53">
        <v>26.1</v>
      </c>
      <c r="O11" s="53">
        <v>0</v>
      </c>
      <c r="P11" s="53">
        <v>0.45</v>
      </c>
      <c r="Q11" s="53">
        <v>9.6199999999999992</v>
      </c>
      <c r="R11" s="43"/>
      <c r="S11" s="43"/>
      <c r="T11" s="43"/>
      <c r="U11" s="43"/>
    </row>
    <row r="12" spans="1:21" s="11" customFormat="1" x14ac:dyDescent="0.25">
      <c r="A12" s="52" t="s">
        <v>375</v>
      </c>
      <c r="B12" s="53">
        <v>4.46</v>
      </c>
      <c r="C12" s="53">
        <v>4.91</v>
      </c>
      <c r="D12" s="53">
        <v>6.07</v>
      </c>
      <c r="E12" s="53">
        <v>5.16</v>
      </c>
      <c r="F12" s="53">
        <v>4.2699999999999996</v>
      </c>
      <c r="G12" s="53">
        <v>30.11</v>
      </c>
      <c r="H12" s="53">
        <v>19.79</v>
      </c>
      <c r="I12" s="53">
        <v>3.11</v>
      </c>
      <c r="J12" s="53">
        <v>0.5</v>
      </c>
      <c r="K12" s="53">
        <v>97.82</v>
      </c>
      <c r="L12" s="53">
        <v>24.16</v>
      </c>
      <c r="M12" s="53">
        <v>102.7</v>
      </c>
      <c r="N12" s="53">
        <v>26.1</v>
      </c>
      <c r="O12" s="53">
        <v>0</v>
      </c>
      <c r="P12" s="53">
        <v>0.45</v>
      </c>
      <c r="Q12" s="53">
        <v>9.61</v>
      </c>
      <c r="R12" s="43"/>
      <c r="S12" s="43"/>
      <c r="T12" s="43"/>
      <c r="U12" s="43"/>
    </row>
    <row r="13" spans="1:21" s="11" customFormat="1" x14ac:dyDescent="0.25">
      <c r="A13" s="52" t="s">
        <v>376</v>
      </c>
      <c r="B13" s="53">
        <v>4.0599999999999996</v>
      </c>
      <c r="C13" s="53">
        <v>4.9400000000000004</v>
      </c>
      <c r="D13" s="53">
        <v>5.7</v>
      </c>
      <c r="E13" s="53">
        <v>4.75</v>
      </c>
      <c r="F13" s="53">
        <v>4.16</v>
      </c>
      <c r="G13" s="53">
        <v>31.16</v>
      </c>
      <c r="H13" s="53">
        <v>26.05</v>
      </c>
      <c r="I13" s="53">
        <v>3.01</v>
      </c>
      <c r="J13" s="53">
        <v>0.28999999999999998</v>
      </c>
      <c r="K13" s="53">
        <v>318.94</v>
      </c>
      <c r="L13" s="53">
        <v>23.99</v>
      </c>
      <c r="M13" s="53">
        <v>102.73</v>
      </c>
      <c r="N13" s="53">
        <v>26.1</v>
      </c>
      <c r="O13" s="53">
        <v>0</v>
      </c>
      <c r="P13" s="53">
        <v>0.51</v>
      </c>
      <c r="Q13" s="53">
        <v>9.6199999999999992</v>
      </c>
      <c r="R13" s="43"/>
      <c r="S13" s="43"/>
      <c r="T13" s="43"/>
      <c r="U13" s="43"/>
    </row>
    <row r="14" spans="1:21" s="11" customFormat="1" x14ac:dyDescent="0.25">
      <c r="A14" s="52" t="s">
        <v>377</v>
      </c>
      <c r="B14" s="53">
        <v>4.45</v>
      </c>
      <c r="C14" s="53">
        <v>4.68</v>
      </c>
      <c r="D14" s="53">
        <v>5.98</v>
      </c>
      <c r="E14" s="53">
        <v>4.57</v>
      </c>
      <c r="F14" s="53">
        <v>3.83</v>
      </c>
      <c r="G14" s="53">
        <v>43.13</v>
      </c>
      <c r="H14" s="53">
        <v>30.04</v>
      </c>
      <c r="I14" s="53">
        <v>2.3199999999999998</v>
      </c>
      <c r="J14" s="53">
        <v>0.74</v>
      </c>
      <c r="K14" s="53">
        <v>126.19</v>
      </c>
      <c r="L14" s="53">
        <v>23.84</v>
      </c>
      <c r="M14" s="53">
        <v>102.73</v>
      </c>
      <c r="N14" s="53">
        <v>27.6</v>
      </c>
      <c r="O14" s="53">
        <v>0</v>
      </c>
      <c r="P14" s="53">
        <v>0.5</v>
      </c>
      <c r="Q14" s="53">
        <v>9.6199999999999992</v>
      </c>
      <c r="R14" s="43"/>
      <c r="S14" s="43"/>
      <c r="T14" s="43"/>
      <c r="U14" s="43"/>
    </row>
    <row r="15" spans="1:21" s="11" customFormat="1" x14ac:dyDescent="0.25">
      <c r="A15" s="52" t="s">
        <v>378</v>
      </c>
      <c r="B15" s="53">
        <v>6.94</v>
      </c>
      <c r="C15" s="53">
        <v>5.87</v>
      </c>
      <c r="D15" s="53">
        <v>8.64</v>
      </c>
      <c r="E15" s="53">
        <v>5.17</v>
      </c>
      <c r="F15" s="53">
        <v>4.32</v>
      </c>
      <c r="G15" s="53">
        <v>47.26</v>
      </c>
      <c r="H15" s="53">
        <v>33.549999999999997</v>
      </c>
      <c r="I15" s="53">
        <v>3.95</v>
      </c>
      <c r="J15" s="53">
        <v>0.39</v>
      </c>
      <c r="K15" s="53">
        <v>308.67</v>
      </c>
      <c r="L15" s="53">
        <v>24.49</v>
      </c>
      <c r="M15" s="53">
        <v>102.73</v>
      </c>
      <c r="N15" s="53">
        <v>114.5</v>
      </c>
      <c r="O15" s="53">
        <v>0</v>
      </c>
      <c r="P15" s="53">
        <v>0.54</v>
      </c>
      <c r="Q15" s="53">
        <v>9.61</v>
      </c>
      <c r="R15" s="43"/>
      <c r="S15" s="43"/>
      <c r="T15" s="43"/>
      <c r="U15" s="43"/>
    </row>
    <row r="16" spans="1:21" s="11" customFormat="1" x14ac:dyDescent="0.25">
      <c r="A16" s="52" t="s">
        <v>379</v>
      </c>
      <c r="B16" s="53">
        <v>9.3000000000000007</v>
      </c>
      <c r="C16" s="53">
        <v>6.69</v>
      </c>
      <c r="D16" s="53">
        <v>10.92</v>
      </c>
      <c r="E16" s="53">
        <v>6.02</v>
      </c>
      <c r="F16" s="53">
        <v>4.41</v>
      </c>
      <c r="G16" s="53">
        <v>52.97</v>
      </c>
      <c r="H16" s="53">
        <v>34</v>
      </c>
      <c r="I16" s="53">
        <v>4.59</v>
      </c>
      <c r="J16" s="53">
        <v>1.65</v>
      </c>
      <c r="K16" s="53">
        <v>340.13</v>
      </c>
      <c r="L16" s="53">
        <v>27.41</v>
      </c>
      <c r="M16" s="53">
        <v>99.96</v>
      </c>
      <c r="N16" s="53">
        <v>377.5</v>
      </c>
      <c r="O16" s="53">
        <v>0</v>
      </c>
      <c r="P16" s="53">
        <v>0.56999999999999995</v>
      </c>
      <c r="Q16" s="53">
        <v>9.61</v>
      </c>
      <c r="R16" s="43"/>
      <c r="S16" s="43"/>
      <c r="T16" s="43"/>
      <c r="U16" s="43"/>
    </row>
    <row r="17" spans="1:21" s="11" customFormat="1" x14ac:dyDescent="0.25">
      <c r="A17" s="52" t="s">
        <v>380</v>
      </c>
      <c r="B17" s="53">
        <v>8.24</v>
      </c>
      <c r="C17" s="53">
        <v>6.56</v>
      </c>
      <c r="D17" s="53">
        <v>10.039999999999999</v>
      </c>
      <c r="E17" s="53">
        <v>5.38</v>
      </c>
      <c r="F17" s="53">
        <v>4.2300000000000004</v>
      </c>
      <c r="G17" s="53">
        <v>53.74</v>
      </c>
      <c r="H17" s="53">
        <v>34</v>
      </c>
      <c r="I17" s="53">
        <v>5.38</v>
      </c>
      <c r="J17" s="53">
        <v>1.76</v>
      </c>
      <c r="K17" s="53">
        <v>123.27</v>
      </c>
      <c r="L17" s="53">
        <v>28.15</v>
      </c>
      <c r="M17" s="53">
        <v>90.93</v>
      </c>
      <c r="N17" s="53">
        <v>590.20000000000005</v>
      </c>
      <c r="O17" s="53">
        <v>0</v>
      </c>
      <c r="P17" s="53">
        <v>0.53</v>
      </c>
      <c r="Q17" s="53">
        <v>9.61</v>
      </c>
      <c r="R17" s="43"/>
      <c r="S17" s="43"/>
      <c r="T17" s="43"/>
      <c r="U17" s="43"/>
    </row>
    <row r="18" spans="1:21" s="11" customFormat="1" x14ac:dyDescent="0.25">
      <c r="A18" s="52" t="s">
        <v>381</v>
      </c>
      <c r="B18" s="53">
        <v>5.13</v>
      </c>
      <c r="C18" s="53">
        <v>6.47</v>
      </c>
      <c r="D18" s="53">
        <v>7.49</v>
      </c>
      <c r="E18" s="53">
        <v>5.27</v>
      </c>
      <c r="F18" s="53">
        <v>4.24</v>
      </c>
      <c r="G18" s="53">
        <v>53.74</v>
      </c>
      <c r="H18" s="53">
        <v>26.45</v>
      </c>
      <c r="I18" s="53">
        <v>5.49</v>
      </c>
      <c r="J18" s="53">
        <v>1.37</v>
      </c>
      <c r="K18" s="53">
        <v>120.82</v>
      </c>
      <c r="L18" s="53">
        <v>29.58</v>
      </c>
      <c r="M18" s="53">
        <v>84.46</v>
      </c>
      <c r="N18" s="53">
        <v>744.3</v>
      </c>
      <c r="O18" s="53">
        <v>0</v>
      </c>
      <c r="P18" s="53">
        <v>0.48</v>
      </c>
      <c r="Q18" s="53">
        <v>9.61</v>
      </c>
      <c r="R18" s="43"/>
      <c r="S18" s="43"/>
      <c r="T18" s="43"/>
      <c r="U18" s="43"/>
    </row>
    <row r="19" spans="1:21" s="11" customFormat="1" x14ac:dyDescent="0.25">
      <c r="A19" s="52" t="s">
        <v>382</v>
      </c>
      <c r="B19" s="53">
        <v>3.24</v>
      </c>
      <c r="C19" s="53">
        <v>6.24</v>
      </c>
      <c r="D19" s="53">
        <v>5.68</v>
      </c>
      <c r="E19" s="53">
        <v>5.0599999999999996</v>
      </c>
      <c r="F19" s="53">
        <v>4.57</v>
      </c>
      <c r="G19" s="53">
        <v>42.5</v>
      </c>
      <c r="H19" s="53">
        <v>24.96</v>
      </c>
      <c r="I19" s="53">
        <v>6.77</v>
      </c>
      <c r="J19" s="53">
        <v>1.66</v>
      </c>
      <c r="K19" s="53">
        <v>147.74</v>
      </c>
      <c r="L19" s="53">
        <v>30.9</v>
      </c>
      <c r="M19" s="53">
        <v>73.069999999999993</v>
      </c>
      <c r="N19" s="53">
        <v>925.6</v>
      </c>
      <c r="O19" s="53">
        <v>0</v>
      </c>
      <c r="P19" s="53">
        <v>0.46</v>
      </c>
      <c r="Q19" s="53">
        <v>9.61</v>
      </c>
      <c r="R19" s="43"/>
      <c r="S19" s="43"/>
      <c r="T19" s="43"/>
      <c r="U19" s="43"/>
    </row>
    <row r="20" spans="1:21" s="11" customFormat="1" x14ac:dyDescent="0.25">
      <c r="A20" s="52" t="s">
        <v>383</v>
      </c>
      <c r="B20" s="53">
        <v>2.23</v>
      </c>
      <c r="C20" s="53">
        <v>5.96</v>
      </c>
      <c r="D20" s="53">
        <v>4.78</v>
      </c>
      <c r="E20" s="53">
        <v>4.8099999999999996</v>
      </c>
      <c r="F20" s="53">
        <v>4.17</v>
      </c>
      <c r="G20" s="53">
        <v>39.04</v>
      </c>
      <c r="H20" s="53">
        <v>24.96</v>
      </c>
      <c r="I20" s="53">
        <v>6.52</v>
      </c>
      <c r="J20" s="53">
        <v>1.33</v>
      </c>
      <c r="K20" s="53">
        <v>130.38</v>
      </c>
      <c r="L20" s="53">
        <v>30.77</v>
      </c>
      <c r="M20" s="53">
        <v>69.239999999999995</v>
      </c>
      <c r="N20" s="53">
        <v>618.20000000000005</v>
      </c>
      <c r="O20" s="53">
        <v>0</v>
      </c>
      <c r="P20" s="53">
        <v>0.42</v>
      </c>
      <c r="Q20" s="53">
        <v>9.61</v>
      </c>
      <c r="R20" s="43"/>
      <c r="S20" s="43"/>
      <c r="T20" s="43"/>
      <c r="U20" s="43"/>
    </row>
    <row r="21" spans="1:21" s="11" customFormat="1" x14ac:dyDescent="0.25">
      <c r="A21" s="52" t="s">
        <v>384</v>
      </c>
      <c r="B21" s="53">
        <v>2.2200000000000002</v>
      </c>
      <c r="C21" s="53">
        <v>6.18</v>
      </c>
      <c r="D21" s="53">
        <v>4.88</v>
      </c>
      <c r="E21" s="53">
        <v>4.6399999999999997</v>
      </c>
      <c r="F21" s="53">
        <v>4.6500000000000004</v>
      </c>
      <c r="G21" s="53">
        <v>30.78</v>
      </c>
      <c r="H21" s="53">
        <v>12.48</v>
      </c>
      <c r="I21" s="53">
        <v>4.96</v>
      </c>
      <c r="J21" s="53">
        <v>1.51</v>
      </c>
      <c r="K21" s="53">
        <v>129.13999999999999</v>
      </c>
      <c r="L21" s="53">
        <v>30.82</v>
      </c>
      <c r="M21" s="53">
        <v>66.84</v>
      </c>
      <c r="N21" s="53">
        <v>811.9</v>
      </c>
      <c r="O21" s="53">
        <v>0</v>
      </c>
      <c r="P21" s="53">
        <v>0.37</v>
      </c>
      <c r="Q21" s="53">
        <v>9.6199999999999992</v>
      </c>
      <c r="R21" s="43"/>
      <c r="S21" s="43"/>
      <c r="T21" s="43"/>
      <c r="U21" s="43"/>
    </row>
    <row r="22" spans="1:21" s="11" customFormat="1" x14ac:dyDescent="0.25">
      <c r="A22" s="52" t="s">
        <v>385</v>
      </c>
      <c r="B22" s="53">
        <v>1.71</v>
      </c>
      <c r="C22" s="53">
        <v>5.09</v>
      </c>
      <c r="D22" s="53">
        <v>4.03</v>
      </c>
      <c r="E22" s="53">
        <v>4.51</v>
      </c>
      <c r="F22" s="53">
        <v>4.67</v>
      </c>
      <c r="G22" s="53">
        <v>26.06</v>
      </c>
      <c r="H22" s="53">
        <v>8.5</v>
      </c>
      <c r="I22" s="53">
        <v>3.74</v>
      </c>
      <c r="J22" s="53">
        <v>1.83</v>
      </c>
      <c r="K22" s="53">
        <v>113.95</v>
      </c>
      <c r="L22" s="53">
        <v>31.08</v>
      </c>
      <c r="M22" s="53">
        <v>54.93</v>
      </c>
      <c r="N22" s="53">
        <v>452.5</v>
      </c>
      <c r="O22" s="53">
        <v>0</v>
      </c>
      <c r="P22" s="53">
        <v>0.33</v>
      </c>
      <c r="Q22" s="53">
        <v>9.6199999999999992</v>
      </c>
      <c r="R22" s="43"/>
      <c r="S22" s="43"/>
      <c r="T22" s="43"/>
      <c r="U22" s="43"/>
    </row>
    <row r="23" spans="1:21" s="11" customFormat="1" x14ac:dyDescent="0.25">
      <c r="A23" s="52" t="s">
        <v>386</v>
      </c>
      <c r="B23" s="53">
        <v>1.4</v>
      </c>
      <c r="C23" s="53">
        <v>5.33</v>
      </c>
      <c r="D23" s="53">
        <v>3.69</v>
      </c>
      <c r="E23" s="53">
        <v>4.8600000000000003</v>
      </c>
      <c r="F23" s="53">
        <v>4.34</v>
      </c>
      <c r="G23" s="53">
        <v>18.850000000000001</v>
      </c>
      <c r="H23" s="53">
        <v>10.17</v>
      </c>
      <c r="I23" s="53">
        <v>3.97</v>
      </c>
      <c r="J23" s="53">
        <v>1.58</v>
      </c>
      <c r="K23" s="53">
        <v>125.25</v>
      </c>
      <c r="L23" s="53">
        <v>30.63</v>
      </c>
      <c r="M23" s="53">
        <v>61.76</v>
      </c>
      <c r="N23" s="53">
        <v>183.9</v>
      </c>
      <c r="O23" s="53">
        <v>0</v>
      </c>
      <c r="P23" s="53">
        <v>0.31</v>
      </c>
      <c r="Q23" s="53">
        <v>9.61</v>
      </c>
      <c r="R23" s="43"/>
      <c r="S23" s="43"/>
      <c r="T23" s="43"/>
      <c r="U23" s="43"/>
    </row>
    <row r="24" spans="1:21" s="11" customFormat="1" x14ac:dyDescent="0.25">
      <c r="A24" s="52" t="s">
        <v>387</v>
      </c>
      <c r="B24" s="53">
        <v>1.0900000000000001</v>
      </c>
      <c r="C24" s="53">
        <v>6.04</v>
      </c>
      <c r="D24" s="53">
        <v>4.03</v>
      </c>
      <c r="E24" s="53">
        <v>4.72</v>
      </c>
      <c r="F24" s="53">
        <v>4.97</v>
      </c>
      <c r="G24" s="53">
        <v>25.87</v>
      </c>
      <c r="H24" s="53">
        <v>10.17</v>
      </c>
      <c r="I24" s="53">
        <v>3.61</v>
      </c>
      <c r="J24" s="53">
        <v>1.57</v>
      </c>
      <c r="K24" s="53">
        <v>119.91</v>
      </c>
      <c r="L24" s="53">
        <v>29.81</v>
      </c>
      <c r="M24" s="53">
        <v>64.77</v>
      </c>
      <c r="N24" s="53">
        <v>116.2</v>
      </c>
      <c r="O24" s="53">
        <v>0</v>
      </c>
      <c r="P24" s="53">
        <v>0.39</v>
      </c>
      <c r="Q24" s="53">
        <v>9.61</v>
      </c>
      <c r="R24" s="43"/>
      <c r="S24" s="43"/>
      <c r="T24" s="43"/>
      <c r="U24" s="43"/>
    </row>
    <row r="25" spans="1:21" s="11" customFormat="1" x14ac:dyDescent="0.25">
      <c r="A25" s="52" t="s">
        <v>388</v>
      </c>
      <c r="B25" s="53">
        <v>1.53</v>
      </c>
      <c r="C25" s="53">
        <v>6.62</v>
      </c>
      <c r="D25" s="53">
        <v>4.6900000000000004</v>
      </c>
      <c r="E25" s="53">
        <v>4.82</v>
      </c>
      <c r="F25" s="53">
        <v>4.45</v>
      </c>
      <c r="G25" s="53">
        <v>25.87</v>
      </c>
      <c r="H25" s="53">
        <v>7.33</v>
      </c>
      <c r="I25" s="53">
        <v>3.21</v>
      </c>
      <c r="J25" s="53">
        <v>1.01</v>
      </c>
      <c r="K25" s="53">
        <v>128.19</v>
      </c>
      <c r="L25" s="53">
        <v>29.53</v>
      </c>
      <c r="M25" s="53">
        <v>64.53</v>
      </c>
      <c r="N25" s="53">
        <v>69.8</v>
      </c>
      <c r="O25" s="53">
        <v>0</v>
      </c>
      <c r="P25" s="53">
        <v>0.38</v>
      </c>
      <c r="Q25" s="53">
        <v>9.61</v>
      </c>
      <c r="R25" s="43"/>
      <c r="S25" s="43"/>
      <c r="T25" s="43"/>
      <c r="U25" s="43"/>
    </row>
    <row r="26" spans="1:21" s="11" customFormat="1" x14ac:dyDescent="0.25">
      <c r="A26" s="52" t="s">
        <v>389</v>
      </c>
      <c r="B26" s="53">
        <v>2.2000000000000002</v>
      </c>
      <c r="C26" s="53">
        <v>6.01</v>
      </c>
      <c r="D26" s="53">
        <v>4.8600000000000003</v>
      </c>
      <c r="E26" s="53">
        <v>4.9400000000000004</v>
      </c>
      <c r="F26" s="53">
        <v>4.18</v>
      </c>
      <c r="G26" s="53">
        <v>18.68</v>
      </c>
      <c r="H26" s="53">
        <v>7.65</v>
      </c>
      <c r="I26" s="53">
        <v>2.2400000000000002</v>
      </c>
      <c r="J26" s="53">
        <v>1.2</v>
      </c>
      <c r="K26" s="53">
        <v>120.74</v>
      </c>
      <c r="L26" s="53">
        <v>28.91</v>
      </c>
      <c r="M26" s="53">
        <v>75.91</v>
      </c>
      <c r="N26" s="53">
        <v>44.4</v>
      </c>
      <c r="O26" s="53">
        <v>0</v>
      </c>
      <c r="P26" s="53">
        <v>0.47</v>
      </c>
      <c r="Q26" s="53">
        <v>9.6199999999999992</v>
      </c>
      <c r="R26" s="43"/>
      <c r="S26" s="43"/>
      <c r="T26" s="43"/>
      <c r="U26" s="43"/>
    </row>
    <row r="27" spans="1:21" s="11" customFormat="1" x14ac:dyDescent="0.25">
      <c r="A27" s="52" t="s">
        <v>390</v>
      </c>
      <c r="B27" s="53">
        <v>2.56</v>
      </c>
      <c r="C27" s="53">
        <v>6.42</v>
      </c>
      <c r="D27" s="53">
        <v>5.41</v>
      </c>
      <c r="E27" s="53">
        <v>5.23</v>
      </c>
      <c r="F27" s="53">
        <v>4.9000000000000004</v>
      </c>
      <c r="G27" s="53">
        <v>19.510000000000002</v>
      </c>
      <c r="H27" s="53">
        <v>8.92</v>
      </c>
      <c r="I27" s="53">
        <v>3.02</v>
      </c>
      <c r="J27" s="53">
        <v>1.46</v>
      </c>
      <c r="K27" s="53">
        <v>117.19</v>
      </c>
      <c r="L27" s="53">
        <v>27.91</v>
      </c>
      <c r="M27" s="53">
        <v>81.69</v>
      </c>
      <c r="N27" s="53">
        <v>26.2</v>
      </c>
      <c r="O27" s="53">
        <v>0</v>
      </c>
      <c r="P27" s="53">
        <v>0.46</v>
      </c>
      <c r="Q27" s="53">
        <v>9.6199999999999992</v>
      </c>
      <c r="R27" s="43"/>
      <c r="S27" s="43"/>
      <c r="T27" s="43"/>
      <c r="U27" s="43"/>
    </row>
    <row r="28" spans="1:21" s="11" customFormat="1" x14ac:dyDescent="0.25">
      <c r="A28" s="52" t="s">
        <v>391</v>
      </c>
      <c r="B28" s="53">
        <v>2.3199999999999998</v>
      </c>
      <c r="C28" s="53">
        <v>6.76</v>
      </c>
      <c r="D28" s="53">
        <v>5.39</v>
      </c>
      <c r="E28" s="53">
        <v>5.34</v>
      </c>
      <c r="F28" s="53">
        <v>3.95</v>
      </c>
      <c r="G28" s="53">
        <v>27.17</v>
      </c>
      <c r="H28" s="53">
        <v>11.86</v>
      </c>
      <c r="I28" s="53">
        <v>3.71</v>
      </c>
      <c r="J28" s="53">
        <v>1.44</v>
      </c>
      <c r="K28" s="53">
        <v>122.71</v>
      </c>
      <c r="L28" s="53">
        <v>27.44</v>
      </c>
      <c r="M28" s="53">
        <v>87.91</v>
      </c>
      <c r="N28" s="53">
        <v>26.2</v>
      </c>
      <c r="O28" s="53">
        <v>0</v>
      </c>
      <c r="P28" s="53">
        <v>0.53</v>
      </c>
      <c r="Q28" s="53">
        <v>9.6</v>
      </c>
      <c r="R28" s="43"/>
      <c r="S28" s="43"/>
      <c r="T28" s="43"/>
      <c r="U28" s="43"/>
    </row>
    <row r="29" spans="1:21" s="11" customFormat="1" x14ac:dyDescent="0.25">
      <c r="A29" s="52" t="s">
        <v>392</v>
      </c>
      <c r="B29" s="53">
        <v>2.5099999999999998</v>
      </c>
      <c r="C29" s="53">
        <v>7.12</v>
      </c>
      <c r="D29" s="53">
        <v>5.73</v>
      </c>
      <c r="E29" s="53">
        <v>5.92</v>
      </c>
      <c r="F29" s="53">
        <v>4.21</v>
      </c>
      <c r="G29" s="53">
        <v>27.17</v>
      </c>
      <c r="H29" s="53">
        <v>16.07</v>
      </c>
      <c r="I29" s="53">
        <v>3.7</v>
      </c>
      <c r="J29" s="53">
        <v>1.24</v>
      </c>
      <c r="K29" s="53">
        <v>121.06</v>
      </c>
      <c r="L29" s="53">
        <v>26.95</v>
      </c>
      <c r="M29" s="53">
        <v>89.96</v>
      </c>
      <c r="N29" s="53">
        <v>26.1</v>
      </c>
      <c r="O29" s="53">
        <v>0</v>
      </c>
      <c r="P29" s="53">
        <v>0.57999999999999996</v>
      </c>
      <c r="Q29" s="53">
        <v>9.6300000000000008</v>
      </c>
      <c r="R29" s="43"/>
      <c r="S29" s="43"/>
      <c r="T29" s="43"/>
      <c r="U29" s="43"/>
    </row>
    <row r="30" spans="1:21" s="11" customFormat="1" x14ac:dyDescent="0.25">
      <c r="A30" s="52" t="s">
        <v>393</v>
      </c>
      <c r="B30" s="53">
        <v>2.35</v>
      </c>
      <c r="C30" s="53">
        <v>6.42</v>
      </c>
      <c r="D30" s="53">
        <v>5.24</v>
      </c>
      <c r="E30" s="53">
        <v>6.08</v>
      </c>
      <c r="F30" s="53">
        <v>4.2</v>
      </c>
      <c r="G30" s="53">
        <v>26.49</v>
      </c>
      <c r="H30" s="53">
        <v>18.899999999999999</v>
      </c>
      <c r="I30" s="53">
        <v>2.91</v>
      </c>
      <c r="J30" s="53">
        <v>1.1599999999999999</v>
      </c>
      <c r="K30" s="53">
        <v>124.84</v>
      </c>
      <c r="L30" s="53">
        <v>26.67</v>
      </c>
      <c r="M30" s="53">
        <v>91.62</v>
      </c>
      <c r="N30" s="53">
        <v>26.1</v>
      </c>
      <c r="O30" s="53">
        <v>0</v>
      </c>
      <c r="P30" s="53">
        <v>0.48</v>
      </c>
      <c r="Q30" s="53">
        <v>9.61</v>
      </c>
      <c r="R30" s="43"/>
      <c r="S30" s="43"/>
      <c r="T30" s="43"/>
      <c r="U30" s="43"/>
    </row>
    <row r="31" spans="1:21" s="11" customFormat="1" x14ac:dyDescent="0.25">
      <c r="A31" s="52" t="s">
        <v>394</v>
      </c>
      <c r="B31" s="53">
        <v>2</v>
      </c>
      <c r="C31" s="53">
        <v>6.89</v>
      </c>
      <c r="D31" s="53">
        <v>5.2</v>
      </c>
      <c r="E31" s="53">
        <v>6.03</v>
      </c>
      <c r="F31" s="53">
        <v>3.79</v>
      </c>
      <c r="G31" s="53">
        <v>31.08</v>
      </c>
      <c r="H31" s="53">
        <v>18.899999999999999</v>
      </c>
      <c r="I31" s="53">
        <v>2.77</v>
      </c>
      <c r="J31" s="53">
        <v>1.41</v>
      </c>
      <c r="K31" s="53">
        <v>124.39</v>
      </c>
      <c r="L31" s="53">
        <v>26.42</v>
      </c>
      <c r="M31" s="53">
        <v>93.18</v>
      </c>
      <c r="N31" s="53">
        <v>26.2</v>
      </c>
      <c r="O31" s="53">
        <v>0</v>
      </c>
      <c r="P31" s="53">
        <v>0.51</v>
      </c>
      <c r="Q31" s="53">
        <v>9.6199999999999992</v>
      </c>
      <c r="R31" s="43"/>
      <c r="S31" s="43"/>
      <c r="T31" s="43"/>
      <c r="U31" s="43"/>
    </row>
    <row r="32" spans="1:21" s="11" customFormat="1" x14ac:dyDescent="0.25">
      <c r="A32" s="52" t="s">
        <v>395</v>
      </c>
      <c r="B32" s="53">
        <v>1.88</v>
      </c>
      <c r="C32" s="53">
        <v>6.81</v>
      </c>
      <c r="D32" s="53">
        <v>5.0599999999999996</v>
      </c>
      <c r="E32" s="53">
        <v>6.29</v>
      </c>
      <c r="F32" s="53">
        <v>4.43</v>
      </c>
      <c r="G32" s="53">
        <v>31.08</v>
      </c>
      <c r="H32" s="53">
        <v>15.47</v>
      </c>
      <c r="I32" s="53">
        <v>4.0599999999999996</v>
      </c>
      <c r="J32" s="53">
        <v>1.82</v>
      </c>
      <c r="K32" s="53">
        <v>120.52</v>
      </c>
      <c r="L32" s="53">
        <v>26.1</v>
      </c>
      <c r="M32" s="53">
        <v>93.66</v>
      </c>
      <c r="N32" s="53">
        <v>26.1</v>
      </c>
      <c r="O32" s="53">
        <v>0</v>
      </c>
      <c r="P32" s="53">
        <v>0.46</v>
      </c>
      <c r="Q32" s="53">
        <v>9.6199999999999992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1.0900000000000001</v>
      </c>
      <c r="C34" s="28">
        <f t="shared" si="0"/>
        <v>4.68</v>
      </c>
      <c r="D34" s="28">
        <f t="shared" si="0"/>
        <v>3.69</v>
      </c>
      <c r="E34" s="28">
        <f t="shared" si="0"/>
        <v>4.51</v>
      </c>
      <c r="F34" s="28">
        <f t="shared" si="0"/>
        <v>3.59</v>
      </c>
      <c r="G34" s="28">
        <f t="shared" si="0"/>
        <v>18.68</v>
      </c>
      <c r="H34" s="28">
        <f t="shared" si="0"/>
        <v>7.33</v>
      </c>
      <c r="I34" s="28">
        <f t="shared" si="0"/>
        <v>2.13</v>
      </c>
      <c r="J34" s="28">
        <f t="shared" si="0"/>
        <v>0.28999999999999998</v>
      </c>
      <c r="K34" s="28">
        <f t="shared" si="0"/>
        <v>97.82</v>
      </c>
      <c r="L34" s="28">
        <f t="shared" si="0"/>
        <v>23.84</v>
      </c>
      <c r="M34" s="28">
        <f t="shared" si="0"/>
        <v>54.93</v>
      </c>
      <c r="N34" s="28">
        <f t="shared" si="0"/>
        <v>26.1</v>
      </c>
      <c r="O34" s="28">
        <f t="shared" si="0"/>
        <v>0</v>
      </c>
      <c r="P34" s="28">
        <f t="shared" si="0"/>
        <v>0.31</v>
      </c>
      <c r="Q34" s="28">
        <f t="shared" si="0"/>
        <v>9.6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9.3000000000000007</v>
      </c>
      <c r="C35" s="29">
        <f t="shared" si="1"/>
        <v>7.12</v>
      </c>
      <c r="D35" s="29">
        <f t="shared" si="1"/>
        <v>10.92</v>
      </c>
      <c r="E35" s="29">
        <f t="shared" si="1"/>
        <v>6.29</v>
      </c>
      <c r="F35" s="29">
        <f t="shared" si="1"/>
        <v>6.34</v>
      </c>
      <c r="G35" s="29">
        <f t="shared" si="1"/>
        <v>53.74</v>
      </c>
      <c r="H35" s="29">
        <f t="shared" si="1"/>
        <v>34</v>
      </c>
      <c r="I35" s="29">
        <f t="shared" si="1"/>
        <v>6.77</v>
      </c>
      <c r="J35" s="29">
        <f t="shared" si="1"/>
        <v>1.83</v>
      </c>
      <c r="K35" s="29">
        <f t="shared" si="1"/>
        <v>343.75</v>
      </c>
      <c r="L35" s="29">
        <f t="shared" si="1"/>
        <v>31.08</v>
      </c>
      <c r="M35" s="29">
        <f t="shared" si="1"/>
        <v>102.73</v>
      </c>
      <c r="N35" s="29">
        <f t="shared" si="1"/>
        <v>925.6</v>
      </c>
      <c r="O35" s="29">
        <f t="shared" si="1"/>
        <v>0</v>
      </c>
      <c r="P35" s="29">
        <f t="shared" si="1"/>
        <v>0.57999999999999996</v>
      </c>
      <c r="Q35" s="29">
        <f t="shared" si="1"/>
        <v>9.6300000000000008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3.6458333333333335</v>
      </c>
      <c r="C36" s="28">
        <f t="shared" si="2"/>
        <v>6.0079166666666675</v>
      </c>
      <c r="D36" s="28">
        <f t="shared" si="2"/>
        <v>6.0220833333333319</v>
      </c>
      <c r="E36" s="28">
        <f t="shared" si="2"/>
        <v>5.1975000000000016</v>
      </c>
      <c r="F36" s="28">
        <f t="shared" si="2"/>
        <v>4.368333333333335</v>
      </c>
      <c r="G36" s="28">
        <f t="shared" si="2"/>
        <v>32.666249999999998</v>
      </c>
      <c r="H36" s="28">
        <f t="shared" si="2"/>
        <v>18.855833333333333</v>
      </c>
      <c r="I36" s="28">
        <f t="shared" si="2"/>
        <v>3.7999999999999989</v>
      </c>
      <c r="J36" s="28">
        <f t="shared" si="2"/>
        <v>1.20875</v>
      </c>
      <c r="K36" s="28">
        <f t="shared" si="2"/>
        <v>174.71041666666667</v>
      </c>
      <c r="L36" s="28">
        <f t="shared" si="2"/>
        <v>27.53125</v>
      </c>
      <c r="M36" s="28">
        <f t="shared" si="2"/>
        <v>85.675416666666692</v>
      </c>
      <c r="N36" s="28">
        <f t="shared" si="2"/>
        <v>223.5</v>
      </c>
      <c r="O36" s="28">
        <f t="shared" si="2"/>
        <v>0</v>
      </c>
      <c r="P36" s="28">
        <f t="shared" si="2"/>
        <v>0.46291666666666664</v>
      </c>
      <c r="Q36" s="28">
        <f t="shared" si="2"/>
        <v>9.6150000000000002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2.2181600613957078</v>
      </c>
      <c r="C37" s="28">
        <f t="shared" ref="C37:Q37" si="3">STDEV(C9:C32)</f>
        <v>0.72658809075237019</v>
      </c>
      <c r="D37" s="28">
        <f t="shared" si="3"/>
        <v>1.8090039997231886</v>
      </c>
      <c r="E37" s="28">
        <f t="shared" si="3"/>
        <v>0.51644478639183145</v>
      </c>
      <c r="F37" s="28">
        <f t="shared" si="3"/>
        <v>0.53320741267121219</v>
      </c>
      <c r="G37" s="28">
        <f t="shared" si="3"/>
        <v>10.757866206924447</v>
      </c>
      <c r="H37" s="28">
        <f t="shared" si="3"/>
        <v>8.7388228819629319</v>
      </c>
      <c r="I37" s="28">
        <f t="shared" si="3"/>
        <v>1.2606864934560924</v>
      </c>
      <c r="J37" s="28">
        <f t="shared" si="3"/>
        <v>0.47626547675411623</v>
      </c>
      <c r="K37" s="28">
        <f t="shared" si="3"/>
        <v>92.095136702035802</v>
      </c>
      <c r="L37" s="28">
        <f t="shared" si="3"/>
        <v>2.4740150653296875</v>
      </c>
      <c r="M37" s="28">
        <f t="shared" si="3"/>
        <v>15.528688731888568</v>
      </c>
      <c r="N37" s="28">
        <f t="shared" si="3"/>
        <v>296.67441530346389</v>
      </c>
      <c r="O37" s="28">
        <f t="shared" si="3"/>
        <v>0</v>
      </c>
      <c r="P37" s="28">
        <f t="shared" si="3"/>
        <v>6.9374795991344246E-2</v>
      </c>
      <c r="Q37" s="28">
        <f t="shared" si="3"/>
        <v>6.5938047339579049E-3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15/10/2024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6"/>
      <c r="B8" s="57" t="s">
        <v>22</v>
      </c>
      <c r="C8" s="57" t="s">
        <v>22</v>
      </c>
      <c r="D8" s="29" t="s">
        <v>42</v>
      </c>
      <c r="E8" s="57" t="s">
        <v>22</v>
      </c>
      <c r="F8" s="57" t="s">
        <v>22</v>
      </c>
      <c r="G8" s="57" t="s">
        <v>23</v>
      </c>
      <c r="H8" s="57" t="s">
        <v>22</v>
      </c>
      <c r="I8" s="57" t="s">
        <v>22</v>
      </c>
      <c r="J8" s="57" t="s">
        <v>24</v>
      </c>
      <c r="K8" s="57" t="s">
        <v>25</v>
      </c>
      <c r="L8" s="56" t="s">
        <v>27</v>
      </c>
      <c r="M8" s="57" t="s">
        <v>26</v>
      </c>
      <c r="N8" s="57" t="s">
        <v>28</v>
      </c>
      <c r="O8" s="56" t="s">
        <v>29</v>
      </c>
      <c r="P8" s="57" t="s">
        <v>22</v>
      </c>
      <c r="Q8" s="57" t="s">
        <v>22</v>
      </c>
      <c r="R8" s="27"/>
      <c r="S8" s="29"/>
      <c r="T8" s="27"/>
      <c r="U8" s="27"/>
    </row>
    <row r="9" spans="1:21" s="11" customFormat="1" x14ac:dyDescent="0.25">
      <c r="A9" s="52" t="s">
        <v>396</v>
      </c>
      <c r="B9" s="53">
        <v>1.36</v>
      </c>
      <c r="C9" s="53">
        <v>6.55</v>
      </c>
      <c r="D9" s="53">
        <v>4.5199999999999996</v>
      </c>
      <c r="E9" s="53">
        <v>5.65</v>
      </c>
      <c r="F9" s="53">
        <v>4.3499999999999996</v>
      </c>
      <c r="G9" s="53">
        <v>31.47</v>
      </c>
      <c r="H9" s="53">
        <v>15.67</v>
      </c>
      <c r="I9" s="53">
        <v>5.26</v>
      </c>
      <c r="J9" s="53">
        <v>1.5</v>
      </c>
      <c r="K9" s="53">
        <v>119.02</v>
      </c>
      <c r="L9" s="53">
        <v>25.83</v>
      </c>
      <c r="M9" s="53">
        <v>97.02</v>
      </c>
      <c r="N9" s="53">
        <v>26.1</v>
      </c>
      <c r="O9" s="53">
        <v>0</v>
      </c>
      <c r="P9" s="53">
        <v>0.44</v>
      </c>
      <c r="Q9" s="53">
        <v>9.61</v>
      </c>
      <c r="R9" s="43"/>
      <c r="S9" s="43"/>
      <c r="T9" s="43"/>
      <c r="U9" s="43"/>
    </row>
    <row r="10" spans="1:21" s="11" customFormat="1" x14ac:dyDescent="0.25">
      <c r="A10" s="52" t="s">
        <v>397</v>
      </c>
      <c r="B10" s="53">
        <v>1.05</v>
      </c>
      <c r="C10" s="53">
        <v>5.28</v>
      </c>
      <c r="D10" s="53">
        <v>3.55</v>
      </c>
      <c r="E10" s="53">
        <v>5.34</v>
      </c>
      <c r="F10" s="53">
        <v>4.24</v>
      </c>
      <c r="G10" s="53">
        <v>31.47</v>
      </c>
      <c r="H10" s="53">
        <v>19.13</v>
      </c>
      <c r="I10" s="53">
        <v>4.83</v>
      </c>
      <c r="J10" s="53">
        <v>1.45</v>
      </c>
      <c r="K10" s="53">
        <v>116.89</v>
      </c>
      <c r="L10" s="53">
        <v>25.33</v>
      </c>
      <c r="M10" s="53">
        <v>99.57</v>
      </c>
      <c r="N10" s="53">
        <v>26.1</v>
      </c>
      <c r="O10" s="53">
        <v>0</v>
      </c>
      <c r="P10" s="53">
        <v>0.35</v>
      </c>
      <c r="Q10" s="53">
        <v>9.6199999999999992</v>
      </c>
      <c r="R10" s="43"/>
      <c r="S10" s="43"/>
      <c r="T10" s="43"/>
      <c r="U10" s="43"/>
    </row>
    <row r="11" spans="1:21" s="11" customFormat="1" x14ac:dyDescent="0.25">
      <c r="A11" s="52" t="s">
        <v>398</v>
      </c>
      <c r="B11" s="53">
        <v>1.21</v>
      </c>
      <c r="C11" s="53">
        <v>4.18</v>
      </c>
      <c r="D11" s="53">
        <v>3.13</v>
      </c>
      <c r="E11" s="53">
        <v>5.44</v>
      </c>
      <c r="F11" s="53">
        <v>4.57</v>
      </c>
      <c r="G11" s="53">
        <v>29.66</v>
      </c>
      <c r="H11" s="53">
        <v>19.13</v>
      </c>
      <c r="I11" s="53">
        <v>3.32</v>
      </c>
      <c r="J11" s="53">
        <v>0.81</v>
      </c>
      <c r="K11" s="53">
        <v>344.34</v>
      </c>
      <c r="L11" s="53">
        <v>24.89</v>
      </c>
      <c r="M11" s="53">
        <v>102.66</v>
      </c>
      <c r="N11" s="53">
        <v>26.1</v>
      </c>
      <c r="O11" s="53">
        <v>0</v>
      </c>
      <c r="P11" s="53">
        <v>0.35</v>
      </c>
      <c r="Q11" s="53">
        <v>9.6199999999999992</v>
      </c>
      <c r="R11" s="43"/>
      <c r="S11" s="43"/>
      <c r="T11" s="43"/>
      <c r="U11" s="43"/>
    </row>
    <row r="12" spans="1:21" s="11" customFormat="1" x14ac:dyDescent="0.25">
      <c r="A12" s="52" t="s">
        <v>399</v>
      </c>
      <c r="B12" s="53">
        <v>1.84</v>
      </c>
      <c r="C12" s="53">
        <v>4.49</v>
      </c>
      <c r="D12" s="53">
        <v>3.82</v>
      </c>
      <c r="E12" s="53">
        <v>5.76</v>
      </c>
      <c r="F12" s="53">
        <v>3.78</v>
      </c>
      <c r="G12" s="53">
        <v>26.53</v>
      </c>
      <c r="H12" s="53">
        <v>16.059999999999999</v>
      </c>
      <c r="I12" s="53">
        <v>3.48</v>
      </c>
      <c r="J12" s="53">
        <v>1.1200000000000001</v>
      </c>
      <c r="K12" s="53">
        <v>340.72</v>
      </c>
      <c r="L12" s="53">
        <v>24.31</v>
      </c>
      <c r="M12" s="53">
        <v>102.73</v>
      </c>
      <c r="N12" s="53">
        <v>26.1</v>
      </c>
      <c r="O12" s="53">
        <v>0</v>
      </c>
      <c r="P12" s="53">
        <v>0.36</v>
      </c>
      <c r="Q12" s="53">
        <v>9.61</v>
      </c>
      <c r="R12" s="43"/>
      <c r="S12" s="43"/>
      <c r="T12" s="43"/>
      <c r="U12" s="43"/>
    </row>
    <row r="13" spans="1:21" s="11" customFormat="1" x14ac:dyDescent="0.25">
      <c r="A13" s="52" t="s">
        <v>400</v>
      </c>
      <c r="B13" s="53">
        <v>3.36</v>
      </c>
      <c r="C13" s="53">
        <v>5.36</v>
      </c>
      <c r="D13" s="53">
        <v>5.5</v>
      </c>
      <c r="E13" s="53">
        <v>4.0999999999999996</v>
      </c>
      <c r="F13" s="53">
        <v>4.24</v>
      </c>
      <c r="G13" s="53">
        <v>36.380000000000003</v>
      </c>
      <c r="H13" s="53">
        <v>17.21</v>
      </c>
      <c r="I13" s="53">
        <v>3.72</v>
      </c>
      <c r="J13" s="53">
        <v>0.96</v>
      </c>
      <c r="K13" s="53">
        <v>337</v>
      </c>
      <c r="L13" s="53">
        <v>24.06</v>
      </c>
      <c r="M13" s="53">
        <v>102.73</v>
      </c>
      <c r="N13" s="53">
        <v>26.1</v>
      </c>
      <c r="O13" s="53">
        <v>0</v>
      </c>
      <c r="P13" s="53">
        <v>0.4</v>
      </c>
      <c r="Q13" s="53">
        <v>9.6199999999999992</v>
      </c>
      <c r="R13" s="43"/>
      <c r="S13" s="43"/>
      <c r="T13" s="43"/>
      <c r="U13" s="43"/>
    </row>
    <row r="14" spans="1:21" s="11" customFormat="1" x14ac:dyDescent="0.25">
      <c r="A14" s="52" t="s">
        <v>401</v>
      </c>
      <c r="B14" s="53">
        <v>4.8899999999999997</v>
      </c>
      <c r="C14" s="53">
        <v>5.67</v>
      </c>
      <c r="D14" s="53">
        <v>6.75</v>
      </c>
      <c r="E14" s="53">
        <v>4.4400000000000004</v>
      </c>
      <c r="F14" s="53">
        <v>4.2699999999999996</v>
      </c>
      <c r="G14" s="53">
        <v>51.25</v>
      </c>
      <c r="H14" s="53">
        <v>25.86</v>
      </c>
      <c r="I14" s="53">
        <v>3.89</v>
      </c>
      <c r="J14" s="53">
        <v>1.19</v>
      </c>
      <c r="K14" s="53">
        <v>339.88</v>
      </c>
      <c r="L14" s="53">
        <v>23.67</v>
      </c>
      <c r="M14" s="53">
        <v>102.71</v>
      </c>
      <c r="N14" s="53">
        <v>27.3</v>
      </c>
      <c r="O14" s="53">
        <v>0</v>
      </c>
      <c r="P14" s="53">
        <v>0.47</v>
      </c>
      <c r="Q14" s="53">
        <v>9.61</v>
      </c>
      <c r="R14" s="43"/>
      <c r="S14" s="43"/>
      <c r="T14" s="43"/>
      <c r="U14" s="43"/>
    </row>
    <row r="15" spans="1:21" s="11" customFormat="1" x14ac:dyDescent="0.25">
      <c r="A15" s="52" t="s">
        <v>402</v>
      </c>
      <c r="B15" s="53">
        <v>6.23</v>
      </c>
      <c r="C15" s="53">
        <v>5.2</v>
      </c>
      <c r="D15" s="53">
        <v>7.67</v>
      </c>
      <c r="E15" s="53">
        <v>4.43</v>
      </c>
      <c r="F15" s="53">
        <v>4.3899999999999997</v>
      </c>
      <c r="G15" s="53">
        <v>58.42</v>
      </c>
      <c r="H15" s="53">
        <v>26.41</v>
      </c>
      <c r="I15" s="53">
        <v>2.62</v>
      </c>
      <c r="J15" s="53">
        <v>0.54</v>
      </c>
      <c r="K15" s="53">
        <v>326.94</v>
      </c>
      <c r="L15" s="53">
        <v>24.48</v>
      </c>
      <c r="M15" s="53">
        <v>102.72</v>
      </c>
      <c r="N15" s="53">
        <v>121.9</v>
      </c>
      <c r="O15" s="53">
        <v>0</v>
      </c>
      <c r="P15" s="53">
        <v>0.56999999999999995</v>
      </c>
      <c r="Q15" s="53">
        <v>9.6199999999999992</v>
      </c>
      <c r="R15" s="43"/>
      <c r="S15" s="43"/>
      <c r="T15" s="43"/>
      <c r="U15" s="43"/>
    </row>
    <row r="16" spans="1:21" s="11" customFormat="1" x14ac:dyDescent="0.25">
      <c r="A16" s="52" t="s">
        <v>403</v>
      </c>
      <c r="B16" s="53">
        <v>7.31</v>
      </c>
      <c r="C16" s="53">
        <v>6.44</v>
      </c>
      <c r="D16" s="53">
        <v>9.17</v>
      </c>
      <c r="E16" s="53">
        <v>4.9000000000000004</v>
      </c>
      <c r="F16" s="53">
        <v>4.0599999999999996</v>
      </c>
      <c r="G16" s="53">
        <v>62.61</v>
      </c>
      <c r="H16" s="53">
        <v>31.63</v>
      </c>
      <c r="I16" s="53">
        <v>4.4400000000000004</v>
      </c>
      <c r="J16" s="53">
        <v>1.36</v>
      </c>
      <c r="K16" s="53">
        <v>116.89</v>
      </c>
      <c r="L16" s="53">
        <v>26.37</v>
      </c>
      <c r="M16" s="53">
        <v>98.73</v>
      </c>
      <c r="N16" s="53">
        <v>304.60000000000002</v>
      </c>
      <c r="O16" s="53">
        <v>0</v>
      </c>
      <c r="P16" s="53">
        <v>0.5</v>
      </c>
      <c r="Q16" s="53">
        <v>9.61</v>
      </c>
      <c r="R16" s="43"/>
      <c r="S16" s="43"/>
      <c r="T16" s="43"/>
      <c r="U16" s="43"/>
    </row>
    <row r="17" spans="1:21" s="11" customFormat="1" x14ac:dyDescent="0.25">
      <c r="A17" s="52" t="s">
        <v>404</v>
      </c>
      <c r="B17" s="53">
        <v>6.9</v>
      </c>
      <c r="C17" s="53">
        <v>7.73</v>
      </c>
      <c r="D17" s="53">
        <v>9.51</v>
      </c>
      <c r="E17" s="53">
        <v>4.46</v>
      </c>
      <c r="F17" s="53">
        <v>4.3099999999999996</v>
      </c>
      <c r="G17" s="53">
        <v>62.61</v>
      </c>
      <c r="H17" s="53">
        <v>31.97</v>
      </c>
      <c r="I17" s="53">
        <v>5.72</v>
      </c>
      <c r="J17" s="53">
        <v>0.75</v>
      </c>
      <c r="K17" s="53">
        <v>114.89</v>
      </c>
      <c r="L17" s="53">
        <v>28.77</v>
      </c>
      <c r="M17" s="53">
        <v>88.74</v>
      </c>
      <c r="N17" s="53">
        <v>542.29999999999995</v>
      </c>
      <c r="O17" s="53">
        <v>0</v>
      </c>
      <c r="P17" s="53">
        <v>0.51</v>
      </c>
      <c r="Q17" s="53">
        <v>9.6199999999999992</v>
      </c>
      <c r="R17" s="43"/>
      <c r="S17" s="43"/>
      <c r="T17" s="43"/>
      <c r="U17" s="43"/>
    </row>
    <row r="18" spans="1:21" s="11" customFormat="1" x14ac:dyDescent="0.25">
      <c r="A18" s="52" t="s">
        <v>405</v>
      </c>
      <c r="B18" s="53">
        <v>5.63</v>
      </c>
      <c r="C18" s="53">
        <v>8.2100000000000009</v>
      </c>
      <c r="D18" s="53">
        <v>8.8000000000000007</v>
      </c>
      <c r="E18" s="53">
        <v>4.55</v>
      </c>
      <c r="F18" s="53">
        <v>4.67</v>
      </c>
      <c r="G18" s="53">
        <v>62.33</v>
      </c>
      <c r="H18" s="53">
        <v>31.97</v>
      </c>
      <c r="I18" s="53">
        <v>6.08</v>
      </c>
      <c r="J18" s="53">
        <v>1.29</v>
      </c>
      <c r="K18" s="53">
        <v>130.68</v>
      </c>
      <c r="L18" s="53">
        <v>29.59</v>
      </c>
      <c r="M18" s="53">
        <v>80</v>
      </c>
      <c r="N18" s="53">
        <v>705.5</v>
      </c>
      <c r="O18" s="53">
        <v>0</v>
      </c>
      <c r="P18" s="53">
        <v>0.5</v>
      </c>
      <c r="Q18" s="53">
        <v>9.61</v>
      </c>
      <c r="R18" s="43"/>
      <c r="S18" s="43"/>
      <c r="T18" s="43"/>
      <c r="U18" s="43"/>
    </row>
    <row r="19" spans="1:21" s="11" customFormat="1" x14ac:dyDescent="0.25">
      <c r="A19" s="52" t="s">
        <v>406</v>
      </c>
      <c r="B19" s="53">
        <v>3.27</v>
      </c>
      <c r="C19" s="53">
        <v>6.91</v>
      </c>
      <c r="D19" s="53">
        <v>6.23</v>
      </c>
      <c r="E19" s="53">
        <v>4.16</v>
      </c>
      <c r="F19" s="53">
        <v>4.38</v>
      </c>
      <c r="G19" s="53">
        <v>58.61</v>
      </c>
      <c r="H19" s="53">
        <v>31.62</v>
      </c>
      <c r="I19" s="53">
        <v>5.86</v>
      </c>
      <c r="J19" s="53">
        <v>1.3</v>
      </c>
      <c r="K19" s="53">
        <v>133.87</v>
      </c>
      <c r="L19" s="53">
        <v>30.84</v>
      </c>
      <c r="M19" s="53">
        <v>70</v>
      </c>
      <c r="N19" s="53">
        <v>809.8</v>
      </c>
      <c r="O19" s="53">
        <v>0</v>
      </c>
      <c r="P19" s="53">
        <v>0.49</v>
      </c>
      <c r="Q19" s="53">
        <v>9.6199999999999992</v>
      </c>
      <c r="R19" s="43"/>
      <c r="S19" s="43"/>
      <c r="T19" s="43"/>
      <c r="U19" s="43"/>
    </row>
    <row r="20" spans="1:21" s="11" customFormat="1" x14ac:dyDescent="0.25">
      <c r="A20" s="52" t="s">
        <v>407</v>
      </c>
      <c r="B20" s="53">
        <v>2.2000000000000002</v>
      </c>
      <c r="C20" s="53">
        <v>6.31</v>
      </c>
      <c r="D20" s="53">
        <v>5.01</v>
      </c>
      <c r="E20" s="53">
        <v>4.1100000000000003</v>
      </c>
      <c r="F20" s="53">
        <v>4.5599999999999996</v>
      </c>
      <c r="G20" s="53">
        <v>46.86</v>
      </c>
      <c r="H20" s="53">
        <v>27.06</v>
      </c>
      <c r="I20" s="53">
        <v>6.48</v>
      </c>
      <c r="J20" s="53">
        <v>1.54</v>
      </c>
      <c r="K20" s="53">
        <v>140.25</v>
      </c>
      <c r="L20" s="53">
        <v>31.59</v>
      </c>
      <c r="M20" s="53">
        <v>61.38</v>
      </c>
      <c r="N20" s="53">
        <v>863.4</v>
      </c>
      <c r="O20" s="53">
        <v>0</v>
      </c>
      <c r="P20" s="53">
        <v>0.44</v>
      </c>
      <c r="Q20" s="53">
        <v>9.61</v>
      </c>
      <c r="R20" s="43"/>
      <c r="S20" s="43"/>
      <c r="T20" s="43"/>
      <c r="U20" s="43"/>
    </row>
    <row r="21" spans="1:21" s="11" customFormat="1" x14ac:dyDescent="0.25">
      <c r="A21" s="52" t="s">
        <v>408</v>
      </c>
      <c r="B21" s="53">
        <v>1.3</v>
      </c>
      <c r="C21" s="53">
        <v>5.85</v>
      </c>
      <c r="D21" s="53">
        <v>3.93</v>
      </c>
      <c r="E21" s="53">
        <v>4.92</v>
      </c>
      <c r="F21" s="53">
        <v>4.6100000000000003</v>
      </c>
      <c r="G21" s="53">
        <v>37.979999999999997</v>
      </c>
      <c r="H21" s="53">
        <v>17.59</v>
      </c>
      <c r="I21" s="53">
        <v>6.26</v>
      </c>
      <c r="J21" s="53">
        <v>1.04</v>
      </c>
      <c r="K21" s="53">
        <v>149.63</v>
      </c>
      <c r="L21" s="53">
        <v>32.1</v>
      </c>
      <c r="M21" s="53">
        <v>59.46</v>
      </c>
      <c r="N21" s="53">
        <v>801.9</v>
      </c>
      <c r="O21" s="53">
        <v>0</v>
      </c>
      <c r="P21" s="53">
        <v>0.39</v>
      </c>
      <c r="Q21" s="53">
        <v>9.61</v>
      </c>
      <c r="R21" s="43"/>
      <c r="S21" s="43"/>
      <c r="T21" s="43"/>
      <c r="U21" s="43"/>
    </row>
    <row r="22" spans="1:21" s="11" customFormat="1" x14ac:dyDescent="0.25">
      <c r="A22" s="52" t="s">
        <v>409</v>
      </c>
      <c r="B22" s="53">
        <v>1.44</v>
      </c>
      <c r="C22" s="53">
        <v>5.86</v>
      </c>
      <c r="D22" s="53">
        <v>3.98</v>
      </c>
      <c r="E22" s="53">
        <v>4.8899999999999997</v>
      </c>
      <c r="F22" s="53">
        <v>4.88</v>
      </c>
      <c r="G22" s="53">
        <v>33.200000000000003</v>
      </c>
      <c r="H22" s="53">
        <v>11.78</v>
      </c>
      <c r="I22" s="53">
        <v>5.37</v>
      </c>
      <c r="J22" s="53">
        <v>1.04</v>
      </c>
      <c r="K22" s="53">
        <v>138.41</v>
      </c>
      <c r="L22" s="53">
        <v>31.63</v>
      </c>
      <c r="M22" s="53">
        <v>57.26</v>
      </c>
      <c r="N22" s="53">
        <v>423.3</v>
      </c>
      <c r="O22" s="53">
        <v>0</v>
      </c>
      <c r="P22" s="53">
        <v>0.37</v>
      </c>
      <c r="Q22" s="53">
        <v>9.6199999999999992</v>
      </c>
      <c r="R22" s="43"/>
      <c r="S22" s="43"/>
      <c r="T22" s="43"/>
      <c r="U22" s="43"/>
    </row>
    <row r="23" spans="1:21" s="11" customFormat="1" x14ac:dyDescent="0.25">
      <c r="A23" s="52" t="s">
        <v>410</v>
      </c>
      <c r="B23" s="53">
        <v>1.7</v>
      </c>
      <c r="C23" s="53">
        <v>5.48</v>
      </c>
      <c r="D23" s="53">
        <v>4.22</v>
      </c>
      <c r="E23" s="53">
        <v>5.09</v>
      </c>
      <c r="F23" s="53">
        <v>4.6100000000000003</v>
      </c>
      <c r="G23" s="53">
        <v>25.63</v>
      </c>
      <c r="H23" s="53">
        <v>12.86</v>
      </c>
      <c r="I23" s="53">
        <v>2.36</v>
      </c>
      <c r="J23" s="53">
        <v>1.07</v>
      </c>
      <c r="K23" s="53">
        <v>116.99</v>
      </c>
      <c r="L23" s="53">
        <v>30.08</v>
      </c>
      <c r="M23" s="53">
        <v>59.94</v>
      </c>
      <c r="N23" s="53">
        <v>159.4</v>
      </c>
      <c r="O23" s="53">
        <v>0</v>
      </c>
      <c r="P23" s="53">
        <v>0.3</v>
      </c>
      <c r="Q23" s="53">
        <v>9.61</v>
      </c>
      <c r="R23" s="43"/>
      <c r="S23" s="43"/>
      <c r="T23" s="43"/>
      <c r="U23" s="43"/>
    </row>
    <row r="24" spans="1:21" s="11" customFormat="1" x14ac:dyDescent="0.25">
      <c r="A24" s="52" t="s">
        <v>411</v>
      </c>
      <c r="B24" s="53">
        <v>1.33</v>
      </c>
      <c r="C24" s="53">
        <v>6.49</v>
      </c>
      <c r="D24" s="53">
        <v>4.4400000000000004</v>
      </c>
      <c r="E24" s="53">
        <v>5.04</v>
      </c>
      <c r="F24" s="53">
        <v>4.68</v>
      </c>
      <c r="G24" s="53">
        <v>23.51</v>
      </c>
      <c r="H24" s="53">
        <v>12.86</v>
      </c>
      <c r="I24" s="53">
        <v>2.48</v>
      </c>
      <c r="J24" s="53">
        <v>1.27</v>
      </c>
      <c r="K24" s="53">
        <v>129.68</v>
      </c>
      <c r="L24" s="53">
        <v>29.97</v>
      </c>
      <c r="M24" s="53">
        <v>65.959999999999994</v>
      </c>
      <c r="N24" s="53">
        <v>138.1</v>
      </c>
      <c r="O24" s="53">
        <v>0</v>
      </c>
      <c r="P24" s="53">
        <v>0.38</v>
      </c>
      <c r="Q24" s="53">
        <v>9.61</v>
      </c>
      <c r="R24" s="43"/>
      <c r="S24" s="43"/>
      <c r="T24" s="43"/>
      <c r="U24" s="43"/>
    </row>
    <row r="25" spans="1:21" s="11" customFormat="1" x14ac:dyDescent="0.25">
      <c r="A25" s="52" t="s">
        <v>412</v>
      </c>
      <c r="B25" s="53">
        <v>1.34</v>
      </c>
      <c r="C25" s="53">
        <v>7.29</v>
      </c>
      <c r="D25" s="53">
        <v>4.8899999999999997</v>
      </c>
      <c r="E25" s="53">
        <v>5.2</v>
      </c>
      <c r="F25" s="53">
        <v>4.67</v>
      </c>
      <c r="G25" s="53">
        <v>22.67</v>
      </c>
      <c r="H25" s="53">
        <v>13.34</v>
      </c>
      <c r="I25" s="53">
        <v>4.0199999999999996</v>
      </c>
      <c r="J25" s="53">
        <v>0.72</v>
      </c>
      <c r="K25" s="53">
        <v>110.27</v>
      </c>
      <c r="L25" s="53">
        <v>29.13</v>
      </c>
      <c r="M25" s="53">
        <v>67.69</v>
      </c>
      <c r="N25" s="53">
        <v>75.099999999999994</v>
      </c>
      <c r="O25" s="53">
        <v>0</v>
      </c>
      <c r="P25" s="53">
        <v>0.45</v>
      </c>
      <c r="Q25" s="53">
        <v>9.61</v>
      </c>
      <c r="R25" s="43"/>
      <c r="S25" s="43"/>
      <c r="T25" s="43"/>
      <c r="U25" s="43"/>
    </row>
    <row r="26" spans="1:21" s="11" customFormat="1" x14ac:dyDescent="0.25">
      <c r="A26" s="52" t="s">
        <v>413</v>
      </c>
      <c r="B26" s="53">
        <v>2.5299999999999998</v>
      </c>
      <c r="C26" s="53">
        <v>8.15</v>
      </c>
      <c r="D26" s="53">
        <v>6.2</v>
      </c>
      <c r="E26" s="53">
        <v>5.05</v>
      </c>
      <c r="F26" s="53">
        <v>4.4800000000000004</v>
      </c>
      <c r="G26" s="53">
        <v>34.43</v>
      </c>
      <c r="H26" s="53">
        <v>13.34</v>
      </c>
      <c r="I26" s="53">
        <v>2.73</v>
      </c>
      <c r="J26" s="53">
        <v>0.52</v>
      </c>
      <c r="K26" s="53">
        <v>110.73</v>
      </c>
      <c r="L26" s="53">
        <v>28.42</v>
      </c>
      <c r="M26" s="53">
        <v>75.19</v>
      </c>
      <c r="N26" s="53">
        <v>42.5</v>
      </c>
      <c r="O26" s="53">
        <v>0</v>
      </c>
      <c r="P26" s="53">
        <v>0.49</v>
      </c>
      <c r="Q26" s="53">
        <v>9.6199999999999992</v>
      </c>
      <c r="R26" s="43"/>
      <c r="S26" s="43"/>
      <c r="T26" s="43"/>
      <c r="U26" s="43"/>
    </row>
    <row r="27" spans="1:21" s="11" customFormat="1" x14ac:dyDescent="0.25">
      <c r="A27" s="52" t="s">
        <v>414</v>
      </c>
      <c r="B27" s="53">
        <v>2.36</v>
      </c>
      <c r="C27" s="53">
        <v>7.4</v>
      </c>
      <c r="D27" s="53">
        <v>5.76</v>
      </c>
      <c r="E27" s="53">
        <v>4.7699999999999996</v>
      </c>
      <c r="F27" s="53">
        <v>4.3899999999999997</v>
      </c>
      <c r="G27" s="53">
        <v>34.43</v>
      </c>
      <c r="H27" s="53">
        <v>16.510000000000002</v>
      </c>
      <c r="I27" s="53">
        <v>1.95</v>
      </c>
      <c r="J27" s="53">
        <v>1.07</v>
      </c>
      <c r="K27" s="53">
        <v>121</v>
      </c>
      <c r="L27" s="53">
        <v>27.6</v>
      </c>
      <c r="M27" s="53">
        <v>76.239999999999995</v>
      </c>
      <c r="N27" s="53">
        <v>26.1</v>
      </c>
      <c r="O27" s="53">
        <v>0</v>
      </c>
      <c r="P27" s="53">
        <v>0.56999999999999995</v>
      </c>
      <c r="Q27" s="53">
        <v>9.6199999999999992</v>
      </c>
      <c r="R27" s="43"/>
      <c r="S27" s="43"/>
      <c r="T27" s="43"/>
      <c r="U27" s="43"/>
    </row>
    <row r="28" spans="1:21" s="11" customFormat="1" x14ac:dyDescent="0.25">
      <c r="A28" s="52" t="s">
        <v>415</v>
      </c>
      <c r="B28" s="53">
        <v>2.08</v>
      </c>
      <c r="C28" s="53">
        <v>7.33</v>
      </c>
      <c r="D28" s="53">
        <v>5.5</v>
      </c>
      <c r="E28" s="53">
        <v>5.05</v>
      </c>
      <c r="F28" s="53">
        <v>4.99</v>
      </c>
      <c r="G28" s="53">
        <v>25.89</v>
      </c>
      <c r="H28" s="53">
        <v>16.510000000000002</v>
      </c>
      <c r="I28" s="53">
        <v>3.28</v>
      </c>
      <c r="J28" s="53">
        <v>0.74</v>
      </c>
      <c r="K28" s="53">
        <v>126.88</v>
      </c>
      <c r="L28" s="53">
        <v>27.4</v>
      </c>
      <c r="M28" s="53">
        <v>80.86</v>
      </c>
      <c r="N28" s="53">
        <v>26.2</v>
      </c>
      <c r="O28" s="53">
        <v>0</v>
      </c>
      <c r="P28" s="53">
        <v>0.68</v>
      </c>
      <c r="Q28" s="53">
        <v>9.6199999999999992</v>
      </c>
      <c r="R28" s="43"/>
      <c r="S28" s="43"/>
      <c r="T28" s="43"/>
      <c r="U28" s="43"/>
    </row>
    <row r="29" spans="1:21" s="11" customFormat="1" x14ac:dyDescent="0.25">
      <c r="A29" s="52" t="s">
        <v>416</v>
      </c>
      <c r="B29" s="53">
        <v>2.0299999999999998</v>
      </c>
      <c r="C29" s="53">
        <v>7.63</v>
      </c>
      <c r="D29" s="53">
        <v>5.55</v>
      </c>
      <c r="E29" s="53">
        <v>4.26</v>
      </c>
      <c r="F29" s="53">
        <v>4.3899999999999997</v>
      </c>
      <c r="G29" s="53">
        <v>30.75</v>
      </c>
      <c r="H29" s="53">
        <v>21.31</v>
      </c>
      <c r="I29" s="53">
        <v>4.16</v>
      </c>
      <c r="J29" s="53">
        <v>1.53</v>
      </c>
      <c r="K29" s="53">
        <v>121.58</v>
      </c>
      <c r="L29" s="53">
        <v>27.05</v>
      </c>
      <c r="M29" s="53">
        <v>83.95</v>
      </c>
      <c r="N29" s="53">
        <v>26</v>
      </c>
      <c r="O29" s="53">
        <v>0</v>
      </c>
      <c r="P29" s="53">
        <v>0.57999999999999996</v>
      </c>
      <c r="Q29" s="53">
        <v>9.6199999999999992</v>
      </c>
      <c r="R29" s="43"/>
      <c r="S29" s="43"/>
      <c r="T29" s="43"/>
      <c r="U29" s="43"/>
    </row>
    <row r="30" spans="1:21" s="11" customFormat="1" x14ac:dyDescent="0.25">
      <c r="A30" s="52" t="s">
        <v>417</v>
      </c>
      <c r="B30" s="53">
        <v>1.4</v>
      </c>
      <c r="C30" s="53">
        <v>7.38</v>
      </c>
      <c r="D30" s="53">
        <v>4.91</v>
      </c>
      <c r="E30" s="53">
        <v>4.43</v>
      </c>
      <c r="F30" s="53">
        <v>4.49</v>
      </c>
      <c r="G30" s="53">
        <v>38.11</v>
      </c>
      <c r="H30" s="53">
        <v>21.31</v>
      </c>
      <c r="I30" s="53">
        <v>5.42</v>
      </c>
      <c r="J30" s="53">
        <v>1.52</v>
      </c>
      <c r="K30" s="53">
        <v>113.7</v>
      </c>
      <c r="L30" s="53">
        <v>26.73</v>
      </c>
      <c r="M30" s="53">
        <v>87.89</v>
      </c>
      <c r="N30" s="53">
        <v>26.2</v>
      </c>
      <c r="O30" s="53">
        <v>0</v>
      </c>
      <c r="P30" s="53">
        <v>0.52</v>
      </c>
      <c r="Q30" s="53">
        <v>9.61</v>
      </c>
      <c r="R30" s="43"/>
      <c r="S30" s="43"/>
      <c r="T30" s="43"/>
      <c r="U30" s="43"/>
    </row>
    <row r="31" spans="1:21" s="11" customFormat="1" x14ac:dyDescent="0.25">
      <c r="A31" s="52" t="s">
        <v>418</v>
      </c>
      <c r="B31" s="53">
        <v>1.68</v>
      </c>
      <c r="C31" s="53">
        <v>6.93</v>
      </c>
      <c r="D31" s="53">
        <v>4.9400000000000004</v>
      </c>
      <c r="E31" s="53">
        <v>4.07</v>
      </c>
      <c r="F31" s="53">
        <v>4.1100000000000003</v>
      </c>
      <c r="G31" s="53">
        <v>38.11</v>
      </c>
      <c r="H31" s="53">
        <v>22.33</v>
      </c>
      <c r="I31" s="53">
        <v>4.76</v>
      </c>
      <c r="J31" s="53">
        <v>1.36</v>
      </c>
      <c r="K31" s="53">
        <v>114.07</v>
      </c>
      <c r="L31" s="53">
        <v>26.31</v>
      </c>
      <c r="M31" s="53">
        <v>90.09</v>
      </c>
      <c r="N31" s="53">
        <v>26</v>
      </c>
      <c r="O31" s="53">
        <v>0</v>
      </c>
      <c r="P31" s="53">
        <v>0.49</v>
      </c>
      <c r="Q31" s="53">
        <v>9.6199999999999992</v>
      </c>
      <c r="R31" s="43"/>
      <c r="S31" s="43"/>
      <c r="T31" s="43"/>
      <c r="U31" s="43"/>
    </row>
    <row r="32" spans="1:21" s="11" customFormat="1" x14ac:dyDescent="0.25">
      <c r="A32" s="52" t="s">
        <v>419</v>
      </c>
      <c r="B32" s="53">
        <v>2.7</v>
      </c>
      <c r="C32" s="53">
        <v>7.39</v>
      </c>
      <c r="D32" s="53">
        <v>6.03</v>
      </c>
      <c r="E32" s="53">
        <v>4.37</v>
      </c>
      <c r="F32" s="53">
        <v>3.55</v>
      </c>
      <c r="G32" s="53">
        <v>36.32</v>
      </c>
      <c r="H32" s="53">
        <v>22.33</v>
      </c>
      <c r="I32" s="53">
        <v>3.03</v>
      </c>
      <c r="J32" s="53">
        <v>0.82</v>
      </c>
      <c r="K32" s="53">
        <v>338.66</v>
      </c>
      <c r="L32" s="53">
        <v>26.1</v>
      </c>
      <c r="M32" s="53">
        <v>94.84</v>
      </c>
      <c r="N32" s="53">
        <v>26.3</v>
      </c>
      <c r="O32" s="53">
        <v>0</v>
      </c>
      <c r="P32" s="53">
        <v>0.55000000000000004</v>
      </c>
      <c r="Q32" s="53">
        <v>9.61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1.05</v>
      </c>
      <c r="C34" s="28">
        <f t="shared" si="0"/>
        <v>4.18</v>
      </c>
      <c r="D34" s="28">
        <f t="shared" si="0"/>
        <v>3.13</v>
      </c>
      <c r="E34" s="28">
        <f t="shared" si="0"/>
        <v>4.07</v>
      </c>
      <c r="F34" s="28">
        <f t="shared" si="0"/>
        <v>3.55</v>
      </c>
      <c r="G34" s="28">
        <f t="shared" si="0"/>
        <v>22.67</v>
      </c>
      <c r="H34" s="28">
        <f t="shared" si="0"/>
        <v>11.78</v>
      </c>
      <c r="I34" s="28">
        <f t="shared" si="0"/>
        <v>1.95</v>
      </c>
      <c r="J34" s="28">
        <f t="shared" si="0"/>
        <v>0.52</v>
      </c>
      <c r="K34" s="28">
        <f t="shared" si="0"/>
        <v>110.27</v>
      </c>
      <c r="L34" s="28">
        <f t="shared" si="0"/>
        <v>23.67</v>
      </c>
      <c r="M34" s="28">
        <f t="shared" si="0"/>
        <v>57.26</v>
      </c>
      <c r="N34" s="28">
        <f t="shared" si="0"/>
        <v>26</v>
      </c>
      <c r="O34" s="28">
        <f t="shared" si="0"/>
        <v>0</v>
      </c>
      <c r="P34" s="28">
        <f t="shared" si="0"/>
        <v>0.3</v>
      </c>
      <c r="Q34" s="28">
        <f t="shared" si="0"/>
        <v>9.61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7.31</v>
      </c>
      <c r="C35" s="29">
        <f t="shared" si="1"/>
        <v>8.2100000000000009</v>
      </c>
      <c r="D35" s="29">
        <f t="shared" si="1"/>
        <v>9.51</v>
      </c>
      <c r="E35" s="29">
        <f t="shared" si="1"/>
        <v>5.76</v>
      </c>
      <c r="F35" s="29">
        <f t="shared" si="1"/>
        <v>4.99</v>
      </c>
      <c r="G35" s="29">
        <f t="shared" si="1"/>
        <v>62.61</v>
      </c>
      <c r="H35" s="29">
        <f t="shared" si="1"/>
        <v>31.97</v>
      </c>
      <c r="I35" s="29">
        <f t="shared" si="1"/>
        <v>6.48</v>
      </c>
      <c r="J35" s="29">
        <f t="shared" si="1"/>
        <v>1.54</v>
      </c>
      <c r="K35" s="29">
        <f t="shared" si="1"/>
        <v>344.34</v>
      </c>
      <c r="L35" s="29">
        <f t="shared" si="1"/>
        <v>32.1</v>
      </c>
      <c r="M35" s="29">
        <f t="shared" si="1"/>
        <v>102.73</v>
      </c>
      <c r="N35" s="29">
        <f t="shared" si="1"/>
        <v>863.4</v>
      </c>
      <c r="O35" s="29">
        <f t="shared" si="1"/>
        <v>0</v>
      </c>
      <c r="P35" s="29">
        <f t="shared" si="1"/>
        <v>0.68</v>
      </c>
      <c r="Q35" s="29">
        <f t="shared" si="1"/>
        <v>9.6199999999999992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2.7975000000000008</v>
      </c>
      <c r="C36" s="28">
        <f t="shared" si="2"/>
        <v>6.4795833333333341</v>
      </c>
      <c r="D36" s="28">
        <f t="shared" si="2"/>
        <v>5.5837500000000011</v>
      </c>
      <c r="E36" s="28">
        <f t="shared" si="2"/>
        <v>4.7699999999999996</v>
      </c>
      <c r="F36" s="28">
        <f t="shared" si="2"/>
        <v>4.402916666666667</v>
      </c>
      <c r="G36" s="28">
        <f t="shared" si="2"/>
        <v>39.134583333333332</v>
      </c>
      <c r="H36" s="28">
        <f t="shared" si="2"/>
        <v>20.657916666666662</v>
      </c>
      <c r="I36" s="28">
        <f t="shared" si="2"/>
        <v>4.2300000000000004</v>
      </c>
      <c r="J36" s="28">
        <f t="shared" si="2"/>
        <v>1.1045833333333333</v>
      </c>
      <c r="K36" s="28">
        <f t="shared" si="2"/>
        <v>177.20708333333332</v>
      </c>
      <c r="L36" s="28">
        <f t="shared" si="2"/>
        <v>27.593749999999996</v>
      </c>
      <c r="M36" s="28">
        <f t="shared" si="2"/>
        <v>83.681666666666686</v>
      </c>
      <c r="N36" s="28">
        <f t="shared" si="2"/>
        <v>220.93333333333337</v>
      </c>
      <c r="O36" s="28">
        <f t="shared" si="2"/>
        <v>0</v>
      </c>
      <c r="P36" s="28">
        <f t="shared" si="2"/>
        <v>0.46458333333333335</v>
      </c>
      <c r="Q36" s="28">
        <f t="shared" si="2"/>
        <v>9.615000000000002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1.9221415819001377</v>
      </c>
      <c r="C37" s="28">
        <f t="shared" ref="C37:Q37" si="3">STDEV(C9:C32)</f>
        <v>1.1223634967516405</v>
      </c>
      <c r="D37" s="28">
        <f t="shared" si="3"/>
        <v>1.74367630746575</v>
      </c>
      <c r="E37" s="28">
        <f t="shared" si="3"/>
        <v>0.50001739100190645</v>
      </c>
      <c r="F37" s="28">
        <f t="shared" si="3"/>
        <v>0.31935368380890627</v>
      </c>
      <c r="G37" s="28">
        <f t="shared" si="3"/>
        <v>13.197115949481441</v>
      </c>
      <c r="H37" s="28">
        <f t="shared" si="3"/>
        <v>6.6528627242365541</v>
      </c>
      <c r="I37" s="28">
        <f t="shared" si="3"/>
        <v>1.3625774808444264</v>
      </c>
      <c r="J37" s="28">
        <f t="shared" si="3"/>
        <v>0.31781836714191608</v>
      </c>
      <c r="K37" s="28">
        <f t="shared" si="3"/>
        <v>95.31721772833609</v>
      </c>
      <c r="L37" s="28">
        <f t="shared" si="3"/>
        <v>2.5851462198995376</v>
      </c>
      <c r="M37" s="28">
        <f t="shared" si="3"/>
        <v>16.05418018614694</v>
      </c>
      <c r="N37" s="28">
        <f t="shared" si="3"/>
        <v>295.73937213682592</v>
      </c>
      <c r="O37" s="28">
        <f t="shared" si="3"/>
        <v>0</v>
      </c>
      <c r="P37" s="28">
        <f t="shared" si="3"/>
        <v>9.0983953036482962E-2</v>
      </c>
      <c r="Q37" s="28">
        <f t="shared" si="3"/>
        <v>5.1075391845523833E-3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16/10/2024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6"/>
      <c r="B8" s="57" t="s">
        <v>22</v>
      </c>
      <c r="C8" s="57" t="s">
        <v>22</v>
      </c>
      <c r="D8" s="29" t="s">
        <v>42</v>
      </c>
      <c r="E8" s="57" t="s">
        <v>22</v>
      </c>
      <c r="F8" s="57" t="s">
        <v>22</v>
      </c>
      <c r="G8" s="57" t="s">
        <v>23</v>
      </c>
      <c r="H8" s="57" t="s">
        <v>22</v>
      </c>
      <c r="I8" s="57" t="s">
        <v>22</v>
      </c>
      <c r="J8" s="57" t="s">
        <v>24</v>
      </c>
      <c r="K8" s="57" t="s">
        <v>25</v>
      </c>
      <c r="L8" s="56" t="s">
        <v>27</v>
      </c>
      <c r="M8" s="57" t="s">
        <v>26</v>
      </c>
      <c r="N8" s="57" t="s">
        <v>28</v>
      </c>
      <c r="O8" s="56" t="s">
        <v>29</v>
      </c>
      <c r="P8" s="57" t="s">
        <v>22</v>
      </c>
      <c r="Q8" s="57" t="s">
        <v>22</v>
      </c>
      <c r="R8" s="27"/>
      <c r="S8" s="29"/>
      <c r="T8" s="27"/>
      <c r="U8" s="27"/>
    </row>
    <row r="9" spans="1:21" s="11" customFormat="1" x14ac:dyDescent="0.25">
      <c r="A9" s="52" t="s">
        <v>420</v>
      </c>
      <c r="B9" s="53">
        <v>3.9</v>
      </c>
      <c r="C9" s="53">
        <v>7.4</v>
      </c>
      <c r="D9" s="53">
        <v>6.97</v>
      </c>
      <c r="E9" s="53">
        <v>4.8499999999999996</v>
      </c>
      <c r="F9" s="53">
        <v>4.0199999999999996</v>
      </c>
      <c r="G9" s="53">
        <v>36.14</v>
      </c>
      <c r="H9" s="53">
        <v>21.15</v>
      </c>
      <c r="I9" s="53">
        <v>3.05</v>
      </c>
      <c r="J9" s="53">
        <v>0.63</v>
      </c>
      <c r="K9" s="53">
        <v>178.05</v>
      </c>
      <c r="L9" s="53">
        <v>25.54</v>
      </c>
      <c r="M9" s="53">
        <v>94.84</v>
      </c>
      <c r="N9" s="53">
        <v>26</v>
      </c>
      <c r="O9" s="53">
        <v>0</v>
      </c>
      <c r="P9" s="53">
        <v>0.49</v>
      </c>
      <c r="Q9" s="53">
        <v>9.6199999999999992</v>
      </c>
      <c r="R9" s="43"/>
      <c r="S9" s="43"/>
      <c r="T9" s="43"/>
      <c r="U9" s="43"/>
    </row>
    <row r="10" spans="1:21" s="11" customFormat="1" x14ac:dyDescent="0.25">
      <c r="A10" s="52" t="s">
        <v>421</v>
      </c>
      <c r="B10" s="53">
        <v>3.08</v>
      </c>
      <c r="C10" s="53">
        <v>5.97</v>
      </c>
      <c r="D10" s="53">
        <v>5.57</v>
      </c>
      <c r="E10" s="53">
        <v>4.6100000000000003</v>
      </c>
      <c r="F10" s="53">
        <v>4.95</v>
      </c>
      <c r="G10" s="53">
        <v>35.340000000000003</v>
      </c>
      <c r="H10" s="53">
        <v>22.7</v>
      </c>
      <c r="I10" s="53">
        <v>3.69</v>
      </c>
      <c r="J10" s="53">
        <v>0.52</v>
      </c>
      <c r="K10" s="53">
        <v>208.95</v>
      </c>
      <c r="L10" s="53">
        <v>25.32</v>
      </c>
      <c r="M10" s="53">
        <v>97.5</v>
      </c>
      <c r="N10" s="53">
        <v>26.1</v>
      </c>
      <c r="O10" s="53">
        <v>0</v>
      </c>
      <c r="P10" s="53">
        <v>0.42</v>
      </c>
      <c r="Q10" s="53">
        <v>9.61</v>
      </c>
      <c r="R10" s="43"/>
      <c r="S10" s="43"/>
      <c r="T10" s="43"/>
      <c r="U10" s="43"/>
    </row>
    <row r="11" spans="1:21" s="11" customFormat="1" x14ac:dyDescent="0.25">
      <c r="A11" s="52" t="s">
        <v>422</v>
      </c>
      <c r="B11" s="53">
        <v>2.4</v>
      </c>
      <c r="C11" s="53">
        <v>4.92</v>
      </c>
      <c r="D11" s="53">
        <v>4.37</v>
      </c>
      <c r="E11" s="53">
        <v>4.47</v>
      </c>
      <c r="F11" s="53">
        <v>3.69</v>
      </c>
      <c r="G11" s="53">
        <v>35.340000000000003</v>
      </c>
      <c r="H11" s="53">
        <v>22.96</v>
      </c>
      <c r="I11" s="53">
        <v>2.8</v>
      </c>
      <c r="J11" s="53">
        <v>0.55000000000000004</v>
      </c>
      <c r="K11" s="53">
        <v>329.99</v>
      </c>
      <c r="L11" s="53">
        <v>24.6</v>
      </c>
      <c r="M11" s="53">
        <v>102.7</v>
      </c>
      <c r="N11" s="53">
        <v>26.3</v>
      </c>
      <c r="O11" s="53">
        <v>0</v>
      </c>
      <c r="P11" s="53">
        <v>0.35</v>
      </c>
      <c r="Q11" s="53">
        <v>9.6199999999999992</v>
      </c>
      <c r="R11" s="43"/>
      <c r="S11" s="43"/>
      <c r="T11" s="43"/>
      <c r="U11" s="43"/>
    </row>
    <row r="12" spans="1:21" s="11" customFormat="1" x14ac:dyDescent="0.25">
      <c r="A12" s="52" t="s">
        <v>423</v>
      </c>
      <c r="B12" s="53">
        <v>2.57</v>
      </c>
      <c r="C12" s="53">
        <v>4.2300000000000004</v>
      </c>
      <c r="D12" s="53">
        <v>4.2</v>
      </c>
      <c r="E12" s="53">
        <v>4.66</v>
      </c>
      <c r="F12" s="53">
        <v>4.1399999999999997</v>
      </c>
      <c r="G12" s="53">
        <v>29.77</v>
      </c>
      <c r="H12" s="53">
        <v>22.96</v>
      </c>
      <c r="I12" s="53">
        <v>1.01</v>
      </c>
      <c r="J12" s="53">
        <v>0.49</v>
      </c>
      <c r="K12" s="53">
        <v>307.38</v>
      </c>
      <c r="L12" s="53">
        <v>23.9</v>
      </c>
      <c r="M12" s="53">
        <v>102.7</v>
      </c>
      <c r="N12" s="53">
        <v>26.1</v>
      </c>
      <c r="O12" s="53">
        <v>0</v>
      </c>
      <c r="P12" s="53">
        <v>0.39</v>
      </c>
      <c r="Q12" s="53">
        <v>9.6300000000000008</v>
      </c>
      <c r="R12" s="43"/>
      <c r="S12" s="43"/>
      <c r="T12" s="43"/>
      <c r="U12" s="43"/>
    </row>
    <row r="13" spans="1:21" s="11" customFormat="1" x14ac:dyDescent="0.25">
      <c r="A13" s="52" t="s">
        <v>424</v>
      </c>
      <c r="B13" s="53">
        <v>3.69</v>
      </c>
      <c r="C13" s="53">
        <v>5.16</v>
      </c>
      <c r="D13" s="53">
        <v>5.65</v>
      </c>
      <c r="E13" s="53">
        <v>4.38</v>
      </c>
      <c r="F13" s="53">
        <v>3.55</v>
      </c>
      <c r="G13" s="53">
        <v>27.08</v>
      </c>
      <c r="H13" s="53">
        <v>19.440000000000001</v>
      </c>
      <c r="I13" s="53">
        <v>3.21</v>
      </c>
      <c r="J13" s="53">
        <v>0.46</v>
      </c>
      <c r="K13" s="53">
        <v>326.32</v>
      </c>
      <c r="L13" s="53">
        <v>23.97</v>
      </c>
      <c r="M13" s="53">
        <v>102.7</v>
      </c>
      <c r="N13" s="53">
        <v>26.1</v>
      </c>
      <c r="O13" s="53">
        <v>0</v>
      </c>
      <c r="P13" s="53">
        <v>0.43</v>
      </c>
      <c r="Q13" s="53">
        <v>9.6199999999999992</v>
      </c>
      <c r="R13" s="43"/>
      <c r="S13" s="43"/>
      <c r="T13" s="43"/>
      <c r="U13" s="43"/>
    </row>
    <row r="14" spans="1:21" s="11" customFormat="1" x14ac:dyDescent="0.25">
      <c r="A14" s="52" t="s">
        <v>425</v>
      </c>
      <c r="B14" s="53">
        <v>5.8</v>
      </c>
      <c r="C14" s="53">
        <v>5.71</v>
      </c>
      <c r="D14" s="53">
        <v>7.57</v>
      </c>
      <c r="E14" s="53">
        <v>4.25</v>
      </c>
      <c r="F14" s="53">
        <v>3.67</v>
      </c>
      <c r="G14" s="53">
        <v>33.19</v>
      </c>
      <c r="H14" s="53">
        <v>20.56</v>
      </c>
      <c r="I14" s="53">
        <v>3.79</v>
      </c>
      <c r="J14" s="53">
        <v>1.1100000000000001</v>
      </c>
      <c r="K14" s="53">
        <v>344.5</v>
      </c>
      <c r="L14" s="53">
        <v>23.91</v>
      </c>
      <c r="M14" s="53">
        <v>102.7</v>
      </c>
      <c r="N14" s="53">
        <v>27.5</v>
      </c>
      <c r="O14" s="53">
        <v>0</v>
      </c>
      <c r="P14" s="53">
        <v>0.44</v>
      </c>
      <c r="Q14" s="53">
        <v>9.6</v>
      </c>
      <c r="R14" s="43"/>
      <c r="S14" s="43"/>
      <c r="T14" s="43"/>
      <c r="U14" s="43"/>
    </row>
    <row r="15" spans="1:21" s="11" customFormat="1" x14ac:dyDescent="0.25">
      <c r="A15" s="52" t="s">
        <v>426</v>
      </c>
      <c r="B15" s="53">
        <v>6.7</v>
      </c>
      <c r="C15" s="53">
        <v>5.59</v>
      </c>
      <c r="D15" s="53">
        <v>8.01</v>
      </c>
      <c r="E15" s="53">
        <v>4.51</v>
      </c>
      <c r="F15" s="53">
        <v>3.8</v>
      </c>
      <c r="G15" s="53">
        <v>33.19</v>
      </c>
      <c r="H15" s="53">
        <v>20.56</v>
      </c>
      <c r="I15" s="53">
        <v>3.21</v>
      </c>
      <c r="J15" s="53">
        <v>0.43</v>
      </c>
      <c r="K15" s="53">
        <v>131.02000000000001</v>
      </c>
      <c r="L15" s="53">
        <v>24.42</v>
      </c>
      <c r="M15" s="53">
        <v>102.72</v>
      </c>
      <c r="N15" s="53">
        <v>108.6</v>
      </c>
      <c r="O15" s="53">
        <v>0</v>
      </c>
      <c r="P15" s="53">
        <v>0.47</v>
      </c>
      <c r="Q15" s="53">
        <v>9.6199999999999992</v>
      </c>
      <c r="R15" s="43"/>
      <c r="S15" s="43"/>
      <c r="T15" s="43"/>
      <c r="U15" s="43"/>
    </row>
    <row r="16" spans="1:21" s="11" customFormat="1" x14ac:dyDescent="0.25">
      <c r="A16" s="52" t="s">
        <v>427</v>
      </c>
      <c r="B16" s="53">
        <v>7.55</v>
      </c>
      <c r="C16" s="53">
        <v>5.32</v>
      </c>
      <c r="D16" s="53">
        <v>8.7899999999999991</v>
      </c>
      <c r="E16" s="53">
        <v>5.01</v>
      </c>
      <c r="F16" s="53">
        <v>3.64</v>
      </c>
      <c r="G16" s="53">
        <v>38.78</v>
      </c>
      <c r="H16" s="53">
        <v>22.44</v>
      </c>
      <c r="I16" s="53">
        <v>3.09</v>
      </c>
      <c r="J16" s="53">
        <v>1.25</v>
      </c>
      <c r="K16" s="53">
        <v>345.48</v>
      </c>
      <c r="L16" s="53">
        <v>26.59</v>
      </c>
      <c r="M16" s="53">
        <v>99.17</v>
      </c>
      <c r="N16" s="53">
        <v>304.60000000000002</v>
      </c>
      <c r="O16" s="53">
        <v>0</v>
      </c>
      <c r="P16" s="53">
        <v>0.52</v>
      </c>
      <c r="Q16" s="53">
        <v>9.6199999999999992</v>
      </c>
      <c r="R16" s="43"/>
      <c r="S16" s="43"/>
      <c r="T16" s="43"/>
      <c r="U16" s="43"/>
    </row>
    <row r="17" spans="1:21" s="11" customFormat="1" x14ac:dyDescent="0.25">
      <c r="A17" s="52" t="s">
        <v>428</v>
      </c>
      <c r="B17" s="53">
        <v>7.03</v>
      </c>
      <c r="C17" s="53">
        <v>6.28</v>
      </c>
      <c r="D17" s="53">
        <v>8.6199999999999992</v>
      </c>
      <c r="E17" s="53">
        <v>5.19</v>
      </c>
      <c r="F17" s="53">
        <v>4.7699999999999996</v>
      </c>
      <c r="G17" s="53">
        <v>38.78</v>
      </c>
      <c r="H17" s="53">
        <v>22.44</v>
      </c>
      <c r="I17" s="53">
        <v>5.8</v>
      </c>
      <c r="J17" s="53">
        <v>1.55</v>
      </c>
      <c r="K17" s="53">
        <v>121.41</v>
      </c>
      <c r="L17" s="53">
        <v>28.02</v>
      </c>
      <c r="M17" s="53">
        <v>90.53</v>
      </c>
      <c r="N17" s="53">
        <v>475.2</v>
      </c>
      <c r="O17" s="53">
        <v>0</v>
      </c>
      <c r="P17" s="53">
        <v>0.45</v>
      </c>
      <c r="Q17" s="53">
        <v>9.6199999999999992</v>
      </c>
      <c r="R17" s="43"/>
      <c r="S17" s="43"/>
      <c r="T17" s="43"/>
      <c r="U17" s="43"/>
    </row>
    <row r="18" spans="1:21" s="11" customFormat="1" x14ac:dyDescent="0.25">
      <c r="A18" s="52" t="s">
        <v>429</v>
      </c>
      <c r="B18" s="53">
        <v>4.38</v>
      </c>
      <c r="C18" s="53">
        <v>6.65</v>
      </c>
      <c r="D18" s="53">
        <v>6.81</v>
      </c>
      <c r="E18" s="53">
        <v>5.27</v>
      </c>
      <c r="F18" s="53">
        <v>4.32</v>
      </c>
      <c r="G18" s="53">
        <v>37.86</v>
      </c>
      <c r="H18" s="53">
        <v>21.86</v>
      </c>
      <c r="I18" s="53">
        <v>5.37</v>
      </c>
      <c r="J18" s="53">
        <v>1.1499999999999999</v>
      </c>
      <c r="K18" s="53">
        <v>135.84</v>
      </c>
      <c r="L18" s="53">
        <v>28.41</v>
      </c>
      <c r="M18" s="53">
        <v>83.43</v>
      </c>
      <c r="N18" s="53">
        <v>528.5</v>
      </c>
      <c r="O18" s="53">
        <v>0</v>
      </c>
      <c r="P18" s="53">
        <v>0.43</v>
      </c>
      <c r="Q18" s="53">
        <v>9.61</v>
      </c>
      <c r="R18" s="43"/>
      <c r="S18" s="43"/>
      <c r="T18" s="43"/>
      <c r="U18" s="43"/>
    </row>
    <row r="19" spans="1:21" s="11" customFormat="1" x14ac:dyDescent="0.25">
      <c r="A19" s="52" t="s">
        <v>430</v>
      </c>
      <c r="B19" s="53">
        <v>1.82</v>
      </c>
      <c r="C19" s="53">
        <v>6.96</v>
      </c>
      <c r="D19" s="53">
        <v>4.84</v>
      </c>
      <c r="E19" s="53">
        <v>4.99</v>
      </c>
      <c r="F19" s="53">
        <v>7.16</v>
      </c>
      <c r="G19" s="53">
        <v>37.479999999999997</v>
      </c>
      <c r="H19" s="53">
        <v>21.4</v>
      </c>
      <c r="I19" s="53">
        <v>6.09</v>
      </c>
      <c r="J19" s="53">
        <v>1.17</v>
      </c>
      <c r="K19" s="53">
        <v>132.94</v>
      </c>
      <c r="L19" s="53">
        <v>29.72</v>
      </c>
      <c r="M19" s="53">
        <v>78.95</v>
      </c>
      <c r="N19" s="53">
        <v>665.4</v>
      </c>
      <c r="O19" s="53">
        <v>0</v>
      </c>
      <c r="P19" s="53">
        <v>0.4</v>
      </c>
      <c r="Q19" s="53">
        <v>9.6199999999999992</v>
      </c>
      <c r="R19" s="43"/>
      <c r="S19" s="43"/>
      <c r="T19" s="43"/>
      <c r="U19" s="43"/>
    </row>
    <row r="20" spans="1:21" s="11" customFormat="1" x14ac:dyDescent="0.25">
      <c r="A20" s="52" t="s">
        <v>431</v>
      </c>
      <c r="B20" s="53">
        <v>0.89</v>
      </c>
      <c r="C20" s="53">
        <v>7.48</v>
      </c>
      <c r="D20" s="53">
        <v>4.47</v>
      </c>
      <c r="E20" s="53">
        <v>6.37</v>
      </c>
      <c r="F20" s="53">
        <v>7.49</v>
      </c>
      <c r="G20" s="53">
        <v>25.02</v>
      </c>
      <c r="H20" s="53">
        <v>17.09</v>
      </c>
      <c r="I20" s="53">
        <v>3.96</v>
      </c>
      <c r="J20" s="53">
        <v>1.05</v>
      </c>
      <c r="K20" s="53">
        <v>163.85</v>
      </c>
      <c r="L20" s="53">
        <v>30.66</v>
      </c>
      <c r="M20" s="53">
        <v>70.27</v>
      </c>
      <c r="N20" s="53">
        <v>707.3</v>
      </c>
      <c r="O20" s="53">
        <v>0</v>
      </c>
      <c r="P20" s="53">
        <v>0.37</v>
      </c>
      <c r="Q20" s="53">
        <v>9.6300000000000008</v>
      </c>
      <c r="R20" s="43"/>
      <c r="S20" s="43"/>
      <c r="T20" s="43"/>
      <c r="U20" s="43"/>
    </row>
    <row r="21" spans="1:21" s="11" customFormat="1" x14ac:dyDescent="0.25">
      <c r="A21" s="52" t="s">
        <v>432</v>
      </c>
      <c r="B21" s="53">
        <v>0.68</v>
      </c>
      <c r="C21" s="53">
        <v>7.31</v>
      </c>
      <c r="D21" s="53">
        <v>4.34</v>
      </c>
      <c r="E21" s="53">
        <v>6</v>
      </c>
      <c r="F21" s="53">
        <v>4.99</v>
      </c>
      <c r="G21" s="53">
        <v>38.67</v>
      </c>
      <c r="H21" s="53">
        <v>17.09</v>
      </c>
      <c r="I21" s="53">
        <v>4.3</v>
      </c>
      <c r="J21" s="53">
        <v>1.1100000000000001</v>
      </c>
      <c r="K21" s="53">
        <v>125.57</v>
      </c>
      <c r="L21" s="53">
        <v>30.43</v>
      </c>
      <c r="M21" s="53">
        <v>69.08</v>
      </c>
      <c r="N21" s="53">
        <v>489.2</v>
      </c>
      <c r="O21" s="53">
        <v>0</v>
      </c>
      <c r="P21" s="53">
        <v>0.33</v>
      </c>
      <c r="Q21" s="53">
        <v>9.6199999999999992</v>
      </c>
      <c r="R21" s="43"/>
      <c r="S21" s="43"/>
      <c r="T21" s="43"/>
      <c r="U21" s="43"/>
    </row>
    <row r="22" spans="1:21" s="11" customFormat="1" x14ac:dyDescent="0.25">
      <c r="A22" s="52" t="s">
        <v>433</v>
      </c>
      <c r="B22" s="53">
        <v>0.39</v>
      </c>
      <c r="C22" s="53">
        <v>6.71</v>
      </c>
      <c r="D22" s="53">
        <v>3.76</v>
      </c>
      <c r="E22" s="53">
        <v>7.38</v>
      </c>
      <c r="F22" s="53">
        <v>5.62</v>
      </c>
      <c r="G22" s="53">
        <v>38.67</v>
      </c>
      <c r="H22" s="53">
        <v>15.8</v>
      </c>
      <c r="I22" s="53">
        <v>3.92</v>
      </c>
      <c r="J22" s="53">
        <v>1.2</v>
      </c>
      <c r="K22" s="53">
        <v>133.61000000000001</v>
      </c>
      <c r="L22" s="53">
        <v>30.56</v>
      </c>
      <c r="M22" s="53">
        <v>66.64</v>
      </c>
      <c r="N22" s="53">
        <v>343.9</v>
      </c>
      <c r="O22" s="53">
        <v>0</v>
      </c>
      <c r="P22" s="53">
        <v>0.34</v>
      </c>
      <c r="Q22" s="53">
        <v>9.61</v>
      </c>
      <c r="R22" s="43"/>
      <c r="S22" s="43"/>
      <c r="T22" s="43"/>
      <c r="U22" s="43"/>
    </row>
    <row r="23" spans="1:21" s="11" customFormat="1" x14ac:dyDescent="0.25">
      <c r="A23" s="52" t="s">
        <v>434</v>
      </c>
      <c r="B23" s="53">
        <v>0.44</v>
      </c>
      <c r="C23" s="53">
        <v>6.34</v>
      </c>
      <c r="D23" s="53">
        <v>3.53</v>
      </c>
      <c r="E23" s="53">
        <v>6.16</v>
      </c>
      <c r="F23" s="53">
        <v>5.78</v>
      </c>
      <c r="G23" s="53">
        <v>37.53</v>
      </c>
      <c r="H23" s="53">
        <v>18.649999999999999</v>
      </c>
      <c r="I23" s="53">
        <v>3.65</v>
      </c>
      <c r="J23" s="53">
        <v>1.21</v>
      </c>
      <c r="K23" s="53">
        <v>155.96</v>
      </c>
      <c r="L23" s="53">
        <v>30.53</v>
      </c>
      <c r="M23" s="53">
        <v>64.83</v>
      </c>
      <c r="N23" s="53">
        <v>222.8</v>
      </c>
      <c r="O23" s="53">
        <v>0</v>
      </c>
      <c r="P23" s="53">
        <v>0.34</v>
      </c>
      <c r="Q23" s="53">
        <v>9.61</v>
      </c>
      <c r="R23" s="43"/>
      <c r="S23" s="43"/>
      <c r="T23" s="43"/>
      <c r="U23" s="43"/>
    </row>
    <row r="24" spans="1:21" s="11" customFormat="1" x14ac:dyDescent="0.25">
      <c r="A24" s="52" t="s">
        <v>435</v>
      </c>
      <c r="B24" s="53">
        <v>0.7</v>
      </c>
      <c r="C24" s="53">
        <v>5.83</v>
      </c>
      <c r="D24" s="53">
        <v>3.43</v>
      </c>
      <c r="E24" s="53">
        <v>6</v>
      </c>
      <c r="F24" s="53">
        <v>6.67</v>
      </c>
      <c r="G24" s="53">
        <v>35.22</v>
      </c>
      <c r="H24" s="53">
        <v>18.649999999999999</v>
      </c>
      <c r="I24" s="53">
        <v>1.45</v>
      </c>
      <c r="J24" s="53">
        <v>1.43</v>
      </c>
      <c r="K24" s="53">
        <v>159.38</v>
      </c>
      <c r="L24" s="53">
        <v>30.58</v>
      </c>
      <c r="M24" s="53">
        <v>65.900000000000006</v>
      </c>
      <c r="N24" s="53">
        <v>163.19999999999999</v>
      </c>
      <c r="O24" s="53">
        <v>0</v>
      </c>
      <c r="P24" s="53">
        <v>0.35</v>
      </c>
      <c r="Q24" s="53">
        <v>9.61</v>
      </c>
      <c r="R24" s="43"/>
      <c r="S24" s="43"/>
      <c r="T24" s="43"/>
      <c r="U24" s="43"/>
    </row>
    <row r="25" spans="1:21" s="11" customFormat="1" x14ac:dyDescent="0.25">
      <c r="A25" s="52" t="s">
        <v>436</v>
      </c>
      <c r="B25" s="53">
        <v>0.14000000000000001</v>
      </c>
      <c r="C25" s="53">
        <v>6.48</v>
      </c>
      <c r="D25" s="53">
        <v>3.45</v>
      </c>
      <c r="E25" s="53">
        <v>4.8099999999999996</v>
      </c>
      <c r="F25" s="53">
        <v>6.33</v>
      </c>
      <c r="G25" s="53">
        <v>31.19</v>
      </c>
      <c r="H25" s="53">
        <v>15.74</v>
      </c>
      <c r="I25" s="53">
        <v>2.35</v>
      </c>
      <c r="J25" s="53">
        <v>1.3</v>
      </c>
      <c r="K25" s="53">
        <v>115.66</v>
      </c>
      <c r="L25" s="53">
        <v>29.53</v>
      </c>
      <c r="M25" s="53">
        <v>67.64</v>
      </c>
      <c r="N25" s="53">
        <v>88.7</v>
      </c>
      <c r="O25" s="53">
        <v>0</v>
      </c>
      <c r="P25" s="53">
        <v>0.28999999999999998</v>
      </c>
      <c r="Q25" s="53">
        <v>9.61</v>
      </c>
      <c r="R25" s="43"/>
      <c r="S25" s="43"/>
      <c r="T25" s="43"/>
      <c r="U25" s="43"/>
    </row>
    <row r="26" spans="1:21" s="11" customFormat="1" x14ac:dyDescent="0.25">
      <c r="A26" s="52" t="s">
        <v>437</v>
      </c>
      <c r="B26" s="53">
        <v>1.1399999999999999</v>
      </c>
      <c r="C26" s="53">
        <v>6.64</v>
      </c>
      <c r="D26" s="53">
        <v>4.38</v>
      </c>
      <c r="E26" s="53">
        <v>4.67</v>
      </c>
      <c r="F26" s="53">
        <v>4.74</v>
      </c>
      <c r="G26" s="53">
        <v>28.62</v>
      </c>
      <c r="H26" s="53">
        <v>16.75</v>
      </c>
      <c r="I26" s="53">
        <v>2.97</v>
      </c>
      <c r="J26" s="53">
        <v>1.06</v>
      </c>
      <c r="K26" s="53">
        <v>120.17</v>
      </c>
      <c r="L26" s="53">
        <v>28.5</v>
      </c>
      <c r="M26" s="53">
        <v>79.290000000000006</v>
      </c>
      <c r="N26" s="53">
        <v>45.2</v>
      </c>
      <c r="O26" s="53">
        <v>0</v>
      </c>
      <c r="P26" s="53">
        <v>0.38</v>
      </c>
      <c r="Q26" s="53">
        <v>9.61</v>
      </c>
      <c r="R26" s="43"/>
      <c r="S26" s="43"/>
      <c r="T26" s="43"/>
      <c r="U26" s="43"/>
    </row>
    <row r="27" spans="1:21" s="11" customFormat="1" x14ac:dyDescent="0.25">
      <c r="A27" s="52" t="s">
        <v>438</v>
      </c>
      <c r="B27" s="53">
        <v>1.38</v>
      </c>
      <c r="C27" s="53">
        <v>6.95</v>
      </c>
      <c r="D27" s="53">
        <v>4.6500000000000004</v>
      </c>
      <c r="E27" s="53">
        <v>4.55</v>
      </c>
      <c r="F27" s="53">
        <v>4.04</v>
      </c>
      <c r="G27" s="53">
        <v>30.76</v>
      </c>
      <c r="H27" s="53">
        <v>16.75</v>
      </c>
      <c r="I27" s="53">
        <v>2.57</v>
      </c>
      <c r="J27" s="53">
        <v>0.74</v>
      </c>
      <c r="K27" s="53">
        <v>119.26</v>
      </c>
      <c r="L27" s="53">
        <v>27.92</v>
      </c>
      <c r="M27" s="53">
        <v>78.09</v>
      </c>
      <c r="N27" s="53">
        <v>26.1</v>
      </c>
      <c r="O27" s="53">
        <v>0</v>
      </c>
      <c r="P27" s="53">
        <v>0.63</v>
      </c>
      <c r="Q27" s="53">
        <v>9.6199999999999992</v>
      </c>
      <c r="R27" s="43"/>
      <c r="S27" s="43"/>
      <c r="T27" s="43"/>
      <c r="U27" s="43"/>
    </row>
    <row r="28" spans="1:21" s="11" customFormat="1" x14ac:dyDescent="0.25">
      <c r="A28" s="52" t="s">
        <v>439</v>
      </c>
      <c r="B28" s="53">
        <v>1.81</v>
      </c>
      <c r="C28" s="53">
        <v>6.52</v>
      </c>
      <c r="D28" s="53">
        <v>4.8</v>
      </c>
      <c r="E28" s="53">
        <v>5.29</v>
      </c>
      <c r="F28" s="53">
        <v>5.0599999999999996</v>
      </c>
      <c r="G28" s="53">
        <v>32.97</v>
      </c>
      <c r="H28" s="53">
        <v>16.260000000000002</v>
      </c>
      <c r="I28" s="53">
        <v>2.14</v>
      </c>
      <c r="J28" s="53">
        <v>0.96</v>
      </c>
      <c r="K28" s="53">
        <v>323.05</v>
      </c>
      <c r="L28" s="53">
        <v>27.47</v>
      </c>
      <c r="M28" s="53">
        <v>87.14</v>
      </c>
      <c r="N28" s="53">
        <v>26.1</v>
      </c>
      <c r="O28" s="53">
        <v>0</v>
      </c>
      <c r="P28" s="53">
        <v>0.8</v>
      </c>
      <c r="Q28" s="53">
        <v>9.6199999999999992</v>
      </c>
      <c r="R28" s="43"/>
      <c r="S28" s="43"/>
      <c r="T28" s="43"/>
      <c r="U28" s="43"/>
    </row>
    <row r="29" spans="1:21" s="11" customFormat="1" x14ac:dyDescent="0.25">
      <c r="A29" s="52" t="s">
        <v>440</v>
      </c>
      <c r="B29" s="53">
        <v>4.0599999999999996</v>
      </c>
      <c r="C29" s="53">
        <v>7.67</v>
      </c>
      <c r="D29" s="53">
        <v>7.26</v>
      </c>
      <c r="E29" s="53">
        <v>6.05</v>
      </c>
      <c r="F29" s="53">
        <v>3.8</v>
      </c>
      <c r="G29" s="53">
        <v>38.1</v>
      </c>
      <c r="H29" s="53">
        <v>18.07</v>
      </c>
      <c r="I29" s="53">
        <v>2.79</v>
      </c>
      <c r="J29" s="53">
        <v>0.65</v>
      </c>
      <c r="K29" s="53">
        <v>136.84</v>
      </c>
      <c r="L29" s="53">
        <v>26.97</v>
      </c>
      <c r="M29" s="53">
        <v>90.25</v>
      </c>
      <c r="N29" s="53">
        <v>26.1</v>
      </c>
      <c r="O29" s="53">
        <v>0</v>
      </c>
      <c r="P29" s="53">
        <v>0.84</v>
      </c>
      <c r="Q29" s="53">
        <v>9.6199999999999992</v>
      </c>
      <c r="R29" s="43"/>
      <c r="S29" s="43"/>
      <c r="T29" s="43"/>
      <c r="U29" s="43"/>
    </row>
    <row r="30" spans="1:21" s="11" customFormat="1" x14ac:dyDescent="0.25">
      <c r="A30" s="52" t="s">
        <v>441</v>
      </c>
      <c r="B30" s="53">
        <v>6.17</v>
      </c>
      <c r="C30" s="53">
        <v>8.14</v>
      </c>
      <c r="D30" s="53">
        <v>9.16</v>
      </c>
      <c r="E30" s="53">
        <v>6.08</v>
      </c>
      <c r="F30" s="53">
        <v>4</v>
      </c>
      <c r="G30" s="53">
        <v>46.88</v>
      </c>
      <c r="H30" s="53">
        <v>21.54</v>
      </c>
      <c r="I30" s="53">
        <v>3.53</v>
      </c>
      <c r="J30" s="53">
        <v>0.48</v>
      </c>
      <c r="K30" s="53">
        <v>270.64</v>
      </c>
      <c r="L30" s="53">
        <v>26.62</v>
      </c>
      <c r="M30" s="53">
        <v>91.07</v>
      </c>
      <c r="N30" s="53">
        <v>26.1</v>
      </c>
      <c r="O30" s="53">
        <v>0</v>
      </c>
      <c r="P30" s="53">
        <v>0.65</v>
      </c>
      <c r="Q30" s="53">
        <v>9.6199999999999992</v>
      </c>
      <c r="R30" s="43"/>
      <c r="S30" s="43"/>
      <c r="T30" s="43"/>
      <c r="U30" s="43"/>
    </row>
    <row r="31" spans="1:21" s="11" customFormat="1" x14ac:dyDescent="0.25">
      <c r="A31" s="52" t="s">
        <v>442</v>
      </c>
      <c r="B31" s="53">
        <v>7.54</v>
      </c>
      <c r="C31" s="53">
        <v>8.5</v>
      </c>
      <c r="D31" s="53">
        <v>10.27</v>
      </c>
      <c r="E31" s="53">
        <v>6.14</v>
      </c>
      <c r="F31" s="53">
        <v>4.03</v>
      </c>
      <c r="G31" s="53">
        <v>46.88</v>
      </c>
      <c r="H31" s="53">
        <v>22.78</v>
      </c>
      <c r="I31" s="53">
        <v>3.41</v>
      </c>
      <c r="J31" s="53">
        <v>1.26</v>
      </c>
      <c r="K31" s="53">
        <v>118.78</v>
      </c>
      <c r="L31" s="53">
        <v>26.31</v>
      </c>
      <c r="M31" s="53">
        <v>92.91</v>
      </c>
      <c r="N31" s="53">
        <v>26.1</v>
      </c>
      <c r="O31" s="53">
        <v>0</v>
      </c>
      <c r="P31" s="53">
        <v>0.63</v>
      </c>
      <c r="Q31" s="53">
        <v>9.61</v>
      </c>
      <c r="R31" s="43"/>
      <c r="S31" s="43"/>
      <c r="T31" s="43"/>
      <c r="U31" s="43"/>
    </row>
    <row r="32" spans="1:21" s="11" customFormat="1" x14ac:dyDescent="0.25">
      <c r="A32" s="52" t="s">
        <v>443</v>
      </c>
      <c r="B32" s="53">
        <v>7.17</v>
      </c>
      <c r="C32" s="53">
        <v>7.6</v>
      </c>
      <c r="D32" s="53">
        <v>9.7200000000000006</v>
      </c>
      <c r="E32" s="53">
        <v>5.63</v>
      </c>
      <c r="F32" s="53">
        <v>3.97</v>
      </c>
      <c r="G32" s="53">
        <v>45.37</v>
      </c>
      <c r="H32" s="53">
        <v>22.78</v>
      </c>
      <c r="I32" s="53">
        <v>2.4900000000000002</v>
      </c>
      <c r="J32" s="53">
        <v>1.01</v>
      </c>
      <c r="K32" s="53">
        <v>117.77</v>
      </c>
      <c r="L32" s="53">
        <v>25.89</v>
      </c>
      <c r="M32" s="53">
        <v>93.36</v>
      </c>
      <c r="N32" s="53">
        <v>26.1</v>
      </c>
      <c r="O32" s="53">
        <v>0</v>
      </c>
      <c r="P32" s="53">
        <v>0.49</v>
      </c>
      <c r="Q32" s="53">
        <v>9.6199999999999992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0.14000000000000001</v>
      </c>
      <c r="C34" s="28">
        <f t="shared" si="0"/>
        <v>4.2300000000000004</v>
      </c>
      <c r="D34" s="28">
        <f t="shared" si="0"/>
        <v>3.43</v>
      </c>
      <c r="E34" s="28">
        <f t="shared" si="0"/>
        <v>4.25</v>
      </c>
      <c r="F34" s="28">
        <f t="shared" si="0"/>
        <v>3.55</v>
      </c>
      <c r="G34" s="28">
        <f t="shared" si="0"/>
        <v>25.02</v>
      </c>
      <c r="H34" s="28">
        <f t="shared" si="0"/>
        <v>15.74</v>
      </c>
      <c r="I34" s="28">
        <f t="shared" si="0"/>
        <v>1.01</v>
      </c>
      <c r="J34" s="28">
        <f t="shared" si="0"/>
        <v>0.43</v>
      </c>
      <c r="K34" s="28">
        <f t="shared" si="0"/>
        <v>115.66</v>
      </c>
      <c r="L34" s="28">
        <f t="shared" si="0"/>
        <v>23.9</v>
      </c>
      <c r="M34" s="28">
        <f t="shared" si="0"/>
        <v>64.83</v>
      </c>
      <c r="N34" s="28">
        <f t="shared" si="0"/>
        <v>26</v>
      </c>
      <c r="O34" s="28">
        <f t="shared" si="0"/>
        <v>0</v>
      </c>
      <c r="P34" s="28">
        <f t="shared" si="0"/>
        <v>0.28999999999999998</v>
      </c>
      <c r="Q34" s="28">
        <f t="shared" si="0"/>
        <v>9.6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7.55</v>
      </c>
      <c r="C35" s="29">
        <f t="shared" si="1"/>
        <v>8.5</v>
      </c>
      <c r="D35" s="29">
        <f t="shared" si="1"/>
        <v>10.27</v>
      </c>
      <c r="E35" s="29">
        <f t="shared" si="1"/>
        <v>7.38</v>
      </c>
      <c r="F35" s="29">
        <f t="shared" si="1"/>
        <v>7.49</v>
      </c>
      <c r="G35" s="29">
        <f t="shared" si="1"/>
        <v>46.88</v>
      </c>
      <c r="H35" s="29">
        <f t="shared" si="1"/>
        <v>22.96</v>
      </c>
      <c r="I35" s="29">
        <f t="shared" si="1"/>
        <v>6.09</v>
      </c>
      <c r="J35" s="29">
        <f t="shared" si="1"/>
        <v>1.55</v>
      </c>
      <c r="K35" s="29">
        <f t="shared" si="1"/>
        <v>345.48</v>
      </c>
      <c r="L35" s="29">
        <f t="shared" si="1"/>
        <v>30.66</v>
      </c>
      <c r="M35" s="29">
        <f t="shared" si="1"/>
        <v>102.72</v>
      </c>
      <c r="N35" s="29">
        <f t="shared" si="1"/>
        <v>707.3</v>
      </c>
      <c r="O35" s="29">
        <f t="shared" si="1"/>
        <v>0</v>
      </c>
      <c r="P35" s="29">
        <f t="shared" si="1"/>
        <v>0.84</v>
      </c>
      <c r="Q35" s="29">
        <f t="shared" si="1"/>
        <v>9.6300000000000008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3.3929166666666677</v>
      </c>
      <c r="C36" s="28">
        <f t="shared" si="2"/>
        <v>6.5149999999999997</v>
      </c>
      <c r="D36" s="28">
        <f t="shared" si="2"/>
        <v>6.0258333333333338</v>
      </c>
      <c r="E36" s="28">
        <f t="shared" si="2"/>
        <v>5.3049999999999988</v>
      </c>
      <c r="F36" s="28">
        <f t="shared" si="2"/>
        <v>4.7595833333333335</v>
      </c>
      <c r="G36" s="28">
        <f t="shared" si="2"/>
        <v>35.784583333333337</v>
      </c>
      <c r="H36" s="28">
        <f t="shared" si="2"/>
        <v>19.85083333333333</v>
      </c>
      <c r="I36" s="28">
        <f t="shared" si="2"/>
        <v>3.36</v>
      </c>
      <c r="J36" s="28">
        <f t="shared" si="2"/>
        <v>0.94874999999999998</v>
      </c>
      <c r="K36" s="28">
        <f t="shared" si="2"/>
        <v>192.60083333333338</v>
      </c>
      <c r="L36" s="28">
        <f t="shared" si="2"/>
        <v>27.348749999999999</v>
      </c>
      <c r="M36" s="28">
        <f t="shared" si="2"/>
        <v>86.433750000000018</v>
      </c>
      <c r="N36" s="28">
        <f t="shared" si="2"/>
        <v>185.72083333333342</v>
      </c>
      <c r="O36" s="28">
        <f t="shared" si="2"/>
        <v>0</v>
      </c>
      <c r="P36" s="28">
        <f t="shared" si="2"/>
        <v>0.46791666666666676</v>
      </c>
      <c r="Q36" s="28">
        <f t="shared" si="2"/>
        <v>9.6166666666666689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2.5812475567592044</v>
      </c>
      <c r="C37" s="28">
        <f t="shared" ref="C37:Q37" si="3">STDEV(C9:C32)</f>
        <v>1.0484771565590265</v>
      </c>
      <c r="D37" s="28">
        <f t="shared" si="3"/>
        <v>2.1783338600400772</v>
      </c>
      <c r="E37" s="28">
        <f t="shared" si="3"/>
        <v>0.80537865790490692</v>
      </c>
      <c r="F37" s="28">
        <f t="shared" si="3"/>
        <v>1.1713740692643544</v>
      </c>
      <c r="G37" s="28">
        <f t="shared" si="3"/>
        <v>5.6569218693766343</v>
      </c>
      <c r="H37" s="28">
        <f t="shared" si="3"/>
        <v>2.6118790781429277</v>
      </c>
      <c r="I37" s="28">
        <f t="shared" si="3"/>
        <v>1.206464471809731</v>
      </c>
      <c r="J37" s="28">
        <f t="shared" si="3"/>
        <v>0.34381886661944289</v>
      </c>
      <c r="K37" s="28">
        <f t="shared" si="3"/>
        <v>87.861843769520831</v>
      </c>
      <c r="L37" s="28">
        <f t="shared" si="3"/>
        <v>2.3597021044485955</v>
      </c>
      <c r="M37" s="28">
        <f t="shared" si="3"/>
        <v>13.51914932122448</v>
      </c>
      <c r="N37" s="28">
        <f t="shared" si="3"/>
        <v>226.2110287919256</v>
      </c>
      <c r="O37" s="28">
        <f t="shared" si="3"/>
        <v>0</v>
      </c>
      <c r="P37" s="28">
        <f t="shared" si="3"/>
        <v>0.14500312340464039</v>
      </c>
      <c r="Q37" s="28">
        <f t="shared" si="3"/>
        <v>7.0196411816304824E-3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17/10/2024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6"/>
      <c r="B8" s="57" t="s">
        <v>22</v>
      </c>
      <c r="C8" s="57" t="s">
        <v>22</v>
      </c>
      <c r="D8" s="29" t="s">
        <v>42</v>
      </c>
      <c r="E8" s="57" t="s">
        <v>22</v>
      </c>
      <c r="F8" s="57" t="s">
        <v>22</v>
      </c>
      <c r="G8" s="57" t="s">
        <v>23</v>
      </c>
      <c r="H8" s="57" t="s">
        <v>22</v>
      </c>
      <c r="I8" s="57" t="s">
        <v>22</v>
      </c>
      <c r="J8" s="57" t="s">
        <v>24</v>
      </c>
      <c r="K8" s="57" t="s">
        <v>25</v>
      </c>
      <c r="L8" s="56" t="s">
        <v>27</v>
      </c>
      <c r="M8" s="57" t="s">
        <v>26</v>
      </c>
      <c r="N8" s="57" t="s">
        <v>28</v>
      </c>
      <c r="O8" s="56" t="s">
        <v>29</v>
      </c>
      <c r="P8" s="57" t="s">
        <v>22</v>
      </c>
      <c r="Q8" s="57" t="s">
        <v>22</v>
      </c>
      <c r="R8" s="27"/>
      <c r="S8" s="29"/>
      <c r="T8" s="27"/>
      <c r="U8" s="27"/>
    </row>
    <row r="9" spans="1:21" s="11" customFormat="1" x14ac:dyDescent="0.25">
      <c r="A9" s="52" t="s">
        <v>444</v>
      </c>
      <c r="B9" s="53">
        <v>5.47</v>
      </c>
      <c r="C9" s="53">
        <v>6.34</v>
      </c>
      <c r="D9" s="53">
        <v>7.7</v>
      </c>
      <c r="E9" s="53">
        <v>5.19</v>
      </c>
      <c r="F9" s="53">
        <v>4.21</v>
      </c>
      <c r="G9" s="53">
        <v>45.19</v>
      </c>
      <c r="H9" s="53">
        <v>19.55</v>
      </c>
      <c r="I9" s="53">
        <v>2.2000000000000002</v>
      </c>
      <c r="J9" s="53">
        <v>1.04</v>
      </c>
      <c r="K9" s="53">
        <v>122.9</v>
      </c>
      <c r="L9" s="53">
        <v>25.66</v>
      </c>
      <c r="M9" s="53">
        <v>96.22</v>
      </c>
      <c r="N9" s="53">
        <v>26.1</v>
      </c>
      <c r="O9" s="53">
        <v>0</v>
      </c>
      <c r="P9" s="53">
        <v>0.52</v>
      </c>
      <c r="Q9" s="53">
        <v>9.6199999999999992</v>
      </c>
      <c r="R9" s="43"/>
      <c r="S9" s="43"/>
      <c r="T9" s="43"/>
      <c r="U9" s="43"/>
    </row>
    <row r="10" spans="1:21" s="11" customFormat="1" x14ac:dyDescent="0.25">
      <c r="A10" s="52" t="s">
        <v>445</v>
      </c>
      <c r="B10" s="53">
        <v>3.92</v>
      </c>
      <c r="C10" s="53">
        <v>5.8</v>
      </c>
      <c r="D10" s="53">
        <v>6.16</v>
      </c>
      <c r="E10" s="53">
        <v>4.96</v>
      </c>
      <c r="F10" s="53">
        <v>4.04</v>
      </c>
      <c r="G10" s="53">
        <v>40.65</v>
      </c>
      <c r="H10" s="53">
        <v>25.44</v>
      </c>
      <c r="I10" s="53">
        <v>4.83</v>
      </c>
      <c r="J10" s="53">
        <v>1.48</v>
      </c>
      <c r="K10" s="53">
        <v>118.97</v>
      </c>
      <c r="L10" s="53">
        <v>25.34</v>
      </c>
      <c r="M10" s="53">
        <v>95.03</v>
      </c>
      <c r="N10" s="53">
        <v>26.1</v>
      </c>
      <c r="O10" s="53">
        <v>0</v>
      </c>
      <c r="P10" s="53">
        <v>0.48</v>
      </c>
      <c r="Q10" s="53">
        <v>9.6300000000000008</v>
      </c>
      <c r="R10" s="43"/>
      <c r="S10" s="43"/>
      <c r="T10" s="43"/>
      <c r="U10" s="43"/>
    </row>
    <row r="11" spans="1:21" s="11" customFormat="1" x14ac:dyDescent="0.25">
      <c r="A11" s="52" t="s">
        <v>446</v>
      </c>
      <c r="B11" s="53">
        <v>2.36</v>
      </c>
      <c r="C11" s="53">
        <v>5.03</v>
      </c>
      <c r="D11" s="53">
        <v>4.4800000000000004</v>
      </c>
      <c r="E11" s="53">
        <v>4.62</v>
      </c>
      <c r="F11" s="53">
        <v>4.2300000000000004</v>
      </c>
      <c r="G11" s="53">
        <v>40.65</v>
      </c>
      <c r="H11" s="53">
        <v>25.44</v>
      </c>
      <c r="I11" s="53">
        <v>4.51</v>
      </c>
      <c r="J11" s="53">
        <v>1.18</v>
      </c>
      <c r="K11" s="53">
        <v>113.81</v>
      </c>
      <c r="L11" s="53">
        <v>24.97</v>
      </c>
      <c r="M11" s="53">
        <v>95.69</v>
      </c>
      <c r="N11" s="53">
        <v>26.1</v>
      </c>
      <c r="O11" s="53">
        <v>0</v>
      </c>
      <c r="P11" s="53">
        <v>0.45</v>
      </c>
      <c r="Q11" s="53">
        <v>9.6300000000000008</v>
      </c>
      <c r="R11" s="43"/>
      <c r="S11" s="43"/>
      <c r="T11" s="43"/>
      <c r="U11" s="43"/>
    </row>
    <row r="12" spans="1:21" s="11" customFormat="1" x14ac:dyDescent="0.25">
      <c r="A12" s="52" t="s">
        <v>447</v>
      </c>
      <c r="B12" s="53">
        <v>1.69</v>
      </c>
      <c r="C12" s="53">
        <v>4.4000000000000004</v>
      </c>
      <c r="D12" s="53">
        <v>3.65</v>
      </c>
      <c r="E12" s="53">
        <v>4.53</v>
      </c>
      <c r="F12" s="53">
        <v>3.68</v>
      </c>
      <c r="G12" s="53">
        <v>33.630000000000003</v>
      </c>
      <c r="H12" s="53">
        <v>20.190000000000001</v>
      </c>
      <c r="I12" s="53">
        <v>3.27</v>
      </c>
      <c r="J12" s="53">
        <v>0.96</v>
      </c>
      <c r="K12" s="53">
        <v>121.52</v>
      </c>
      <c r="L12" s="53">
        <v>24.67</v>
      </c>
      <c r="M12" s="53">
        <v>96.19</v>
      </c>
      <c r="N12" s="53">
        <v>26</v>
      </c>
      <c r="O12" s="53">
        <v>0</v>
      </c>
      <c r="P12" s="53">
        <v>0.32</v>
      </c>
      <c r="Q12" s="53">
        <v>9.6199999999999992</v>
      </c>
      <c r="R12" s="43"/>
      <c r="S12" s="43"/>
      <c r="T12" s="43"/>
      <c r="U12" s="43"/>
    </row>
    <row r="13" spans="1:21" s="11" customFormat="1" x14ac:dyDescent="0.25">
      <c r="A13" s="52" t="s">
        <v>448</v>
      </c>
      <c r="B13" s="53">
        <v>1.87</v>
      </c>
      <c r="C13" s="53">
        <v>4.32</v>
      </c>
      <c r="D13" s="53">
        <v>3.76</v>
      </c>
      <c r="E13" s="53">
        <v>5.17</v>
      </c>
      <c r="F13" s="53">
        <v>3.73</v>
      </c>
      <c r="G13" s="53">
        <v>32.700000000000003</v>
      </c>
      <c r="H13" s="53">
        <v>17.16</v>
      </c>
      <c r="I13" s="53">
        <v>2.78</v>
      </c>
      <c r="J13" s="53">
        <v>1.31</v>
      </c>
      <c r="K13" s="53">
        <v>264.79000000000002</v>
      </c>
      <c r="L13" s="53">
        <v>24.51</v>
      </c>
      <c r="M13" s="53">
        <v>100.34</v>
      </c>
      <c r="N13" s="53">
        <v>26.4</v>
      </c>
      <c r="O13" s="53">
        <v>0</v>
      </c>
      <c r="P13" s="53">
        <v>0.35</v>
      </c>
      <c r="Q13" s="53">
        <v>9.6199999999999992</v>
      </c>
      <c r="R13" s="43"/>
      <c r="S13" s="43"/>
      <c r="T13" s="43"/>
      <c r="U13" s="43"/>
    </row>
    <row r="14" spans="1:21" s="11" customFormat="1" x14ac:dyDescent="0.25">
      <c r="A14" s="52" t="s">
        <v>449</v>
      </c>
      <c r="B14" s="53">
        <v>3.27</v>
      </c>
      <c r="C14" s="53">
        <v>5.03</v>
      </c>
      <c r="D14" s="53">
        <v>5.24</v>
      </c>
      <c r="E14" s="53">
        <v>5.66</v>
      </c>
      <c r="F14" s="53">
        <v>4.1399999999999997</v>
      </c>
      <c r="G14" s="53">
        <v>29.23</v>
      </c>
      <c r="H14" s="53">
        <v>19.57</v>
      </c>
      <c r="I14" s="53">
        <v>3.98</v>
      </c>
      <c r="J14" s="53">
        <v>1.27</v>
      </c>
      <c r="K14" s="53">
        <v>129.86000000000001</v>
      </c>
      <c r="L14" s="53">
        <v>24</v>
      </c>
      <c r="M14" s="53">
        <v>102.17</v>
      </c>
      <c r="N14" s="53">
        <v>27.5</v>
      </c>
      <c r="O14" s="53">
        <v>0</v>
      </c>
      <c r="P14" s="53">
        <v>0.37</v>
      </c>
      <c r="Q14" s="53">
        <v>9.6199999999999992</v>
      </c>
      <c r="R14" s="43"/>
      <c r="S14" s="43"/>
      <c r="T14" s="43"/>
      <c r="U14" s="43"/>
    </row>
    <row r="15" spans="1:21" s="11" customFormat="1" x14ac:dyDescent="0.25">
      <c r="A15" s="52" t="s">
        <v>450</v>
      </c>
      <c r="B15" s="53">
        <v>6.7</v>
      </c>
      <c r="C15" s="53">
        <v>5.61</v>
      </c>
      <c r="D15" s="53">
        <v>8.3000000000000007</v>
      </c>
      <c r="E15" s="53">
        <v>5.37</v>
      </c>
      <c r="F15" s="53">
        <v>3.96</v>
      </c>
      <c r="G15" s="53">
        <v>29.23</v>
      </c>
      <c r="H15" s="53">
        <v>19.57</v>
      </c>
      <c r="I15" s="53">
        <v>4.03</v>
      </c>
      <c r="J15" s="53">
        <v>0.25</v>
      </c>
      <c r="K15" s="53">
        <v>87.18</v>
      </c>
      <c r="L15" s="53">
        <v>25.2</v>
      </c>
      <c r="M15" s="53">
        <v>102.27</v>
      </c>
      <c r="N15" s="53">
        <v>123.6</v>
      </c>
      <c r="O15" s="53">
        <v>0</v>
      </c>
      <c r="P15" s="53">
        <v>0.48</v>
      </c>
      <c r="Q15" s="53">
        <v>9.6</v>
      </c>
      <c r="R15" s="43"/>
      <c r="S15" s="43"/>
      <c r="T15" s="43"/>
      <c r="U15" s="43"/>
    </row>
    <row r="16" spans="1:21" s="11" customFormat="1" x14ac:dyDescent="0.25">
      <c r="A16" s="52" t="s">
        <v>451</v>
      </c>
      <c r="B16" s="53">
        <v>10.77</v>
      </c>
      <c r="C16" s="53">
        <v>5.73</v>
      </c>
      <c r="D16" s="53">
        <v>11.6</v>
      </c>
      <c r="E16" s="53">
        <v>5.69</v>
      </c>
      <c r="F16" s="53">
        <v>3.93</v>
      </c>
      <c r="G16" s="53">
        <v>31.58</v>
      </c>
      <c r="H16" s="53">
        <v>17.28</v>
      </c>
      <c r="I16" s="53">
        <v>3.49</v>
      </c>
      <c r="J16" s="53">
        <v>0.95</v>
      </c>
      <c r="K16" s="53">
        <v>112.76</v>
      </c>
      <c r="L16" s="53">
        <v>27.67</v>
      </c>
      <c r="M16" s="53">
        <v>92.06</v>
      </c>
      <c r="N16" s="53">
        <v>330.5</v>
      </c>
      <c r="O16" s="53">
        <v>0</v>
      </c>
      <c r="P16" s="53">
        <v>0.49</v>
      </c>
      <c r="Q16" s="53">
        <v>9.6199999999999992</v>
      </c>
      <c r="R16" s="43"/>
      <c r="S16" s="43"/>
      <c r="T16" s="43"/>
      <c r="U16" s="43"/>
    </row>
    <row r="17" spans="1:21" s="11" customFormat="1" x14ac:dyDescent="0.25">
      <c r="A17" s="52" t="s">
        <v>452</v>
      </c>
      <c r="B17" s="53">
        <v>10.81</v>
      </c>
      <c r="C17" s="53">
        <v>6.23</v>
      </c>
      <c r="D17" s="53">
        <v>11.77</v>
      </c>
      <c r="E17" s="53">
        <v>4.57</v>
      </c>
      <c r="F17" s="53">
        <v>3.6</v>
      </c>
      <c r="G17" s="53">
        <v>33.340000000000003</v>
      </c>
      <c r="H17" s="53">
        <v>17.28</v>
      </c>
      <c r="I17" s="53">
        <v>3.84</v>
      </c>
      <c r="J17" s="53">
        <v>0.69</v>
      </c>
      <c r="K17" s="53">
        <v>114.35</v>
      </c>
      <c r="L17" s="53">
        <v>29.92</v>
      </c>
      <c r="M17" s="53">
        <v>78.08</v>
      </c>
      <c r="N17" s="53">
        <v>534.20000000000005</v>
      </c>
      <c r="O17" s="53">
        <v>0</v>
      </c>
      <c r="P17" s="53">
        <v>0.5</v>
      </c>
      <c r="Q17" s="53">
        <v>9.6300000000000008</v>
      </c>
      <c r="R17" s="43"/>
      <c r="S17" s="43"/>
      <c r="T17" s="43"/>
      <c r="U17" s="43"/>
    </row>
    <row r="18" spans="1:21" s="11" customFormat="1" x14ac:dyDescent="0.25">
      <c r="A18" s="52" t="s">
        <v>453</v>
      </c>
      <c r="B18" s="53">
        <v>9.8000000000000007</v>
      </c>
      <c r="C18" s="53">
        <v>7.08</v>
      </c>
      <c r="D18" s="53">
        <v>11.37</v>
      </c>
      <c r="E18" s="53">
        <v>4.22</v>
      </c>
      <c r="F18" s="53">
        <v>4.43</v>
      </c>
      <c r="G18" s="53">
        <v>33.340000000000003</v>
      </c>
      <c r="H18" s="53">
        <v>16.11</v>
      </c>
      <c r="I18" s="53">
        <v>5.43</v>
      </c>
      <c r="J18" s="53">
        <v>0.47</v>
      </c>
      <c r="K18" s="53">
        <v>342.17</v>
      </c>
      <c r="L18" s="53">
        <v>30.48</v>
      </c>
      <c r="M18" s="53">
        <v>76.95</v>
      </c>
      <c r="N18" s="53">
        <v>709.9</v>
      </c>
      <c r="O18" s="53">
        <v>0</v>
      </c>
      <c r="P18" s="53">
        <v>0.44</v>
      </c>
      <c r="Q18" s="53">
        <v>9.61</v>
      </c>
      <c r="R18" s="43"/>
      <c r="S18" s="43"/>
      <c r="T18" s="43"/>
      <c r="U18" s="43"/>
    </row>
    <row r="19" spans="1:21" s="11" customFormat="1" x14ac:dyDescent="0.25">
      <c r="A19" s="52" t="s">
        <v>454</v>
      </c>
      <c r="B19" s="53">
        <v>6.54</v>
      </c>
      <c r="C19" s="53">
        <v>8.1300000000000008</v>
      </c>
      <c r="D19" s="53">
        <v>9.01</v>
      </c>
      <c r="E19" s="53">
        <v>4.03</v>
      </c>
      <c r="F19" s="53">
        <v>4.29</v>
      </c>
      <c r="G19" s="53">
        <v>29.76</v>
      </c>
      <c r="H19" s="53">
        <v>14.2</v>
      </c>
      <c r="I19" s="53">
        <v>5.83</v>
      </c>
      <c r="J19" s="53">
        <v>0.97</v>
      </c>
      <c r="K19" s="53">
        <v>147.93</v>
      </c>
      <c r="L19" s="53">
        <v>32.03</v>
      </c>
      <c r="M19" s="53">
        <v>65.819999999999993</v>
      </c>
      <c r="N19" s="53">
        <v>825.4</v>
      </c>
      <c r="O19" s="53">
        <v>0</v>
      </c>
      <c r="P19" s="53">
        <v>0.44</v>
      </c>
      <c r="Q19" s="53">
        <v>9.6199999999999992</v>
      </c>
      <c r="R19" s="43"/>
      <c r="S19" s="43"/>
      <c r="T19" s="43"/>
      <c r="U19" s="43"/>
    </row>
    <row r="20" spans="1:21" s="11" customFormat="1" x14ac:dyDescent="0.25">
      <c r="A20" s="52" t="s">
        <v>455</v>
      </c>
      <c r="B20" s="53">
        <v>3.46</v>
      </c>
      <c r="C20" s="53">
        <v>7.69</v>
      </c>
      <c r="D20" s="53">
        <v>6.79</v>
      </c>
      <c r="E20" s="53">
        <v>4.8899999999999997</v>
      </c>
      <c r="F20" s="53">
        <v>4.41</v>
      </c>
      <c r="G20" s="53">
        <v>29.76</v>
      </c>
      <c r="H20" s="53">
        <v>23.07</v>
      </c>
      <c r="I20" s="53">
        <v>5.7</v>
      </c>
      <c r="J20" s="53">
        <v>1.38</v>
      </c>
      <c r="K20" s="53">
        <v>137.1</v>
      </c>
      <c r="L20" s="53">
        <v>32.659999999999997</v>
      </c>
      <c r="M20" s="53">
        <v>59.26</v>
      </c>
      <c r="N20" s="53">
        <v>846.7</v>
      </c>
      <c r="O20" s="53">
        <v>0</v>
      </c>
      <c r="P20" s="53">
        <v>0.41</v>
      </c>
      <c r="Q20" s="53">
        <v>9.6199999999999992</v>
      </c>
      <c r="R20" s="43"/>
      <c r="S20" s="43"/>
      <c r="T20" s="43"/>
      <c r="U20" s="43"/>
    </row>
    <row r="21" spans="1:21" s="11" customFormat="1" x14ac:dyDescent="0.25">
      <c r="A21" s="52" t="s">
        <v>456</v>
      </c>
      <c r="B21" s="53">
        <v>1.96</v>
      </c>
      <c r="C21" s="53">
        <v>6.09</v>
      </c>
      <c r="D21" s="53">
        <v>4.76</v>
      </c>
      <c r="E21" s="53">
        <v>5.12</v>
      </c>
      <c r="F21" s="53">
        <v>4.58</v>
      </c>
      <c r="G21" s="53">
        <v>29.76</v>
      </c>
      <c r="H21" s="53">
        <v>23.07</v>
      </c>
      <c r="I21" s="53">
        <v>3.89</v>
      </c>
      <c r="J21" s="53">
        <v>1.07</v>
      </c>
      <c r="K21" s="53">
        <v>142.05000000000001</v>
      </c>
      <c r="L21" s="53">
        <v>32.89</v>
      </c>
      <c r="M21" s="53">
        <v>54.97</v>
      </c>
      <c r="N21" s="53">
        <v>819.5</v>
      </c>
      <c r="O21" s="53">
        <v>0</v>
      </c>
      <c r="P21" s="53">
        <v>0.38</v>
      </c>
      <c r="Q21" s="53">
        <v>9.6199999999999992</v>
      </c>
      <c r="R21" s="43"/>
      <c r="S21" s="43"/>
      <c r="T21" s="43"/>
      <c r="U21" s="43"/>
    </row>
    <row r="22" spans="1:21" s="11" customFormat="1" x14ac:dyDescent="0.25">
      <c r="A22" s="52" t="s">
        <v>457</v>
      </c>
      <c r="B22" s="53">
        <v>1.66</v>
      </c>
      <c r="C22" s="53">
        <v>6.45</v>
      </c>
      <c r="D22" s="53">
        <v>4.7</v>
      </c>
      <c r="E22" s="53">
        <v>5.38</v>
      </c>
      <c r="F22" s="53">
        <v>6.26</v>
      </c>
      <c r="G22" s="53">
        <v>25.71</v>
      </c>
      <c r="H22" s="53">
        <v>19.18</v>
      </c>
      <c r="I22" s="53">
        <v>3.93</v>
      </c>
      <c r="J22" s="53">
        <v>1.5</v>
      </c>
      <c r="K22" s="53">
        <v>330.14</v>
      </c>
      <c r="L22" s="53">
        <v>33.15</v>
      </c>
      <c r="M22" s="53">
        <v>54.34</v>
      </c>
      <c r="N22" s="53">
        <v>274.10000000000002</v>
      </c>
      <c r="O22" s="53">
        <v>0</v>
      </c>
      <c r="P22" s="53">
        <v>0.38</v>
      </c>
      <c r="Q22" s="53">
        <v>9.6199999999999992</v>
      </c>
      <c r="R22" s="43"/>
      <c r="S22" s="43"/>
      <c r="T22" s="43"/>
      <c r="U22" s="43"/>
    </row>
    <row r="23" spans="1:21" s="11" customFormat="1" x14ac:dyDescent="0.25">
      <c r="A23" s="52" t="s">
        <v>458</v>
      </c>
      <c r="B23" s="53">
        <v>2.2599999999999998</v>
      </c>
      <c r="C23" s="53">
        <v>8.56</v>
      </c>
      <c r="D23" s="53">
        <v>6.29</v>
      </c>
      <c r="E23" s="53">
        <v>5.1100000000000003</v>
      </c>
      <c r="F23" s="53">
        <v>4.7699999999999996</v>
      </c>
      <c r="G23" s="53">
        <v>27.01</v>
      </c>
      <c r="H23" s="53">
        <v>14.61</v>
      </c>
      <c r="I23" s="53">
        <v>3.25</v>
      </c>
      <c r="J23" s="53">
        <v>1.06</v>
      </c>
      <c r="K23" s="53">
        <v>334.93</v>
      </c>
      <c r="L23" s="53">
        <v>31.84</v>
      </c>
      <c r="M23" s="53">
        <v>56.2</v>
      </c>
      <c r="N23" s="53">
        <v>162.69999999999999</v>
      </c>
      <c r="O23" s="53">
        <v>0</v>
      </c>
      <c r="P23" s="53">
        <v>0.45</v>
      </c>
      <c r="Q23" s="53">
        <v>9.6</v>
      </c>
      <c r="R23" s="43"/>
      <c r="S23" s="43"/>
      <c r="T23" s="43"/>
      <c r="U23" s="43"/>
    </row>
    <row r="24" spans="1:21" s="11" customFormat="1" x14ac:dyDescent="0.25">
      <c r="A24" s="52" t="s">
        <v>459</v>
      </c>
      <c r="B24" s="53">
        <v>2.44</v>
      </c>
      <c r="C24" s="53">
        <v>8.9</v>
      </c>
      <c r="D24" s="53">
        <v>6.61</v>
      </c>
      <c r="E24" s="53">
        <v>5.14</v>
      </c>
      <c r="F24" s="53">
        <v>4.54</v>
      </c>
      <c r="G24" s="53">
        <v>28.47</v>
      </c>
      <c r="H24" s="53">
        <v>12.6</v>
      </c>
      <c r="I24" s="53">
        <v>2.48</v>
      </c>
      <c r="J24" s="53">
        <v>0.89</v>
      </c>
      <c r="K24" s="53">
        <v>351.07</v>
      </c>
      <c r="L24" s="53">
        <v>30.68</v>
      </c>
      <c r="M24" s="53">
        <v>65.819999999999993</v>
      </c>
      <c r="N24" s="53">
        <v>109.6</v>
      </c>
      <c r="O24" s="53">
        <v>0</v>
      </c>
      <c r="P24" s="53">
        <v>0.59</v>
      </c>
      <c r="Q24" s="53">
        <v>9.61</v>
      </c>
      <c r="R24" s="43"/>
      <c r="S24" s="43"/>
      <c r="T24" s="43"/>
      <c r="U24" s="43"/>
    </row>
    <row r="25" spans="1:21" s="11" customFormat="1" x14ac:dyDescent="0.25">
      <c r="A25" s="52" t="s">
        <v>460</v>
      </c>
      <c r="B25" s="53">
        <v>2.87</v>
      </c>
      <c r="C25" s="53">
        <v>8.69</v>
      </c>
      <c r="D25" s="53">
        <v>6.62</v>
      </c>
      <c r="E25" s="53">
        <v>4.32</v>
      </c>
      <c r="F25" s="53">
        <v>4.33</v>
      </c>
      <c r="G25" s="53">
        <v>28.47</v>
      </c>
      <c r="H25" s="53">
        <v>12.6</v>
      </c>
      <c r="I25" s="53">
        <v>2.0099999999999998</v>
      </c>
      <c r="J25" s="53">
        <v>0.81</v>
      </c>
      <c r="K25" s="53">
        <v>143.84</v>
      </c>
      <c r="L25" s="53">
        <v>29.73</v>
      </c>
      <c r="M25" s="53">
        <v>62.68</v>
      </c>
      <c r="N25" s="53">
        <v>69.2</v>
      </c>
      <c r="O25" s="53">
        <v>0</v>
      </c>
      <c r="P25" s="53">
        <v>0.57999999999999996</v>
      </c>
      <c r="Q25" s="53">
        <v>9.6199999999999992</v>
      </c>
      <c r="R25" s="43"/>
      <c r="S25" s="43"/>
      <c r="T25" s="43"/>
      <c r="U25" s="43"/>
    </row>
    <row r="26" spans="1:21" s="11" customFormat="1" x14ac:dyDescent="0.25">
      <c r="A26" s="52" t="s">
        <v>461</v>
      </c>
      <c r="B26" s="53">
        <v>3.1</v>
      </c>
      <c r="C26" s="53">
        <v>7.28</v>
      </c>
      <c r="D26" s="53">
        <v>6.29</v>
      </c>
      <c r="E26" s="53">
        <v>4.03</v>
      </c>
      <c r="F26" s="53">
        <v>4.4800000000000004</v>
      </c>
      <c r="G26" s="53">
        <v>22.6</v>
      </c>
      <c r="H26" s="53">
        <v>9.3000000000000007</v>
      </c>
      <c r="I26" s="53">
        <v>2.92</v>
      </c>
      <c r="J26" s="53">
        <v>0.94</v>
      </c>
      <c r="K26" s="53">
        <v>321.32</v>
      </c>
      <c r="L26" s="53">
        <v>29.05</v>
      </c>
      <c r="M26" s="53">
        <v>73.36</v>
      </c>
      <c r="N26" s="53">
        <v>40.799999999999997</v>
      </c>
      <c r="O26" s="53">
        <v>0</v>
      </c>
      <c r="P26" s="53">
        <v>0.63</v>
      </c>
      <c r="Q26" s="53">
        <v>9.61</v>
      </c>
      <c r="R26" s="43"/>
      <c r="S26" s="43"/>
      <c r="T26" s="43"/>
      <c r="U26" s="43"/>
    </row>
    <row r="27" spans="1:21" s="11" customFormat="1" x14ac:dyDescent="0.25">
      <c r="A27" s="52" t="s">
        <v>462</v>
      </c>
      <c r="B27" s="53">
        <v>6</v>
      </c>
      <c r="C27" s="53">
        <v>8.6</v>
      </c>
      <c r="D27" s="53">
        <v>9.31</v>
      </c>
      <c r="E27" s="53">
        <v>4.3499999999999996</v>
      </c>
      <c r="F27" s="53">
        <v>3.52</v>
      </c>
      <c r="G27" s="53">
        <v>24.56</v>
      </c>
      <c r="H27" s="53">
        <v>8.5</v>
      </c>
      <c r="I27" s="53">
        <v>2.89</v>
      </c>
      <c r="J27" s="53">
        <v>0.51</v>
      </c>
      <c r="K27" s="53">
        <v>77.66</v>
      </c>
      <c r="L27" s="53">
        <v>27.76</v>
      </c>
      <c r="M27" s="53">
        <v>75.3</v>
      </c>
      <c r="N27" s="53">
        <v>26.2</v>
      </c>
      <c r="O27" s="53">
        <v>0</v>
      </c>
      <c r="P27" s="53">
        <v>1</v>
      </c>
      <c r="Q27" s="53">
        <v>9.6300000000000008</v>
      </c>
      <c r="R27" s="43"/>
      <c r="S27" s="43"/>
      <c r="T27" s="43"/>
      <c r="U27" s="43"/>
    </row>
    <row r="28" spans="1:21" s="11" customFormat="1" x14ac:dyDescent="0.25">
      <c r="A28" s="52" t="s">
        <v>463</v>
      </c>
      <c r="B28" s="53">
        <v>8.7100000000000009</v>
      </c>
      <c r="C28" s="53">
        <v>9.3699999999999992</v>
      </c>
      <c r="D28" s="53">
        <v>11.77</v>
      </c>
      <c r="E28" s="53">
        <v>5.26</v>
      </c>
      <c r="F28" s="53">
        <v>3.38</v>
      </c>
      <c r="G28" s="53">
        <v>28.14</v>
      </c>
      <c r="H28" s="53">
        <v>8.43</v>
      </c>
      <c r="I28" s="53">
        <v>4.34</v>
      </c>
      <c r="J28" s="53">
        <v>0.82</v>
      </c>
      <c r="K28" s="53">
        <v>140.12</v>
      </c>
      <c r="L28" s="53">
        <v>27.49</v>
      </c>
      <c r="M28" s="53">
        <v>82.84</v>
      </c>
      <c r="N28" s="53">
        <v>26.2</v>
      </c>
      <c r="O28" s="53">
        <v>0</v>
      </c>
      <c r="P28" s="53">
        <v>1.08</v>
      </c>
      <c r="Q28" s="53">
        <v>9.6300000000000008</v>
      </c>
      <c r="R28" s="43"/>
      <c r="S28" s="43"/>
      <c r="T28" s="43"/>
      <c r="U28" s="43"/>
    </row>
    <row r="29" spans="1:21" s="11" customFormat="1" x14ac:dyDescent="0.25">
      <c r="A29" s="52" t="s">
        <v>464</v>
      </c>
      <c r="B29" s="53">
        <v>9.76</v>
      </c>
      <c r="C29" s="53">
        <v>7.65</v>
      </c>
      <c r="D29" s="53">
        <v>11.46</v>
      </c>
      <c r="E29" s="53">
        <v>5.9</v>
      </c>
      <c r="F29" s="53">
        <v>3.58</v>
      </c>
      <c r="G29" s="53">
        <v>29.16</v>
      </c>
      <c r="H29" s="53">
        <v>8.43</v>
      </c>
      <c r="I29" s="53">
        <v>2.17</v>
      </c>
      <c r="J29" s="53">
        <v>0.6</v>
      </c>
      <c r="K29" s="53">
        <v>121.55</v>
      </c>
      <c r="L29" s="53">
        <v>26.86</v>
      </c>
      <c r="M29" s="53">
        <v>87.7</v>
      </c>
      <c r="N29" s="53">
        <v>26.2</v>
      </c>
      <c r="O29" s="53">
        <v>0</v>
      </c>
      <c r="P29" s="53">
        <v>1.08</v>
      </c>
      <c r="Q29" s="53">
        <v>9.6300000000000008</v>
      </c>
      <c r="R29" s="43"/>
      <c r="S29" s="43"/>
      <c r="T29" s="43"/>
      <c r="U29" s="43"/>
    </row>
    <row r="30" spans="1:21" s="11" customFormat="1" x14ac:dyDescent="0.25">
      <c r="A30" s="52" t="s">
        <v>465</v>
      </c>
      <c r="B30" s="53">
        <v>12.79</v>
      </c>
      <c r="C30" s="53">
        <v>7.17</v>
      </c>
      <c r="D30" s="53">
        <v>14</v>
      </c>
      <c r="E30" s="53">
        <v>5.7</v>
      </c>
      <c r="F30" s="53">
        <v>3.46</v>
      </c>
      <c r="G30" s="53">
        <v>33.450000000000003</v>
      </c>
      <c r="H30" s="53">
        <v>10.33</v>
      </c>
      <c r="I30" s="53">
        <v>3.49</v>
      </c>
      <c r="J30" s="53">
        <v>0.53</v>
      </c>
      <c r="K30" s="53">
        <v>230.58</v>
      </c>
      <c r="L30" s="53">
        <v>26.42</v>
      </c>
      <c r="M30" s="53">
        <v>91.28</v>
      </c>
      <c r="N30" s="53">
        <v>26.1</v>
      </c>
      <c r="O30" s="53">
        <v>0</v>
      </c>
      <c r="P30" s="53">
        <v>0.93</v>
      </c>
      <c r="Q30" s="53">
        <v>9.6199999999999992</v>
      </c>
      <c r="R30" s="43"/>
      <c r="S30" s="43"/>
      <c r="T30" s="43"/>
      <c r="U30" s="43"/>
    </row>
    <row r="31" spans="1:21" s="11" customFormat="1" x14ac:dyDescent="0.25">
      <c r="A31" s="52" t="s">
        <v>466</v>
      </c>
      <c r="B31" s="53">
        <v>12.31</v>
      </c>
      <c r="C31" s="53">
        <v>7.08</v>
      </c>
      <c r="D31" s="53">
        <v>13.57</v>
      </c>
      <c r="E31" s="53">
        <v>5.87</v>
      </c>
      <c r="F31" s="53">
        <v>3.7</v>
      </c>
      <c r="G31" s="53">
        <v>33.450000000000003</v>
      </c>
      <c r="H31" s="53">
        <v>10.33</v>
      </c>
      <c r="I31" s="53">
        <v>2.97</v>
      </c>
      <c r="J31" s="53">
        <v>0.74</v>
      </c>
      <c r="K31" s="53">
        <v>122.32</v>
      </c>
      <c r="L31" s="53">
        <v>26.41</v>
      </c>
      <c r="M31" s="53">
        <v>93.7</v>
      </c>
      <c r="N31" s="53">
        <v>26.1</v>
      </c>
      <c r="O31" s="53">
        <v>0</v>
      </c>
      <c r="P31" s="53">
        <v>0.57999999999999996</v>
      </c>
      <c r="Q31" s="53">
        <v>9.6199999999999992</v>
      </c>
      <c r="R31" s="43"/>
      <c r="S31" s="43"/>
      <c r="T31" s="43"/>
      <c r="U31" s="43"/>
    </row>
    <row r="32" spans="1:21" s="11" customFormat="1" x14ac:dyDescent="0.25">
      <c r="A32" s="52" t="s">
        <v>467</v>
      </c>
      <c r="B32" s="53">
        <v>10.65</v>
      </c>
      <c r="C32" s="53">
        <v>6.82</v>
      </c>
      <c r="D32" s="53">
        <v>11.97</v>
      </c>
      <c r="E32" s="53">
        <v>5.41</v>
      </c>
      <c r="F32" s="53">
        <v>3.62</v>
      </c>
      <c r="G32" s="53">
        <v>29.92</v>
      </c>
      <c r="H32" s="53">
        <v>7.58</v>
      </c>
      <c r="I32" s="53">
        <v>3.52</v>
      </c>
      <c r="J32" s="53">
        <v>1.38</v>
      </c>
      <c r="K32" s="53">
        <v>128.57</v>
      </c>
      <c r="L32" s="53">
        <v>26.32</v>
      </c>
      <c r="M32" s="53">
        <v>93.17</v>
      </c>
      <c r="N32" s="53">
        <v>26.1</v>
      </c>
      <c r="O32" s="53">
        <v>0</v>
      </c>
      <c r="P32" s="53">
        <v>0.57999999999999996</v>
      </c>
      <c r="Q32" s="53">
        <v>9.61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1.66</v>
      </c>
      <c r="C34" s="28">
        <f t="shared" si="0"/>
        <v>4.32</v>
      </c>
      <c r="D34" s="28">
        <f t="shared" si="0"/>
        <v>3.65</v>
      </c>
      <c r="E34" s="28">
        <f t="shared" si="0"/>
        <v>4.03</v>
      </c>
      <c r="F34" s="28">
        <f t="shared" si="0"/>
        <v>3.38</v>
      </c>
      <c r="G34" s="28">
        <f t="shared" si="0"/>
        <v>22.6</v>
      </c>
      <c r="H34" s="28">
        <f t="shared" si="0"/>
        <v>7.58</v>
      </c>
      <c r="I34" s="28">
        <f t="shared" si="0"/>
        <v>2.0099999999999998</v>
      </c>
      <c r="J34" s="28">
        <f t="shared" si="0"/>
        <v>0.25</v>
      </c>
      <c r="K34" s="28">
        <f t="shared" si="0"/>
        <v>77.66</v>
      </c>
      <c r="L34" s="28">
        <f t="shared" si="0"/>
        <v>24</v>
      </c>
      <c r="M34" s="28">
        <f t="shared" si="0"/>
        <v>54.34</v>
      </c>
      <c r="N34" s="28">
        <f t="shared" si="0"/>
        <v>26</v>
      </c>
      <c r="O34" s="28">
        <f t="shared" si="0"/>
        <v>0</v>
      </c>
      <c r="P34" s="28">
        <f t="shared" si="0"/>
        <v>0.32</v>
      </c>
      <c r="Q34" s="28">
        <f t="shared" si="0"/>
        <v>9.6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12.79</v>
      </c>
      <c r="C35" s="29">
        <f t="shared" si="1"/>
        <v>9.3699999999999992</v>
      </c>
      <c r="D35" s="29">
        <f t="shared" si="1"/>
        <v>14</v>
      </c>
      <c r="E35" s="29">
        <f t="shared" si="1"/>
        <v>5.9</v>
      </c>
      <c r="F35" s="29">
        <f t="shared" si="1"/>
        <v>6.26</v>
      </c>
      <c r="G35" s="29">
        <f t="shared" si="1"/>
        <v>45.19</v>
      </c>
      <c r="H35" s="29">
        <f t="shared" si="1"/>
        <v>25.44</v>
      </c>
      <c r="I35" s="29">
        <f t="shared" si="1"/>
        <v>5.83</v>
      </c>
      <c r="J35" s="29">
        <f t="shared" si="1"/>
        <v>1.5</v>
      </c>
      <c r="K35" s="29">
        <f t="shared" si="1"/>
        <v>351.07</v>
      </c>
      <c r="L35" s="29">
        <f t="shared" si="1"/>
        <v>33.15</v>
      </c>
      <c r="M35" s="29">
        <f t="shared" si="1"/>
        <v>102.27</v>
      </c>
      <c r="N35" s="29">
        <f t="shared" si="1"/>
        <v>846.7</v>
      </c>
      <c r="O35" s="29">
        <f t="shared" si="1"/>
        <v>0</v>
      </c>
      <c r="P35" s="29">
        <f t="shared" si="1"/>
        <v>1.08</v>
      </c>
      <c r="Q35" s="29">
        <f t="shared" si="1"/>
        <v>9.6300000000000008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5.882083333333334</v>
      </c>
      <c r="C36" s="28">
        <f t="shared" si="2"/>
        <v>6.8354166666666671</v>
      </c>
      <c r="D36" s="28">
        <f t="shared" si="2"/>
        <v>8.215833333333336</v>
      </c>
      <c r="E36" s="28">
        <f t="shared" si="2"/>
        <v>5.0204166666666667</v>
      </c>
      <c r="F36" s="28">
        <f t="shared" si="2"/>
        <v>4.1195833333333338</v>
      </c>
      <c r="G36" s="28">
        <f t="shared" si="2"/>
        <v>31.239999999999995</v>
      </c>
      <c r="H36" s="28">
        <f t="shared" si="2"/>
        <v>15.825833333333334</v>
      </c>
      <c r="I36" s="28">
        <f t="shared" si="2"/>
        <v>3.65625</v>
      </c>
      <c r="J36" s="28">
        <f t="shared" si="2"/>
        <v>0.95000000000000007</v>
      </c>
      <c r="K36" s="28">
        <f t="shared" si="2"/>
        <v>177.39541666666665</v>
      </c>
      <c r="L36" s="28">
        <f t="shared" si="2"/>
        <v>28.154583333333331</v>
      </c>
      <c r="M36" s="28">
        <f t="shared" si="2"/>
        <v>81.31</v>
      </c>
      <c r="N36" s="28">
        <f t="shared" si="2"/>
        <v>215.0541666666667</v>
      </c>
      <c r="O36" s="28">
        <f t="shared" si="2"/>
        <v>0</v>
      </c>
      <c r="P36" s="28">
        <f t="shared" si="2"/>
        <v>0.56291666666666673</v>
      </c>
      <c r="Q36" s="28">
        <f t="shared" si="2"/>
        <v>9.6191666666666666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3.82907070025303</v>
      </c>
      <c r="C37" s="28">
        <f t="shared" ref="C37:Q37" si="3">STDEV(C9:C32)</f>
        <v>1.4386405997893712</v>
      </c>
      <c r="D37" s="28">
        <f t="shared" si="3"/>
        <v>3.2445833344965433</v>
      </c>
      <c r="E37" s="28">
        <f t="shared" si="3"/>
        <v>0.57201762793349809</v>
      </c>
      <c r="F37" s="28">
        <f t="shared" si="3"/>
        <v>0.60930808346821452</v>
      </c>
      <c r="G37" s="28">
        <f t="shared" si="3"/>
        <v>5.1569623684457193</v>
      </c>
      <c r="H37" s="28">
        <f t="shared" si="3"/>
        <v>5.6225492567809114</v>
      </c>
      <c r="I37" s="28">
        <f t="shared" si="3"/>
        <v>1.067495290693208</v>
      </c>
      <c r="J37" s="28">
        <f t="shared" si="3"/>
        <v>0.3386674654789163</v>
      </c>
      <c r="K37" s="28">
        <f t="shared" si="3"/>
        <v>91.718226578883247</v>
      </c>
      <c r="L37" s="28">
        <f t="shared" si="3"/>
        <v>2.9642214010584156</v>
      </c>
      <c r="M37" s="28">
        <f t="shared" si="3"/>
        <v>16.31386286993768</v>
      </c>
      <c r="N37" s="28">
        <f t="shared" si="3"/>
        <v>295.03024307638384</v>
      </c>
      <c r="O37" s="28">
        <f t="shared" si="3"/>
        <v>0</v>
      </c>
      <c r="P37" s="28">
        <f t="shared" si="3"/>
        <v>0.22641783549862837</v>
      </c>
      <c r="Q37" s="28">
        <f t="shared" si="3"/>
        <v>8.8054660231054599E-3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18/10/2024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468</v>
      </c>
      <c r="B9" s="53">
        <v>8.4700000000000006</v>
      </c>
      <c r="C9" s="53">
        <v>5.7</v>
      </c>
      <c r="D9" s="53">
        <v>9.77</v>
      </c>
      <c r="E9" s="53">
        <v>4.12</v>
      </c>
      <c r="F9" s="53">
        <v>3.42</v>
      </c>
      <c r="G9" s="53">
        <v>29.92</v>
      </c>
      <c r="H9" s="53">
        <v>5.61</v>
      </c>
      <c r="I9" s="53">
        <v>3.17</v>
      </c>
      <c r="J9" s="53">
        <v>1.68</v>
      </c>
      <c r="K9" s="53">
        <v>123.17</v>
      </c>
      <c r="L9" s="53">
        <v>26.26</v>
      </c>
      <c r="M9" s="53">
        <v>96</v>
      </c>
      <c r="N9" s="53">
        <v>26.2</v>
      </c>
      <c r="O9" s="53">
        <v>0</v>
      </c>
      <c r="P9" s="53">
        <v>0.47</v>
      </c>
      <c r="Q9" s="53">
        <v>9.6199999999999992</v>
      </c>
      <c r="R9" s="43"/>
      <c r="S9" s="43"/>
      <c r="T9" s="43"/>
      <c r="U9" s="43"/>
    </row>
    <row r="10" spans="1:21" s="11" customFormat="1" x14ac:dyDescent="0.25">
      <c r="A10" s="52" t="s">
        <v>469</v>
      </c>
      <c r="B10" s="53">
        <v>6.96</v>
      </c>
      <c r="C10" s="53">
        <v>5.34</v>
      </c>
      <c r="D10" s="53">
        <v>8.3699999999999992</v>
      </c>
      <c r="E10" s="53">
        <v>4.13</v>
      </c>
      <c r="F10" s="53">
        <v>3.36</v>
      </c>
      <c r="G10" s="53">
        <v>24.11</v>
      </c>
      <c r="H10" s="53">
        <v>6.51</v>
      </c>
      <c r="I10" s="53">
        <v>3.98</v>
      </c>
      <c r="J10" s="53">
        <v>1.47</v>
      </c>
      <c r="K10" s="53">
        <v>117.07</v>
      </c>
      <c r="L10" s="53">
        <v>25.59</v>
      </c>
      <c r="M10" s="53">
        <v>98.01</v>
      </c>
      <c r="N10" s="53">
        <v>26.1</v>
      </c>
      <c r="O10" s="53">
        <v>0</v>
      </c>
      <c r="P10" s="53">
        <v>0.42</v>
      </c>
      <c r="Q10" s="53">
        <v>9.6199999999999992</v>
      </c>
      <c r="R10" s="43"/>
      <c r="S10" s="43"/>
      <c r="T10" s="43"/>
      <c r="U10" s="43"/>
    </row>
    <row r="11" spans="1:21" s="11" customFormat="1" x14ac:dyDescent="0.25">
      <c r="A11" s="52" t="s">
        <v>470</v>
      </c>
      <c r="B11" s="53">
        <v>5.5</v>
      </c>
      <c r="C11" s="53">
        <v>4.9000000000000004</v>
      </c>
      <c r="D11" s="53">
        <v>6.97</v>
      </c>
      <c r="E11" s="53">
        <v>4.5</v>
      </c>
      <c r="F11" s="53">
        <v>3.93</v>
      </c>
      <c r="G11" s="53">
        <v>22.81</v>
      </c>
      <c r="H11" s="53">
        <v>7.1</v>
      </c>
      <c r="I11" s="53">
        <v>4.72</v>
      </c>
      <c r="J11" s="53">
        <v>0.79</v>
      </c>
      <c r="K11" s="53">
        <v>101.02</v>
      </c>
      <c r="L11" s="53">
        <v>25.15</v>
      </c>
      <c r="M11" s="53">
        <v>98.71</v>
      </c>
      <c r="N11" s="53">
        <v>26.1</v>
      </c>
      <c r="O11" s="53">
        <v>0</v>
      </c>
      <c r="P11" s="53">
        <v>0.41</v>
      </c>
      <c r="Q11" s="53">
        <v>9.6199999999999992</v>
      </c>
      <c r="R11" s="43"/>
      <c r="S11" s="43"/>
      <c r="T11" s="43"/>
      <c r="U11" s="43"/>
    </row>
    <row r="12" spans="1:21" s="11" customFormat="1" x14ac:dyDescent="0.25">
      <c r="A12" s="52" t="s">
        <v>471</v>
      </c>
      <c r="B12" s="53">
        <v>4.26</v>
      </c>
      <c r="C12" s="53">
        <v>4.6399999999999997</v>
      </c>
      <c r="D12" s="53">
        <v>5.81</v>
      </c>
      <c r="E12" s="53">
        <v>4.78</v>
      </c>
      <c r="F12" s="53">
        <v>4.01</v>
      </c>
      <c r="G12" s="53">
        <v>21.48</v>
      </c>
      <c r="H12" s="53">
        <v>7.1</v>
      </c>
      <c r="I12" s="53">
        <v>3.78</v>
      </c>
      <c r="J12" s="53">
        <v>0.7</v>
      </c>
      <c r="K12" s="53">
        <v>331.39</v>
      </c>
      <c r="L12" s="53">
        <v>24.95</v>
      </c>
      <c r="M12" s="53">
        <v>102.7</v>
      </c>
      <c r="N12" s="53">
        <v>26.3</v>
      </c>
      <c r="O12" s="53">
        <v>0</v>
      </c>
      <c r="P12" s="53">
        <v>0.37</v>
      </c>
      <c r="Q12" s="53">
        <v>9.61</v>
      </c>
      <c r="R12" s="43"/>
      <c r="S12" s="43"/>
      <c r="T12" s="43"/>
      <c r="U12" s="43"/>
    </row>
    <row r="13" spans="1:21" s="11" customFormat="1" x14ac:dyDescent="0.25">
      <c r="A13" s="52" t="s">
        <v>472</v>
      </c>
      <c r="B13" s="53">
        <v>5.56</v>
      </c>
      <c r="C13" s="53">
        <v>4.33</v>
      </c>
      <c r="D13" s="53">
        <v>6.62</v>
      </c>
      <c r="E13" s="53">
        <v>5.17</v>
      </c>
      <c r="F13" s="53">
        <v>3.27</v>
      </c>
      <c r="G13" s="53">
        <v>18.420000000000002</v>
      </c>
      <c r="H13" s="53">
        <v>7.03</v>
      </c>
      <c r="I13" s="53">
        <v>3.35</v>
      </c>
      <c r="J13" s="53">
        <v>0.43</v>
      </c>
      <c r="K13" s="53">
        <v>192.47</v>
      </c>
      <c r="L13" s="53">
        <v>24.35</v>
      </c>
      <c r="M13" s="53">
        <v>102.56</v>
      </c>
      <c r="N13" s="53">
        <v>26.1</v>
      </c>
      <c r="O13" s="53">
        <v>0</v>
      </c>
      <c r="P13" s="53">
        <v>0.36</v>
      </c>
      <c r="Q13" s="53">
        <v>9.61</v>
      </c>
      <c r="R13" s="43"/>
      <c r="S13" s="43"/>
      <c r="T13" s="43"/>
      <c r="U13" s="43"/>
    </row>
    <row r="14" spans="1:21" s="11" customFormat="1" x14ac:dyDescent="0.25">
      <c r="A14" s="52" t="s">
        <v>473</v>
      </c>
      <c r="B14" s="53">
        <v>8.2100000000000009</v>
      </c>
      <c r="C14" s="53">
        <v>4.45</v>
      </c>
      <c r="D14" s="53">
        <v>8.91</v>
      </c>
      <c r="E14" s="53">
        <v>5.65</v>
      </c>
      <c r="F14" s="53">
        <v>3.13</v>
      </c>
      <c r="G14" s="53">
        <v>19.3</v>
      </c>
      <c r="H14" s="53">
        <v>7.03</v>
      </c>
      <c r="I14" s="53">
        <v>1.8</v>
      </c>
      <c r="J14" s="53">
        <v>0.49</v>
      </c>
      <c r="K14" s="53">
        <v>311.27</v>
      </c>
      <c r="L14" s="53">
        <v>24.13</v>
      </c>
      <c r="M14" s="53">
        <v>102.7</v>
      </c>
      <c r="N14" s="53">
        <v>28.7</v>
      </c>
      <c r="O14" s="53">
        <v>0</v>
      </c>
      <c r="P14" s="53">
        <v>0.47</v>
      </c>
      <c r="Q14" s="53">
        <v>9.6199999999999992</v>
      </c>
      <c r="R14" s="43"/>
      <c r="S14" s="43"/>
      <c r="T14" s="43"/>
      <c r="U14" s="43"/>
    </row>
    <row r="15" spans="1:21" s="11" customFormat="1" x14ac:dyDescent="0.25">
      <c r="A15" s="52" t="s">
        <v>474</v>
      </c>
      <c r="B15" s="53">
        <v>18.22</v>
      </c>
      <c r="C15" s="53">
        <v>5.35</v>
      </c>
      <c r="D15" s="53">
        <v>17.399999999999999</v>
      </c>
      <c r="E15" s="53">
        <v>6.49</v>
      </c>
      <c r="F15" s="53">
        <v>3.92</v>
      </c>
      <c r="G15" s="53">
        <v>291.83</v>
      </c>
      <c r="H15" s="53">
        <v>8.9700000000000006</v>
      </c>
      <c r="I15" s="53">
        <v>3.98</v>
      </c>
      <c r="J15" s="53">
        <v>0.57999999999999996</v>
      </c>
      <c r="K15" s="53">
        <v>329.98</v>
      </c>
      <c r="L15" s="53">
        <v>26.77</v>
      </c>
      <c r="M15" s="53">
        <v>102.7</v>
      </c>
      <c r="N15" s="53">
        <v>113.5</v>
      </c>
      <c r="O15" s="53">
        <v>0</v>
      </c>
      <c r="P15" s="53">
        <v>0.54</v>
      </c>
      <c r="Q15" s="53">
        <v>9.6199999999999992</v>
      </c>
      <c r="R15" s="43"/>
      <c r="S15" s="43"/>
      <c r="T15" s="43"/>
      <c r="U15" s="43"/>
    </row>
    <row r="16" spans="1:21" s="11" customFormat="1" x14ac:dyDescent="0.25">
      <c r="A16" s="52" t="s">
        <v>475</v>
      </c>
      <c r="B16" s="53">
        <v>20.61</v>
      </c>
      <c r="C16" s="53">
        <v>6.22</v>
      </c>
      <c r="D16" s="53">
        <v>19.61</v>
      </c>
      <c r="E16" s="53">
        <v>6.47</v>
      </c>
      <c r="F16" s="53">
        <v>4.13</v>
      </c>
      <c r="G16" s="53">
        <v>291.83</v>
      </c>
      <c r="H16" s="53">
        <v>8.9700000000000006</v>
      </c>
      <c r="I16" s="53">
        <v>2.61</v>
      </c>
      <c r="J16" s="53">
        <v>0.98</v>
      </c>
      <c r="K16" s="53">
        <v>142.68</v>
      </c>
      <c r="L16" s="53">
        <v>28.87</v>
      </c>
      <c r="M16" s="53">
        <v>84.03</v>
      </c>
      <c r="N16" s="53">
        <v>387.8</v>
      </c>
      <c r="O16" s="53">
        <v>0</v>
      </c>
      <c r="P16" s="53">
        <v>0.45</v>
      </c>
      <c r="Q16" s="53">
        <v>9.6199999999999992</v>
      </c>
      <c r="R16" s="43"/>
      <c r="S16" s="43"/>
      <c r="T16" s="43"/>
      <c r="U16" s="43"/>
    </row>
    <row r="17" spans="1:21" s="11" customFormat="1" x14ac:dyDescent="0.25">
      <c r="A17" s="52" t="s">
        <v>476</v>
      </c>
      <c r="B17" s="53">
        <v>18.63</v>
      </c>
      <c r="C17" s="53">
        <v>6.27</v>
      </c>
      <c r="D17" s="53">
        <v>18.21</v>
      </c>
      <c r="E17" s="53">
        <v>5.41</v>
      </c>
      <c r="F17" s="53">
        <v>3.97</v>
      </c>
      <c r="G17" s="53">
        <v>19.920000000000002</v>
      </c>
      <c r="H17" s="53">
        <v>7.42</v>
      </c>
      <c r="I17" s="53">
        <v>3.4</v>
      </c>
      <c r="J17" s="53">
        <v>0.79</v>
      </c>
      <c r="K17" s="53">
        <v>137.51</v>
      </c>
      <c r="L17" s="53">
        <v>29.01</v>
      </c>
      <c r="M17" s="53">
        <v>79.180000000000007</v>
      </c>
      <c r="N17" s="53">
        <v>521.6</v>
      </c>
      <c r="O17" s="53">
        <v>0</v>
      </c>
      <c r="P17" s="53">
        <v>0.41</v>
      </c>
      <c r="Q17" s="53">
        <v>9.6199999999999992</v>
      </c>
      <c r="R17" s="43"/>
      <c r="S17" s="43"/>
      <c r="T17" s="43"/>
      <c r="U17" s="43"/>
    </row>
    <row r="18" spans="1:21" s="11" customFormat="1" x14ac:dyDescent="0.25">
      <c r="A18" s="52" t="s">
        <v>477</v>
      </c>
      <c r="B18" s="53">
        <v>15.39</v>
      </c>
      <c r="C18" s="53">
        <v>5.89</v>
      </c>
      <c r="D18" s="53">
        <v>15.42</v>
      </c>
      <c r="E18" s="53">
        <v>4.7</v>
      </c>
      <c r="F18" s="53">
        <v>3.87</v>
      </c>
      <c r="G18" s="53">
        <v>19.920000000000002</v>
      </c>
      <c r="H18" s="53">
        <v>6.77</v>
      </c>
      <c r="I18" s="53">
        <v>3.31</v>
      </c>
      <c r="J18" s="53">
        <v>0.45</v>
      </c>
      <c r="K18" s="53">
        <v>317.07</v>
      </c>
      <c r="L18" s="53">
        <v>31.01</v>
      </c>
      <c r="M18" s="53">
        <v>72.13</v>
      </c>
      <c r="N18" s="53">
        <v>709.1</v>
      </c>
      <c r="O18" s="53">
        <v>0</v>
      </c>
      <c r="P18" s="53">
        <v>0.43</v>
      </c>
      <c r="Q18" s="53">
        <v>9.61</v>
      </c>
      <c r="R18" s="43"/>
      <c r="S18" s="43"/>
      <c r="T18" s="43"/>
      <c r="U18" s="43"/>
    </row>
    <row r="19" spans="1:21" s="11" customFormat="1" x14ac:dyDescent="0.25">
      <c r="A19" s="52" t="s">
        <v>478</v>
      </c>
      <c r="B19" s="53">
        <v>11.68</v>
      </c>
      <c r="C19" s="53">
        <v>7.2</v>
      </c>
      <c r="D19" s="53">
        <v>12.51</v>
      </c>
      <c r="E19" s="53">
        <v>4.68</v>
      </c>
      <c r="F19" s="53">
        <v>5.78</v>
      </c>
      <c r="G19" s="53">
        <v>20.16</v>
      </c>
      <c r="H19" s="53">
        <v>9.6300000000000008</v>
      </c>
      <c r="I19" s="53">
        <v>5.04</v>
      </c>
      <c r="J19" s="53">
        <v>0.95</v>
      </c>
      <c r="K19" s="53">
        <v>347.33</v>
      </c>
      <c r="L19" s="53">
        <v>33.06</v>
      </c>
      <c r="M19" s="53">
        <v>63.34</v>
      </c>
      <c r="N19" s="53">
        <v>714.1</v>
      </c>
      <c r="O19" s="53">
        <v>0</v>
      </c>
      <c r="P19" s="53">
        <v>0.4</v>
      </c>
      <c r="Q19" s="53">
        <v>9.61</v>
      </c>
      <c r="R19" s="43"/>
      <c r="S19" s="43"/>
      <c r="T19" s="43"/>
      <c r="U19" s="43"/>
    </row>
    <row r="20" spans="1:21" s="11" customFormat="1" x14ac:dyDescent="0.25">
      <c r="A20" s="52" t="s">
        <v>479</v>
      </c>
      <c r="B20" s="53">
        <v>3.57</v>
      </c>
      <c r="C20" s="53">
        <v>15.17</v>
      </c>
      <c r="D20" s="53">
        <v>10.61</v>
      </c>
      <c r="E20" s="53">
        <v>6.35</v>
      </c>
      <c r="F20" s="53">
        <v>7.95</v>
      </c>
      <c r="G20" s="53">
        <v>20.16</v>
      </c>
      <c r="H20" s="53">
        <v>25.75</v>
      </c>
      <c r="I20" s="53">
        <v>5.22</v>
      </c>
      <c r="J20" s="53">
        <v>1.21</v>
      </c>
      <c r="K20" s="53">
        <v>334.05</v>
      </c>
      <c r="L20" s="53">
        <v>35.880000000000003</v>
      </c>
      <c r="M20" s="53">
        <v>60.6</v>
      </c>
      <c r="N20" s="53">
        <v>893.1</v>
      </c>
      <c r="O20" s="53">
        <v>0</v>
      </c>
      <c r="P20" s="53">
        <v>0.4</v>
      </c>
      <c r="Q20" s="53">
        <v>9.6199999999999992</v>
      </c>
      <c r="R20" s="43"/>
      <c r="S20" s="43"/>
      <c r="T20" s="43"/>
      <c r="U20" s="43"/>
    </row>
    <row r="21" spans="1:21" s="11" customFormat="1" x14ac:dyDescent="0.25">
      <c r="A21" s="52" t="s">
        <v>480</v>
      </c>
      <c r="B21" s="53">
        <v>3.37</v>
      </c>
      <c r="C21" s="53">
        <v>13.15</v>
      </c>
      <c r="D21" s="53">
        <v>9.57</v>
      </c>
      <c r="E21" s="53">
        <v>6.24</v>
      </c>
      <c r="F21" s="53">
        <v>6.54</v>
      </c>
      <c r="G21" s="53">
        <v>35.090000000000003</v>
      </c>
      <c r="H21" s="53">
        <v>25.75</v>
      </c>
      <c r="I21" s="53">
        <v>3.27</v>
      </c>
      <c r="J21" s="53">
        <v>0.9</v>
      </c>
      <c r="K21" s="53">
        <v>338.85</v>
      </c>
      <c r="L21" s="53">
        <v>32.61</v>
      </c>
      <c r="M21" s="53">
        <v>61.76</v>
      </c>
      <c r="N21" s="53">
        <v>892.6</v>
      </c>
      <c r="O21" s="53">
        <v>0</v>
      </c>
      <c r="P21" s="53">
        <v>0.5</v>
      </c>
      <c r="Q21" s="53">
        <v>9.6300000000000008</v>
      </c>
      <c r="R21" s="43"/>
      <c r="S21" s="43"/>
      <c r="T21" s="43"/>
      <c r="U21" s="43"/>
    </row>
    <row r="22" spans="1:21" s="11" customFormat="1" x14ac:dyDescent="0.25">
      <c r="A22" s="52" t="s">
        <v>481</v>
      </c>
      <c r="B22" s="53">
        <v>2.17</v>
      </c>
      <c r="C22" s="53">
        <v>11.3</v>
      </c>
      <c r="D22" s="53">
        <v>7.53</v>
      </c>
      <c r="E22" s="53">
        <v>6.26</v>
      </c>
      <c r="F22" s="53">
        <v>7.81</v>
      </c>
      <c r="G22" s="53">
        <v>36.270000000000003</v>
      </c>
      <c r="H22" s="53">
        <v>15.45</v>
      </c>
      <c r="I22" s="53">
        <v>2.34</v>
      </c>
      <c r="J22" s="53">
        <v>1.43</v>
      </c>
      <c r="K22" s="53">
        <v>352.44</v>
      </c>
      <c r="L22" s="53">
        <v>32.880000000000003</v>
      </c>
      <c r="M22" s="53">
        <v>65.099999999999994</v>
      </c>
      <c r="N22" s="53">
        <v>257.89999999999998</v>
      </c>
      <c r="O22" s="53">
        <v>0</v>
      </c>
      <c r="P22" s="53">
        <v>0.49</v>
      </c>
      <c r="Q22" s="53">
        <v>9.6199999999999992</v>
      </c>
      <c r="R22" s="43"/>
      <c r="S22" s="43"/>
      <c r="T22" s="43"/>
      <c r="U22" s="43"/>
    </row>
    <row r="23" spans="1:21" s="11" customFormat="1" x14ac:dyDescent="0.25">
      <c r="A23" s="52" t="s">
        <v>482</v>
      </c>
      <c r="B23" s="53">
        <v>2.2400000000000002</v>
      </c>
      <c r="C23" s="53">
        <v>11.23</v>
      </c>
      <c r="D23" s="53">
        <v>7.59</v>
      </c>
      <c r="E23" s="53">
        <v>6.41</v>
      </c>
      <c r="F23" s="53">
        <v>4.83</v>
      </c>
      <c r="G23" s="53">
        <v>36.270000000000003</v>
      </c>
      <c r="H23" s="53">
        <v>10.38</v>
      </c>
      <c r="I23" s="53">
        <v>2.44</v>
      </c>
      <c r="J23" s="53">
        <v>0.74</v>
      </c>
      <c r="K23" s="53">
        <v>337.86</v>
      </c>
      <c r="L23" s="53">
        <v>31.94</v>
      </c>
      <c r="M23" s="53">
        <v>61.64</v>
      </c>
      <c r="N23" s="53">
        <v>222.2</v>
      </c>
      <c r="O23" s="53">
        <v>0</v>
      </c>
      <c r="P23" s="53">
        <v>0.5</v>
      </c>
      <c r="Q23" s="53">
        <v>9.6300000000000008</v>
      </c>
      <c r="R23" s="43"/>
      <c r="S23" s="43"/>
      <c r="T23" s="43"/>
      <c r="U23" s="43"/>
    </row>
    <row r="24" spans="1:21" s="11" customFormat="1" x14ac:dyDescent="0.25">
      <c r="A24" s="52" t="s">
        <v>483</v>
      </c>
      <c r="B24" s="53">
        <v>3.59</v>
      </c>
      <c r="C24" s="53">
        <v>12.43</v>
      </c>
      <c r="D24" s="53">
        <v>9.3800000000000008</v>
      </c>
      <c r="E24" s="53">
        <v>6.41</v>
      </c>
      <c r="F24" s="53">
        <v>5.76</v>
      </c>
      <c r="G24" s="53">
        <v>21.77</v>
      </c>
      <c r="H24" s="53">
        <v>10.06</v>
      </c>
      <c r="I24" s="53">
        <v>2.67</v>
      </c>
      <c r="J24" s="53">
        <v>0.9</v>
      </c>
      <c r="K24" s="53">
        <v>113.38</v>
      </c>
      <c r="L24" s="53">
        <v>30.66</v>
      </c>
      <c r="M24" s="53">
        <v>63.58</v>
      </c>
      <c r="N24" s="53">
        <v>128.6</v>
      </c>
      <c r="O24" s="53">
        <v>0</v>
      </c>
      <c r="P24" s="53">
        <v>0.46</v>
      </c>
      <c r="Q24" s="53">
        <v>9.6199999999999992</v>
      </c>
      <c r="R24" s="43"/>
      <c r="S24" s="43"/>
      <c r="T24" s="43"/>
      <c r="U24" s="43"/>
    </row>
    <row r="25" spans="1:21" s="11" customFormat="1" x14ac:dyDescent="0.25">
      <c r="A25" s="52" t="s">
        <v>484</v>
      </c>
      <c r="B25" s="53">
        <v>2.93</v>
      </c>
      <c r="C25" s="53">
        <v>14.24</v>
      </c>
      <c r="D25" s="53">
        <v>9.5</v>
      </c>
      <c r="E25" s="53">
        <v>6.21</v>
      </c>
      <c r="F25" s="53">
        <v>5.16</v>
      </c>
      <c r="G25" s="53">
        <v>26.39</v>
      </c>
      <c r="H25" s="53">
        <v>6.64</v>
      </c>
      <c r="I25" s="53">
        <v>2.44</v>
      </c>
      <c r="J25" s="53">
        <v>1.08</v>
      </c>
      <c r="K25" s="53">
        <v>351.46</v>
      </c>
      <c r="L25" s="53">
        <v>30.01</v>
      </c>
      <c r="M25" s="53">
        <v>71.099999999999994</v>
      </c>
      <c r="N25" s="53">
        <v>68.599999999999994</v>
      </c>
      <c r="O25" s="53">
        <v>0</v>
      </c>
      <c r="P25" s="53">
        <v>0.53</v>
      </c>
      <c r="Q25" s="53">
        <v>9.61</v>
      </c>
      <c r="R25" s="43"/>
      <c r="S25" s="43"/>
      <c r="T25" s="43"/>
      <c r="U25" s="43"/>
    </row>
    <row r="26" spans="1:21" s="11" customFormat="1" x14ac:dyDescent="0.25">
      <c r="A26" s="52" t="s">
        <v>485</v>
      </c>
      <c r="B26" s="53">
        <v>3.19</v>
      </c>
      <c r="C26" s="53">
        <v>13.3</v>
      </c>
      <c r="D26" s="53">
        <v>9.07</v>
      </c>
      <c r="E26" s="53">
        <v>6.46</v>
      </c>
      <c r="F26" s="53">
        <v>5.33</v>
      </c>
      <c r="G26" s="53">
        <v>30.7</v>
      </c>
      <c r="H26" s="53">
        <v>9.8000000000000007</v>
      </c>
      <c r="I26" s="53">
        <v>2.4</v>
      </c>
      <c r="J26" s="53">
        <v>0.42</v>
      </c>
      <c r="K26" s="53">
        <v>301.13</v>
      </c>
      <c r="L26" s="53">
        <v>28.85</v>
      </c>
      <c r="M26" s="53">
        <v>81.94</v>
      </c>
      <c r="N26" s="53">
        <v>37.799999999999997</v>
      </c>
      <c r="O26" s="53">
        <v>0</v>
      </c>
      <c r="P26" s="53">
        <v>0.73</v>
      </c>
      <c r="Q26" s="53">
        <v>9.6199999999999992</v>
      </c>
      <c r="R26" s="43"/>
      <c r="S26" s="43"/>
      <c r="T26" s="43"/>
      <c r="U26" s="43"/>
    </row>
    <row r="27" spans="1:21" s="11" customFormat="1" x14ac:dyDescent="0.25">
      <c r="A27" s="52" t="s">
        <v>486</v>
      </c>
      <c r="B27" s="53">
        <v>6.17</v>
      </c>
      <c r="C27" s="53">
        <v>12.71</v>
      </c>
      <c r="D27" s="53">
        <v>11.3</v>
      </c>
      <c r="E27" s="53">
        <v>6.64</v>
      </c>
      <c r="F27" s="53">
        <v>3.42</v>
      </c>
      <c r="G27" s="53">
        <v>40.46</v>
      </c>
      <c r="H27" s="53">
        <v>9.8000000000000007</v>
      </c>
      <c r="I27" s="53">
        <v>3.06</v>
      </c>
      <c r="J27" s="53">
        <v>0.39</v>
      </c>
      <c r="K27" s="53">
        <v>292.64</v>
      </c>
      <c r="L27" s="53">
        <v>27.71</v>
      </c>
      <c r="M27" s="53">
        <v>84.58</v>
      </c>
      <c r="N27" s="53">
        <v>26.3</v>
      </c>
      <c r="O27" s="53">
        <v>0</v>
      </c>
      <c r="P27" s="53">
        <v>0.94</v>
      </c>
      <c r="Q27" s="53">
        <v>9.6199999999999992</v>
      </c>
      <c r="R27" s="43"/>
      <c r="S27" s="43"/>
      <c r="T27" s="43"/>
      <c r="U27" s="43"/>
    </row>
    <row r="28" spans="1:21" s="11" customFormat="1" x14ac:dyDescent="0.25">
      <c r="A28" s="52" t="s">
        <v>487</v>
      </c>
      <c r="B28" s="53">
        <v>6.73</v>
      </c>
      <c r="C28" s="53">
        <v>12.29</v>
      </c>
      <c r="D28" s="53">
        <v>11.82</v>
      </c>
      <c r="E28" s="53">
        <v>6.28</v>
      </c>
      <c r="F28" s="53">
        <v>4.29</v>
      </c>
      <c r="G28" s="53">
        <v>40.46</v>
      </c>
      <c r="H28" s="53">
        <v>7.01</v>
      </c>
      <c r="I28" s="53">
        <v>3.19</v>
      </c>
      <c r="J28" s="53">
        <v>0.77</v>
      </c>
      <c r="K28" s="53">
        <v>119.54</v>
      </c>
      <c r="L28" s="53">
        <v>27.74</v>
      </c>
      <c r="M28" s="53">
        <v>84.44</v>
      </c>
      <c r="N28" s="53">
        <v>26.2</v>
      </c>
      <c r="O28" s="53">
        <v>0</v>
      </c>
      <c r="P28" s="53">
        <v>0.87</v>
      </c>
      <c r="Q28" s="53">
        <v>9.6300000000000008</v>
      </c>
      <c r="R28" s="43"/>
      <c r="S28" s="43"/>
      <c r="T28" s="43"/>
      <c r="U28" s="43"/>
    </row>
    <row r="29" spans="1:21" s="11" customFormat="1" x14ac:dyDescent="0.25">
      <c r="A29" s="52" t="s">
        <v>488</v>
      </c>
      <c r="B29" s="53">
        <v>10.130000000000001</v>
      </c>
      <c r="C29" s="53">
        <v>11.34</v>
      </c>
      <c r="D29" s="53">
        <v>13.62</v>
      </c>
      <c r="E29" s="53">
        <v>5.47</v>
      </c>
      <c r="F29" s="53">
        <v>4.1100000000000003</v>
      </c>
      <c r="G29" s="53">
        <v>37.770000000000003</v>
      </c>
      <c r="H29" s="53">
        <v>7.22</v>
      </c>
      <c r="I29" s="53">
        <v>3.45</v>
      </c>
      <c r="J29" s="53">
        <v>0.36</v>
      </c>
      <c r="K29" s="53">
        <v>321.97000000000003</v>
      </c>
      <c r="L29" s="53">
        <v>27.24</v>
      </c>
      <c r="M29" s="53">
        <v>86.55</v>
      </c>
      <c r="N29" s="53">
        <v>26.1</v>
      </c>
      <c r="O29" s="53">
        <v>0</v>
      </c>
      <c r="P29" s="53">
        <v>1.1299999999999999</v>
      </c>
      <c r="Q29" s="53">
        <v>9.6199999999999992</v>
      </c>
      <c r="R29" s="43"/>
      <c r="S29" s="43"/>
      <c r="T29" s="43"/>
      <c r="U29" s="43"/>
    </row>
    <row r="30" spans="1:21" s="11" customFormat="1" x14ac:dyDescent="0.25">
      <c r="A30" s="52" t="s">
        <v>489</v>
      </c>
      <c r="B30" s="53">
        <v>13.64</v>
      </c>
      <c r="C30" s="53">
        <v>10.28</v>
      </c>
      <c r="D30" s="53">
        <v>15.73</v>
      </c>
      <c r="E30" s="53">
        <v>5.5</v>
      </c>
      <c r="F30" s="53">
        <v>3.16</v>
      </c>
      <c r="G30" s="53">
        <v>47.73</v>
      </c>
      <c r="H30" s="53">
        <v>12</v>
      </c>
      <c r="I30" s="53">
        <v>3.76</v>
      </c>
      <c r="J30" s="53">
        <v>0.88</v>
      </c>
      <c r="K30" s="53">
        <v>335.09</v>
      </c>
      <c r="L30" s="53">
        <v>26.83</v>
      </c>
      <c r="M30" s="53">
        <v>92.4</v>
      </c>
      <c r="N30" s="53">
        <v>26.3</v>
      </c>
      <c r="O30" s="53">
        <v>0</v>
      </c>
      <c r="P30" s="53">
        <v>1.1599999999999999</v>
      </c>
      <c r="Q30" s="53">
        <v>9.6199999999999992</v>
      </c>
      <c r="R30" s="43"/>
      <c r="S30" s="43"/>
      <c r="T30" s="43"/>
      <c r="U30" s="43"/>
    </row>
    <row r="31" spans="1:21" s="11" customFormat="1" x14ac:dyDescent="0.25">
      <c r="A31" s="52" t="s">
        <v>490</v>
      </c>
      <c r="B31" s="53">
        <v>13.57</v>
      </c>
      <c r="C31" s="53">
        <v>8.58</v>
      </c>
      <c r="D31" s="53">
        <v>15.36</v>
      </c>
      <c r="E31" s="53">
        <v>5.57</v>
      </c>
      <c r="F31" s="53">
        <v>4.05</v>
      </c>
      <c r="G31" s="53">
        <v>47.73</v>
      </c>
      <c r="H31" s="53">
        <v>12.13</v>
      </c>
      <c r="I31" s="53">
        <v>2.77</v>
      </c>
      <c r="J31" s="53">
        <v>0.3</v>
      </c>
      <c r="K31" s="53">
        <v>291.68</v>
      </c>
      <c r="L31" s="53">
        <v>25.98</v>
      </c>
      <c r="M31" s="53">
        <v>101.16</v>
      </c>
      <c r="N31" s="53">
        <v>26.5</v>
      </c>
      <c r="O31" s="53">
        <v>0</v>
      </c>
      <c r="P31" s="53">
        <v>0.83</v>
      </c>
      <c r="Q31" s="53">
        <v>9.6199999999999992</v>
      </c>
      <c r="R31" s="43"/>
      <c r="S31" s="43"/>
      <c r="T31" s="43"/>
      <c r="U31" s="43"/>
    </row>
    <row r="32" spans="1:21" s="11" customFormat="1" x14ac:dyDescent="0.25">
      <c r="A32" s="52" t="s">
        <v>491</v>
      </c>
      <c r="B32" s="53">
        <v>19.22</v>
      </c>
      <c r="C32" s="53">
        <v>7.22</v>
      </c>
      <c r="D32" s="53">
        <v>19.07</v>
      </c>
      <c r="E32" s="53">
        <v>5.42</v>
      </c>
      <c r="F32" s="53">
        <v>4.1100000000000003</v>
      </c>
      <c r="G32" s="53">
        <v>32.979999999999997</v>
      </c>
      <c r="H32" s="53">
        <v>12.13</v>
      </c>
      <c r="I32" s="53">
        <v>3.33</v>
      </c>
      <c r="J32" s="53">
        <v>0.51</v>
      </c>
      <c r="K32" s="53">
        <v>312.04000000000002</v>
      </c>
      <c r="L32" s="53">
        <v>25.11</v>
      </c>
      <c r="M32" s="53">
        <v>102.7</v>
      </c>
      <c r="N32" s="53">
        <v>26.1</v>
      </c>
      <c r="O32" s="53">
        <v>0</v>
      </c>
      <c r="P32" s="53">
        <v>0.93</v>
      </c>
      <c r="Q32" s="53">
        <v>9.6199999999999992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2.17</v>
      </c>
      <c r="C34" s="28">
        <f t="shared" si="0"/>
        <v>4.33</v>
      </c>
      <c r="D34" s="28">
        <f t="shared" si="0"/>
        <v>5.81</v>
      </c>
      <c r="E34" s="28">
        <f t="shared" si="0"/>
        <v>4.12</v>
      </c>
      <c r="F34" s="28">
        <f t="shared" si="0"/>
        <v>3.13</v>
      </c>
      <c r="G34" s="28">
        <f t="shared" si="0"/>
        <v>18.420000000000002</v>
      </c>
      <c r="H34" s="28">
        <f t="shared" si="0"/>
        <v>5.61</v>
      </c>
      <c r="I34" s="28">
        <f t="shared" si="0"/>
        <v>1.8</v>
      </c>
      <c r="J34" s="28">
        <f t="shared" si="0"/>
        <v>0.3</v>
      </c>
      <c r="K34" s="28">
        <f t="shared" si="0"/>
        <v>101.02</v>
      </c>
      <c r="L34" s="28">
        <f t="shared" si="0"/>
        <v>24.13</v>
      </c>
      <c r="M34" s="28">
        <f t="shared" si="0"/>
        <v>60.6</v>
      </c>
      <c r="N34" s="28">
        <f t="shared" si="0"/>
        <v>26.1</v>
      </c>
      <c r="O34" s="28">
        <f t="shared" si="0"/>
        <v>0</v>
      </c>
      <c r="P34" s="28">
        <f t="shared" si="0"/>
        <v>0.36</v>
      </c>
      <c r="Q34" s="28">
        <f t="shared" si="0"/>
        <v>9.61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20.61</v>
      </c>
      <c r="C35" s="29">
        <f t="shared" si="1"/>
        <v>15.17</v>
      </c>
      <c r="D35" s="29">
        <f t="shared" si="1"/>
        <v>19.61</v>
      </c>
      <c r="E35" s="29">
        <f t="shared" si="1"/>
        <v>6.64</v>
      </c>
      <c r="F35" s="29">
        <f t="shared" si="1"/>
        <v>7.95</v>
      </c>
      <c r="G35" s="29">
        <f t="shared" si="1"/>
        <v>291.83</v>
      </c>
      <c r="H35" s="29">
        <f t="shared" si="1"/>
        <v>25.75</v>
      </c>
      <c r="I35" s="29">
        <f t="shared" si="1"/>
        <v>5.22</v>
      </c>
      <c r="J35" s="29">
        <f t="shared" si="1"/>
        <v>1.68</v>
      </c>
      <c r="K35" s="29">
        <f t="shared" si="1"/>
        <v>352.44</v>
      </c>
      <c r="L35" s="29">
        <f t="shared" si="1"/>
        <v>35.880000000000003</v>
      </c>
      <c r="M35" s="29">
        <f t="shared" si="1"/>
        <v>102.7</v>
      </c>
      <c r="N35" s="29">
        <f t="shared" si="1"/>
        <v>893.1</v>
      </c>
      <c r="O35" s="29">
        <f t="shared" si="1"/>
        <v>0</v>
      </c>
      <c r="P35" s="29">
        <f t="shared" si="1"/>
        <v>1.1599999999999999</v>
      </c>
      <c r="Q35" s="29">
        <f t="shared" si="1"/>
        <v>9.6300000000000008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8.9170833333333324</v>
      </c>
      <c r="C36" s="28">
        <f t="shared" si="2"/>
        <v>8.8970833333333346</v>
      </c>
      <c r="D36" s="28">
        <f t="shared" si="2"/>
        <v>11.65625</v>
      </c>
      <c r="E36" s="28">
        <f t="shared" si="2"/>
        <v>5.6383333333333319</v>
      </c>
      <c r="F36" s="28">
        <f t="shared" si="2"/>
        <v>4.5545833333333334</v>
      </c>
      <c r="G36" s="28">
        <f t="shared" si="2"/>
        <v>51.395000000000003</v>
      </c>
      <c r="H36" s="28">
        <f t="shared" si="2"/>
        <v>10.260833333333332</v>
      </c>
      <c r="I36" s="28">
        <f t="shared" si="2"/>
        <v>3.311666666666667</v>
      </c>
      <c r="J36" s="28">
        <f t="shared" si="2"/>
        <v>0.79999999999999993</v>
      </c>
      <c r="K36" s="28">
        <f t="shared" si="2"/>
        <v>260.54541666666671</v>
      </c>
      <c r="L36" s="28">
        <f t="shared" si="2"/>
        <v>28.441250000000007</v>
      </c>
      <c r="M36" s="28">
        <f t="shared" si="2"/>
        <v>84.150416666666658</v>
      </c>
      <c r="N36" s="28">
        <f t="shared" si="2"/>
        <v>219.32916666666674</v>
      </c>
      <c r="O36" s="28">
        <f t="shared" si="2"/>
        <v>0</v>
      </c>
      <c r="P36" s="28">
        <f t="shared" si="2"/>
        <v>0.59166666666666667</v>
      </c>
      <c r="Q36" s="28">
        <f t="shared" si="2"/>
        <v>9.6191666666666666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5.9953014060408467</v>
      </c>
      <c r="C37" s="28">
        <f t="shared" ref="C37:Q37" si="3">STDEV(C9:C32)</f>
        <v>3.6241466511822233</v>
      </c>
      <c r="D37" s="28">
        <f t="shared" si="3"/>
        <v>4.1823415664267385</v>
      </c>
      <c r="E37" s="28">
        <f t="shared" si="3"/>
        <v>0.80927056080134274</v>
      </c>
      <c r="F37" s="28">
        <f t="shared" si="3"/>
        <v>1.3592324533790543</v>
      </c>
      <c r="G37" s="28">
        <f t="shared" si="3"/>
        <v>74.609417694387957</v>
      </c>
      <c r="H37" s="28">
        <f t="shared" si="3"/>
        <v>5.319024850695742</v>
      </c>
      <c r="I37" s="28">
        <f t="shared" si="3"/>
        <v>0.8554717318871331</v>
      </c>
      <c r="J37" s="28">
        <f t="shared" si="3"/>
        <v>0.37339802752093099</v>
      </c>
      <c r="K37" s="28">
        <f t="shared" si="3"/>
        <v>96.255981766879145</v>
      </c>
      <c r="L37" s="28">
        <f t="shared" si="3"/>
        <v>3.2093224430521192</v>
      </c>
      <c r="M37" s="28">
        <f t="shared" si="3"/>
        <v>15.810516444873816</v>
      </c>
      <c r="N37" s="28">
        <f t="shared" si="3"/>
        <v>297.4436585000326</v>
      </c>
      <c r="O37" s="28">
        <f t="shared" si="3"/>
        <v>0</v>
      </c>
      <c r="P37" s="28">
        <f t="shared" si="3"/>
        <v>0.24676457124795745</v>
      </c>
      <c r="Q37" s="28">
        <f t="shared" si="3"/>
        <v>5.8359207512179521E-3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3" sqref="G53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19/10/2024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6"/>
      <c r="B8" s="57" t="s">
        <v>22</v>
      </c>
      <c r="C8" s="57" t="s">
        <v>22</v>
      </c>
      <c r="D8" s="29" t="s">
        <v>42</v>
      </c>
      <c r="E8" s="57" t="s">
        <v>22</v>
      </c>
      <c r="F8" s="57" t="s">
        <v>22</v>
      </c>
      <c r="G8" s="57" t="s">
        <v>23</v>
      </c>
      <c r="H8" s="57" t="s">
        <v>22</v>
      </c>
      <c r="I8" s="57" t="s">
        <v>22</v>
      </c>
      <c r="J8" s="57" t="s">
        <v>24</v>
      </c>
      <c r="K8" s="57" t="s">
        <v>25</v>
      </c>
      <c r="L8" s="56" t="s">
        <v>27</v>
      </c>
      <c r="M8" s="57" t="s">
        <v>26</v>
      </c>
      <c r="N8" s="57" t="s">
        <v>28</v>
      </c>
      <c r="O8" s="56" t="s">
        <v>29</v>
      </c>
      <c r="P8" s="57" t="s">
        <v>22</v>
      </c>
      <c r="Q8" s="57" t="s">
        <v>22</v>
      </c>
      <c r="R8" s="27"/>
      <c r="S8" s="29"/>
      <c r="T8" s="27"/>
      <c r="U8" s="27"/>
    </row>
    <row r="9" spans="1:21" s="11" customFormat="1" x14ac:dyDescent="0.25">
      <c r="A9" s="49" t="s">
        <v>492</v>
      </c>
      <c r="B9" s="50">
        <v>20.13</v>
      </c>
      <c r="C9" s="50">
        <v>7.03</v>
      </c>
      <c r="D9" s="50">
        <v>19.71</v>
      </c>
      <c r="E9" s="50">
        <v>5.64</v>
      </c>
      <c r="F9" s="50">
        <v>3.6</v>
      </c>
      <c r="G9" s="50">
        <v>52.66</v>
      </c>
      <c r="H9" s="50">
        <v>8.49</v>
      </c>
      <c r="I9" s="50">
        <v>3.7</v>
      </c>
      <c r="J9" s="50">
        <v>0.56000000000000005</v>
      </c>
      <c r="K9" s="50">
        <v>352.08</v>
      </c>
      <c r="L9" s="50">
        <v>24.99</v>
      </c>
      <c r="M9" s="50">
        <v>102.75</v>
      </c>
      <c r="N9" s="50">
        <v>26.1</v>
      </c>
      <c r="O9" s="50">
        <v>0</v>
      </c>
      <c r="P9" s="50">
        <v>0.85</v>
      </c>
      <c r="Q9" s="50">
        <v>9.6199999999999992</v>
      </c>
      <c r="R9" s="43"/>
      <c r="S9" s="43"/>
      <c r="T9" s="43"/>
      <c r="U9" s="43"/>
    </row>
    <row r="10" spans="1:21" s="11" customFormat="1" x14ac:dyDescent="0.25">
      <c r="A10" s="49" t="s">
        <v>493</v>
      </c>
      <c r="B10" s="50">
        <v>19.739999999999998</v>
      </c>
      <c r="C10" s="50">
        <v>6.17</v>
      </c>
      <c r="D10" s="50">
        <v>19.05</v>
      </c>
      <c r="E10" s="50">
        <v>5.87</v>
      </c>
      <c r="F10" s="50">
        <v>6.29</v>
      </c>
      <c r="G10" s="50">
        <v>90.08</v>
      </c>
      <c r="H10" s="50">
        <v>88.52</v>
      </c>
      <c r="I10" s="50">
        <v>3.86</v>
      </c>
      <c r="J10" s="50">
        <v>0.51</v>
      </c>
      <c r="K10" s="50">
        <v>358.62</v>
      </c>
      <c r="L10" s="50">
        <v>24.59</v>
      </c>
      <c r="M10" s="50">
        <v>102.75</v>
      </c>
      <c r="N10" s="50">
        <v>26.1</v>
      </c>
      <c r="O10" s="50">
        <v>0</v>
      </c>
      <c r="P10" s="50">
        <v>0.79</v>
      </c>
      <c r="Q10" s="50">
        <v>9.6300000000000008</v>
      </c>
      <c r="R10" s="43"/>
      <c r="S10" s="43"/>
      <c r="T10" s="43"/>
      <c r="U10" s="43"/>
    </row>
    <row r="11" spans="1:21" s="11" customFormat="1" x14ac:dyDescent="0.25">
      <c r="A11" s="49" t="s">
        <v>494</v>
      </c>
      <c r="B11" s="50">
        <v>19.010000000000002</v>
      </c>
      <c r="C11" s="50">
        <v>5.97</v>
      </c>
      <c r="D11" s="50">
        <v>18.079999999999998</v>
      </c>
      <c r="E11" s="50">
        <v>6.05</v>
      </c>
      <c r="F11" s="50">
        <v>3.78</v>
      </c>
      <c r="G11" s="50">
        <v>90.98</v>
      </c>
      <c r="H11" s="50">
        <v>88.52</v>
      </c>
      <c r="I11" s="50">
        <v>3.92</v>
      </c>
      <c r="J11" s="50">
        <v>1.22</v>
      </c>
      <c r="K11" s="50">
        <v>333.9</v>
      </c>
      <c r="L11" s="50">
        <v>24.7</v>
      </c>
      <c r="M11" s="50">
        <v>102.75</v>
      </c>
      <c r="N11" s="50">
        <v>26.1</v>
      </c>
      <c r="O11" s="50">
        <v>0</v>
      </c>
      <c r="P11" s="50">
        <v>0.78</v>
      </c>
      <c r="Q11" s="50">
        <v>9.6199999999999992</v>
      </c>
      <c r="R11" s="43"/>
      <c r="S11" s="43"/>
      <c r="T11" s="43"/>
      <c r="U11" s="43"/>
    </row>
    <row r="12" spans="1:21" s="11" customFormat="1" x14ac:dyDescent="0.25">
      <c r="A12" s="49" t="s">
        <v>495</v>
      </c>
      <c r="B12" s="50">
        <v>19.489999999999998</v>
      </c>
      <c r="C12" s="50">
        <v>6.21</v>
      </c>
      <c r="D12" s="50">
        <v>18.8</v>
      </c>
      <c r="E12" s="50">
        <v>6.11</v>
      </c>
      <c r="F12" s="50">
        <v>4.4000000000000004</v>
      </c>
      <c r="G12" s="50">
        <v>134.29</v>
      </c>
      <c r="H12" s="50">
        <v>69.98</v>
      </c>
      <c r="I12" s="50">
        <v>5.17</v>
      </c>
      <c r="J12" s="50">
        <v>0.93</v>
      </c>
      <c r="K12" s="50">
        <v>346.92</v>
      </c>
      <c r="L12" s="50">
        <v>24.4</v>
      </c>
      <c r="M12" s="50">
        <v>102.71</v>
      </c>
      <c r="N12" s="50">
        <v>26.3</v>
      </c>
      <c r="O12" s="50">
        <v>0</v>
      </c>
      <c r="P12" s="50">
        <v>0.86</v>
      </c>
      <c r="Q12" s="50">
        <v>9.6199999999999992</v>
      </c>
      <c r="R12" s="43"/>
      <c r="S12" s="43"/>
      <c r="T12" s="43"/>
      <c r="U12" s="43"/>
    </row>
    <row r="13" spans="1:21" s="11" customFormat="1" x14ac:dyDescent="0.25">
      <c r="A13" s="49" t="s">
        <v>496</v>
      </c>
      <c r="B13" s="50">
        <v>23.6</v>
      </c>
      <c r="C13" s="50">
        <v>6.22</v>
      </c>
      <c r="D13" s="50">
        <v>22.18</v>
      </c>
      <c r="E13" s="50">
        <v>7.46</v>
      </c>
      <c r="F13" s="50">
        <v>4.13</v>
      </c>
      <c r="G13" s="50">
        <v>142.1</v>
      </c>
      <c r="H13" s="50">
        <v>77.239999999999995</v>
      </c>
      <c r="I13" s="50">
        <v>5.54</v>
      </c>
      <c r="J13" s="50">
        <v>1.1399999999999999</v>
      </c>
      <c r="K13" s="50">
        <v>343.21</v>
      </c>
      <c r="L13" s="50">
        <v>24.34</v>
      </c>
      <c r="M13" s="50">
        <v>102.72</v>
      </c>
      <c r="N13" s="50">
        <v>26.1</v>
      </c>
      <c r="O13" s="50">
        <v>0</v>
      </c>
      <c r="P13" s="50">
        <v>0.94</v>
      </c>
      <c r="Q13" s="50">
        <v>9.61</v>
      </c>
      <c r="R13" s="43"/>
      <c r="S13" s="43"/>
      <c r="T13" s="43"/>
      <c r="U13" s="43"/>
    </row>
    <row r="14" spans="1:21" s="11" customFormat="1" x14ac:dyDescent="0.25">
      <c r="A14" s="49" t="s">
        <v>497</v>
      </c>
      <c r="B14" s="50">
        <v>27.12</v>
      </c>
      <c r="C14" s="50">
        <v>5.84</v>
      </c>
      <c r="D14" s="50">
        <v>24.65</v>
      </c>
      <c r="E14" s="50">
        <v>7.34</v>
      </c>
      <c r="F14" s="50">
        <v>3.66</v>
      </c>
      <c r="G14" s="50">
        <v>142.1</v>
      </c>
      <c r="H14" s="50">
        <v>77.239999999999995</v>
      </c>
      <c r="I14" s="50">
        <v>6.56</v>
      </c>
      <c r="J14" s="50">
        <v>0.78</v>
      </c>
      <c r="K14" s="50">
        <v>342.98</v>
      </c>
      <c r="L14" s="50">
        <v>24.19</v>
      </c>
      <c r="M14" s="50">
        <v>102.72</v>
      </c>
      <c r="N14" s="50">
        <v>27.5</v>
      </c>
      <c r="O14" s="50">
        <v>0</v>
      </c>
      <c r="P14" s="50">
        <v>1.07</v>
      </c>
      <c r="Q14" s="50">
        <v>9.6300000000000008</v>
      </c>
      <c r="R14" s="43"/>
      <c r="S14" s="43"/>
      <c r="T14" s="43"/>
      <c r="U14" s="43"/>
    </row>
    <row r="15" spans="1:21" s="11" customFormat="1" x14ac:dyDescent="0.25">
      <c r="A15" s="49" t="s">
        <v>498</v>
      </c>
      <c r="B15" s="50">
        <v>29.88</v>
      </c>
      <c r="C15" s="50">
        <v>5.87</v>
      </c>
      <c r="D15" s="50">
        <v>27.03</v>
      </c>
      <c r="E15" s="50">
        <v>7.13</v>
      </c>
      <c r="F15" s="50">
        <v>3.68</v>
      </c>
      <c r="G15" s="50">
        <v>134.07</v>
      </c>
      <c r="H15" s="50">
        <v>75.72</v>
      </c>
      <c r="I15" s="50">
        <v>6.11</v>
      </c>
      <c r="J15" s="50">
        <v>0.85</v>
      </c>
      <c r="K15" s="50">
        <v>339.59</v>
      </c>
      <c r="L15" s="50">
        <v>25.09</v>
      </c>
      <c r="M15" s="50">
        <v>102.73</v>
      </c>
      <c r="N15" s="50">
        <v>87.1</v>
      </c>
      <c r="O15" s="50">
        <v>0</v>
      </c>
      <c r="P15" s="50">
        <v>1.35</v>
      </c>
      <c r="Q15" s="50">
        <v>9.6300000000000008</v>
      </c>
      <c r="R15" s="43"/>
      <c r="S15" s="43"/>
      <c r="T15" s="43"/>
      <c r="U15" s="43"/>
    </row>
    <row r="16" spans="1:21" s="11" customFormat="1" x14ac:dyDescent="0.25">
      <c r="A16" s="49" t="s">
        <v>499</v>
      </c>
      <c r="B16" s="50">
        <v>30.31</v>
      </c>
      <c r="C16" s="50">
        <v>7.25</v>
      </c>
      <c r="D16" s="50">
        <v>27.86</v>
      </c>
      <c r="E16" s="50">
        <v>7.33</v>
      </c>
      <c r="F16" s="50">
        <v>4.4000000000000004</v>
      </c>
      <c r="G16" s="50">
        <v>130.77000000000001</v>
      </c>
      <c r="H16" s="50">
        <v>49.41</v>
      </c>
      <c r="I16" s="50">
        <v>7.35</v>
      </c>
      <c r="J16" s="50">
        <v>1.39</v>
      </c>
      <c r="K16" s="50">
        <v>339.4</v>
      </c>
      <c r="L16" s="50">
        <v>28.81</v>
      </c>
      <c r="M16" s="50">
        <v>93.32</v>
      </c>
      <c r="N16" s="50">
        <v>314.5</v>
      </c>
      <c r="O16" s="50">
        <v>0</v>
      </c>
      <c r="P16" s="50">
        <v>1.04</v>
      </c>
      <c r="Q16" s="50">
        <v>9.6199999999999992</v>
      </c>
      <c r="R16" s="43"/>
      <c r="S16" s="43"/>
      <c r="T16" s="43"/>
      <c r="U16" s="43"/>
    </row>
    <row r="17" spans="1:21" s="11" customFormat="1" x14ac:dyDescent="0.25">
      <c r="A17" s="49" t="s">
        <v>500</v>
      </c>
      <c r="B17" s="50">
        <v>28.49</v>
      </c>
      <c r="C17" s="50">
        <v>8.74</v>
      </c>
      <c r="D17" s="50">
        <v>26.61</v>
      </c>
      <c r="E17" s="50">
        <v>5.58</v>
      </c>
      <c r="F17" s="50">
        <v>3.73</v>
      </c>
      <c r="G17" s="50">
        <v>124.86</v>
      </c>
      <c r="H17" s="50">
        <v>41.35</v>
      </c>
      <c r="I17" s="50">
        <v>6.12</v>
      </c>
      <c r="J17" s="50">
        <v>1.2</v>
      </c>
      <c r="K17" s="50">
        <v>354.71</v>
      </c>
      <c r="L17" s="50">
        <v>31.37</v>
      </c>
      <c r="M17" s="50">
        <v>78.94</v>
      </c>
      <c r="N17" s="50">
        <v>466.7</v>
      </c>
      <c r="O17" s="50">
        <v>0</v>
      </c>
      <c r="P17" s="50">
        <v>0.92</v>
      </c>
      <c r="Q17" s="50">
        <v>9.6199999999999992</v>
      </c>
      <c r="R17" s="43"/>
      <c r="S17" s="43"/>
      <c r="T17" s="43"/>
      <c r="U17" s="43"/>
    </row>
    <row r="18" spans="1:21" s="11" customFormat="1" x14ac:dyDescent="0.25">
      <c r="A18" s="49" t="s">
        <v>501</v>
      </c>
      <c r="B18" s="50">
        <v>23.42</v>
      </c>
      <c r="C18" s="50">
        <v>10.02</v>
      </c>
      <c r="D18" s="50">
        <v>23.37</v>
      </c>
      <c r="E18" s="50">
        <v>5.22</v>
      </c>
      <c r="F18" s="50">
        <v>3.97</v>
      </c>
      <c r="G18" s="50">
        <v>94.47</v>
      </c>
      <c r="H18" s="50">
        <v>36.86</v>
      </c>
      <c r="I18" s="50">
        <v>5.63</v>
      </c>
      <c r="J18" s="50">
        <v>1.17</v>
      </c>
      <c r="K18" s="50">
        <v>331.55</v>
      </c>
      <c r="L18" s="50">
        <v>31.6</v>
      </c>
      <c r="M18" s="50">
        <v>82.28</v>
      </c>
      <c r="N18" s="50">
        <v>635.1</v>
      </c>
      <c r="O18" s="50">
        <v>0</v>
      </c>
      <c r="P18" s="50">
        <v>0.82</v>
      </c>
      <c r="Q18" s="50">
        <v>9.6199999999999992</v>
      </c>
      <c r="R18" s="43"/>
      <c r="S18" s="43"/>
      <c r="T18" s="43"/>
      <c r="U18" s="43"/>
    </row>
    <row r="19" spans="1:21" s="11" customFormat="1" x14ac:dyDescent="0.25">
      <c r="A19" s="49" t="s">
        <v>502</v>
      </c>
      <c r="B19" s="50">
        <v>18.649999999999999</v>
      </c>
      <c r="C19" s="50">
        <v>12.69</v>
      </c>
      <c r="D19" s="50">
        <v>21.07</v>
      </c>
      <c r="E19" s="50">
        <v>5.25</v>
      </c>
      <c r="F19" s="50">
        <v>4.26</v>
      </c>
      <c r="G19" s="50">
        <v>79.680000000000007</v>
      </c>
      <c r="H19" s="50">
        <v>37.11</v>
      </c>
      <c r="I19" s="50">
        <v>5.93</v>
      </c>
      <c r="J19" s="50">
        <v>1.33</v>
      </c>
      <c r="K19" s="50">
        <v>358.37</v>
      </c>
      <c r="L19" s="50">
        <v>31.14</v>
      </c>
      <c r="M19" s="50">
        <v>82.23</v>
      </c>
      <c r="N19" s="50">
        <v>565.6</v>
      </c>
      <c r="O19" s="50">
        <v>0</v>
      </c>
      <c r="P19" s="50">
        <v>0.84</v>
      </c>
      <c r="Q19" s="50">
        <v>9.6300000000000008</v>
      </c>
      <c r="R19" s="43"/>
      <c r="S19" s="43"/>
      <c r="T19" s="43"/>
      <c r="U19" s="43"/>
    </row>
    <row r="20" spans="1:21" s="11" customFormat="1" x14ac:dyDescent="0.25">
      <c r="A20" s="49" t="s">
        <v>503</v>
      </c>
      <c r="B20" s="50">
        <v>15.93</v>
      </c>
      <c r="C20" s="50">
        <v>13.4</v>
      </c>
      <c r="D20" s="50">
        <v>19.38</v>
      </c>
      <c r="E20" s="50">
        <v>6.73</v>
      </c>
      <c r="F20" s="50">
        <v>4.88</v>
      </c>
      <c r="G20" s="50">
        <v>79.680000000000007</v>
      </c>
      <c r="H20" s="50">
        <v>37.11</v>
      </c>
      <c r="I20" s="50">
        <v>5.78</v>
      </c>
      <c r="J20" s="50">
        <v>0.83</v>
      </c>
      <c r="K20" s="50">
        <v>114.34</v>
      </c>
      <c r="L20" s="50">
        <v>31.75</v>
      </c>
      <c r="M20" s="50">
        <v>71.19</v>
      </c>
      <c r="N20" s="50">
        <v>539.29999999999995</v>
      </c>
      <c r="O20" s="50">
        <v>0</v>
      </c>
      <c r="P20" s="50">
        <v>0.8</v>
      </c>
      <c r="Q20" s="50">
        <v>9.6300000000000008</v>
      </c>
      <c r="R20" s="43"/>
      <c r="S20" s="43"/>
      <c r="T20" s="43"/>
      <c r="U20" s="43"/>
    </row>
    <row r="21" spans="1:21" s="11" customFormat="1" x14ac:dyDescent="0.25">
      <c r="A21" s="49" t="s">
        <v>504</v>
      </c>
      <c r="B21" s="50">
        <v>8.74</v>
      </c>
      <c r="C21" s="50">
        <v>13.59</v>
      </c>
      <c r="D21" s="50">
        <v>14.11</v>
      </c>
      <c r="E21" s="50">
        <v>6.87</v>
      </c>
      <c r="F21" s="50">
        <v>4.8899999999999997</v>
      </c>
      <c r="G21" s="50">
        <v>72.72</v>
      </c>
      <c r="H21" s="50">
        <v>29.94</v>
      </c>
      <c r="I21" s="50">
        <v>5.81</v>
      </c>
      <c r="J21" s="50">
        <v>1.19</v>
      </c>
      <c r="K21" s="50">
        <v>120.74</v>
      </c>
      <c r="L21" s="50">
        <v>30.74</v>
      </c>
      <c r="M21" s="50">
        <v>69.78</v>
      </c>
      <c r="N21" s="50">
        <v>557.70000000000005</v>
      </c>
      <c r="O21" s="50">
        <v>0</v>
      </c>
      <c r="P21" s="50">
        <v>0.69</v>
      </c>
      <c r="Q21" s="50">
        <v>9.6199999999999992</v>
      </c>
      <c r="R21" s="43"/>
      <c r="S21" s="43"/>
      <c r="T21" s="43"/>
      <c r="U21" s="43"/>
    </row>
    <row r="22" spans="1:21" s="11" customFormat="1" x14ac:dyDescent="0.25">
      <c r="A22" s="49" t="s">
        <v>505</v>
      </c>
      <c r="B22" s="50">
        <v>2.67</v>
      </c>
      <c r="C22" s="50">
        <v>13.3</v>
      </c>
      <c r="D22" s="50">
        <v>8.99</v>
      </c>
      <c r="E22" s="50">
        <v>7.18</v>
      </c>
      <c r="F22" s="50">
        <v>4.71</v>
      </c>
      <c r="G22" s="50">
        <v>72.72</v>
      </c>
      <c r="H22" s="50">
        <v>41.15</v>
      </c>
      <c r="I22" s="50">
        <v>4.66</v>
      </c>
      <c r="J22" s="50">
        <v>1.76</v>
      </c>
      <c r="K22" s="50">
        <v>345.38</v>
      </c>
      <c r="L22" s="50">
        <v>30.96</v>
      </c>
      <c r="M22" s="50">
        <v>67.47</v>
      </c>
      <c r="N22" s="50">
        <v>229.5</v>
      </c>
      <c r="O22" s="50">
        <v>0</v>
      </c>
      <c r="P22" s="50">
        <v>0.75</v>
      </c>
      <c r="Q22" s="50">
        <v>9.6300000000000008</v>
      </c>
      <c r="R22" s="43"/>
      <c r="S22" s="43"/>
      <c r="T22" s="43"/>
      <c r="U22" s="43"/>
    </row>
    <row r="23" spans="1:21" s="11" customFormat="1" x14ac:dyDescent="0.25">
      <c r="A23" s="49" t="s">
        <v>506</v>
      </c>
      <c r="B23" s="50">
        <v>2.91</v>
      </c>
      <c r="C23" s="50">
        <v>15.89</v>
      </c>
      <c r="D23" s="50">
        <v>10.43</v>
      </c>
      <c r="E23" s="50">
        <v>7.21</v>
      </c>
      <c r="F23" s="50">
        <v>5.23</v>
      </c>
      <c r="G23" s="50">
        <v>81.59</v>
      </c>
      <c r="H23" s="50">
        <v>43.5</v>
      </c>
      <c r="I23" s="50">
        <v>4.3</v>
      </c>
      <c r="J23" s="50">
        <v>1.88</v>
      </c>
      <c r="K23" s="50">
        <v>337.27</v>
      </c>
      <c r="L23" s="50">
        <v>31.94</v>
      </c>
      <c r="M23" s="50">
        <v>59.53</v>
      </c>
      <c r="N23" s="50">
        <v>227.9</v>
      </c>
      <c r="O23" s="50">
        <v>0</v>
      </c>
      <c r="P23" s="50">
        <v>0.68</v>
      </c>
      <c r="Q23" s="50">
        <v>9.6199999999999992</v>
      </c>
      <c r="R23" s="43"/>
      <c r="S23" s="43"/>
      <c r="T23" s="43"/>
      <c r="U23" s="43"/>
    </row>
    <row r="24" spans="1:21" s="11" customFormat="1" x14ac:dyDescent="0.25">
      <c r="A24" s="49" t="s">
        <v>507</v>
      </c>
      <c r="B24" s="50">
        <v>2.29</v>
      </c>
      <c r="C24" s="50">
        <v>16.64</v>
      </c>
      <c r="D24" s="50">
        <v>10.32</v>
      </c>
      <c r="E24" s="50">
        <v>7.31</v>
      </c>
      <c r="F24" s="50">
        <v>5.88</v>
      </c>
      <c r="G24" s="50">
        <v>87.88</v>
      </c>
      <c r="H24" s="50">
        <v>44.4</v>
      </c>
      <c r="I24" s="50">
        <v>4.16</v>
      </c>
      <c r="J24" s="50">
        <v>1.91</v>
      </c>
      <c r="K24" s="50">
        <v>339.7</v>
      </c>
      <c r="L24" s="50">
        <v>31.17</v>
      </c>
      <c r="M24" s="50">
        <v>63.64</v>
      </c>
      <c r="N24" s="50">
        <v>162.6</v>
      </c>
      <c r="O24" s="50">
        <v>0</v>
      </c>
      <c r="P24" s="50">
        <v>0.69</v>
      </c>
      <c r="Q24" s="50">
        <v>9.61</v>
      </c>
      <c r="R24" s="43"/>
      <c r="S24" s="43"/>
      <c r="T24" s="43"/>
      <c r="U24" s="43"/>
    </row>
    <row r="25" spans="1:21" s="11" customFormat="1" x14ac:dyDescent="0.25">
      <c r="A25" s="49" t="s">
        <v>508</v>
      </c>
      <c r="B25" s="50">
        <v>0.7</v>
      </c>
      <c r="C25" s="50">
        <v>15.64</v>
      </c>
      <c r="D25" s="50">
        <v>8.6300000000000008</v>
      </c>
      <c r="E25" s="50">
        <v>6.01</v>
      </c>
      <c r="F25" s="50">
        <v>6.16</v>
      </c>
      <c r="G25" s="50">
        <v>96.25</v>
      </c>
      <c r="H25" s="50">
        <v>46.69</v>
      </c>
      <c r="I25" s="50">
        <v>4.09</v>
      </c>
      <c r="J25" s="50">
        <v>0.71</v>
      </c>
      <c r="K25" s="50">
        <v>347.86</v>
      </c>
      <c r="L25" s="50">
        <v>29.93</v>
      </c>
      <c r="M25" s="50">
        <v>62.6</v>
      </c>
      <c r="N25" s="50">
        <v>92.9</v>
      </c>
      <c r="O25" s="50">
        <v>0</v>
      </c>
      <c r="P25" s="50">
        <v>0.75</v>
      </c>
      <c r="Q25" s="50">
        <v>9.6199999999999992</v>
      </c>
      <c r="R25" s="43"/>
      <c r="S25" s="43"/>
      <c r="T25" s="43"/>
      <c r="U25" s="43"/>
    </row>
    <row r="26" spans="1:21" s="11" customFormat="1" x14ac:dyDescent="0.25">
      <c r="A26" s="49" t="s">
        <v>509</v>
      </c>
      <c r="B26" s="50">
        <v>0.84</v>
      </c>
      <c r="C26" s="50">
        <v>15.07</v>
      </c>
      <c r="D26" s="50">
        <v>8.34</v>
      </c>
      <c r="E26" s="50">
        <v>5.83</v>
      </c>
      <c r="F26" s="50">
        <v>5.7</v>
      </c>
      <c r="G26" s="50">
        <v>109.81</v>
      </c>
      <c r="H26" s="50">
        <v>58.8</v>
      </c>
      <c r="I26" s="50">
        <v>2.63</v>
      </c>
      <c r="J26" s="50">
        <v>0.47</v>
      </c>
      <c r="K26" s="50">
        <v>351.75</v>
      </c>
      <c r="L26" s="50">
        <v>28.35</v>
      </c>
      <c r="M26" s="50">
        <v>75.88</v>
      </c>
      <c r="N26" s="50">
        <v>33.799999999999997</v>
      </c>
      <c r="O26" s="50">
        <v>0</v>
      </c>
      <c r="P26" s="50">
        <v>0.85</v>
      </c>
      <c r="Q26" s="50">
        <v>9.6199999999999992</v>
      </c>
      <c r="R26" s="43"/>
      <c r="S26" s="43"/>
      <c r="T26" s="43"/>
      <c r="U26" s="43"/>
    </row>
    <row r="27" spans="1:21" s="11" customFormat="1" x14ac:dyDescent="0.25">
      <c r="A27" s="49" t="s">
        <v>510</v>
      </c>
      <c r="B27" s="50">
        <v>0.91</v>
      </c>
      <c r="C27" s="50">
        <v>13.51</v>
      </c>
      <c r="D27" s="50">
        <v>7.77</v>
      </c>
      <c r="E27" s="50">
        <v>5.56</v>
      </c>
      <c r="F27" s="50">
        <v>5.05</v>
      </c>
      <c r="G27" s="50">
        <v>109.82</v>
      </c>
      <c r="H27" s="50">
        <v>58.8</v>
      </c>
      <c r="I27" s="50">
        <v>2.44</v>
      </c>
      <c r="J27" s="50">
        <v>1.03</v>
      </c>
      <c r="K27" s="50">
        <v>119.46</v>
      </c>
      <c r="L27" s="50">
        <v>27.45</v>
      </c>
      <c r="M27" s="50">
        <v>78.77</v>
      </c>
      <c r="N27" s="50">
        <v>26.1</v>
      </c>
      <c r="O27" s="50">
        <v>0</v>
      </c>
      <c r="P27" s="50">
        <v>0.69</v>
      </c>
      <c r="Q27" s="50">
        <v>9.6199999999999992</v>
      </c>
      <c r="R27" s="43"/>
      <c r="S27" s="43"/>
      <c r="T27" s="43"/>
      <c r="U27" s="43"/>
    </row>
    <row r="28" spans="1:21" s="11" customFormat="1" x14ac:dyDescent="0.25">
      <c r="A28" s="49" t="s">
        <v>511</v>
      </c>
      <c r="B28" s="50">
        <v>0.63</v>
      </c>
      <c r="C28" s="50">
        <v>10.18</v>
      </c>
      <c r="D28" s="50">
        <v>5.81</v>
      </c>
      <c r="E28" s="50">
        <v>5.48</v>
      </c>
      <c r="F28" s="50">
        <v>6.98</v>
      </c>
      <c r="G28" s="50">
        <v>109.82</v>
      </c>
      <c r="H28" s="50">
        <v>50.68</v>
      </c>
      <c r="I28" s="50">
        <v>2.4700000000000002</v>
      </c>
      <c r="J28" s="50">
        <v>0.76</v>
      </c>
      <c r="K28" s="50">
        <v>117.86</v>
      </c>
      <c r="L28" s="50">
        <v>27.03</v>
      </c>
      <c r="M28" s="50">
        <v>80.680000000000007</v>
      </c>
      <c r="N28" s="50">
        <v>26.2</v>
      </c>
      <c r="O28" s="50">
        <v>0</v>
      </c>
      <c r="P28" s="50">
        <v>0.72</v>
      </c>
      <c r="Q28" s="50">
        <v>9.6199999999999992</v>
      </c>
      <c r="R28" s="43"/>
      <c r="S28" s="43"/>
      <c r="T28" s="43"/>
      <c r="U28" s="43"/>
    </row>
    <row r="29" spans="1:21" s="11" customFormat="1" x14ac:dyDescent="0.25">
      <c r="A29" s="49" t="s">
        <v>512</v>
      </c>
      <c r="B29" s="50">
        <v>0.2</v>
      </c>
      <c r="C29" s="50">
        <v>9.6300000000000008</v>
      </c>
      <c r="D29" s="50">
        <v>5.2</v>
      </c>
      <c r="E29" s="50">
        <v>5.44</v>
      </c>
      <c r="F29" s="50">
        <v>5.13</v>
      </c>
      <c r="G29" s="50">
        <v>98.49</v>
      </c>
      <c r="H29" s="50">
        <v>52.21</v>
      </c>
      <c r="I29" s="50">
        <v>3.72</v>
      </c>
      <c r="J29" s="50">
        <v>1.44</v>
      </c>
      <c r="K29" s="50">
        <v>120.74</v>
      </c>
      <c r="L29" s="50">
        <v>26.75</v>
      </c>
      <c r="M29" s="50">
        <v>82.43</v>
      </c>
      <c r="N29" s="50">
        <v>26.1</v>
      </c>
      <c r="O29" s="50">
        <v>0</v>
      </c>
      <c r="P29" s="50">
        <v>0.68</v>
      </c>
      <c r="Q29" s="50">
        <v>9.6199999999999992</v>
      </c>
      <c r="R29" s="43"/>
      <c r="S29" s="43"/>
      <c r="T29" s="43"/>
      <c r="U29" s="43"/>
    </row>
    <row r="30" spans="1:21" s="11" customFormat="1" x14ac:dyDescent="0.25">
      <c r="A30" s="49" t="s">
        <v>513</v>
      </c>
      <c r="B30" s="50">
        <v>0.02</v>
      </c>
      <c r="C30" s="50">
        <v>9.64</v>
      </c>
      <c r="D30" s="50">
        <v>4.97</v>
      </c>
      <c r="E30" s="50">
        <v>5.42</v>
      </c>
      <c r="F30" s="50">
        <v>4.4800000000000004</v>
      </c>
      <c r="G30" s="50">
        <v>89.98</v>
      </c>
      <c r="H30" s="50">
        <v>52.21</v>
      </c>
      <c r="I30" s="50">
        <v>5.36</v>
      </c>
      <c r="J30" s="50">
        <v>1.17</v>
      </c>
      <c r="K30" s="50">
        <v>160.83000000000001</v>
      </c>
      <c r="L30" s="50">
        <v>26.46</v>
      </c>
      <c r="M30" s="50">
        <v>89.14</v>
      </c>
      <c r="N30" s="50">
        <v>26.3</v>
      </c>
      <c r="O30" s="50">
        <v>0</v>
      </c>
      <c r="P30" s="50">
        <v>0.65</v>
      </c>
      <c r="Q30" s="50">
        <v>9.6199999999999992</v>
      </c>
      <c r="R30" s="43"/>
      <c r="S30" s="43"/>
      <c r="T30" s="43"/>
      <c r="U30" s="43"/>
    </row>
    <row r="31" spans="1:21" s="11" customFormat="1" x14ac:dyDescent="0.25">
      <c r="A31" s="49" t="s">
        <v>514</v>
      </c>
      <c r="B31" s="50">
        <v>0.5</v>
      </c>
      <c r="C31" s="50">
        <v>8.5399999999999991</v>
      </c>
      <c r="D31" s="50">
        <v>4.58</v>
      </c>
      <c r="E31" s="50">
        <v>5.04</v>
      </c>
      <c r="F31" s="50">
        <v>4.3099999999999996</v>
      </c>
      <c r="G31" s="50">
        <v>87.08</v>
      </c>
      <c r="H31" s="50">
        <v>39.479999999999997</v>
      </c>
      <c r="I31" s="50">
        <v>5.13</v>
      </c>
      <c r="J31" s="50">
        <v>2.2000000000000002</v>
      </c>
      <c r="K31" s="50">
        <v>138.4</v>
      </c>
      <c r="L31" s="50">
        <v>25.57</v>
      </c>
      <c r="M31" s="50">
        <v>94.93</v>
      </c>
      <c r="N31" s="50">
        <v>27.3</v>
      </c>
      <c r="O31" s="50">
        <v>0</v>
      </c>
      <c r="P31" s="50">
        <v>0.61</v>
      </c>
      <c r="Q31" s="50">
        <v>9.61</v>
      </c>
      <c r="R31" s="43"/>
      <c r="S31" s="43"/>
      <c r="T31" s="43"/>
      <c r="U31" s="43"/>
    </row>
    <row r="32" spans="1:21" s="11" customFormat="1" x14ac:dyDescent="0.25">
      <c r="A32" s="49" t="s">
        <v>515</v>
      </c>
      <c r="B32" s="50">
        <v>0.8</v>
      </c>
      <c r="C32" s="50">
        <v>6.22</v>
      </c>
      <c r="D32" s="50">
        <v>3.74</v>
      </c>
      <c r="E32" s="50">
        <v>5.07</v>
      </c>
      <c r="F32" s="50">
        <v>4.1500000000000004</v>
      </c>
      <c r="G32" s="50">
        <v>76.17</v>
      </c>
      <c r="H32" s="50">
        <v>24.77</v>
      </c>
      <c r="I32" s="50">
        <v>4.3</v>
      </c>
      <c r="J32" s="50">
        <v>0.65</v>
      </c>
      <c r="K32" s="50">
        <v>133.69</v>
      </c>
      <c r="L32" s="50">
        <v>23.47</v>
      </c>
      <c r="M32" s="50">
        <v>95.21</v>
      </c>
      <c r="N32" s="50">
        <v>26.5</v>
      </c>
      <c r="O32" s="50">
        <v>0</v>
      </c>
      <c r="P32" s="50">
        <v>0.48</v>
      </c>
      <c r="Q32" s="50">
        <v>9.61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0.02</v>
      </c>
      <c r="C34" s="28">
        <f t="shared" si="0"/>
        <v>5.84</v>
      </c>
      <c r="D34" s="28">
        <f t="shared" si="0"/>
        <v>3.74</v>
      </c>
      <c r="E34" s="28">
        <f t="shared" si="0"/>
        <v>5.04</v>
      </c>
      <c r="F34" s="28">
        <f t="shared" si="0"/>
        <v>3.6</v>
      </c>
      <c r="G34" s="28">
        <f t="shared" si="0"/>
        <v>52.66</v>
      </c>
      <c r="H34" s="28">
        <f t="shared" si="0"/>
        <v>8.49</v>
      </c>
      <c r="I34" s="28">
        <f t="shared" si="0"/>
        <v>2.44</v>
      </c>
      <c r="J34" s="28">
        <f t="shared" si="0"/>
        <v>0.47</v>
      </c>
      <c r="K34" s="28">
        <f t="shared" si="0"/>
        <v>114.34</v>
      </c>
      <c r="L34" s="28">
        <f t="shared" si="0"/>
        <v>23.47</v>
      </c>
      <c r="M34" s="28">
        <f t="shared" si="0"/>
        <v>59.53</v>
      </c>
      <c r="N34" s="28">
        <f t="shared" si="0"/>
        <v>26.1</v>
      </c>
      <c r="O34" s="28">
        <f t="shared" si="0"/>
        <v>0</v>
      </c>
      <c r="P34" s="28">
        <f t="shared" si="0"/>
        <v>0.48</v>
      </c>
      <c r="Q34" s="28">
        <f t="shared" si="0"/>
        <v>9.61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30.31</v>
      </c>
      <c r="C35" s="29">
        <f t="shared" si="1"/>
        <v>16.64</v>
      </c>
      <c r="D35" s="29">
        <f t="shared" si="1"/>
        <v>27.86</v>
      </c>
      <c r="E35" s="29">
        <f t="shared" si="1"/>
        <v>7.46</v>
      </c>
      <c r="F35" s="29">
        <f t="shared" si="1"/>
        <v>6.98</v>
      </c>
      <c r="G35" s="29">
        <f t="shared" si="1"/>
        <v>142.1</v>
      </c>
      <c r="H35" s="29">
        <f t="shared" si="1"/>
        <v>88.52</v>
      </c>
      <c r="I35" s="29">
        <f t="shared" si="1"/>
        <v>7.35</v>
      </c>
      <c r="J35" s="29">
        <f t="shared" si="1"/>
        <v>2.2000000000000002</v>
      </c>
      <c r="K35" s="29">
        <f t="shared" si="1"/>
        <v>358.62</v>
      </c>
      <c r="L35" s="29">
        <f t="shared" si="1"/>
        <v>31.94</v>
      </c>
      <c r="M35" s="29">
        <f t="shared" si="1"/>
        <v>102.75</v>
      </c>
      <c r="N35" s="29">
        <f t="shared" si="1"/>
        <v>635.1</v>
      </c>
      <c r="O35" s="29">
        <f t="shared" si="1"/>
        <v>0</v>
      </c>
      <c r="P35" s="29">
        <f t="shared" si="1"/>
        <v>1.35</v>
      </c>
      <c r="Q35" s="29">
        <f t="shared" si="1"/>
        <v>9.6300000000000008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12.374166666666667</v>
      </c>
      <c r="C36" s="28">
        <f t="shared" si="2"/>
        <v>10.135833333333331</v>
      </c>
      <c r="D36" s="28">
        <f t="shared" si="2"/>
        <v>15.028333333333334</v>
      </c>
      <c r="E36" s="28">
        <f t="shared" si="2"/>
        <v>6.1720833333333323</v>
      </c>
      <c r="F36" s="28">
        <f t="shared" si="2"/>
        <v>4.7270833333333337</v>
      </c>
      <c r="G36" s="28">
        <f t="shared" si="2"/>
        <v>99.50291666666665</v>
      </c>
      <c r="H36" s="28">
        <f t="shared" si="2"/>
        <v>51.2575</v>
      </c>
      <c r="I36" s="28">
        <f t="shared" si="2"/>
        <v>4.7808333333333328</v>
      </c>
      <c r="J36" s="28">
        <f t="shared" si="2"/>
        <v>1.1283333333333334</v>
      </c>
      <c r="K36" s="28">
        <f t="shared" si="2"/>
        <v>272.88958333333323</v>
      </c>
      <c r="L36" s="28">
        <f t="shared" si="2"/>
        <v>27.782916666666676</v>
      </c>
      <c r="M36" s="28">
        <f t="shared" si="2"/>
        <v>85.297916666666694</v>
      </c>
      <c r="N36" s="28">
        <f t="shared" si="2"/>
        <v>176.22500000000002</v>
      </c>
      <c r="O36" s="28">
        <f t="shared" si="2"/>
        <v>0</v>
      </c>
      <c r="P36" s="28">
        <f t="shared" si="2"/>
        <v>0.80416666666666659</v>
      </c>
      <c r="Q36" s="28">
        <f t="shared" si="2"/>
        <v>9.6208333333333371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11.473131529859195</v>
      </c>
      <c r="C37" s="28">
        <f t="shared" ref="C37:Q37" si="3">STDEV(C9:C32)</f>
        <v>3.7263035847602577</v>
      </c>
      <c r="D37" s="28">
        <f t="shared" si="3"/>
        <v>8.1066621376798889</v>
      </c>
      <c r="E37" s="28">
        <f t="shared" si="3"/>
        <v>0.84859463957702574</v>
      </c>
      <c r="F37" s="28">
        <f t="shared" si="3"/>
        <v>0.92650572708366752</v>
      </c>
      <c r="G37" s="28">
        <f t="shared" si="3"/>
        <v>24.523598125810018</v>
      </c>
      <c r="H37" s="28">
        <f t="shared" si="3"/>
        <v>20.05993633220637</v>
      </c>
      <c r="I37" s="28">
        <f t="shared" si="3"/>
        <v>1.3068079818585785</v>
      </c>
      <c r="J37" s="28">
        <f t="shared" si="3"/>
        <v>0.46465196575002471</v>
      </c>
      <c r="K37" s="28">
        <f t="shared" si="3"/>
        <v>105.03255956789837</v>
      </c>
      <c r="L37" s="28">
        <f t="shared" si="3"/>
        <v>2.9925595837540673</v>
      </c>
      <c r="M37" s="28">
        <f t="shared" si="3"/>
        <v>14.779109221602452</v>
      </c>
      <c r="N37" s="28">
        <f t="shared" si="3"/>
        <v>213.9981536897192</v>
      </c>
      <c r="O37" s="28">
        <f t="shared" si="3"/>
        <v>0</v>
      </c>
      <c r="P37" s="28">
        <f t="shared" si="3"/>
        <v>0.17633753864742555</v>
      </c>
      <c r="Q37" s="28">
        <f t="shared" si="3"/>
        <v>6.5386254815834547E-3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20/10/2024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516</v>
      </c>
      <c r="B9" s="53">
        <v>0.76</v>
      </c>
      <c r="C9" s="53">
        <v>5.21</v>
      </c>
      <c r="D9" s="53">
        <v>3.3</v>
      </c>
      <c r="E9" s="53">
        <v>4.5599999999999996</v>
      </c>
      <c r="F9" s="53">
        <v>3.95</v>
      </c>
      <c r="G9" s="53">
        <v>47.63</v>
      </c>
      <c r="H9" s="53">
        <v>10.98</v>
      </c>
      <c r="I9" s="53">
        <v>4.67</v>
      </c>
      <c r="J9" s="53">
        <v>0.34</v>
      </c>
      <c r="K9" s="53">
        <v>117.51</v>
      </c>
      <c r="L9" s="53">
        <v>22.84</v>
      </c>
      <c r="M9" s="53">
        <v>96.02</v>
      </c>
      <c r="N9" s="53">
        <v>26.1</v>
      </c>
      <c r="O9" s="53">
        <v>0</v>
      </c>
      <c r="P9" s="53">
        <v>0.47</v>
      </c>
      <c r="Q9" s="53">
        <v>9.61</v>
      </c>
      <c r="R9" s="43"/>
      <c r="S9" s="43"/>
      <c r="T9" s="43"/>
      <c r="U9" s="43"/>
    </row>
    <row r="10" spans="1:21" s="11" customFormat="1" x14ac:dyDescent="0.25">
      <c r="A10" s="52" t="s">
        <v>517</v>
      </c>
      <c r="B10" s="53">
        <v>0.87</v>
      </c>
      <c r="C10" s="53">
        <v>4.8099999999999996</v>
      </c>
      <c r="D10" s="53">
        <v>3.21</v>
      </c>
      <c r="E10" s="53">
        <v>4.72</v>
      </c>
      <c r="F10" s="53">
        <v>3.99</v>
      </c>
      <c r="G10" s="53">
        <v>26.66</v>
      </c>
      <c r="H10" s="53">
        <v>5.09</v>
      </c>
      <c r="I10" s="53">
        <v>3.83</v>
      </c>
      <c r="J10" s="53">
        <v>0.49</v>
      </c>
      <c r="K10" s="53">
        <v>351.85</v>
      </c>
      <c r="L10" s="53">
        <v>22.89</v>
      </c>
      <c r="M10" s="53">
        <v>93.97</v>
      </c>
      <c r="N10" s="53">
        <v>26.1</v>
      </c>
      <c r="O10" s="53">
        <v>0</v>
      </c>
      <c r="P10" s="53">
        <v>0.44</v>
      </c>
      <c r="Q10" s="53">
        <v>9.61</v>
      </c>
      <c r="R10" s="43"/>
      <c r="S10" s="43"/>
      <c r="T10" s="43"/>
      <c r="U10" s="43"/>
    </row>
    <row r="11" spans="1:21" s="11" customFormat="1" x14ac:dyDescent="0.25">
      <c r="A11" s="52" t="s">
        <v>518</v>
      </c>
      <c r="B11" s="53">
        <v>1.1000000000000001</v>
      </c>
      <c r="C11" s="53">
        <v>4.3600000000000003</v>
      </c>
      <c r="D11" s="53">
        <v>3.13</v>
      </c>
      <c r="E11" s="53">
        <v>4.49</v>
      </c>
      <c r="F11" s="53">
        <v>4.0199999999999996</v>
      </c>
      <c r="G11" s="53">
        <v>15.75</v>
      </c>
      <c r="H11" s="53">
        <v>2.92</v>
      </c>
      <c r="I11" s="53">
        <v>2.5</v>
      </c>
      <c r="J11" s="53">
        <v>0.5</v>
      </c>
      <c r="K11" s="53">
        <v>342.58</v>
      </c>
      <c r="L11" s="53">
        <v>22.94</v>
      </c>
      <c r="M11" s="53">
        <v>93.62</v>
      </c>
      <c r="N11" s="53">
        <v>26.1</v>
      </c>
      <c r="O11" s="53">
        <v>0</v>
      </c>
      <c r="P11" s="53">
        <v>0.3</v>
      </c>
      <c r="Q11" s="53">
        <v>9.61</v>
      </c>
      <c r="R11" s="43"/>
      <c r="S11" s="43"/>
      <c r="T11" s="43"/>
      <c r="U11" s="43"/>
    </row>
    <row r="12" spans="1:21" s="11" customFormat="1" x14ac:dyDescent="0.25">
      <c r="A12" s="52" t="s">
        <v>519</v>
      </c>
      <c r="B12" s="53">
        <v>1.36</v>
      </c>
      <c r="C12" s="53">
        <v>4.37</v>
      </c>
      <c r="D12" s="53">
        <v>3.37</v>
      </c>
      <c r="E12" s="53">
        <v>4.4000000000000004</v>
      </c>
      <c r="F12" s="53">
        <v>4.55</v>
      </c>
      <c r="G12" s="53">
        <v>12.65</v>
      </c>
      <c r="H12" s="53">
        <v>1.56</v>
      </c>
      <c r="I12" s="53">
        <v>0.68</v>
      </c>
      <c r="J12" s="53">
        <v>0.53</v>
      </c>
      <c r="K12" s="53">
        <v>328.52</v>
      </c>
      <c r="L12" s="53">
        <v>22.91</v>
      </c>
      <c r="M12" s="53">
        <v>94.27</v>
      </c>
      <c r="N12" s="53">
        <v>26.1</v>
      </c>
      <c r="O12" s="53">
        <v>0</v>
      </c>
      <c r="P12" s="53">
        <v>0.39</v>
      </c>
      <c r="Q12" s="53">
        <v>9.6199999999999992</v>
      </c>
      <c r="R12" s="43"/>
      <c r="S12" s="43"/>
      <c r="T12" s="43"/>
      <c r="U12" s="43"/>
    </row>
    <row r="13" spans="1:21" s="11" customFormat="1" x14ac:dyDescent="0.25">
      <c r="A13" s="52" t="s">
        <v>520</v>
      </c>
      <c r="B13" s="53">
        <v>1.31</v>
      </c>
      <c r="C13" s="53">
        <v>4.45</v>
      </c>
      <c r="D13" s="53">
        <v>3.37</v>
      </c>
      <c r="E13" s="53">
        <v>5.0599999999999996</v>
      </c>
      <c r="F13" s="53">
        <v>3.77</v>
      </c>
      <c r="G13" s="53">
        <v>11.65</v>
      </c>
      <c r="H13" s="53">
        <v>2.79</v>
      </c>
      <c r="I13" s="53">
        <v>3.43</v>
      </c>
      <c r="J13" s="53">
        <v>0.37</v>
      </c>
      <c r="K13" s="53">
        <v>127.9</v>
      </c>
      <c r="L13" s="53">
        <v>23.09</v>
      </c>
      <c r="M13" s="53">
        <v>93.15</v>
      </c>
      <c r="N13" s="53">
        <v>26.2</v>
      </c>
      <c r="O13" s="53">
        <v>0</v>
      </c>
      <c r="P13" s="53">
        <v>0.38</v>
      </c>
      <c r="Q13" s="53">
        <v>9.61</v>
      </c>
      <c r="R13" s="43"/>
      <c r="S13" s="43"/>
      <c r="T13" s="43"/>
      <c r="U13" s="43"/>
    </row>
    <row r="14" spans="1:21" s="11" customFormat="1" x14ac:dyDescent="0.25">
      <c r="A14" s="52" t="s">
        <v>521</v>
      </c>
      <c r="B14" s="53">
        <v>1.56</v>
      </c>
      <c r="C14" s="53">
        <v>5.07</v>
      </c>
      <c r="D14" s="53">
        <v>3.9</v>
      </c>
      <c r="E14" s="53">
        <v>4.9400000000000004</v>
      </c>
      <c r="F14" s="53">
        <v>3.58</v>
      </c>
      <c r="G14" s="53">
        <v>12.95</v>
      </c>
      <c r="H14" s="53">
        <v>2.79</v>
      </c>
      <c r="I14" s="53">
        <v>3.26</v>
      </c>
      <c r="J14" s="53">
        <v>0.47</v>
      </c>
      <c r="K14" s="53">
        <v>339.36</v>
      </c>
      <c r="L14" s="53">
        <v>23.14</v>
      </c>
      <c r="M14" s="53">
        <v>94.79</v>
      </c>
      <c r="N14" s="53">
        <v>26.6</v>
      </c>
      <c r="O14" s="53">
        <v>0</v>
      </c>
      <c r="P14" s="53">
        <v>0.36</v>
      </c>
      <c r="Q14" s="53">
        <v>9.61</v>
      </c>
      <c r="R14" s="43"/>
      <c r="S14" s="43"/>
      <c r="T14" s="43"/>
      <c r="U14" s="43"/>
    </row>
    <row r="15" spans="1:21" s="11" customFormat="1" x14ac:dyDescent="0.25">
      <c r="A15" s="52" t="s">
        <v>522</v>
      </c>
      <c r="B15" s="53">
        <v>3.34</v>
      </c>
      <c r="C15" s="53">
        <v>5.15</v>
      </c>
      <c r="D15" s="53">
        <v>5.37</v>
      </c>
      <c r="E15" s="53">
        <v>5.05</v>
      </c>
      <c r="F15" s="53">
        <v>3.64</v>
      </c>
      <c r="G15" s="53">
        <v>12.95</v>
      </c>
      <c r="H15" s="53">
        <v>2.13</v>
      </c>
      <c r="I15" s="53">
        <v>3.03</v>
      </c>
      <c r="J15" s="53">
        <v>0.75</v>
      </c>
      <c r="K15" s="53">
        <v>332.81</v>
      </c>
      <c r="L15" s="53">
        <v>23.64</v>
      </c>
      <c r="M15" s="53">
        <v>95.13</v>
      </c>
      <c r="N15" s="53">
        <v>81</v>
      </c>
      <c r="O15" s="53">
        <v>0</v>
      </c>
      <c r="P15" s="53">
        <v>0.42</v>
      </c>
      <c r="Q15" s="53">
        <v>9.61</v>
      </c>
      <c r="R15" s="43"/>
      <c r="S15" s="43"/>
      <c r="T15" s="43"/>
      <c r="U15" s="43"/>
    </row>
    <row r="16" spans="1:21" s="11" customFormat="1" x14ac:dyDescent="0.25">
      <c r="A16" s="52" t="s">
        <v>523</v>
      </c>
      <c r="B16" s="53">
        <v>7.39</v>
      </c>
      <c r="C16" s="53">
        <v>6.07</v>
      </c>
      <c r="D16" s="53">
        <v>9.1</v>
      </c>
      <c r="E16" s="53">
        <v>5.79</v>
      </c>
      <c r="F16" s="53">
        <v>3.38</v>
      </c>
      <c r="G16" s="53">
        <v>19.489999999999998</v>
      </c>
      <c r="H16" s="53">
        <v>7.84</v>
      </c>
      <c r="I16" s="53">
        <v>2.95</v>
      </c>
      <c r="J16" s="53">
        <v>1.17</v>
      </c>
      <c r="K16" s="53">
        <v>339.1</v>
      </c>
      <c r="L16" s="53">
        <v>26.44</v>
      </c>
      <c r="M16" s="53">
        <v>91.82</v>
      </c>
      <c r="N16" s="53">
        <v>189</v>
      </c>
      <c r="O16" s="53">
        <v>0</v>
      </c>
      <c r="P16" s="53">
        <v>0.6</v>
      </c>
      <c r="Q16" s="53">
        <v>9.6199999999999992</v>
      </c>
      <c r="R16" s="43"/>
      <c r="S16" s="43"/>
      <c r="T16" s="43"/>
      <c r="U16" s="43"/>
    </row>
    <row r="17" spans="1:21" s="11" customFormat="1" x14ac:dyDescent="0.25">
      <c r="A17" s="52" t="s">
        <v>524</v>
      </c>
      <c r="B17" s="53">
        <v>10.72</v>
      </c>
      <c r="C17" s="53">
        <v>8.69</v>
      </c>
      <c r="D17" s="53">
        <v>13.14</v>
      </c>
      <c r="E17" s="53">
        <v>5.71</v>
      </c>
      <c r="F17" s="53">
        <v>4.1399999999999997</v>
      </c>
      <c r="G17" s="53">
        <v>38.950000000000003</v>
      </c>
      <c r="H17" s="53">
        <v>15.82</v>
      </c>
      <c r="I17" s="53">
        <v>3.59</v>
      </c>
      <c r="J17" s="53">
        <v>1.3</v>
      </c>
      <c r="K17" s="53">
        <v>339.47</v>
      </c>
      <c r="L17" s="53">
        <v>28.25</v>
      </c>
      <c r="M17" s="53">
        <v>82.26</v>
      </c>
      <c r="N17" s="53">
        <v>241.6</v>
      </c>
      <c r="O17" s="53">
        <v>0</v>
      </c>
      <c r="P17" s="53">
        <v>0.56999999999999995</v>
      </c>
      <c r="Q17" s="53">
        <v>9.6199999999999992</v>
      </c>
      <c r="R17" s="43"/>
      <c r="S17" s="43"/>
      <c r="T17" s="43"/>
      <c r="U17" s="43"/>
    </row>
    <row r="18" spans="1:21" s="11" customFormat="1" x14ac:dyDescent="0.25">
      <c r="A18" s="52" t="s">
        <v>525</v>
      </c>
      <c r="B18" s="53">
        <v>14.1</v>
      </c>
      <c r="C18" s="53">
        <v>11.01</v>
      </c>
      <c r="D18" s="53">
        <v>17.059999999999999</v>
      </c>
      <c r="E18" s="53">
        <v>6.3</v>
      </c>
      <c r="F18" s="53">
        <v>4.0199999999999996</v>
      </c>
      <c r="G18" s="53">
        <v>64.33</v>
      </c>
      <c r="H18" s="53">
        <v>26.69</v>
      </c>
      <c r="I18" s="53">
        <v>3.99</v>
      </c>
      <c r="J18" s="53">
        <v>1.1100000000000001</v>
      </c>
      <c r="K18" s="53">
        <v>356.24</v>
      </c>
      <c r="L18" s="53">
        <v>27.89</v>
      </c>
      <c r="M18" s="53">
        <v>89.15</v>
      </c>
      <c r="N18" s="53">
        <v>196.7</v>
      </c>
      <c r="O18" s="53">
        <v>0</v>
      </c>
      <c r="P18" s="53">
        <v>0.85</v>
      </c>
      <c r="Q18" s="53">
        <v>9.6199999999999992</v>
      </c>
      <c r="R18" s="43"/>
      <c r="S18" s="43"/>
      <c r="T18" s="43"/>
      <c r="U18" s="43"/>
    </row>
    <row r="19" spans="1:21" s="11" customFormat="1" x14ac:dyDescent="0.25">
      <c r="A19" s="52" t="s">
        <v>526</v>
      </c>
      <c r="B19" s="53">
        <v>15.23</v>
      </c>
      <c r="C19" s="53">
        <v>11.31</v>
      </c>
      <c r="D19" s="53">
        <v>18.02</v>
      </c>
      <c r="E19" s="53">
        <v>6.28</v>
      </c>
      <c r="F19" s="53">
        <v>4.12</v>
      </c>
      <c r="G19" s="53">
        <v>74.73</v>
      </c>
      <c r="H19" s="53">
        <v>37.770000000000003</v>
      </c>
      <c r="I19" s="53">
        <v>4.5</v>
      </c>
      <c r="J19" s="53">
        <v>0.91</v>
      </c>
      <c r="K19" s="53">
        <v>108.24</v>
      </c>
      <c r="L19" s="53">
        <v>29.36</v>
      </c>
      <c r="M19" s="53">
        <v>72.430000000000007</v>
      </c>
      <c r="N19" s="53">
        <v>428.4</v>
      </c>
      <c r="O19" s="53">
        <v>0</v>
      </c>
      <c r="P19" s="53">
        <v>0.73</v>
      </c>
      <c r="Q19" s="53">
        <v>9.6199999999999992</v>
      </c>
      <c r="R19" s="43"/>
      <c r="S19" s="43"/>
      <c r="T19" s="43"/>
      <c r="U19" s="43"/>
    </row>
    <row r="20" spans="1:21" s="11" customFormat="1" x14ac:dyDescent="0.25">
      <c r="A20" s="52" t="s">
        <v>527</v>
      </c>
      <c r="B20" s="53">
        <v>13.82</v>
      </c>
      <c r="C20" s="53">
        <v>11.43</v>
      </c>
      <c r="D20" s="53">
        <v>16.670000000000002</v>
      </c>
      <c r="E20" s="53">
        <v>6.15</v>
      </c>
      <c r="F20" s="53">
        <v>4.04</v>
      </c>
      <c r="G20" s="53">
        <v>74.73</v>
      </c>
      <c r="H20" s="53">
        <v>37.770000000000003</v>
      </c>
      <c r="I20" s="53">
        <v>4.41</v>
      </c>
      <c r="J20" s="53">
        <v>1.25</v>
      </c>
      <c r="K20" s="53">
        <v>337.33</v>
      </c>
      <c r="L20" s="53">
        <v>31.49</v>
      </c>
      <c r="M20" s="53">
        <v>68.11</v>
      </c>
      <c r="N20" s="53">
        <v>514.4</v>
      </c>
      <c r="O20" s="53">
        <v>0</v>
      </c>
      <c r="P20" s="53">
        <v>0.77</v>
      </c>
      <c r="Q20" s="53">
        <v>9.6300000000000008</v>
      </c>
      <c r="R20" s="43"/>
      <c r="S20" s="43"/>
      <c r="T20" s="43"/>
      <c r="U20" s="43"/>
    </row>
    <row r="21" spans="1:21" s="11" customFormat="1" x14ac:dyDescent="0.25">
      <c r="A21" s="52" t="s">
        <v>528</v>
      </c>
      <c r="B21" s="53">
        <v>13.27</v>
      </c>
      <c r="C21" s="53">
        <v>12.9</v>
      </c>
      <c r="D21" s="53">
        <v>17.07</v>
      </c>
      <c r="E21" s="53">
        <v>5.45</v>
      </c>
      <c r="F21" s="53">
        <v>4.2</v>
      </c>
      <c r="G21" s="53">
        <v>70.63</v>
      </c>
      <c r="H21" s="53">
        <v>36.01</v>
      </c>
      <c r="I21" s="53">
        <v>4.9000000000000004</v>
      </c>
      <c r="J21" s="53">
        <v>1.52</v>
      </c>
      <c r="K21" s="53">
        <v>333.17</v>
      </c>
      <c r="L21" s="53">
        <v>30.44</v>
      </c>
      <c r="M21" s="53">
        <v>69.81</v>
      </c>
      <c r="N21" s="53">
        <v>444.2</v>
      </c>
      <c r="O21" s="53">
        <v>0</v>
      </c>
      <c r="P21" s="53">
        <v>0.74</v>
      </c>
      <c r="Q21" s="53">
        <v>9.6199999999999992</v>
      </c>
      <c r="R21" s="43"/>
      <c r="S21" s="43"/>
      <c r="T21" s="43"/>
      <c r="U21" s="43"/>
    </row>
    <row r="22" spans="1:21" s="11" customFormat="1" x14ac:dyDescent="0.25">
      <c r="A22" s="52" t="s">
        <v>529</v>
      </c>
      <c r="B22" s="53">
        <v>9.15</v>
      </c>
      <c r="C22" s="53">
        <v>12.82</v>
      </c>
      <c r="D22" s="53">
        <v>14.03</v>
      </c>
      <c r="E22" s="53">
        <v>5.19</v>
      </c>
      <c r="F22" s="53">
        <v>4.3</v>
      </c>
      <c r="G22" s="53">
        <v>64.94</v>
      </c>
      <c r="H22" s="53">
        <v>32.15</v>
      </c>
      <c r="I22" s="53">
        <v>5.18</v>
      </c>
      <c r="J22" s="53">
        <v>1.59</v>
      </c>
      <c r="K22" s="53">
        <v>149.83000000000001</v>
      </c>
      <c r="L22" s="53">
        <v>28.62</v>
      </c>
      <c r="M22" s="53">
        <v>74.66</v>
      </c>
      <c r="N22" s="53">
        <v>303.5</v>
      </c>
      <c r="O22" s="53">
        <v>0</v>
      </c>
      <c r="P22" s="53">
        <v>0.6</v>
      </c>
      <c r="Q22" s="53">
        <v>9.61</v>
      </c>
      <c r="R22" s="43"/>
      <c r="S22" s="43"/>
      <c r="T22" s="43"/>
      <c r="U22" s="43"/>
    </row>
    <row r="23" spans="1:21" s="11" customFormat="1" x14ac:dyDescent="0.25">
      <c r="A23" s="52" t="s">
        <v>530</v>
      </c>
      <c r="B23" s="53">
        <v>2.62</v>
      </c>
      <c r="C23" s="53">
        <v>11.55</v>
      </c>
      <c r="D23" s="53">
        <v>8.14</v>
      </c>
      <c r="E23" s="53">
        <v>5.05</v>
      </c>
      <c r="F23" s="53">
        <v>4.8</v>
      </c>
      <c r="G23" s="53">
        <v>59.9</v>
      </c>
      <c r="H23" s="53">
        <v>30.17</v>
      </c>
      <c r="I23" s="53">
        <v>5.3</v>
      </c>
      <c r="J23" s="53">
        <v>1.52</v>
      </c>
      <c r="K23" s="53">
        <v>146.83000000000001</v>
      </c>
      <c r="L23" s="53">
        <v>28.25</v>
      </c>
      <c r="M23" s="53">
        <v>76.63</v>
      </c>
      <c r="N23" s="53">
        <v>237.8</v>
      </c>
      <c r="O23" s="53">
        <v>0</v>
      </c>
      <c r="P23" s="53">
        <v>0.5</v>
      </c>
      <c r="Q23" s="53">
        <v>9.61</v>
      </c>
      <c r="R23" s="43"/>
      <c r="S23" s="43"/>
      <c r="T23" s="43"/>
      <c r="U23" s="43"/>
    </row>
    <row r="24" spans="1:21" s="11" customFormat="1" x14ac:dyDescent="0.25">
      <c r="A24" s="52" t="s">
        <v>531</v>
      </c>
      <c r="B24" s="53">
        <v>0.54</v>
      </c>
      <c r="C24" s="53">
        <v>9.6999999999999993</v>
      </c>
      <c r="D24" s="53">
        <v>5.48</v>
      </c>
      <c r="E24" s="53">
        <v>6.02</v>
      </c>
      <c r="F24" s="53">
        <v>5.99</v>
      </c>
      <c r="G24" s="53">
        <v>57.12</v>
      </c>
      <c r="H24" s="53">
        <v>27.18</v>
      </c>
      <c r="I24" s="53">
        <v>3.76</v>
      </c>
      <c r="J24" s="53">
        <v>3.11</v>
      </c>
      <c r="K24" s="53">
        <v>338.59</v>
      </c>
      <c r="L24" s="53">
        <v>27.98</v>
      </c>
      <c r="M24" s="53">
        <v>74.680000000000007</v>
      </c>
      <c r="N24" s="53">
        <v>128.19999999999999</v>
      </c>
      <c r="O24" s="53">
        <v>0</v>
      </c>
      <c r="P24" s="53">
        <v>0.48</v>
      </c>
      <c r="Q24" s="53">
        <v>9.6300000000000008</v>
      </c>
      <c r="R24" s="43"/>
      <c r="S24" s="43"/>
      <c r="T24" s="43"/>
      <c r="U24" s="43"/>
    </row>
    <row r="25" spans="1:21" s="11" customFormat="1" x14ac:dyDescent="0.25">
      <c r="A25" s="52" t="s">
        <v>532</v>
      </c>
      <c r="B25" s="53">
        <v>3.38</v>
      </c>
      <c r="C25" s="53">
        <v>14.68</v>
      </c>
      <c r="D25" s="53">
        <v>10.38</v>
      </c>
      <c r="E25" s="53">
        <v>6.17</v>
      </c>
      <c r="F25" s="53">
        <v>5.62</v>
      </c>
      <c r="G25" s="53">
        <v>49.12</v>
      </c>
      <c r="H25" s="53">
        <v>27.82</v>
      </c>
      <c r="I25" s="53">
        <v>4.71</v>
      </c>
      <c r="J25" s="53">
        <v>2.31</v>
      </c>
      <c r="K25" s="53">
        <v>342.54</v>
      </c>
      <c r="L25" s="53">
        <v>25.58</v>
      </c>
      <c r="M25" s="53">
        <v>76.73</v>
      </c>
      <c r="N25" s="53">
        <v>82.2</v>
      </c>
      <c r="O25" s="53">
        <v>0</v>
      </c>
      <c r="P25" s="53">
        <v>0.69</v>
      </c>
      <c r="Q25" s="53">
        <v>9.6300000000000008</v>
      </c>
      <c r="R25" s="43"/>
      <c r="S25" s="43"/>
      <c r="T25" s="43"/>
      <c r="U25" s="43"/>
    </row>
    <row r="26" spans="1:21" s="11" customFormat="1" x14ac:dyDescent="0.25">
      <c r="A26" s="52" t="s">
        <v>533</v>
      </c>
      <c r="B26" s="53">
        <v>4.33</v>
      </c>
      <c r="C26" s="53">
        <v>15.41</v>
      </c>
      <c r="D26" s="53">
        <v>11.52</v>
      </c>
      <c r="E26" s="53">
        <v>6.28</v>
      </c>
      <c r="F26" s="53">
        <v>4.2300000000000004</v>
      </c>
      <c r="G26" s="53">
        <v>68.92</v>
      </c>
      <c r="H26" s="53">
        <v>31.06</v>
      </c>
      <c r="I26" s="53">
        <v>4.01</v>
      </c>
      <c r="J26" s="53">
        <v>0.77</v>
      </c>
      <c r="K26" s="53">
        <v>177.03</v>
      </c>
      <c r="L26" s="53">
        <v>25.16</v>
      </c>
      <c r="M26" s="53">
        <v>77.56</v>
      </c>
      <c r="N26" s="53">
        <v>33.5</v>
      </c>
      <c r="O26" s="53">
        <v>0</v>
      </c>
      <c r="P26" s="53">
        <v>0.62</v>
      </c>
      <c r="Q26" s="53">
        <v>9.61</v>
      </c>
      <c r="R26" s="43"/>
      <c r="S26" s="43"/>
      <c r="T26" s="43"/>
      <c r="U26" s="43"/>
    </row>
    <row r="27" spans="1:21" s="11" customFormat="1" x14ac:dyDescent="0.25">
      <c r="A27" s="52" t="s">
        <v>534</v>
      </c>
      <c r="B27" s="53">
        <v>6.91</v>
      </c>
      <c r="C27" s="53">
        <v>14.1</v>
      </c>
      <c r="D27" s="53">
        <v>11.89</v>
      </c>
      <c r="E27" s="53">
        <v>6.39</v>
      </c>
      <c r="F27" s="53">
        <v>4.05</v>
      </c>
      <c r="G27" s="53">
        <v>70.78</v>
      </c>
      <c r="H27" s="53">
        <v>34.92</v>
      </c>
      <c r="I27" s="53">
        <v>4.82</v>
      </c>
      <c r="J27" s="53">
        <v>0.52</v>
      </c>
      <c r="K27" s="53">
        <v>326.16000000000003</v>
      </c>
      <c r="L27" s="53">
        <v>24.1</v>
      </c>
      <c r="M27" s="53">
        <v>95.31</v>
      </c>
      <c r="N27" s="53">
        <v>26.5</v>
      </c>
      <c r="O27" s="53">
        <v>0</v>
      </c>
      <c r="P27" s="53">
        <v>1.2</v>
      </c>
      <c r="Q27" s="53">
        <v>9.6199999999999992</v>
      </c>
      <c r="R27" s="43"/>
      <c r="S27" s="43"/>
      <c r="T27" s="43"/>
      <c r="U27" s="43"/>
    </row>
    <row r="28" spans="1:21" s="11" customFormat="1" x14ac:dyDescent="0.25">
      <c r="A28" s="52" t="s">
        <v>535</v>
      </c>
      <c r="B28" s="53">
        <v>7.88</v>
      </c>
      <c r="C28" s="53">
        <v>11.56</v>
      </c>
      <c r="D28" s="53">
        <v>12.07</v>
      </c>
      <c r="E28" s="53">
        <v>6.14</v>
      </c>
      <c r="F28" s="53">
        <v>3.71</v>
      </c>
      <c r="G28" s="53">
        <v>70.78</v>
      </c>
      <c r="H28" s="53">
        <v>34.92</v>
      </c>
      <c r="I28" s="53">
        <v>5.91</v>
      </c>
      <c r="J28" s="53">
        <v>0.37</v>
      </c>
      <c r="K28" s="53">
        <v>188.78</v>
      </c>
      <c r="L28" s="53">
        <v>23.92</v>
      </c>
      <c r="M28" s="53">
        <v>89.6</v>
      </c>
      <c r="N28" s="53">
        <v>26.5</v>
      </c>
      <c r="O28" s="53">
        <v>0</v>
      </c>
      <c r="P28" s="53">
        <v>0.85</v>
      </c>
      <c r="Q28" s="53">
        <v>9.6300000000000008</v>
      </c>
      <c r="R28" s="43"/>
      <c r="S28" s="43"/>
      <c r="T28" s="43"/>
      <c r="U28" s="43"/>
    </row>
    <row r="29" spans="1:21" s="11" customFormat="1" x14ac:dyDescent="0.25">
      <c r="A29" s="52" t="s">
        <v>536</v>
      </c>
      <c r="B29" s="53">
        <v>11.34</v>
      </c>
      <c r="C29" s="53">
        <v>9.4</v>
      </c>
      <c r="D29" s="53">
        <v>13.91</v>
      </c>
      <c r="E29" s="53">
        <v>6.87</v>
      </c>
      <c r="F29" s="53">
        <v>3.82</v>
      </c>
      <c r="G29" s="53">
        <v>70.650000000000006</v>
      </c>
      <c r="H29" s="53">
        <v>33.96</v>
      </c>
      <c r="I29" s="53">
        <v>5.28</v>
      </c>
      <c r="J29" s="53">
        <v>0.59</v>
      </c>
      <c r="K29" s="53">
        <v>346.91</v>
      </c>
      <c r="L29" s="53">
        <v>24.01</v>
      </c>
      <c r="M29" s="53">
        <v>100.47</v>
      </c>
      <c r="N29" s="53">
        <v>26.2</v>
      </c>
      <c r="O29" s="53">
        <v>0</v>
      </c>
      <c r="P29" s="53">
        <v>1.08</v>
      </c>
      <c r="Q29" s="53">
        <v>9.6199999999999992</v>
      </c>
      <c r="R29" s="43"/>
      <c r="S29" s="43"/>
      <c r="T29" s="43"/>
      <c r="U29" s="43"/>
    </row>
    <row r="30" spans="1:21" s="11" customFormat="1" x14ac:dyDescent="0.25">
      <c r="A30" s="52" t="s">
        <v>537</v>
      </c>
      <c r="B30" s="53">
        <v>12.09</v>
      </c>
      <c r="C30" s="53">
        <v>9.5299999999999994</v>
      </c>
      <c r="D30" s="53">
        <v>14.68</v>
      </c>
      <c r="E30" s="53">
        <v>6.64</v>
      </c>
      <c r="F30" s="53">
        <v>3.87</v>
      </c>
      <c r="G30" s="53">
        <v>70.45</v>
      </c>
      <c r="H30" s="53">
        <v>34.86</v>
      </c>
      <c r="I30" s="53">
        <v>5.45</v>
      </c>
      <c r="J30" s="53">
        <v>0.32</v>
      </c>
      <c r="K30" s="53">
        <v>126.33</v>
      </c>
      <c r="L30" s="53">
        <v>23.76</v>
      </c>
      <c r="M30" s="53">
        <v>101.35</v>
      </c>
      <c r="N30" s="53">
        <v>26.3</v>
      </c>
      <c r="O30" s="53">
        <v>0</v>
      </c>
      <c r="P30" s="53">
        <v>0.77</v>
      </c>
      <c r="Q30" s="53">
        <v>9.6300000000000008</v>
      </c>
      <c r="R30" s="43"/>
      <c r="S30" s="43"/>
      <c r="T30" s="43"/>
      <c r="U30" s="43"/>
    </row>
    <row r="31" spans="1:21" s="11" customFormat="1" x14ac:dyDescent="0.25">
      <c r="A31" s="52" t="s">
        <v>538</v>
      </c>
      <c r="B31" s="53">
        <v>9.14</v>
      </c>
      <c r="C31" s="53">
        <v>8.8800000000000008</v>
      </c>
      <c r="D31" s="53">
        <v>11.97</v>
      </c>
      <c r="E31" s="53">
        <v>6.39</v>
      </c>
      <c r="F31" s="53">
        <v>4.0199999999999996</v>
      </c>
      <c r="G31" s="53">
        <v>61.91</v>
      </c>
      <c r="H31" s="53">
        <v>34.86</v>
      </c>
      <c r="I31" s="53">
        <v>4.82</v>
      </c>
      <c r="J31" s="53">
        <v>0.49</v>
      </c>
      <c r="K31" s="53">
        <v>187</v>
      </c>
      <c r="L31" s="53">
        <v>23.44</v>
      </c>
      <c r="M31" s="53">
        <v>93.83</v>
      </c>
      <c r="N31" s="53">
        <v>26.5</v>
      </c>
      <c r="O31" s="53">
        <v>0</v>
      </c>
      <c r="P31" s="53">
        <v>0.7</v>
      </c>
      <c r="Q31" s="53">
        <v>9.61</v>
      </c>
      <c r="R31" s="43"/>
      <c r="S31" s="43"/>
      <c r="T31" s="43"/>
      <c r="U31" s="43"/>
    </row>
    <row r="32" spans="1:21" s="11" customFormat="1" x14ac:dyDescent="0.25">
      <c r="A32" s="52" t="s">
        <v>539</v>
      </c>
      <c r="B32" s="53">
        <v>7.57</v>
      </c>
      <c r="C32" s="53">
        <v>7.36</v>
      </c>
      <c r="D32" s="53">
        <v>9.74</v>
      </c>
      <c r="E32" s="53">
        <v>5.76</v>
      </c>
      <c r="F32" s="53">
        <v>3.87</v>
      </c>
      <c r="G32" s="53">
        <v>56.17</v>
      </c>
      <c r="H32" s="53">
        <v>27.25</v>
      </c>
      <c r="I32" s="53">
        <v>3.5</v>
      </c>
      <c r="J32" s="53">
        <v>0.5</v>
      </c>
      <c r="K32" s="53">
        <v>333.58</v>
      </c>
      <c r="L32" s="53">
        <v>23.47</v>
      </c>
      <c r="M32" s="53">
        <v>98.01</v>
      </c>
      <c r="N32" s="53">
        <v>26.3</v>
      </c>
      <c r="O32" s="53">
        <v>0</v>
      </c>
      <c r="P32" s="53">
        <v>0.56999999999999995</v>
      </c>
      <c r="Q32" s="53">
        <v>9.6199999999999992</v>
      </c>
      <c r="R32" s="43"/>
      <c r="S32" s="43"/>
      <c r="T32" s="43"/>
      <c r="U32" s="43"/>
    </row>
    <row r="33" spans="1:21" s="21" customFormat="1" x14ac:dyDescent="0.25">
      <c r="A33" s="52" t="s">
        <v>540</v>
      </c>
      <c r="B33" s="53">
        <v>7.7</v>
      </c>
      <c r="C33" s="53">
        <v>6.28</v>
      </c>
      <c r="D33" s="53">
        <v>9.4499999999999993</v>
      </c>
      <c r="E33" s="53">
        <v>5.18</v>
      </c>
      <c r="F33" s="53">
        <v>3.79</v>
      </c>
      <c r="G33" s="53">
        <v>49.65</v>
      </c>
      <c r="H33" s="53">
        <v>22.84</v>
      </c>
      <c r="I33" s="53">
        <v>2.0699999999999998</v>
      </c>
      <c r="J33" s="53">
        <v>0.4</v>
      </c>
      <c r="K33" s="53">
        <v>326.42</v>
      </c>
      <c r="L33" s="53">
        <v>23.46</v>
      </c>
      <c r="M33" s="53">
        <v>100.63</v>
      </c>
      <c r="N33" s="53">
        <v>26.4</v>
      </c>
      <c r="O33" s="53">
        <v>0</v>
      </c>
      <c r="P33" s="53">
        <v>0.55000000000000004</v>
      </c>
      <c r="Q33" s="53">
        <v>9.6199999999999992</v>
      </c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0.54</v>
      </c>
      <c r="C34" s="28">
        <f t="shared" si="0"/>
        <v>4.3600000000000003</v>
      </c>
      <c r="D34" s="28">
        <f t="shared" si="0"/>
        <v>3.13</v>
      </c>
      <c r="E34" s="28">
        <f t="shared" si="0"/>
        <v>4.4000000000000004</v>
      </c>
      <c r="F34" s="28">
        <f t="shared" si="0"/>
        <v>3.38</v>
      </c>
      <c r="G34" s="28">
        <f t="shared" si="0"/>
        <v>11.65</v>
      </c>
      <c r="H34" s="28">
        <f t="shared" si="0"/>
        <v>1.56</v>
      </c>
      <c r="I34" s="28">
        <f t="shared" si="0"/>
        <v>0.68</v>
      </c>
      <c r="J34" s="28">
        <f t="shared" si="0"/>
        <v>0.32</v>
      </c>
      <c r="K34" s="28">
        <f t="shared" si="0"/>
        <v>108.24</v>
      </c>
      <c r="L34" s="28">
        <f t="shared" si="0"/>
        <v>22.84</v>
      </c>
      <c r="M34" s="28">
        <f t="shared" si="0"/>
        <v>68.11</v>
      </c>
      <c r="N34" s="28">
        <f t="shared" si="0"/>
        <v>26.1</v>
      </c>
      <c r="O34" s="28">
        <f t="shared" si="0"/>
        <v>0</v>
      </c>
      <c r="P34" s="28">
        <f t="shared" si="0"/>
        <v>0.3</v>
      </c>
      <c r="Q34" s="28">
        <f t="shared" si="0"/>
        <v>9.61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15.23</v>
      </c>
      <c r="C35" s="29">
        <f t="shared" si="1"/>
        <v>15.41</v>
      </c>
      <c r="D35" s="29">
        <f t="shared" si="1"/>
        <v>18.02</v>
      </c>
      <c r="E35" s="29">
        <f t="shared" si="1"/>
        <v>6.87</v>
      </c>
      <c r="F35" s="29">
        <f t="shared" si="1"/>
        <v>5.99</v>
      </c>
      <c r="G35" s="29">
        <f t="shared" si="1"/>
        <v>74.73</v>
      </c>
      <c r="H35" s="29">
        <f t="shared" si="1"/>
        <v>37.770000000000003</v>
      </c>
      <c r="I35" s="29">
        <f t="shared" si="1"/>
        <v>5.91</v>
      </c>
      <c r="J35" s="29">
        <f t="shared" si="1"/>
        <v>3.11</v>
      </c>
      <c r="K35" s="29">
        <f t="shared" si="1"/>
        <v>356.24</v>
      </c>
      <c r="L35" s="29">
        <f t="shared" si="1"/>
        <v>31.49</v>
      </c>
      <c r="M35" s="29">
        <f t="shared" si="1"/>
        <v>101.35</v>
      </c>
      <c r="N35" s="29">
        <f t="shared" si="1"/>
        <v>514.4</v>
      </c>
      <c r="O35" s="29">
        <f t="shared" si="1"/>
        <v>0</v>
      </c>
      <c r="P35" s="29">
        <f t="shared" si="1"/>
        <v>1.2</v>
      </c>
      <c r="Q35" s="29">
        <f t="shared" si="1"/>
        <v>9.6300000000000008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6.6574999999999989</v>
      </c>
      <c r="C36" s="28">
        <f t="shared" si="2"/>
        <v>9.1591666666666676</v>
      </c>
      <c r="D36" s="28">
        <f t="shared" si="2"/>
        <v>10.021666666666667</v>
      </c>
      <c r="E36" s="28">
        <f t="shared" si="2"/>
        <v>5.6583333333333323</v>
      </c>
      <c r="F36" s="28">
        <f t="shared" si="2"/>
        <v>4.1533333333333324</v>
      </c>
      <c r="G36" s="28">
        <f t="shared" si="2"/>
        <v>49.326666666666661</v>
      </c>
      <c r="H36" s="28">
        <f t="shared" si="2"/>
        <v>22.471250000000001</v>
      </c>
      <c r="I36" s="28">
        <f t="shared" si="2"/>
        <v>4.1033333333333344</v>
      </c>
      <c r="J36" s="28">
        <f t="shared" si="2"/>
        <v>0.94999999999999984</v>
      </c>
      <c r="K36" s="28">
        <f t="shared" si="2"/>
        <v>267.40249999999997</v>
      </c>
      <c r="L36" s="28">
        <f t="shared" si="2"/>
        <v>25.56708333333334</v>
      </c>
      <c r="M36" s="28">
        <f t="shared" si="2"/>
        <v>87.223333333333315</v>
      </c>
      <c r="N36" s="28">
        <f t="shared" si="2"/>
        <v>133.16666666666666</v>
      </c>
      <c r="O36" s="28">
        <f t="shared" si="2"/>
        <v>0</v>
      </c>
      <c r="P36" s="28">
        <f t="shared" si="2"/>
        <v>0.62833333333333319</v>
      </c>
      <c r="Q36" s="28">
        <f t="shared" si="2"/>
        <v>9.6179166666666678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4.9775375874806453</v>
      </c>
      <c r="C37" s="28">
        <f t="shared" ref="C37:Q37" si="3">STDEV(C9:C32)</f>
        <v>3.5817446764860614</v>
      </c>
      <c r="D37" s="28">
        <f t="shared" si="3"/>
        <v>5.0889032445001421</v>
      </c>
      <c r="E37" s="28">
        <f t="shared" si="3"/>
        <v>0.73708985156178131</v>
      </c>
      <c r="F37" s="28">
        <f t="shared" si="3"/>
        <v>0.59275089471751052</v>
      </c>
      <c r="G37" s="28">
        <f t="shared" si="3"/>
        <v>23.636344281942026</v>
      </c>
      <c r="H37" s="28">
        <f t="shared" si="3"/>
        <v>13.860954955651815</v>
      </c>
      <c r="I37" s="28">
        <f t="shared" si="3"/>
        <v>1.1503143867681505</v>
      </c>
      <c r="J37" s="28">
        <f t="shared" si="3"/>
        <v>0.68924659561380308</v>
      </c>
      <c r="K37" s="28">
        <f t="shared" si="3"/>
        <v>96.598624225057932</v>
      </c>
      <c r="L37" s="28">
        <f t="shared" si="3"/>
        <v>2.7414538814391403</v>
      </c>
      <c r="M37" s="28">
        <f t="shared" si="3"/>
        <v>10.513325981268308</v>
      </c>
      <c r="N37" s="28">
        <f t="shared" si="3"/>
        <v>153.29159104157659</v>
      </c>
      <c r="O37" s="28">
        <f t="shared" si="3"/>
        <v>0</v>
      </c>
      <c r="P37" s="28">
        <f t="shared" si="3"/>
        <v>0.22361976008718329</v>
      </c>
      <c r="Q37" s="28">
        <f t="shared" si="3"/>
        <v>7.7902763620495636E-3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21/10/2024 02:00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6"/>
      <c r="B8" s="57" t="s">
        <v>22</v>
      </c>
      <c r="C8" s="57" t="s">
        <v>22</v>
      </c>
      <c r="D8" s="29" t="s">
        <v>42</v>
      </c>
      <c r="E8" s="57" t="s">
        <v>22</v>
      </c>
      <c r="F8" s="57" t="s">
        <v>22</v>
      </c>
      <c r="G8" s="57" t="s">
        <v>23</v>
      </c>
      <c r="H8" s="57" t="s">
        <v>22</v>
      </c>
      <c r="I8" s="57" t="s">
        <v>22</v>
      </c>
      <c r="J8" s="57" t="s">
        <v>24</v>
      </c>
      <c r="K8" s="57" t="s">
        <v>25</v>
      </c>
      <c r="L8" s="56" t="s">
        <v>27</v>
      </c>
      <c r="M8" s="57" t="s">
        <v>26</v>
      </c>
      <c r="N8" s="57" t="s">
        <v>28</v>
      </c>
      <c r="O8" s="56" t="s">
        <v>29</v>
      </c>
      <c r="P8" s="57" t="s">
        <v>22</v>
      </c>
      <c r="Q8" s="57" t="s">
        <v>22</v>
      </c>
      <c r="R8" s="27"/>
      <c r="S8" s="29"/>
      <c r="T8" s="27"/>
      <c r="U8" s="27"/>
    </row>
    <row r="9" spans="1:21" s="11" customFormat="1" x14ac:dyDescent="0.25">
      <c r="A9" s="52" t="s">
        <v>541</v>
      </c>
      <c r="B9" s="53">
        <v>6.73</v>
      </c>
      <c r="C9" s="53">
        <v>7.09</v>
      </c>
      <c r="D9" s="53">
        <v>8.52</v>
      </c>
      <c r="E9" s="53">
        <v>5.43</v>
      </c>
      <c r="F9" s="53">
        <v>3.98</v>
      </c>
      <c r="G9" s="53">
        <v>48.63</v>
      </c>
      <c r="H9" s="53">
        <v>21.49</v>
      </c>
      <c r="I9" s="53">
        <v>5.0199999999999996</v>
      </c>
      <c r="J9" s="53">
        <v>1.78</v>
      </c>
      <c r="K9" s="53">
        <v>342.33</v>
      </c>
      <c r="L9" s="53">
        <v>23.56</v>
      </c>
      <c r="M9" s="53">
        <v>96.93</v>
      </c>
      <c r="N9" s="53">
        <v>26.5</v>
      </c>
      <c r="O9" s="53">
        <v>0</v>
      </c>
      <c r="P9" s="53">
        <v>0.57999999999999996</v>
      </c>
      <c r="Q9" s="53">
        <v>9.6300000000000008</v>
      </c>
      <c r="R9" s="43"/>
      <c r="S9" s="43"/>
      <c r="T9" s="43"/>
      <c r="U9" s="43"/>
    </row>
    <row r="10" spans="1:21" s="11" customFormat="1" x14ac:dyDescent="0.25">
      <c r="A10" s="52" t="s">
        <v>542</v>
      </c>
      <c r="B10" s="53">
        <v>4.84</v>
      </c>
      <c r="C10" s="53">
        <v>7.39</v>
      </c>
      <c r="D10" s="53">
        <v>7.72</v>
      </c>
      <c r="E10" s="53">
        <v>5.63</v>
      </c>
      <c r="F10" s="53">
        <v>3.65</v>
      </c>
      <c r="G10" s="53">
        <v>49.85</v>
      </c>
      <c r="H10" s="53">
        <v>28.78</v>
      </c>
      <c r="I10" s="53">
        <v>4.8099999999999996</v>
      </c>
      <c r="J10" s="53">
        <v>0.97</v>
      </c>
      <c r="K10" s="53">
        <v>342.5</v>
      </c>
      <c r="L10" s="53">
        <v>23.32</v>
      </c>
      <c r="M10" s="53">
        <v>96.55</v>
      </c>
      <c r="N10" s="53">
        <v>26.3</v>
      </c>
      <c r="O10" s="53">
        <v>0</v>
      </c>
      <c r="P10" s="53">
        <v>0.71</v>
      </c>
      <c r="Q10" s="53">
        <v>9.6199999999999992</v>
      </c>
      <c r="R10" s="43"/>
      <c r="S10" s="43"/>
      <c r="T10" s="43"/>
      <c r="U10" s="43"/>
    </row>
    <row r="11" spans="1:21" s="11" customFormat="1" x14ac:dyDescent="0.25">
      <c r="A11" s="52" t="s">
        <v>543</v>
      </c>
      <c r="B11" s="53">
        <v>4.5199999999999996</v>
      </c>
      <c r="C11" s="53">
        <v>6.9</v>
      </c>
      <c r="D11" s="53">
        <v>7.19</v>
      </c>
      <c r="E11" s="53">
        <v>5.52</v>
      </c>
      <c r="F11" s="53">
        <v>3.43</v>
      </c>
      <c r="G11" s="53">
        <v>69.98</v>
      </c>
      <c r="H11" s="53">
        <v>37.47</v>
      </c>
      <c r="I11" s="53">
        <v>4.08</v>
      </c>
      <c r="J11" s="53">
        <v>0.93</v>
      </c>
      <c r="K11" s="53">
        <v>339.39</v>
      </c>
      <c r="L11" s="53">
        <v>23.34</v>
      </c>
      <c r="M11" s="53">
        <v>95.46</v>
      </c>
      <c r="N11" s="53">
        <v>26.5</v>
      </c>
      <c r="O11" s="53">
        <v>0</v>
      </c>
      <c r="P11" s="53">
        <v>0.75</v>
      </c>
      <c r="Q11" s="53">
        <v>9.6199999999999992</v>
      </c>
      <c r="R11" s="43"/>
      <c r="S11" s="43"/>
      <c r="T11" s="43"/>
      <c r="U11" s="43"/>
    </row>
    <row r="12" spans="1:21" s="11" customFormat="1" x14ac:dyDescent="0.25">
      <c r="A12" s="52" t="s">
        <v>544</v>
      </c>
      <c r="B12" s="53">
        <v>6.15</v>
      </c>
      <c r="C12" s="53">
        <v>6.87</v>
      </c>
      <c r="D12" s="53">
        <v>8.5299999999999994</v>
      </c>
      <c r="E12" s="53">
        <v>4.83</v>
      </c>
      <c r="F12" s="53">
        <v>4.2699999999999996</v>
      </c>
      <c r="G12" s="53">
        <v>86.46</v>
      </c>
      <c r="H12" s="53">
        <v>49.95</v>
      </c>
      <c r="I12" s="53">
        <v>3.2</v>
      </c>
      <c r="J12" s="53">
        <v>0.59</v>
      </c>
      <c r="K12" s="53">
        <v>343.46</v>
      </c>
      <c r="L12" s="53">
        <v>23.4</v>
      </c>
      <c r="M12" s="53">
        <v>92.82</v>
      </c>
      <c r="N12" s="53">
        <v>26.5</v>
      </c>
      <c r="O12" s="53">
        <v>0</v>
      </c>
      <c r="P12" s="53">
        <v>0.73</v>
      </c>
      <c r="Q12" s="53">
        <v>9.61</v>
      </c>
      <c r="R12" s="43"/>
      <c r="S12" s="43"/>
      <c r="T12" s="43"/>
      <c r="U12" s="43"/>
    </row>
    <row r="13" spans="1:21" s="11" customFormat="1" x14ac:dyDescent="0.25">
      <c r="A13" s="52" t="s">
        <v>545</v>
      </c>
      <c r="B13" s="53">
        <v>7.57</v>
      </c>
      <c r="C13" s="53">
        <v>8.5</v>
      </c>
      <c r="D13" s="53">
        <v>10.51</v>
      </c>
      <c r="E13" s="53">
        <v>5.0999999999999996</v>
      </c>
      <c r="F13" s="53">
        <v>3.88</v>
      </c>
      <c r="G13" s="53">
        <v>91.52</v>
      </c>
      <c r="H13" s="53">
        <v>49.95</v>
      </c>
      <c r="I13" s="53">
        <v>4.1100000000000003</v>
      </c>
      <c r="J13" s="53">
        <v>1.06</v>
      </c>
      <c r="K13" s="53">
        <v>346.32</v>
      </c>
      <c r="L13" s="53">
        <v>23.13</v>
      </c>
      <c r="M13" s="53">
        <v>92.44</v>
      </c>
      <c r="N13" s="53">
        <v>26.4</v>
      </c>
      <c r="O13" s="53">
        <v>0</v>
      </c>
      <c r="P13" s="53">
        <v>0.7</v>
      </c>
      <c r="Q13" s="53">
        <v>9.6199999999999992</v>
      </c>
      <c r="R13" s="43"/>
      <c r="S13" s="43"/>
      <c r="T13" s="43"/>
      <c r="U13" s="43"/>
    </row>
    <row r="14" spans="1:21" s="11" customFormat="1" x14ac:dyDescent="0.25">
      <c r="A14" s="52" t="s">
        <v>546</v>
      </c>
      <c r="B14" s="53">
        <v>9.0500000000000007</v>
      </c>
      <c r="C14" s="53">
        <v>9.24</v>
      </c>
      <c r="D14" s="53">
        <v>11.9</v>
      </c>
      <c r="E14" s="53">
        <v>5.38</v>
      </c>
      <c r="F14" s="53">
        <v>3.98</v>
      </c>
      <c r="G14" s="53">
        <v>91.52</v>
      </c>
      <c r="H14" s="53">
        <v>49.6</v>
      </c>
      <c r="I14" s="53">
        <v>4.9400000000000004</v>
      </c>
      <c r="J14" s="53">
        <v>1.1299999999999999</v>
      </c>
      <c r="K14" s="53">
        <v>343.22</v>
      </c>
      <c r="L14" s="53">
        <v>23.31</v>
      </c>
      <c r="M14" s="53">
        <v>97.74</v>
      </c>
      <c r="N14" s="53">
        <v>67.599999999999994</v>
      </c>
      <c r="O14" s="53">
        <v>0</v>
      </c>
      <c r="P14" s="53">
        <v>0.72</v>
      </c>
      <c r="Q14" s="53">
        <v>9.61</v>
      </c>
      <c r="R14" s="43"/>
      <c r="S14" s="43"/>
      <c r="T14" s="43"/>
      <c r="U14" s="43"/>
    </row>
    <row r="15" spans="1:21" s="11" customFormat="1" x14ac:dyDescent="0.25">
      <c r="A15" s="52" t="s">
        <v>547</v>
      </c>
      <c r="B15" s="53">
        <v>10.78</v>
      </c>
      <c r="C15" s="53">
        <v>8.1999999999999993</v>
      </c>
      <c r="D15" s="53">
        <v>12.26</v>
      </c>
      <c r="E15" s="53">
        <v>4.99</v>
      </c>
      <c r="F15" s="53">
        <v>3.81</v>
      </c>
      <c r="G15" s="53">
        <v>85.41</v>
      </c>
      <c r="H15" s="53">
        <v>47.81</v>
      </c>
      <c r="I15" s="53">
        <v>4.75</v>
      </c>
      <c r="J15" s="53">
        <v>0.57999999999999996</v>
      </c>
      <c r="K15" s="53">
        <v>152.07</v>
      </c>
      <c r="L15" s="53">
        <v>25.38</v>
      </c>
      <c r="M15" s="53">
        <v>94.38</v>
      </c>
      <c r="N15" s="53">
        <v>146.69999999999999</v>
      </c>
      <c r="O15" s="53">
        <v>0</v>
      </c>
      <c r="P15" s="53">
        <v>0.7</v>
      </c>
      <c r="Q15" s="53">
        <v>9.6300000000000008</v>
      </c>
      <c r="R15" s="43"/>
      <c r="S15" s="43"/>
      <c r="T15" s="43"/>
      <c r="U15" s="43"/>
    </row>
    <row r="16" spans="1:21" s="11" customFormat="1" x14ac:dyDescent="0.25">
      <c r="A16" s="52" t="s">
        <v>548</v>
      </c>
      <c r="B16" s="53">
        <v>11.84</v>
      </c>
      <c r="C16" s="53">
        <v>6.91</v>
      </c>
      <c r="D16" s="53">
        <v>13.11</v>
      </c>
      <c r="E16" s="53">
        <v>5.7</v>
      </c>
      <c r="F16" s="53">
        <v>3.81</v>
      </c>
      <c r="G16" s="53">
        <v>78.540000000000006</v>
      </c>
      <c r="H16" s="53">
        <v>46.63</v>
      </c>
      <c r="I16" s="53">
        <v>3.86</v>
      </c>
      <c r="J16" s="53">
        <v>0.97</v>
      </c>
      <c r="K16" s="53">
        <v>339.46</v>
      </c>
      <c r="L16" s="53">
        <v>27.64</v>
      </c>
      <c r="M16" s="53">
        <v>88.26</v>
      </c>
      <c r="N16" s="53">
        <v>420.7</v>
      </c>
      <c r="O16" s="53">
        <v>0</v>
      </c>
      <c r="P16" s="53">
        <v>0.8</v>
      </c>
      <c r="Q16" s="53">
        <v>9.6199999999999992</v>
      </c>
      <c r="R16" s="43"/>
      <c r="S16" s="43"/>
      <c r="T16" s="43"/>
      <c r="U16" s="43"/>
    </row>
    <row r="17" spans="1:21" s="11" customFormat="1" x14ac:dyDescent="0.25">
      <c r="A17" s="52" t="s">
        <v>549</v>
      </c>
      <c r="B17" s="53">
        <v>12.36</v>
      </c>
      <c r="C17" s="53">
        <v>12.44</v>
      </c>
      <c r="D17" s="53">
        <v>16.2</v>
      </c>
      <c r="E17" s="53">
        <v>5.97</v>
      </c>
      <c r="F17" s="53">
        <v>4.43</v>
      </c>
      <c r="G17" s="53">
        <v>96.54</v>
      </c>
      <c r="H17" s="53">
        <v>48.44</v>
      </c>
      <c r="I17" s="53">
        <v>5.89</v>
      </c>
      <c r="J17" s="53">
        <v>1.19</v>
      </c>
      <c r="K17" s="53">
        <v>348.22</v>
      </c>
      <c r="L17" s="53">
        <v>32.68</v>
      </c>
      <c r="M17" s="53">
        <v>82.7</v>
      </c>
      <c r="N17" s="53">
        <v>577.9</v>
      </c>
      <c r="O17" s="53">
        <v>0</v>
      </c>
      <c r="P17" s="53">
        <v>0.81</v>
      </c>
      <c r="Q17" s="53">
        <v>9.61</v>
      </c>
      <c r="R17" s="43"/>
      <c r="S17" s="43"/>
      <c r="T17" s="43"/>
      <c r="U17" s="43"/>
    </row>
    <row r="18" spans="1:21" s="11" customFormat="1" x14ac:dyDescent="0.25">
      <c r="A18" s="52" t="s">
        <v>550</v>
      </c>
      <c r="B18" s="53">
        <v>11.76</v>
      </c>
      <c r="C18" s="53">
        <v>14.22</v>
      </c>
      <c r="D18" s="53">
        <v>16.170000000000002</v>
      </c>
      <c r="E18" s="53">
        <v>5.99</v>
      </c>
      <c r="F18" s="53">
        <v>4.62</v>
      </c>
      <c r="G18" s="53">
        <v>100.47</v>
      </c>
      <c r="H18" s="53">
        <v>48.44</v>
      </c>
      <c r="I18" s="53">
        <v>5.87</v>
      </c>
      <c r="J18" s="53">
        <v>0.84</v>
      </c>
      <c r="K18" s="53">
        <v>344.97</v>
      </c>
      <c r="L18" s="53">
        <v>31.33</v>
      </c>
      <c r="M18" s="53">
        <v>69.59</v>
      </c>
      <c r="N18" s="53">
        <v>573.1</v>
      </c>
      <c r="O18" s="53">
        <v>0</v>
      </c>
      <c r="P18" s="53">
        <v>0.83</v>
      </c>
      <c r="Q18" s="53">
        <v>9.6199999999999992</v>
      </c>
      <c r="R18" s="43"/>
      <c r="S18" s="43"/>
      <c r="T18" s="43"/>
      <c r="U18" s="43"/>
    </row>
    <row r="19" spans="1:21" s="11" customFormat="1" x14ac:dyDescent="0.25">
      <c r="A19" s="52" t="s">
        <v>551</v>
      </c>
      <c r="B19" s="53">
        <v>6.95</v>
      </c>
      <c r="C19" s="53">
        <v>14.01</v>
      </c>
      <c r="D19" s="53">
        <v>12.89</v>
      </c>
      <c r="E19" s="53">
        <v>5.81</v>
      </c>
      <c r="F19" s="53">
        <v>5.14</v>
      </c>
      <c r="G19" s="53">
        <v>100.47</v>
      </c>
      <c r="H19" s="53">
        <v>48.27</v>
      </c>
      <c r="I19" s="53">
        <v>5.44</v>
      </c>
      <c r="J19" s="53">
        <v>1.3</v>
      </c>
      <c r="K19" s="53">
        <v>137.88999999999999</v>
      </c>
      <c r="L19" s="53">
        <v>30.93</v>
      </c>
      <c r="M19" s="53">
        <v>68.150000000000006</v>
      </c>
      <c r="N19" s="53">
        <v>471.6</v>
      </c>
      <c r="O19" s="53">
        <v>0</v>
      </c>
      <c r="P19" s="53">
        <v>0.82</v>
      </c>
      <c r="Q19" s="53">
        <v>9.6199999999999992</v>
      </c>
      <c r="R19" s="43"/>
      <c r="S19" s="43"/>
      <c r="T19" s="43"/>
      <c r="U19" s="43"/>
    </row>
    <row r="20" spans="1:21" s="11" customFormat="1" x14ac:dyDescent="0.25">
      <c r="A20" s="52" t="s">
        <v>552</v>
      </c>
      <c r="B20" s="53">
        <v>2.9</v>
      </c>
      <c r="C20" s="53">
        <v>12.09</v>
      </c>
      <c r="D20" s="53">
        <v>8.64</v>
      </c>
      <c r="E20" s="53">
        <v>5.69</v>
      </c>
      <c r="F20" s="53">
        <v>5.22</v>
      </c>
      <c r="G20" s="53">
        <v>85.38</v>
      </c>
      <c r="H20" s="53">
        <v>46.07</v>
      </c>
      <c r="I20" s="53">
        <v>4.6399999999999997</v>
      </c>
      <c r="J20" s="53">
        <v>1.38</v>
      </c>
      <c r="K20" s="53">
        <v>116.15</v>
      </c>
      <c r="L20" s="53">
        <v>28.99</v>
      </c>
      <c r="M20" s="53">
        <v>67.59</v>
      </c>
      <c r="N20" s="53">
        <v>327</v>
      </c>
      <c r="O20" s="53">
        <v>0</v>
      </c>
      <c r="P20" s="53">
        <v>0.67</v>
      </c>
      <c r="Q20" s="53">
        <v>9.6199999999999992</v>
      </c>
      <c r="R20" s="43"/>
      <c r="S20" s="43"/>
      <c r="T20" s="43"/>
      <c r="U20" s="43"/>
    </row>
    <row r="21" spans="1:21" s="11" customFormat="1" x14ac:dyDescent="0.25">
      <c r="A21" s="52" t="s">
        <v>553</v>
      </c>
      <c r="B21" s="53">
        <v>0.89</v>
      </c>
      <c r="C21" s="53">
        <v>11.01</v>
      </c>
      <c r="D21" s="53">
        <v>6.46</v>
      </c>
      <c r="E21" s="53">
        <v>6.04</v>
      </c>
      <c r="F21" s="53">
        <v>13.45</v>
      </c>
      <c r="G21" s="53">
        <v>85.38</v>
      </c>
      <c r="H21" s="53">
        <v>44.97</v>
      </c>
      <c r="I21" s="53">
        <v>5.85</v>
      </c>
      <c r="J21" s="53">
        <v>1.02</v>
      </c>
      <c r="K21" s="53">
        <v>115.68</v>
      </c>
      <c r="L21" s="53">
        <v>30.53</v>
      </c>
      <c r="M21" s="53">
        <v>58.16</v>
      </c>
      <c r="N21" s="53">
        <v>354.5</v>
      </c>
      <c r="O21" s="53">
        <v>0</v>
      </c>
      <c r="P21" s="53">
        <v>0.68</v>
      </c>
      <c r="Q21" s="53">
        <v>9.61</v>
      </c>
      <c r="R21" s="43"/>
      <c r="S21" s="43"/>
      <c r="T21" s="43"/>
      <c r="U21" s="43"/>
    </row>
    <row r="22" spans="1:21" s="11" customFormat="1" x14ac:dyDescent="0.25">
      <c r="A22" s="52" t="s">
        <v>554</v>
      </c>
      <c r="B22" s="53">
        <v>0.21</v>
      </c>
      <c r="C22" s="53">
        <v>10.61</v>
      </c>
      <c r="D22" s="53">
        <v>5.57</v>
      </c>
      <c r="E22" s="53">
        <v>5.77</v>
      </c>
      <c r="F22" s="53">
        <v>5.66</v>
      </c>
      <c r="G22" s="53">
        <v>76.47</v>
      </c>
      <c r="H22" s="53">
        <v>40.21</v>
      </c>
      <c r="I22" s="53">
        <v>5.57</v>
      </c>
      <c r="J22" s="53">
        <v>1.23</v>
      </c>
      <c r="K22" s="53">
        <v>118.44</v>
      </c>
      <c r="L22" s="53">
        <v>29.29</v>
      </c>
      <c r="M22" s="53">
        <v>58.55</v>
      </c>
      <c r="N22" s="53">
        <v>207.8</v>
      </c>
      <c r="O22" s="53">
        <v>0</v>
      </c>
      <c r="P22" s="53">
        <v>0.6</v>
      </c>
      <c r="Q22" s="53">
        <v>9.6300000000000008</v>
      </c>
      <c r="R22" s="43"/>
      <c r="S22" s="43"/>
      <c r="T22" s="43"/>
      <c r="U22" s="43"/>
    </row>
    <row r="23" spans="1:21" s="11" customFormat="1" x14ac:dyDescent="0.25">
      <c r="A23" s="52" t="s">
        <v>555</v>
      </c>
      <c r="B23" s="53">
        <v>0.88</v>
      </c>
      <c r="C23" s="53">
        <v>10.86</v>
      </c>
      <c r="D23" s="53">
        <v>6.34</v>
      </c>
      <c r="E23" s="53">
        <v>5.74</v>
      </c>
      <c r="F23" s="53">
        <v>5.3</v>
      </c>
      <c r="G23" s="53">
        <v>71.510000000000005</v>
      </c>
      <c r="H23" s="53">
        <v>39.979999999999997</v>
      </c>
      <c r="I23" s="53">
        <v>4.7699999999999996</v>
      </c>
      <c r="J23" s="53">
        <v>0.48</v>
      </c>
      <c r="K23" s="53">
        <v>339.45</v>
      </c>
      <c r="L23" s="53">
        <v>29.25</v>
      </c>
      <c r="M23" s="53">
        <v>58.52</v>
      </c>
      <c r="N23" s="53">
        <v>129.4</v>
      </c>
      <c r="O23" s="53">
        <v>0</v>
      </c>
      <c r="P23" s="53">
        <v>0.63</v>
      </c>
      <c r="Q23" s="53">
        <v>9.6300000000000008</v>
      </c>
      <c r="R23" s="43"/>
      <c r="S23" s="43"/>
      <c r="T23" s="43"/>
      <c r="U23" s="43"/>
    </row>
    <row r="24" spans="1:21" s="11" customFormat="1" x14ac:dyDescent="0.25">
      <c r="A24" s="52" t="s">
        <v>556</v>
      </c>
      <c r="B24" s="53">
        <v>0.84</v>
      </c>
      <c r="C24" s="53">
        <v>10.52</v>
      </c>
      <c r="D24" s="53">
        <v>6.17</v>
      </c>
      <c r="E24" s="53">
        <v>6.03</v>
      </c>
      <c r="F24" s="53">
        <v>5.65</v>
      </c>
      <c r="G24" s="53">
        <v>70.92</v>
      </c>
      <c r="H24" s="53">
        <v>38.68</v>
      </c>
      <c r="I24" s="53">
        <v>3.39</v>
      </c>
      <c r="J24" s="53">
        <v>1.24</v>
      </c>
      <c r="K24" s="53">
        <v>121.5</v>
      </c>
      <c r="L24" s="53">
        <v>28.43</v>
      </c>
      <c r="M24" s="53">
        <v>65.14</v>
      </c>
      <c r="N24" s="53">
        <v>79.7</v>
      </c>
      <c r="O24" s="53">
        <v>0</v>
      </c>
      <c r="P24" s="53">
        <v>0.54</v>
      </c>
      <c r="Q24" s="53">
        <v>9.61</v>
      </c>
      <c r="R24" s="43"/>
      <c r="S24" s="43"/>
      <c r="T24" s="43"/>
      <c r="U24" s="43"/>
    </row>
    <row r="25" spans="1:21" s="11" customFormat="1" x14ac:dyDescent="0.25">
      <c r="A25" s="52" t="s">
        <v>557</v>
      </c>
      <c r="B25" s="53">
        <v>0.37</v>
      </c>
      <c r="C25" s="53">
        <v>8.81</v>
      </c>
      <c r="D25" s="53">
        <v>4.82</v>
      </c>
      <c r="E25" s="53">
        <v>6.18</v>
      </c>
      <c r="F25" s="53">
        <v>5.15</v>
      </c>
      <c r="G25" s="53">
        <v>70.92</v>
      </c>
      <c r="H25" s="53">
        <v>36.1</v>
      </c>
      <c r="I25" s="53">
        <v>3.51</v>
      </c>
      <c r="J25" s="53">
        <v>1.06</v>
      </c>
      <c r="K25" s="53">
        <v>123.44</v>
      </c>
      <c r="L25" s="53">
        <v>27.77</v>
      </c>
      <c r="M25" s="53">
        <v>70.400000000000006</v>
      </c>
      <c r="N25" s="53">
        <v>43.4</v>
      </c>
      <c r="O25" s="53">
        <v>0</v>
      </c>
      <c r="P25" s="53">
        <v>0.56000000000000005</v>
      </c>
      <c r="Q25" s="53">
        <v>9.6199999999999992</v>
      </c>
      <c r="R25" s="43"/>
      <c r="S25" s="43"/>
      <c r="T25" s="43"/>
      <c r="U25" s="43"/>
    </row>
    <row r="26" spans="1:21" s="11" customFormat="1" x14ac:dyDescent="0.25">
      <c r="A26" s="52" t="s">
        <v>558</v>
      </c>
      <c r="B26" s="53">
        <v>-0.08</v>
      </c>
      <c r="C26" s="53">
        <v>8.5</v>
      </c>
      <c r="D26" s="53">
        <v>4.38</v>
      </c>
      <c r="E26" s="53">
        <v>6.01</v>
      </c>
      <c r="F26" s="53">
        <v>5.25</v>
      </c>
      <c r="G26" s="53">
        <v>66.680000000000007</v>
      </c>
      <c r="H26" s="53">
        <v>34.869999999999997</v>
      </c>
      <c r="I26" s="53">
        <v>4.17</v>
      </c>
      <c r="J26" s="53">
        <v>0.9</v>
      </c>
      <c r="K26" s="53">
        <v>119.03</v>
      </c>
      <c r="L26" s="53">
        <v>27.04</v>
      </c>
      <c r="M26" s="53">
        <v>74.06</v>
      </c>
      <c r="N26" s="53">
        <v>26.5</v>
      </c>
      <c r="O26" s="53">
        <v>0</v>
      </c>
      <c r="P26" s="53">
        <v>0.64</v>
      </c>
      <c r="Q26" s="53">
        <v>9.6199999999999992</v>
      </c>
      <c r="R26" s="43"/>
      <c r="S26" s="43"/>
      <c r="T26" s="43"/>
      <c r="U26" s="43"/>
    </row>
    <row r="27" spans="1:21" s="11" customFormat="1" x14ac:dyDescent="0.25">
      <c r="A27" s="52" t="s">
        <v>559</v>
      </c>
      <c r="B27" s="53">
        <v>0.53</v>
      </c>
      <c r="C27" s="53">
        <v>10.33</v>
      </c>
      <c r="D27" s="53">
        <v>5.82</v>
      </c>
      <c r="E27" s="53">
        <v>6.06</v>
      </c>
      <c r="F27" s="53">
        <v>5.22</v>
      </c>
      <c r="G27" s="53">
        <v>64.91</v>
      </c>
      <c r="H27" s="53">
        <v>33.4</v>
      </c>
      <c r="I27" s="53">
        <v>4.32</v>
      </c>
      <c r="J27" s="53">
        <v>0.91</v>
      </c>
      <c r="K27" s="53">
        <v>124.89</v>
      </c>
      <c r="L27" s="53">
        <v>26.56</v>
      </c>
      <c r="M27" s="53">
        <v>70.400000000000006</v>
      </c>
      <c r="N27" s="53">
        <v>26.3</v>
      </c>
      <c r="O27" s="53">
        <v>0</v>
      </c>
      <c r="P27" s="53">
        <v>0.76</v>
      </c>
      <c r="Q27" s="53">
        <v>9.6199999999999992</v>
      </c>
      <c r="R27" s="43"/>
      <c r="S27" s="43"/>
      <c r="T27" s="43"/>
      <c r="U27" s="43"/>
    </row>
    <row r="28" spans="1:21" s="11" customFormat="1" x14ac:dyDescent="0.25">
      <c r="A28" s="52" t="s">
        <v>560</v>
      </c>
      <c r="B28" s="53">
        <v>0.49</v>
      </c>
      <c r="C28" s="53">
        <v>8.98</v>
      </c>
      <c r="D28" s="53">
        <v>5.09</v>
      </c>
      <c r="E28" s="53">
        <v>5.58</v>
      </c>
      <c r="F28" s="53">
        <v>5.4</v>
      </c>
      <c r="G28" s="53">
        <v>52.61</v>
      </c>
      <c r="H28" s="53">
        <v>31.15</v>
      </c>
      <c r="I28" s="53">
        <v>3.27</v>
      </c>
      <c r="J28" s="53">
        <v>0.94</v>
      </c>
      <c r="K28" s="53">
        <v>119.42</v>
      </c>
      <c r="L28" s="53">
        <v>26.48</v>
      </c>
      <c r="M28" s="53">
        <v>64.290000000000006</v>
      </c>
      <c r="N28" s="53">
        <v>26.3</v>
      </c>
      <c r="O28" s="53">
        <v>0</v>
      </c>
      <c r="P28" s="53">
        <v>0.83</v>
      </c>
      <c r="Q28" s="53">
        <v>9.6199999999999992</v>
      </c>
      <c r="R28" s="43"/>
      <c r="S28" s="43"/>
      <c r="T28" s="43"/>
      <c r="U28" s="43"/>
    </row>
    <row r="29" spans="1:21" s="11" customFormat="1" x14ac:dyDescent="0.25">
      <c r="A29" s="52" t="s">
        <v>561</v>
      </c>
      <c r="B29" s="53">
        <v>0.64</v>
      </c>
      <c r="C29" s="53">
        <v>10.09</v>
      </c>
      <c r="D29" s="53">
        <v>5.75</v>
      </c>
      <c r="E29" s="53">
        <v>5.63</v>
      </c>
      <c r="F29" s="53">
        <v>5.0999999999999996</v>
      </c>
      <c r="G29" s="53">
        <v>55</v>
      </c>
      <c r="H29" s="53">
        <v>32.65</v>
      </c>
      <c r="I29" s="53">
        <v>3.74</v>
      </c>
      <c r="J29" s="53">
        <v>0.76</v>
      </c>
      <c r="K29" s="53">
        <v>143.71</v>
      </c>
      <c r="L29" s="53">
        <v>25.57</v>
      </c>
      <c r="M29" s="53">
        <v>68.55</v>
      </c>
      <c r="N29" s="53">
        <v>26.1</v>
      </c>
      <c r="O29" s="53">
        <v>0</v>
      </c>
      <c r="P29" s="53">
        <v>0.79</v>
      </c>
      <c r="Q29" s="53">
        <v>9.6199999999999992</v>
      </c>
      <c r="R29" s="43"/>
      <c r="S29" s="43"/>
      <c r="T29" s="43"/>
      <c r="U29" s="43"/>
    </row>
    <row r="30" spans="1:21" s="11" customFormat="1" x14ac:dyDescent="0.25">
      <c r="A30" s="52" t="s">
        <v>562</v>
      </c>
      <c r="B30" s="53">
        <v>0.97</v>
      </c>
      <c r="C30" s="53">
        <v>11.65</v>
      </c>
      <c r="D30" s="53">
        <v>6.87</v>
      </c>
      <c r="E30" s="53">
        <v>5.69</v>
      </c>
      <c r="F30" s="53">
        <v>4.6399999999999997</v>
      </c>
      <c r="G30" s="53">
        <v>59.58</v>
      </c>
      <c r="H30" s="53">
        <v>32.65</v>
      </c>
      <c r="I30" s="53">
        <v>4.8</v>
      </c>
      <c r="J30" s="53">
        <v>0.7</v>
      </c>
      <c r="K30" s="53">
        <v>164.89</v>
      </c>
      <c r="L30" s="53">
        <v>25.61</v>
      </c>
      <c r="M30" s="53">
        <v>74.650000000000006</v>
      </c>
      <c r="N30" s="53">
        <v>26.3</v>
      </c>
      <c r="O30" s="53">
        <v>0</v>
      </c>
      <c r="P30" s="53">
        <v>0.69</v>
      </c>
      <c r="Q30" s="53">
        <v>9.61</v>
      </c>
      <c r="R30" s="43"/>
      <c r="S30" s="43"/>
      <c r="T30" s="43"/>
      <c r="U30" s="43"/>
    </row>
    <row r="31" spans="1:21" s="11" customFormat="1" x14ac:dyDescent="0.25">
      <c r="A31" s="52" t="s">
        <v>563</v>
      </c>
      <c r="B31" s="53">
        <v>1.27</v>
      </c>
      <c r="C31" s="53">
        <v>12.13</v>
      </c>
      <c r="D31" s="53">
        <v>7.24</v>
      </c>
      <c r="E31" s="53">
        <v>5.53</v>
      </c>
      <c r="F31" s="53">
        <v>3.9</v>
      </c>
      <c r="G31" s="53">
        <v>59.58</v>
      </c>
      <c r="H31" s="53">
        <v>31.16</v>
      </c>
      <c r="I31" s="53">
        <v>4.2699999999999996</v>
      </c>
      <c r="J31" s="53">
        <v>0.79</v>
      </c>
      <c r="K31" s="53">
        <v>145.75</v>
      </c>
      <c r="L31" s="53">
        <v>24.7</v>
      </c>
      <c r="M31" s="53">
        <v>75.11</v>
      </c>
      <c r="N31" s="53">
        <v>26.2</v>
      </c>
      <c r="O31" s="53">
        <v>0</v>
      </c>
      <c r="P31" s="53">
        <v>0.64</v>
      </c>
      <c r="Q31" s="53">
        <v>9.61</v>
      </c>
      <c r="R31" s="43"/>
      <c r="S31" s="43"/>
      <c r="T31" s="43"/>
      <c r="U31" s="43"/>
    </row>
    <row r="32" spans="1:21" s="11" customFormat="1" x14ac:dyDescent="0.25">
      <c r="A32" s="52" t="s">
        <v>564</v>
      </c>
      <c r="B32" s="53">
        <v>2.8</v>
      </c>
      <c r="C32" s="53">
        <v>10.01</v>
      </c>
      <c r="D32" s="53">
        <v>7.11</v>
      </c>
      <c r="E32" s="53">
        <v>4.6900000000000004</v>
      </c>
      <c r="F32" s="53">
        <v>4.4400000000000004</v>
      </c>
      <c r="G32" s="53">
        <v>61.36</v>
      </c>
      <c r="H32" s="53">
        <v>30.83</v>
      </c>
      <c r="I32" s="53">
        <v>3.51</v>
      </c>
      <c r="J32" s="53">
        <v>0.55000000000000004</v>
      </c>
      <c r="K32" s="53">
        <v>321.68</v>
      </c>
      <c r="L32" s="53">
        <v>23.91</v>
      </c>
      <c r="M32" s="53">
        <v>92.31</v>
      </c>
      <c r="N32" s="53">
        <v>26.4</v>
      </c>
      <c r="O32" s="53">
        <v>0</v>
      </c>
      <c r="P32" s="53">
        <v>0.75</v>
      </c>
      <c r="Q32" s="53">
        <v>9.6199999999999992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-0.08</v>
      </c>
      <c r="C34" s="28">
        <f t="shared" si="0"/>
        <v>6.87</v>
      </c>
      <c r="D34" s="28">
        <f t="shared" si="0"/>
        <v>4.38</v>
      </c>
      <c r="E34" s="28">
        <f t="shared" si="0"/>
        <v>4.6900000000000004</v>
      </c>
      <c r="F34" s="28">
        <f t="shared" si="0"/>
        <v>3.43</v>
      </c>
      <c r="G34" s="28">
        <f t="shared" si="0"/>
        <v>48.63</v>
      </c>
      <c r="H34" s="28">
        <f t="shared" si="0"/>
        <v>21.49</v>
      </c>
      <c r="I34" s="28">
        <f t="shared" si="0"/>
        <v>3.2</v>
      </c>
      <c r="J34" s="28">
        <f t="shared" si="0"/>
        <v>0.48</v>
      </c>
      <c r="K34" s="28">
        <f t="shared" si="0"/>
        <v>115.68</v>
      </c>
      <c r="L34" s="28">
        <f t="shared" si="0"/>
        <v>23.13</v>
      </c>
      <c r="M34" s="28">
        <f t="shared" si="0"/>
        <v>58.16</v>
      </c>
      <c r="N34" s="28">
        <f t="shared" si="0"/>
        <v>26.1</v>
      </c>
      <c r="O34" s="28">
        <f t="shared" si="0"/>
        <v>0</v>
      </c>
      <c r="P34" s="28">
        <f t="shared" si="0"/>
        <v>0.54</v>
      </c>
      <c r="Q34" s="28">
        <f t="shared" si="0"/>
        <v>9.61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12.36</v>
      </c>
      <c r="C35" s="29">
        <f t="shared" si="1"/>
        <v>14.22</v>
      </c>
      <c r="D35" s="29">
        <f t="shared" si="1"/>
        <v>16.2</v>
      </c>
      <c r="E35" s="29">
        <f t="shared" si="1"/>
        <v>6.18</v>
      </c>
      <c r="F35" s="29">
        <f t="shared" si="1"/>
        <v>13.45</v>
      </c>
      <c r="G35" s="29">
        <f t="shared" si="1"/>
        <v>100.47</v>
      </c>
      <c r="H35" s="29">
        <f t="shared" si="1"/>
        <v>49.95</v>
      </c>
      <c r="I35" s="29">
        <f t="shared" si="1"/>
        <v>5.89</v>
      </c>
      <c r="J35" s="29">
        <f t="shared" si="1"/>
        <v>1.78</v>
      </c>
      <c r="K35" s="29">
        <f t="shared" si="1"/>
        <v>348.22</v>
      </c>
      <c r="L35" s="29">
        <f t="shared" si="1"/>
        <v>32.68</v>
      </c>
      <c r="M35" s="29">
        <f t="shared" si="1"/>
        <v>97.74</v>
      </c>
      <c r="N35" s="29">
        <f t="shared" si="1"/>
        <v>577.9</v>
      </c>
      <c r="O35" s="29">
        <f t="shared" si="1"/>
        <v>0</v>
      </c>
      <c r="P35" s="29">
        <f t="shared" si="1"/>
        <v>0.83</v>
      </c>
      <c r="Q35" s="29">
        <f t="shared" si="1"/>
        <v>9.6300000000000008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4.3858333333333333</v>
      </c>
      <c r="C36" s="28">
        <f t="shared" si="2"/>
        <v>9.8900000000000023</v>
      </c>
      <c r="D36" s="28">
        <f t="shared" si="2"/>
        <v>8.5525000000000002</v>
      </c>
      <c r="E36" s="28">
        <f t="shared" si="2"/>
        <v>5.6245833333333337</v>
      </c>
      <c r="F36" s="28">
        <f t="shared" si="2"/>
        <v>4.9741666666666662</v>
      </c>
      <c r="G36" s="28">
        <f t="shared" si="2"/>
        <v>74.153750000000002</v>
      </c>
      <c r="H36" s="28">
        <f t="shared" si="2"/>
        <v>39.564583333333331</v>
      </c>
      <c r="I36" s="28">
        <f t="shared" si="2"/>
        <v>4.4908333333333328</v>
      </c>
      <c r="J36" s="28">
        <f t="shared" si="2"/>
        <v>0.97083333333333321</v>
      </c>
      <c r="K36" s="28">
        <f t="shared" si="2"/>
        <v>227.2441666666667</v>
      </c>
      <c r="L36" s="28">
        <f t="shared" si="2"/>
        <v>26.756250000000005</v>
      </c>
      <c r="M36" s="28">
        <f t="shared" si="2"/>
        <v>78.03125</v>
      </c>
      <c r="N36" s="28">
        <f t="shared" si="2"/>
        <v>154.82083333333335</v>
      </c>
      <c r="O36" s="28">
        <f t="shared" si="2"/>
        <v>0</v>
      </c>
      <c r="P36" s="28">
        <f t="shared" si="2"/>
        <v>0.70541666666666669</v>
      </c>
      <c r="Q36" s="28">
        <f t="shared" si="2"/>
        <v>9.6187500000000039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4.2858898083449786</v>
      </c>
      <c r="C37" s="28">
        <f t="shared" ref="C37:Q37" si="3">STDEV(C9:C32)</f>
        <v>2.1740345183452097</v>
      </c>
      <c r="D37" s="28">
        <f t="shared" si="3"/>
        <v>3.4676608454591498</v>
      </c>
      <c r="E37" s="28">
        <f t="shared" si="3"/>
        <v>0.39682412232369518</v>
      </c>
      <c r="F37" s="28">
        <f t="shared" si="3"/>
        <v>1.9316154911879064</v>
      </c>
      <c r="G37" s="28">
        <f t="shared" si="3"/>
        <v>16.006039026757524</v>
      </c>
      <c r="H37" s="28">
        <f t="shared" si="3"/>
        <v>8.2708471671479025</v>
      </c>
      <c r="I37" s="28">
        <f t="shared" si="3"/>
        <v>0.84359951690807822</v>
      </c>
      <c r="J37" s="28">
        <f t="shared" si="3"/>
        <v>0.29902619729158619</v>
      </c>
      <c r="K37" s="28">
        <f t="shared" si="3"/>
        <v>107.61756273011854</v>
      </c>
      <c r="L37" s="28">
        <f t="shared" si="3"/>
        <v>2.9268989562333032</v>
      </c>
      <c r="M37" s="28">
        <f t="shared" si="3"/>
        <v>13.903876316712372</v>
      </c>
      <c r="N37" s="28">
        <f t="shared" si="3"/>
        <v>189.01660607784811</v>
      </c>
      <c r="O37" s="28">
        <f t="shared" si="3"/>
        <v>0</v>
      </c>
      <c r="P37" s="28">
        <f t="shared" si="3"/>
        <v>8.6173695505655984E-2</v>
      </c>
      <c r="Q37" s="28">
        <f t="shared" si="3"/>
        <v>6.7967383482018797E-3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22/10/2024 02:00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6"/>
      <c r="B8" s="57" t="s">
        <v>22</v>
      </c>
      <c r="C8" s="57" t="s">
        <v>22</v>
      </c>
      <c r="D8" s="29" t="s">
        <v>42</v>
      </c>
      <c r="E8" s="57" t="s">
        <v>22</v>
      </c>
      <c r="F8" s="57" t="s">
        <v>22</v>
      </c>
      <c r="G8" s="57" t="s">
        <v>23</v>
      </c>
      <c r="H8" s="57" t="s">
        <v>22</v>
      </c>
      <c r="I8" s="57" t="s">
        <v>22</v>
      </c>
      <c r="J8" s="57" t="s">
        <v>24</v>
      </c>
      <c r="K8" s="57" t="s">
        <v>25</v>
      </c>
      <c r="L8" s="56" t="s">
        <v>27</v>
      </c>
      <c r="M8" s="57" t="s">
        <v>26</v>
      </c>
      <c r="N8" s="57" t="s">
        <v>28</v>
      </c>
      <c r="O8" s="56" t="s">
        <v>29</v>
      </c>
      <c r="P8" s="57" t="s">
        <v>22</v>
      </c>
      <c r="Q8" s="57" t="s">
        <v>22</v>
      </c>
      <c r="R8" s="27"/>
      <c r="S8" s="29"/>
      <c r="T8" s="27"/>
      <c r="U8" s="27"/>
    </row>
    <row r="9" spans="1:21" s="11" customFormat="1" x14ac:dyDescent="0.25">
      <c r="A9" s="52" t="s">
        <v>565</v>
      </c>
      <c r="B9" s="53">
        <v>2.95</v>
      </c>
      <c r="C9" s="53">
        <v>8.7200000000000006</v>
      </c>
      <c r="D9" s="53">
        <v>6.92</v>
      </c>
      <c r="E9" s="53">
        <v>4.8499999999999996</v>
      </c>
      <c r="F9" s="53">
        <v>6.06</v>
      </c>
      <c r="G9" s="53">
        <v>61.36</v>
      </c>
      <c r="H9" s="53">
        <v>30.83</v>
      </c>
      <c r="I9" s="53">
        <v>2.91</v>
      </c>
      <c r="J9" s="53">
        <v>0.6</v>
      </c>
      <c r="K9" s="53">
        <v>322.82</v>
      </c>
      <c r="L9" s="53">
        <v>23.58</v>
      </c>
      <c r="M9" s="53">
        <v>96.24</v>
      </c>
      <c r="N9" s="53">
        <v>26.2</v>
      </c>
      <c r="O9" s="53">
        <v>0</v>
      </c>
      <c r="P9" s="53">
        <v>0.63</v>
      </c>
      <c r="Q9" s="53">
        <v>9.6199999999999992</v>
      </c>
      <c r="R9" s="43"/>
      <c r="S9" s="43"/>
      <c r="T9" s="43"/>
      <c r="U9" s="43"/>
    </row>
    <row r="10" spans="1:21" s="11" customFormat="1" x14ac:dyDescent="0.25">
      <c r="A10" s="52" t="s">
        <v>566</v>
      </c>
      <c r="B10" s="53">
        <v>2.4</v>
      </c>
      <c r="C10" s="53">
        <v>8.17</v>
      </c>
      <c r="D10" s="53">
        <v>6.19</v>
      </c>
      <c r="E10" s="53">
        <v>4.92</v>
      </c>
      <c r="F10" s="53">
        <v>3.94</v>
      </c>
      <c r="G10" s="53">
        <v>60.41</v>
      </c>
      <c r="H10" s="53">
        <v>31.84</v>
      </c>
      <c r="I10" s="53">
        <v>4.68</v>
      </c>
      <c r="J10" s="53">
        <v>0.57999999999999996</v>
      </c>
      <c r="K10" s="53">
        <v>343.44</v>
      </c>
      <c r="L10" s="53">
        <v>22.41</v>
      </c>
      <c r="M10" s="53">
        <v>101.91</v>
      </c>
      <c r="N10" s="53">
        <v>26.2</v>
      </c>
      <c r="O10" s="53">
        <v>0</v>
      </c>
      <c r="P10" s="53">
        <v>0.64</v>
      </c>
      <c r="Q10" s="53">
        <v>9.6199999999999992</v>
      </c>
      <c r="R10" s="43"/>
      <c r="S10" s="43"/>
      <c r="T10" s="43"/>
      <c r="U10" s="43"/>
    </row>
    <row r="11" spans="1:21" s="11" customFormat="1" x14ac:dyDescent="0.25">
      <c r="A11" s="52" t="s">
        <v>567</v>
      </c>
      <c r="B11" s="53">
        <v>2.48</v>
      </c>
      <c r="C11" s="53">
        <v>8.16</v>
      </c>
      <c r="D11" s="53">
        <v>6.25</v>
      </c>
      <c r="E11" s="53">
        <v>5.1100000000000003</v>
      </c>
      <c r="F11" s="53">
        <v>3.81</v>
      </c>
      <c r="G11" s="53">
        <v>60.41</v>
      </c>
      <c r="H11" s="53">
        <v>31.84</v>
      </c>
      <c r="I11" s="53">
        <v>5.04</v>
      </c>
      <c r="J11" s="53">
        <v>0.8</v>
      </c>
      <c r="K11" s="53">
        <v>358.9</v>
      </c>
      <c r="L11" s="53">
        <v>21.72</v>
      </c>
      <c r="M11" s="53">
        <v>102.72</v>
      </c>
      <c r="N11" s="53">
        <v>26.1</v>
      </c>
      <c r="O11" s="53">
        <v>0</v>
      </c>
      <c r="P11" s="53">
        <v>0.71</v>
      </c>
      <c r="Q11" s="53">
        <v>9.6199999999999992</v>
      </c>
      <c r="R11" s="43"/>
      <c r="S11" s="43"/>
      <c r="T11" s="43"/>
      <c r="U11" s="43"/>
    </row>
    <row r="12" spans="1:21" s="11" customFormat="1" x14ac:dyDescent="0.25">
      <c r="A12" s="52" t="s">
        <v>568</v>
      </c>
      <c r="B12" s="53">
        <v>4.76</v>
      </c>
      <c r="C12" s="53">
        <v>7.61</v>
      </c>
      <c r="D12" s="53">
        <v>7.54</v>
      </c>
      <c r="E12" s="53">
        <v>4.88</v>
      </c>
      <c r="F12" s="53">
        <v>3.84</v>
      </c>
      <c r="G12" s="53">
        <v>69.069999999999993</v>
      </c>
      <c r="H12" s="53">
        <v>39.92</v>
      </c>
      <c r="I12" s="53">
        <v>4.76</v>
      </c>
      <c r="J12" s="53">
        <v>0.63</v>
      </c>
      <c r="K12" s="53">
        <v>337.94</v>
      </c>
      <c r="L12" s="53">
        <v>21.86</v>
      </c>
      <c r="M12" s="53">
        <v>102.39</v>
      </c>
      <c r="N12" s="53">
        <v>26.1</v>
      </c>
      <c r="O12" s="53">
        <v>0</v>
      </c>
      <c r="P12" s="53">
        <v>1.05</v>
      </c>
      <c r="Q12" s="53">
        <v>9.61</v>
      </c>
      <c r="R12" s="43"/>
      <c r="S12" s="43"/>
      <c r="T12" s="43"/>
      <c r="U12" s="43"/>
    </row>
    <row r="13" spans="1:21" s="11" customFormat="1" x14ac:dyDescent="0.25">
      <c r="A13" s="52" t="s">
        <v>569</v>
      </c>
      <c r="B13" s="53">
        <v>5.7</v>
      </c>
      <c r="C13" s="53">
        <v>7.71</v>
      </c>
      <c r="D13" s="53">
        <v>8.6</v>
      </c>
      <c r="E13" s="53">
        <v>5.07</v>
      </c>
      <c r="F13" s="53">
        <v>3.89</v>
      </c>
      <c r="G13" s="53">
        <v>85.72</v>
      </c>
      <c r="H13" s="53">
        <v>45.25</v>
      </c>
      <c r="I13" s="53">
        <v>4.75</v>
      </c>
      <c r="J13" s="53">
        <v>0.98</v>
      </c>
      <c r="K13" s="53">
        <v>344.94</v>
      </c>
      <c r="L13" s="53">
        <v>21.84</v>
      </c>
      <c r="M13" s="53">
        <v>97.12</v>
      </c>
      <c r="N13" s="53">
        <v>26.8</v>
      </c>
      <c r="O13" s="53">
        <v>0</v>
      </c>
      <c r="P13" s="53">
        <v>0.98</v>
      </c>
      <c r="Q13" s="53">
        <v>9.6300000000000008</v>
      </c>
      <c r="R13" s="43"/>
      <c r="S13" s="43"/>
      <c r="T13" s="43"/>
      <c r="U13" s="43"/>
    </row>
    <row r="14" spans="1:21" s="11" customFormat="1" x14ac:dyDescent="0.25">
      <c r="A14" s="52" t="s">
        <v>570</v>
      </c>
      <c r="B14" s="53">
        <v>7.99</v>
      </c>
      <c r="C14" s="53">
        <v>9.58</v>
      </c>
      <c r="D14" s="53">
        <v>11.41</v>
      </c>
      <c r="E14" s="53">
        <v>5.34</v>
      </c>
      <c r="F14" s="53">
        <v>4.13</v>
      </c>
      <c r="G14" s="53">
        <v>89.85</v>
      </c>
      <c r="H14" s="53">
        <v>45.25</v>
      </c>
      <c r="I14" s="53">
        <v>5.46</v>
      </c>
      <c r="J14" s="53">
        <v>0.81</v>
      </c>
      <c r="K14" s="53">
        <v>334.09</v>
      </c>
      <c r="L14" s="53">
        <v>22.94</v>
      </c>
      <c r="M14" s="53">
        <v>95.32</v>
      </c>
      <c r="N14" s="53">
        <v>102.4</v>
      </c>
      <c r="O14" s="53">
        <v>0</v>
      </c>
      <c r="P14" s="53">
        <v>0.78</v>
      </c>
      <c r="Q14" s="53">
        <v>9.6199999999999992</v>
      </c>
      <c r="R14" s="43"/>
      <c r="S14" s="43"/>
      <c r="T14" s="43"/>
      <c r="U14" s="43"/>
    </row>
    <row r="15" spans="1:21" s="11" customFormat="1" x14ac:dyDescent="0.25">
      <c r="A15" s="52" t="s">
        <v>571</v>
      </c>
      <c r="B15" s="53">
        <v>10.9</v>
      </c>
      <c r="C15" s="53">
        <v>12.05</v>
      </c>
      <c r="D15" s="53">
        <v>15.03</v>
      </c>
      <c r="E15" s="53">
        <v>5.77</v>
      </c>
      <c r="F15" s="53">
        <v>3.88</v>
      </c>
      <c r="G15" s="53">
        <v>96.01</v>
      </c>
      <c r="H15" s="53">
        <v>43.72</v>
      </c>
      <c r="I15" s="53">
        <v>5.47</v>
      </c>
      <c r="J15" s="53">
        <v>0.94</v>
      </c>
      <c r="K15" s="53">
        <v>340.66</v>
      </c>
      <c r="L15" s="53">
        <v>28.47</v>
      </c>
      <c r="M15" s="53">
        <v>81.69</v>
      </c>
      <c r="N15" s="53">
        <v>288.8</v>
      </c>
      <c r="O15" s="53">
        <v>0</v>
      </c>
      <c r="P15" s="53">
        <v>0.87</v>
      </c>
      <c r="Q15" s="53">
        <v>9.6199999999999992</v>
      </c>
      <c r="R15" s="43"/>
      <c r="S15" s="43"/>
      <c r="T15" s="43"/>
      <c r="U15" s="43"/>
    </row>
    <row r="16" spans="1:21" s="11" customFormat="1" x14ac:dyDescent="0.25">
      <c r="A16" s="52" t="s">
        <v>572</v>
      </c>
      <c r="B16" s="53">
        <v>13.37</v>
      </c>
      <c r="C16" s="53">
        <v>12.94</v>
      </c>
      <c r="D16" s="53">
        <v>17.489999999999998</v>
      </c>
      <c r="E16" s="53">
        <v>6.51</v>
      </c>
      <c r="F16" s="53">
        <v>3.94</v>
      </c>
      <c r="G16" s="53">
        <v>107.78</v>
      </c>
      <c r="H16" s="53">
        <v>46.21</v>
      </c>
      <c r="I16" s="53">
        <v>5.49</v>
      </c>
      <c r="J16" s="53">
        <v>1.3</v>
      </c>
      <c r="K16" s="53">
        <v>340.87</v>
      </c>
      <c r="L16" s="53">
        <v>32.590000000000003</v>
      </c>
      <c r="M16" s="53">
        <v>61.81</v>
      </c>
      <c r="N16" s="53">
        <v>458.6</v>
      </c>
      <c r="O16" s="53">
        <v>0</v>
      </c>
      <c r="P16" s="53">
        <v>1.0900000000000001</v>
      </c>
      <c r="Q16" s="53">
        <v>9.6300000000000008</v>
      </c>
      <c r="R16" s="43"/>
      <c r="S16" s="43"/>
      <c r="T16" s="43"/>
      <c r="U16" s="43"/>
    </row>
    <row r="17" spans="1:21" s="11" customFormat="1" x14ac:dyDescent="0.25">
      <c r="A17" s="52" t="s">
        <v>573</v>
      </c>
      <c r="B17" s="53">
        <v>13.64</v>
      </c>
      <c r="C17" s="53">
        <v>14.55</v>
      </c>
      <c r="D17" s="53">
        <v>18.43</v>
      </c>
      <c r="E17" s="53">
        <v>7.01</v>
      </c>
      <c r="F17" s="53">
        <v>4.2699999999999996</v>
      </c>
      <c r="G17" s="55" t="s">
        <v>12</v>
      </c>
      <c r="H17" s="55" t="s">
        <v>12</v>
      </c>
      <c r="I17" s="53">
        <v>5.63</v>
      </c>
      <c r="J17" s="53">
        <v>1.6</v>
      </c>
      <c r="K17" s="53">
        <v>340.33</v>
      </c>
      <c r="L17" s="53">
        <v>32.72</v>
      </c>
      <c r="M17" s="53">
        <v>59.54</v>
      </c>
      <c r="N17" s="53">
        <v>602.20000000000005</v>
      </c>
      <c r="O17" s="53">
        <v>0</v>
      </c>
      <c r="P17" s="53">
        <v>1.1399999999999999</v>
      </c>
      <c r="Q17" s="53">
        <v>9.6300000000000008</v>
      </c>
      <c r="R17" s="43"/>
      <c r="S17" s="43"/>
      <c r="T17" s="43"/>
      <c r="U17" s="43"/>
    </row>
    <row r="18" spans="1:21" s="11" customFormat="1" x14ac:dyDescent="0.25">
      <c r="A18" s="52" t="s">
        <v>574</v>
      </c>
      <c r="B18" s="53">
        <v>12.08</v>
      </c>
      <c r="C18" s="53">
        <v>16</v>
      </c>
      <c r="D18" s="53">
        <v>17.27</v>
      </c>
      <c r="E18" s="53">
        <v>6.38</v>
      </c>
      <c r="F18" s="53">
        <v>4.5199999999999996</v>
      </c>
      <c r="G18" s="55" t="s">
        <v>12</v>
      </c>
      <c r="H18" s="55" t="s">
        <v>12</v>
      </c>
      <c r="I18" s="53">
        <v>6.77</v>
      </c>
      <c r="J18" s="53">
        <v>1.07</v>
      </c>
      <c r="K18" s="53">
        <v>124.42</v>
      </c>
      <c r="L18" s="53">
        <v>31.57</v>
      </c>
      <c r="M18" s="53">
        <v>62.35</v>
      </c>
      <c r="N18" s="53">
        <v>710.3</v>
      </c>
      <c r="O18" s="53">
        <v>0</v>
      </c>
      <c r="P18" s="53">
        <v>1</v>
      </c>
      <c r="Q18" s="53">
        <v>9.6199999999999992</v>
      </c>
      <c r="R18" s="43"/>
      <c r="S18" s="43"/>
      <c r="T18" s="43"/>
      <c r="U18" s="43"/>
    </row>
    <row r="19" spans="1:21" s="11" customFormat="1" x14ac:dyDescent="0.25">
      <c r="A19" s="52" t="s">
        <v>575</v>
      </c>
      <c r="B19" s="53">
        <v>5.47</v>
      </c>
      <c r="C19" s="53">
        <v>35.869999999999997</v>
      </c>
      <c r="D19" s="53">
        <v>18.16</v>
      </c>
      <c r="E19" s="53">
        <v>8.8000000000000007</v>
      </c>
      <c r="F19" s="53">
        <v>15.93</v>
      </c>
      <c r="G19" s="53">
        <v>105.17</v>
      </c>
      <c r="H19" s="53">
        <v>46.41</v>
      </c>
      <c r="I19" s="53">
        <v>6.86</v>
      </c>
      <c r="J19" s="53">
        <v>1.47</v>
      </c>
      <c r="K19" s="53">
        <v>121.48</v>
      </c>
      <c r="L19" s="53">
        <v>30.71</v>
      </c>
      <c r="M19" s="53">
        <v>54.98</v>
      </c>
      <c r="N19" s="53">
        <v>733.8</v>
      </c>
      <c r="O19" s="53">
        <v>0</v>
      </c>
      <c r="P19" s="53">
        <v>0.89</v>
      </c>
      <c r="Q19" s="53">
        <v>9.6300000000000008</v>
      </c>
      <c r="R19" s="43"/>
      <c r="S19" s="43"/>
      <c r="T19" s="43"/>
      <c r="U19" s="43"/>
    </row>
    <row r="20" spans="1:21" s="11" customFormat="1" x14ac:dyDescent="0.25">
      <c r="A20" s="52" t="s">
        <v>576</v>
      </c>
      <c r="B20" s="53">
        <v>2.17</v>
      </c>
      <c r="C20" s="53">
        <v>43.64</v>
      </c>
      <c r="D20" s="53">
        <v>22.67</v>
      </c>
      <c r="E20" s="53">
        <v>11.59</v>
      </c>
      <c r="F20" s="53">
        <v>13.78</v>
      </c>
      <c r="G20" s="53">
        <v>75.03</v>
      </c>
      <c r="H20" s="53">
        <v>43.94</v>
      </c>
      <c r="I20" s="53">
        <v>4.72</v>
      </c>
      <c r="J20" s="53">
        <v>1.2</v>
      </c>
      <c r="K20" s="53">
        <v>326.8</v>
      </c>
      <c r="L20" s="53">
        <v>33.090000000000003</v>
      </c>
      <c r="M20" s="53">
        <v>50.59</v>
      </c>
      <c r="N20" s="53">
        <v>726.6</v>
      </c>
      <c r="O20" s="53">
        <v>0</v>
      </c>
      <c r="P20" s="53">
        <v>0.59</v>
      </c>
      <c r="Q20" s="53">
        <v>9.61</v>
      </c>
      <c r="R20" s="43"/>
      <c r="S20" s="43"/>
      <c r="T20" s="43"/>
      <c r="U20" s="43"/>
    </row>
    <row r="21" spans="1:21" s="11" customFormat="1" x14ac:dyDescent="0.25">
      <c r="A21" s="52" t="s">
        <v>577</v>
      </c>
      <c r="B21" s="53">
        <v>1.89</v>
      </c>
      <c r="C21" s="53">
        <v>36.68</v>
      </c>
      <c r="D21" s="53">
        <v>18.82</v>
      </c>
      <c r="E21" s="53">
        <v>8.42</v>
      </c>
      <c r="F21" s="53">
        <v>6.78</v>
      </c>
      <c r="G21" s="53">
        <v>84.74</v>
      </c>
      <c r="H21" s="53">
        <v>38.69</v>
      </c>
      <c r="I21" s="53">
        <v>3.62</v>
      </c>
      <c r="J21" s="53">
        <v>0.96</v>
      </c>
      <c r="K21" s="53">
        <v>104.23</v>
      </c>
      <c r="L21" s="53">
        <v>32.15</v>
      </c>
      <c r="M21" s="53">
        <v>42.5</v>
      </c>
      <c r="N21" s="53">
        <v>294.5</v>
      </c>
      <c r="O21" s="53">
        <v>0</v>
      </c>
      <c r="P21" s="53">
        <v>0.52</v>
      </c>
      <c r="Q21" s="53">
        <v>9.61</v>
      </c>
      <c r="R21" s="43"/>
      <c r="S21" s="43"/>
      <c r="T21" s="43"/>
      <c r="U21" s="43"/>
    </row>
    <row r="22" spans="1:21" s="11" customFormat="1" x14ac:dyDescent="0.25">
      <c r="A22" s="52" t="s">
        <v>578</v>
      </c>
      <c r="B22" s="53">
        <v>1.82</v>
      </c>
      <c r="C22" s="53">
        <v>23.42</v>
      </c>
      <c r="D22" s="53">
        <v>12</v>
      </c>
      <c r="E22" s="53">
        <v>8.11</v>
      </c>
      <c r="F22" s="53">
        <v>11.18</v>
      </c>
      <c r="G22" s="53">
        <v>84.74</v>
      </c>
      <c r="H22" s="53">
        <v>30.06</v>
      </c>
      <c r="I22" s="53">
        <v>4.03</v>
      </c>
      <c r="J22" s="53">
        <v>1.52</v>
      </c>
      <c r="K22" s="53">
        <v>354.68</v>
      </c>
      <c r="L22" s="53">
        <v>30.9</v>
      </c>
      <c r="M22" s="53">
        <v>43.97</v>
      </c>
      <c r="N22" s="53">
        <v>177.1</v>
      </c>
      <c r="O22" s="53">
        <v>0</v>
      </c>
      <c r="P22" s="53">
        <v>0.53</v>
      </c>
      <c r="Q22" s="53">
        <v>9.6199999999999992</v>
      </c>
      <c r="R22" s="43"/>
      <c r="S22" s="43"/>
      <c r="T22" s="43"/>
      <c r="U22" s="43"/>
    </row>
    <row r="23" spans="1:21" s="11" customFormat="1" x14ac:dyDescent="0.25">
      <c r="A23" s="52" t="s">
        <v>579</v>
      </c>
      <c r="B23" s="53">
        <v>1.46</v>
      </c>
      <c r="C23" s="53">
        <v>20.29</v>
      </c>
      <c r="D23" s="53">
        <v>10.33</v>
      </c>
      <c r="E23" s="53">
        <v>7.74</v>
      </c>
      <c r="F23" s="53">
        <v>8.2899999999999991</v>
      </c>
      <c r="G23" s="53">
        <v>70.78</v>
      </c>
      <c r="H23" s="53">
        <v>526.35</v>
      </c>
      <c r="I23" s="53">
        <v>3.79</v>
      </c>
      <c r="J23" s="53">
        <v>1.65</v>
      </c>
      <c r="K23" s="53">
        <v>358.8</v>
      </c>
      <c r="L23" s="53">
        <v>29.98</v>
      </c>
      <c r="M23" s="53">
        <v>47.95</v>
      </c>
      <c r="N23" s="53">
        <v>120.7</v>
      </c>
      <c r="O23" s="53">
        <v>0</v>
      </c>
      <c r="P23" s="53">
        <v>0.56000000000000005</v>
      </c>
      <c r="Q23" s="53">
        <v>9.6199999999999992</v>
      </c>
      <c r="R23" s="43"/>
      <c r="S23" s="43"/>
      <c r="T23" s="43"/>
      <c r="U23" s="43"/>
    </row>
    <row r="24" spans="1:21" s="11" customFormat="1" x14ac:dyDescent="0.25">
      <c r="A24" s="52" t="s">
        <v>580</v>
      </c>
      <c r="B24" s="53">
        <v>4</v>
      </c>
      <c r="C24" s="53">
        <v>26.32</v>
      </c>
      <c r="D24" s="53">
        <v>15.58</v>
      </c>
      <c r="E24" s="53">
        <v>7.46</v>
      </c>
      <c r="F24" s="53">
        <v>7.94</v>
      </c>
      <c r="G24" s="53">
        <v>70.78</v>
      </c>
      <c r="H24" s="53">
        <v>526.35</v>
      </c>
      <c r="I24" s="53">
        <v>3.86</v>
      </c>
      <c r="J24" s="53">
        <v>1.52</v>
      </c>
      <c r="K24" s="53">
        <v>356.34</v>
      </c>
      <c r="L24" s="53">
        <v>29.62</v>
      </c>
      <c r="M24" s="53">
        <v>47.21</v>
      </c>
      <c r="N24" s="53">
        <v>74</v>
      </c>
      <c r="O24" s="53">
        <v>0</v>
      </c>
      <c r="P24" s="53">
        <v>0.75</v>
      </c>
      <c r="Q24" s="53">
        <v>9.6199999999999992</v>
      </c>
      <c r="R24" s="43"/>
      <c r="S24" s="43"/>
      <c r="T24" s="43"/>
      <c r="U24" s="43"/>
    </row>
    <row r="25" spans="1:21" s="11" customFormat="1" x14ac:dyDescent="0.25">
      <c r="A25" s="52" t="s">
        <v>581</v>
      </c>
      <c r="B25" s="53">
        <v>4.25</v>
      </c>
      <c r="C25" s="53">
        <v>31.25</v>
      </c>
      <c r="D25" s="53">
        <v>18.36</v>
      </c>
      <c r="E25" s="53">
        <v>8.06</v>
      </c>
      <c r="F25" s="53">
        <v>6.9</v>
      </c>
      <c r="G25" s="53">
        <v>93.29</v>
      </c>
      <c r="H25" s="53">
        <v>72.290000000000006</v>
      </c>
      <c r="I25" s="53">
        <v>4.0199999999999996</v>
      </c>
      <c r="J25" s="53">
        <v>1.17</v>
      </c>
      <c r="K25" s="53">
        <v>336.57</v>
      </c>
      <c r="L25" s="53">
        <v>27.41</v>
      </c>
      <c r="M25" s="53">
        <v>63.28</v>
      </c>
      <c r="N25" s="53">
        <v>40</v>
      </c>
      <c r="O25" s="53">
        <v>0</v>
      </c>
      <c r="P25" s="53">
        <v>1.03</v>
      </c>
      <c r="Q25" s="53">
        <v>9.6199999999999992</v>
      </c>
      <c r="R25" s="43"/>
      <c r="S25" s="43"/>
      <c r="T25" s="43"/>
      <c r="U25" s="43"/>
    </row>
    <row r="26" spans="1:21" s="11" customFormat="1" x14ac:dyDescent="0.25">
      <c r="A26" s="52" t="s">
        <v>582</v>
      </c>
      <c r="B26" s="53">
        <v>3.85</v>
      </c>
      <c r="C26" s="53">
        <v>24.41</v>
      </c>
      <c r="D26" s="53">
        <v>14.46</v>
      </c>
      <c r="E26" s="53">
        <v>6.98</v>
      </c>
      <c r="F26" s="53">
        <v>5.5</v>
      </c>
      <c r="G26" s="53">
        <v>94.96</v>
      </c>
      <c r="H26" s="53">
        <v>72.290000000000006</v>
      </c>
      <c r="I26" s="53">
        <v>3.53</v>
      </c>
      <c r="J26" s="53">
        <v>0.65</v>
      </c>
      <c r="K26" s="53">
        <v>328.79</v>
      </c>
      <c r="L26" s="53">
        <v>26.74</v>
      </c>
      <c r="M26" s="53">
        <v>64.86</v>
      </c>
      <c r="N26" s="53">
        <v>26.4</v>
      </c>
      <c r="O26" s="53">
        <v>0</v>
      </c>
      <c r="P26" s="53">
        <v>1.1100000000000001</v>
      </c>
      <c r="Q26" s="53">
        <v>9.6199999999999992</v>
      </c>
      <c r="R26" s="43"/>
      <c r="S26" s="43"/>
      <c r="T26" s="43"/>
      <c r="U26" s="43"/>
    </row>
    <row r="27" spans="1:21" s="11" customFormat="1" x14ac:dyDescent="0.25">
      <c r="A27" s="52" t="s">
        <v>583</v>
      </c>
      <c r="B27" s="53">
        <v>21.61</v>
      </c>
      <c r="C27" s="53">
        <v>23.62</v>
      </c>
      <c r="D27" s="53">
        <v>28.3</v>
      </c>
      <c r="E27" s="53">
        <v>7.08</v>
      </c>
      <c r="F27" s="53">
        <v>4.55</v>
      </c>
      <c r="G27" s="53">
        <v>94.96</v>
      </c>
      <c r="H27" s="53">
        <v>63.39</v>
      </c>
      <c r="I27" s="53">
        <v>6.46</v>
      </c>
      <c r="J27" s="53">
        <v>0.56000000000000005</v>
      </c>
      <c r="K27" s="53">
        <v>326.7</v>
      </c>
      <c r="L27" s="53">
        <v>25.28</v>
      </c>
      <c r="M27" s="53">
        <v>76.62</v>
      </c>
      <c r="N27" s="53">
        <v>26.4</v>
      </c>
      <c r="O27" s="53">
        <v>0</v>
      </c>
      <c r="P27" s="53">
        <v>1.69</v>
      </c>
      <c r="Q27" s="53">
        <v>9.61</v>
      </c>
      <c r="R27" s="43"/>
      <c r="S27" s="43"/>
      <c r="T27" s="43"/>
      <c r="U27" s="43"/>
    </row>
    <row r="28" spans="1:21" s="11" customFormat="1" x14ac:dyDescent="0.25">
      <c r="A28" s="52" t="s">
        <v>584</v>
      </c>
      <c r="B28" s="53">
        <v>40.56</v>
      </c>
      <c r="C28" s="53">
        <v>23.23</v>
      </c>
      <c r="D28" s="53">
        <v>42.09</v>
      </c>
      <c r="E28" s="53">
        <v>8.75</v>
      </c>
      <c r="F28" s="53">
        <v>3.96</v>
      </c>
      <c r="G28" s="53">
        <v>102.16</v>
      </c>
      <c r="H28" s="53">
        <v>58.49</v>
      </c>
      <c r="I28" s="53">
        <v>8.66</v>
      </c>
      <c r="J28" s="53">
        <v>0.56000000000000005</v>
      </c>
      <c r="K28" s="53">
        <v>331.21</v>
      </c>
      <c r="L28" s="53">
        <v>24.21</v>
      </c>
      <c r="M28" s="53">
        <v>78.650000000000006</v>
      </c>
      <c r="N28" s="53">
        <v>26.1</v>
      </c>
      <c r="O28" s="53">
        <v>0</v>
      </c>
      <c r="P28" s="53">
        <v>2.2400000000000002</v>
      </c>
      <c r="Q28" s="53">
        <v>9.6300000000000008</v>
      </c>
      <c r="R28" s="43"/>
      <c r="S28" s="43"/>
      <c r="T28" s="43"/>
      <c r="U28" s="43"/>
    </row>
    <row r="29" spans="1:21" s="11" customFormat="1" x14ac:dyDescent="0.25">
      <c r="A29" s="52" t="s">
        <v>585</v>
      </c>
      <c r="B29" s="53">
        <v>51</v>
      </c>
      <c r="C29" s="53">
        <v>20.100000000000001</v>
      </c>
      <c r="D29" s="53">
        <v>48.39</v>
      </c>
      <c r="E29" s="53">
        <v>8.52</v>
      </c>
      <c r="F29" s="53">
        <v>3.86</v>
      </c>
      <c r="G29" s="53">
        <v>105.79</v>
      </c>
      <c r="H29" s="53">
        <v>60.47</v>
      </c>
      <c r="I29" s="53">
        <v>8.48</v>
      </c>
      <c r="J29" s="53">
        <v>0.52</v>
      </c>
      <c r="K29" s="53">
        <v>301.17</v>
      </c>
      <c r="L29" s="53">
        <v>23.77</v>
      </c>
      <c r="M29" s="53">
        <v>80.95</v>
      </c>
      <c r="N29" s="53">
        <v>26.1</v>
      </c>
      <c r="O29" s="53">
        <v>0</v>
      </c>
      <c r="P29" s="53">
        <v>1.99</v>
      </c>
      <c r="Q29" s="53">
        <v>9.6300000000000008</v>
      </c>
      <c r="R29" s="43"/>
      <c r="S29" s="43"/>
      <c r="T29" s="43"/>
      <c r="U29" s="43"/>
    </row>
    <row r="30" spans="1:21" s="11" customFormat="1" x14ac:dyDescent="0.25">
      <c r="A30" s="52" t="s">
        <v>586</v>
      </c>
      <c r="B30" s="53">
        <v>53.96</v>
      </c>
      <c r="C30" s="53">
        <v>16.239999999999998</v>
      </c>
      <c r="D30" s="53">
        <v>50.07</v>
      </c>
      <c r="E30" s="53">
        <v>8.44</v>
      </c>
      <c r="F30" s="53">
        <v>4.12</v>
      </c>
      <c r="G30" s="53">
        <v>109.08</v>
      </c>
      <c r="H30" s="53">
        <v>60.47</v>
      </c>
      <c r="I30" s="53">
        <v>7.74</v>
      </c>
      <c r="J30" s="53">
        <v>0.61</v>
      </c>
      <c r="K30" s="53">
        <v>308.70999999999998</v>
      </c>
      <c r="L30" s="53">
        <v>23.49</v>
      </c>
      <c r="M30" s="53">
        <v>84.82</v>
      </c>
      <c r="N30" s="53">
        <v>26.3</v>
      </c>
      <c r="O30" s="53">
        <v>0</v>
      </c>
      <c r="P30" s="53">
        <v>1.52</v>
      </c>
      <c r="Q30" s="53">
        <v>9.64</v>
      </c>
      <c r="R30" s="43"/>
      <c r="S30" s="43"/>
      <c r="T30" s="43"/>
      <c r="U30" s="43"/>
    </row>
    <row r="31" spans="1:21" s="11" customFormat="1" x14ac:dyDescent="0.25">
      <c r="A31" s="52" t="s">
        <v>587</v>
      </c>
      <c r="B31" s="53">
        <v>50.59</v>
      </c>
      <c r="C31" s="53">
        <v>15.73</v>
      </c>
      <c r="D31" s="53">
        <v>47.16</v>
      </c>
      <c r="E31" s="53">
        <v>8.18</v>
      </c>
      <c r="F31" s="53">
        <v>4.5999999999999996</v>
      </c>
      <c r="G31" s="53">
        <v>109.08</v>
      </c>
      <c r="H31" s="53">
        <v>56.95</v>
      </c>
      <c r="I31" s="53">
        <v>6.27</v>
      </c>
      <c r="J31" s="53">
        <v>0.59</v>
      </c>
      <c r="K31" s="53">
        <v>322.49</v>
      </c>
      <c r="L31" s="53">
        <v>22.64</v>
      </c>
      <c r="M31" s="53">
        <v>87.45</v>
      </c>
      <c r="N31" s="53">
        <v>26.1</v>
      </c>
      <c r="O31" s="53">
        <v>0</v>
      </c>
      <c r="P31" s="53">
        <v>1.45</v>
      </c>
      <c r="Q31" s="53">
        <v>9.6199999999999992</v>
      </c>
      <c r="R31" s="43"/>
      <c r="S31" s="43"/>
      <c r="T31" s="43"/>
      <c r="U31" s="43"/>
    </row>
    <row r="32" spans="1:21" s="11" customFormat="1" x14ac:dyDescent="0.25">
      <c r="A32" s="52" t="s">
        <v>588</v>
      </c>
      <c r="B32" s="53">
        <v>49.79</v>
      </c>
      <c r="C32" s="53">
        <v>15.12</v>
      </c>
      <c r="D32" s="53">
        <v>46.43</v>
      </c>
      <c r="E32" s="53">
        <v>7</v>
      </c>
      <c r="F32" s="53">
        <v>4.2300000000000004</v>
      </c>
      <c r="G32" s="53">
        <v>101.14</v>
      </c>
      <c r="H32" s="53">
        <v>51.77</v>
      </c>
      <c r="I32" s="53">
        <v>5.65</v>
      </c>
      <c r="J32" s="53">
        <v>0.71</v>
      </c>
      <c r="K32" s="53">
        <v>325.25</v>
      </c>
      <c r="L32" s="53">
        <v>22.16</v>
      </c>
      <c r="M32" s="53">
        <v>90.82</v>
      </c>
      <c r="N32" s="53">
        <v>26.1</v>
      </c>
      <c r="O32" s="53">
        <v>0</v>
      </c>
      <c r="P32" s="53">
        <v>1.34</v>
      </c>
      <c r="Q32" s="53">
        <v>9.6300000000000008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1.46</v>
      </c>
      <c r="C34" s="28">
        <f t="shared" si="0"/>
        <v>7.61</v>
      </c>
      <c r="D34" s="28">
        <f t="shared" si="0"/>
        <v>6.19</v>
      </c>
      <c r="E34" s="28">
        <f t="shared" si="0"/>
        <v>4.8499999999999996</v>
      </c>
      <c r="F34" s="28">
        <f t="shared" si="0"/>
        <v>3.81</v>
      </c>
      <c r="G34" s="28">
        <f t="shared" si="0"/>
        <v>60.41</v>
      </c>
      <c r="H34" s="28">
        <f t="shared" si="0"/>
        <v>30.06</v>
      </c>
      <c r="I34" s="28">
        <f t="shared" si="0"/>
        <v>2.91</v>
      </c>
      <c r="J34" s="28">
        <f t="shared" si="0"/>
        <v>0.52</v>
      </c>
      <c r="K34" s="28">
        <f t="shared" si="0"/>
        <v>104.23</v>
      </c>
      <c r="L34" s="28">
        <f t="shared" si="0"/>
        <v>21.72</v>
      </c>
      <c r="M34" s="28">
        <f t="shared" si="0"/>
        <v>42.5</v>
      </c>
      <c r="N34" s="28">
        <f t="shared" si="0"/>
        <v>26.1</v>
      </c>
      <c r="O34" s="28">
        <f t="shared" si="0"/>
        <v>0</v>
      </c>
      <c r="P34" s="28">
        <f t="shared" si="0"/>
        <v>0.52</v>
      </c>
      <c r="Q34" s="28">
        <f t="shared" si="0"/>
        <v>9.61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53.96</v>
      </c>
      <c r="C35" s="29">
        <f t="shared" si="1"/>
        <v>43.64</v>
      </c>
      <c r="D35" s="29">
        <f t="shared" si="1"/>
        <v>50.07</v>
      </c>
      <c r="E35" s="29">
        <f t="shared" si="1"/>
        <v>11.59</v>
      </c>
      <c r="F35" s="29">
        <f t="shared" si="1"/>
        <v>15.93</v>
      </c>
      <c r="G35" s="29">
        <f t="shared" si="1"/>
        <v>109.08</v>
      </c>
      <c r="H35" s="29">
        <f t="shared" si="1"/>
        <v>526.35</v>
      </c>
      <c r="I35" s="29">
        <f t="shared" si="1"/>
        <v>8.66</v>
      </c>
      <c r="J35" s="29">
        <f t="shared" si="1"/>
        <v>1.65</v>
      </c>
      <c r="K35" s="29">
        <f t="shared" si="1"/>
        <v>358.9</v>
      </c>
      <c r="L35" s="29">
        <f t="shared" si="1"/>
        <v>33.090000000000003</v>
      </c>
      <c r="M35" s="29">
        <f t="shared" si="1"/>
        <v>102.72</v>
      </c>
      <c r="N35" s="29">
        <f t="shared" si="1"/>
        <v>733.8</v>
      </c>
      <c r="O35" s="29">
        <f t="shared" si="1"/>
        <v>0</v>
      </c>
      <c r="P35" s="29">
        <f t="shared" si="1"/>
        <v>2.2400000000000002</v>
      </c>
      <c r="Q35" s="29">
        <f t="shared" si="1"/>
        <v>9.64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15.362083333333333</v>
      </c>
      <c r="C36" s="28">
        <f t="shared" si="2"/>
        <v>19.225416666666671</v>
      </c>
      <c r="D36" s="28">
        <f t="shared" si="2"/>
        <v>21.164583333333333</v>
      </c>
      <c r="E36" s="28">
        <f t="shared" si="2"/>
        <v>7.1237500000000011</v>
      </c>
      <c r="F36" s="28">
        <f t="shared" si="2"/>
        <v>5.9958333333333327</v>
      </c>
      <c r="G36" s="28">
        <f t="shared" si="2"/>
        <v>87.832272727272724</v>
      </c>
      <c r="H36" s="28">
        <f t="shared" si="2"/>
        <v>91.944545454545448</v>
      </c>
      <c r="I36" s="28">
        <f t="shared" si="2"/>
        <v>5.3604166666666666</v>
      </c>
      <c r="J36" s="28">
        <f t="shared" si="2"/>
        <v>0.95833333333333304</v>
      </c>
      <c r="K36" s="28">
        <f t="shared" si="2"/>
        <v>307.98458333333332</v>
      </c>
      <c r="L36" s="28">
        <f t="shared" si="2"/>
        <v>26.743750000000002</v>
      </c>
      <c r="M36" s="28">
        <f t="shared" si="2"/>
        <v>73.989166666666677</v>
      </c>
      <c r="N36" s="28">
        <f t="shared" si="2"/>
        <v>193.49583333333337</v>
      </c>
      <c r="O36" s="28">
        <f t="shared" si="2"/>
        <v>0</v>
      </c>
      <c r="P36" s="28">
        <f t="shared" si="2"/>
        <v>1.0458333333333332</v>
      </c>
      <c r="Q36" s="28">
        <f t="shared" si="2"/>
        <v>9.6220833333333342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18.487372183564194</v>
      </c>
      <c r="C37" s="28">
        <f t="shared" ref="C37:Q37" si="3">STDEV(C9:C32)</f>
        <v>10.067703843896362</v>
      </c>
      <c r="D37" s="28">
        <f t="shared" si="3"/>
        <v>14.512112475945489</v>
      </c>
      <c r="E37" s="28">
        <f t="shared" si="3"/>
        <v>1.6622530872544485</v>
      </c>
      <c r="F37" s="28">
        <f t="shared" si="3"/>
        <v>3.3080375328645517</v>
      </c>
      <c r="G37" s="28">
        <f t="shared" si="3"/>
        <v>16.668265237189949</v>
      </c>
      <c r="H37" s="28">
        <f t="shared" si="3"/>
        <v>141.15704195200709</v>
      </c>
      <c r="I37" s="28">
        <f t="shared" si="3"/>
        <v>1.5481531189485547</v>
      </c>
      <c r="J37" s="28">
        <f t="shared" si="3"/>
        <v>0.38253918999765046</v>
      </c>
      <c r="K37" s="28">
        <f t="shared" si="3"/>
        <v>75.283627007942698</v>
      </c>
      <c r="L37" s="28">
        <f t="shared" si="3"/>
        <v>4.170830187926815</v>
      </c>
      <c r="M37" s="28">
        <f t="shared" si="3"/>
        <v>20.325949556227812</v>
      </c>
      <c r="N37" s="28">
        <f t="shared" si="3"/>
        <v>254.28620725331396</v>
      </c>
      <c r="O37" s="28">
        <f t="shared" si="3"/>
        <v>0</v>
      </c>
      <c r="P37" s="28">
        <f t="shared" si="3"/>
        <v>0.46057541200646845</v>
      </c>
      <c r="Q37" s="28">
        <f t="shared" si="3"/>
        <v>7.7902763620496919E-3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</f>
        <v>24</v>
      </c>
      <c r="H38" s="32">
        <f>COUNT(H9:H32)+2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47" sqref="H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23/10/2024 02:00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6"/>
      <c r="B8" s="57" t="s">
        <v>22</v>
      </c>
      <c r="C8" s="57" t="s">
        <v>22</v>
      </c>
      <c r="D8" s="29" t="s">
        <v>42</v>
      </c>
      <c r="E8" s="57" t="s">
        <v>22</v>
      </c>
      <c r="F8" s="57" t="s">
        <v>22</v>
      </c>
      <c r="G8" s="57" t="s">
        <v>23</v>
      </c>
      <c r="H8" s="57" t="s">
        <v>22</v>
      </c>
      <c r="I8" s="57" t="s">
        <v>22</v>
      </c>
      <c r="J8" s="57" t="s">
        <v>24</v>
      </c>
      <c r="K8" s="57" t="s">
        <v>25</v>
      </c>
      <c r="L8" s="56" t="s">
        <v>27</v>
      </c>
      <c r="M8" s="57" t="s">
        <v>26</v>
      </c>
      <c r="N8" s="57" t="s">
        <v>28</v>
      </c>
      <c r="O8" s="56" t="s">
        <v>29</v>
      </c>
      <c r="P8" s="57" t="s">
        <v>22</v>
      </c>
      <c r="Q8" s="57" t="s">
        <v>22</v>
      </c>
      <c r="R8" s="27"/>
      <c r="S8" s="29"/>
      <c r="T8" s="27"/>
      <c r="U8" s="27"/>
    </row>
    <row r="9" spans="1:21" s="11" customFormat="1" x14ac:dyDescent="0.25">
      <c r="A9" s="52" t="s">
        <v>589</v>
      </c>
      <c r="B9" s="53">
        <v>43.51</v>
      </c>
      <c r="C9" s="53">
        <v>13.09</v>
      </c>
      <c r="D9" s="53">
        <v>40.35</v>
      </c>
      <c r="E9" s="53">
        <v>6.35</v>
      </c>
      <c r="F9" s="53">
        <v>4.0999999999999996</v>
      </c>
      <c r="G9" s="53">
        <v>100.64</v>
      </c>
      <c r="H9" s="53">
        <v>48.13</v>
      </c>
      <c r="I9" s="53">
        <v>5.84</v>
      </c>
      <c r="J9" s="53">
        <v>1.41</v>
      </c>
      <c r="K9" s="53">
        <v>332.45</v>
      </c>
      <c r="L9" s="53">
        <v>22.21</v>
      </c>
      <c r="M9" s="53">
        <v>86.98</v>
      </c>
      <c r="N9" s="53">
        <v>26.1</v>
      </c>
      <c r="O9" s="53">
        <v>0</v>
      </c>
      <c r="P9" s="53">
        <v>1.08</v>
      </c>
      <c r="Q9" s="53">
        <v>9.65</v>
      </c>
      <c r="R9" s="43"/>
      <c r="S9" s="43"/>
      <c r="T9" s="43"/>
      <c r="U9" s="43"/>
    </row>
    <row r="10" spans="1:21" s="11" customFormat="1" x14ac:dyDescent="0.25">
      <c r="A10" s="52" t="s">
        <v>590</v>
      </c>
      <c r="B10" s="53">
        <v>35.090000000000003</v>
      </c>
      <c r="C10" s="53">
        <v>11.63</v>
      </c>
      <c r="D10" s="53">
        <v>32.840000000000003</v>
      </c>
      <c r="E10" s="53">
        <v>6.65</v>
      </c>
      <c r="F10" s="53">
        <v>3.98</v>
      </c>
      <c r="G10" s="53">
        <v>99.64</v>
      </c>
      <c r="H10" s="53">
        <v>51.35</v>
      </c>
      <c r="I10" s="53">
        <v>5.54</v>
      </c>
      <c r="J10" s="53">
        <v>1.08</v>
      </c>
      <c r="K10" s="53">
        <v>346.02</v>
      </c>
      <c r="L10" s="53">
        <v>21.66</v>
      </c>
      <c r="M10" s="53">
        <v>86.76</v>
      </c>
      <c r="N10" s="53">
        <v>26.2</v>
      </c>
      <c r="O10" s="53">
        <v>0</v>
      </c>
      <c r="P10" s="53">
        <v>1.02</v>
      </c>
      <c r="Q10" s="53">
        <v>9.64</v>
      </c>
      <c r="R10" s="43"/>
      <c r="S10" s="43"/>
      <c r="T10" s="43"/>
      <c r="U10" s="43"/>
    </row>
    <row r="11" spans="1:21" s="11" customFormat="1" x14ac:dyDescent="0.25">
      <c r="A11" s="52" t="s">
        <v>591</v>
      </c>
      <c r="B11" s="53">
        <v>28.22</v>
      </c>
      <c r="C11" s="53">
        <v>12.74</v>
      </c>
      <c r="D11" s="53">
        <v>27.34</v>
      </c>
      <c r="E11" s="53">
        <v>6.69</v>
      </c>
      <c r="F11" s="53">
        <v>4.3899999999999997</v>
      </c>
      <c r="G11" s="53">
        <v>107.34</v>
      </c>
      <c r="H11" s="53">
        <v>57.79</v>
      </c>
      <c r="I11" s="53">
        <v>6.45</v>
      </c>
      <c r="J11" s="53">
        <v>1.03</v>
      </c>
      <c r="K11" s="53">
        <v>339.76</v>
      </c>
      <c r="L11" s="53">
        <v>21.53</v>
      </c>
      <c r="M11" s="53">
        <v>85.09</v>
      </c>
      <c r="N11" s="53">
        <v>26</v>
      </c>
      <c r="O11" s="53">
        <v>0</v>
      </c>
      <c r="P11" s="53">
        <v>1.01</v>
      </c>
      <c r="Q11" s="53">
        <v>9.64</v>
      </c>
      <c r="R11" s="43"/>
      <c r="S11" s="43"/>
      <c r="T11" s="43"/>
      <c r="U11" s="43"/>
    </row>
    <row r="12" spans="1:21" s="11" customFormat="1" x14ac:dyDescent="0.25">
      <c r="A12" s="52" t="s">
        <v>592</v>
      </c>
      <c r="B12" s="53">
        <v>21.47</v>
      </c>
      <c r="C12" s="53">
        <v>13.47</v>
      </c>
      <c r="D12" s="53">
        <v>22.45</v>
      </c>
      <c r="E12" s="53">
        <v>6.96</v>
      </c>
      <c r="F12" s="53">
        <v>4.46</v>
      </c>
      <c r="G12" s="53">
        <v>112.19</v>
      </c>
      <c r="H12" s="53">
        <v>57.79</v>
      </c>
      <c r="I12" s="53">
        <v>6.08</v>
      </c>
      <c r="J12" s="53">
        <v>0.88</v>
      </c>
      <c r="K12" s="53">
        <v>346.61</v>
      </c>
      <c r="L12" s="53">
        <v>21.28</v>
      </c>
      <c r="M12" s="53">
        <v>85.76</v>
      </c>
      <c r="N12" s="53">
        <v>25.9</v>
      </c>
      <c r="O12" s="53">
        <v>0</v>
      </c>
      <c r="P12" s="53">
        <v>0.93</v>
      </c>
      <c r="Q12" s="53">
        <v>9.6199999999999992</v>
      </c>
      <c r="R12" s="43"/>
      <c r="S12" s="43"/>
      <c r="T12" s="43"/>
      <c r="U12" s="43"/>
    </row>
    <row r="13" spans="1:21" s="11" customFormat="1" x14ac:dyDescent="0.25">
      <c r="A13" s="52" t="s">
        <v>593</v>
      </c>
      <c r="B13" s="53">
        <v>18.260000000000002</v>
      </c>
      <c r="C13" s="53">
        <v>12.57</v>
      </c>
      <c r="D13" s="53">
        <v>19.829999999999998</v>
      </c>
      <c r="E13" s="53">
        <v>7.12</v>
      </c>
      <c r="F13" s="53">
        <v>4.0599999999999996</v>
      </c>
      <c r="G13" s="53">
        <v>115.92</v>
      </c>
      <c r="H13" s="54" t="s">
        <v>14</v>
      </c>
      <c r="I13" s="53">
        <v>5.58</v>
      </c>
      <c r="J13" s="53">
        <v>1.59</v>
      </c>
      <c r="K13" s="53">
        <v>341.5</v>
      </c>
      <c r="L13" s="53">
        <v>21.22</v>
      </c>
      <c r="M13" s="53">
        <v>86.83</v>
      </c>
      <c r="N13" s="53">
        <v>26</v>
      </c>
      <c r="O13" s="53">
        <v>0</v>
      </c>
      <c r="P13" s="53">
        <v>0.84</v>
      </c>
      <c r="Q13" s="53">
        <v>9.6300000000000008</v>
      </c>
      <c r="R13" s="43"/>
      <c r="S13" s="43"/>
      <c r="T13" s="43"/>
      <c r="U13" s="43"/>
    </row>
    <row r="14" spans="1:21" s="11" customFormat="1" x14ac:dyDescent="0.25">
      <c r="A14" s="52" t="s">
        <v>594</v>
      </c>
      <c r="B14" s="53">
        <v>17</v>
      </c>
      <c r="C14" s="53">
        <v>13.16</v>
      </c>
      <c r="D14" s="53">
        <v>18.97</v>
      </c>
      <c r="E14" s="53">
        <v>7.13</v>
      </c>
      <c r="F14" s="53">
        <v>4.12</v>
      </c>
      <c r="G14" s="53">
        <v>118.13</v>
      </c>
      <c r="H14" s="54" t="s">
        <v>14</v>
      </c>
      <c r="I14" s="53">
        <v>5.23</v>
      </c>
      <c r="J14" s="53">
        <v>1.1399999999999999</v>
      </c>
      <c r="K14" s="53">
        <v>346.01</v>
      </c>
      <c r="L14" s="53">
        <v>22.1</v>
      </c>
      <c r="M14" s="53">
        <v>81.22</v>
      </c>
      <c r="N14" s="53">
        <v>107.2</v>
      </c>
      <c r="O14" s="53">
        <v>0</v>
      </c>
      <c r="P14" s="53">
        <v>0.8</v>
      </c>
      <c r="Q14" s="53">
        <v>9.6199999999999992</v>
      </c>
      <c r="R14" s="43"/>
      <c r="S14" s="43"/>
      <c r="T14" s="43"/>
      <c r="U14" s="43"/>
    </row>
    <row r="15" spans="1:21" s="11" customFormat="1" x14ac:dyDescent="0.25">
      <c r="A15" s="52" t="s">
        <v>595</v>
      </c>
      <c r="B15" s="53">
        <v>18.95</v>
      </c>
      <c r="C15" s="53">
        <v>14.2</v>
      </c>
      <c r="D15" s="53">
        <v>21.18</v>
      </c>
      <c r="E15" s="53">
        <v>7.65</v>
      </c>
      <c r="F15" s="53">
        <v>4.53</v>
      </c>
      <c r="G15" s="53">
        <v>120.68</v>
      </c>
      <c r="H15" s="54" t="s">
        <v>14</v>
      </c>
      <c r="I15" s="53">
        <v>5.73</v>
      </c>
      <c r="J15" s="53">
        <v>1.08</v>
      </c>
      <c r="K15" s="53">
        <v>329.89</v>
      </c>
      <c r="L15" s="53">
        <v>25.88</v>
      </c>
      <c r="M15" s="53">
        <v>72.010000000000005</v>
      </c>
      <c r="N15" s="53">
        <v>304.89999999999998</v>
      </c>
      <c r="O15" s="53">
        <v>0</v>
      </c>
      <c r="P15" s="53">
        <v>0.83</v>
      </c>
      <c r="Q15" s="53">
        <v>9.6300000000000008</v>
      </c>
      <c r="R15" s="43"/>
      <c r="S15" s="43"/>
      <c r="T15" s="43"/>
      <c r="U15" s="43"/>
    </row>
    <row r="16" spans="1:21" s="11" customFormat="1" x14ac:dyDescent="0.25">
      <c r="A16" s="52" t="s">
        <v>596</v>
      </c>
      <c r="B16" s="53">
        <v>22.69</v>
      </c>
      <c r="C16" s="53">
        <v>16.39</v>
      </c>
      <c r="D16" s="53">
        <v>25.38</v>
      </c>
      <c r="E16" s="53">
        <v>7.38</v>
      </c>
      <c r="F16" s="53">
        <v>4.3899999999999997</v>
      </c>
      <c r="G16" s="53">
        <v>120.68</v>
      </c>
      <c r="H16" s="54" t="s">
        <v>14</v>
      </c>
      <c r="I16" s="53">
        <v>6.82</v>
      </c>
      <c r="J16" s="53">
        <v>1.1200000000000001</v>
      </c>
      <c r="K16" s="53">
        <v>341.18</v>
      </c>
      <c r="L16" s="53">
        <v>30.48</v>
      </c>
      <c r="M16" s="53">
        <v>61.7</v>
      </c>
      <c r="N16" s="53">
        <v>516.1</v>
      </c>
      <c r="O16" s="53">
        <v>0</v>
      </c>
      <c r="P16" s="53">
        <v>0.88</v>
      </c>
      <c r="Q16" s="53">
        <v>9.6199999999999992</v>
      </c>
      <c r="R16" s="43"/>
      <c r="S16" s="43"/>
      <c r="T16" s="43"/>
      <c r="U16" s="43"/>
    </row>
    <row r="17" spans="1:21" s="11" customFormat="1" x14ac:dyDescent="0.25">
      <c r="A17" s="52" t="s">
        <v>597</v>
      </c>
      <c r="B17" s="53">
        <v>22.56</v>
      </c>
      <c r="C17" s="53">
        <v>17.309999999999999</v>
      </c>
      <c r="D17" s="53">
        <v>25.75</v>
      </c>
      <c r="E17" s="53">
        <v>6.94</v>
      </c>
      <c r="F17" s="53">
        <v>4.28</v>
      </c>
      <c r="G17" s="53">
        <v>116.19</v>
      </c>
      <c r="H17" s="54" t="s">
        <v>14</v>
      </c>
      <c r="I17" s="53">
        <v>6.68</v>
      </c>
      <c r="J17" s="53">
        <v>0.87</v>
      </c>
      <c r="K17" s="53">
        <v>321.14999999999998</v>
      </c>
      <c r="L17" s="53">
        <v>30.41</v>
      </c>
      <c r="M17" s="53">
        <v>57.8</v>
      </c>
      <c r="N17" s="53">
        <v>648.6</v>
      </c>
      <c r="O17" s="53">
        <v>0</v>
      </c>
      <c r="P17" s="53">
        <v>0.81</v>
      </c>
      <c r="Q17" s="53">
        <v>9.6199999999999992</v>
      </c>
      <c r="R17" s="43"/>
      <c r="S17" s="43"/>
      <c r="T17" s="43"/>
      <c r="U17" s="43"/>
    </row>
    <row r="18" spans="1:21" s="11" customFormat="1" x14ac:dyDescent="0.25">
      <c r="A18" s="52" t="s">
        <v>598</v>
      </c>
      <c r="B18" s="53">
        <v>18.829999999999998</v>
      </c>
      <c r="C18" s="53">
        <v>19.489999999999998</v>
      </c>
      <c r="D18" s="53">
        <v>22.34</v>
      </c>
      <c r="E18" s="53">
        <v>6.83</v>
      </c>
      <c r="F18" s="53">
        <v>4.6100000000000003</v>
      </c>
      <c r="G18" s="53">
        <v>99.55</v>
      </c>
      <c r="H18" s="54" t="s">
        <v>14</v>
      </c>
      <c r="I18" s="53">
        <v>6.9</v>
      </c>
      <c r="J18" s="53">
        <v>1.92</v>
      </c>
      <c r="K18" s="53">
        <v>355.05</v>
      </c>
      <c r="L18" s="53">
        <v>33.57</v>
      </c>
      <c r="M18" s="53">
        <v>44.03</v>
      </c>
      <c r="N18" s="53">
        <v>742.6</v>
      </c>
      <c r="O18" s="53">
        <v>0</v>
      </c>
      <c r="P18" s="53">
        <v>0.74</v>
      </c>
      <c r="Q18" s="53">
        <v>9.6199999999999992</v>
      </c>
      <c r="R18" s="43"/>
      <c r="S18" s="43"/>
      <c r="T18" s="43"/>
      <c r="U18" s="43"/>
    </row>
    <row r="19" spans="1:21" s="11" customFormat="1" x14ac:dyDescent="0.25">
      <c r="A19" s="52" t="s">
        <v>599</v>
      </c>
      <c r="B19" s="53">
        <v>12.86</v>
      </c>
      <c r="C19" s="53">
        <v>21.71</v>
      </c>
      <c r="D19" s="53">
        <v>19.79</v>
      </c>
      <c r="E19" s="53">
        <v>6.72</v>
      </c>
      <c r="F19" s="53">
        <v>4.66</v>
      </c>
      <c r="G19" s="53">
        <v>81.58</v>
      </c>
      <c r="H19" s="54" t="s">
        <v>14</v>
      </c>
      <c r="I19" s="53">
        <v>7.05</v>
      </c>
      <c r="J19" s="53">
        <v>1.41</v>
      </c>
      <c r="K19" s="53">
        <v>344.21</v>
      </c>
      <c r="L19" s="53">
        <v>32.31</v>
      </c>
      <c r="M19" s="53">
        <v>50.19</v>
      </c>
      <c r="N19" s="53">
        <v>773.3</v>
      </c>
      <c r="O19" s="53">
        <v>0</v>
      </c>
      <c r="P19" s="53">
        <v>0.72</v>
      </c>
      <c r="Q19" s="53">
        <v>9.6199999999999992</v>
      </c>
      <c r="R19" s="43"/>
      <c r="S19" s="43"/>
      <c r="T19" s="43"/>
      <c r="U19" s="43"/>
    </row>
    <row r="20" spans="1:21" s="11" customFormat="1" x14ac:dyDescent="0.25">
      <c r="A20" s="52" t="s">
        <v>600</v>
      </c>
      <c r="B20" s="53">
        <v>7.41</v>
      </c>
      <c r="C20" s="53">
        <v>24.22</v>
      </c>
      <c r="D20" s="53">
        <v>16.489999999999998</v>
      </c>
      <c r="E20" s="53">
        <v>6.56</v>
      </c>
      <c r="F20" s="53">
        <v>5.49</v>
      </c>
      <c r="G20" s="53">
        <v>81.58</v>
      </c>
      <c r="H20" s="54" t="s">
        <v>14</v>
      </c>
      <c r="I20" s="53">
        <v>6.49</v>
      </c>
      <c r="J20" s="53">
        <v>1.67</v>
      </c>
      <c r="K20" s="53">
        <v>346</v>
      </c>
      <c r="L20" s="53">
        <v>32.729999999999997</v>
      </c>
      <c r="M20" s="53">
        <v>42.68</v>
      </c>
      <c r="N20" s="53">
        <v>600.4</v>
      </c>
      <c r="O20" s="53">
        <v>0</v>
      </c>
      <c r="P20" s="53">
        <v>0.68</v>
      </c>
      <c r="Q20" s="53">
        <v>9.6300000000000008</v>
      </c>
      <c r="R20" s="43"/>
      <c r="S20" s="43"/>
      <c r="T20" s="43"/>
      <c r="U20" s="43"/>
    </row>
    <row r="21" spans="1:21" s="11" customFormat="1" x14ac:dyDescent="0.25">
      <c r="A21" s="52" t="s">
        <v>601</v>
      </c>
      <c r="B21" s="53">
        <v>3.34</v>
      </c>
      <c r="C21" s="53">
        <v>22.48</v>
      </c>
      <c r="D21" s="53">
        <v>13.05</v>
      </c>
      <c r="E21" s="53">
        <v>6.83</v>
      </c>
      <c r="F21" s="53">
        <v>6.49</v>
      </c>
      <c r="G21" s="53">
        <v>77.75</v>
      </c>
      <c r="H21" s="54" t="s">
        <v>14</v>
      </c>
      <c r="I21" s="53">
        <v>4.9000000000000004</v>
      </c>
      <c r="J21" s="53">
        <v>1.67</v>
      </c>
      <c r="K21" s="53">
        <v>357.18</v>
      </c>
      <c r="L21" s="53">
        <v>31.23</v>
      </c>
      <c r="M21" s="53">
        <v>42.06</v>
      </c>
      <c r="N21" s="53">
        <v>322.60000000000002</v>
      </c>
      <c r="O21" s="53">
        <v>0</v>
      </c>
      <c r="P21" s="53">
        <v>0.65</v>
      </c>
      <c r="Q21" s="53">
        <v>9.6199999999999992</v>
      </c>
      <c r="R21" s="43"/>
      <c r="S21" s="43"/>
      <c r="T21" s="43"/>
      <c r="U21" s="43"/>
    </row>
    <row r="22" spans="1:21" s="11" customFormat="1" x14ac:dyDescent="0.25">
      <c r="A22" s="52" t="s">
        <v>602</v>
      </c>
      <c r="B22" s="53">
        <v>2.12</v>
      </c>
      <c r="C22" s="53">
        <v>18.260000000000002</v>
      </c>
      <c r="D22" s="53">
        <v>9.86</v>
      </c>
      <c r="E22" s="53">
        <v>6.26</v>
      </c>
      <c r="F22" s="53">
        <v>6.56</v>
      </c>
      <c r="G22" s="53">
        <v>76.69</v>
      </c>
      <c r="H22" s="53">
        <v>62.07</v>
      </c>
      <c r="I22" s="53">
        <v>4.91</v>
      </c>
      <c r="J22" s="53">
        <v>1.5</v>
      </c>
      <c r="K22" s="53">
        <v>339.38</v>
      </c>
      <c r="L22" s="53">
        <v>30.48</v>
      </c>
      <c r="M22" s="53">
        <v>47.63</v>
      </c>
      <c r="N22" s="53">
        <v>185.7</v>
      </c>
      <c r="O22" s="53">
        <v>0</v>
      </c>
      <c r="P22" s="53">
        <v>0.64</v>
      </c>
      <c r="Q22" s="53">
        <v>9.6199999999999992</v>
      </c>
      <c r="R22" s="43"/>
      <c r="S22" s="43"/>
      <c r="T22" s="43"/>
      <c r="U22" s="43"/>
    </row>
    <row r="23" spans="1:21" s="11" customFormat="1" x14ac:dyDescent="0.25">
      <c r="A23" s="52" t="s">
        <v>603</v>
      </c>
      <c r="B23" s="53">
        <v>2.63</v>
      </c>
      <c r="C23" s="53">
        <v>17.57</v>
      </c>
      <c r="D23" s="53">
        <v>9.91</v>
      </c>
      <c r="E23" s="53">
        <v>6.34</v>
      </c>
      <c r="F23" s="53">
        <v>5.31</v>
      </c>
      <c r="G23" s="53">
        <v>65.239999999999995</v>
      </c>
      <c r="H23" s="53">
        <v>19.329999999999998</v>
      </c>
      <c r="I23" s="53">
        <v>4.08</v>
      </c>
      <c r="J23" s="53">
        <v>1.01</v>
      </c>
      <c r="K23" s="53">
        <v>341.42</v>
      </c>
      <c r="L23" s="53">
        <v>29.55</v>
      </c>
      <c r="M23" s="53">
        <v>45.7</v>
      </c>
      <c r="N23" s="53">
        <v>138.6</v>
      </c>
      <c r="O23" s="53">
        <v>0</v>
      </c>
      <c r="P23" s="53">
        <v>0.64</v>
      </c>
      <c r="Q23" s="53">
        <v>9.6199999999999992</v>
      </c>
      <c r="R23" s="43"/>
      <c r="S23" s="43"/>
      <c r="T23" s="43"/>
      <c r="U23" s="43"/>
    </row>
    <row r="24" spans="1:21" s="11" customFormat="1" x14ac:dyDescent="0.25">
      <c r="A24" s="52" t="s">
        <v>604</v>
      </c>
      <c r="B24" s="53">
        <v>2.72</v>
      </c>
      <c r="C24" s="53">
        <v>18.190000000000001</v>
      </c>
      <c r="D24" s="53">
        <v>10.19</v>
      </c>
      <c r="E24" s="53">
        <v>5.15</v>
      </c>
      <c r="F24" s="53">
        <v>5.09</v>
      </c>
      <c r="G24" s="53">
        <v>64.89</v>
      </c>
      <c r="H24" s="53">
        <v>38.24</v>
      </c>
      <c r="I24" s="53">
        <v>3.98</v>
      </c>
      <c r="J24" s="53">
        <v>1.01</v>
      </c>
      <c r="K24" s="53">
        <v>357.31</v>
      </c>
      <c r="L24" s="53">
        <v>28.74</v>
      </c>
      <c r="M24" s="53">
        <v>56.31</v>
      </c>
      <c r="N24" s="53">
        <v>93.4</v>
      </c>
      <c r="O24" s="53">
        <v>0</v>
      </c>
      <c r="P24" s="53">
        <v>0.69</v>
      </c>
      <c r="Q24" s="53">
        <v>9.6199999999999992</v>
      </c>
      <c r="R24" s="43"/>
      <c r="S24" s="43"/>
      <c r="T24" s="43"/>
      <c r="U24" s="43"/>
    </row>
    <row r="25" spans="1:21" s="11" customFormat="1" x14ac:dyDescent="0.25">
      <c r="A25" s="52" t="s">
        <v>605</v>
      </c>
      <c r="B25" s="53">
        <v>5.66</v>
      </c>
      <c r="C25" s="53">
        <v>19.100000000000001</v>
      </c>
      <c r="D25" s="53">
        <v>13.14</v>
      </c>
      <c r="E25" s="53">
        <v>5.1100000000000003</v>
      </c>
      <c r="F25" s="53">
        <v>4.45</v>
      </c>
      <c r="G25" s="53">
        <v>60.91</v>
      </c>
      <c r="H25" s="53">
        <v>60.36</v>
      </c>
      <c r="I25" s="53">
        <v>4.67</v>
      </c>
      <c r="J25" s="53">
        <v>1.28</v>
      </c>
      <c r="K25" s="53">
        <v>335.71</v>
      </c>
      <c r="L25" s="53">
        <v>27.16</v>
      </c>
      <c r="M25" s="53">
        <v>67.150000000000006</v>
      </c>
      <c r="N25" s="53">
        <v>45.7</v>
      </c>
      <c r="O25" s="53">
        <v>0</v>
      </c>
      <c r="P25" s="53">
        <v>1.07</v>
      </c>
      <c r="Q25" s="53">
        <v>9.6199999999999992</v>
      </c>
      <c r="R25" s="43"/>
      <c r="S25" s="43"/>
      <c r="T25" s="43"/>
      <c r="U25" s="43"/>
    </row>
    <row r="26" spans="1:21" s="11" customFormat="1" x14ac:dyDescent="0.25">
      <c r="A26" s="52" t="s">
        <v>606</v>
      </c>
      <c r="B26" s="53">
        <v>9.73</v>
      </c>
      <c r="C26" s="53">
        <v>19.010000000000002</v>
      </c>
      <c r="D26" s="53">
        <v>16.149999999999999</v>
      </c>
      <c r="E26" s="53">
        <v>5.46</v>
      </c>
      <c r="F26" s="53">
        <v>4.45</v>
      </c>
      <c r="G26" s="53">
        <v>62.82</v>
      </c>
      <c r="H26" s="53">
        <v>61.99</v>
      </c>
      <c r="I26" s="53">
        <v>5.26</v>
      </c>
      <c r="J26" s="53">
        <v>0.7</v>
      </c>
      <c r="K26" s="53">
        <v>346.05</v>
      </c>
      <c r="L26" s="53">
        <v>26.04</v>
      </c>
      <c r="M26" s="53">
        <v>66.930000000000007</v>
      </c>
      <c r="N26" s="53">
        <v>26.2</v>
      </c>
      <c r="O26" s="53">
        <v>0</v>
      </c>
      <c r="P26" s="53">
        <v>1.62</v>
      </c>
      <c r="Q26" s="53">
        <v>9.6199999999999992</v>
      </c>
      <c r="R26" s="43"/>
      <c r="S26" s="43"/>
      <c r="T26" s="43"/>
      <c r="U26" s="43"/>
    </row>
    <row r="27" spans="1:21" s="11" customFormat="1" x14ac:dyDescent="0.25">
      <c r="A27" s="52" t="s">
        <v>607</v>
      </c>
      <c r="B27" s="53">
        <v>18.850000000000001</v>
      </c>
      <c r="C27" s="53">
        <v>19.16</v>
      </c>
      <c r="D27" s="53">
        <v>23.73</v>
      </c>
      <c r="E27" s="53">
        <v>5.69</v>
      </c>
      <c r="F27" s="53">
        <v>4.2</v>
      </c>
      <c r="G27" s="53">
        <v>74.91</v>
      </c>
      <c r="H27" s="53">
        <v>61.99</v>
      </c>
      <c r="I27" s="53">
        <v>7.28</v>
      </c>
      <c r="J27" s="53">
        <v>0.62</v>
      </c>
      <c r="K27" s="53">
        <v>338.81</v>
      </c>
      <c r="L27" s="53">
        <v>25.09</v>
      </c>
      <c r="M27" s="53">
        <v>75.709999999999994</v>
      </c>
      <c r="N27" s="53">
        <v>26.2</v>
      </c>
      <c r="O27" s="53">
        <v>0</v>
      </c>
      <c r="P27" s="53">
        <v>1.98</v>
      </c>
      <c r="Q27" s="53">
        <v>9.61</v>
      </c>
      <c r="R27" s="43"/>
      <c r="S27" s="43"/>
      <c r="T27" s="43"/>
      <c r="U27" s="43"/>
    </row>
    <row r="28" spans="1:21" s="11" customFormat="1" x14ac:dyDescent="0.25">
      <c r="A28" s="52" t="s">
        <v>608</v>
      </c>
      <c r="B28" s="53">
        <v>28.35</v>
      </c>
      <c r="C28" s="53">
        <v>20.29</v>
      </c>
      <c r="D28" s="53">
        <v>31.96</v>
      </c>
      <c r="E28" s="53">
        <v>6.58</v>
      </c>
      <c r="F28" s="53">
        <v>4.71</v>
      </c>
      <c r="G28" s="53">
        <v>98.67</v>
      </c>
      <c r="H28" s="53">
        <v>41.04</v>
      </c>
      <c r="I28" s="53">
        <v>9.5299999999999994</v>
      </c>
      <c r="J28" s="53">
        <v>0.5</v>
      </c>
      <c r="K28" s="53">
        <v>353.49</v>
      </c>
      <c r="L28" s="53">
        <v>24.4</v>
      </c>
      <c r="M28" s="53">
        <v>76.09</v>
      </c>
      <c r="N28" s="53">
        <v>26.1</v>
      </c>
      <c r="O28" s="53">
        <v>0</v>
      </c>
      <c r="P28" s="53">
        <v>2.15</v>
      </c>
      <c r="Q28" s="53">
        <v>9.6199999999999992</v>
      </c>
      <c r="R28" s="43"/>
      <c r="S28" s="43"/>
      <c r="T28" s="43"/>
      <c r="U28" s="43"/>
    </row>
    <row r="29" spans="1:21" s="11" customFormat="1" x14ac:dyDescent="0.25">
      <c r="A29" s="52" t="s">
        <v>609</v>
      </c>
      <c r="B29" s="53">
        <v>37.43</v>
      </c>
      <c r="C29" s="53">
        <v>20.350000000000001</v>
      </c>
      <c r="D29" s="53">
        <v>37.99</v>
      </c>
      <c r="E29" s="53">
        <v>6.87</v>
      </c>
      <c r="F29" s="53">
        <v>4.45</v>
      </c>
      <c r="G29" s="53">
        <v>125.74</v>
      </c>
      <c r="H29" s="53">
        <v>251.7</v>
      </c>
      <c r="I29" s="53">
        <v>9.02</v>
      </c>
      <c r="J29" s="53">
        <v>0.49</v>
      </c>
      <c r="K29" s="53">
        <v>339.35</v>
      </c>
      <c r="L29" s="53">
        <v>23.93</v>
      </c>
      <c r="M29" s="53">
        <v>79.56</v>
      </c>
      <c r="N29" s="53">
        <v>26.1</v>
      </c>
      <c r="O29" s="53">
        <v>0</v>
      </c>
      <c r="P29" s="53">
        <v>2.2599999999999998</v>
      </c>
      <c r="Q29" s="53">
        <v>9.6300000000000008</v>
      </c>
      <c r="R29" s="43"/>
      <c r="S29" s="43"/>
      <c r="T29" s="43"/>
      <c r="U29" s="43"/>
    </row>
    <row r="30" spans="1:21" s="11" customFormat="1" x14ac:dyDescent="0.25">
      <c r="A30" s="52" t="s">
        <v>610</v>
      </c>
      <c r="B30" s="53">
        <v>38.61</v>
      </c>
      <c r="C30" s="53">
        <v>17.05</v>
      </c>
      <c r="D30" s="53">
        <v>38.340000000000003</v>
      </c>
      <c r="E30" s="53">
        <v>6.42</v>
      </c>
      <c r="F30" s="53">
        <v>4.41</v>
      </c>
      <c r="G30" s="53">
        <v>125.74</v>
      </c>
      <c r="H30" s="53">
        <v>251.7</v>
      </c>
      <c r="I30" s="53">
        <v>8.5399999999999991</v>
      </c>
      <c r="J30" s="53">
        <v>1.24</v>
      </c>
      <c r="K30" s="53">
        <v>343.19</v>
      </c>
      <c r="L30" s="53">
        <v>24.4</v>
      </c>
      <c r="M30" s="53">
        <v>80.59</v>
      </c>
      <c r="N30" s="53">
        <v>26</v>
      </c>
      <c r="O30" s="53">
        <v>0</v>
      </c>
      <c r="P30" s="53">
        <v>2.0099999999999998</v>
      </c>
      <c r="Q30" s="53">
        <v>9.61</v>
      </c>
      <c r="R30" s="43"/>
      <c r="S30" s="43"/>
      <c r="T30" s="43"/>
      <c r="U30" s="43"/>
    </row>
    <row r="31" spans="1:21" s="11" customFormat="1" x14ac:dyDescent="0.25">
      <c r="A31" s="52" t="s">
        <v>611</v>
      </c>
      <c r="B31" s="53">
        <v>36.99</v>
      </c>
      <c r="C31" s="53">
        <v>16.5</v>
      </c>
      <c r="D31" s="53">
        <v>36.590000000000003</v>
      </c>
      <c r="E31" s="53">
        <v>6.18</v>
      </c>
      <c r="F31" s="53">
        <v>4.71</v>
      </c>
      <c r="G31" s="53">
        <v>120.06</v>
      </c>
      <c r="H31" s="53">
        <v>89.39</v>
      </c>
      <c r="I31" s="53">
        <v>7.54</v>
      </c>
      <c r="J31" s="53">
        <v>1.67</v>
      </c>
      <c r="K31" s="53">
        <v>337.99</v>
      </c>
      <c r="L31" s="53">
        <v>23.74</v>
      </c>
      <c r="M31" s="53">
        <v>85.6</v>
      </c>
      <c r="N31" s="53">
        <v>26.2</v>
      </c>
      <c r="O31" s="53">
        <v>0</v>
      </c>
      <c r="P31" s="53">
        <v>1.6</v>
      </c>
      <c r="Q31" s="53">
        <v>9.6199999999999992</v>
      </c>
      <c r="R31" s="43"/>
      <c r="S31" s="43"/>
      <c r="T31" s="43"/>
      <c r="U31" s="43"/>
    </row>
    <row r="32" spans="1:21" s="11" customFormat="1" x14ac:dyDescent="0.25">
      <c r="A32" s="52" t="s">
        <v>612</v>
      </c>
      <c r="B32" s="53">
        <v>28.46</v>
      </c>
      <c r="C32" s="53">
        <v>16.48</v>
      </c>
      <c r="D32" s="53">
        <v>30.06</v>
      </c>
      <c r="E32" s="53">
        <v>5.22</v>
      </c>
      <c r="F32" s="53">
        <v>4.66</v>
      </c>
      <c r="G32" s="53">
        <v>114.44</v>
      </c>
      <c r="H32" s="53">
        <v>89.39</v>
      </c>
      <c r="I32" s="53">
        <v>7.69</v>
      </c>
      <c r="J32" s="53">
        <v>1.63</v>
      </c>
      <c r="K32" s="53">
        <v>336.07</v>
      </c>
      <c r="L32" s="53">
        <v>22.77</v>
      </c>
      <c r="M32" s="53">
        <v>85.62</v>
      </c>
      <c r="N32" s="53">
        <v>25.9</v>
      </c>
      <c r="O32" s="53">
        <v>0</v>
      </c>
      <c r="P32" s="53">
        <v>1.48</v>
      </c>
      <c r="Q32" s="53">
        <v>9.6300000000000008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2.12</v>
      </c>
      <c r="C34" s="28">
        <f t="shared" si="0"/>
        <v>11.63</v>
      </c>
      <c r="D34" s="28">
        <f t="shared" si="0"/>
        <v>9.86</v>
      </c>
      <c r="E34" s="28">
        <f t="shared" si="0"/>
        <v>5.1100000000000003</v>
      </c>
      <c r="F34" s="28">
        <f t="shared" si="0"/>
        <v>3.98</v>
      </c>
      <c r="G34" s="28">
        <f t="shared" si="0"/>
        <v>60.91</v>
      </c>
      <c r="H34" s="28">
        <f t="shared" si="0"/>
        <v>19.329999999999998</v>
      </c>
      <c r="I34" s="28">
        <f t="shared" si="0"/>
        <v>3.98</v>
      </c>
      <c r="J34" s="28">
        <f t="shared" si="0"/>
        <v>0.49</v>
      </c>
      <c r="K34" s="28">
        <f t="shared" si="0"/>
        <v>321.14999999999998</v>
      </c>
      <c r="L34" s="28">
        <f t="shared" si="0"/>
        <v>21.22</v>
      </c>
      <c r="M34" s="28">
        <f t="shared" si="0"/>
        <v>42.06</v>
      </c>
      <c r="N34" s="28">
        <f t="shared" si="0"/>
        <v>25.9</v>
      </c>
      <c r="O34" s="28">
        <f t="shared" si="0"/>
        <v>0</v>
      </c>
      <c r="P34" s="28">
        <f t="shared" si="0"/>
        <v>0.64</v>
      </c>
      <c r="Q34" s="28">
        <f t="shared" si="0"/>
        <v>9.61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43.51</v>
      </c>
      <c r="C35" s="29">
        <f t="shared" si="1"/>
        <v>24.22</v>
      </c>
      <c r="D35" s="29">
        <f t="shared" si="1"/>
        <v>40.35</v>
      </c>
      <c r="E35" s="29">
        <f t="shared" si="1"/>
        <v>7.65</v>
      </c>
      <c r="F35" s="29">
        <f t="shared" si="1"/>
        <v>6.56</v>
      </c>
      <c r="G35" s="29">
        <f t="shared" si="1"/>
        <v>125.74</v>
      </c>
      <c r="H35" s="29">
        <f t="shared" si="1"/>
        <v>251.7</v>
      </c>
      <c r="I35" s="29">
        <f t="shared" si="1"/>
        <v>9.5299999999999994</v>
      </c>
      <c r="J35" s="29">
        <f t="shared" si="1"/>
        <v>1.92</v>
      </c>
      <c r="K35" s="29">
        <f t="shared" si="1"/>
        <v>357.31</v>
      </c>
      <c r="L35" s="29">
        <f t="shared" si="1"/>
        <v>33.57</v>
      </c>
      <c r="M35" s="29">
        <f t="shared" si="1"/>
        <v>86.98</v>
      </c>
      <c r="N35" s="29">
        <f t="shared" si="1"/>
        <v>773.3</v>
      </c>
      <c r="O35" s="29">
        <f t="shared" si="1"/>
        <v>0</v>
      </c>
      <c r="P35" s="29">
        <f t="shared" si="1"/>
        <v>2.2599999999999998</v>
      </c>
      <c r="Q35" s="29">
        <f t="shared" si="1"/>
        <v>9.65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20.072500000000005</v>
      </c>
      <c r="C36" s="28">
        <f t="shared" si="2"/>
        <v>17.267500000000005</v>
      </c>
      <c r="D36" s="28">
        <f t="shared" si="2"/>
        <v>23.486666666666668</v>
      </c>
      <c r="E36" s="28">
        <f t="shared" si="2"/>
        <v>6.4620833333333332</v>
      </c>
      <c r="F36" s="28">
        <f t="shared" si="2"/>
        <v>4.6900000000000004</v>
      </c>
      <c r="G36" s="28">
        <f t="shared" si="2"/>
        <v>97.582499999999996</v>
      </c>
      <c r="H36" s="28">
        <f t="shared" si="2"/>
        <v>82.817333333333352</v>
      </c>
      <c r="I36" s="28">
        <f t="shared" si="2"/>
        <v>6.324583333333333</v>
      </c>
      <c r="J36" s="28">
        <f t="shared" si="2"/>
        <v>1.1883333333333332</v>
      </c>
      <c r="K36" s="28">
        <f t="shared" si="2"/>
        <v>342.32416666666671</v>
      </c>
      <c r="L36" s="28">
        <f t="shared" si="2"/>
        <v>26.37125</v>
      </c>
      <c r="M36" s="28">
        <f t="shared" si="2"/>
        <v>68.75</v>
      </c>
      <c r="N36" s="28">
        <f t="shared" si="2"/>
        <v>199.66666666666663</v>
      </c>
      <c r="O36" s="28">
        <f t="shared" si="2"/>
        <v>0</v>
      </c>
      <c r="P36" s="28">
        <f t="shared" si="2"/>
        <v>1.1304166666666666</v>
      </c>
      <c r="Q36" s="28">
        <f t="shared" si="2"/>
        <v>9.6241666666666674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12.645492838574327</v>
      </c>
      <c r="C37" s="28">
        <f t="shared" ref="C37:Q37" si="3">STDEV(C9:C32)</f>
        <v>3.3959800403981375</v>
      </c>
      <c r="D37" s="28">
        <f t="shared" si="3"/>
        <v>9.4036559341320185</v>
      </c>
      <c r="E37" s="28">
        <f t="shared" si="3"/>
        <v>0.69362926550933601</v>
      </c>
      <c r="F37" s="28">
        <f t="shared" si="3"/>
        <v>0.67315609663345288</v>
      </c>
      <c r="G37" s="28">
        <f t="shared" si="3"/>
        <v>22.261475057577151</v>
      </c>
      <c r="H37" s="28">
        <f t="shared" si="3"/>
        <v>70.7817137872958</v>
      </c>
      <c r="I37" s="28">
        <f t="shared" si="3"/>
        <v>1.465955628863677</v>
      </c>
      <c r="J37" s="28">
        <f t="shared" si="3"/>
        <v>0.39742285733992616</v>
      </c>
      <c r="K37" s="28">
        <f t="shared" si="3"/>
        <v>8.4713070274676809</v>
      </c>
      <c r="L37" s="28">
        <f t="shared" si="3"/>
        <v>4.1009567414997488</v>
      </c>
      <c r="M37" s="28">
        <f t="shared" si="3"/>
        <v>16.535946088551377</v>
      </c>
      <c r="N37" s="28">
        <f t="shared" si="3"/>
        <v>257.18868334469875</v>
      </c>
      <c r="O37" s="28">
        <f t="shared" si="3"/>
        <v>0</v>
      </c>
      <c r="P37" s="28">
        <f t="shared" si="3"/>
        <v>0.5252368340892114</v>
      </c>
      <c r="Q37" s="28">
        <f t="shared" si="3"/>
        <v>9.2861124297512563E-3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>COUNT(H9:H32)+9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L25" sqref="L25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24/10/2024 02:00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6"/>
      <c r="B8" s="57" t="s">
        <v>22</v>
      </c>
      <c r="C8" s="57" t="s">
        <v>22</v>
      </c>
      <c r="D8" s="29" t="s">
        <v>42</v>
      </c>
      <c r="E8" s="57" t="s">
        <v>22</v>
      </c>
      <c r="F8" s="57" t="s">
        <v>22</v>
      </c>
      <c r="G8" s="57" t="s">
        <v>23</v>
      </c>
      <c r="H8" s="57" t="s">
        <v>22</v>
      </c>
      <c r="I8" s="57" t="s">
        <v>22</v>
      </c>
      <c r="J8" s="57" t="s">
        <v>24</v>
      </c>
      <c r="K8" s="57" t="s">
        <v>25</v>
      </c>
      <c r="L8" s="56" t="s">
        <v>27</v>
      </c>
      <c r="M8" s="57" t="s">
        <v>26</v>
      </c>
      <c r="N8" s="57" t="s">
        <v>28</v>
      </c>
      <c r="O8" s="56" t="s">
        <v>29</v>
      </c>
      <c r="P8" s="57" t="s">
        <v>22</v>
      </c>
      <c r="Q8" s="57" t="s">
        <v>22</v>
      </c>
      <c r="R8" s="27"/>
      <c r="S8" s="29"/>
      <c r="T8" s="27"/>
      <c r="U8" s="27"/>
    </row>
    <row r="9" spans="1:21" s="11" customFormat="1" x14ac:dyDescent="0.25">
      <c r="A9" s="52" t="s">
        <v>613</v>
      </c>
      <c r="B9" s="53">
        <v>20.55</v>
      </c>
      <c r="C9" s="53">
        <v>15.68</v>
      </c>
      <c r="D9" s="53">
        <v>23.2</v>
      </c>
      <c r="E9" s="53">
        <v>5.0199999999999996</v>
      </c>
      <c r="F9" s="53">
        <v>5.43</v>
      </c>
      <c r="G9" s="53">
        <v>108.13</v>
      </c>
      <c r="H9" s="53">
        <v>59.59</v>
      </c>
      <c r="I9" s="53">
        <v>6.47</v>
      </c>
      <c r="J9" s="53">
        <v>1.55</v>
      </c>
      <c r="K9" s="53">
        <v>339.88</v>
      </c>
      <c r="L9" s="53">
        <v>22.33</v>
      </c>
      <c r="M9" s="53">
        <v>77.569999999999993</v>
      </c>
      <c r="N9" s="53">
        <v>26.1</v>
      </c>
      <c r="O9" s="53">
        <v>0</v>
      </c>
      <c r="P9" s="53">
        <v>1.1200000000000001</v>
      </c>
      <c r="Q9" s="53">
        <v>9.6300000000000008</v>
      </c>
      <c r="R9" s="43"/>
      <c r="S9" s="43"/>
      <c r="T9" s="43"/>
      <c r="U9" s="43"/>
    </row>
    <row r="10" spans="1:21" s="11" customFormat="1" x14ac:dyDescent="0.25">
      <c r="A10" s="52" t="s">
        <v>614</v>
      </c>
      <c r="B10" s="53">
        <v>14.64</v>
      </c>
      <c r="C10" s="53">
        <v>14.7</v>
      </c>
      <c r="D10" s="53">
        <v>18.04</v>
      </c>
      <c r="E10" s="53">
        <v>4.95</v>
      </c>
      <c r="F10" s="53">
        <v>4.2</v>
      </c>
      <c r="G10" s="53">
        <v>98.54</v>
      </c>
      <c r="H10" s="53">
        <v>52.88</v>
      </c>
      <c r="I10" s="53">
        <v>5.56</v>
      </c>
      <c r="J10" s="53">
        <v>1.49</v>
      </c>
      <c r="K10" s="53">
        <v>332.44</v>
      </c>
      <c r="L10" s="53">
        <v>22.05</v>
      </c>
      <c r="M10" s="53">
        <v>78.08</v>
      </c>
      <c r="N10" s="53">
        <v>26.1</v>
      </c>
      <c r="O10" s="53">
        <v>0</v>
      </c>
      <c r="P10" s="53">
        <v>1</v>
      </c>
      <c r="Q10" s="53">
        <v>9.6300000000000008</v>
      </c>
      <c r="R10" s="43"/>
      <c r="S10" s="43"/>
      <c r="T10" s="43"/>
      <c r="U10" s="43"/>
    </row>
    <row r="11" spans="1:21" s="11" customFormat="1" x14ac:dyDescent="0.25">
      <c r="A11" s="52" t="s">
        <v>615</v>
      </c>
      <c r="B11" s="53">
        <v>11.63</v>
      </c>
      <c r="C11" s="53">
        <v>15</v>
      </c>
      <c r="D11" s="53">
        <v>14.74</v>
      </c>
      <c r="E11" s="53">
        <v>6.33</v>
      </c>
      <c r="F11" s="53">
        <v>4.37</v>
      </c>
      <c r="G11" s="53">
        <v>98.16</v>
      </c>
      <c r="H11" s="53">
        <v>52.88</v>
      </c>
      <c r="I11" s="53">
        <v>4.76</v>
      </c>
      <c r="J11" s="53">
        <v>2.0499999999999998</v>
      </c>
      <c r="K11" s="53">
        <v>342.32</v>
      </c>
      <c r="L11" s="53">
        <v>21.46</v>
      </c>
      <c r="M11" s="53">
        <v>78.53</v>
      </c>
      <c r="N11" s="53">
        <v>26</v>
      </c>
      <c r="O11" s="53">
        <v>0</v>
      </c>
      <c r="P11" s="53">
        <v>0.89</v>
      </c>
      <c r="Q11" s="53">
        <v>9.64</v>
      </c>
      <c r="R11" s="43"/>
      <c r="S11" s="43"/>
      <c r="T11" s="43"/>
      <c r="U11" s="43"/>
    </row>
    <row r="12" spans="1:21" s="11" customFormat="1" x14ac:dyDescent="0.25">
      <c r="A12" s="52" t="s">
        <v>616</v>
      </c>
      <c r="B12" s="53">
        <v>7.61</v>
      </c>
      <c r="C12" s="53">
        <v>18.5</v>
      </c>
      <c r="D12" s="53">
        <v>14.39</v>
      </c>
      <c r="E12" s="53">
        <v>7.44</v>
      </c>
      <c r="F12" s="53">
        <v>4.63</v>
      </c>
      <c r="G12" s="53">
        <v>89.6</v>
      </c>
      <c r="H12" s="53">
        <v>41.65</v>
      </c>
      <c r="I12" s="53">
        <v>4.78</v>
      </c>
      <c r="J12" s="53">
        <v>2.06</v>
      </c>
      <c r="K12" s="53">
        <v>342.3</v>
      </c>
      <c r="L12" s="53">
        <v>21.36</v>
      </c>
      <c r="M12" s="53">
        <v>80.64</v>
      </c>
      <c r="N12" s="53">
        <v>26.1</v>
      </c>
      <c r="O12" s="53">
        <v>0</v>
      </c>
      <c r="P12" s="53">
        <v>0.74</v>
      </c>
      <c r="Q12" s="53">
        <v>9.6199999999999992</v>
      </c>
      <c r="R12" s="43"/>
      <c r="S12" s="43"/>
      <c r="T12" s="43"/>
      <c r="U12" s="43"/>
    </row>
    <row r="13" spans="1:21" s="11" customFormat="1" x14ac:dyDescent="0.25">
      <c r="A13" s="52" t="s">
        <v>617</v>
      </c>
      <c r="B13" s="53">
        <v>8.19</v>
      </c>
      <c r="C13" s="53">
        <v>18.38</v>
      </c>
      <c r="D13" s="53">
        <v>14.75</v>
      </c>
      <c r="E13" s="53">
        <v>7.65</v>
      </c>
      <c r="F13" s="53">
        <v>4.95</v>
      </c>
      <c r="G13" s="53">
        <v>84.51</v>
      </c>
      <c r="H13" s="53">
        <v>40.869999999999997</v>
      </c>
      <c r="I13" s="53">
        <v>4.24</v>
      </c>
      <c r="J13" s="53">
        <v>1.75</v>
      </c>
      <c r="K13" s="53">
        <v>337.07</v>
      </c>
      <c r="L13" s="53">
        <v>20.63</v>
      </c>
      <c r="M13" s="53">
        <v>85.95</v>
      </c>
      <c r="N13" s="53">
        <v>26.4</v>
      </c>
      <c r="O13" s="53">
        <v>0</v>
      </c>
      <c r="P13" s="53">
        <v>0.7</v>
      </c>
      <c r="Q13" s="53">
        <v>9.6199999999999992</v>
      </c>
      <c r="R13" s="43"/>
      <c r="S13" s="43"/>
      <c r="T13" s="43"/>
      <c r="U13" s="43"/>
    </row>
    <row r="14" spans="1:21" s="11" customFormat="1" x14ac:dyDescent="0.25">
      <c r="A14" s="52" t="s">
        <v>618</v>
      </c>
      <c r="B14" s="53">
        <v>8.93</v>
      </c>
      <c r="C14" s="53">
        <v>16.29</v>
      </c>
      <c r="D14" s="53">
        <v>14.22</v>
      </c>
      <c r="E14" s="53">
        <v>7.31</v>
      </c>
      <c r="F14" s="53">
        <v>4.63</v>
      </c>
      <c r="G14" s="53">
        <v>86.5</v>
      </c>
      <c r="H14" s="53">
        <v>41.77</v>
      </c>
      <c r="I14" s="53">
        <v>3.92</v>
      </c>
      <c r="J14" s="53">
        <v>2.08</v>
      </c>
      <c r="K14" s="53">
        <v>342.61</v>
      </c>
      <c r="L14" s="53">
        <v>21.25</v>
      </c>
      <c r="M14" s="53">
        <v>85.81</v>
      </c>
      <c r="N14" s="53">
        <v>89.7</v>
      </c>
      <c r="O14" s="53">
        <v>0</v>
      </c>
      <c r="P14" s="53">
        <v>0.64</v>
      </c>
      <c r="Q14" s="53">
        <v>9.6199999999999992</v>
      </c>
      <c r="R14" s="43"/>
      <c r="S14" s="43"/>
      <c r="T14" s="43"/>
      <c r="U14" s="43"/>
    </row>
    <row r="15" spans="1:21" s="11" customFormat="1" x14ac:dyDescent="0.25">
      <c r="A15" s="52" t="s">
        <v>619</v>
      </c>
      <c r="B15" s="53">
        <v>9.11</v>
      </c>
      <c r="C15" s="53">
        <v>18.13</v>
      </c>
      <c r="D15" s="53">
        <v>15.4</v>
      </c>
      <c r="E15" s="53">
        <v>7.6</v>
      </c>
      <c r="F15" s="53">
        <v>4.33</v>
      </c>
      <c r="G15" s="53">
        <v>86.5</v>
      </c>
      <c r="H15" s="53">
        <v>41.77</v>
      </c>
      <c r="I15" s="53">
        <v>3.81</v>
      </c>
      <c r="J15" s="53">
        <v>2.06</v>
      </c>
      <c r="K15" s="53">
        <v>342.75</v>
      </c>
      <c r="L15" s="53">
        <v>27.04</v>
      </c>
      <c r="M15" s="53">
        <v>75.81</v>
      </c>
      <c r="N15" s="53">
        <v>316.60000000000002</v>
      </c>
      <c r="O15" s="53">
        <v>0</v>
      </c>
      <c r="P15" s="53">
        <v>0.71</v>
      </c>
      <c r="Q15" s="53">
        <v>9.6300000000000008</v>
      </c>
      <c r="R15" s="43"/>
      <c r="S15" s="43"/>
      <c r="T15" s="43"/>
      <c r="U15" s="43"/>
    </row>
    <row r="16" spans="1:21" s="11" customFormat="1" x14ac:dyDescent="0.25">
      <c r="A16" s="52" t="s">
        <v>620</v>
      </c>
      <c r="B16" s="53">
        <v>13.09</v>
      </c>
      <c r="C16" s="53">
        <v>21.58</v>
      </c>
      <c r="D16" s="53">
        <v>20.27</v>
      </c>
      <c r="E16" s="53">
        <v>6.43</v>
      </c>
      <c r="F16" s="53">
        <v>5.1100000000000003</v>
      </c>
      <c r="G16" s="53">
        <v>82.17</v>
      </c>
      <c r="H16" s="53">
        <v>38.08</v>
      </c>
      <c r="I16" s="53">
        <v>3.96</v>
      </c>
      <c r="J16" s="53">
        <v>2.06</v>
      </c>
      <c r="K16" s="53">
        <v>339.61</v>
      </c>
      <c r="L16" s="53">
        <v>29.98</v>
      </c>
      <c r="M16" s="53">
        <v>61.21</v>
      </c>
      <c r="N16" s="53">
        <v>476.9</v>
      </c>
      <c r="O16" s="53">
        <v>0</v>
      </c>
      <c r="P16" s="53">
        <v>0.76</v>
      </c>
      <c r="Q16" s="53">
        <v>9.6300000000000008</v>
      </c>
      <c r="R16" s="43"/>
      <c r="S16" s="43"/>
      <c r="T16" s="43"/>
      <c r="U16" s="43"/>
    </row>
    <row r="17" spans="1:21" s="11" customFormat="1" x14ac:dyDescent="0.25">
      <c r="A17" s="52" t="s">
        <v>621</v>
      </c>
      <c r="B17" s="53">
        <v>12.38</v>
      </c>
      <c r="C17" s="53">
        <v>22.92</v>
      </c>
      <c r="D17" s="53">
        <v>19.96</v>
      </c>
      <c r="E17" s="53">
        <v>6.52</v>
      </c>
      <c r="F17" s="53">
        <v>4.8099999999999996</v>
      </c>
      <c r="G17" s="53">
        <v>82.17</v>
      </c>
      <c r="H17" s="53">
        <v>38.08</v>
      </c>
      <c r="I17" s="53">
        <v>3.86</v>
      </c>
      <c r="J17" s="53">
        <v>2.4</v>
      </c>
      <c r="K17" s="53">
        <v>338.5</v>
      </c>
      <c r="L17" s="53">
        <v>31.49</v>
      </c>
      <c r="M17" s="53">
        <v>62.76</v>
      </c>
      <c r="N17" s="53">
        <v>623.9</v>
      </c>
      <c r="O17" s="53">
        <v>0</v>
      </c>
      <c r="P17" s="53">
        <v>0.74</v>
      </c>
      <c r="Q17" s="53">
        <v>9.6300000000000008</v>
      </c>
      <c r="R17" s="43"/>
      <c r="S17" s="43"/>
      <c r="T17" s="43"/>
      <c r="U17" s="43"/>
    </row>
    <row r="18" spans="1:21" s="11" customFormat="1" x14ac:dyDescent="0.25">
      <c r="A18" s="52" t="s">
        <v>622</v>
      </c>
      <c r="B18" s="53">
        <v>9.3000000000000007</v>
      </c>
      <c r="C18" s="53">
        <v>29.14</v>
      </c>
      <c r="D18" s="53">
        <v>18.52</v>
      </c>
      <c r="E18" s="53">
        <v>8.3000000000000007</v>
      </c>
      <c r="F18" s="53">
        <v>7.75</v>
      </c>
      <c r="G18" s="53">
        <v>82.73</v>
      </c>
      <c r="H18" s="53">
        <v>25.32</v>
      </c>
      <c r="I18" s="53">
        <v>3.58</v>
      </c>
      <c r="J18" s="53">
        <v>2.3199999999999998</v>
      </c>
      <c r="K18" s="53">
        <v>338.94</v>
      </c>
      <c r="L18" s="53">
        <v>32.65</v>
      </c>
      <c r="M18" s="53">
        <v>47.88</v>
      </c>
      <c r="N18" s="53">
        <v>691.3</v>
      </c>
      <c r="O18" s="53">
        <v>0</v>
      </c>
      <c r="P18" s="53">
        <v>0.73</v>
      </c>
      <c r="Q18" s="53">
        <v>9.61</v>
      </c>
      <c r="R18" s="43"/>
      <c r="S18" s="43"/>
      <c r="T18" s="43"/>
      <c r="U18" s="43"/>
    </row>
    <row r="19" spans="1:21" s="11" customFormat="1" x14ac:dyDescent="0.25">
      <c r="A19" s="52" t="s">
        <v>623</v>
      </c>
      <c r="B19" s="53">
        <v>3.76</v>
      </c>
      <c r="C19" s="53">
        <v>30.92</v>
      </c>
      <c r="D19" s="53">
        <v>17.79</v>
      </c>
      <c r="E19" s="53">
        <v>7.67</v>
      </c>
      <c r="F19" s="53">
        <v>6.93</v>
      </c>
      <c r="G19" s="53">
        <v>82.73</v>
      </c>
      <c r="H19" s="53">
        <v>25.32</v>
      </c>
      <c r="I19" s="53">
        <v>3.17</v>
      </c>
      <c r="J19" s="53">
        <v>2.5299999999999998</v>
      </c>
      <c r="K19" s="53">
        <v>339.61</v>
      </c>
      <c r="L19" s="53">
        <v>32.450000000000003</v>
      </c>
      <c r="M19" s="53">
        <v>46.37</v>
      </c>
      <c r="N19" s="53">
        <v>718.2</v>
      </c>
      <c r="O19" s="53">
        <v>0</v>
      </c>
      <c r="P19" s="53">
        <v>0.7</v>
      </c>
      <c r="Q19" s="53">
        <v>9.61</v>
      </c>
      <c r="R19" s="43"/>
      <c r="S19" s="43"/>
      <c r="T19" s="43"/>
      <c r="U19" s="43"/>
    </row>
    <row r="20" spans="1:21" s="11" customFormat="1" x14ac:dyDescent="0.25">
      <c r="A20" s="52" t="s">
        <v>624</v>
      </c>
      <c r="B20" s="53">
        <v>2.89</v>
      </c>
      <c r="C20" s="53">
        <v>25.87</v>
      </c>
      <c r="D20" s="53">
        <v>14.45</v>
      </c>
      <c r="E20" s="53">
        <v>7.66</v>
      </c>
      <c r="F20" s="53">
        <v>6.63</v>
      </c>
      <c r="G20" s="53">
        <v>81.87</v>
      </c>
      <c r="H20" s="53">
        <v>36.93</v>
      </c>
      <c r="I20" s="53">
        <v>3.04</v>
      </c>
      <c r="J20" s="53">
        <v>1.69</v>
      </c>
      <c r="K20" s="53">
        <v>339.66</v>
      </c>
      <c r="L20" s="53">
        <v>32.479999999999997</v>
      </c>
      <c r="M20" s="53">
        <v>53.8</v>
      </c>
      <c r="N20" s="53">
        <v>599.1</v>
      </c>
      <c r="O20" s="53">
        <v>0</v>
      </c>
      <c r="P20" s="53">
        <v>0.67</v>
      </c>
      <c r="Q20" s="53">
        <v>9.6199999999999992</v>
      </c>
      <c r="R20" s="43"/>
      <c r="S20" s="43"/>
      <c r="T20" s="43"/>
      <c r="U20" s="43"/>
    </row>
    <row r="21" spans="1:21" s="11" customFormat="1" x14ac:dyDescent="0.25">
      <c r="A21" s="52" t="s">
        <v>625</v>
      </c>
      <c r="B21" s="53">
        <v>1.87</v>
      </c>
      <c r="C21" s="53">
        <v>24.22</v>
      </c>
      <c r="D21" s="53">
        <v>12.48</v>
      </c>
      <c r="E21" s="53">
        <v>7.57</v>
      </c>
      <c r="F21" s="53">
        <v>8.0399999999999991</v>
      </c>
      <c r="G21" s="53">
        <v>61.13</v>
      </c>
      <c r="H21" s="53">
        <v>36.93</v>
      </c>
      <c r="I21" s="53">
        <v>3.52</v>
      </c>
      <c r="J21" s="53">
        <v>2.2400000000000002</v>
      </c>
      <c r="K21" s="53">
        <v>340.52</v>
      </c>
      <c r="L21" s="53">
        <v>31.46</v>
      </c>
      <c r="M21" s="53">
        <v>50.4</v>
      </c>
      <c r="N21" s="53">
        <v>310.10000000000002</v>
      </c>
      <c r="O21" s="53">
        <v>0</v>
      </c>
      <c r="P21" s="53">
        <v>0.66</v>
      </c>
      <c r="Q21" s="53">
        <v>9.6199999999999992</v>
      </c>
      <c r="R21" s="43"/>
      <c r="S21" s="43"/>
      <c r="T21" s="43"/>
      <c r="U21" s="43"/>
    </row>
    <row r="22" spans="1:21" s="11" customFormat="1" x14ac:dyDescent="0.25">
      <c r="A22" s="52" t="s">
        <v>626</v>
      </c>
      <c r="B22" s="53">
        <v>1.62</v>
      </c>
      <c r="C22" s="53">
        <v>24.74</v>
      </c>
      <c r="D22" s="53">
        <v>12.85</v>
      </c>
      <c r="E22" s="53">
        <v>7.21</v>
      </c>
      <c r="F22" s="53">
        <v>8.3000000000000007</v>
      </c>
      <c r="G22" s="53">
        <v>61.13</v>
      </c>
      <c r="H22" s="53">
        <v>21.35</v>
      </c>
      <c r="I22" s="53">
        <v>3.09</v>
      </c>
      <c r="J22" s="53">
        <v>2.09</v>
      </c>
      <c r="K22" s="53">
        <v>339.39</v>
      </c>
      <c r="L22" s="53">
        <v>30.96</v>
      </c>
      <c r="M22" s="53">
        <v>47.61</v>
      </c>
      <c r="N22" s="53">
        <v>221.6</v>
      </c>
      <c r="O22" s="53">
        <v>0</v>
      </c>
      <c r="P22" s="53">
        <v>0.65</v>
      </c>
      <c r="Q22" s="53">
        <v>9.6300000000000008</v>
      </c>
      <c r="R22" s="43"/>
      <c r="S22" s="43"/>
      <c r="T22" s="43"/>
      <c r="U22" s="43"/>
    </row>
    <row r="23" spans="1:21" s="11" customFormat="1" x14ac:dyDescent="0.25">
      <c r="A23" s="52" t="s">
        <v>627</v>
      </c>
      <c r="B23" s="53">
        <v>3.06</v>
      </c>
      <c r="C23" s="53">
        <v>29.45</v>
      </c>
      <c r="D23" s="53">
        <v>15.53</v>
      </c>
      <c r="E23" s="53">
        <v>8.4499999999999993</v>
      </c>
      <c r="F23" s="53">
        <v>9.84</v>
      </c>
      <c r="G23" s="53">
        <v>49.73</v>
      </c>
      <c r="H23" s="53">
        <v>6.98</v>
      </c>
      <c r="I23" s="53">
        <v>2.4500000000000002</v>
      </c>
      <c r="J23" s="53">
        <v>1.91</v>
      </c>
      <c r="K23" s="53">
        <v>341.35</v>
      </c>
      <c r="L23" s="53">
        <v>30.51</v>
      </c>
      <c r="M23" s="53">
        <v>51.49</v>
      </c>
      <c r="N23" s="53">
        <v>180.2</v>
      </c>
      <c r="O23" s="53">
        <v>0</v>
      </c>
      <c r="P23" s="53">
        <v>0.66</v>
      </c>
      <c r="Q23" s="53">
        <v>9.64</v>
      </c>
      <c r="R23" s="43"/>
      <c r="S23" s="43"/>
      <c r="T23" s="43"/>
      <c r="U23" s="43"/>
    </row>
    <row r="24" spans="1:21" s="11" customFormat="1" x14ac:dyDescent="0.25">
      <c r="A24" s="52" t="s">
        <v>628</v>
      </c>
      <c r="B24" s="53">
        <v>2.97</v>
      </c>
      <c r="C24" s="53">
        <v>28.54</v>
      </c>
      <c r="D24" s="53">
        <v>14.87</v>
      </c>
      <c r="E24" s="53">
        <v>6.77</v>
      </c>
      <c r="F24" s="53">
        <v>7.12</v>
      </c>
      <c r="G24" s="53">
        <v>67.36</v>
      </c>
      <c r="H24" s="53">
        <v>48.17</v>
      </c>
      <c r="I24" s="53">
        <v>2.89</v>
      </c>
      <c r="J24" s="53">
        <v>1.94</v>
      </c>
      <c r="K24" s="53">
        <v>340.91</v>
      </c>
      <c r="L24" s="53">
        <v>29.01</v>
      </c>
      <c r="M24" s="53">
        <v>55.76</v>
      </c>
      <c r="N24" s="53">
        <v>67.2</v>
      </c>
      <c r="O24" s="53">
        <v>0</v>
      </c>
      <c r="P24" s="53">
        <v>0.67</v>
      </c>
      <c r="Q24" s="53">
        <v>9.6199999999999992</v>
      </c>
      <c r="R24" s="43"/>
      <c r="S24" s="43"/>
      <c r="T24" s="43"/>
      <c r="U24" s="43"/>
    </row>
    <row r="25" spans="1:21" s="11" customFormat="1" x14ac:dyDescent="0.25">
      <c r="A25" s="52" t="s">
        <v>629</v>
      </c>
      <c r="B25" s="53">
        <v>3.56</v>
      </c>
      <c r="C25" s="53">
        <v>33.54</v>
      </c>
      <c r="D25" s="53">
        <v>17.78</v>
      </c>
      <c r="E25" s="53">
        <v>7.43</v>
      </c>
      <c r="F25" s="53">
        <v>8.2899999999999991</v>
      </c>
      <c r="G25" s="53">
        <v>67.36</v>
      </c>
      <c r="H25" s="53">
        <v>48.17</v>
      </c>
      <c r="I25" s="53">
        <v>3.12</v>
      </c>
      <c r="J25" s="53">
        <v>1.99</v>
      </c>
      <c r="K25" s="53">
        <v>339.33</v>
      </c>
      <c r="L25" s="53">
        <v>27.35</v>
      </c>
      <c r="M25" s="53">
        <v>65.040000000000006</v>
      </c>
      <c r="N25" s="53">
        <v>36</v>
      </c>
      <c r="O25" s="53">
        <v>0</v>
      </c>
      <c r="P25" s="53">
        <v>0.81</v>
      </c>
      <c r="Q25" s="53">
        <v>9.64</v>
      </c>
      <c r="R25" s="43"/>
      <c r="S25" s="43"/>
      <c r="T25" s="43"/>
      <c r="U25" s="43"/>
    </row>
    <row r="26" spans="1:21" s="11" customFormat="1" x14ac:dyDescent="0.25">
      <c r="A26" s="52" t="s">
        <v>630</v>
      </c>
      <c r="B26" s="53">
        <v>5.39</v>
      </c>
      <c r="C26" s="53">
        <v>29.51</v>
      </c>
      <c r="D26" s="53">
        <v>16.46</v>
      </c>
      <c r="E26" s="53">
        <v>6.12</v>
      </c>
      <c r="F26" s="53">
        <v>5.43</v>
      </c>
      <c r="G26" s="53">
        <v>76.22</v>
      </c>
      <c r="H26" s="53">
        <v>36.03</v>
      </c>
      <c r="I26" s="53">
        <v>3.82</v>
      </c>
      <c r="J26" s="53">
        <v>1.48</v>
      </c>
      <c r="K26" s="53">
        <v>343.7</v>
      </c>
      <c r="L26" s="53">
        <v>27.16</v>
      </c>
      <c r="M26" s="53">
        <v>60.95</v>
      </c>
      <c r="N26" s="53">
        <v>26.5</v>
      </c>
      <c r="O26" s="53">
        <v>0</v>
      </c>
      <c r="P26" s="53">
        <v>1.05</v>
      </c>
      <c r="Q26" s="53">
        <v>9.6300000000000008</v>
      </c>
      <c r="R26" s="43"/>
      <c r="S26" s="43"/>
      <c r="T26" s="43"/>
      <c r="U26" s="43"/>
    </row>
    <row r="27" spans="1:21" s="11" customFormat="1" x14ac:dyDescent="0.25">
      <c r="A27" s="52" t="s">
        <v>631</v>
      </c>
      <c r="B27" s="53">
        <v>7.32</v>
      </c>
      <c r="C27" s="53">
        <v>22.86</v>
      </c>
      <c r="D27" s="53">
        <v>15.61</v>
      </c>
      <c r="E27" s="53">
        <v>6.79</v>
      </c>
      <c r="F27" s="53">
        <v>4.8600000000000003</v>
      </c>
      <c r="G27" s="53">
        <v>98.28</v>
      </c>
      <c r="H27" s="53">
        <v>40.15</v>
      </c>
      <c r="I27" s="53">
        <v>4.47</v>
      </c>
      <c r="J27" s="53">
        <v>1.66</v>
      </c>
      <c r="K27" s="53">
        <v>337.45</v>
      </c>
      <c r="L27" s="53">
        <v>26.9</v>
      </c>
      <c r="M27" s="53">
        <v>65.23</v>
      </c>
      <c r="N27" s="53">
        <v>26.5</v>
      </c>
      <c r="O27" s="53">
        <v>0</v>
      </c>
      <c r="P27" s="53">
        <v>1.08</v>
      </c>
      <c r="Q27" s="53">
        <v>9.6199999999999992</v>
      </c>
      <c r="R27" s="43"/>
      <c r="S27" s="43"/>
      <c r="T27" s="43"/>
      <c r="U27" s="43"/>
    </row>
    <row r="28" spans="1:21" s="11" customFormat="1" x14ac:dyDescent="0.25">
      <c r="A28" s="52" t="s">
        <v>632</v>
      </c>
      <c r="B28" s="53">
        <v>17.53</v>
      </c>
      <c r="C28" s="53">
        <v>23.22</v>
      </c>
      <c r="D28" s="53">
        <v>24.82</v>
      </c>
      <c r="E28" s="53">
        <v>8.0500000000000007</v>
      </c>
      <c r="F28" s="53">
        <v>4.43</v>
      </c>
      <c r="G28" s="53">
        <v>103.48</v>
      </c>
      <c r="H28" s="53">
        <v>46.66</v>
      </c>
      <c r="I28" s="53">
        <v>4.46</v>
      </c>
      <c r="J28" s="53">
        <v>1.67</v>
      </c>
      <c r="K28" s="53">
        <v>337.38</v>
      </c>
      <c r="L28" s="53">
        <v>26.5</v>
      </c>
      <c r="M28" s="53">
        <v>69.92</v>
      </c>
      <c r="N28" s="53">
        <v>26.5</v>
      </c>
      <c r="O28" s="53">
        <v>0</v>
      </c>
      <c r="P28" s="53">
        <v>1.04</v>
      </c>
      <c r="Q28" s="53">
        <v>9.61</v>
      </c>
      <c r="R28" s="43"/>
      <c r="S28" s="43"/>
      <c r="T28" s="43"/>
      <c r="U28" s="43"/>
    </row>
    <row r="29" spans="1:21" s="11" customFormat="1" x14ac:dyDescent="0.25">
      <c r="A29" s="52" t="s">
        <v>633</v>
      </c>
      <c r="B29" s="53">
        <v>18.66</v>
      </c>
      <c r="C29" s="53">
        <v>23.26</v>
      </c>
      <c r="D29" s="53">
        <v>25.5</v>
      </c>
      <c r="E29" s="53">
        <v>7.76</v>
      </c>
      <c r="F29" s="53">
        <v>4.66</v>
      </c>
      <c r="G29" s="53">
        <v>103.74</v>
      </c>
      <c r="H29" s="53">
        <v>47.8</v>
      </c>
      <c r="I29" s="53">
        <v>4.49</v>
      </c>
      <c r="J29" s="53">
        <v>2.0299999999999998</v>
      </c>
      <c r="K29" s="53">
        <v>340.88</v>
      </c>
      <c r="L29" s="53">
        <v>25.47</v>
      </c>
      <c r="M29" s="53">
        <v>73.94</v>
      </c>
      <c r="N29" s="53">
        <v>26.1</v>
      </c>
      <c r="O29" s="53">
        <v>0</v>
      </c>
      <c r="P29" s="53">
        <v>1.07</v>
      </c>
      <c r="Q29" s="53">
        <v>9.6199999999999992</v>
      </c>
      <c r="R29" s="43"/>
      <c r="S29" s="43"/>
      <c r="T29" s="43"/>
      <c r="U29" s="43"/>
    </row>
    <row r="30" spans="1:21" s="11" customFormat="1" x14ac:dyDescent="0.25">
      <c r="A30" s="52" t="s">
        <v>634</v>
      </c>
      <c r="B30" s="53">
        <v>17.559999999999999</v>
      </c>
      <c r="C30" s="53">
        <v>23</v>
      </c>
      <c r="D30" s="53">
        <v>24.72</v>
      </c>
      <c r="E30" s="53">
        <v>8.15</v>
      </c>
      <c r="F30" s="53">
        <v>4.43</v>
      </c>
      <c r="G30" s="53">
        <v>103.74</v>
      </c>
      <c r="H30" s="53">
        <v>47.8</v>
      </c>
      <c r="I30" s="53">
        <v>4.5999999999999996</v>
      </c>
      <c r="J30" s="53">
        <v>2.0099999999999998</v>
      </c>
      <c r="K30" s="53">
        <v>342.15</v>
      </c>
      <c r="L30" s="53">
        <v>25.26</v>
      </c>
      <c r="M30" s="53">
        <v>79.5</v>
      </c>
      <c r="N30" s="53">
        <v>26.2</v>
      </c>
      <c r="O30" s="53">
        <v>0</v>
      </c>
      <c r="P30" s="53">
        <v>1.05</v>
      </c>
      <c r="Q30" s="53">
        <v>9.6300000000000008</v>
      </c>
      <c r="R30" s="43"/>
      <c r="S30" s="43"/>
      <c r="T30" s="43"/>
      <c r="U30" s="43"/>
    </row>
    <row r="31" spans="1:21" s="11" customFormat="1" x14ac:dyDescent="0.25">
      <c r="A31" s="52" t="s">
        <v>635</v>
      </c>
      <c r="B31" s="53">
        <v>15.25</v>
      </c>
      <c r="C31" s="53">
        <v>19.18</v>
      </c>
      <c r="D31" s="53">
        <v>20.88</v>
      </c>
      <c r="E31" s="53">
        <v>7.12</v>
      </c>
      <c r="F31" s="53">
        <v>4.18</v>
      </c>
      <c r="G31" s="53">
        <v>98.89</v>
      </c>
      <c r="H31" s="53">
        <v>41.76</v>
      </c>
      <c r="I31" s="53">
        <v>4.47</v>
      </c>
      <c r="J31" s="53">
        <v>2.37</v>
      </c>
      <c r="K31" s="53">
        <v>343.3</v>
      </c>
      <c r="L31" s="53">
        <v>24.73</v>
      </c>
      <c r="M31" s="53">
        <v>82.12</v>
      </c>
      <c r="N31" s="53">
        <v>26.2</v>
      </c>
      <c r="O31" s="53">
        <v>0</v>
      </c>
      <c r="P31" s="53">
        <v>0.94</v>
      </c>
      <c r="Q31" s="53">
        <v>9.6199999999999992</v>
      </c>
      <c r="R31" s="43"/>
      <c r="S31" s="43"/>
      <c r="T31" s="43"/>
      <c r="U31" s="43"/>
    </row>
    <row r="32" spans="1:21" s="11" customFormat="1" x14ac:dyDescent="0.25">
      <c r="A32" s="52" t="s">
        <v>636</v>
      </c>
      <c r="B32" s="53">
        <v>11.34</v>
      </c>
      <c r="C32" s="53">
        <v>18.93</v>
      </c>
      <c r="D32" s="53">
        <v>16.84</v>
      </c>
      <c r="E32" s="53">
        <v>6.89</v>
      </c>
      <c r="F32" s="53">
        <v>4.25</v>
      </c>
      <c r="G32" s="53">
        <v>89.11</v>
      </c>
      <c r="H32" s="53">
        <v>36.44</v>
      </c>
      <c r="I32" s="53">
        <v>4.4800000000000004</v>
      </c>
      <c r="J32" s="53">
        <v>2.0299999999999998</v>
      </c>
      <c r="K32" s="53">
        <v>342.2</v>
      </c>
      <c r="L32" s="53">
        <v>24.2</v>
      </c>
      <c r="M32" s="53">
        <v>85.89</v>
      </c>
      <c r="N32" s="53">
        <v>26.4</v>
      </c>
      <c r="O32" s="53">
        <v>0</v>
      </c>
      <c r="P32" s="53">
        <v>0.86</v>
      </c>
      <c r="Q32" s="53">
        <v>9.6300000000000008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1.62</v>
      </c>
      <c r="C34" s="28">
        <f t="shared" si="0"/>
        <v>14.7</v>
      </c>
      <c r="D34" s="28">
        <f t="shared" si="0"/>
        <v>12.48</v>
      </c>
      <c r="E34" s="28">
        <f t="shared" si="0"/>
        <v>4.95</v>
      </c>
      <c r="F34" s="28">
        <f t="shared" si="0"/>
        <v>4.18</v>
      </c>
      <c r="G34" s="28">
        <f t="shared" si="0"/>
        <v>49.73</v>
      </c>
      <c r="H34" s="28">
        <f t="shared" si="0"/>
        <v>6.98</v>
      </c>
      <c r="I34" s="28">
        <f t="shared" si="0"/>
        <v>2.4500000000000002</v>
      </c>
      <c r="J34" s="28">
        <f t="shared" si="0"/>
        <v>1.48</v>
      </c>
      <c r="K34" s="28">
        <f t="shared" si="0"/>
        <v>332.44</v>
      </c>
      <c r="L34" s="28">
        <f t="shared" si="0"/>
        <v>20.63</v>
      </c>
      <c r="M34" s="28">
        <f t="shared" si="0"/>
        <v>46.37</v>
      </c>
      <c r="N34" s="28">
        <f t="shared" si="0"/>
        <v>26</v>
      </c>
      <c r="O34" s="28">
        <f t="shared" si="0"/>
        <v>0</v>
      </c>
      <c r="P34" s="28">
        <f t="shared" si="0"/>
        <v>0.64</v>
      </c>
      <c r="Q34" s="28">
        <f t="shared" si="0"/>
        <v>9.61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20.55</v>
      </c>
      <c r="C35" s="29">
        <f t="shared" si="1"/>
        <v>33.54</v>
      </c>
      <c r="D35" s="29">
        <f t="shared" si="1"/>
        <v>25.5</v>
      </c>
      <c r="E35" s="29">
        <f t="shared" si="1"/>
        <v>8.4499999999999993</v>
      </c>
      <c r="F35" s="29">
        <f t="shared" si="1"/>
        <v>9.84</v>
      </c>
      <c r="G35" s="29">
        <f t="shared" si="1"/>
        <v>108.13</v>
      </c>
      <c r="H35" s="29">
        <f t="shared" si="1"/>
        <v>59.59</v>
      </c>
      <c r="I35" s="29">
        <f t="shared" si="1"/>
        <v>6.47</v>
      </c>
      <c r="J35" s="29">
        <f t="shared" si="1"/>
        <v>2.5299999999999998</v>
      </c>
      <c r="K35" s="29">
        <f t="shared" si="1"/>
        <v>343.7</v>
      </c>
      <c r="L35" s="29">
        <f t="shared" si="1"/>
        <v>32.65</v>
      </c>
      <c r="M35" s="29">
        <f t="shared" si="1"/>
        <v>85.95</v>
      </c>
      <c r="N35" s="29">
        <f t="shared" si="1"/>
        <v>718.2</v>
      </c>
      <c r="O35" s="29">
        <f t="shared" si="1"/>
        <v>0</v>
      </c>
      <c r="P35" s="29">
        <f t="shared" si="1"/>
        <v>1.1200000000000001</v>
      </c>
      <c r="Q35" s="29">
        <f t="shared" si="1"/>
        <v>9.64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9.5087499999999991</v>
      </c>
      <c r="C36" s="28">
        <f t="shared" si="2"/>
        <v>22.814999999999998</v>
      </c>
      <c r="D36" s="28">
        <f t="shared" si="2"/>
        <v>17.669583333333332</v>
      </c>
      <c r="E36" s="28">
        <f t="shared" si="2"/>
        <v>7.1329166666666657</v>
      </c>
      <c r="F36" s="28">
        <f t="shared" si="2"/>
        <v>5.7333333333333343</v>
      </c>
      <c r="G36" s="28">
        <f t="shared" si="2"/>
        <v>85.157500000000013</v>
      </c>
      <c r="H36" s="28">
        <f t="shared" si="2"/>
        <v>39.724166666666655</v>
      </c>
      <c r="I36" s="28">
        <f t="shared" si="2"/>
        <v>4.0420833333333333</v>
      </c>
      <c r="J36" s="28">
        <f t="shared" si="2"/>
        <v>1.9774999999999998</v>
      </c>
      <c r="K36" s="28">
        <f t="shared" si="2"/>
        <v>340.17708333333331</v>
      </c>
      <c r="L36" s="28">
        <f t="shared" si="2"/>
        <v>26.861666666666668</v>
      </c>
      <c r="M36" s="28">
        <f t="shared" si="2"/>
        <v>67.59416666666668</v>
      </c>
      <c r="N36" s="28">
        <f t="shared" si="2"/>
        <v>193.57916666666665</v>
      </c>
      <c r="O36" s="28">
        <f t="shared" si="2"/>
        <v>0</v>
      </c>
      <c r="P36" s="28">
        <f t="shared" si="2"/>
        <v>0.83083333333333342</v>
      </c>
      <c r="Q36" s="28">
        <f t="shared" si="2"/>
        <v>9.625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5.7779064303077217</v>
      </c>
      <c r="C37" s="28">
        <f t="shared" ref="C37:Q37" si="3">STDEV(C9:C32)</f>
        <v>5.3901956082921787</v>
      </c>
      <c r="D37" s="28">
        <f t="shared" si="3"/>
        <v>3.8458735414859224</v>
      </c>
      <c r="E37" s="28">
        <f t="shared" si="3"/>
        <v>0.90665884081235115</v>
      </c>
      <c r="F37" s="28">
        <f t="shared" si="3"/>
        <v>1.669591636264405</v>
      </c>
      <c r="G37" s="28">
        <f t="shared" si="3"/>
        <v>15.415917592455889</v>
      </c>
      <c r="H37" s="28">
        <f t="shared" si="3"/>
        <v>11.325105591855083</v>
      </c>
      <c r="I37" s="28">
        <f t="shared" si="3"/>
        <v>0.89854945505988204</v>
      </c>
      <c r="J37" s="28">
        <f t="shared" si="3"/>
        <v>0.28614757518212214</v>
      </c>
      <c r="K37" s="28">
        <f t="shared" si="3"/>
        <v>2.5174736804749456</v>
      </c>
      <c r="L37" s="28">
        <f t="shared" si="3"/>
        <v>4.0292038987833276</v>
      </c>
      <c r="M37" s="28">
        <f t="shared" si="3"/>
        <v>13.533934778168085</v>
      </c>
      <c r="N37" s="28">
        <f t="shared" si="3"/>
        <v>244.06624186205406</v>
      </c>
      <c r="O37" s="28">
        <f t="shared" si="3"/>
        <v>0</v>
      </c>
      <c r="P37" s="28">
        <f t="shared" si="3"/>
        <v>0.1678228016499049</v>
      </c>
      <c r="Q37" s="28">
        <f t="shared" si="3"/>
        <v>8.8465173692944266E-3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25/10/2024 02:00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6"/>
      <c r="B8" s="57" t="s">
        <v>22</v>
      </c>
      <c r="C8" s="57" t="s">
        <v>22</v>
      </c>
      <c r="D8" s="29" t="s">
        <v>42</v>
      </c>
      <c r="E8" s="57" t="s">
        <v>22</v>
      </c>
      <c r="F8" s="57" t="s">
        <v>22</v>
      </c>
      <c r="G8" s="57" t="s">
        <v>23</v>
      </c>
      <c r="H8" s="57" t="s">
        <v>22</v>
      </c>
      <c r="I8" s="57" t="s">
        <v>22</v>
      </c>
      <c r="J8" s="57" t="s">
        <v>24</v>
      </c>
      <c r="K8" s="57" t="s">
        <v>25</v>
      </c>
      <c r="L8" s="56" t="s">
        <v>27</v>
      </c>
      <c r="M8" s="57" t="s">
        <v>26</v>
      </c>
      <c r="N8" s="57" t="s">
        <v>28</v>
      </c>
      <c r="O8" s="56" t="s">
        <v>29</v>
      </c>
      <c r="P8" s="57" t="s">
        <v>22</v>
      </c>
      <c r="Q8" s="57" t="s">
        <v>22</v>
      </c>
      <c r="R8" s="27"/>
      <c r="S8" s="29"/>
      <c r="T8" s="27"/>
      <c r="U8" s="27"/>
    </row>
    <row r="9" spans="1:21" s="11" customFormat="1" x14ac:dyDescent="0.25">
      <c r="A9" s="52" t="s">
        <v>637</v>
      </c>
      <c r="B9" s="53">
        <v>7.83</v>
      </c>
      <c r="C9" s="53">
        <v>18.100000000000001</v>
      </c>
      <c r="D9" s="53">
        <v>14.36</v>
      </c>
      <c r="E9" s="53">
        <v>6.82</v>
      </c>
      <c r="F9" s="53">
        <v>4.8499999999999996</v>
      </c>
      <c r="G9" s="53">
        <v>76.739999999999995</v>
      </c>
      <c r="H9" s="53">
        <v>36.44</v>
      </c>
      <c r="I9" s="53">
        <v>4.3600000000000003</v>
      </c>
      <c r="J9" s="53">
        <v>2.27</v>
      </c>
      <c r="K9" s="53">
        <v>335.68</v>
      </c>
      <c r="L9" s="53">
        <v>23.46</v>
      </c>
      <c r="M9" s="53">
        <v>89.1</v>
      </c>
      <c r="N9" s="53">
        <v>26.4</v>
      </c>
      <c r="O9" s="53">
        <v>0</v>
      </c>
      <c r="P9" s="53">
        <v>0.76</v>
      </c>
      <c r="Q9" s="53">
        <v>9.6300000000000008</v>
      </c>
      <c r="R9" s="43"/>
      <c r="S9" s="43"/>
      <c r="T9" s="43"/>
      <c r="U9" s="43"/>
    </row>
    <row r="10" spans="1:21" s="11" customFormat="1" x14ac:dyDescent="0.25">
      <c r="A10" s="52" t="s">
        <v>638</v>
      </c>
      <c r="B10" s="53">
        <v>4.3099999999999996</v>
      </c>
      <c r="C10" s="53">
        <v>15.89</v>
      </c>
      <c r="D10" s="53">
        <v>10.38</v>
      </c>
      <c r="E10" s="53">
        <v>6.62</v>
      </c>
      <c r="F10" s="53">
        <v>4.9400000000000004</v>
      </c>
      <c r="G10" s="53">
        <v>72.47</v>
      </c>
      <c r="H10" s="53">
        <v>34.909999999999997</v>
      </c>
      <c r="I10" s="53">
        <v>3.73</v>
      </c>
      <c r="J10" s="53">
        <v>2.25</v>
      </c>
      <c r="K10" s="53">
        <v>339.17</v>
      </c>
      <c r="L10" s="53">
        <v>23.16</v>
      </c>
      <c r="M10" s="53">
        <v>89.34</v>
      </c>
      <c r="N10" s="53">
        <v>26.4</v>
      </c>
      <c r="O10" s="53">
        <v>0</v>
      </c>
      <c r="P10" s="53">
        <v>0.67</v>
      </c>
      <c r="Q10" s="53">
        <v>9.6199999999999992</v>
      </c>
      <c r="R10" s="43"/>
      <c r="S10" s="43"/>
      <c r="T10" s="43"/>
      <c r="U10" s="43"/>
    </row>
    <row r="11" spans="1:21" s="11" customFormat="1" x14ac:dyDescent="0.25">
      <c r="A11" s="52" t="s">
        <v>639</v>
      </c>
      <c r="B11" s="53">
        <v>2.68</v>
      </c>
      <c r="C11" s="53">
        <v>13.76</v>
      </c>
      <c r="D11" s="53">
        <v>7.96</v>
      </c>
      <c r="E11" s="53">
        <v>6.38</v>
      </c>
      <c r="F11" s="53">
        <v>4.7300000000000004</v>
      </c>
      <c r="G11" s="53">
        <v>70.09</v>
      </c>
      <c r="H11" s="53">
        <v>34.909999999999997</v>
      </c>
      <c r="I11" s="53">
        <v>3.14</v>
      </c>
      <c r="J11" s="53">
        <v>2.34</v>
      </c>
      <c r="K11" s="53">
        <v>339.91</v>
      </c>
      <c r="L11" s="53">
        <v>23.01</v>
      </c>
      <c r="M11" s="53">
        <v>90.57</v>
      </c>
      <c r="N11" s="53">
        <v>26.1</v>
      </c>
      <c r="O11" s="53">
        <v>0</v>
      </c>
      <c r="P11" s="53">
        <v>0.59</v>
      </c>
      <c r="Q11" s="53">
        <v>9.6199999999999992</v>
      </c>
      <c r="R11" s="43"/>
      <c r="S11" s="43"/>
      <c r="T11" s="43"/>
      <c r="U11" s="43"/>
    </row>
    <row r="12" spans="1:21" s="11" customFormat="1" x14ac:dyDescent="0.25">
      <c r="A12" s="52" t="s">
        <v>640</v>
      </c>
      <c r="B12" s="53">
        <v>2.39</v>
      </c>
      <c r="C12" s="53">
        <v>13.25</v>
      </c>
      <c r="D12" s="53">
        <v>7.46</v>
      </c>
      <c r="E12" s="53">
        <v>6.8</v>
      </c>
      <c r="F12" s="53">
        <v>4.43</v>
      </c>
      <c r="G12" s="53">
        <v>70.09</v>
      </c>
      <c r="H12" s="53">
        <v>34.54</v>
      </c>
      <c r="I12" s="53">
        <v>2.73</v>
      </c>
      <c r="J12" s="53">
        <v>2.04</v>
      </c>
      <c r="K12" s="53">
        <v>341.6</v>
      </c>
      <c r="L12" s="53">
        <v>22.69</v>
      </c>
      <c r="M12" s="53">
        <v>92.36</v>
      </c>
      <c r="N12" s="53">
        <v>26.2</v>
      </c>
      <c r="O12" s="53">
        <v>0</v>
      </c>
      <c r="P12" s="53">
        <v>0.53</v>
      </c>
      <c r="Q12" s="53">
        <v>9.6300000000000008</v>
      </c>
      <c r="R12" s="43"/>
      <c r="S12" s="43"/>
      <c r="T12" s="43"/>
      <c r="U12" s="43"/>
    </row>
    <row r="13" spans="1:21" s="11" customFormat="1" x14ac:dyDescent="0.25">
      <c r="A13" s="52" t="s">
        <v>641</v>
      </c>
      <c r="B13" s="53">
        <v>3.91</v>
      </c>
      <c r="C13" s="53">
        <v>14.97</v>
      </c>
      <c r="D13" s="53">
        <v>9.58</v>
      </c>
      <c r="E13" s="53">
        <v>6.61</v>
      </c>
      <c r="F13" s="53">
        <v>5.47</v>
      </c>
      <c r="G13" s="53">
        <v>64.959999999999994</v>
      </c>
      <c r="H13" s="53">
        <v>35.93</v>
      </c>
      <c r="I13" s="53">
        <v>2.65</v>
      </c>
      <c r="J13" s="53">
        <v>2.06</v>
      </c>
      <c r="K13" s="53">
        <v>336.43</v>
      </c>
      <c r="L13" s="53">
        <v>22.62</v>
      </c>
      <c r="M13" s="53">
        <v>96.04</v>
      </c>
      <c r="N13" s="53">
        <v>26.4</v>
      </c>
      <c r="O13" s="53">
        <v>0</v>
      </c>
      <c r="P13" s="53">
        <v>0.55000000000000004</v>
      </c>
      <c r="Q13" s="53">
        <v>9.61</v>
      </c>
      <c r="R13" s="43"/>
      <c r="S13" s="43"/>
      <c r="T13" s="43"/>
      <c r="U13" s="43"/>
    </row>
    <row r="14" spans="1:21" s="11" customFormat="1" x14ac:dyDescent="0.25">
      <c r="A14" s="52" t="s">
        <v>642</v>
      </c>
      <c r="B14" s="53">
        <v>7.25</v>
      </c>
      <c r="C14" s="53">
        <v>14.96</v>
      </c>
      <c r="D14" s="53">
        <v>12.2</v>
      </c>
      <c r="E14" s="53">
        <v>6.66</v>
      </c>
      <c r="F14" s="53">
        <v>5.36</v>
      </c>
      <c r="G14" s="53">
        <v>67.56</v>
      </c>
      <c r="H14" s="53">
        <v>35.93</v>
      </c>
      <c r="I14" s="53">
        <v>2.73</v>
      </c>
      <c r="J14" s="53">
        <v>1.72</v>
      </c>
      <c r="K14" s="53">
        <v>334.94</v>
      </c>
      <c r="L14" s="53">
        <v>22.6</v>
      </c>
      <c r="M14" s="53">
        <v>96.77</v>
      </c>
      <c r="N14" s="53">
        <v>76.2</v>
      </c>
      <c r="O14" s="53">
        <v>0</v>
      </c>
      <c r="P14" s="53">
        <v>0.56999999999999995</v>
      </c>
      <c r="Q14" s="53">
        <v>9.6199999999999992</v>
      </c>
      <c r="R14" s="43"/>
      <c r="S14" s="43"/>
      <c r="T14" s="43"/>
      <c r="U14" s="43"/>
    </row>
    <row r="15" spans="1:21" s="11" customFormat="1" x14ac:dyDescent="0.25">
      <c r="A15" s="52" t="s">
        <v>643</v>
      </c>
      <c r="B15" s="53">
        <v>10.65</v>
      </c>
      <c r="C15" s="53">
        <v>14.65</v>
      </c>
      <c r="D15" s="53">
        <v>14.56</v>
      </c>
      <c r="E15" s="53">
        <v>6.78</v>
      </c>
      <c r="F15" s="53">
        <v>4.32</v>
      </c>
      <c r="G15" s="53">
        <v>79.69</v>
      </c>
      <c r="H15" s="53">
        <v>43.24</v>
      </c>
      <c r="I15" s="53">
        <v>2.81</v>
      </c>
      <c r="J15" s="53">
        <v>2.0699999999999998</v>
      </c>
      <c r="K15" s="53">
        <v>341.76</v>
      </c>
      <c r="L15" s="53">
        <v>26.57</v>
      </c>
      <c r="M15" s="53">
        <v>92.19</v>
      </c>
      <c r="N15" s="53">
        <v>250.6</v>
      </c>
      <c r="O15" s="53">
        <v>0</v>
      </c>
      <c r="P15" s="53">
        <v>0.66</v>
      </c>
      <c r="Q15" s="53">
        <v>9.6300000000000008</v>
      </c>
      <c r="R15" s="43"/>
      <c r="S15" s="43"/>
      <c r="T15" s="43"/>
      <c r="U15" s="43"/>
    </row>
    <row r="16" spans="1:21" s="11" customFormat="1" x14ac:dyDescent="0.25">
      <c r="A16" s="52" t="s">
        <v>644</v>
      </c>
      <c r="B16" s="53">
        <v>10.86</v>
      </c>
      <c r="C16" s="53">
        <v>15.46</v>
      </c>
      <c r="D16" s="53">
        <v>15.13</v>
      </c>
      <c r="E16" s="53">
        <v>6.31</v>
      </c>
      <c r="F16" s="53">
        <v>4.2300000000000004</v>
      </c>
      <c r="G16" s="53">
        <v>79.69</v>
      </c>
      <c r="H16" s="53">
        <v>43.24</v>
      </c>
      <c r="I16" s="53">
        <v>2.89</v>
      </c>
      <c r="J16" s="53">
        <v>2.59</v>
      </c>
      <c r="K16" s="53">
        <v>341.48</v>
      </c>
      <c r="L16" s="53">
        <v>29.07</v>
      </c>
      <c r="M16" s="53">
        <v>71.3</v>
      </c>
      <c r="N16" s="53">
        <v>438.4</v>
      </c>
      <c r="O16" s="53">
        <v>0</v>
      </c>
      <c r="P16" s="53">
        <v>0.63</v>
      </c>
      <c r="Q16" s="53">
        <v>9.6199999999999992</v>
      </c>
      <c r="R16" s="43"/>
      <c r="S16" s="43"/>
      <c r="T16" s="43"/>
      <c r="U16" s="43"/>
    </row>
    <row r="17" spans="1:21" s="11" customFormat="1" x14ac:dyDescent="0.25">
      <c r="A17" s="52" t="s">
        <v>645</v>
      </c>
      <c r="B17" s="53">
        <v>10.220000000000001</v>
      </c>
      <c r="C17" s="53">
        <v>17.37</v>
      </c>
      <c r="D17" s="53">
        <v>15.5</v>
      </c>
      <c r="E17" s="53">
        <v>6.23</v>
      </c>
      <c r="F17" s="53">
        <v>4.43</v>
      </c>
      <c r="G17" s="53">
        <v>61.62</v>
      </c>
      <c r="H17" s="53">
        <v>32</v>
      </c>
      <c r="I17" s="53">
        <v>3.12</v>
      </c>
      <c r="J17" s="53">
        <v>2.57</v>
      </c>
      <c r="K17" s="53">
        <v>340.3</v>
      </c>
      <c r="L17" s="53">
        <v>30.91</v>
      </c>
      <c r="M17" s="53">
        <v>66.81</v>
      </c>
      <c r="N17" s="53">
        <v>600.9</v>
      </c>
      <c r="O17" s="53">
        <v>0</v>
      </c>
      <c r="P17" s="53">
        <v>0.59</v>
      </c>
      <c r="Q17" s="53">
        <v>9.6199999999999992</v>
      </c>
      <c r="R17" s="43"/>
      <c r="S17" s="43"/>
      <c r="T17" s="43"/>
      <c r="U17" s="43"/>
    </row>
    <row r="18" spans="1:21" s="11" customFormat="1" x14ac:dyDescent="0.25">
      <c r="A18" s="52" t="s">
        <v>646</v>
      </c>
      <c r="B18" s="53">
        <v>8.6</v>
      </c>
      <c r="C18" s="53">
        <v>18.13</v>
      </c>
      <c r="D18" s="53">
        <v>14.23</v>
      </c>
      <c r="E18" s="53">
        <v>6.17</v>
      </c>
      <c r="F18" s="53">
        <v>5.16</v>
      </c>
      <c r="G18" s="53">
        <v>56.45</v>
      </c>
      <c r="H18" s="53">
        <v>18.62</v>
      </c>
      <c r="I18" s="53">
        <v>2.71</v>
      </c>
      <c r="J18" s="53">
        <v>2.98</v>
      </c>
      <c r="K18" s="53">
        <v>338.48</v>
      </c>
      <c r="L18" s="53">
        <v>31.6</v>
      </c>
      <c r="M18" s="53">
        <v>56.85</v>
      </c>
      <c r="N18" s="53">
        <v>664.8</v>
      </c>
      <c r="O18" s="53">
        <v>0</v>
      </c>
      <c r="P18" s="53">
        <v>0.56000000000000005</v>
      </c>
      <c r="Q18" s="53">
        <v>9.6300000000000008</v>
      </c>
      <c r="R18" s="43"/>
      <c r="S18" s="43"/>
      <c r="T18" s="43"/>
      <c r="U18" s="43"/>
    </row>
    <row r="19" spans="1:21" s="11" customFormat="1" x14ac:dyDescent="0.25">
      <c r="A19" s="52" t="s">
        <v>647</v>
      </c>
      <c r="B19" s="53">
        <v>6.89</v>
      </c>
      <c r="C19" s="53">
        <v>17.63</v>
      </c>
      <c r="D19" s="53">
        <v>13.36</v>
      </c>
      <c r="E19" s="53">
        <v>5.53</v>
      </c>
      <c r="F19" s="53">
        <v>4.2</v>
      </c>
      <c r="G19" s="53">
        <v>50.44</v>
      </c>
      <c r="H19" s="53">
        <v>18.62</v>
      </c>
      <c r="I19" s="53">
        <v>2.48</v>
      </c>
      <c r="J19" s="53">
        <v>2.2999999999999998</v>
      </c>
      <c r="K19" s="53">
        <v>339.13</v>
      </c>
      <c r="L19" s="53">
        <v>31.33</v>
      </c>
      <c r="M19" s="53">
        <v>61.16</v>
      </c>
      <c r="N19" s="53">
        <v>541.20000000000005</v>
      </c>
      <c r="O19" s="53">
        <v>0</v>
      </c>
      <c r="P19" s="53">
        <v>0.56000000000000005</v>
      </c>
      <c r="Q19" s="53">
        <v>9.6300000000000008</v>
      </c>
      <c r="R19" s="43"/>
      <c r="S19" s="43"/>
      <c r="T19" s="43"/>
      <c r="U19" s="43"/>
    </row>
    <row r="20" spans="1:21" s="11" customFormat="1" x14ac:dyDescent="0.25">
      <c r="A20" s="52" t="s">
        <v>648</v>
      </c>
      <c r="B20" s="53">
        <v>6.45</v>
      </c>
      <c r="C20" s="53">
        <v>16.100000000000001</v>
      </c>
      <c r="D20" s="53">
        <v>12.07</v>
      </c>
      <c r="E20" s="53">
        <v>5.41</v>
      </c>
      <c r="F20" s="53">
        <v>4.33</v>
      </c>
      <c r="G20" s="53">
        <v>50.44</v>
      </c>
      <c r="H20" s="53">
        <v>16.32</v>
      </c>
      <c r="I20" s="53">
        <v>2.3199999999999998</v>
      </c>
      <c r="J20" s="53">
        <v>2.02</v>
      </c>
      <c r="K20" s="53">
        <v>337.86</v>
      </c>
      <c r="L20" s="53">
        <v>31.03</v>
      </c>
      <c r="M20" s="53">
        <v>64.03</v>
      </c>
      <c r="N20" s="53">
        <v>515.6</v>
      </c>
      <c r="O20" s="53">
        <v>0</v>
      </c>
      <c r="P20" s="53">
        <v>0.55000000000000004</v>
      </c>
      <c r="Q20" s="53">
        <v>9.6300000000000008</v>
      </c>
      <c r="R20" s="43"/>
      <c r="S20" s="43"/>
      <c r="T20" s="43"/>
      <c r="U20" s="43"/>
    </row>
    <row r="21" spans="1:21" s="11" customFormat="1" x14ac:dyDescent="0.25">
      <c r="A21" s="52" t="s">
        <v>649</v>
      </c>
      <c r="B21" s="53">
        <v>6.71</v>
      </c>
      <c r="C21" s="53">
        <v>16.63</v>
      </c>
      <c r="D21" s="53">
        <v>12.67</v>
      </c>
      <c r="E21" s="53">
        <v>5.83</v>
      </c>
      <c r="F21" s="53">
        <v>5.0999999999999996</v>
      </c>
      <c r="G21" s="53">
        <v>43.45</v>
      </c>
      <c r="H21" s="53">
        <v>16.3</v>
      </c>
      <c r="I21" s="53">
        <v>2.85</v>
      </c>
      <c r="J21" s="53">
        <v>2.4300000000000002</v>
      </c>
      <c r="K21" s="53">
        <v>342.99</v>
      </c>
      <c r="L21" s="53">
        <v>30.31</v>
      </c>
      <c r="M21" s="53">
        <v>61.49</v>
      </c>
      <c r="N21" s="53">
        <v>203.3</v>
      </c>
      <c r="O21" s="53">
        <v>0</v>
      </c>
      <c r="P21" s="53">
        <v>0.56999999999999995</v>
      </c>
      <c r="Q21" s="53">
        <v>9.6199999999999992</v>
      </c>
      <c r="R21" s="43"/>
      <c r="S21" s="43"/>
      <c r="T21" s="43"/>
      <c r="U21" s="43"/>
    </row>
    <row r="22" spans="1:21" s="11" customFormat="1" x14ac:dyDescent="0.25">
      <c r="A22" s="52" t="s">
        <v>650</v>
      </c>
      <c r="B22" s="53">
        <v>6.68</v>
      </c>
      <c r="C22" s="53">
        <v>17.22</v>
      </c>
      <c r="D22" s="53">
        <v>12.82</v>
      </c>
      <c r="E22" s="53">
        <v>5.25</v>
      </c>
      <c r="F22" s="53">
        <v>4.76</v>
      </c>
      <c r="G22" s="53">
        <v>43.19</v>
      </c>
      <c r="H22" s="53">
        <v>15.04</v>
      </c>
      <c r="I22" s="53">
        <v>2.95</v>
      </c>
      <c r="J22" s="53">
        <v>2.4300000000000002</v>
      </c>
      <c r="K22" s="53">
        <v>340.97</v>
      </c>
      <c r="L22" s="53">
        <v>29.33</v>
      </c>
      <c r="M22" s="53">
        <v>63.55</v>
      </c>
      <c r="N22" s="53">
        <v>205.4</v>
      </c>
      <c r="O22" s="53">
        <v>0</v>
      </c>
      <c r="P22" s="53">
        <v>0.56000000000000005</v>
      </c>
      <c r="Q22" s="53">
        <v>9.6300000000000008</v>
      </c>
      <c r="R22" s="43"/>
      <c r="S22" s="43"/>
      <c r="T22" s="43"/>
      <c r="U22" s="43"/>
    </row>
    <row r="23" spans="1:21" s="11" customFormat="1" x14ac:dyDescent="0.25">
      <c r="A23" s="52" t="s">
        <v>651</v>
      </c>
      <c r="B23" s="53">
        <v>7.42</v>
      </c>
      <c r="C23" s="53">
        <v>16.87</v>
      </c>
      <c r="D23" s="53">
        <v>12.79</v>
      </c>
      <c r="E23" s="53">
        <v>4.88</v>
      </c>
      <c r="F23" s="53">
        <v>3.77</v>
      </c>
      <c r="G23" s="53">
        <v>39.770000000000003</v>
      </c>
      <c r="H23" s="53">
        <v>13.13</v>
      </c>
      <c r="I23" s="53">
        <v>2.4300000000000002</v>
      </c>
      <c r="J23" s="53">
        <v>2.06</v>
      </c>
      <c r="K23" s="53">
        <v>337.74</v>
      </c>
      <c r="L23" s="53">
        <v>29.04</v>
      </c>
      <c r="M23" s="53">
        <v>65.61</v>
      </c>
      <c r="N23" s="53">
        <v>121.2</v>
      </c>
      <c r="O23" s="53">
        <v>0</v>
      </c>
      <c r="P23" s="53">
        <v>0.56999999999999995</v>
      </c>
      <c r="Q23" s="53">
        <v>9.6199999999999992</v>
      </c>
      <c r="R23" s="43"/>
      <c r="S23" s="43"/>
      <c r="T23" s="43"/>
      <c r="U23" s="43"/>
    </row>
    <row r="24" spans="1:21" s="11" customFormat="1" x14ac:dyDescent="0.25">
      <c r="A24" s="52" t="s">
        <v>652</v>
      </c>
      <c r="B24" s="53">
        <v>8.23</v>
      </c>
      <c r="C24" s="53">
        <v>14.82</v>
      </c>
      <c r="D24" s="53">
        <v>12.74</v>
      </c>
      <c r="E24" s="53">
        <v>5.47</v>
      </c>
      <c r="F24" s="53">
        <v>3.83</v>
      </c>
      <c r="G24" s="53">
        <v>37.9</v>
      </c>
      <c r="H24" s="53">
        <v>12.91</v>
      </c>
      <c r="I24" s="53">
        <v>2.5</v>
      </c>
      <c r="J24" s="53">
        <v>1.72</v>
      </c>
      <c r="K24" s="53">
        <v>337.94</v>
      </c>
      <c r="L24" s="53">
        <v>28.21</v>
      </c>
      <c r="M24" s="53">
        <v>68.25</v>
      </c>
      <c r="N24" s="53">
        <v>76.900000000000006</v>
      </c>
      <c r="O24" s="53">
        <v>0</v>
      </c>
      <c r="P24" s="53">
        <v>0.6</v>
      </c>
      <c r="Q24" s="53">
        <v>9.6199999999999992</v>
      </c>
      <c r="R24" s="43"/>
      <c r="S24" s="43"/>
      <c r="T24" s="43"/>
      <c r="U24" s="43"/>
    </row>
    <row r="25" spans="1:21" s="11" customFormat="1" x14ac:dyDescent="0.25">
      <c r="A25" s="52" t="s">
        <v>653</v>
      </c>
      <c r="B25" s="53">
        <v>12.23</v>
      </c>
      <c r="C25" s="53">
        <v>15.27</v>
      </c>
      <c r="D25" s="53">
        <v>16.3</v>
      </c>
      <c r="E25" s="53">
        <v>5.57</v>
      </c>
      <c r="F25" s="53">
        <v>4.42</v>
      </c>
      <c r="G25" s="53">
        <v>36.75</v>
      </c>
      <c r="H25" s="53">
        <v>22.27</v>
      </c>
      <c r="I25" s="53">
        <v>3.1</v>
      </c>
      <c r="J25" s="53">
        <v>1.28</v>
      </c>
      <c r="K25" s="53">
        <v>328.74</v>
      </c>
      <c r="L25" s="53">
        <v>27.6</v>
      </c>
      <c r="M25" s="53">
        <v>77.709999999999994</v>
      </c>
      <c r="N25" s="53">
        <v>40.299999999999997</v>
      </c>
      <c r="O25" s="53">
        <v>0</v>
      </c>
      <c r="P25" s="53">
        <v>0.73</v>
      </c>
      <c r="Q25" s="53">
        <v>9.6199999999999992</v>
      </c>
      <c r="R25" s="43"/>
      <c r="S25" s="43"/>
      <c r="T25" s="43"/>
      <c r="U25" s="43"/>
    </row>
    <row r="26" spans="1:21" s="11" customFormat="1" x14ac:dyDescent="0.25">
      <c r="A26" s="52" t="s">
        <v>654</v>
      </c>
      <c r="B26" s="53">
        <v>15.24</v>
      </c>
      <c r="C26" s="53">
        <v>15.16</v>
      </c>
      <c r="D26" s="53">
        <v>18.57</v>
      </c>
      <c r="E26" s="53">
        <v>5.53</v>
      </c>
      <c r="F26" s="53">
        <v>4.16</v>
      </c>
      <c r="G26" s="53">
        <v>36.1</v>
      </c>
      <c r="H26" s="53">
        <v>22.27</v>
      </c>
      <c r="I26" s="53">
        <v>3.53</v>
      </c>
      <c r="J26" s="53">
        <v>0.1</v>
      </c>
      <c r="K26" s="53">
        <v>319.36</v>
      </c>
      <c r="L26" s="53">
        <v>25.94</v>
      </c>
      <c r="M26" s="53">
        <v>75.41</v>
      </c>
      <c r="N26" s="53">
        <v>26.2</v>
      </c>
      <c r="O26" s="53">
        <v>0</v>
      </c>
      <c r="P26" s="53">
        <v>0.76</v>
      </c>
      <c r="Q26" s="53">
        <v>9.6199999999999992</v>
      </c>
      <c r="R26" s="43"/>
      <c r="S26" s="43"/>
      <c r="T26" s="43"/>
      <c r="U26" s="43"/>
    </row>
    <row r="27" spans="1:21" s="11" customFormat="1" x14ac:dyDescent="0.25">
      <c r="A27" s="52" t="s">
        <v>655</v>
      </c>
      <c r="B27" s="53">
        <v>15.22</v>
      </c>
      <c r="C27" s="53">
        <v>14.54</v>
      </c>
      <c r="D27" s="53">
        <v>18.43</v>
      </c>
      <c r="E27" s="53">
        <v>5.42</v>
      </c>
      <c r="F27" s="53">
        <v>3.98</v>
      </c>
      <c r="G27" s="53">
        <v>32.99</v>
      </c>
      <c r="H27" s="53">
        <v>16.399999999999999</v>
      </c>
      <c r="I27" s="53">
        <v>3.7</v>
      </c>
      <c r="J27" s="53">
        <v>0.39</v>
      </c>
      <c r="K27" s="53">
        <v>183.47</v>
      </c>
      <c r="L27" s="53">
        <v>25.31</v>
      </c>
      <c r="M27" s="53">
        <v>77.08</v>
      </c>
      <c r="N27" s="53">
        <v>26.1</v>
      </c>
      <c r="O27" s="53">
        <v>0</v>
      </c>
      <c r="P27" s="53">
        <v>0.79</v>
      </c>
      <c r="Q27" s="53">
        <v>9.6199999999999992</v>
      </c>
      <c r="R27" s="43"/>
      <c r="S27" s="43"/>
      <c r="T27" s="43"/>
      <c r="U27" s="43"/>
    </row>
    <row r="28" spans="1:21" s="11" customFormat="1" x14ac:dyDescent="0.25">
      <c r="A28" s="52" t="s">
        <v>656</v>
      </c>
      <c r="B28" s="53">
        <v>18.2</v>
      </c>
      <c r="C28" s="53">
        <v>11.94</v>
      </c>
      <c r="D28" s="53">
        <v>19.309999999999999</v>
      </c>
      <c r="E28" s="53">
        <v>4.4000000000000004</v>
      </c>
      <c r="F28" s="53">
        <v>3.69</v>
      </c>
      <c r="G28" s="53">
        <v>64.67</v>
      </c>
      <c r="H28" s="53">
        <v>15.82</v>
      </c>
      <c r="I28" s="53">
        <v>3.63</v>
      </c>
      <c r="J28" s="53">
        <v>0.48</v>
      </c>
      <c r="K28" s="53">
        <v>312.69</v>
      </c>
      <c r="L28" s="53">
        <v>24.78</v>
      </c>
      <c r="M28" s="53">
        <v>78.459999999999994</v>
      </c>
      <c r="N28" s="53">
        <v>26.1</v>
      </c>
      <c r="O28" s="53">
        <v>0</v>
      </c>
      <c r="P28" s="53">
        <v>1.05</v>
      </c>
      <c r="Q28" s="53">
        <v>9.64</v>
      </c>
      <c r="R28" s="43"/>
      <c r="S28" s="43"/>
      <c r="T28" s="43"/>
      <c r="U28" s="43"/>
    </row>
    <row r="29" spans="1:21" s="11" customFormat="1" x14ac:dyDescent="0.25">
      <c r="A29" s="52" t="s">
        <v>657</v>
      </c>
      <c r="B29" s="53">
        <v>22.18</v>
      </c>
      <c r="C29" s="53">
        <v>12.68</v>
      </c>
      <c r="D29" s="53">
        <v>23.04</v>
      </c>
      <c r="E29" s="53">
        <v>4.28</v>
      </c>
      <c r="F29" s="53">
        <v>3.74</v>
      </c>
      <c r="G29" s="53">
        <v>64.67</v>
      </c>
      <c r="H29" s="53">
        <v>15.82</v>
      </c>
      <c r="I29" s="53">
        <v>4.5599999999999996</v>
      </c>
      <c r="J29" s="53">
        <v>0.99</v>
      </c>
      <c r="K29" s="53">
        <v>337.83</v>
      </c>
      <c r="L29" s="53">
        <v>24.29</v>
      </c>
      <c r="M29" s="53">
        <v>80.040000000000006</v>
      </c>
      <c r="N29" s="53">
        <v>26.1</v>
      </c>
      <c r="O29" s="53">
        <v>0</v>
      </c>
      <c r="P29" s="53">
        <v>0.88</v>
      </c>
      <c r="Q29" s="53">
        <v>9.61</v>
      </c>
      <c r="R29" s="43"/>
      <c r="S29" s="43"/>
      <c r="T29" s="43"/>
      <c r="U29" s="43"/>
    </row>
    <row r="30" spans="1:21" s="11" customFormat="1" x14ac:dyDescent="0.25">
      <c r="A30" s="52" t="s">
        <v>658</v>
      </c>
      <c r="B30" s="53">
        <v>23.09</v>
      </c>
      <c r="C30" s="53">
        <v>14.27</v>
      </c>
      <c r="D30" s="53">
        <v>24.56</v>
      </c>
      <c r="E30" s="53">
        <v>4.28</v>
      </c>
      <c r="F30" s="53">
        <v>4.4800000000000004</v>
      </c>
      <c r="G30" s="53">
        <v>56.38</v>
      </c>
      <c r="H30" s="53">
        <v>11.31</v>
      </c>
      <c r="I30" s="53">
        <v>5.07</v>
      </c>
      <c r="J30" s="53">
        <v>1.34</v>
      </c>
      <c r="K30" s="53">
        <v>335.66</v>
      </c>
      <c r="L30" s="53">
        <v>24.13</v>
      </c>
      <c r="M30" s="53">
        <v>81.84</v>
      </c>
      <c r="N30" s="53">
        <v>26.1</v>
      </c>
      <c r="O30" s="53">
        <v>0</v>
      </c>
      <c r="P30" s="53">
        <v>0.82</v>
      </c>
      <c r="Q30" s="53">
        <v>9.6199999999999992</v>
      </c>
      <c r="R30" s="43"/>
      <c r="S30" s="43"/>
      <c r="T30" s="43"/>
      <c r="U30" s="43"/>
    </row>
    <row r="31" spans="1:21" s="11" customFormat="1" x14ac:dyDescent="0.25">
      <c r="A31" s="52" t="s">
        <v>659</v>
      </c>
      <c r="B31" s="53">
        <v>23.02</v>
      </c>
      <c r="C31" s="53">
        <v>14.03</v>
      </c>
      <c r="D31" s="53">
        <v>24.41</v>
      </c>
      <c r="E31" s="53">
        <v>4.74</v>
      </c>
      <c r="F31" s="53">
        <v>4.25</v>
      </c>
      <c r="G31" s="53">
        <v>48.7</v>
      </c>
      <c r="H31" s="53">
        <v>12.38</v>
      </c>
      <c r="I31" s="53">
        <v>4.8099999999999996</v>
      </c>
      <c r="J31" s="53">
        <v>1.07</v>
      </c>
      <c r="K31" s="53">
        <v>335.27</v>
      </c>
      <c r="L31" s="53">
        <v>23.16</v>
      </c>
      <c r="M31" s="53">
        <v>86.73</v>
      </c>
      <c r="N31" s="53">
        <v>26.3</v>
      </c>
      <c r="O31" s="53">
        <v>0</v>
      </c>
      <c r="P31" s="53">
        <v>0.77</v>
      </c>
      <c r="Q31" s="53">
        <v>9.61</v>
      </c>
      <c r="R31" s="43"/>
      <c r="S31" s="43"/>
      <c r="T31" s="43"/>
      <c r="U31" s="43"/>
    </row>
    <row r="32" spans="1:21" s="11" customFormat="1" x14ac:dyDescent="0.25">
      <c r="A32" s="52" t="s">
        <v>660</v>
      </c>
      <c r="B32" s="53">
        <v>22.63</v>
      </c>
      <c r="C32" s="53">
        <v>11.69</v>
      </c>
      <c r="D32" s="53">
        <v>22.88</v>
      </c>
      <c r="E32" s="53">
        <v>5.01</v>
      </c>
      <c r="F32" s="53">
        <v>3.61</v>
      </c>
      <c r="G32" s="53">
        <v>45.59</v>
      </c>
      <c r="H32" s="53">
        <v>15.19</v>
      </c>
      <c r="I32" s="53">
        <v>3.81</v>
      </c>
      <c r="J32" s="53">
        <v>1.1399999999999999</v>
      </c>
      <c r="K32" s="53">
        <v>357.12</v>
      </c>
      <c r="L32" s="53">
        <v>22.49</v>
      </c>
      <c r="M32" s="53">
        <v>90.69</v>
      </c>
      <c r="N32" s="53">
        <v>26</v>
      </c>
      <c r="O32" s="53">
        <v>0</v>
      </c>
      <c r="P32" s="53">
        <v>0.81</v>
      </c>
      <c r="Q32" s="53">
        <v>9.6199999999999992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2.39</v>
      </c>
      <c r="C34" s="28">
        <f t="shared" si="0"/>
        <v>11.69</v>
      </c>
      <c r="D34" s="28">
        <f t="shared" si="0"/>
        <v>7.46</v>
      </c>
      <c r="E34" s="28">
        <f t="shared" si="0"/>
        <v>4.28</v>
      </c>
      <c r="F34" s="28">
        <f t="shared" si="0"/>
        <v>3.61</v>
      </c>
      <c r="G34" s="28">
        <f t="shared" si="0"/>
        <v>32.99</v>
      </c>
      <c r="H34" s="28">
        <f t="shared" si="0"/>
        <v>11.31</v>
      </c>
      <c r="I34" s="28">
        <f t="shared" si="0"/>
        <v>2.3199999999999998</v>
      </c>
      <c r="J34" s="28">
        <f t="shared" si="0"/>
        <v>0.1</v>
      </c>
      <c r="K34" s="28">
        <f t="shared" si="0"/>
        <v>183.47</v>
      </c>
      <c r="L34" s="28">
        <f t="shared" si="0"/>
        <v>22.49</v>
      </c>
      <c r="M34" s="28">
        <f t="shared" si="0"/>
        <v>56.85</v>
      </c>
      <c r="N34" s="28">
        <f t="shared" si="0"/>
        <v>26</v>
      </c>
      <c r="O34" s="28">
        <f t="shared" si="0"/>
        <v>0</v>
      </c>
      <c r="P34" s="28">
        <f t="shared" si="0"/>
        <v>0.53</v>
      </c>
      <c r="Q34" s="28">
        <f t="shared" si="0"/>
        <v>9.61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23.09</v>
      </c>
      <c r="C35" s="29">
        <f t="shared" si="1"/>
        <v>18.13</v>
      </c>
      <c r="D35" s="29">
        <f t="shared" si="1"/>
        <v>24.56</v>
      </c>
      <c r="E35" s="29">
        <f t="shared" si="1"/>
        <v>6.82</v>
      </c>
      <c r="F35" s="29">
        <f t="shared" si="1"/>
        <v>5.47</v>
      </c>
      <c r="G35" s="29">
        <f t="shared" si="1"/>
        <v>79.69</v>
      </c>
      <c r="H35" s="29">
        <f t="shared" si="1"/>
        <v>43.24</v>
      </c>
      <c r="I35" s="29">
        <f t="shared" si="1"/>
        <v>5.07</v>
      </c>
      <c r="J35" s="29">
        <f t="shared" si="1"/>
        <v>2.98</v>
      </c>
      <c r="K35" s="29">
        <f t="shared" si="1"/>
        <v>357.12</v>
      </c>
      <c r="L35" s="29">
        <f t="shared" si="1"/>
        <v>31.6</v>
      </c>
      <c r="M35" s="29">
        <f t="shared" si="1"/>
        <v>96.77</v>
      </c>
      <c r="N35" s="29">
        <f t="shared" si="1"/>
        <v>664.8</v>
      </c>
      <c r="O35" s="29">
        <f t="shared" si="1"/>
        <v>0</v>
      </c>
      <c r="P35" s="29">
        <f t="shared" si="1"/>
        <v>1.05</v>
      </c>
      <c r="Q35" s="29">
        <f t="shared" si="1"/>
        <v>9.64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10.953750000000001</v>
      </c>
      <c r="C36" s="28">
        <f t="shared" si="2"/>
        <v>15.224583333333333</v>
      </c>
      <c r="D36" s="28">
        <f t="shared" si="2"/>
        <v>15.22125</v>
      </c>
      <c r="E36" s="28">
        <f t="shared" si="2"/>
        <v>5.7074999999999996</v>
      </c>
      <c r="F36" s="28">
        <f t="shared" si="2"/>
        <v>4.4266666666666667</v>
      </c>
      <c r="G36" s="28">
        <f t="shared" si="2"/>
        <v>56.26666666666668</v>
      </c>
      <c r="H36" s="28">
        <f t="shared" si="2"/>
        <v>23.897500000000004</v>
      </c>
      <c r="I36" s="28">
        <f t="shared" si="2"/>
        <v>3.2754166666666671</v>
      </c>
      <c r="J36" s="28">
        <f t="shared" si="2"/>
        <v>1.7766666666666671</v>
      </c>
      <c r="K36" s="28">
        <f t="shared" si="2"/>
        <v>330.68833333333333</v>
      </c>
      <c r="L36" s="28">
        <f t="shared" si="2"/>
        <v>26.359999999999996</v>
      </c>
      <c r="M36" s="28">
        <f t="shared" si="2"/>
        <v>78.05749999999999</v>
      </c>
      <c r="N36" s="28">
        <f t="shared" si="2"/>
        <v>168.71666666666664</v>
      </c>
      <c r="O36" s="28">
        <f t="shared" si="2"/>
        <v>0</v>
      </c>
      <c r="P36" s="28">
        <f t="shared" si="2"/>
        <v>0.67208333333333348</v>
      </c>
      <c r="Q36" s="28">
        <f t="shared" si="2"/>
        <v>9.6225000000000023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6.6074278442818626</v>
      </c>
      <c r="C37" s="28">
        <f t="shared" ref="C37:Q37" si="3">STDEV(C9:C32)</f>
        <v>1.8210077935192952</v>
      </c>
      <c r="D37" s="28">
        <f t="shared" si="3"/>
        <v>4.8819243466164988</v>
      </c>
      <c r="E37" s="28">
        <f t="shared" si="3"/>
        <v>0.83051189034233797</v>
      </c>
      <c r="F37" s="28">
        <f t="shared" si="3"/>
        <v>0.53081288496096368</v>
      </c>
      <c r="G37" s="28">
        <f t="shared" si="3"/>
        <v>14.814085443800778</v>
      </c>
      <c r="H37" s="28">
        <f t="shared" si="3"/>
        <v>10.757180109724079</v>
      </c>
      <c r="I37" s="28">
        <f t="shared" si="3"/>
        <v>0.7845739866830318</v>
      </c>
      <c r="J37" s="28">
        <f t="shared" si="3"/>
        <v>0.76354816292192629</v>
      </c>
      <c r="K37" s="28">
        <f t="shared" si="3"/>
        <v>32.404266850909117</v>
      </c>
      <c r="L37" s="28">
        <f t="shared" si="3"/>
        <v>3.2859423901378433</v>
      </c>
      <c r="M37" s="28">
        <f t="shared" si="3"/>
        <v>12.485104255106153</v>
      </c>
      <c r="N37" s="28">
        <f t="shared" si="3"/>
        <v>214.0092616172744</v>
      </c>
      <c r="O37" s="28">
        <f t="shared" si="3"/>
        <v>0</v>
      </c>
      <c r="P37" s="28">
        <f t="shared" si="3"/>
        <v>0.13331816036856292</v>
      </c>
      <c r="Q37" s="28">
        <f t="shared" si="3"/>
        <v>7.3720978077454324E-3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4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26/10/2024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51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8"/>
      <c r="B8" s="59" t="s">
        <v>22</v>
      </c>
      <c r="C8" s="59" t="s">
        <v>22</v>
      </c>
      <c r="D8" s="29" t="s">
        <v>42</v>
      </c>
      <c r="E8" s="59" t="s">
        <v>22</v>
      </c>
      <c r="F8" s="59" t="s">
        <v>22</v>
      </c>
      <c r="G8" s="59" t="s">
        <v>23</v>
      </c>
      <c r="H8" s="59" t="s">
        <v>22</v>
      </c>
      <c r="I8" s="59" t="s">
        <v>22</v>
      </c>
      <c r="J8" s="59" t="s">
        <v>24</v>
      </c>
      <c r="K8" s="59" t="s">
        <v>25</v>
      </c>
      <c r="L8" s="58" t="s">
        <v>27</v>
      </c>
      <c r="M8" s="59" t="s">
        <v>26</v>
      </c>
      <c r="N8" s="59" t="s">
        <v>28</v>
      </c>
      <c r="O8" s="58" t="s">
        <v>29</v>
      </c>
      <c r="P8" s="5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660</v>
      </c>
      <c r="B9" s="53">
        <v>22.63</v>
      </c>
      <c r="C9" s="53">
        <v>11.69</v>
      </c>
      <c r="D9" s="53">
        <v>22.88</v>
      </c>
      <c r="E9" s="53">
        <v>5.01</v>
      </c>
      <c r="F9" s="53">
        <v>3.61</v>
      </c>
      <c r="G9" s="53">
        <v>45.59</v>
      </c>
      <c r="H9" s="53">
        <v>15.19</v>
      </c>
      <c r="I9" s="53">
        <v>3.81</v>
      </c>
      <c r="J9" s="53">
        <v>1.1399999999999999</v>
      </c>
      <c r="K9" s="53">
        <v>357.12</v>
      </c>
      <c r="L9" s="53">
        <v>22.49</v>
      </c>
      <c r="M9" s="53">
        <v>90.69</v>
      </c>
      <c r="N9" s="53">
        <v>26</v>
      </c>
      <c r="O9" s="53">
        <v>0</v>
      </c>
      <c r="P9" s="53">
        <v>0.81</v>
      </c>
      <c r="Q9" s="53">
        <v>9.6199999999999992</v>
      </c>
      <c r="R9" s="43"/>
      <c r="S9" s="43"/>
      <c r="T9" s="43"/>
      <c r="U9" s="43"/>
    </row>
    <row r="10" spans="1:21" s="11" customFormat="1" x14ac:dyDescent="0.25">
      <c r="A10" s="52" t="s">
        <v>661</v>
      </c>
      <c r="B10" s="53">
        <v>19.86</v>
      </c>
      <c r="C10" s="53">
        <v>10.61</v>
      </c>
      <c r="D10" s="53">
        <v>19.899999999999999</v>
      </c>
      <c r="E10" s="53">
        <v>4.93</v>
      </c>
      <c r="F10" s="53">
        <v>4.01</v>
      </c>
      <c r="G10" s="53">
        <v>45.59</v>
      </c>
      <c r="H10" s="53">
        <v>15.19</v>
      </c>
      <c r="I10" s="53">
        <v>4.03</v>
      </c>
      <c r="J10" s="53">
        <v>0.96</v>
      </c>
      <c r="K10" s="53">
        <v>339.89</v>
      </c>
      <c r="L10" s="53">
        <v>22.25</v>
      </c>
      <c r="M10" s="53">
        <v>93.49</v>
      </c>
      <c r="N10" s="53">
        <v>26</v>
      </c>
      <c r="O10" s="53">
        <v>0</v>
      </c>
      <c r="P10" s="53">
        <v>0.67</v>
      </c>
      <c r="Q10" s="53">
        <v>9.6300000000000008</v>
      </c>
      <c r="R10" s="43"/>
      <c r="S10" s="43"/>
      <c r="T10" s="43"/>
      <c r="U10" s="43"/>
    </row>
    <row r="11" spans="1:21" s="11" customFormat="1" x14ac:dyDescent="0.25">
      <c r="A11" s="52" t="s">
        <v>662</v>
      </c>
      <c r="B11" s="53">
        <v>16.079999999999998</v>
      </c>
      <c r="C11" s="53">
        <v>12.35</v>
      </c>
      <c r="D11" s="53">
        <v>17.05</v>
      </c>
      <c r="E11" s="53">
        <v>5.2</v>
      </c>
      <c r="F11" s="53">
        <v>3.82</v>
      </c>
      <c r="G11" s="53">
        <v>44.41</v>
      </c>
      <c r="H11" s="53">
        <v>13.22</v>
      </c>
      <c r="I11" s="53">
        <v>4.76</v>
      </c>
      <c r="J11" s="53">
        <v>1.51</v>
      </c>
      <c r="K11" s="53">
        <v>341.37</v>
      </c>
      <c r="L11" s="53">
        <v>21.78</v>
      </c>
      <c r="M11" s="53">
        <v>94.69</v>
      </c>
      <c r="N11" s="53">
        <v>25.9</v>
      </c>
      <c r="O11" s="53">
        <v>0</v>
      </c>
      <c r="P11" s="53">
        <v>0.66</v>
      </c>
      <c r="Q11" s="53">
        <v>9.6199999999999992</v>
      </c>
      <c r="R11" s="43"/>
      <c r="S11" s="43"/>
      <c r="T11" s="43"/>
      <c r="U11" s="43"/>
    </row>
    <row r="12" spans="1:21" s="11" customFormat="1" x14ac:dyDescent="0.25">
      <c r="A12" s="52" t="s">
        <v>663</v>
      </c>
      <c r="B12" s="53">
        <v>13.94</v>
      </c>
      <c r="C12" s="53">
        <v>12.78</v>
      </c>
      <c r="D12" s="53">
        <v>16.399999999999999</v>
      </c>
      <c r="E12" s="53">
        <v>5.57</v>
      </c>
      <c r="F12" s="53">
        <v>3.84</v>
      </c>
      <c r="G12" s="53">
        <v>45.63</v>
      </c>
      <c r="H12" s="53">
        <v>17.96</v>
      </c>
      <c r="I12" s="53">
        <v>4.43</v>
      </c>
      <c r="J12" s="53">
        <v>1.62</v>
      </c>
      <c r="K12" s="53">
        <v>342.8</v>
      </c>
      <c r="L12" s="53">
        <v>21.59</v>
      </c>
      <c r="M12" s="53">
        <v>96.33</v>
      </c>
      <c r="N12" s="53">
        <v>25.9</v>
      </c>
      <c r="O12" s="53">
        <v>0</v>
      </c>
      <c r="P12" s="53">
        <v>0.64</v>
      </c>
      <c r="Q12" s="53">
        <v>9.6199999999999992</v>
      </c>
      <c r="R12" s="43"/>
      <c r="S12" s="43"/>
      <c r="T12" s="43"/>
      <c r="U12" s="43"/>
    </row>
    <row r="13" spans="1:21" s="11" customFormat="1" x14ac:dyDescent="0.25">
      <c r="A13" s="52" t="s">
        <v>664</v>
      </c>
      <c r="B13" s="53">
        <v>14.87</v>
      </c>
      <c r="C13" s="53">
        <v>10.95</v>
      </c>
      <c r="D13" s="53">
        <v>15.88</v>
      </c>
      <c r="E13" s="53">
        <v>5.57</v>
      </c>
      <c r="F13" s="53">
        <v>3.66</v>
      </c>
      <c r="G13" s="53">
        <v>57.9</v>
      </c>
      <c r="H13" s="53">
        <v>21.61</v>
      </c>
      <c r="I13" s="53">
        <v>4.25</v>
      </c>
      <c r="J13" s="53">
        <v>1.41</v>
      </c>
      <c r="K13" s="53">
        <v>341.61</v>
      </c>
      <c r="L13" s="53">
        <v>21.41</v>
      </c>
      <c r="M13" s="53">
        <v>102.12</v>
      </c>
      <c r="N13" s="53">
        <v>26.2</v>
      </c>
      <c r="O13" s="53">
        <v>0</v>
      </c>
      <c r="P13" s="53">
        <v>0.62</v>
      </c>
      <c r="Q13" s="53">
        <v>9.6199999999999992</v>
      </c>
      <c r="R13" s="43"/>
      <c r="S13" s="43"/>
      <c r="T13" s="43"/>
      <c r="U13" s="43"/>
    </row>
    <row r="14" spans="1:21" s="11" customFormat="1" x14ac:dyDescent="0.25">
      <c r="A14" s="52" t="s">
        <v>665</v>
      </c>
      <c r="B14" s="53">
        <v>16.95</v>
      </c>
      <c r="C14" s="53">
        <v>10.8</v>
      </c>
      <c r="D14" s="53">
        <v>17.86</v>
      </c>
      <c r="E14" s="53">
        <v>6.21</v>
      </c>
      <c r="F14" s="53">
        <v>3.48</v>
      </c>
      <c r="G14" s="53">
        <v>59.98</v>
      </c>
      <c r="H14" s="53">
        <v>21.61</v>
      </c>
      <c r="I14" s="53">
        <v>4.0999999999999996</v>
      </c>
      <c r="J14" s="53">
        <v>1.67</v>
      </c>
      <c r="K14" s="53">
        <v>344.24</v>
      </c>
      <c r="L14" s="53">
        <v>20.99</v>
      </c>
      <c r="M14" s="53">
        <v>100.41</v>
      </c>
      <c r="N14" s="53">
        <v>26.9</v>
      </c>
      <c r="O14" s="53">
        <v>0</v>
      </c>
      <c r="P14" s="53">
        <v>0.64</v>
      </c>
      <c r="Q14" s="53">
        <v>9.61</v>
      </c>
      <c r="R14" s="43"/>
      <c r="S14" s="43"/>
      <c r="T14" s="43"/>
      <c r="U14" s="43"/>
    </row>
    <row r="15" spans="1:21" s="11" customFormat="1" x14ac:dyDescent="0.25">
      <c r="A15" s="52" t="s">
        <v>666</v>
      </c>
      <c r="B15" s="53">
        <v>21.03</v>
      </c>
      <c r="C15" s="53">
        <v>11.38</v>
      </c>
      <c r="D15" s="53">
        <v>21.27</v>
      </c>
      <c r="E15" s="53">
        <v>6.39</v>
      </c>
      <c r="F15" s="53">
        <v>4.3600000000000003</v>
      </c>
      <c r="G15" s="53">
        <v>64.47</v>
      </c>
      <c r="H15" s="53">
        <v>29.47</v>
      </c>
      <c r="I15" s="53">
        <v>4.1500000000000004</v>
      </c>
      <c r="J15" s="53">
        <v>1.3</v>
      </c>
      <c r="K15" s="53">
        <v>356.56</v>
      </c>
      <c r="L15" s="53">
        <v>21.38</v>
      </c>
      <c r="M15" s="53">
        <v>97.47</v>
      </c>
      <c r="N15" s="53">
        <v>92.7</v>
      </c>
      <c r="O15" s="53">
        <v>0</v>
      </c>
      <c r="P15" s="53">
        <v>0.68</v>
      </c>
      <c r="Q15" s="53">
        <v>9.6199999999999992</v>
      </c>
      <c r="R15" s="43"/>
      <c r="S15" s="43"/>
      <c r="T15" s="43"/>
      <c r="U15" s="43"/>
    </row>
    <row r="16" spans="1:21" s="11" customFormat="1" x14ac:dyDescent="0.25">
      <c r="A16" s="52" t="s">
        <v>667</v>
      </c>
      <c r="B16" s="53">
        <v>28.96</v>
      </c>
      <c r="C16" s="53">
        <v>12.07</v>
      </c>
      <c r="D16" s="53">
        <v>28.15</v>
      </c>
      <c r="E16" s="53">
        <v>6.24</v>
      </c>
      <c r="F16" s="53">
        <v>4</v>
      </c>
      <c r="G16" s="53">
        <v>79</v>
      </c>
      <c r="H16" s="53">
        <v>35.450000000000003</v>
      </c>
      <c r="I16" s="53">
        <v>4.57</v>
      </c>
      <c r="J16" s="53">
        <v>0.91</v>
      </c>
      <c r="K16" s="53">
        <v>343.76</v>
      </c>
      <c r="L16" s="53">
        <v>25.72</v>
      </c>
      <c r="M16" s="53">
        <v>89.42</v>
      </c>
      <c r="N16" s="53">
        <v>299.2</v>
      </c>
      <c r="O16" s="53">
        <v>0</v>
      </c>
      <c r="P16" s="53">
        <v>0.75</v>
      </c>
      <c r="Q16" s="53">
        <v>9.6300000000000008</v>
      </c>
      <c r="R16" s="43"/>
      <c r="S16" s="43"/>
      <c r="T16" s="43"/>
      <c r="U16" s="43"/>
    </row>
    <row r="17" spans="1:21" s="11" customFormat="1" x14ac:dyDescent="0.25">
      <c r="A17" s="52" t="s">
        <v>668</v>
      </c>
      <c r="B17" s="53">
        <v>29.95</v>
      </c>
      <c r="C17" s="53">
        <v>12.22</v>
      </c>
      <c r="D17" s="53">
        <v>28.44</v>
      </c>
      <c r="E17" s="53">
        <v>5.29</v>
      </c>
      <c r="F17" s="53">
        <v>4.38</v>
      </c>
      <c r="G17" s="53">
        <v>79</v>
      </c>
      <c r="H17" s="53">
        <v>35.450000000000003</v>
      </c>
      <c r="I17" s="53">
        <v>4.6100000000000003</v>
      </c>
      <c r="J17" s="53">
        <v>2.0099999999999998</v>
      </c>
      <c r="K17" s="53">
        <v>339.38</v>
      </c>
      <c r="L17" s="53">
        <v>29.99</v>
      </c>
      <c r="M17" s="53">
        <v>65.72</v>
      </c>
      <c r="N17" s="53">
        <v>514.6</v>
      </c>
      <c r="O17" s="53">
        <v>0</v>
      </c>
      <c r="P17" s="53">
        <v>0.68</v>
      </c>
      <c r="Q17" s="53">
        <v>9.6300000000000008</v>
      </c>
      <c r="R17" s="43"/>
      <c r="S17" s="43"/>
      <c r="T17" s="43"/>
      <c r="U17" s="43"/>
    </row>
    <row r="18" spans="1:21" s="11" customFormat="1" x14ac:dyDescent="0.25">
      <c r="A18" s="52" t="s">
        <v>669</v>
      </c>
      <c r="B18" s="53">
        <v>28.35</v>
      </c>
      <c r="C18" s="53">
        <v>13.59</v>
      </c>
      <c r="D18" s="53">
        <v>28.07</v>
      </c>
      <c r="E18" s="53">
        <v>5.76</v>
      </c>
      <c r="F18" s="53">
        <v>3.92</v>
      </c>
      <c r="G18" s="53">
        <v>63.09</v>
      </c>
      <c r="H18" s="53">
        <v>32.39</v>
      </c>
      <c r="I18" s="53">
        <v>4.07</v>
      </c>
      <c r="J18" s="53">
        <v>2.4700000000000002</v>
      </c>
      <c r="K18" s="53">
        <v>338.29</v>
      </c>
      <c r="L18" s="53">
        <v>31.44</v>
      </c>
      <c r="M18" s="53">
        <v>55.79</v>
      </c>
      <c r="N18" s="53">
        <v>624.9</v>
      </c>
      <c r="O18" s="53">
        <v>0</v>
      </c>
      <c r="P18" s="53">
        <v>0.64</v>
      </c>
      <c r="Q18" s="53">
        <v>9.64</v>
      </c>
      <c r="R18" s="43"/>
      <c r="S18" s="43"/>
      <c r="T18" s="43"/>
      <c r="U18" s="43"/>
    </row>
    <row r="19" spans="1:21" s="11" customFormat="1" x14ac:dyDescent="0.25">
      <c r="A19" s="52" t="s">
        <v>670</v>
      </c>
      <c r="B19" s="53">
        <v>25.23</v>
      </c>
      <c r="C19" s="53">
        <v>17.25</v>
      </c>
      <c r="D19" s="53">
        <v>26.87</v>
      </c>
      <c r="E19" s="53">
        <v>5.58</v>
      </c>
      <c r="F19" s="53">
        <v>4.51</v>
      </c>
      <c r="G19" s="53">
        <v>64.05</v>
      </c>
      <c r="H19" s="53">
        <v>21.83</v>
      </c>
      <c r="I19" s="53">
        <v>4.42</v>
      </c>
      <c r="J19" s="53">
        <v>2.75</v>
      </c>
      <c r="K19" s="53">
        <v>337.2</v>
      </c>
      <c r="L19" s="53">
        <v>32.299999999999997</v>
      </c>
      <c r="M19" s="53">
        <v>50.36</v>
      </c>
      <c r="N19" s="53">
        <v>728.6</v>
      </c>
      <c r="O19" s="53">
        <v>0</v>
      </c>
      <c r="P19" s="53">
        <v>0.63</v>
      </c>
      <c r="Q19" s="53">
        <v>9.6300000000000008</v>
      </c>
      <c r="R19" s="43"/>
      <c r="S19" s="43"/>
      <c r="T19" s="43"/>
      <c r="U19" s="43"/>
    </row>
    <row r="20" spans="1:21" s="11" customFormat="1" x14ac:dyDescent="0.25">
      <c r="A20" s="52" t="s">
        <v>671</v>
      </c>
      <c r="B20" s="53">
        <v>20.8</v>
      </c>
      <c r="C20" s="53">
        <v>19.75</v>
      </c>
      <c r="D20" s="53">
        <v>24.33</v>
      </c>
      <c r="E20" s="53">
        <v>6.88</v>
      </c>
      <c r="F20" s="53">
        <v>4.6900000000000004</v>
      </c>
      <c r="G20" s="53">
        <v>69.06</v>
      </c>
      <c r="H20" s="53">
        <v>21.87</v>
      </c>
      <c r="I20" s="53">
        <v>3.85</v>
      </c>
      <c r="J20" s="53">
        <v>2.3199999999999998</v>
      </c>
      <c r="K20" s="53">
        <v>340.13</v>
      </c>
      <c r="L20" s="53">
        <v>32.36</v>
      </c>
      <c r="M20" s="53">
        <v>48.93</v>
      </c>
      <c r="N20" s="53">
        <v>768.4</v>
      </c>
      <c r="O20" s="53">
        <v>0</v>
      </c>
      <c r="P20" s="53">
        <v>0.62</v>
      </c>
      <c r="Q20" s="53">
        <v>9.6300000000000008</v>
      </c>
      <c r="R20" s="43"/>
      <c r="S20" s="43"/>
      <c r="T20" s="43"/>
      <c r="U20" s="43"/>
    </row>
    <row r="21" spans="1:21" s="11" customFormat="1" x14ac:dyDescent="0.25">
      <c r="A21" s="52" t="s">
        <v>672</v>
      </c>
      <c r="B21" s="53">
        <v>15.31</v>
      </c>
      <c r="C21" s="53">
        <v>20.440000000000001</v>
      </c>
      <c r="D21" s="53">
        <v>21.58</v>
      </c>
      <c r="E21" s="53">
        <v>6.52</v>
      </c>
      <c r="F21" s="53">
        <v>4.09</v>
      </c>
      <c r="G21" s="53">
        <v>69.06</v>
      </c>
      <c r="H21" s="53">
        <v>21.87</v>
      </c>
      <c r="I21" s="53">
        <v>3.5</v>
      </c>
      <c r="J21" s="53">
        <v>2.46</v>
      </c>
      <c r="K21" s="53">
        <v>342.47</v>
      </c>
      <c r="L21" s="53">
        <v>31.61</v>
      </c>
      <c r="M21" s="53">
        <v>52.33</v>
      </c>
      <c r="N21" s="53">
        <v>508.3</v>
      </c>
      <c r="O21" s="53">
        <v>0</v>
      </c>
      <c r="P21" s="53">
        <v>0.6</v>
      </c>
      <c r="Q21" s="53">
        <v>9.6199999999999992</v>
      </c>
      <c r="R21" s="43"/>
      <c r="S21" s="43"/>
      <c r="T21" s="43"/>
      <c r="U21" s="43"/>
    </row>
    <row r="22" spans="1:21" s="11" customFormat="1" x14ac:dyDescent="0.25">
      <c r="A22" s="52" t="s">
        <v>673</v>
      </c>
      <c r="B22" s="53">
        <v>10.71</v>
      </c>
      <c r="C22" s="53">
        <v>21.34</v>
      </c>
      <c r="D22" s="53">
        <v>17.79</v>
      </c>
      <c r="E22" s="53">
        <v>7.1</v>
      </c>
      <c r="F22" s="53">
        <v>5.39</v>
      </c>
      <c r="G22" s="53">
        <v>69.56</v>
      </c>
      <c r="H22" s="53">
        <v>21.13</v>
      </c>
      <c r="I22" s="53">
        <v>3</v>
      </c>
      <c r="J22" s="53">
        <v>2.37</v>
      </c>
      <c r="K22" s="53">
        <v>339.94</v>
      </c>
      <c r="L22" s="53">
        <v>31.37</v>
      </c>
      <c r="M22" s="53">
        <v>52.88</v>
      </c>
      <c r="N22" s="53">
        <v>323.10000000000002</v>
      </c>
      <c r="O22" s="53">
        <v>0</v>
      </c>
      <c r="P22" s="53">
        <v>0.6</v>
      </c>
      <c r="Q22" s="53">
        <v>9.6300000000000008</v>
      </c>
      <c r="R22" s="43"/>
      <c r="S22" s="43"/>
      <c r="T22" s="43"/>
      <c r="U22" s="43"/>
    </row>
    <row r="23" spans="1:21" s="11" customFormat="1" x14ac:dyDescent="0.25">
      <c r="A23" s="52" t="s">
        <v>674</v>
      </c>
      <c r="B23" s="53">
        <v>5.93</v>
      </c>
      <c r="C23" s="53">
        <v>21.14</v>
      </c>
      <c r="D23" s="53">
        <v>14.42</v>
      </c>
      <c r="E23" s="53">
        <v>6.26</v>
      </c>
      <c r="F23" s="53">
        <v>4.82</v>
      </c>
      <c r="G23" s="53">
        <v>69.56</v>
      </c>
      <c r="H23" s="53">
        <v>33.57</v>
      </c>
      <c r="I23" s="53">
        <v>2.74</v>
      </c>
      <c r="J23" s="53">
        <v>1.83</v>
      </c>
      <c r="K23" s="53">
        <v>340.62</v>
      </c>
      <c r="L23" s="53">
        <v>29.42</v>
      </c>
      <c r="M23" s="53">
        <v>54.91</v>
      </c>
      <c r="N23" s="53">
        <v>171.3</v>
      </c>
      <c r="O23" s="53">
        <v>0</v>
      </c>
      <c r="P23" s="53">
        <v>0.6</v>
      </c>
      <c r="Q23" s="53">
        <v>9.64</v>
      </c>
      <c r="R23" s="43"/>
      <c r="S23" s="43"/>
      <c r="T23" s="43"/>
      <c r="U23" s="43"/>
    </row>
    <row r="24" spans="1:21" s="11" customFormat="1" x14ac:dyDescent="0.25">
      <c r="A24" s="52" t="s">
        <v>675</v>
      </c>
      <c r="B24" s="53">
        <v>4.99</v>
      </c>
      <c r="C24" s="53">
        <v>20.86</v>
      </c>
      <c r="D24" s="53">
        <v>13.48</v>
      </c>
      <c r="E24" s="53">
        <v>5.83</v>
      </c>
      <c r="F24" s="53">
        <v>4.87</v>
      </c>
      <c r="G24" s="53">
        <v>60.36</v>
      </c>
      <c r="H24" s="53">
        <v>33.57</v>
      </c>
      <c r="I24" s="53">
        <v>2.85</v>
      </c>
      <c r="J24" s="53">
        <v>1.72</v>
      </c>
      <c r="K24" s="53">
        <v>343.56</v>
      </c>
      <c r="L24" s="53">
        <v>28.66</v>
      </c>
      <c r="M24" s="53">
        <v>57.76</v>
      </c>
      <c r="N24" s="53">
        <v>109.2</v>
      </c>
      <c r="O24" s="53">
        <v>0</v>
      </c>
      <c r="P24" s="53">
        <v>0.59</v>
      </c>
      <c r="Q24" s="53">
        <v>9.6199999999999992</v>
      </c>
      <c r="R24" s="43"/>
      <c r="S24" s="43"/>
      <c r="T24" s="43"/>
      <c r="U24" s="43"/>
    </row>
    <row r="25" spans="1:21" s="11" customFormat="1" x14ac:dyDescent="0.25">
      <c r="A25" s="52" t="s">
        <v>676</v>
      </c>
      <c r="B25" s="53">
        <v>4.07</v>
      </c>
      <c r="C25" s="53">
        <v>19.89</v>
      </c>
      <c r="D25" s="53">
        <v>12.23</v>
      </c>
      <c r="E25" s="53">
        <v>4.4400000000000004</v>
      </c>
      <c r="F25" s="53">
        <v>4.6399999999999997</v>
      </c>
      <c r="G25" s="53">
        <v>56.93</v>
      </c>
      <c r="H25" s="53">
        <v>29.66</v>
      </c>
      <c r="I25" s="53">
        <v>2.77</v>
      </c>
      <c r="J25" s="53">
        <v>1.65</v>
      </c>
      <c r="K25" s="53">
        <v>341.32</v>
      </c>
      <c r="L25" s="53">
        <v>28.01</v>
      </c>
      <c r="M25" s="53">
        <v>60.13</v>
      </c>
      <c r="N25" s="53">
        <v>69.7</v>
      </c>
      <c r="O25" s="53">
        <v>0</v>
      </c>
      <c r="P25" s="53">
        <v>0.62</v>
      </c>
      <c r="Q25" s="53">
        <v>9.6300000000000008</v>
      </c>
      <c r="R25" s="43"/>
      <c r="S25" s="43"/>
      <c r="T25" s="43"/>
      <c r="U25" s="43"/>
    </row>
    <row r="26" spans="1:21" s="11" customFormat="1" x14ac:dyDescent="0.25">
      <c r="A26" s="52" t="s">
        <v>677</v>
      </c>
      <c r="B26" s="53">
        <v>6.64</v>
      </c>
      <c r="C26" s="53">
        <v>19.43</v>
      </c>
      <c r="D26" s="53">
        <v>14.1</v>
      </c>
      <c r="E26" s="53">
        <v>5.24</v>
      </c>
      <c r="F26" s="53">
        <v>4.6100000000000003</v>
      </c>
      <c r="G26" s="53">
        <v>55.24</v>
      </c>
      <c r="H26" s="53">
        <v>24.68</v>
      </c>
      <c r="I26" s="53">
        <v>3.02</v>
      </c>
      <c r="J26" s="53">
        <v>1.65</v>
      </c>
      <c r="K26" s="53">
        <v>341.71</v>
      </c>
      <c r="L26" s="53">
        <v>27.14</v>
      </c>
      <c r="M26" s="53">
        <v>63.68</v>
      </c>
      <c r="N26" s="53">
        <v>37.299999999999997</v>
      </c>
      <c r="O26" s="53">
        <v>0</v>
      </c>
      <c r="P26" s="53">
        <v>0.82</v>
      </c>
      <c r="Q26" s="53">
        <v>9.6300000000000008</v>
      </c>
      <c r="R26" s="43"/>
      <c r="S26" s="43"/>
      <c r="T26" s="43"/>
      <c r="U26" s="43"/>
    </row>
    <row r="27" spans="1:21" s="11" customFormat="1" x14ac:dyDescent="0.25">
      <c r="A27" s="52" t="s">
        <v>678</v>
      </c>
      <c r="B27" s="53">
        <v>13.96</v>
      </c>
      <c r="C27" s="53">
        <v>19.940000000000001</v>
      </c>
      <c r="D27" s="53">
        <v>20.22</v>
      </c>
      <c r="E27" s="53">
        <v>6.16</v>
      </c>
      <c r="F27" s="53">
        <v>4.55</v>
      </c>
      <c r="G27" s="53">
        <v>51.47</v>
      </c>
      <c r="H27" s="53">
        <v>22.69</v>
      </c>
      <c r="I27" s="53">
        <v>4.4000000000000004</v>
      </c>
      <c r="J27" s="53">
        <v>0.91</v>
      </c>
      <c r="K27" s="53">
        <v>340.49</v>
      </c>
      <c r="L27" s="53">
        <v>26.21</v>
      </c>
      <c r="M27" s="53">
        <v>70.33</v>
      </c>
      <c r="N27" s="53">
        <v>26.2</v>
      </c>
      <c r="O27" s="53">
        <v>0</v>
      </c>
      <c r="P27" s="53">
        <v>1.5</v>
      </c>
      <c r="Q27" s="53">
        <v>9.6199999999999992</v>
      </c>
      <c r="R27" s="43"/>
      <c r="S27" s="43"/>
      <c r="T27" s="43"/>
      <c r="U27" s="43"/>
    </row>
    <row r="28" spans="1:21" s="11" customFormat="1" x14ac:dyDescent="0.25">
      <c r="A28" s="52" t="s">
        <v>679</v>
      </c>
      <c r="B28" s="53">
        <v>25.73</v>
      </c>
      <c r="C28" s="53">
        <v>20.67</v>
      </c>
      <c r="D28" s="53">
        <v>30.05</v>
      </c>
      <c r="E28" s="53">
        <v>5.96</v>
      </c>
      <c r="F28" s="53">
        <v>4.84</v>
      </c>
      <c r="G28" s="53">
        <v>69.459999999999994</v>
      </c>
      <c r="H28" s="53">
        <v>25.96</v>
      </c>
      <c r="I28" s="53">
        <v>5.53</v>
      </c>
      <c r="J28" s="53">
        <v>0.94</v>
      </c>
      <c r="K28" s="53">
        <v>354.57</v>
      </c>
      <c r="L28" s="53">
        <v>25.28</v>
      </c>
      <c r="M28" s="53">
        <v>72.260000000000005</v>
      </c>
      <c r="N28" s="53">
        <v>26.3</v>
      </c>
      <c r="O28" s="53">
        <v>0</v>
      </c>
      <c r="P28" s="53">
        <v>1.65</v>
      </c>
      <c r="Q28" s="53">
        <v>9.64</v>
      </c>
      <c r="R28" s="43"/>
      <c r="S28" s="43"/>
      <c r="T28" s="43"/>
      <c r="U28" s="43"/>
    </row>
    <row r="29" spans="1:21" s="11" customFormat="1" x14ac:dyDescent="0.25">
      <c r="A29" s="52" t="s">
        <v>680</v>
      </c>
      <c r="B29" s="53">
        <v>36.32</v>
      </c>
      <c r="C29" s="53">
        <v>20.82</v>
      </c>
      <c r="D29" s="53">
        <v>37.409999999999997</v>
      </c>
      <c r="E29" s="53">
        <v>4.63</v>
      </c>
      <c r="F29" s="53">
        <v>4.76</v>
      </c>
      <c r="G29" s="53">
        <v>77.540000000000006</v>
      </c>
      <c r="H29" s="53">
        <v>28.86</v>
      </c>
      <c r="I29" s="53">
        <v>6.96</v>
      </c>
      <c r="J29" s="53">
        <v>1.33</v>
      </c>
      <c r="K29" s="53">
        <v>340.8</v>
      </c>
      <c r="L29" s="53">
        <v>25.29</v>
      </c>
      <c r="M29" s="53">
        <v>72.900000000000006</v>
      </c>
      <c r="N29" s="53">
        <v>26.1</v>
      </c>
      <c r="O29" s="53">
        <v>0</v>
      </c>
      <c r="P29" s="53">
        <v>1.67</v>
      </c>
      <c r="Q29" s="53">
        <v>9.65</v>
      </c>
      <c r="R29" s="43"/>
      <c r="S29" s="43"/>
      <c r="T29" s="43"/>
      <c r="U29" s="43"/>
    </row>
    <row r="30" spans="1:21" s="11" customFormat="1" x14ac:dyDescent="0.25">
      <c r="A30" s="52" t="s">
        <v>681</v>
      </c>
      <c r="B30" s="53">
        <v>42.21</v>
      </c>
      <c r="C30" s="53">
        <v>17.940000000000001</v>
      </c>
      <c r="D30" s="53">
        <v>41.07</v>
      </c>
      <c r="E30" s="53">
        <v>4.74</v>
      </c>
      <c r="F30" s="53">
        <v>4.25</v>
      </c>
      <c r="G30" s="53">
        <v>82.92</v>
      </c>
      <c r="H30" s="53">
        <v>29.61</v>
      </c>
      <c r="I30" s="53">
        <v>5.7</v>
      </c>
      <c r="J30" s="53">
        <v>1.26</v>
      </c>
      <c r="K30" s="53">
        <v>342.53</v>
      </c>
      <c r="L30" s="53">
        <v>25.03</v>
      </c>
      <c r="M30" s="53">
        <v>78.5</v>
      </c>
      <c r="N30" s="53">
        <v>26.1</v>
      </c>
      <c r="O30" s="53">
        <v>0</v>
      </c>
      <c r="P30" s="53">
        <v>1.68</v>
      </c>
      <c r="Q30" s="53">
        <v>9.6300000000000008</v>
      </c>
      <c r="R30" s="43"/>
      <c r="S30" s="43"/>
      <c r="T30" s="43"/>
      <c r="U30" s="43"/>
    </row>
    <row r="31" spans="1:21" s="11" customFormat="1" x14ac:dyDescent="0.25">
      <c r="A31" s="52" t="s">
        <v>682</v>
      </c>
      <c r="B31" s="53">
        <v>42.75</v>
      </c>
      <c r="C31" s="53">
        <v>17.579999999999998</v>
      </c>
      <c r="D31" s="53">
        <v>41.77</v>
      </c>
      <c r="E31" s="53">
        <v>4.62</v>
      </c>
      <c r="F31" s="53">
        <v>4.08</v>
      </c>
      <c r="G31" s="53">
        <v>91.48</v>
      </c>
      <c r="H31" s="53">
        <v>32.68</v>
      </c>
      <c r="I31" s="53">
        <v>5.83</v>
      </c>
      <c r="J31" s="53">
        <v>1.7</v>
      </c>
      <c r="K31" s="53">
        <v>342.83</v>
      </c>
      <c r="L31" s="53">
        <v>24.88</v>
      </c>
      <c r="M31" s="53">
        <v>74.819999999999993</v>
      </c>
      <c r="N31" s="53">
        <v>26.2</v>
      </c>
      <c r="O31" s="53">
        <v>0</v>
      </c>
      <c r="P31" s="53">
        <v>1.39</v>
      </c>
      <c r="Q31" s="53">
        <v>9.64</v>
      </c>
      <c r="R31" s="43"/>
      <c r="S31" s="43"/>
      <c r="T31" s="43"/>
      <c r="U31" s="43"/>
    </row>
    <row r="32" spans="1:21" s="11" customFormat="1" x14ac:dyDescent="0.25">
      <c r="A32" s="52" t="s">
        <v>683</v>
      </c>
      <c r="B32" s="53">
        <v>40.76</v>
      </c>
      <c r="C32" s="53">
        <v>18.07</v>
      </c>
      <c r="D32" s="53">
        <v>40.65</v>
      </c>
      <c r="E32" s="53">
        <v>5.85</v>
      </c>
      <c r="F32" s="53">
        <v>4.54</v>
      </c>
      <c r="G32" s="53">
        <v>91.48</v>
      </c>
      <c r="H32" s="53">
        <v>34.15</v>
      </c>
      <c r="I32" s="53">
        <v>6.01</v>
      </c>
      <c r="J32" s="53">
        <v>1.71</v>
      </c>
      <c r="K32" s="53">
        <v>342.81</v>
      </c>
      <c r="L32" s="53">
        <v>24.4</v>
      </c>
      <c r="M32" s="53">
        <v>80.010000000000005</v>
      </c>
      <c r="N32" s="53">
        <v>26.3</v>
      </c>
      <c r="O32" s="53">
        <v>0</v>
      </c>
      <c r="P32" s="53">
        <v>1.28</v>
      </c>
      <c r="Q32" s="53">
        <v>9.6300000000000008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4.07</v>
      </c>
      <c r="C34" s="28">
        <f t="shared" si="0"/>
        <v>10.61</v>
      </c>
      <c r="D34" s="28">
        <f t="shared" si="0"/>
        <v>12.23</v>
      </c>
      <c r="E34" s="28">
        <f t="shared" si="0"/>
        <v>4.4400000000000004</v>
      </c>
      <c r="F34" s="28">
        <f t="shared" si="0"/>
        <v>3.48</v>
      </c>
      <c r="G34" s="28">
        <f t="shared" si="0"/>
        <v>44.41</v>
      </c>
      <c r="H34" s="28">
        <f t="shared" si="0"/>
        <v>13.22</v>
      </c>
      <c r="I34" s="28">
        <f t="shared" si="0"/>
        <v>2.74</v>
      </c>
      <c r="J34" s="28">
        <f t="shared" si="0"/>
        <v>0.91</v>
      </c>
      <c r="K34" s="28">
        <f t="shared" si="0"/>
        <v>337.2</v>
      </c>
      <c r="L34" s="28">
        <f t="shared" si="0"/>
        <v>20.99</v>
      </c>
      <c r="M34" s="28">
        <f t="shared" si="0"/>
        <v>48.93</v>
      </c>
      <c r="N34" s="28">
        <f t="shared" si="0"/>
        <v>25.9</v>
      </c>
      <c r="O34" s="28">
        <f t="shared" si="0"/>
        <v>0</v>
      </c>
      <c r="P34" s="28">
        <f t="shared" si="0"/>
        <v>0.59</v>
      </c>
      <c r="Q34" s="28">
        <f t="shared" si="0"/>
        <v>9.61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42.75</v>
      </c>
      <c r="C35" s="29">
        <f t="shared" si="1"/>
        <v>21.34</v>
      </c>
      <c r="D35" s="29">
        <f t="shared" si="1"/>
        <v>41.77</v>
      </c>
      <c r="E35" s="29">
        <f t="shared" si="1"/>
        <v>7.1</v>
      </c>
      <c r="F35" s="29">
        <f t="shared" si="1"/>
        <v>5.39</v>
      </c>
      <c r="G35" s="29">
        <f t="shared" si="1"/>
        <v>91.48</v>
      </c>
      <c r="H35" s="29">
        <f t="shared" si="1"/>
        <v>35.450000000000003</v>
      </c>
      <c r="I35" s="29">
        <f t="shared" si="1"/>
        <v>6.96</v>
      </c>
      <c r="J35" s="29">
        <f t="shared" si="1"/>
        <v>2.75</v>
      </c>
      <c r="K35" s="29">
        <f t="shared" si="1"/>
        <v>357.12</v>
      </c>
      <c r="L35" s="29">
        <f t="shared" si="1"/>
        <v>32.36</v>
      </c>
      <c r="M35" s="29">
        <f t="shared" si="1"/>
        <v>102.12</v>
      </c>
      <c r="N35" s="29">
        <f t="shared" si="1"/>
        <v>768.4</v>
      </c>
      <c r="O35" s="29">
        <f t="shared" si="1"/>
        <v>0</v>
      </c>
      <c r="P35" s="29">
        <f t="shared" si="1"/>
        <v>1.68</v>
      </c>
      <c r="Q35" s="29">
        <f t="shared" si="1"/>
        <v>9.65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21.167916666666663</v>
      </c>
      <c r="C36" s="28">
        <f t="shared" si="2"/>
        <v>16.398333333333333</v>
      </c>
      <c r="D36" s="28">
        <f t="shared" si="2"/>
        <v>23.82791666666667</v>
      </c>
      <c r="E36" s="28">
        <f t="shared" si="2"/>
        <v>5.6658333333333317</v>
      </c>
      <c r="F36" s="28">
        <f t="shared" si="2"/>
        <v>4.3216666666666663</v>
      </c>
      <c r="G36" s="28">
        <f t="shared" si="2"/>
        <v>65.117916666666659</v>
      </c>
      <c r="H36" s="28">
        <f t="shared" si="2"/>
        <v>25.819583333333327</v>
      </c>
      <c r="I36" s="28">
        <f t="shared" si="2"/>
        <v>4.3066666666666675</v>
      </c>
      <c r="J36" s="28">
        <f t="shared" si="2"/>
        <v>1.6499999999999997</v>
      </c>
      <c r="K36" s="28">
        <f t="shared" si="2"/>
        <v>343.16666666666657</v>
      </c>
      <c r="L36" s="28">
        <f t="shared" si="2"/>
        <v>26.291666666666661</v>
      </c>
      <c r="M36" s="28">
        <f t="shared" si="2"/>
        <v>73.99708333333335</v>
      </c>
      <c r="N36" s="28">
        <f t="shared" si="2"/>
        <v>190.05833333333337</v>
      </c>
      <c r="O36" s="28">
        <f t="shared" si="2"/>
        <v>0</v>
      </c>
      <c r="P36" s="28">
        <f t="shared" si="2"/>
        <v>0.87666666666666659</v>
      </c>
      <c r="Q36" s="28">
        <f t="shared" si="2"/>
        <v>9.6283333333333321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11.574466643422941</v>
      </c>
      <c r="C37" s="28">
        <f t="shared" ref="C37:Q37" si="3">STDEV(C9:C32)</f>
        <v>4.1116987567995258</v>
      </c>
      <c r="D37" s="28">
        <f t="shared" si="3"/>
        <v>9.0766288413258458</v>
      </c>
      <c r="E37" s="28">
        <f t="shared" si="3"/>
        <v>0.72913836383995068</v>
      </c>
      <c r="F37" s="28">
        <f t="shared" si="3"/>
        <v>0.47671581787737444</v>
      </c>
      <c r="G37" s="28">
        <f t="shared" si="3"/>
        <v>13.77604599647888</v>
      </c>
      <c r="H37" s="28">
        <f t="shared" si="3"/>
        <v>6.8496426305805915</v>
      </c>
      <c r="I37" s="28">
        <f t="shared" si="3"/>
        <v>1.0976879522795648</v>
      </c>
      <c r="J37" s="28">
        <f t="shared" si="3"/>
        <v>0.53037312542578241</v>
      </c>
      <c r="K37" s="28">
        <f t="shared" si="3"/>
        <v>5.2814809078240685</v>
      </c>
      <c r="L37" s="28">
        <f t="shared" si="3"/>
        <v>3.8734566819143517</v>
      </c>
      <c r="M37" s="28">
        <f t="shared" si="3"/>
        <v>17.896945447214687</v>
      </c>
      <c r="N37" s="28">
        <f t="shared" si="3"/>
        <v>249.02366731710049</v>
      </c>
      <c r="O37" s="28">
        <f t="shared" si="3"/>
        <v>0</v>
      </c>
      <c r="P37" s="28">
        <f t="shared" si="3"/>
        <v>0.39653572311980279</v>
      </c>
      <c r="Q37" s="28">
        <f t="shared" si="3"/>
        <v>9.1683134225713676E-3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27/10/2024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6"/>
      <c r="B8" s="57" t="s">
        <v>22</v>
      </c>
      <c r="C8" s="57" t="s">
        <v>22</v>
      </c>
      <c r="D8" s="29" t="s">
        <v>42</v>
      </c>
      <c r="E8" s="57" t="s">
        <v>22</v>
      </c>
      <c r="F8" s="57" t="s">
        <v>22</v>
      </c>
      <c r="G8" s="57" t="s">
        <v>23</v>
      </c>
      <c r="H8" s="57" t="s">
        <v>22</v>
      </c>
      <c r="I8" s="57" t="s">
        <v>22</v>
      </c>
      <c r="J8" s="57" t="s">
        <v>24</v>
      </c>
      <c r="K8" s="57" t="s">
        <v>25</v>
      </c>
      <c r="L8" s="56" t="s">
        <v>27</v>
      </c>
      <c r="M8" s="57" t="s">
        <v>26</v>
      </c>
      <c r="N8" s="57" t="s">
        <v>28</v>
      </c>
      <c r="O8" s="56" t="s">
        <v>29</v>
      </c>
      <c r="P8" s="57" t="s">
        <v>22</v>
      </c>
      <c r="Q8" s="57" t="s">
        <v>22</v>
      </c>
      <c r="R8" s="27"/>
      <c r="S8" s="29"/>
      <c r="T8" s="27"/>
      <c r="U8" s="27"/>
    </row>
    <row r="9" spans="1:21" s="11" customFormat="1" x14ac:dyDescent="0.25">
      <c r="A9" s="52" t="s">
        <v>732</v>
      </c>
      <c r="B9" s="53">
        <v>35.14</v>
      </c>
      <c r="C9" s="53">
        <v>17.670000000000002</v>
      </c>
      <c r="D9" s="53">
        <v>35.92</v>
      </c>
      <c r="E9" s="53">
        <v>6.49</v>
      </c>
      <c r="F9" s="53">
        <v>5.1100000000000003</v>
      </c>
      <c r="G9" s="53">
        <v>88.11</v>
      </c>
      <c r="H9" s="53">
        <v>34.15</v>
      </c>
      <c r="I9" s="53">
        <v>5.45</v>
      </c>
      <c r="J9" s="53">
        <v>2</v>
      </c>
      <c r="K9" s="53">
        <v>343.17</v>
      </c>
      <c r="L9" s="53">
        <v>23.71</v>
      </c>
      <c r="M9" s="53">
        <v>81.58</v>
      </c>
      <c r="N9" s="53">
        <v>26.1</v>
      </c>
      <c r="O9" s="53">
        <v>0</v>
      </c>
      <c r="P9" s="53">
        <v>1.1399999999999999</v>
      </c>
      <c r="Q9" s="53">
        <v>9.6300000000000008</v>
      </c>
      <c r="R9" s="43"/>
      <c r="S9" s="43"/>
      <c r="T9" s="43"/>
      <c r="U9" s="43"/>
    </row>
    <row r="10" spans="1:21" s="11" customFormat="1" x14ac:dyDescent="0.25">
      <c r="A10" s="52" t="s">
        <v>733</v>
      </c>
      <c r="B10" s="53">
        <v>26.17</v>
      </c>
      <c r="C10" s="53">
        <v>15.07</v>
      </c>
      <c r="D10" s="53">
        <v>27.48</v>
      </c>
      <c r="E10" s="53">
        <v>6.12</v>
      </c>
      <c r="F10" s="53">
        <v>3.87</v>
      </c>
      <c r="G10" s="53">
        <v>81.069999999999993</v>
      </c>
      <c r="H10" s="53">
        <v>33.770000000000003</v>
      </c>
      <c r="I10" s="53">
        <v>4.8099999999999996</v>
      </c>
      <c r="J10" s="53">
        <v>2.1</v>
      </c>
      <c r="K10" s="53">
        <v>341.72</v>
      </c>
      <c r="L10" s="53">
        <v>23.36</v>
      </c>
      <c r="M10" s="53">
        <v>82.5</v>
      </c>
      <c r="N10" s="53">
        <v>26.1</v>
      </c>
      <c r="O10" s="53">
        <v>0</v>
      </c>
      <c r="P10" s="53">
        <v>0.9</v>
      </c>
      <c r="Q10" s="53">
        <v>9.64</v>
      </c>
      <c r="R10" s="43"/>
      <c r="S10" s="43"/>
      <c r="T10" s="43"/>
      <c r="U10" s="43"/>
    </row>
    <row r="11" spans="1:21" s="11" customFormat="1" x14ac:dyDescent="0.25">
      <c r="A11" s="52" t="s">
        <v>734</v>
      </c>
      <c r="B11" s="53">
        <v>18.47</v>
      </c>
      <c r="C11" s="53">
        <v>13.89</v>
      </c>
      <c r="D11" s="53">
        <v>20.39</v>
      </c>
      <c r="E11" s="53">
        <v>5.99</v>
      </c>
      <c r="F11" s="53">
        <v>4.45</v>
      </c>
      <c r="G11" s="53">
        <v>65.34</v>
      </c>
      <c r="H11" s="53">
        <v>29.76</v>
      </c>
      <c r="I11" s="53">
        <v>3.87</v>
      </c>
      <c r="J11" s="53">
        <v>1.67</v>
      </c>
      <c r="K11" s="53">
        <v>343.92</v>
      </c>
      <c r="L11" s="53">
        <v>23.02</v>
      </c>
      <c r="M11" s="53">
        <v>87.23</v>
      </c>
      <c r="N11" s="53">
        <v>26.2</v>
      </c>
      <c r="O11" s="53">
        <v>0</v>
      </c>
      <c r="P11" s="53">
        <v>0.77</v>
      </c>
      <c r="Q11" s="53">
        <v>9.6300000000000008</v>
      </c>
      <c r="R11" s="43"/>
      <c r="S11" s="43"/>
      <c r="T11" s="43"/>
      <c r="U11" s="43"/>
    </row>
    <row r="12" spans="1:21" s="11" customFormat="1" x14ac:dyDescent="0.25">
      <c r="A12" s="52" t="s">
        <v>735</v>
      </c>
      <c r="B12" s="53">
        <v>15.35</v>
      </c>
      <c r="C12" s="53">
        <v>14.29</v>
      </c>
      <c r="D12" s="53">
        <v>18.29</v>
      </c>
      <c r="E12" s="53">
        <v>5.97</v>
      </c>
      <c r="F12" s="53">
        <v>4.7699999999999996</v>
      </c>
      <c r="G12" s="53">
        <v>74.25</v>
      </c>
      <c r="H12" s="53">
        <v>35.729999999999997</v>
      </c>
      <c r="I12" s="53">
        <v>4.6900000000000004</v>
      </c>
      <c r="J12" s="53">
        <v>1.54</v>
      </c>
      <c r="K12" s="53">
        <v>343.44</v>
      </c>
      <c r="L12" s="53">
        <v>22.76</v>
      </c>
      <c r="M12" s="53">
        <v>86.31</v>
      </c>
      <c r="N12" s="53">
        <v>26.1</v>
      </c>
      <c r="O12" s="53">
        <v>0</v>
      </c>
      <c r="P12" s="53">
        <v>0.76</v>
      </c>
      <c r="Q12" s="53">
        <v>9.6300000000000008</v>
      </c>
      <c r="R12" s="43"/>
      <c r="S12" s="43"/>
      <c r="T12" s="43"/>
      <c r="U12" s="43"/>
    </row>
    <row r="13" spans="1:21" s="11" customFormat="1" x14ac:dyDescent="0.25">
      <c r="A13" s="52" t="s">
        <v>736</v>
      </c>
      <c r="B13" s="53">
        <v>13.64</v>
      </c>
      <c r="C13" s="53">
        <v>13.73</v>
      </c>
      <c r="D13" s="53">
        <v>16.559999999999999</v>
      </c>
      <c r="E13" s="53">
        <v>5.15</v>
      </c>
      <c r="F13" s="53">
        <v>4.05</v>
      </c>
      <c r="G13" s="53">
        <v>74.25</v>
      </c>
      <c r="H13" s="53">
        <v>35.729999999999997</v>
      </c>
      <c r="I13" s="53">
        <v>4.59</v>
      </c>
      <c r="J13" s="53">
        <v>1.36</v>
      </c>
      <c r="K13" s="53">
        <v>341.18</v>
      </c>
      <c r="L13" s="53">
        <v>22.43</v>
      </c>
      <c r="M13" s="53">
        <v>91.65</v>
      </c>
      <c r="N13" s="53">
        <v>26.2</v>
      </c>
      <c r="O13" s="53">
        <v>0</v>
      </c>
      <c r="P13" s="53">
        <v>0.73</v>
      </c>
      <c r="Q13" s="53">
        <v>9.6300000000000008</v>
      </c>
      <c r="R13" s="43"/>
      <c r="S13" s="43"/>
      <c r="T13" s="43"/>
      <c r="U13" s="43"/>
    </row>
    <row r="14" spans="1:21" s="11" customFormat="1" x14ac:dyDescent="0.25">
      <c r="A14" s="52" t="s">
        <v>737</v>
      </c>
      <c r="B14" s="53">
        <v>16.95</v>
      </c>
      <c r="C14" s="53">
        <v>11.82</v>
      </c>
      <c r="D14" s="53">
        <v>18.29</v>
      </c>
      <c r="E14" s="53">
        <v>5.43</v>
      </c>
      <c r="F14" s="53">
        <v>4.12</v>
      </c>
      <c r="G14" s="53">
        <v>76.59</v>
      </c>
      <c r="H14" s="53">
        <v>36.409999999999997</v>
      </c>
      <c r="I14" s="53">
        <v>4.38</v>
      </c>
      <c r="J14" s="53">
        <v>1.6</v>
      </c>
      <c r="K14" s="53">
        <v>344.19</v>
      </c>
      <c r="L14" s="53">
        <v>22.22</v>
      </c>
      <c r="M14" s="53">
        <v>92.77</v>
      </c>
      <c r="N14" s="53">
        <v>26.8</v>
      </c>
      <c r="O14" s="53">
        <v>0</v>
      </c>
      <c r="P14" s="53">
        <v>0.72</v>
      </c>
      <c r="Q14" s="53">
        <v>9.6199999999999992</v>
      </c>
      <c r="R14" s="43"/>
      <c r="S14" s="43"/>
      <c r="T14" s="43"/>
      <c r="U14" s="43"/>
    </row>
    <row r="15" spans="1:21" s="11" customFormat="1" x14ac:dyDescent="0.25">
      <c r="A15" s="52" t="s">
        <v>738</v>
      </c>
      <c r="B15" s="53">
        <v>23.24</v>
      </c>
      <c r="C15" s="53">
        <v>11.44</v>
      </c>
      <c r="D15" s="53">
        <v>23.23</v>
      </c>
      <c r="E15" s="53">
        <v>5.9</v>
      </c>
      <c r="F15" s="53">
        <v>3.63</v>
      </c>
      <c r="G15" s="53">
        <v>76.59</v>
      </c>
      <c r="H15" s="53">
        <v>39.25</v>
      </c>
      <c r="I15" s="53">
        <v>4.1399999999999997</v>
      </c>
      <c r="J15" s="53">
        <v>1.4</v>
      </c>
      <c r="K15" s="53">
        <v>344.65</v>
      </c>
      <c r="L15" s="53">
        <v>22.93</v>
      </c>
      <c r="M15" s="53">
        <v>94.19</v>
      </c>
      <c r="N15" s="53">
        <v>80.7</v>
      </c>
      <c r="O15" s="53">
        <v>0</v>
      </c>
      <c r="P15" s="53">
        <v>0.84</v>
      </c>
      <c r="Q15" s="53">
        <v>9.6300000000000008</v>
      </c>
      <c r="R15" s="43"/>
      <c r="S15" s="43"/>
      <c r="T15" s="43"/>
      <c r="U15" s="43"/>
    </row>
    <row r="16" spans="1:21" s="11" customFormat="1" x14ac:dyDescent="0.25">
      <c r="A16" s="52" t="s">
        <v>739</v>
      </c>
      <c r="B16" s="53">
        <v>28.4</v>
      </c>
      <c r="C16" s="53">
        <v>13.77</v>
      </c>
      <c r="D16" s="53">
        <v>28.59</v>
      </c>
      <c r="E16" s="53">
        <v>7.09</v>
      </c>
      <c r="F16" s="53">
        <v>4.6500000000000004</v>
      </c>
      <c r="G16" s="53">
        <v>92.06</v>
      </c>
      <c r="H16" s="53">
        <v>42.88</v>
      </c>
      <c r="I16" s="53">
        <v>5.04</v>
      </c>
      <c r="J16" s="53">
        <v>1.74</v>
      </c>
      <c r="K16" s="53">
        <v>342.96</v>
      </c>
      <c r="L16" s="53">
        <v>28.96</v>
      </c>
      <c r="M16" s="53">
        <v>85.86</v>
      </c>
      <c r="N16" s="53">
        <v>314.39999999999998</v>
      </c>
      <c r="O16" s="53">
        <v>0</v>
      </c>
      <c r="P16" s="53">
        <v>0.81</v>
      </c>
      <c r="Q16" s="53">
        <v>9.6199999999999992</v>
      </c>
      <c r="R16" s="43"/>
      <c r="S16" s="43"/>
      <c r="T16" s="43"/>
      <c r="U16" s="43"/>
    </row>
    <row r="17" spans="1:21" s="11" customFormat="1" x14ac:dyDescent="0.25">
      <c r="A17" s="52" t="s">
        <v>740</v>
      </c>
      <c r="B17" s="53">
        <v>29.33</v>
      </c>
      <c r="C17" s="53">
        <v>16.88</v>
      </c>
      <c r="D17" s="53">
        <v>30.13</v>
      </c>
      <c r="E17" s="53">
        <v>6.54</v>
      </c>
      <c r="F17" s="53">
        <v>4.55</v>
      </c>
      <c r="G17" s="53">
        <v>94.87</v>
      </c>
      <c r="H17" s="53">
        <v>42.88</v>
      </c>
      <c r="I17" s="53">
        <v>4.78</v>
      </c>
      <c r="J17" s="53">
        <v>2.06</v>
      </c>
      <c r="K17" s="53">
        <v>340.94</v>
      </c>
      <c r="L17" s="53">
        <v>31.29</v>
      </c>
      <c r="M17" s="53">
        <v>62.51</v>
      </c>
      <c r="N17" s="53">
        <v>523.70000000000005</v>
      </c>
      <c r="O17" s="53">
        <v>0</v>
      </c>
      <c r="P17" s="53">
        <v>0.82</v>
      </c>
      <c r="Q17" s="53">
        <v>9.6199999999999992</v>
      </c>
      <c r="R17" s="43"/>
      <c r="S17" s="43"/>
      <c r="T17" s="43"/>
      <c r="U17" s="43"/>
    </row>
    <row r="18" spans="1:21" s="11" customFormat="1" x14ac:dyDescent="0.25">
      <c r="A18" s="52" t="s">
        <v>741</v>
      </c>
      <c r="B18" s="53">
        <v>26.05</v>
      </c>
      <c r="C18" s="53">
        <v>16.89</v>
      </c>
      <c r="D18" s="53">
        <v>28.34</v>
      </c>
      <c r="E18" s="53">
        <v>5.76</v>
      </c>
      <c r="F18" s="53">
        <v>4.4800000000000004</v>
      </c>
      <c r="G18" s="53">
        <v>94.87</v>
      </c>
      <c r="H18" s="53">
        <v>41.35</v>
      </c>
      <c r="I18" s="53">
        <v>4.22</v>
      </c>
      <c r="J18" s="53">
        <v>1.44</v>
      </c>
      <c r="K18" s="53">
        <v>341.61</v>
      </c>
      <c r="L18" s="53">
        <v>30.05</v>
      </c>
      <c r="M18" s="53">
        <v>77.95</v>
      </c>
      <c r="N18" s="53">
        <v>471.2</v>
      </c>
      <c r="O18" s="53">
        <v>0</v>
      </c>
      <c r="P18" s="53">
        <v>0.75</v>
      </c>
      <c r="Q18" s="53">
        <v>9.6300000000000008</v>
      </c>
      <c r="R18" s="43"/>
      <c r="S18" s="43"/>
      <c r="T18" s="43"/>
      <c r="U18" s="43"/>
    </row>
    <row r="19" spans="1:21" s="11" customFormat="1" x14ac:dyDescent="0.25">
      <c r="A19" s="52" t="s">
        <v>742</v>
      </c>
      <c r="B19" s="53">
        <v>23.94</v>
      </c>
      <c r="C19" s="53">
        <v>14.71</v>
      </c>
      <c r="D19" s="53">
        <v>25.5</v>
      </c>
      <c r="E19" s="53">
        <v>5.42</v>
      </c>
      <c r="F19" s="53">
        <v>4.28</v>
      </c>
      <c r="G19" s="53">
        <v>80.150000000000006</v>
      </c>
      <c r="H19" s="53">
        <v>38.270000000000003</v>
      </c>
      <c r="I19" s="53">
        <v>4.07</v>
      </c>
      <c r="J19" s="53">
        <v>1.39</v>
      </c>
      <c r="K19" s="53">
        <v>341.25</v>
      </c>
      <c r="L19" s="53">
        <v>27.75</v>
      </c>
      <c r="M19" s="53">
        <v>78.34</v>
      </c>
      <c r="N19" s="53">
        <v>257.8</v>
      </c>
      <c r="O19" s="53">
        <v>0</v>
      </c>
      <c r="P19" s="53">
        <v>0.68</v>
      </c>
      <c r="Q19" s="53">
        <v>9.6300000000000008</v>
      </c>
      <c r="R19" s="43"/>
      <c r="S19" s="43"/>
      <c r="T19" s="43"/>
      <c r="U19" s="43"/>
    </row>
    <row r="20" spans="1:21" s="11" customFormat="1" x14ac:dyDescent="0.25">
      <c r="A20" s="52" t="s">
        <v>743</v>
      </c>
      <c r="B20" s="53">
        <v>20.91</v>
      </c>
      <c r="C20" s="53">
        <v>15.84</v>
      </c>
      <c r="D20" s="53">
        <v>23.15</v>
      </c>
      <c r="E20" s="53">
        <v>5.6</v>
      </c>
      <c r="F20" s="53">
        <v>4.07</v>
      </c>
      <c r="G20" s="53">
        <v>59.82</v>
      </c>
      <c r="H20" s="53">
        <v>30.12</v>
      </c>
      <c r="I20" s="53">
        <v>5.17</v>
      </c>
      <c r="J20" s="53">
        <v>1.02</v>
      </c>
      <c r="K20" s="53">
        <v>348.87</v>
      </c>
      <c r="L20" s="53">
        <v>28.21</v>
      </c>
      <c r="M20" s="53">
        <v>75.25</v>
      </c>
      <c r="N20" s="53">
        <v>410.4</v>
      </c>
      <c r="O20" s="53">
        <v>0</v>
      </c>
      <c r="P20" s="53">
        <v>0.72</v>
      </c>
      <c r="Q20" s="53">
        <v>9.6300000000000008</v>
      </c>
      <c r="R20" s="43"/>
      <c r="S20" s="43"/>
      <c r="T20" s="43"/>
      <c r="U20" s="43"/>
    </row>
    <row r="21" spans="1:21" s="11" customFormat="1" x14ac:dyDescent="0.25">
      <c r="A21" s="52" t="s">
        <v>744</v>
      </c>
      <c r="B21" s="53">
        <v>18.11</v>
      </c>
      <c r="C21" s="53">
        <v>17.649999999999999</v>
      </c>
      <c r="D21" s="53">
        <v>21.46</v>
      </c>
      <c r="E21" s="53">
        <v>3.92</v>
      </c>
      <c r="F21" s="53">
        <v>4.1399999999999997</v>
      </c>
      <c r="G21" s="53">
        <v>56.38</v>
      </c>
      <c r="H21" s="53">
        <v>23.8</v>
      </c>
      <c r="I21" s="53">
        <v>5.27</v>
      </c>
      <c r="J21" s="53">
        <v>0.82</v>
      </c>
      <c r="K21" s="53">
        <v>333.63</v>
      </c>
      <c r="L21" s="53">
        <v>29.42</v>
      </c>
      <c r="M21" s="53">
        <v>72.81</v>
      </c>
      <c r="N21" s="53">
        <v>376.6</v>
      </c>
      <c r="O21" s="53">
        <v>0</v>
      </c>
      <c r="P21" s="53">
        <v>0.66</v>
      </c>
      <c r="Q21" s="53">
        <v>9.64</v>
      </c>
      <c r="R21" s="43"/>
      <c r="S21" s="43"/>
      <c r="T21" s="43"/>
      <c r="U21" s="43"/>
    </row>
    <row r="22" spans="1:21" s="11" customFormat="1" x14ac:dyDescent="0.25">
      <c r="A22" s="52" t="s">
        <v>745</v>
      </c>
      <c r="B22" s="53">
        <v>14.15</v>
      </c>
      <c r="C22" s="53">
        <v>17.89</v>
      </c>
      <c r="D22" s="53">
        <v>19.32</v>
      </c>
      <c r="E22" s="53">
        <v>3.86</v>
      </c>
      <c r="F22" s="53">
        <v>5.2</v>
      </c>
      <c r="G22" s="53">
        <v>47.56</v>
      </c>
      <c r="H22" s="53">
        <v>29.28</v>
      </c>
      <c r="I22" s="53">
        <v>4.93</v>
      </c>
      <c r="J22" s="53">
        <v>0.96</v>
      </c>
      <c r="K22" s="53">
        <v>339.72</v>
      </c>
      <c r="L22" s="53">
        <v>28.49</v>
      </c>
      <c r="M22" s="53">
        <v>72.930000000000007</v>
      </c>
      <c r="N22" s="53">
        <v>204.1</v>
      </c>
      <c r="O22" s="53">
        <v>0</v>
      </c>
      <c r="P22" s="53">
        <v>0.72</v>
      </c>
      <c r="Q22" s="53">
        <v>9.6199999999999992</v>
      </c>
      <c r="R22" s="43"/>
      <c r="S22" s="43"/>
      <c r="T22" s="43"/>
      <c r="U22" s="43"/>
    </row>
    <row r="23" spans="1:21" s="11" customFormat="1" x14ac:dyDescent="0.25">
      <c r="A23" s="52" t="s">
        <v>746</v>
      </c>
      <c r="B23" s="53">
        <v>12.48</v>
      </c>
      <c r="C23" s="53">
        <v>15.59</v>
      </c>
      <c r="D23" s="53">
        <v>16.78</v>
      </c>
      <c r="E23" s="53">
        <v>3.77</v>
      </c>
      <c r="F23" s="53">
        <v>4.66</v>
      </c>
      <c r="G23" s="53">
        <v>48.51</v>
      </c>
      <c r="H23" s="53">
        <v>29.28</v>
      </c>
      <c r="I23" s="53">
        <v>3.09</v>
      </c>
      <c r="J23" s="53">
        <v>1.34</v>
      </c>
      <c r="K23" s="53">
        <v>345.04</v>
      </c>
      <c r="L23" s="53">
        <v>28.63</v>
      </c>
      <c r="M23" s="53">
        <v>73.569999999999993</v>
      </c>
      <c r="N23" s="53">
        <v>191.2</v>
      </c>
      <c r="O23" s="53">
        <v>0</v>
      </c>
      <c r="P23" s="53">
        <v>0.71</v>
      </c>
      <c r="Q23" s="53">
        <v>9.6300000000000008</v>
      </c>
      <c r="R23" s="43"/>
      <c r="S23" s="43"/>
      <c r="T23" s="43"/>
      <c r="U23" s="43"/>
    </row>
    <row r="24" spans="1:21" s="11" customFormat="1" x14ac:dyDescent="0.25">
      <c r="A24" s="52" t="s">
        <v>747</v>
      </c>
      <c r="B24" s="53">
        <v>13.84</v>
      </c>
      <c r="C24" s="53">
        <v>18</v>
      </c>
      <c r="D24" s="53">
        <v>19.12</v>
      </c>
      <c r="E24" s="53">
        <v>4.8</v>
      </c>
      <c r="F24" s="53">
        <v>4.91</v>
      </c>
      <c r="G24" s="53">
        <v>60.46</v>
      </c>
      <c r="H24" s="53">
        <v>30.21</v>
      </c>
      <c r="I24" s="53">
        <v>4.8899999999999997</v>
      </c>
      <c r="J24" s="53">
        <v>1.61</v>
      </c>
      <c r="K24" s="53">
        <v>348.82</v>
      </c>
      <c r="L24" s="53">
        <v>28</v>
      </c>
      <c r="M24" s="53">
        <v>74.03</v>
      </c>
      <c r="N24" s="53">
        <v>92</v>
      </c>
      <c r="O24" s="53">
        <v>0</v>
      </c>
      <c r="P24" s="53">
        <v>0.78</v>
      </c>
      <c r="Q24" s="53">
        <v>9.6199999999999992</v>
      </c>
      <c r="R24" s="43"/>
      <c r="S24" s="43"/>
      <c r="T24" s="43"/>
      <c r="U24" s="43"/>
    </row>
    <row r="25" spans="1:21" s="11" customFormat="1" x14ac:dyDescent="0.25">
      <c r="A25" s="52" t="s">
        <v>748</v>
      </c>
      <c r="B25" s="53">
        <v>14.94</v>
      </c>
      <c r="C25" s="53">
        <v>18.88</v>
      </c>
      <c r="D25" s="53">
        <v>20.28</v>
      </c>
      <c r="E25" s="53">
        <v>5.65</v>
      </c>
      <c r="F25" s="53">
        <v>4.6500000000000004</v>
      </c>
      <c r="G25" s="53">
        <v>67.010000000000005</v>
      </c>
      <c r="H25" s="53">
        <v>32.130000000000003</v>
      </c>
      <c r="I25" s="53">
        <v>4.97</v>
      </c>
      <c r="J25" s="53">
        <v>1.37</v>
      </c>
      <c r="K25" s="53">
        <v>346.12</v>
      </c>
      <c r="L25" s="53">
        <v>27.39</v>
      </c>
      <c r="M25" s="53">
        <v>82.09</v>
      </c>
      <c r="N25" s="53">
        <v>65.2</v>
      </c>
      <c r="O25" s="53">
        <v>0</v>
      </c>
      <c r="P25" s="53">
        <v>0.83</v>
      </c>
      <c r="Q25" s="53">
        <v>9.6199999999999992</v>
      </c>
      <c r="R25" s="43"/>
      <c r="S25" s="43"/>
      <c r="T25" s="43"/>
      <c r="U25" s="43"/>
    </row>
    <row r="26" spans="1:21" s="11" customFormat="1" x14ac:dyDescent="0.25">
      <c r="A26" s="52" t="s">
        <v>749</v>
      </c>
      <c r="B26" s="53">
        <v>18.32</v>
      </c>
      <c r="C26" s="53">
        <v>18.32</v>
      </c>
      <c r="D26" s="53">
        <v>21.67</v>
      </c>
      <c r="E26" s="53">
        <v>5.76</v>
      </c>
      <c r="F26" s="53">
        <v>4.16</v>
      </c>
      <c r="G26" s="53">
        <v>67.010000000000005</v>
      </c>
      <c r="H26" s="53">
        <v>32.130000000000003</v>
      </c>
      <c r="I26" s="53">
        <v>5.03</v>
      </c>
      <c r="J26" s="53">
        <v>1.1100000000000001</v>
      </c>
      <c r="K26" s="53">
        <v>340.74</v>
      </c>
      <c r="L26" s="53">
        <v>25.94</v>
      </c>
      <c r="M26" s="53">
        <v>92.5</v>
      </c>
      <c r="N26" s="53">
        <v>36.9</v>
      </c>
      <c r="O26" s="53">
        <v>0</v>
      </c>
      <c r="P26" s="53">
        <v>1.27</v>
      </c>
      <c r="Q26" s="53">
        <v>9.6199999999999992</v>
      </c>
      <c r="R26" s="43"/>
      <c r="S26" s="43"/>
      <c r="T26" s="43"/>
      <c r="U26" s="43"/>
    </row>
    <row r="27" spans="1:21" s="11" customFormat="1" x14ac:dyDescent="0.25">
      <c r="A27" s="52" t="s">
        <v>750</v>
      </c>
      <c r="B27" s="53">
        <v>17.7</v>
      </c>
      <c r="C27" s="53">
        <v>15.53</v>
      </c>
      <c r="D27" s="53">
        <v>20.93</v>
      </c>
      <c r="E27" s="53">
        <v>5.29</v>
      </c>
      <c r="F27" s="53">
        <v>4.95</v>
      </c>
      <c r="G27" s="53">
        <v>66.41</v>
      </c>
      <c r="H27" s="53">
        <v>29.3</v>
      </c>
      <c r="I27" s="53">
        <v>4.88</v>
      </c>
      <c r="J27" s="53">
        <v>1.8</v>
      </c>
      <c r="K27" s="53">
        <v>117.86</v>
      </c>
      <c r="L27" s="53">
        <v>24.39</v>
      </c>
      <c r="M27" s="53">
        <v>98.29</v>
      </c>
      <c r="N27" s="53">
        <v>27.6</v>
      </c>
      <c r="O27" s="53">
        <v>0</v>
      </c>
      <c r="P27" s="53">
        <v>0.77</v>
      </c>
      <c r="Q27" s="53">
        <v>9.6300000000000008</v>
      </c>
      <c r="R27" s="43"/>
      <c r="S27" s="43"/>
      <c r="T27" s="43"/>
      <c r="U27" s="43"/>
    </row>
    <row r="28" spans="1:21" s="11" customFormat="1" x14ac:dyDescent="0.25">
      <c r="A28" s="52" t="s">
        <v>751</v>
      </c>
      <c r="B28" s="53">
        <v>12.73</v>
      </c>
      <c r="C28" s="53">
        <v>13.3</v>
      </c>
      <c r="D28" s="53">
        <v>15.51</v>
      </c>
      <c r="E28" s="53">
        <v>4.97</v>
      </c>
      <c r="F28" s="53">
        <v>4.47</v>
      </c>
      <c r="G28" s="53">
        <v>64.14</v>
      </c>
      <c r="H28" s="53">
        <v>28.02</v>
      </c>
      <c r="I28" s="53">
        <v>6.32</v>
      </c>
      <c r="J28" s="53">
        <v>1.19</v>
      </c>
      <c r="K28" s="53">
        <v>116.15</v>
      </c>
      <c r="L28" s="53">
        <v>24.2</v>
      </c>
      <c r="M28" s="53">
        <v>98.85</v>
      </c>
      <c r="N28" s="53">
        <v>26.5</v>
      </c>
      <c r="O28" s="53">
        <v>0</v>
      </c>
      <c r="P28" s="53">
        <v>0.77</v>
      </c>
      <c r="Q28" s="53">
        <v>9.6300000000000008</v>
      </c>
      <c r="R28" s="43"/>
      <c r="S28" s="43"/>
      <c r="T28" s="43"/>
      <c r="U28" s="43"/>
    </row>
    <row r="29" spans="1:21" s="11" customFormat="1" x14ac:dyDescent="0.25">
      <c r="A29" s="52" t="s">
        <v>752</v>
      </c>
      <c r="B29" s="53">
        <v>9.08</v>
      </c>
      <c r="C29" s="53">
        <v>12.91</v>
      </c>
      <c r="D29" s="53">
        <v>12.64</v>
      </c>
      <c r="E29" s="53">
        <v>4.8</v>
      </c>
      <c r="F29" s="53">
        <v>4.99</v>
      </c>
      <c r="G29" s="53">
        <v>48.1</v>
      </c>
      <c r="H29" s="53">
        <v>24.81</v>
      </c>
      <c r="I29" s="53">
        <v>6.02</v>
      </c>
      <c r="J29" s="53">
        <v>0.98</v>
      </c>
      <c r="K29" s="53">
        <v>117.8</v>
      </c>
      <c r="L29" s="53">
        <v>24.3</v>
      </c>
      <c r="M29" s="53">
        <v>99.25</v>
      </c>
      <c r="N29" s="53">
        <v>26.4</v>
      </c>
      <c r="O29" s="53">
        <v>0</v>
      </c>
      <c r="P29" s="53">
        <v>0.68</v>
      </c>
      <c r="Q29" s="53">
        <v>9.6199999999999992</v>
      </c>
      <c r="R29" s="43"/>
      <c r="S29" s="43"/>
      <c r="T29" s="43"/>
      <c r="U29" s="43"/>
    </row>
    <row r="30" spans="1:21" s="11" customFormat="1" x14ac:dyDescent="0.25">
      <c r="A30" s="52" t="s">
        <v>753</v>
      </c>
      <c r="B30" s="53">
        <v>8.7200000000000006</v>
      </c>
      <c r="C30" s="53">
        <v>12.92</v>
      </c>
      <c r="D30" s="53">
        <v>12.06</v>
      </c>
      <c r="E30" s="53">
        <v>4.76</v>
      </c>
      <c r="F30" s="53">
        <v>4.05</v>
      </c>
      <c r="G30" s="53">
        <v>39.68</v>
      </c>
      <c r="H30" s="53">
        <v>22.24</v>
      </c>
      <c r="I30" s="53">
        <v>5.79</v>
      </c>
      <c r="J30" s="53">
        <v>0.68</v>
      </c>
      <c r="K30" s="53">
        <v>122.71</v>
      </c>
      <c r="L30" s="53">
        <v>24.07</v>
      </c>
      <c r="M30" s="53">
        <v>101.01</v>
      </c>
      <c r="N30" s="53">
        <v>26.5</v>
      </c>
      <c r="O30" s="53">
        <v>0</v>
      </c>
      <c r="P30" s="53">
        <v>0.68</v>
      </c>
      <c r="Q30" s="53">
        <v>9.6300000000000008</v>
      </c>
      <c r="R30" s="43"/>
      <c r="S30" s="43"/>
      <c r="T30" s="43"/>
      <c r="U30" s="43"/>
    </row>
    <row r="31" spans="1:21" s="11" customFormat="1" x14ac:dyDescent="0.25">
      <c r="A31" s="52" t="s">
        <v>684</v>
      </c>
      <c r="B31" s="53">
        <v>8.68</v>
      </c>
      <c r="C31" s="53">
        <v>10.62</v>
      </c>
      <c r="D31" s="53">
        <v>10.99</v>
      </c>
      <c r="E31" s="53">
        <v>4.83</v>
      </c>
      <c r="F31" s="53">
        <v>4.13</v>
      </c>
      <c r="G31" s="53">
        <v>34.71</v>
      </c>
      <c r="H31" s="53">
        <v>18.670000000000002</v>
      </c>
      <c r="I31" s="53">
        <v>3.15</v>
      </c>
      <c r="J31" s="53">
        <v>1.02</v>
      </c>
      <c r="K31" s="53">
        <v>121.22</v>
      </c>
      <c r="L31" s="53">
        <v>23.83</v>
      </c>
      <c r="M31" s="53">
        <v>100.92</v>
      </c>
      <c r="N31" s="53">
        <v>26.3</v>
      </c>
      <c r="O31" s="53">
        <v>0</v>
      </c>
      <c r="P31" s="53">
        <v>0.6</v>
      </c>
      <c r="Q31" s="53">
        <v>9.6300000000000008</v>
      </c>
      <c r="R31" s="43"/>
      <c r="S31" s="43"/>
      <c r="T31" s="43"/>
      <c r="U31" s="43"/>
    </row>
    <row r="32" spans="1:21" s="11" customFormat="1" x14ac:dyDescent="0.25">
      <c r="A32" s="52" t="s">
        <v>685</v>
      </c>
      <c r="B32" s="53">
        <v>9.16</v>
      </c>
      <c r="C32" s="53">
        <v>10.88</v>
      </c>
      <c r="D32" s="53">
        <v>11.64</v>
      </c>
      <c r="E32" s="53">
        <v>4.75</v>
      </c>
      <c r="F32" s="53">
        <v>4.34</v>
      </c>
      <c r="G32" s="53">
        <v>40.86</v>
      </c>
      <c r="H32" s="53">
        <v>17.760000000000002</v>
      </c>
      <c r="I32" s="53">
        <v>4.42</v>
      </c>
      <c r="J32" s="53">
        <v>0.99</v>
      </c>
      <c r="K32" s="53">
        <v>111.44</v>
      </c>
      <c r="L32" s="53">
        <v>23.82</v>
      </c>
      <c r="M32" s="53">
        <v>101.48</v>
      </c>
      <c r="N32" s="53">
        <v>26.5</v>
      </c>
      <c r="O32" s="53">
        <v>0</v>
      </c>
      <c r="P32" s="53">
        <v>0.62</v>
      </c>
      <c r="Q32" s="53">
        <v>9.6199999999999992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8.68</v>
      </c>
      <c r="C34" s="28">
        <f t="shared" si="0"/>
        <v>10.62</v>
      </c>
      <c r="D34" s="28">
        <f t="shared" si="0"/>
        <v>10.99</v>
      </c>
      <c r="E34" s="28">
        <f t="shared" si="0"/>
        <v>3.77</v>
      </c>
      <c r="F34" s="28">
        <f t="shared" si="0"/>
        <v>3.63</v>
      </c>
      <c r="G34" s="28">
        <f t="shared" si="0"/>
        <v>34.71</v>
      </c>
      <c r="H34" s="28">
        <f t="shared" si="0"/>
        <v>17.760000000000002</v>
      </c>
      <c r="I34" s="28">
        <f t="shared" si="0"/>
        <v>3.09</v>
      </c>
      <c r="J34" s="28">
        <f t="shared" si="0"/>
        <v>0.68</v>
      </c>
      <c r="K34" s="28">
        <f t="shared" si="0"/>
        <v>111.44</v>
      </c>
      <c r="L34" s="28">
        <f t="shared" si="0"/>
        <v>22.22</v>
      </c>
      <c r="M34" s="28">
        <f t="shared" si="0"/>
        <v>62.51</v>
      </c>
      <c r="N34" s="28">
        <f t="shared" si="0"/>
        <v>26.1</v>
      </c>
      <c r="O34" s="28">
        <f t="shared" si="0"/>
        <v>0</v>
      </c>
      <c r="P34" s="28">
        <f t="shared" si="0"/>
        <v>0.6</v>
      </c>
      <c r="Q34" s="28">
        <f t="shared" si="0"/>
        <v>9.6199999999999992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35.14</v>
      </c>
      <c r="C35" s="29">
        <f t="shared" si="1"/>
        <v>18.88</v>
      </c>
      <c r="D35" s="29">
        <f t="shared" si="1"/>
        <v>35.92</v>
      </c>
      <c r="E35" s="29">
        <f t="shared" si="1"/>
        <v>7.09</v>
      </c>
      <c r="F35" s="29">
        <f t="shared" si="1"/>
        <v>5.2</v>
      </c>
      <c r="G35" s="29">
        <f t="shared" si="1"/>
        <v>94.87</v>
      </c>
      <c r="H35" s="29">
        <f t="shared" si="1"/>
        <v>42.88</v>
      </c>
      <c r="I35" s="29">
        <f t="shared" si="1"/>
        <v>6.32</v>
      </c>
      <c r="J35" s="29">
        <f t="shared" si="1"/>
        <v>2.1</v>
      </c>
      <c r="K35" s="29">
        <f t="shared" si="1"/>
        <v>348.87</v>
      </c>
      <c r="L35" s="29">
        <f t="shared" si="1"/>
        <v>31.29</v>
      </c>
      <c r="M35" s="29">
        <f t="shared" si="1"/>
        <v>101.48</v>
      </c>
      <c r="N35" s="29">
        <f t="shared" si="1"/>
        <v>523.70000000000005</v>
      </c>
      <c r="O35" s="29">
        <f t="shared" si="1"/>
        <v>0</v>
      </c>
      <c r="P35" s="29">
        <f t="shared" si="1"/>
        <v>1.27</v>
      </c>
      <c r="Q35" s="29">
        <f t="shared" si="1"/>
        <v>9.64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18.145833333333336</v>
      </c>
      <c r="C36" s="28">
        <f t="shared" si="2"/>
        <v>14.937083333333335</v>
      </c>
      <c r="D36" s="28">
        <f t="shared" si="2"/>
        <v>20.761249999999997</v>
      </c>
      <c r="E36" s="28">
        <f t="shared" si="2"/>
        <v>5.3591666666666669</v>
      </c>
      <c r="F36" s="28">
        <f t="shared" si="2"/>
        <v>4.4449999999999994</v>
      </c>
      <c r="G36" s="28">
        <f t="shared" si="2"/>
        <v>66.616666666666674</v>
      </c>
      <c r="H36" s="28">
        <f t="shared" si="2"/>
        <v>31.580416666666661</v>
      </c>
      <c r="I36" s="28">
        <f t="shared" si="2"/>
        <v>4.7487500000000002</v>
      </c>
      <c r="J36" s="28">
        <f t="shared" si="2"/>
        <v>1.3829166666666668</v>
      </c>
      <c r="K36" s="28">
        <f t="shared" si="2"/>
        <v>286.63124999999997</v>
      </c>
      <c r="L36" s="28">
        <f t="shared" si="2"/>
        <v>25.798750000000002</v>
      </c>
      <c r="M36" s="28">
        <f t="shared" si="2"/>
        <v>85.994583333333324</v>
      </c>
      <c r="N36" s="28">
        <f t="shared" si="2"/>
        <v>139.22916666666666</v>
      </c>
      <c r="O36" s="28">
        <f t="shared" si="2"/>
        <v>0</v>
      </c>
      <c r="P36" s="28">
        <f t="shared" si="2"/>
        <v>0.78041666666666665</v>
      </c>
      <c r="Q36" s="28">
        <f t="shared" si="2"/>
        <v>9.6270833333333332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7.1946434885639867</v>
      </c>
      <c r="C37" s="28">
        <f t="shared" ref="C37:Q37" si="3">STDEV(C9:C32)</f>
        <v>2.4795397173961233</v>
      </c>
      <c r="D37" s="28">
        <f t="shared" si="3"/>
        <v>6.310104603625506</v>
      </c>
      <c r="E37" s="28">
        <f t="shared" si="3"/>
        <v>0.84605435464542789</v>
      </c>
      <c r="F37" s="28">
        <f t="shared" si="3"/>
        <v>0.41147666213074696</v>
      </c>
      <c r="G37" s="28">
        <f t="shared" si="3"/>
        <v>17.509318181711329</v>
      </c>
      <c r="H37" s="28">
        <f t="shared" si="3"/>
        <v>6.9508463539509187</v>
      </c>
      <c r="I37" s="28">
        <f t="shared" si="3"/>
        <v>0.77630290199906271</v>
      </c>
      <c r="J37" s="28">
        <f t="shared" si="3"/>
        <v>0.3927880185751999</v>
      </c>
      <c r="K37" s="28">
        <f t="shared" si="3"/>
        <v>99.595898960117282</v>
      </c>
      <c r="L37" s="28">
        <f t="shared" si="3"/>
        <v>2.803957316086426</v>
      </c>
      <c r="M37" s="28">
        <f t="shared" si="3"/>
        <v>11.128610593056322</v>
      </c>
      <c r="N37" s="28">
        <f t="shared" si="3"/>
        <v>163.36357020107204</v>
      </c>
      <c r="O37" s="28">
        <f t="shared" si="3"/>
        <v>0</v>
      </c>
      <c r="P37" s="28">
        <f t="shared" si="3"/>
        <v>0.14962210853453012</v>
      </c>
      <c r="Q37" s="28">
        <f t="shared" si="3"/>
        <v>6.2409354557091063E-3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66929133858267698" right="2.63779527559055" top="0.196850393700787" bottom="2.0866141732283499" header="0.31496062992126" footer="0.15748031496063"/>
  <pageSetup paperSize="9" scale="9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38" sqref="G38:H3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29/10/2024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686</v>
      </c>
      <c r="B9" s="53">
        <v>36.840000000000003</v>
      </c>
      <c r="C9" s="53">
        <v>11.89</v>
      </c>
      <c r="D9" s="53">
        <v>33.770000000000003</v>
      </c>
      <c r="E9" s="53">
        <v>5.67</v>
      </c>
      <c r="F9" s="53">
        <v>3.8</v>
      </c>
      <c r="G9" s="53">
        <v>49.49</v>
      </c>
      <c r="H9" s="53">
        <v>22.66</v>
      </c>
      <c r="I9" s="53">
        <v>4.0199999999999996</v>
      </c>
      <c r="J9" s="53">
        <v>0.78</v>
      </c>
      <c r="K9" s="53">
        <v>324.39</v>
      </c>
      <c r="L9" s="53">
        <v>24.35</v>
      </c>
      <c r="M9" s="53">
        <v>102.72</v>
      </c>
      <c r="N9" s="53">
        <v>26.3</v>
      </c>
      <c r="O9" s="53">
        <v>0</v>
      </c>
      <c r="P9" s="53">
        <v>1.02</v>
      </c>
      <c r="Q9" s="53">
        <v>9.6300000000000008</v>
      </c>
      <c r="R9" s="43"/>
      <c r="S9" s="43"/>
      <c r="T9" s="43"/>
      <c r="U9" s="43"/>
    </row>
    <row r="10" spans="1:21" s="11" customFormat="1" x14ac:dyDescent="0.25">
      <c r="A10" s="52" t="s">
        <v>687</v>
      </c>
      <c r="B10" s="53">
        <v>31.08</v>
      </c>
      <c r="C10" s="53">
        <v>11.03</v>
      </c>
      <c r="D10" s="53">
        <v>29.31</v>
      </c>
      <c r="E10" s="53">
        <v>5.71</v>
      </c>
      <c r="F10" s="53">
        <v>5.88</v>
      </c>
      <c r="G10" s="53">
        <v>49.49</v>
      </c>
      <c r="H10" s="53">
        <v>22.66</v>
      </c>
      <c r="I10" s="53">
        <v>5.9</v>
      </c>
      <c r="J10" s="53">
        <v>0.5</v>
      </c>
      <c r="K10" s="53">
        <v>293.33999999999997</v>
      </c>
      <c r="L10" s="53">
        <v>24.1</v>
      </c>
      <c r="M10" s="53">
        <v>102.73</v>
      </c>
      <c r="N10" s="53">
        <v>26.4</v>
      </c>
      <c r="O10" s="53">
        <v>0</v>
      </c>
      <c r="P10" s="53">
        <v>0.99</v>
      </c>
      <c r="Q10" s="53">
        <v>9.6300000000000008</v>
      </c>
      <c r="R10" s="43"/>
      <c r="S10" s="43"/>
      <c r="T10" s="43"/>
      <c r="U10" s="43"/>
    </row>
    <row r="11" spans="1:21" s="11" customFormat="1" x14ac:dyDescent="0.25">
      <c r="A11" s="52" t="s">
        <v>688</v>
      </c>
      <c r="B11" s="53">
        <v>25.82</v>
      </c>
      <c r="C11" s="53">
        <v>9.81</v>
      </c>
      <c r="D11" s="53">
        <v>24.45</v>
      </c>
      <c r="E11" s="53">
        <v>5.45</v>
      </c>
      <c r="F11" s="53">
        <v>4.91</v>
      </c>
      <c r="G11" s="53">
        <v>45.57</v>
      </c>
      <c r="H11" s="53">
        <v>20.63</v>
      </c>
      <c r="I11" s="53">
        <v>5.39</v>
      </c>
      <c r="J11" s="53">
        <v>0.48</v>
      </c>
      <c r="K11" s="53">
        <v>306.77999999999997</v>
      </c>
      <c r="L11" s="53">
        <v>23.56</v>
      </c>
      <c r="M11" s="53">
        <v>102.73</v>
      </c>
      <c r="N11" s="53">
        <v>26.2</v>
      </c>
      <c r="O11" s="53">
        <v>0</v>
      </c>
      <c r="P11" s="53">
        <v>0.89</v>
      </c>
      <c r="Q11" s="53">
        <v>9.64</v>
      </c>
      <c r="R11" s="43"/>
      <c r="S11" s="43"/>
      <c r="T11" s="43"/>
      <c r="U11" s="43"/>
    </row>
    <row r="12" spans="1:21" s="11" customFormat="1" x14ac:dyDescent="0.25">
      <c r="A12" s="52" t="s">
        <v>689</v>
      </c>
      <c r="B12" s="53">
        <v>22.08</v>
      </c>
      <c r="C12" s="53">
        <v>8.23</v>
      </c>
      <c r="D12" s="53">
        <v>20.63</v>
      </c>
      <c r="E12" s="53">
        <v>5.1100000000000003</v>
      </c>
      <c r="F12" s="53">
        <v>4.22</v>
      </c>
      <c r="G12" s="53">
        <v>43.33</v>
      </c>
      <c r="H12" s="53">
        <v>20.63</v>
      </c>
      <c r="I12" s="53">
        <v>4.43</v>
      </c>
      <c r="J12" s="53">
        <v>0.35</v>
      </c>
      <c r="K12" s="53">
        <v>338.71</v>
      </c>
      <c r="L12" s="53">
        <v>23.2</v>
      </c>
      <c r="M12" s="53">
        <v>102.75</v>
      </c>
      <c r="N12" s="53">
        <v>26.1</v>
      </c>
      <c r="O12" s="53">
        <v>0</v>
      </c>
      <c r="P12" s="53">
        <v>0.54</v>
      </c>
      <c r="Q12" s="53">
        <v>9.6199999999999992</v>
      </c>
      <c r="R12" s="43"/>
      <c r="S12" s="43"/>
      <c r="T12" s="43"/>
      <c r="U12" s="43"/>
    </row>
    <row r="13" spans="1:21" s="11" customFormat="1" x14ac:dyDescent="0.25">
      <c r="A13" s="52" t="s">
        <v>690</v>
      </c>
      <c r="B13" s="53">
        <v>19.510000000000002</v>
      </c>
      <c r="C13" s="53">
        <v>8.56</v>
      </c>
      <c r="D13" s="53">
        <v>18.260000000000002</v>
      </c>
      <c r="E13" s="53">
        <v>4.8</v>
      </c>
      <c r="F13" s="53">
        <v>3.65</v>
      </c>
      <c r="G13" s="53">
        <v>43.33</v>
      </c>
      <c r="H13" s="53">
        <v>21.85</v>
      </c>
      <c r="I13" s="53">
        <v>4.1100000000000003</v>
      </c>
      <c r="J13" s="53">
        <v>0.63</v>
      </c>
      <c r="K13" s="53">
        <v>343.66</v>
      </c>
      <c r="L13" s="53">
        <v>23.45</v>
      </c>
      <c r="M13" s="53">
        <v>102.75</v>
      </c>
      <c r="N13" s="53">
        <v>26.2</v>
      </c>
      <c r="O13" s="53">
        <v>0</v>
      </c>
      <c r="P13" s="53">
        <v>0.66</v>
      </c>
      <c r="Q13" s="53">
        <v>9.6199999999999992</v>
      </c>
      <c r="R13" s="43"/>
      <c r="S13" s="43"/>
      <c r="T13" s="43"/>
      <c r="U13" s="43"/>
    </row>
    <row r="14" spans="1:21" s="11" customFormat="1" x14ac:dyDescent="0.25">
      <c r="A14" s="52" t="s">
        <v>691</v>
      </c>
      <c r="B14" s="53">
        <v>17.93</v>
      </c>
      <c r="C14" s="53">
        <v>8.6999999999999993</v>
      </c>
      <c r="D14" s="53">
        <v>17.55</v>
      </c>
      <c r="E14" s="53">
        <v>5.17</v>
      </c>
      <c r="F14" s="53">
        <v>4.2699999999999996</v>
      </c>
      <c r="G14" s="53">
        <v>44.3</v>
      </c>
      <c r="H14" s="53">
        <v>21.85</v>
      </c>
      <c r="I14" s="53">
        <v>5.59</v>
      </c>
      <c r="J14" s="53">
        <v>0.53</v>
      </c>
      <c r="K14" s="53">
        <v>330.43</v>
      </c>
      <c r="L14" s="53">
        <v>23.17</v>
      </c>
      <c r="M14" s="53">
        <v>102.75</v>
      </c>
      <c r="N14" s="53">
        <v>27</v>
      </c>
      <c r="O14" s="53">
        <v>0</v>
      </c>
      <c r="P14" s="53">
        <v>0.69</v>
      </c>
      <c r="Q14" s="53">
        <v>9.6199999999999992</v>
      </c>
      <c r="R14" s="43"/>
      <c r="S14" s="43"/>
      <c r="T14" s="43"/>
      <c r="U14" s="43"/>
    </row>
    <row r="15" spans="1:21" s="11" customFormat="1" x14ac:dyDescent="0.25">
      <c r="A15" s="52" t="s">
        <v>692</v>
      </c>
      <c r="B15" s="53">
        <v>19.13</v>
      </c>
      <c r="C15" s="53">
        <v>8.7899999999999991</v>
      </c>
      <c r="D15" s="53">
        <v>18.39</v>
      </c>
      <c r="E15" s="53">
        <v>5.03</v>
      </c>
      <c r="F15" s="53">
        <v>4.3499999999999996</v>
      </c>
      <c r="G15" s="53">
        <v>44.3</v>
      </c>
      <c r="H15" s="53">
        <v>21.57</v>
      </c>
      <c r="I15" s="53">
        <v>5.14</v>
      </c>
      <c r="J15" s="53">
        <v>0.46</v>
      </c>
      <c r="K15" s="53">
        <v>314.33999999999997</v>
      </c>
      <c r="L15" s="53">
        <v>23.68</v>
      </c>
      <c r="M15" s="53">
        <v>102.75</v>
      </c>
      <c r="N15" s="53">
        <v>78.8</v>
      </c>
      <c r="O15" s="53">
        <v>0</v>
      </c>
      <c r="P15" s="53">
        <v>0.72</v>
      </c>
      <c r="Q15" s="53">
        <v>9.61</v>
      </c>
      <c r="R15" s="43"/>
      <c r="S15" s="43"/>
      <c r="T15" s="43"/>
      <c r="U15" s="43"/>
    </row>
    <row r="16" spans="1:21" s="11" customFormat="1" x14ac:dyDescent="0.25">
      <c r="A16" s="52" t="s">
        <v>693</v>
      </c>
      <c r="B16" s="53">
        <v>23.11</v>
      </c>
      <c r="C16" s="53">
        <v>9.06</v>
      </c>
      <c r="D16" s="53">
        <v>21.89</v>
      </c>
      <c r="E16" s="53">
        <v>5.55</v>
      </c>
      <c r="F16" s="53">
        <v>5.49</v>
      </c>
      <c r="G16" s="53">
        <v>55.67</v>
      </c>
      <c r="H16" s="53">
        <v>24</v>
      </c>
      <c r="I16" s="53">
        <v>5.38</v>
      </c>
      <c r="J16" s="53">
        <v>1.03</v>
      </c>
      <c r="K16" s="53">
        <v>345.15</v>
      </c>
      <c r="L16" s="53">
        <v>27.59</v>
      </c>
      <c r="M16" s="53">
        <v>102.39</v>
      </c>
      <c r="N16" s="53">
        <v>230.1</v>
      </c>
      <c r="O16" s="53">
        <v>0</v>
      </c>
      <c r="P16" s="53">
        <v>0.88</v>
      </c>
      <c r="Q16" s="53">
        <v>9.6199999999999992</v>
      </c>
      <c r="R16" s="43"/>
      <c r="S16" s="43"/>
      <c r="T16" s="43"/>
      <c r="U16" s="43"/>
    </row>
    <row r="17" spans="1:21" s="11" customFormat="1" x14ac:dyDescent="0.25">
      <c r="A17" s="52" t="s">
        <v>694</v>
      </c>
      <c r="B17" s="53">
        <v>22.93</v>
      </c>
      <c r="C17" s="53">
        <v>9.5500000000000007</v>
      </c>
      <c r="D17" s="53">
        <v>21.76</v>
      </c>
      <c r="E17" s="53">
        <v>5.47</v>
      </c>
      <c r="F17" s="53">
        <v>3.74</v>
      </c>
      <c r="G17" s="53">
        <v>55.67</v>
      </c>
      <c r="H17" s="53">
        <v>25.05</v>
      </c>
      <c r="I17" s="53">
        <v>4.8099999999999996</v>
      </c>
      <c r="J17" s="53">
        <v>1.69</v>
      </c>
      <c r="K17" s="53">
        <v>125.43</v>
      </c>
      <c r="L17" s="53">
        <v>27.27</v>
      </c>
      <c r="M17" s="53">
        <v>93.38</v>
      </c>
      <c r="N17" s="53">
        <v>406.4</v>
      </c>
      <c r="O17" s="53">
        <v>0</v>
      </c>
      <c r="P17" s="53">
        <v>0.73</v>
      </c>
      <c r="Q17" s="53">
        <v>9.6300000000000008</v>
      </c>
      <c r="R17" s="43"/>
      <c r="S17" s="43"/>
      <c r="T17" s="43"/>
      <c r="U17" s="43"/>
    </row>
    <row r="18" spans="1:21" s="11" customFormat="1" x14ac:dyDescent="0.25">
      <c r="A18" s="52" t="s">
        <v>695</v>
      </c>
      <c r="B18" s="53">
        <v>19.37</v>
      </c>
      <c r="C18" s="53">
        <v>10.9</v>
      </c>
      <c r="D18" s="53">
        <v>19.54</v>
      </c>
      <c r="E18" s="53">
        <v>5.29</v>
      </c>
      <c r="F18" s="53">
        <v>4.43</v>
      </c>
      <c r="G18" s="53">
        <v>54.51</v>
      </c>
      <c r="H18" s="53">
        <v>25.05</v>
      </c>
      <c r="I18" s="53">
        <v>7.9</v>
      </c>
      <c r="J18" s="53">
        <v>1.37</v>
      </c>
      <c r="K18" s="53">
        <v>122.71</v>
      </c>
      <c r="L18" s="53">
        <v>28.49</v>
      </c>
      <c r="M18" s="53">
        <v>91.03</v>
      </c>
      <c r="N18" s="53">
        <v>574</v>
      </c>
      <c r="O18" s="53">
        <v>0</v>
      </c>
      <c r="P18" s="53">
        <v>0.71</v>
      </c>
      <c r="Q18" s="53">
        <v>9.6300000000000008</v>
      </c>
      <c r="R18" s="43"/>
      <c r="S18" s="43"/>
      <c r="T18" s="43"/>
      <c r="U18" s="43"/>
    </row>
    <row r="19" spans="1:21" s="11" customFormat="1" x14ac:dyDescent="0.25">
      <c r="A19" s="52" t="s">
        <v>696</v>
      </c>
      <c r="B19" s="53">
        <v>12.78</v>
      </c>
      <c r="C19" s="53">
        <v>17.38</v>
      </c>
      <c r="D19" s="53">
        <v>16.52</v>
      </c>
      <c r="E19" s="53">
        <v>5.71</v>
      </c>
      <c r="F19" s="53">
        <v>4.93</v>
      </c>
      <c r="G19" s="53">
        <v>53</v>
      </c>
      <c r="H19" s="53">
        <v>22.17</v>
      </c>
      <c r="I19" s="53">
        <v>7.81</v>
      </c>
      <c r="J19" s="53">
        <v>1.19</v>
      </c>
      <c r="K19" s="53">
        <v>338.03</v>
      </c>
      <c r="L19" s="53">
        <v>31.16</v>
      </c>
      <c r="M19" s="53">
        <v>80.25</v>
      </c>
      <c r="N19" s="53">
        <v>581.5</v>
      </c>
      <c r="O19" s="53">
        <v>0</v>
      </c>
      <c r="P19" s="53">
        <v>0.66</v>
      </c>
      <c r="Q19" s="53">
        <v>9.6300000000000008</v>
      </c>
      <c r="R19" s="43"/>
      <c r="S19" s="43"/>
      <c r="T19" s="43"/>
      <c r="U19" s="43"/>
    </row>
    <row r="20" spans="1:21" s="11" customFormat="1" x14ac:dyDescent="0.25">
      <c r="A20" s="52" t="s">
        <v>697</v>
      </c>
      <c r="B20" s="53">
        <v>8.06</v>
      </c>
      <c r="C20" s="53">
        <v>24.79</v>
      </c>
      <c r="D20" s="53">
        <v>14.83</v>
      </c>
      <c r="E20" s="53">
        <v>6.36</v>
      </c>
      <c r="F20" s="53">
        <v>7.69</v>
      </c>
      <c r="G20" s="55" t="s">
        <v>12</v>
      </c>
      <c r="H20" s="55" t="s">
        <v>12</v>
      </c>
      <c r="I20" s="53">
        <v>5.86</v>
      </c>
      <c r="J20" s="53">
        <v>1.25</v>
      </c>
      <c r="K20" s="53">
        <v>336.54</v>
      </c>
      <c r="L20" s="53">
        <v>33.01</v>
      </c>
      <c r="M20" s="53">
        <v>68.08</v>
      </c>
      <c r="N20" s="53">
        <v>696.2</v>
      </c>
      <c r="O20" s="53">
        <v>0</v>
      </c>
      <c r="P20" s="53">
        <v>0.62</v>
      </c>
      <c r="Q20" s="53">
        <v>9.6199999999999992</v>
      </c>
      <c r="R20" s="43"/>
      <c r="S20" s="43"/>
      <c r="T20" s="43"/>
      <c r="U20" s="43"/>
    </row>
    <row r="21" spans="1:21" s="11" customFormat="1" x14ac:dyDescent="0.25">
      <c r="A21" s="52" t="s">
        <v>698</v>
      </c>
      <c r="B21" s="53">
        <v>2.2799999999999998</v>
      </c>
      <c r="C21" s="53">
        <v>21.62</v>
      </c>
      <c r="D21" s="53">
        <v>11.74</v>
      </c>
      <c r="E21" s="53">
        <v>6.74</v>
      </c>
      <c r="F21" s="53">
        <v>6.39</v>
      </c>
      <c r="G21" s="53">
        <v>48.46</v>
      </c>
      <c r="H21" s="53">
        <v>12.62</v>
      </c>
      <c r="I21" s="53">
        <v>3.75</v>
      </c>
      <c r="J21" s="53">
        <v>1.88</v>
      </c>
      <c r="K21" s="53">
        <v>335.78</v>
      </c>
      <c r="L21" s="53">
        <v>33.409999999999997</v>
      </c>
      <c r="M21" s="53">
        <v>65.06</v>
      </c>
      <c r="N21" s="53">
        <v>674.6</v>
      </c>
      <c r="O21" s="53">
        <v>0</v>
      </c>
      <c r="P21" s="53">
        <v>0.6</v>
      </c>
      <c r="Q21" s="53">
        <v>9.6300000000000008</v>
      </c>
      <c r="R21" s="43"/>
      <c r="S21" s="43"/>
      <c r="T21" s="43"/>
      <c r="U21" s="43"/>
    </row>
    <row r="22" spans="1:21" s="11" customFormat="1" x14ac:dyDescent="0.25">
      <c r="A22" s="52" t="s">
        <v>699</v>
      </c>
      <c r="B22" s="53">
        <v>3.6</v>
      </c>
      <c r="C22" s="53">
        <v>29.8</v>
      </c>
      <c r="D22" s="53">
        <v>16.62</v>
      </c>
      <c r="E22" s="53">
        <v>9.66</v>
      </c>
      <c r="F22" s="53">
        <v>8.3000000000000007</v>
      </c>
      <c r="G22" s="53">
        <v>48.46</v>
      </c>
      <c r="H22" s="53">
        <v>12.62</v>
      </c>
      <c r="I22" s="53">
        <v>4.18</v>
      </c>
      <c r="J22" s="53">
        <v>0.78</v>
      </c>
      <c r="K22" s="53">
        <v>343.76</v>
      </c>
      <c r="L22" s="53">
        <v>32.92</v>
      </c>
      <c r="M22" s="53">
        <v>57.62</v>
      </c>
      <c r="N22" s="53">
        <v>448.1</v>
      </c>
      <c r="O22" s="53">
        <v>0</v>
      </c>
      <c r="P22" s="53">
        <v>0.7</v>
      </c>
      <c r="Q22" s="53">
        <v>9.6300000000000008</v>
      </c>
      <c r="R22" s="43"/>
      <c r="S22" s="43"/>
      <c r="T22" s="43"/>
      <c r="U22" s="43"/>
    </row>
    <row r="23" spans="1:21" s="11" customFormat="1" x14ac:dyDescent="0.25">
      <c r="A23" s="52" t="s">
        <v>700</v>
      </c>
      <c r="B23" s="53">
        <v>5.7</v>
      </c>
      <c r="C23" s="53">
        <v>25.68</v>
      </c>
      <c r="D23" s="53">
        <v>14.71</v>
      </c>
      <c r="E23" s="53">
        <v>7.79</v>
      </c>
      <c r="F23" s="53">
        <v>5.42</v>
      </c>
      <c r="G23" s="53">
        <v>59.06</v>
      </c>
      <c r="H23" s="53">
        <v>13.93</v>
      </c>
      <c r="I23" s="53">
        <v>3.42</v>
      </c>
      <c r="J23" s="53">
        <v>1.45</v>
      </c>
      <c r="K23" s="53">
        <v>338.6</v>
      </c>
      <c r="L23" s="53">
        <v>31.82</v>
      </c>
      <c r="M23" s="53">
        <v>59.42</v>
      </c>
      <c r="N23" s="53">
        <v>239.7</v>
      </c>
      <c r="O23" s="53">
        <v>0</v>
      </c>
      <c r="P23" s="53">
        <v>0.78</v>
      </c>
      <c r="Q23" s="53">
        <v>9.6300000000000008</v>
      </c>
      <c r="R23" s="43"/>
      <c r="S23" s="43"/>
      <c r="T23" s="43"/>
      <c r="U23" s="43"/>
    </row>
    <row r="24" spans="1:21" s="11" customFormat="1" x14ac:dyDescent="0.25">
      <c r="A24" s="52" t="s">
        <v>701</v>
      </c>
      <c r="B24" s="53">
        <v>7.08</v>
      </c>
      <c r="C24" s="53">
        <v>20.77</v>
      </c>
      <c r="D24" s="53">
        <v>14.44</v>
      </c>
      <c r="E24" s="53">
        <v>6.73</v>
      </c>
      <c r="F24" s="53">
        <v>4.9000000000000004</v>
      </c>
      <c r="G24" s="53">
        <v>59.06</v>
      </c>
      <c r="H24" s="53">
        <v>16.600000000000001</v>
      </c>
      <c r="I24" s="53">
        <v>4.0199999999999996</v>
      </c>
      <c r="J24" s="53">
        <v>1.6</v>
      </c>
      <c r="K24" s="53">
        <v>350.18</v>
      </c>
      <c r="L24" s="53">
        <v>30.64</v>
      </c>
      <c r="M24" s="53">
        <v>63.75</v>
      </c>
      <c r="N24" s="53">
        <v>111.6</v>
      </c>
      <c r="O24" s="53">
        <v>0</v>
      </c>
      <c r="P24" s="53">
        <v>0.81</v>
      </c>
      <c r="Q24" s="53">
        <v>9.6300000000000008</v>
      </c>
      <c r="R24" s="43"/>
      <c r="S24" s="43"/>
      <c r="T24" s="43"/>
      <c r="U24" s="43"/>
    </row>
    <row r="25" spans="1:21" s="11" customFormat="1" x14ac:dyDescent="0.25">
      <c r="A25" s="52" t="s">
        <v>702</v>
      </c>
      <c r="B25" s="53">
        <v>6.87</v>
      </c>
      <c r="C25" s="53">
        <v>24.65</v>
      </c>
      <c r="D25" s="53">
        <v>16.61</v>
      </c>
      <c r="E25" s="53">
        <v>6.88</v>
      </c>
      <c r="F25" s="53">
        <v>5.69</v>
      </c>
      <c r="G25" s="53">
        <v>52.79</v>
      </c>
      <c r="H25" s="53">
        <v>16.600000000000001</v>
      </c>
      <c r="I25" s="53">
        <v>2.67</v>
      </c>
      <c r="J25" s="53">
        <v>1.68</v>
      </c>
      <c r="K25" s="53">
        <v>339.87</v>
      </c>
      <c r="L25" s="53">
        <v>30.15</v>
      </c>
      <c r="M25" s="53">
        <v>73.959999999999994</v>
      </c>
      <c r="N25" s="53">
        <v>71.900000000000006</v>
      </c>
      <c r="O25" s="53">
        <v>0</v>
      </c>
      <c r="P25" s="53">
        <v>0.89</v>
      </c>
      <c r="Q25" s="53">
        <v>9.6199999999999992</v>
      </c>
      <c r="R25" s="43"/>
      <c r="S25" s="43"/>
      <c r="T25" s="43"/>
      <c r="U25" s="43"/>
    </row>
    <row r="26" spans="1:21" s="11" customFormat="1" x14ac:dyDescent="0.25">
      <c r="A26" s="52" t="s">
        <v>703</v>
      </c>
      <c r="B26" s="53">
        <v>9.4499999999999993</v>
      </c>
      <c r="C26" s="53">
        <v>21.84</v>
      </c>
      <c r="D26" s="53">
        <v>16.68</v>
      </c>
      <c r="E26" s="53">
        <v>5.94</v>
      </c>
      <c r="F26" s="53">
        <v>4.88</v>
      </c>
      <c r="G26" s="53">
        <v>62.27</v>
      </c>
      <c r="H26" s="53">
        <v>21.07</v>
      </c>
      <c r="I26" s="53">
        <v>3.98</v>
      </c>
      <c r="J26" s="53">
        <v>1.08</v>
      </c>
      <c r="K26" s="53">
        <v>340.27</v>
      </c>
      <c r="L26" s="53">
        <v>28.13</v>
      </c>
      <c r="M26" s="53">
        <v>79.400000000000006</v>
      </c>
      <c r="N26" s="53">
        <v>38.700000000000003</v>
      </c>
      <c r="O26" s="53">
        <v>0</v>
      </c>
      <c r="P26" s="53">
        <v>1.1200000000000001</v>
      </c>
      <c r="Q26" s="53">
        <v>9.6300000000000008</v>
      </c>
      <c r="R26" s="43"/>
      <c r="S26" s="43"/>
      <c r="T26" s="43"/>
      <c r="U26" s="43"/>
    </row>
    <row r="27" spans="1:21" s="11" customFormat="1" x14ac:dyDescent="0.25">
      <c r="A27" s="52" t="s">
        <v>704</v>
      </c>
      <c r="B27" s="53">
        <v>9.01</v>
      </c>
      <c r="C27" s="53">
        <v>19.579999999999998</v>
      </c>
      <c r="D27" s="53">
        <v>16.079999999999998</v>
      </c>
      <c r="E27" s="53">
        <v>5.85</v>
      </c>
      <c r="F27" s="53">
        <v>4.3600000000000003</v>
      </c>
      <c r="G27" s="53">
        <v>62.27</v>
      </c>
      <c r="H27" s="53">
        <v>21.07</v>
      </c>
      <c r="I27" s="53">
        <v>3.41</v>
      </c>
      <c r="J27" s="53">
        <v>1.19</v>
      </c>
      <c r="K27" s="53">
        <v>121.22</v>
      </c>
      <c r="L27" s="53">
        <v>27.36</v>
      </c>
      <c r="M27" s="53">
        <v>87.29</v>
      </c>
      <c r="N27" s="53">
        <v>26.2</v>
      </c>
      <c r="O27" s="53">
        <v>0</v>
      </c>
      <c r="P27" s="53">
        <v>0.77</v>
      </c>
      <c r="Q27" s="53">
        <v>9.6300000000000008</v>
      </c>
      <c r="R27" s="43"/>
      <c r="S27" s="43"/>
      <c r="T27" s="43"/>
      <c r="U27" s="43"/>
    </row>
    <row r="28" spans="1:21" s="11" customFormat="1" x14ac:dyDescent="0.25">
      <c r="A28" s="52" t="s">
        <v>705</v>
      </c>
      <c r="B28" s="53">
        <v>6.94</v>
      </c>
      <c r="C28" s="53">
        <v>14.11</v>
      </c>
      <c r="D28" s="53">
        <v>11.56</v>
      </c>
      <c r="E28" s="53">
        <v>5.61</v>
      </c>
      <c r="F28" s="53">
        <v>5.26</v>
      </c>
      <c r="G28" s="53">
        <v>58.98</v>
      </c>
      <c r="H28" s="53">
        <v>19.98</v>
      </c>
      <c r="I28" s="53">
        <v>2.87</v>
      </c>
      <c r="J28" s="53">
        <v>1.1599999999999999</v>
      </c>
      <c r="K28" s="53">
        <v>124.35</v>
      </c>
      <c r="L28" s="53">
        <v>26.73</v>
      </c>
      <c r="M28" s="53">
        <v>88.04</v>
      </c>
      <c r="N28" s="53">
        <v>26.1</v>
      </c>
      <c r="O28" s="53">
        <v>0</v>
      </c>
      <c r="P28" s="53">
        <v>0.63</v>
      </c>
      <c r="Q28" s="53">
        <v>9.6199999999999992</v>
      </c>
      <c r="R28" s="43"/>
      <c r="S28" s="43"/>
      <c r="T28" s="43"/>
      <c r="U28" s="43"/>
    </row>
    <row r="29" spans="1:21" s="11" customFormat="1" x14ac:dyDescent="0.25">
      <c r="A29" s="52" t="s">
        <v>706</v>
      </c>
      <c r="B29" s="53">
        <v>6.04</v>
      </c>
      <c r="C29" s="53">
        <v>11.53</v>
      </c>
      <c r="D29" s="53">
        <v>9.49</v>
      </c>
      <c r="E29" s="53">
        <v>5.54</v>
      </c>
      <c r="F29" s="53">
        <v>4.3</v>
      </c>
      <c r="G29" s="53">
        <v>50.99</v>
      </c>
      <c r="H29" s="53">
        <v>19.170000000000002</v>
      </c>
      <c r="I29" s="53">
        <v>2.5299999999999998</v>
      </c>
      <c r="J29" s="53">
        <v>0.39</v>
      </c>
      <c r="K29" s="53">
        <v>245.61</v>
      </c>
      <c r="L29" s="53">
        <v>26.42</v>
      </c>
      <c r="M29" s="53">
        <v>90.26</v>
      </c>
      <c r="N29" s="53">
        <v>26.2</v>
      </c>
      <c r="O29" s="53">
        <v>0</v>
      </c>
      <c r="P29" s="53">
        <v>0.68</v>
      </c>
      <c r="Q29" s="53">
        <v>9.6300000000000008</v>
      </c>
      <c r="R29" s="43"/>
      <c r="S29" s="43"/>
      <c r="T29" s="43"/>
      <c r="U29" s="43"/>
    </row>
    <row r="30" spans="1:21" s="11" customFormat="1" x14ac:dyDescent="0.25">
      <c r="A30" s="52" t="s">
        <v>707</v>
      </c>
      <c r="B30" s="53">
        <v>9.18</v>
      </c>
      <c r="C30" s="53">
        <v>13.13</v>
      </c>
      <c r="D30" s="53">
        <v>12.62</v>
      </c>
      <c r="E30" s="53">
        <v>5.81</v>
      </c>
      <c r="F30" s="53">
        <v>3.81</v>
      </c>
      <c r="G30" s="53">
        <v>47.89</v>
      </c>
      <c r="H30" s="53">
        <v>20.190000000000001</v>
      </c>
      <c r="I30" s="53">
        <v>3.52</v>
      </c>
      <c r="J30" s="53">
        <v>0.4</v>
      </c>
      <c r="K30" s="53">
        <v>197.02</v>
      </c>
      <c r="L30" s="53">
        <v>25.81</v>
      </c>
      <c r="M30" s="53">
        <v>95.45</v>
      </c>
      <c r="N30" s="53">
        <v>26.2</v>
      </c>
      <c r="O30" s="53">
        <v>0</v>
      </c>
      <c r="P30" s="53">
        <v>0.71</v>
      </c>
      <c r="Q30" s="53">
        <v>9.6199999999999992</v>
      </c>
      <c r="R30" s="43"/>
      <c r="S30" s="43"/>
      <c r="T30" s="43"/>
      <c r="U30" s="43"/>
    </row>
    <row r="31" spans="1:21" s="11" customFormat="1" x14ac:dyDescent="0.25">
      <c r="A31" s="52" t="s">
        <v>708</v>
      </c>
      <c r="B31" s="53">
        <v>9.5</v>
      </c>
      <c r="C31" s="53">
        <v>11.48</v>
      </c>
      <c r="D31" s="53">
        <v>12.16</v>
      </c>
      <c r="E31" s="53">
        <v>5.94</v>
      </c>
      <c r="F31" s="53">
        <v>3.99</v>
      </c>
      <c r="G31" s="53">
        <v>49.05</v>
      </c>
      <c r="H31" s="53">
        <v>22.98</v>
      </c>
      <c r="I31" s="53">
        <v>4.12</v>
      </c>
      <c r="J31" s="53">
        <v>0.72</v>
      </c>
      <c r="K31" s="53">
        <v>135.85</v>
      </c>
      <c r="L31" s="53">
        <v>25.24</v>
      </c>
      <c r="M31" s="53">
        <v>99.28</v>
      </c>
      <c r="N31" s="53">
        <v>26.2</v>
      </c>
      <c r="O31" s="53">
        <v>0</v>
      </c>
      <c r="P31" s="53">
        <v>0.65</v>
      </c>
      <c r="Q31" s="53">
        <v>9.6199999999999992</v>
      </c>
      <c r="R31" s="43"/>
      <c r="S31" s="43"/>
      <c r="T31" s="43"/>
      <c r="U31" s="43"/>
    </row>
    <row r="32" spans="1:21" s="11" customFormat="1" x14ac:dyDescent="0.25">
      <c r="A32" s="52" t="s">
        <v>709</v>
      </c>
      <c r="B32" s="53">
        <v>8.9600000000000009</v>
      </c>
      <c r="C32" s="53">
        <v>9.4499999999999993</v>
      </c>
      <c r="D32" s="53">
        <v>10.75</v>
      </c>
      <c r="E32" s="53">
        <v>6.53</v>
      </c>
      <c r="F32" s="53">
        <v>4.78</v>
      </c>
      <c r="G32" s="53">
        <v>49.05</v>
      </c>
      <c r="H32" s="53">
        <v>22.98</v>
      </c>
      <c r="I32" s="53">
        <v>4.03</v>
      </c>
      <c r="J32" s="53">
        <v>0.57999999999999996</v>
      </c>
      <c r="K32" s="53">
        <v>356.5</v>
      </c>
      <c r="L32" s="53">
        <v>24.56</v>
      </c>
      <c r="M32" s="53">
        <v>98.36</v>
      </c>
      <c r="N32" s="53">
        <v>26.1</v>
      </c>
      <c r="O32" s="53">
        <v>0</v>
      </c>
      <c r="P32" s="53">
        <v>0.57999999999999996</v>
      </c>
      <c r="Q32" s="53">
        <v>9.6300000000000008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2.2799999999999998</v>
      </c>
      <c r="C34" s="28">
        <f t="shared" si="0"/>
        <v>8.23</v>
      </c>
      <c r="D34" s="28">
        <f t="shared" si="0"/>
        <v>9.49</v>
      </c>
      <c r="E34" s="28">
        <f t="shared" si="0"/>
        <v>4.8</v>
      </c>
      <c r="F34" s="28">
        <f t="shared" si="0"/>
        <v>3.65</v>
      </c>
      <c r="G34" s="28">
        <f t="shared" si="0"/>
        <v>43.33</v>
      </c>
      <c r="H34" s="28">
        <f t="shared" si="0"/>
        <v>12.62</v>
      </c>
      <c r="I34" s="28">
        <f t="shared" si="0"/>
        <v>2.5299999999999998</v>
      </c>
      <c r="J34" s="28">
        <f t="shared" si="0"/>
        <v>0.35</v>
      </c>
      <c r="K34" s="28">
        <f t="shared" si="0"/>
        <v>121.22</v>
      </c>
      <c r="L34" s="28">
        <f t="shared" si="0"/>
        <v>23.17</v>
      </c>
      <c r="M34" s="28">
        <f t="shared" si="0"/>
        <v>57.62</v>
      </c>
      <c r="N34" s="28">
        <f t="shared" si="0"/>
        <v>26.1</v>
      </c>
      <c r="O34" s="28">
        <f t="shared" si="0"/>
        <v>0</v>
      </c>
      <c r="P34" s="28">
        <f t="shared" si="0"/>
        <v>0.54</v>
      </c>
      <c r="Q34" s="28">
        <f t="shared" si="0"/>
        <v>9.61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36.840000000000003</v>
      </c>
      <c r="C35" s="29">
        <f t="shared" si="1"/>
        <v>29.8</v>
      </c>
      <c r="D35" s="29">
        <f t="shared" si="1"/>
        <v>33.770000000000003</v>
      </c>
      <c r="E35" s="29">
        <f t="shared" si="1"/>
        <v>9.66</v>
      </c>
      <c r="F35" s="29">
        <f t="shared" si="1"/>
        <v>8.3000000000000007</v>
      </c>
      <c r="G35" s="29">
        <f t="shared" si="1"/>
        <v>62.27</v>
      </c>
      <c r="H35" s="29">
        <f t="shared" si="1"/>
        <v>25.05</v>
      </c>
      <c r="I35" s="29">
        <f t="shared" si="1"/>
        <v>7.9</v>
      </c>
      <c r="J35" s="29">
        <f t="shared" si="1"/>
        <v>1.88</v>
      </c>
      <c r="K35" s="29">
        <f t="shared" si="1"/>
        <v>356.5</v>
      </c>
      <c r="L35" s="29">
        <f t="shared" si="1"/>
        <v>33.409999999999997</v>
      </c>
      <c r="M35" s="29">
        <f t="shared" si="1"/>
        <v>102.75</v>
      </c>
      <c r="N35" s="29">
        <f t="shared" si="1"/>
        <v>696.2</v>
      </c>
      <c r="O35" s="29">
        <f t="shared" si="1"/>
        <v>0</v>
      </c>
      <c r="P35" s="29">
        <f t="shared" si="1"/>
        <v>1.1200000000000001</v>
      </c>
      <c r="Q35" s="29">
        <f t="shared" si="1"/>
        <v>9.64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14.30208333333333</v>
      </c>
      <c r="C36" s="28">
        <f t="shared" si="2"/>
        <v>15.097083333333332</v>
      </c>
      <c r="D36" s="28">
        <f t="shared" si="2"/>
        <v>17.515000000000001</v>
      </c>
      <c r="E36" s="28">
        <f t="shared" si="2"/>
        <v>6.0141666666666653</v>
      </c>
      <c r="F36" s="28">
        <f t="shared" si="2"/>
        <v>4.9766666666666666</v>
      </c>
      <c r="G36" s="28">
        <f t="shared" si="2"/>
        <v>51.608260869565221</v>
      </c>
      <c r="H36" s="28">
        <f t="shared" si="2"/>
        <v>20.344782608695656</v>
      </c>
      <c r="I36" s="28">
        <f t="shared" si="2"/>
        <v>4.535000000000001</v>
      </c>
      <c r="J36" s="28">
        <f t="shared" si="2"/>
        <v>0.96541666666666648</v>
      </c>
      <c r="K36" s="28">
        <f t="shared" si="2"/>
        <v>281.18833333333345</v>
      </c>
      <c r="L36" s="28">
        <f t="shared" si="2"/>
        <v>27.342499999999998</v>
      </c>
      <c r="M36" s="28">
        <f t="shared" si="2"/>
        <v>88.008333333333326</v>
      </c>
      <c r="N36" s="28">
        <f t="shared" si="2"/>
        <v>186.11666666666665</v>
      </c>
      <c r="O36" s="28">
        <f t="shared" si="2"/>
        <v>0</v>
      </c>
      <c r="P36" s="28">
        <f t="shared" si="2"/>
        <v>0.75124999999999986</v>
      </c>
      <c r="Q36" s="28">
        <f t="shared" si="2"/>
        <v>9.6258333333333326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9.2254185620451725</v>
      </c>
      <c r="C37" s="28">
        <f t="shared" ref="C37:Q37" si="3">STDEV(C9:C32)</f>
        <v>6.6972904833850961</v>
      </c>
      <c r="D37" s="28">
        <f t="shared" si="3"/>
        <v>5.768138121725614</v>
      </c>
      <c r="E37" s="28">
        <f t="shared" si="3"/>
        <v>1.0366917141295833</v>
      </c>
      <c r="F37" s="28">
        <f t="shared" si="3"/>
        <v>1.1784317754012616</v>
      </c>
      <c r="G37" s="28">
        <f t="shared" si="3"/>
        <v>5.9311547642886682</v>
      </c>
      <c r="H37" s="28">
        <f t="shared" si="3"/>
        <v>3.585985181692759</v>
      </c>
      <c r="I37" s="28">
        <f t="shared" si="3"/>
        <v>1.3937219484406531</v>
      </c>
      <c r="J37" s="28">
        <f t="shared" si="3"/>
        <v>0.47672778821668393</v>
      </c>
      <c r="K37" s="28">
        <f t="shared" si="3"/>
        <v>88.559744789048423</v>
      </c>
      <c r="L37" s="28">
        <f t="shared" si="3"/>
        <v>3.4139958100888674</v>
      </c>
      <c r="M37" s="28">
        <f t="shared" si="3"/>
        <v>15.664653000407979</v>
      </c>
      <c r="N37" s="28">
        <f t="shared" si="3"/>
        <v>236.46121231089094</v>
      </c>
      <c r="O37" s="28">
        <f t="shared" si="3"/>
        <v>0</v>
      </c>
      <c r="P37" s="28">
        <f t="shared" si="3"/>
        <v>0.14697862902920431</v>
      </c>
      <c r="Q37" s="28">
        <f t="shared" si="3"/>
        <v>6.5386254815836108E-3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</f>
        <v>24</v>
      </c>
      <c r="H38" s="32">
        <f>COUNT(H9:H32)+1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activeCell="H53" sqref="H53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29/10/2024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686</v>
      </c>
      <c r="B9" s="53">
        <v>36.840000000000003</v>
      </c>
      <c r="C9" s="53">
        <v>11.89</v>
      </c>
      <c r="D9" s="53">
        <v>33.770000000000003</v>
      </c>
      <c r="E9" s="53">
        <v>5.67</v>
      </c>
      <c r="F9" s="53">
        <v>3.8</v>
      </c>
      <c r="G9" s="53">
        <v>49.49</v>
      </c>
      <c r="H9" s="53">
        <v>22.66</v>
      </c>
      <c r="I9" s="53">
        <v>4.0199999999999996</v>
      </c>
      <c r="J9" s="53">
        <v>0.78</v>
      </c>
      <c r="K9" s="53">
        <v>324.39</v>
      </c>
      <c r="L9" s="53">
        <v>24.35</v>
      </c>
      <c r="M9" s="53">
        <v>102.72</v>
      </c>
      <c r="N9" s="53">
        <v>26.3</v>
      </c>
      <c r="O9" s="53">
        <v>0</v>
      </c>
      <c r="P9" s="53">
        <v>1.02</v>
      </c>
      <c r="Q9" s="53">
        <v>9.6300000000000008</v>
      </c>
      <c r="R9" s="43"/>
      <c r="S9" s="43"/>
      <c r="T9" s="43"/>
      <c r="U9" s="43"/>
    </row>
    <row r="10" spans="1:21" s="11" customFormat="1" x14ac:dyDescent="0.25">
      <c r="A10" s="52" t="s">
        <v>687</v>
      </c>
      <c r="B10" s="53">
        <v>31.08</v>
      </c>
      <c r="C10" s="53">
        <v>11.03</v>
      </c>
      <c r="D10" s="53">
        <v>29.31</v>
      </c>
      <c r="E10" s="53">
        <v>5.71</v>
      </c>
      <c r="F10" s="53">
        <v>5.88</v>
      </c>
      <c r="G10" s="53">
        <v>49.49</v>
      </c>
      <c r="H10" s="53">
        <v>22.66</v>
      </c>
      <c r="I10" s="53">
        <v>5.9</v>
      </c>
      <c r="J10" s="53">
        <v>0.5</v>
      </c>
      <c r="K10" s="53">
        <v>293.33999999999997</v>
      </c>
      <c r="L10" s="53">
        <v>24.1</v>
      </c>
      <c r="M10" s="53">
        <v>102.73</v>
      </c>
      <c r="N10" s="53">
        <v>26.4</v>
      </c>
      <c r="O10" s="53">
        <v>0</v>
      </c>
      <c r="P10" s="53">
        <v>0.99</v>
      </c>
      <c r="Q10" s="53">
        <v>9.6300000000000008</v>
      </c>
      <c r="R10" s="43"/>
      <c r="S10" s="43"/>
      <c r="T10" s="43"/>
      <c r="U10" s="43"/>
    </row>
    <row r="11" spans="1:21" s="11" customFormat="1" x14ac:dyDescent="0.25">
      <c r="A11" s="52" t="s">
        <v>688</v>
      </c>
      <c r="B11" s="53">
        <v>25.82</v>
      </c>
      <c r="C11" s="53">
        <v>9.81</v>
      </c>
      <c r="D11" s="53">
        <v>24.45</v>
      </c>
      <c r="E11" s="53">
        <v>5.45</v>
      </c>
      <c r="F11" s="53">
        <v>4.91</v>
      </c>
      <c r="G11" s="53">
        <v>45.57</v>
      </c>
      <c r="H11" s="53">
        <v>20.63</v>
      </c>
      <c r="I11" s="53">
        <v>5.39</v>
      </c>
      <c r="J11" s="53">
        <v>0.48</v>
      </c>
      <c r="K11" s="53">
        <v>306.77999999999997</v>
      </c>
      <c r="L11" s="53">
        <v>23.56</v>
      </c>
      <c r="M11" s="53">
        <v>102.73</v>
      </c>
      <c r="N11" s="53">
        <v>26.2</v>
      </c>
      <c r="O11" s="53">
        <v>0</v>
      </c>
      <c r="P11" s="53">
        <v>0.89</v>
      </c>
      <c r="Q11" s="53">
        <v>9.64</v>
      </c>
      <c r="R11" s="43"/>
      <c r="S11" s="43"/>
      <c r="T11" s="43"/>
      <c r="U11" s="43"/>
    </row>
    <row r="12" spans="1:21" s="11" customFormat="1" x14ac:dyDescent="0.25">
      <c r="A12" s="52" t="s">
        <v>689</v>
      </c>
      <c r="B12" s="53">
        <v>22.08</v>
      </c>
      <c r="C12" s="53">
        <v>8.23</v>
      </c>
      <c r="D12" s="53">
        <v>20.63</v>
      </c>
      <c r="E12" s="53">
        <v>5.1100000000000003</v>
      </c>
      <c r="F12" s="53">
        <v>4.22</v>
      </c>
      <c r="G12" s="53">
        <v>43.33</v>
      </c>
      <c r="H12" s="53">
        <v>20.63</v>
      </c>
      <c r="I12" s="53">
        <v>4.43</v>
      </c>
      <c r="J12" s="53">
        <v>0.35</v>
      </c>
      <c r="K12" s="53">
        <v>338.71</v>
      </c>
      <c r="L12" s="53">
        <v>23.2</v>
      </c>
      <c r="M12" s="53">
        <v>102.75</v>
      </c>
      <c r="N12" s="53">
        <v>26.1</v>
      </c>
      <c r="O12" s="53">
        <v>0</v>
      </c>
      <c r="P12" s="53">
        <v>0.54</v>
      </c>
      <c r="Q12" s="53">
        <v>9.6199999999999992</v>
      </c>
      <c r="R12" s="43"/>
      <c r="S12" s="43"/>
      <c r="T12" s="43"/>
      <c r="U12" s="43"/>
    </row>
    <row r="13" spans="1:21" s="11" customFormat="1" x14ac:dyDescent="0.25">
      <c r="A13" s="52" t="s">
        <v>690</v>
      </c>
      <c r="B13" s="53">
        <v>19.510000000000002</v>
      </c>
      <c r="C13" s="53">
        <v>8.56</v>
      </c>
      <c r="D13" s="53">
        <v>18.260000000000002</v>
      </c>
      <c r="E13" s="53">
        <v>4.8</v>
      </c>
      <c r="F13" s="53">
        <v>3.65</v>
      </c>
      <c r="G13" s="53">
        <v>43.33</v>
      </c>
      <c r="H13" s="53">
        <v>21.85</v>
      </c>
      <c r="I13" s="53">
        <v>4.1100000000000003</v>
      </c>
      <c r="J13" s="53">
        <v>0.63</v>
      </c>
      <c r="K13" s="53">
        <v>343.66</v>
      </c>
      <c r="L13" s="53">
        <v>23.45</v>
      </c>
      <c r="M13" s="53">
        <v>102.75</v>
      </c>
      <c r="N13" s="53">
        <v>26.2</v>
      </c>
      <c r="O13" s="53">
        <v>0</v>
      </c>
      <c r="P13" s="53">
        <v>0.66</v>
      </c>
      <c r="Q13" s="53">
        <v>9.6199999999999992</v>
      </c>
      <c r="R13" s="43"/>
      <c r="S13" s="43"/>
      <c r="T13" s="43"/>
      <c r="U13" s="43"/>
    </row>
    <row r="14" spans="1:21" s="11" customFormat="1" x14ac:dyDescent="0.25">
      <c r="A14" s="52" t="s">
        <v>691</v>
      </c>
      <c r="B14" s="53">
        <v>17.93</v>
      </c>
      <c r="C14" s="53">
        <v>8.6999999999999993</v>
      </c>
      <c r="D14" s="53">
        <v>17.55</v>
      </c>
      <c r="E14" s="53">
        <v>5.17</v>
      </c>
      <c r="F14" s="53">
        <v>4.2699999999999996</v>
      </c>
      <c r="G14" s="53">
        <v>44.3</v>
      </c>
      <c r="H14" s="53">
        <v>21.85</v>
      </c>
      <c r="I14" s="53">
        <v>5.59</v>
      </c>
      <c r="J14" s="53">
        <v>0.53</v>
      </c>
      <c r="K14" s="53">
        <v>330.43</v>
      </c>
      <c r="L14" s="53">
        <v>23.17</v>
      </c>
      <c r="M14" s="53">
        <v>102.75</v>
      </c>
      <c r="N14" s="53">
        <v>27</v>
      </c>
      <c r="O14" s="53">
        <v>0</v>
      </c>
      <c r="P14" s="53">
        <v>0.69</v>
      </c>
      <c r="Q14" s="53">
        <v>9.6199999999999992</v>
      </c>
      <c r="R14" s="43"/>
      <c r="S14" s="43"/>
      <c r="T14" s="43"/>
      <c r="U14" s="43"/>
    </row>
    <row r="15" spans="1:21" s="11" customFormat="1" x14ac:dyDescent="0.25">
      <c r="A15" s="52" t="s">
        <v>692</v>
      </c>
      <c r="B15" s="53">
        <v>19.13</v>
      </c>
      <c r="C15" s="53">
        <v>8.7899999999999991</v>
      </c>
      <c r="D15" s="53">
        <v>18.39</v>
      </c>
      <c r="E15" s="53">
        <v>5.03</v>
      </c>
      <c r="F15" s="53">
        <v>4.3499999999999996</v>
      </c>
      <c r="G15" s="53">
        <v>44.3</v>
      </c>
      <c r="H15" s="53">
        <v>21.57</v>
      </c>
      <c r="I15" s="53">
        <v>5.14</v>
      </c>
      <c r="J15" s="53">
        <v>0.46</v>
      </c>
      <c r="K15" s="53">
        <v>314.33999999999997</v>
      </c>
      <c r="L15" s="53">
        <v>23.68</v>
      </c>
      <c r="M15" s="53">
        <v>102.75</v>
      </c>
      <c r="N15" s="53">
        <v>78.8</v>
      </c>
      <c r="O15" s="53">
        <v>0</v>
      </c>
      <c r="P15" s="53">
        <v>0.72</v>
      </c>
      <c r="Q15" s="53">
        <v>9.61</v>
      </c>
      <c r="R15" s="43"/>
      <c r="S15" s="43"/>
      <c r="T15" s="43"/>
      <c r="U15" s="43"/>
    </row>
    <row r="16" spans="1:21" s="11" customFormat="1" x14ac:dyDescent="0.25">
      <c r="A16" s="52" t="s">
        <v>693</v>
      </c>
      <c r="B16" s="53">
        <v>23.11</v>
      </c>
      <c r="C16" s="53">
        <v>9.06</v>
      </c>
      <c r="D16" s="53">
        <v>21.89</v>
      </c>
      <c r="E16" s="53">
        <v>5.55</v>
      </c>
      <c r="F16" s="53">
        <v>5.49</v>
      </c>
      <c r="G16" s="53">
        <v>55.67</v>
      </c>
      <c r="H16" s="53">
        <v>24</v>
      </c>
      <c r="I16" s="53">
        <v>5.38</v>
      </c>
      <c r="J16" s="53">
        <v>1.03</v>
      </c>
      <c r="K16" s="53">
        <v>345.15</v>
      </c>
      <c r="L16" s="53">
        <v>27.59</v>
      </c>
      <c r="M16" s="53">
        <v>102.39</v>
      </c>
      <c r="N16" s="53">
        <v>230.1</v>
      </c>
      <c r="O16" s="53">
        <v>0</v>
      </c>
      <c r="P16" s="53">
        <v>0.88</v>
      </c>
      <c r="Q16" s="53">
        <v>9.6199999999999992</v>
      </c>
      <c r="R16" s="43"/>
      <c r="S16" s="43"/>
      <c r="T16" s="43"/>
      <c r="U16" s="43"/>
    </row>
    <row r="17" spans="1:21" s="11" customFormat="1" x14ac:dyDescent="0.25">
      <c r="A17" s="52" t="s">
        <v>694</v>
      </c>
      <c r="B17" s="53">
        <v>22.93</v>
      </c>
      <c r="C17" s="53">
        <v>9.5500000000000007</v>
      </c>
      <c r="D17" s="53">
        <v>21.76</v>
      </c>
      <c r="E17" s="53">
        <v>5.47</v>
      </c>
      <c r="F17" s="53">
        <v>3.74</v>
      </c>
      <c r="G17" s="53">
        <v>55.67</v>
      </c>
      <c r="H17" s="53">
        <v>25.05</v>
      </c>
      <c r="I17" s="53">
        <v>4.8099999999999996</v>
      </c>
      <c r="J17" s="53">
        <v>1.69</v>
      </c>
      <c r="K17" s="53">
        <v>125.43</v>
      </c>
      <c r="L17" s="53">
        <v>27.27</v>
      </c>
      <c r="M17" s="53">
        <v>93.38</v>
      </c>
      <c r="N17" s="53">
        <v>406.4</v>
      </c>
      <c r="O17" s="53">
        <v>0</v>
      </c>
      <c r="P17" s="53">
        <v>0.73</v>
      </c>
      <c r="Q17" s="53">
        <v>9.6300000000000008</v>
      </c>
      <c r="R17" s="43"/>
      <c r="S17" s="43"/>
      <c r="T17" s="43"/>
      <c r="U17" s="43"/>
    </row>
    <row r="18" spans="1:21" s="11" customFormat="1" x14ac:dyDescent="0.25">
      <c r="A18" s="52" t="s">
        <v>695</v>
      </c>
      <c r="B18" s="53">
        <v>19.37</v>
      </c>
      <c r="C18" s="53">
        <v>10.9</v>
      </c>
      <c r="D18" s="53">
        <v>19.54</v>
      </c>
      <c r="E18" s="53">
        <v>5.29</v>
      </c>
      <c r="F18" s="53">
        <v>4.43</v>
      </c>
      <c r="G18" s="53">
        <v>54.51</v>
      </c>
      <c r="H18" s="53">
        <v>25.05</v>
      </c>
      <c r="I18" s="53">
        <v>7.9</v>
      </c>
      <c r="J18" s="53">
        <v>1.37</v>
      </c>
      <c r="K18" s="53">
        <v>122.71</v>
      </c>
      <c r="L18" s="53">
        <v>28.49</v>
      </c>
      <c r="M18" s="53">
        <v>91.03</v>
      </c>
      <c r="N18" s="53">
        <v>574</v>
      </c>
      <c r="O18" s="53">
        <v>0</v>
      </c>
      <c r="P18" s="53">
        <v>0.71</v>
      </c>
      <c r="Q18" s="53">
        <v>9.6300000000000008</v>
      </c>
      <c r="R18" s="43"/>
      <c r="S18" s="43"/>
      <c r="T18" s="43"/>
      <c r="U18" s="43"/>
    </row>
    <row r="19" spans="1:21" s="11" customFormat="1" x14ac:dyDescent="0.25">
      <c r="A19" s="52" t="s">
        <v>696</v>
      </c>
      <c r="B19" s="53">
        <v>12.78</v>
      </c>
      <c r="C19" s="53">
        <v>17.38</v>
      </c>
      <c r="D19" s="53">
        <v>16.52</v>
      </c>
      <c r="E19" s="53">
        <v>5.71</v>
      </c>
      <c r="F19" s="53">
        <v>4.93</v>
      </c>
      <c r="G19" s="53">
        <v>53</v>
      </c>
      <c r="H19" s="53">
        <v>22.17</v>
      </c>
      <c r="I19" s="53">
        <v>7.81</v>
      </c>
      <c r="J19" s="53">
        <v>1.19</v>
      </c>
      <c r="K19" s="53">
        <v>338.03</v>
      </c>
      <c r="L19" s="53">
        <v>31.16</v>
      </c>
      <c r="M19" s="53">
        <v>80.25</v>
      </c>
      <c r="N19" s="53">
        <v>581.5</v>
      </c>
      <c r="O19" s="53">
        <v>0</v>
      </c>
      <c r="P19" s="53">
        <v>0.66</v>
      </c>
      <c r="Q19" s="53">
        <v>9.6300000000000008</v>
      </c>
      <c r="R19" s="43"/>
      <c r="S19" s="43"/>
      <c r="T19" s="43"/>
      <c r="U19" s="43"/>
    </row>
    <row r="20" spans="1:21" s="11" customFormat="1" x14ac:dyDescent="0.25">
      <c r="A20" s="52" t="s">
        <v>697</v>
      </c>
      <c r="B20" s="53">
        <v>8.06</v>
      </c>
      <c r="C20" s="53">
        <v>24.79</v>
      </c>
      <c r="D20" s="53">
        <v>14.83</v>
      </c>
      <c r="E20" s="53">
        <v>6.36</v>
      </c>
      <c r="F20" s="53">
        <v>7.69</v>
      </c>
      <c r="G20" s="55" t="s">
        <v>12</v>
      </c>
      <c r="H20" s="55" t="s">
        <v>12</v>
      </c>
      <c r="I20" s="53">
        <v>5.86</v>
      </c>
      <c r="J20" s="53">
        <v>1.25</v>
      </c>
      <c r="K20" s="53">
        <v>336.54</v>
      </c>
      <c r="L20" s="53">
        <v>33.01</v>
      </c>
      <c r="M20" s="53">
        <v>68.08</v>
      </c>
      <c r="N20" s="53">
        <v>696.2</v>
      </c>
      <c r="O20" s="53">
        <v>0</v>
      </c>
      <c r="P20" s="53">
        <v>0.62</v>
      </c>
      <c r="Q20" s="53">
        <v>9.6199999999999992</v>
      </c>
      <c r="R20" s="43"/>
      <c r="S20" s="43"/>
      <c r="T20" s="43"/>
      <c r="U20" s="43"/>
    </row>
    <row r="21" spans="1:21" s="11" customFormat="1" x14ac:dyDescent="0.25">
      <c r="A21" s="52" t="s">
        <v>698</v>
      </c>
      <c r="B21" s="53">
        <v>2.2799999999999998</v>
      </c>
      <c r="C21" s="53">
        <v>21.62</v>
      </c>
      <c r="D21" s="53">
        <v>11.74</v>
      </c>
      <c r="E21" s="53">
        <v>6.74</v>
      </c>
      <c r="F21" s="53">
        <v>6.39</v>
      </c>
      <c r="G21" s="53">
        <v>48.46</v>
      </c>
      <c r="H21" s="53">
        <v>12.62</v>
      </c>
      <c r="I21" s="53">
        <v>3.75</v>
      </c>
      <c r="J21" s="53">
        <v>1.88</v>
      </c>
      <c r="K21" s="53">
        <v>335.78</v>
      </c>
      <c r="L21" s="53">
        <v>33.409999999999997</v>
      </c>
      <c r="M21" s="53">
        <v>65.06</v>
      </c>
      <c r="N21" s="53">
        <v>674.6</v>
      </c>
      <c r="O21" s="53">
        <v>0</v>
      </c>
      <c r="P21" s="53">
        <v>0.6</v>
      </c>
      <c r="Q21" s="53">
        <v>9.6300000000000008</v>
      </c>
      <c r="R21" s="43"/>
      <c r="S21" s="43"/>
      <c r="T21" s="43"/>
      <c r="U21" s="43"/>
    </row>
    <row r="22" spans="1:21" s="11" customFormat="1" x14ac:dyDescent="0.25">
      <c r="A22" s="52" t="s">
        <v>699</v>
      </c>
      <c r="B22" s="53">
        <v>3.6</v>
      </c>
      <c r="C22" s="53">
        <v>29.8</v>
      </c>
      <c r="D22" s="53">
        <v>16.62</v>
      </c>
      <c r="E22" s="53">
        <v>9.66</v>
      </c>
      <c r="F22" s="53">
        <v>8.3000000000000007</v>
      </c>
      <c r="G22" s="53">
        <v>48.46</v>
      </c>
      <c r="H22" s="53">
        <v>12.62</v>
      </c>
      <c r="I22" s="53">
        <v>4.18</v>
      </c>
      <c r="J22" s="53">
        <v>0.78</v>
      </c>
      <c r="K22" s="53">
        <v>343.76</v>
      </c>
      <c r="L22" s="53">
        <v>32.92</v>
      </c>
      <c r="M22" s="53">
        <v>57.62</v>
      </c>
      <c r="N22" s="53">
        <v>448.1</v>
      </c>
      <c r="O22" s="53">
        <v>0</v>
      </c>
      <c r="P22" s="53">
        <v>0.7</v>
      </c>
      <c r="Q22" s="53">
        <v>9.6300000000000008</v>
      </c>
      <c r="R22" s="43"/>
      <c r="S22" s="43"/>
      <c r="T22" s="43"/>
      <c r="U22" s="43"/>
    </row>
    <row r="23" spans="1:21" s="11" customFormat="1" x14ac:dyDescent="0.25">
      <c r="A23" s="52" t="s">
        <v>700</v>
      </c>
      <c r="B23" s="53">
        <v>5.7</v>
      </c>
      <c r="C23" s="53">
        <v>25.68</v>
      </c>
      <c r="D23" s="53">
        <v>14.71</v>
      </c>
      <c r="E23" s="53">
        <v>7.79</v>
      </c>
      <c r="F23" s="53">
        <v>5.42</v>
      </c>
      <c r="G23" s="53">
        <v>59.06</v>
      </c>
      <c r="H23" s="53">
        <v>13.93</v>
      </c>
      <c r="I23" s="53">
        <v>3.42</v>
      </c>
      <c r="J23" s="53">
        <v>1.45</v>
      </c>
      <c r="K23" s="53">
        <v>338.6</v>
      </c>
      <c r="L23" s="53">
        <v>31.82</v>
      </c>
      <c r="M23" s="53">
        <v>59.42</v>
      </c>
      <c r="N23" s="53">
        <v>239.7</v>
      </c>
      <c r="O23" s="53">
        <v>0</v>
      </c>
      <c r="P23" s="53">
        <v>0.78</v>
      </c>
      <c r="Q23" s="53">
        <v>9.6300000000000008</v>
      </c>
      <c r="R23" s="43"/>
      <c r="S23" s="43"/>
      <c r="T23" s="43"/>
      <c r="U23" s="43"/>
    </row>
    <row r="24" spans="1:21" s="11" customFormat="1" x14ac:dyDescent="0.25">
      <c r="A24" s="52" t="s">
        <v>701</v>
      </c>
      <c r="B24" s="53">
        <v>7.08</v>
      </c>
      <c r="C24" s="53">
        <v>20.77</v>
      </c>
      <c r="D24" s="53">
        <v>14.44</v>
      </c>
      <c r="E24" s="53">
        <v>6.73</v>
      </c>
      <c r="F24" s="53">
        <v>4.9000000000000004</v>
      </c>
      <c r="G24" s="53">
        <v>59.06</v>
      </c>
      <c r="H24" s="53">
        <v>16.600000000000001</v>
      </c>
      <c r="I24" s="53">
        <v>4.0199999999999996</v>
      </c>
      <c r="J24" s="53">
        <v>1.6</v>
      </c>
      <c r="K24" s="53">
        <v>350.18</v>
      </c>
      <c r="L24" s="53">
        <v>30.64</v>
      </c>
      <c r="M24" s="53">
        <v>63.75</v>
      </c>
      <c r="N24" s="53">
        <v>111.6</v>
      </c>
      <c r="O24" s="53">
        <v>0</v>
      </c>
      <c r="P24" s="53">
        <v>0.81</v>
      </c>
      <c r="Q24" s="53">
        <v>9.6300000000000008</v>
      </c>
      <c r="R24" s="43"/>
      <c r="S24" s="43"/>
      <c r="T24" s="43"/>
      <c r="U24" s="43"/>
    </row>
    <row r="25" spans="1:21" s="11" customFormat="1" x14ac:dyDescent="0.25">
      <c r="A25" s="52" t="s">
        <v>702</v>
      </c>
      <c r="B25" s="53">
        <v>6.87</v>
      </c>
      <c r="C25" s="53">
        <v>24.65</v>
      </c>
      <c r="D25" s="53">
        <v>16.61</v>
      </c>
      <c r="E25" s="53">
        <v>6.88</v>
      </c>
      <c r="F25" s="53">
        <v>5.69</v>
      </c>
      <c r="G25" s="53">
        <v>52.79</v>
      </c>
      <c r="H25" s="53">
        <v>16.600000000000001</v>
      </c>
      <c r="I25" s="53">
        <v>2.67</v>
      </c>
      <c r="J25" s="53">
        <v>1.68</v>
      </c>
      <c r="K25" s="53">
        <v>339.87</v>
      </c>
      <c r="L25" s="53">
        <v>30.15</v>
      </c>
      <c r="M25" s="53">
        <v>73.959999999999994</v>
      </c>
      <c r="N25" s="53">
        <v>71.900000000000006</v>
      </c>
      <c r="O25" s="53">
        <v>0</v>
      </c>
      <c r="P25" s="53">
        <v>0.89</v>
      </c>
      <c r="Q25" s="53">
        <v>9.6199999999999992</v>
      </c>
      <c r="R25" s="43"/>
      <c r="S25" s="43"/>
      <c r="T25" s="43"/>
      <c r="U25" s="43"/>
    </row>
    <row r="26" spans="1:21" s="11" customFormat="1" x14ac:dyDescent="0.25">
      <c r="A26" s="52" t="s">
        <v>703</v>
      </c>
      <c r="B26" s="53">
        <v>9.4499999999999993</v>
      </c>
      <c r="C26" s="53">
        <v>21.84</v>
      </c>
      <c r="D26" s="53">
        <v>16.68</v>
      </c>
      <c r="E26" s="53">
        <v>5.94</v>
      </c>
      <c r="F26" s="53">
        <v>4.88</v>
      </c>
      <c r="G26" s="53">
        <v>62.27</v>
      </c>
      <c r="H26" s="53">
        <v>21.07</v>
      </c>
      <c r="I26" s="53">
        <v>3.98</v>
      </c>
      <c r="J26" s="53">
        <v>1.08</v>
      </c>
      <c r="K26" s="53">
        <v>340.27</v>
      </c>
      <c r="L26" s="53">
        <v>28.13</v>
      </c>
      <c r="M26" s="53">
        <v>79.400000000000006</v>
      </c>
      <c r="N26" s="53">
        <v>38.700000000000003</v>
      </c>
      <c r="O26" s="53">
        <v>0</v>
      </c>
      <c r="P26" s="53">
        <v>1.1200000000000001</v>
      </c>
      <c r="Q26" s="53">
        <v>9.6300000000000008</v>
      </c>
      <c r="R26" s="43"/>
      <c r="S26" s="43"/>
      <c r="T26" s="43"/>
      <c r="U26" s="43"/>
    </row>
    <row r="27" spans="1:21" s="11" customFormat="1" x14ac:dyDescent="0.25">
      <c r="A27" s="52" t="s">
        <v>704</v>
      </c>
      <c r="B27" s="53">
        <v>9.01</v>
      </c>
      <c r="C27" s="53">
        <v>19.579999999999998</v>
      </c>
      <c r="D27" s="53">
        <v>16.079999999999998</v>
      </c>
      <c r="E27" s="53">
        <v>5.85</v>
      </c>
      <c r="F27" s="53">
        <v>4.3600000000000003</v>
      </c>
      <c r="G27" s="53">
        <v>62.27</v>
      </c>
      <c r="H27" s="53">
        <v>21.07</v>
      </c>
      <c r="I27" s="53">
        <v>3.41</v>
      </c>
      <c r="J27" s="53">
        <v>1.19</v>
      </c>
      <c r="K27" s="53">
        <v>121.22</v>
      </c>
      <c r="L27" s="53">
        <v>27.36</v>
      </c>
      <c r="M27" s="53">
        <v>87.29</v>
      </c>
      <c r="N27" s="53">
        <v>26.2</v>
      </c>
      <c r="O27" s="53">
        <v>0</v>
      </c>
      <c r="P27" s="53">
        <v>0.77</v>
      </c>
      <c r="Q27" s="53">
        <v>9.6300000000000008</v>
      </c>
      <c r="R27" s="43"/>
      <c r="S27" s="43"/>
      <c r="T27" s="43"/>
      <c r="U27" s="43"/>
    </row>
    <row r="28" spans="1:21" s="11" customFormat="1" x14ac:dyDescent="0.25">
      <c r="A28" s="52" t="s">
        <v>705</v>
      </c>
      <c r="B28" s="53">
        <v>6.94</v>
      </c>
      <c r="C28" s="53">
        <v>14.11</v>
      </c>
      <c r="D28" s="53">
        <v>11.56</v>
      </c>
      <c r="E28" s="53">
        <v>5.61</v>
      </c>
      <c r="F28" s="53">
        <v>5.26</v>
      </c>
      <c r="G28" s="53">
        <v>58.98</v>
      </c>
      <c r="H28" s="53">
        <v>19.98</v>
      </c>
      <c r="I28" s="53">
        <v>2.87</v>
      </c>
      <c r="J28" s="53">
        <v>1.1599999999999999</v>
      </c>
      <c r="K28" s="53">
        <v>124.35</v>
      </c>
      <c r="L28" s="53">
        <v>26.73</v>
      </c>
      <c r="M28" s="53">
        <v>88.04</v>
      </c>
      <c r="N28" s="53">
        <v>26.1</v>
      </c>
      <c r="O28" s="53">
        <v>0</v>
      </c>
      <c r="P28" s="53">
        <v>0.63</v>
      </c>
      <c r="Q28" s="53">
        <v>9.6199999999999992</v>
      </c>
      <c r="R28" s="43"/>
      <c r="S28" s="43"/>
      <c r="T28" s="43"/>
      <c r="U28" s="43"/>
    </row>
    <row r="29" spans="1:21" s="11" customFormat="1" x14ac:dyDescent="0.25">
      <c r="A29" s="52" t="s">
        <v>706</v>
      </c>
      <c r="B29" s="53">
        <v>6.04</v>
      </c>
      <c r="C29" s="53">
        <v>11.53</v>
      </c>
      <c r="D29" s="53">
        <v>9.49</v>
      </c>
      <c r="E29" s="53">
        <v>5.54</v>
      </c>
      <c r="F29" s="53">
        <v>4.3</v>
      </c>
      <c r="G29" s="53">
        <v>50.99</v>
      </c>
      <c r="H29" s="53">
        <v>19.170000000000002</v>
      </c>
      <c r="I29" s="53">
        <v>2.5299999999999998</v>
      </c>
      <c r="J29" s="53">
        <v>0.39</v>
      </c>
      <c r="K29" s="53">
        <v>245.61</v>
      </c>
      <c r="L29" s="53">
        <v>26.42</v>
      </c>
      <c r="M29" s="53">
        <v>90.26</v>
      </c>
      <c r="N29" s="53">
        <v>26.2</v>
      </c>
      <c r="O29" s="53">
        <v>0</v>
      </c>
      <c r="P29" s="53">
        <v>0.68</v>
      </c>
      <c r="Q29" s="53">
        <v>9.6300000000000008</v>
      </c>
      <c r="R29" s="43"/>
      <c r="S29" s="43"/>
      <c r="T29" s="43"/>
      <c r="U29" s="43"/>
    </row>
    <row r="30" spans="1:21" s="11" customFormat="1" x14ac:dyDescent="0.25">
      <c r="A30" s="52" t="s">
        <v>707</v>
      </c>
      <c r="B30" s="53">
        <v>9.18</v>
      </c>
      <c r="C30" s="53">
        <v>13.13</v>
      </c>
      <c r="D30" s="53">
        <v>12.62</v>
      </c>
      <c r="E30" s="53">
        <v>5.81</v>
      </c>
      <c r="F30" s="53">
        <v>3.81</v>
      </c>
      <c r="G30" s="53">
        <v>47.89</v>
      </c>
      <c r="H30" s="53">
        <v>20.190000000000001</v>
      </c>
      <c r="I30" s="53">
        <v>3.52</v>
      </c>
      <c r="J30" s="53">
        <v>0.4</v>
      </c>
      <c r="K30" s="53">
        <v>197.02</v>
      </c>
      <c r="L30" s="53">
        <v>25.81</v>
      </c>
      <c r="M30" s="53">
        <v>95.45</v>
      </c>
      <c r="N30" s="53">
        <v>26.2</v>
      </c>
      <c r="O30" s="53">
        <v>0</v>
      </c>
      <c r="P30" s="53">
        <v>0.71</v>
      </c>
      <c r="Q30" s="53">
        <v>9.6199999999999992</v>
      </c>
      <c r="R30" s="43"/>
      <c r="S30" s="43"/>
      <c r="T30" s="43"/>
      <c r="U30" s="43"/>
    </row>
    <row r="31" spans="1:21" s="11" customFormat="1" x14ac:dyDescent="0.25">
      <c r="A31" s="52" t="s">
        <v>708</v>
      </c>
      <c r="B31" s="53">
        <v>9.5</v>
      </c>
      <c r="C31" s="53">
        <v>11.48</v>
      </c>
      <c r="D31" s="53">
        <v>12.16</v>
      </c>
      <c r="E31" s="53">
        <v>5.94</v>
      </c>
      <c r="F31" s="53">
        <v>3.99</v>
      </c>
      <c r="G31" s="53">
        <v>49.05</v>
      </c>
      <c r="H31" s="53">
        <v>22.98</v>
      </c>
      <c r="I31" s="53">
        <v>4.12</v>
      </c>
      <c r="J31" s="53">
        <v>0.72</v>
      </c>
      <c r="K31" s="53">
        <v>135.85</v>
      </c>
      <c r="L31" s="53">
        <v>25.24</v>
      </c>
      <c r="M31" s="53">
        <v>99.28</v>
      </c>
      <c r="N31" s="53">
        <v>26.2</v>
      </c>
      <c r="O31" s="53">
        <v>0</v>
      </c>
      <c r="P31" s="53">
        <v>0.65</v>
      </c>
      <c r="Q31" s="53">
        <v>9.6199999999999992</v>
      </c>
      <c r="R31" s="43"/>
      <c r="S31" s="43"/>
      <c r="T31" s="43"/>
      <c r="U31" s="43"/>
    </row>
    <row r="32" spans="1:21" s="11" customFormat="1" x14ac:dyDescent="0.25">
      <c r="A32" s="52" t="s">
        <v>709</v>
      </c>
      <c r="B32" s="53">
        <v>8.9600000000000009</v>
      </c>
      <c r="C32" s="53">
        <v>9.4499999999999993</v>
      </c>
      <c r="D32" s="53">
        <v>10.75</v>
      </c>
      <c r="E32" s="53">
        <v>6.53</v>
      </c>
      <c r="F32" s="53">
        <v>4.78</v>
      </c>
      <c r="G32" s="53">
        <v>49.05</v>
      </c>
      <c r="H32" s="53">
        <v>22.98</v>
      </c>
      <c r="I32" s="53">
        <v>4.03</v>
      </c>
      <c r="J32" s="53">
        <v>0.57999999999999996</v>
      </c>
      <c r="K32" s="53">
        <v>356.5</v>
      </c>
      <c r="L32" s="53">
        <v>24.56</v>
      </c>
      <c r="M32" s="53">
        <v>98.36</v>
      </c>
      <c r="N32" s="53">
        <v>26.1</v>
      </c>
      <c r="O32" s="53">
        <v>0</v>
      </c>
      <c r="P32" s="53">
        <v>0.57999999999999996</v>
      </c>
      <c r="Q32" s="53">
        <v>9.6300000000000008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2.2799999999999998</v>
      </c>
      <c r="C34" s="28">
        <f t="shared" si="0"/>
        <v>8.23</v>
      </c>
      <c r="D34" s="28">
        <f t="shared" si="0"/>
        <v>9.49</v>
      </c>
      <c r="E34" s="28">
        <f t="shared" si="0"/>
        <v>4.8</v>
      </c>
      <c r="F34" s="28">
        <f t="shared" si="0"/>
        <v>3.65</v>
      </c>
      <c r="G34" s="28">
        <f t="shared" si="0"/>
        <v>43.33</v>
      </c>
      <c r="H34" s="28">
        <f t="shared" si="0"/>
        <v>12.62</v>
      </c>
      <c r="I34" s="28">
        <f t="shared" si="0"/>
        <v>2.5299999999999998</v>
      </c>
      <c r="J34" s="28">
        <f t="shared" si="0"/>
        <v>0.35</v>
      </c>
      <c r="K34" s="28">
        <f t="shared" si="0"/>
        <v>121.22</v>
      </c>
      <c r="L34" s="28">
        <f t="shared" si="0"/>
        <v>23.17</v>
      </c>
      <c r="M34" s="28">
        <f t="shared" si="0"/>
        <v>57.62</v>
      </c>
      <c r="N34" s="28">
        <f t="shared" si="0"/>
        <v>26.1</v>
      </c>
      <c r="O34" s="28">
        <f t="shared" si="0"/>
        <v>0</v>
      </c>
      <c r="P34" s="28">
        <f t="shared" si="0"/>
        <v>0.54</v>
      </c>
      <c r="Q34" s="28">
        <f t="shared" si="0"/>
        <v>9.61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36.840000000000003</v>
      </c>
      <c r="C35" s="29">
        <f t="shared" si="1"/>
        <v>29.8</v>
      </c>
      <c r="D35" s="29">
        <f t="shared" si="1"/>
        <v>33.770000000000003</v>
      </c>
      <c r="E35" s="29">
        <f t="shared" si="1"/>
        <v>9.66</v>
      </c>
      <c r="F35" s="29">
        <f t="shared" si="1"/>
        <v>8.3000000000000007</v>
      </c>
      <c r="G35" s="29">
        <f t="shared" si="1"/>
        <v>62.27</v>
      </c>
      <c r="H35" s="29">
        <f t="shared" si="1"/>
        <v>25.05</v>
      </c>
      <c r="I35" s="29">
        <f t="shared" si="1"/>
        <v>7.9</v>
      </c>
      <c r="J35" s="29">
        <f t="shared" si="1"/>
        <v>1.88</v>
      </c>
      <c r="K35" s="29">
        <f t="shared" si="1"/>
        <v>356.5</v>
      </c>
      <c r="L35" s="29">
        <f t="shared" si="1"/>
        <v>33.409999999999997</v>
      </c>
      <c r="M35" s="29">
        <f t="shared" si="1"/>
        <v>102.75</v>
      </c>
      <c r="N35" s="29">
        <f t="shared" si="1"/>
        <v>696.2</v>
      </c>
      <c r="O35" s="29">
        <f t="shared" si="1"/>
        <v>0</v>
      </c>
      <c r="P35" s="29">
        <f t="shared" si="1"/>
        <v>1.1200000000000001</v>
      </c>
      <c r="Q35" s="29">
        <f t="shared" si="1"/>
        <v>9.64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14.30208333333333</v>
      </c>
      <c r="C36" s="28">
        <f t="shared" si="2"/>
        <v>15.097083333333332</v>
      </c>
      <c r="D36" s="28">
        <f t="shared" si="2"/>
        <v>17.515000000000001</v>
      </c>
      <c r="E36" s="28">
        <f t="shared" si="2"/>
        <v>6.0141666666666653</v>
      </c>
      <c r="F36" s="28">
        <f t="shared" si="2"/>
        <v>4.9766666666666666</v>
      </c>
      <c r="G36" s="28">
        <f t="shared" si="2"/>
        <v>51.608260869565221</v>
      </c>
      <c r="H36" s="28">
        <f t="shared" si="2"/>
        <v>20.344782608695656</v>
      </c>
      <c r="I36" s="28">
        <f t="shared" si="2"/>
        <v>4.535000000000001</v>
      </c>
      <c r="J36" s="28">
        <f t="shared" si="2"/>
        <v>0.96541666666666648</v>
      </c>
      <c r="K36" s="28">
        <f t="shared" si="2"/>
        <v>281.18833333333345</v>
      </c>
      <c r="L36" s="28">
        <f t="shared" si="2"/>
        <v>27.342499999999998</v>
      </c>
      <c r="M36" s="28">
        <f t="shared" si="2"/>
        <v>88.008333333333326</v>
      </c>
      <c r="N36" s="28">
        <f t="shared" si="2"/>
        <v>186.11666666666665</v>
      </c>
      <c r="O36" s="28">
        <f t="shared" si="2"/>
        <v>0</v>
      </c>
      <c r="P36" s="28">
        <f t="shared" si="2"/>
        <v>0.75124999999999986</v>
      </c>
      <c r="Q36" s="28">
        <f t="shared" si="2"/>
        <v>9.6258333333333326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9.2254185620451725</v>
      </c>
      <c r="C37" s="28">
        <f t="shared" ref="C37:Q37" si="3">STDEV(C9:C32)</f>
        <v>6.6972904833850961</v>
      </c>
      <c r="D37" s="28">
        <f t="shared" si="3"/>
        <v>5.768138121725614</v>
      </c>
      <c r="E37" s="28">
        <f t="shared" si="3"/>
        <v>1.0366917141295833</v>
      </c>
      <c r="F37" s="28">
        <f t="shared" si="3"/>
        <v>1.1784317754012616</v>
      </c>
      <c r="G37" s="28">
        <f t="shared" si="3"/>
        <v>5.9311547642886682</v>
      </c>
      <c r="H37" s="28">
        <f t="shared" si="3"/>
        <v>3.585985181692759</v>
      </c>
      <c r="I37" s="28">
        <f t="shared" si="3"/>
        <v>1.3937219484406531</v>
      </c>
      <c r="J37" s="28">
        <f t="shared" si="3"/>
        <v>0.47672778821668393</v>
      </c>
      <c r="K37" s="28">
        <f t="shared" si="3"/>
        <v>88.559744789048423</v>
      </c>
      <c r="L37" s="28">
        <f t="shared" si="3"/>
        <v>3.4139958100888674</v>
      </c>
      <c r="M37" s="28">
        <f t="shared" si="3"/>
        <v>15.664653000407979</v>
      </c>
      <c r="N37" s="28">
        <f t="shared" si="3"/>
        <v>236.46121231089094</v>
      </c>
      <c r="O37" s="28">
        <f t="shared" si="3"/>
        <v>0</v>
      </c>
      <c r="P37" s="28">
        <f t="shared" si="3"/>
        <v>0.14697862902920431</v>
      </c>
      <c r="Q37" s="28">
        <f t="shared" si="3"/>
        <v>6.5386254815836108E-3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</f>
        <v>24</v>
      </c>
      <c r="H38" s="32">
        <f>COUNT(H9:H32)+1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6" width="9.140625" style="20" customWidth="1"/>
    <col min="17" max="17" width="16.42578125" style="20" customWidth="1"/>
    <col min="18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30/10/2024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710</v>
      </c>
      <c r="B9" s="53">
        <v>9.09</v>
      </c>
      <c r="C9" s="53">
        <v>8.39</v>
      </c>
      <c r="D9" s="53">
        <v>10.3</v>
      </c>
      <c r="E9" s="53">
        <v>6.4</v>
      </c>
      <c r="F9" s="53">
        <v>4.99</v>
      </c>
      <c r="G9" s="53">
        <v>44.44</v>
      </c>
      <c r="H9" s="53">
        <v>20.010000000000002</v>
      </c>
      <c r="I9" s="53">
        <v>2.5299999999999998</v>
      </c>
      <c r="J9" s="53">
        <v>0.53</v>
      </c>
      <c r="K9" s="53">
        <v>326.58</v>
      </c>
      <c r="L9" s="53">
        <v>24.21</v>
      </c>
      <c r="M9" s="53">
        <v>102.25</v>
      </c>
      <c r="N9" s="53">
        <v>26.1</v>
      </c>
      <c r="O9" s="53">
        <v>0</v>
      </c>
      <c r="P9" s="53">
        <v>0.66</v>
      </c>
      <c r="Q9" s="53">
        <v>9.6199999999999992</v>
      </c>
      <c r="R9" s="43"/>
      <c r="S9" s="43"/>
      <c r="T9" s="43"/>
      <c r="U9" s="43"/>
    </row>
    <row r="10" spans="1:21" s="11" customFormat="1" x14ac:dyDescent="0.25">
      <c r="A10" s="52" t="s">
        <v>711</v>
      </c>
      <c r="B10" s="53">
        <v>8.61</v>
      </c>
      <c r="C10" s="53">
        <v>8.1300000000000008</v>
      </c>
      <c r="D10" s="53">
        <v>9.64</v>
      </c>
      <c r="E10" s="53">
        <v>6.34</v>
      </c>
      <c r="F10" s="53">
        <v>5.09</v>
      </c>
      <c r="G10" s="53">
        <v>41.92</v>
      </c>
      <c r="H10" s="53">
        <v>20.010000000000002</v>
      </c>
      <c r="I10" s="53">
        <v>2.92</v>
      </c>
      <c r="J10" s="53">
        <v>0.45</v>
      </c>
      <c r="K10" s="53">
        <v>359.78</v>
      </c>
      <c r="L10" s="53">
        <v>23.97</v>
      </c>
      <c r="M10" s="53">
        <v>102.65</v>
      </c>
      <c r="N10" s="53">
        <v>26.1</v>
      </c>
      <c r="O10" s="53">
        <v>0</v>
      </c>
      <c r="P10" s="53">
        <v>0.56999999999999995</v>
      </c>
      <c r="Q10" s="53">
        <v>9.6199999999999992</v>
      </c>
      <c r="R10" s="43"/>
      <c r="S10" s="43"/>
      <c r="T10" s="43"/>
      <c r="U10" s="43"/>
    </row>
    <row r="11" spans="1:21" s="11" customFormat="1" x14ac:dyDescent="0.25">
      <c r="A11" s="52" t="s">
        <v>712</v>
      </c>
      <c r="B11" s="53">
        <v>7.94</v>
      </c>
      <c r="C11" s="53">
        <v>8.56</v>
      </c>
      <c r="D11" s="53">
        <v>9.36</v>
      </c>
      <c r="E11" s="53">
        <v>6.94</v>
      </c>
      <c r="F11" s="53">
        <v>4.45</v>
      </c>
      <c r="G11" s="53">
        <v>36.729999999999997</v>
      </c>
      <c r="H11" s="53">
        <v>17.93</v>
      </c>
      <c r="I11" s="53">
        <v>3.86</v>
      </c>
      <c r="J11" s="53">
        <v>0.51</v>
      </c>
      <c r="K11" s="53">
        <v>349</v>
      </c>
      <c r="L11" s="53">
        <v>23.49</v>
      </c>
      <c r="M11" s="53">
        <v>102.73</v>
      </c>
      <c r="N11" s="53">
        <v>26.1</v>
      </c>
      <c r="O11" s="53">
        <v>0</v>
      </c>
      <c r="P11" s="53">
        <v>0.55000000000000004</v>
      </c>
      <c r="Q11" s="53">
        <v>9.61</v>
      </c>
      <c r="R11" s="43"/>
      <c r="S11" s="43"/>
      <c r="T11" s="43"/>
      <c r="U11" s="43"/>
    </row>
    <row r="12" spans="1:21" s="11" customFormat="1" x14ac:dyDescent="0.25">
      <c r="A12" s="52" t="s">
        <v>713</v>
      </c>
      <c r="B12" s="53">
        <v>8.7100000000000009</v>
      </c>
      <c r="C12" s="53">
        <v>8.66</v>
      </c>
      <c r="D12" s="53">
        <v>9.86</v>
      </c>
      <c r="E12" s="53">
        <v>7.11</v>
      </c>
      <c r="F12" s="53">
        <v>4.07</v>
      </c>
      <c r="G12" s="53">
        <v>31.79</v>
      </c>
      <c r="H12" s="53">
        <v>17.93</v>
      </c>
      <c r="I12" s="53">
        <v>3.52</v>
      </c>
      <c r="J12" s="53">
        <v>0.64</v>
      </c>
      <c r="K12" s="53">
        <v>333.98</v>
      </c>
      <c r="L12" s="53">
        <v>23.18</v>
      </c>
      <c r="M12" s="53">
        <v>102.76</v>
      </c>
      <c r="N12" s="53">
        <v>26.1</v>
      </c>
      <c r="O12" s="53">
        <v>0</v>
      </c>
      <c r="P12" s="53">
        <v>0.54</v>
      </c>
      <c r="Q12" s="53">
        <v>9.6199999999999992</v>
      </c>
      <c r="R12" s="43"/>
      <c r="S12" s="43"/>
      <c r="T12" s="43"/>
      <c r="U12" s="43"/>
    </row>
    <row r="13" spans="1:21" s="11" customFormat="1" x14ac:dyDescent="0.25">
      <c r="A13" s="52" t="s">
        <v>714</v>
      </c>
      <c r="B13" s="53">
        <v>9.48</v>
      </c>
      <c r="C13" s="53">
        <v>7.54</v>
      </c>
      <c r="D13" s="53">
        <v>10.16</v>
      </c>
      <c r="E13" s="53">
        <v>5.05</v>
      </c>
      <c r="F13" s="53">
        <v>3.95</v>
      </c>
      <c r="G13" s="53">
        <v>32.869999999999997</v>
      </c>
      <c r="H13" s="53">
        <v>14.13</v>
      </c>
      <c r="I13" s="53">
        <v>3.12</v>
      </c>
      <c r="J13" s="53">
        <v>0.76</v>
      </c>
      <c r="K13" s="53">
        <v>343.41</v>
      </c>
      <c r="L13" s="53">
        <v>23.04</v>
      </c>
      <c r="M13" s="53">
        <v>102.75</v>
      </c>
      <c r="N13" s="53">
        <v>26.1</v>
      </c>
      <c r="O13" s="53">
        <v>0</v>
      </c>
      <c r="P13" s="53">
        <v>0.53</v>
      </c>
      <c r="Q13" s="53">
        <v>9.6199999999999992</v>
      </c>
      <c r="R13" s="43"/>
      <c r="S13" s="43"/>
      <c r="T13" s="43"/>
      <c r="U13" s="43"/>
    </row>
    <row r="14" spans="1:21" s="11" customFormat="1" x14ac:dyDescent="0.25">
      <c r="A14" s="52" t="s">
        <v>715</v>
      </c>
      <c r="B14" s="53">
        <v>11.87</v>
      </c>
      <c r="C14" s="53">
        <v>8.84</v>
      </c>
      <c r="D14" s="53">
        <v>12.76</v>
      </c>
      <c r="E14" s="53">
        <v>4.99</v>
      </c>
      <c r="F14" s="53">
        <v>3.82</v>
      </c>
      <c r="G14" s="53">
        <v>32.869999999999997</v>
      </c>
      <c r="H14" s="53">
        <v>13.97</v>
      </c>
      <c r="I14" s="53">
        <v>2.37</v>
      </c>
      <c r="J14" s="53">
        <v>0.51</v>
      </c>
      <c r="K14" s="53">
        <v>343.48</v>
      </c>
      <c r="L14" s="53">
        <v>22.9</v>
      </c>
      <c r="M14" s="53">
        <v>102.78</v>
      </c>
      <c r="N14" s="53">
        <v>26.6</v>
      </c>
      <c r="O14" s="53">
        <v>0</v>
      </c>
      <c r="P14" s="53">
        <v>0.57999999999999996</v>
      </c>
      <c r="Q14" s="53">
        <v>9.61</v>
      </c>
      <c r="R14" s="43"/>
      <c r="S14" s="43"/>
      <c r="T14" s="43"/>
      <c r="U14" s="43"/>
    </row>
    <row r="15" spans="1:21" s="11" customFormat="1" x14ac:dyDescent="0.25">
      <c r="A15" s="52" t="s">
        <v>716</v>
      </c>
      <c r="B15" s="53">
        <v>23.03</v>
      </c>
      <c r="C15" s="53">
        <v>9.5500000000000007</v>
      </c>
      <c r="D15" s="53">
        <v>22.07</v>
      </c>
      <c r="E15" s="53">
        <v>5.82</v>
      </c>
      <c r="F15" s="53">
        <v>4.58</v>
      </c>
      <c r="G15" s="53">
        <v>40.39</v>
      </c>
      <c r="H15" s="53">
        <v>19.010000000000002</v>
      </c>
      <c r="I15" s="53">
        <v>5.34</v>
      </c>
      <c r="J15" s="53">
        <v>0.81</v>
      </c>
      <c r="K15" s="53">
        <v>274.32</v>
      </c>
      <c r="L15" s="53">
        <v>23.91</v>
      </c>
      <c r="M15" s="53">
        <v>102.78</v>
      </c>
      <c r="N15" s="53">
        <v>73.599999999999994</v>
      </c>
      <c r="O15" s="53">
        <v>0</v>
      </c>
      <c r="P15" s="53">
        <v>0.62</v>
      </c>
      <c r="Q15" s="53">
        <v>9.6199999999999992</v>
      </c>
      <c r="R15" s="43"/>
      <c r="S15" s="43"/>
      <c r="T15" s="43"/>
      <c r="U15" s="43"/>
    </row>
    <row r="16" spans="1:21" s="11" customFormat="1" x14ac:dyDescent="0.25">
      <c r="A16" s="52" t="s">
        <v>717</v>
      </c>
      <c r="B16" s="53">
        <v>24.51</v>
      </c>
      <c r="C16" s="53">
        <v>9.85</v>
      </c>
      <c r="D16" s="53">
        <v>23.33</v>
      </c>
      <c r="E16" s="53">
        <v>6.54</v>
      </c>
      <c r="F16" s="53">
        <v>5.59</v>
      </c>
      <c r="G16" s="53">
        <v>49.02</v>
      </c>
      <c r="H16" s="53">
        <v>22.17</v>
      </c>
      <c r="I16" s="53">
        <v>5.13</v>
      </c>
      <c r="J16" s="53">
        <v>0.86</v>
      </c>
      <c r="K16" s="53">
        <v>145.75</v>
      </c>
      <c r="L16" s="53">
        <v>26.55</v>
      </c>
      <c r="M16" s="53">
        <v>102.21</v>
      </c>
      <c r="N16" s="53">
        <v>210.5</v>
      </c>
      <c r="O16" s="53">
        <v>0</v>
      </c>
      <c r="P16" s="53">
        <v>0.6</v>
      </c>
      <c r="Q16" s="53">
        <v>9.6300000000000008</v>
      </c>
      <c r="R16" s="43"/>
      <c r="S16" s="43"/>
      <c r="T16" s="43"/>
      <c r="U16" s="43"/>
    </row>
    <row r="17" spans="1:21" s="11" customFormat="1" x14ac:dyDescent="0.25">
      <c r="A17" s="52" t="s">
        <v>718</v>
      </c>
      <c r="B17" s="53">
        <v>22.49</v>
      </c>
      <c r="C17" s="53">
        <v>9.56</v>
      </c>
      <c r="D17" s="53">
        <v>21.65</v>
      </c>
      <c r="E17" s="53">
        <v>5.95</v>
      </c>
      <c r="F17" s="53">
        <v>4.0999999999999996</v>
      </c>
      <c r="G17" s="53">
        <v>49.44</v>
      </c>
      <c r="H17" s="53">
        <v>24.48</v>
      </c>
      <c r="I17" s="53">
        <v>5.0999999999999996</v>
      </c>
      <c r="J17" s="53">
        <v>0.9</v>
      </c>
      <c r="K17" s="53">
        <v>125.7</v>
      </c>
      <c r="L17" s="53">
        <v>29.1</v>
      </c>
      <c r="M17" s="53">
        <v>87.31</v>
      </c>
      <c r="N17" s="53">
        <v>390.9</v>
      </c>
      <c r="O17" s="53">
        <v>0</v>
      </c>
      <c r="P17" s="53">
        <v>0.55000000000000004</v>
      </c>
      <c r="Q17" s="53">
        <v>9.6300000000000008</v>
      </c>
      <c r="R17" s="43"/>
      <c r="S17" s="43"/>
      <c r="T17" s="43"/>
      <c r="U17" s="43"/>
    </row>
    <row r="18" spans="1:21" s="11" customFormat="1" x14ac:dyDescent="0.25">
      <c r="A18" s="52" t="s">
        <v>719</v>
      </c>
      <c r="B18" s="53">
        <v>18.37</v>
      </c>
      <c r="C18" s="53">
        <v>10.55</v>
      </c>
      <c r="D18" s="53">
        <v>18.37</v>
      </c>
      <c r="E18" s="53">
        <v>5.62</v>
      </c>
      <c r="F18" s="53">
        <v>4.59</v>
      </c>
      <c r="G18" s="53">
        <v>49.44</v>
      </c>
      <c r="H18" s="53">
        <v>24.48</v>
      </c>
      <c r="I18" s="53">
        <v>3.68</v>
      </c>
      <c r="J18" s="53">
        <v>0.69</v>
      </c>
      <c r="K18" s="53">
        <v>128.83000000000001</v>
      </c>
      <c r="L18" s="53">
        <v>30.05</v>
      </c>
      <c r="M18" s="53">
        <v>75.39</v>
      </c>
      <c r="N18" s="53">
        <v>505.6</v>
      </c>
      <c r="O18" s="53">
        <v>0</v>
      </c>
      <c r="P18" s="53">
        <v>0.56000000000000005</v>
      </c>
      <c r="Q18" s="53">
        <v>9.6300000000000008</v>
      </c>
      <c r="R18" s="43"/>
      <c r="S18" s="43"/>
      <c r="T18" s="43"/>
      <c r="U18" s="43"/>
    </row>
    <row r="19" spans="1:21" s="11" customFormat="1" x14ac:dyDescent="0.25">
      <c r="A19" s="52" t="s">
        <v>720</v>
      </c>
      <c r="B19" s="53">
        <v>13.16</v>
      </c>
      <c r="C19" s="53">
        <v>13.16</v>
      </c>
      <c r="D19" s="53">
        <v>15.3</v>
      </c>
      <c r="E19" s="53">
        <v>5.91</v>
      </c>
      <c r="F19" s="53">
        <v>4.25</v>
      </c>
      <c r="G19" s="53">
        <v>49.23</v>
      </c>
      <c r="H19" s="53">
        <v>23.62</v>
      </c>
      <c r="I19" s="53">
        <v>6.33</v>
      </c>
      <c r="J19" s="53">
        <v>1.35</v>
      </c>
      <c r="K19" s="53">
        <v>350.52</v>
      </c>
      <c r="L19" s="53">
        <v>32.03</v>
      </c>
      <c r="M19" s="53">
        <v>71.319999999999993</v>
      </c>
      <c r="N19" s="53">
        <v>491</v>
      </c>
      <c r="O19" s="53">
        <v>0</v>
      </c>
      <c r="P19" s="53">
        <v>0.62</v>
      </c>
      <c r="Q19" s="53">
        <v>9.6199999999999992</v>
      </c>
      <c r="R19" s="43"/>
      <c r="S19" s="43"/>
      <c r="T19" s="43"/>
      <c r="U19" s="43"/>
    </row>
    <row r="20" spans="1:21" s="11" customFormat="1" x14ac:dyDescent="0.25">
      <c r="A20" s="52" t="s">
        <v>721</v>
      </c>
      <c r="B20" s="53">
        <v>7.2</v>
      </c>
      <c r="C20" s="53">
        <v>14.18</v>
      </c>
      <c r="D20" s="53">
        <v>11.66</v>
      </c>
      <c r="E20" s="53">
        <v>5.96</v>
      </c>
      <c r="F20" s="53">
        <v>5.29</v>
      </c>
      <c r="G20" s="53">
        <v>56.74</v>
      </c>
      <c r="H20" s="53">
        <v>26.35</v>
      </c>
      <c r="I20" s="53">
        <v>6.13</v>
      </c>
      <c r="J20" s="53">
        <v>1.58</v>
      </c>
      <c r="K20" s="53">
        <v>118.82</v>
      </c>
      <c r="L20" s="53">
        <v>31.63</v>
      </c>
      <c r="M20" s="53">
        <v>70.28</v>
      </c>
      <c r="N20" s="53">
        <v>556.4</v>
      </c>
      <c r="O20" s="53">
        <v>0</v>
      </c>
      <c r="P20" s="53">
        <v>0.61</v>
      </c>
      <c r="Q20" s="53">
        <v>9.6300000000000008</v>
      </c>
      <c r="R20" s="43"/>
      <c r="S20" s="43"/>
      <c r="T20" s="43"/>
      <c r="U20" s="43"/>
    </row>
    <row r="21" spans="1:21" s="11" customFormat="1" x14ac:dyDescent="0.25">
      <c r="A21" s="52" t="s">
        <v>722</v>
      </c>
      <c r="B21" s="53">
        <v>2.7</v>
      </c>
      <c r="C21" s="53">
        <v>13.25</v>
      </c>
      <c r="D21" s="53">
        <v>7.71</v>
      </c>
      <c r="E21" s="53">
        <v>5.8</v>
      </c>
      <c r="F21" s="53">
        <v>5.46</v>
      </c>
      <c r="G21" s="53">
        <v>64.540000000000006</v>
      </c>
      <c r="H21" s="53">
        <v>28.05</v>
      </c>
      <c r="I21" s="53">
        <v>5.88</v>
      </c>
      <c r="J21" s="53">
        <v>1.1200000000000001</v>
      </c>
      <c r="K21" s="53">
        <v>336.02</v>
      </c>
      <c r="L21" s="53">
        <v>32.06</v>
      </c>
      <c r="M21" s="53">
        <v>62.39</v>
      </c>
      <c r="N21" s="53">
        <v>479.7</v>
      </c>
      <c r="O21" s="53">
        <v>0</v>
      </c>
      <c r="P21" s="53">
        <v>0.66</v>
      </c>
      <c r="Q21" s="53">
        <v>9.6199999999999992</v>
      </c>
      <c r="R21" s="43"/>
      <c r="S21" s="43"/>
      <c r="T21" s="43"/>
      <c r="U21" s="43"/>
    </row>
    <row r="22" spans="1:21" s="11" customFormat="1" x14ac:dyDescent="0.25">
      <c r="A22" s="52" t="s">
        <v>723</v>
      </c>
      <c r="B22" s="53">
        <v>1.99</v>
      </c>
      <c r="C22" s="53">
        <v>12.9</v>
      </c>
      <c r="D22" s="53">
        <v>6.96</v>
      </c>
      <c r="E22" s="53">
        <v>5.77</v>
      </c>
      <c r="F22" s="53">
        <v>6</v>
      </c>
      <c r="G22" s="53">
        <v>64.63</v>
      </c>
      <c r="H22" s="53">
        <v>28.84</v>
      </c>
      <c r="I22" s="53">
        <v>4.5999999999999996</v>
      </c>
      <c r="J22" s="53">
        <v>0.84</v>
      </c>
      <c r="K22" s="53">
        <v>354.23</v>
      </c>
      <c r="L22" s="53">
        <v>31.07</v>
      </c>
      <c r="M22" s="53">
        <v>63.66</v>
      </c>
      <c r="N22" s="53">
        <v>398.4</v>
      </c>
      <c r="O22" s="53">
        <v>0</v>
      </c>
      <c r="P22" s="53">
        <v>0.65</v>
      </c>
      <c r="Q22" s="53">
        <v>9.6199999999999992</v>
      </c>
      <c r="R22" s="43"/>
      <c r="S22" s="43"/>
      <c r="T22" s="43"/>
      <c r="U22" s="43"/>
    </row>
    <row r="23" spans="1:21" s="11" customFormat="1" x14ac:dyDescent="0.25">
      <c r="A23" s="52" t="s">
        <v>724</v>
      </c>
      <c r="B23" s="53">
        <v>2.0299999999999998</v>
      </c>
      <c r="C23" s="53">
        <v>13.71</v>
      </c>
      <c r="D23" s="53">
        <v>7.41</v>
      </c>
      <c r="E23" s="53">
        <v>5.77</v>
      </c>
      <c r="F23" s="53">
        <v>5.96</v>
      </c>
      <c r="G23" s="53">
        <v>64.63</v>
      </c>
      <c r="H23" s="53">
        <v>29.7</v>
      </c>
      <c r="I23" s="53">
        <v>4.78</v>
      </c>
      <c r="J23" s="53">
        <v>1.04</v>
      </c>
      <c r="K23" s="53">
        <v>345.63</v>
      </c>
      <c r="L23" s="53">
        <v>31.98</v>
      </c>
      <c r="M23" s="53">
        <v>63.54</v>
      </c>
      <c r="N23" s="53">
        <v>238.4</v>
      </c>
      <c r="O23" s="53">
        <v>0</v>
      </c>
      <c r="P23" s="53">
        <v>0.65</v>
      </c>
      <c r="Q23" s="53">
        <v>9.6199999999999992</v>
      </c>
      <c r="R23" s="43"/>
      <c r="S23" s="43"/>
      <c r="T23" s="43"/>
      <c r="U23" s="43"/>
    </row>
    <row r="24" spans="1:21" s="11" customFormat="1" x14ac:dyDescent="0.25">
      <c r="A24" s="52" t="s">
        <v>725</v>
      </c>
      <c r="B24" s="53">
        <v>2.73</v>
      </c>
      <c r="C24" s="53">
        <v>16.29</v>
      </c>
      <c r="D24" s="53">
        <v>9.32</v>
      </c>
      <c r="E24" s="53">
        <v>5.42</v>
      </c>
      <c r="F24" s="53">
        <v>5.39</v>
      </c>
      <c r="G24" s="53">
        <v>63.6</v>
      </c>
      <c r="H24" s="53">
        <v>33.659999999999997</v>
      </c>
      <c r="I24" s="53">
        <v>3.11</v>
      </c>
      <c r="J24" s="53">
        <v>0.74</v>
      </c>
      <c r="K24" s="53">
        <v>358.12</v>
      </c>
      <c r="L24" s="53">
        <v>29.95</v>
      </c>
      <c r="M24" s="53">
        <v>71.94</v>
      </c>
      <c r="N24" s="53">
        <v>96.2</v>
      </c>
      <c r="O24" s="53">
        <v>0</v>
      </c>
      <c r="P24" s="53">
        <v>0.75</v>
      </c>
      <c r="Q24" s="53">
        <v>9.61</v>
      </c>
      <c r="R24" s="43"/>
      <c r="S24" s="43"/>
      <c r="T24" s="43"/>
      <c r="U24" s="43"/>
    </row>
    <row r="25" spans="1:21" s="11" customFormat="1" x14ac:dyDescent="0.25">
      <c r="A25" s="52" t="s">
        <v>726</v>
      </c>
      <c r="B25" s="53">
        <v>4.71</v>
      </c>
      <c r="C25" s="53">
        <v>18.04</v>
      </c>
      <c r="D25" s="53">
        <v>11.82</v>
      </c>
      <c r="E25" s="53">
        <v>5.75</v>
      </c>
      <c r="F25" s="53">
        <v>5.49</v>
      </c>
      <c r="G25" s="53">
        <v>67.91</v>
      </c>
      <c r="H25" s="53">
        <v>33.659999999999997</v>
      </c>
      <c r="I25" s="53">
        <v>3.17</v>
      </c>
      <c r="J25" s="53">
        <v>1.1200000000000001</v>
      </c>
      <c r="K25" s="53">
        <v>341.33</v>
      </c>
      <c r="L25" s="53">
        <v>29.49</v>
      </c>
      <c r="M25" s="53">
        <v>70.06</v>
      </c>
      <c r="N25" s="53">
        <v>77.599999999999994</v>
      </c>
      <c r="O25" s="53">
        <v>0</v>
      </c>
      <c r="P25" s="53">
        <v>1.03</v>
      </c>
      <c r="Q25" s="53">
        <v>9.6199999999999992</v>
      </c>
      <c r="R25" s="43"/>
      <c r="S25" s="43"/>
      <c r="T25" s="43"/>
      <c r="U25" s="43"/>
    </row>
    <row r="26" spans="1:21" s="11" customFormat="1" x14ac:dyDescent="0.25">
      <c r="A26" s="52" t="s">
        <v>727</v>
      </c>
      <c r="B26" s="53">
        <v>4.88</v>
      </c>
      <c r="C26" s="53">
        <v>18.34</v>
      </c>
      <c r="D26" s="53">
        <v>12.12</v>
      </c>
      <c r="E26" s="53">
        <v>5.29</v>
      </c>
      <c r="F26" s="53">
        <v>5.84</v>
      </c>
      <c r="G26" s="53">
        <v>72.349999999999994</v>
      </c>
      <c r="H26" s="53">
        <v>35.11</v>
      </c>
      <c r="I26" s="53">
        <v>3.34</v>
      </c>
      <c r="J26" s="53">
        <v>0.75</v>
      </c>
      <c r="K26" s="53">
        <v>120.18</v>
      </c>
      <c r="L26" s="53">
        <v>28.87</v>
      </c>
      <c r="M26" s="53">
        <v>74.52</v>
      </c>
      <c r="N26" s="53">
        <v>34.799999999999997</v>
      </c>
      <c r="O26" s="53">
        <v>0</v>
      </c>
      <c r="P26" s="53">
        <v>0.88</v>
      </c>
      <c r="Q26" s="53">
        <v>9.6199999999999992</v>
      </c>
      <c r="R26" s="43"/>
      <c r="S26" s="43"/>
      <c r="T26" s="43"/>
      <c r="U26" s="43"/>
    </row>
    <row r="27" spans="1:21" s="11" customFormat="1" x14ac:dyDescent="0.25">
      <c r="A27" s="52" t="s">
        <v>728</v>
      </c>
      <c r="B27" s="53">
        <v>3.66</v>
      </c>
      <c r="C27" s="53">
        <v>16.690000000000001</v>
      </c>
      <c r="D27" s="53">
        <v>10.28</v>
      </c>
      <c r="E27" s="53">
        <v>5.51</v>
      </c>
      <c r="F27" s="53">
        <v>5.17</v>
      </c>
      <c r="G27" s="53">
        <v>72.349999999999994</v>
      </c>
      <c r="H27" s="53">
        <v>35.11</v>
      </c>
      <c r="I27" s="53">
        <v>2.75</v>
      </c>
      <c r="J27" s="53">
        <v>1.24</v>
      </c>
      <c r="K27" s="53">
        <v>121.45</v>
      </c>
      <c r="L27" s="53">
        <v>28.06</v>
      </c>
      <c r="M27" s="53">
        <v>80.92</v>
      </c>
      <c r="N27" s="53">
        <v>26.4</v>
      </c>
      <c r="O27" s="53">
        <v>0</v>
      </c>
      <c r="P27" s="53">
        <v>0.69</v>
      </c>
      <c r="Q27" s="53">
        <v>9.6199999999999992</v>
      </c>
      <c r="R27" s="43"/>
      <c r="S27" s="43"/>
      <c r="T27" s="43"/>
      <c r="U27" s="43"/>
    </row>
    <row r="28" spans="1:21" s="11" customFormat="1" x14ac:dyDescent="0.25">
      <c r="A28" s="52" t="s">
        <v>729</v>
      </c>
      <c r="B28" s="53">
        <v>2.27</v>
      </c>
      <c r="C28" s="53">
        <v>12.9</v>
      </c>
      <c r="D28" s="53">
        <v>7.05</v>
      </c>
      <c r="E28" s="53">
        <v>5.47</v>
      </c>
      <c r="F28" s="53">
        <v>7.79</v>
      </c>
      <c r="G28" s="53">
        <v>69.86</v>
      </c>
      <c r="H28" s="53">
        <v>37.57</v>
      </c>
      <c r="I28" s="53">
        <v>3.59</v>
      </c>
      <c r="J28" s="53">
        <v>0.65</v>
      </c>
      <c r="K28" s="53">
        <v>111</v>
      </c>
      <c r="L28" s="53">
        <v>27.41</v>
      </c>
      <c r="M28" s="53">
        <v>85.15</v>
      </c>
      <c r="N28" s="53">
        <v>26.3</v>
      </c>
      <c r="O28" s="53">
        <v>0</v>
      </c>
      <c r="P28" s="53">
        <v>0.94</v>
      </c>
      <c r="Q28" s="53">
        <v>9.64</v>
      </c>
      <c r="R28" s="43"/>
      <c r="S28" s="43"/>
      <c r="T28" s="43"/>
      <c r="U28" s="43"/>
    </row>
    <row r="29" spans="1:21" s="11" customFormat="1" x14ac:dyDescent="0.25">
      <c r="A29" s="52" t="s">
        <v>730</v>
      </c>
      <c r="B29" s="53">
        <v>2.31</v>
      </c>
      <c r="C29" s="53">
        <v>12.71</v>
      </c>
      <c r="D29" s="53">
        <v>7.12</v>
      </c>
      <c r="E29" s="53">
        <v>4.83</v>
      </c>
      <c r="F29" s="53">
        <v>4.9400000000000004</v>
      </c>
      <c r="G29" s="53">
        <v>70.78</v>
      </c>
      <c r="H29" s="53">
        <v>43.59</v>
      </c>
      <c r="I29" s="53">
        <v>3.42</v>
      </c>
      <c r="J29" s="53">
        <v>1.35</v>
      </c>
      <c r="K29" s="53">
        <v>115.96</v>
      </c>
      <c r="L29" s="53">
        <v>27.1</v>
      </c>
      <c r="M29" s="53">
        <v>84.61</v>
      </c>
      <c r="N29" s="53">
        <v>26.2</v>
      </c>
      <c r="O29" s="53">
        <v>0</v>
      </c>
      <c r="P29" s="53">
        <v>0.74</v>
      </c>
      <c r="Q29" s="53">
        <v>9.6199999999999992</v>
      </c>
      <c r="R29" s="43"/>
      <c r="S29" s="43"/>
      <c r="T29" s="43"/>
      <c r="U29" s="43"/>
    </row>
    <row r="30" spans="1:21" s="11" customFormat="1" x14ac:dyDescent="0.25">
      <c r="A30" s="52" t="s">
        <v>731</v>
      </c>
      <c r="B30" s="53">
        <v>3.89</v>
      </c>
      <c r="C30" s="53">
        <v>12.26</v>
      </c>
      <c r="D30" s="53">
        <v>8.08</v>
      </c>
      <c r="E30" s="53">
        <v>4.8899999999999997</v>
      </c>
      <c r="F30" s="53">
        <v>4.6399999999999997</v>
      </c>
      <c r="G30" s="53">
        <v>77.02</v>
      </c>
      <c r="H30" s="53">
        <v>43.67</v>
      </c>
      <c r="I30" s="53">
        <v>3.18</v>
      </c>
      <c r="J30" s="53">
        <v>0.64</v>
      </c>
      <c r="K30" s="53">
        <v>179.55</v>
      </c>
      <c r="L30" s="53">
        <v>26.72</v>
      </c>
      <c r="M30" s="53">
        <v>90.41</v>
      </c>
      <c r="N30" s="53">
        <v>26.4</v>
      </c>
      <c r="O30" s="53">
        <v>0</v>
      </c>
      <c r="P30" s="53">
        <v>0.75</v>
      </c>
      <c r="Q30" s="53">
        <v>9.61</v>
      </c>
      <c r="R30" s="43"/>
      <c r="S30" s="43"/>
      <c r="T30" s="43"/>
      <c r="U30" s="43"/>
    </row>
    <row r="31" spans="1:21" s="11" customFormat="1" x14ac:dyDescent="0.25">
      <c r="A31" s="52" t="s">
        <v>754</v>
      </c>
      <c r="B31" s="53">
        <v>4.9400000000000004</v>
      </c>
      <c r="C31" s="53">
        <v>12.27</v>
      </c>
      <c r="D31" s="53">
        <v>8.9</v>
      </c>
      <c r="E31" s="53">
        <v>5.03</v>
      </c>
      <c r="F31" s="53">
        <v>4.74</v>
      </c>
      <c r="G31" s="53">
        <v>77.5</v>
      </c>
      <c r="H31" s="53">
        <v>43.67</v>
      </c>
      <c r="I31" s="53">
        <v>3.88</v>
      </c>
      <c r="J31" s="53">
        <v>0.54</v>
      </c>
      <c r="K31" s="53">
        <v>269.23</v>
      </c>
      <c r="L31" s="53">
        <v>26.09</v>
      </c>
      <c r="M31" s="53">
        <v>95.79</v>
      </c>
      <c r="N31" s="53">
        <v>26.3</v>
      </c>
      <c r="O31" s="53">
        <v>0</v>
      </c>
      <c r="P31" s="53">
        <v>0.62</v>
      </c>
      <c r="Q31" s="53">
        <v>9.6199999999999992</v>
      </c>
      <c r="R31" s="43"/>
      <c r="S31" s="43"/>
      <c r="T31" s="43"/>
      <c r="U31" s="43"/>
    </row>
    <row r="32" spans="1:21" s="11" customFormat="1" x14ac:dyDescent="0.25">
      <c r="A32" s="52" t="s">
        <v>755</v>
      </c>
      <c r="B32" s="53">
        <v>6.72</v>
      </c>
      <c r="C32" s="53">
        <v>12.08</v>
      </c>
      <c r="D32" s="53">
        <v>10.23</v>
      </c>
      <c r="E32" s="53">
        <v>5.29</v>
      </c>
      <c r="F32" s="53">
        <v>4.8</v>
      </c>
      <c r="G32" s="53">
        <v>77.5</v>
      </c>
      <c r="H32" s="53">
        <v>45.59</v>
      </c>
      <c r="I32" s="53">
        <v>3.72</v>
      </c>
      <c r="J32" s="53">
        <v>0.37</v>
      </c>
      <c r="K32" s="53">
        <v>289.19</v>
      </c>
      <c r="L32" s="53">
        <v>25.37</v>
      </c>
      <c r="M32" s="53">
        <v>100.79</v>
      </c>
      <c r="N32" s="53">
        <v>26.2</v>
      </c>
      <c r="O32" s="53">
        <v>0</v>
      </c>
      <c r="P32" s="53">
        <v>0.74</v>
      </c>
      <c r="Q32" s="53">
        <v>9.6199999999999992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1.99</v>
      </c>
      <c r="C34" s="28">
        <f t="shared" si="0"/>
        <v>7.54</v>
      </c>
      <c r="D34" s="28">
        <f t="shared" si="0"/>
        <v>6.96</v>
      </c>
      <c r="E34" s="28">
        <f t="shared" si="0"/>
        <v>4.83</v>
      </c>
      <c r="F34" s="28">
        <f t="shared" si="0"/>
        <v>3.82</v>
      </c>
      <c r="G34" s="28">
        <f t="shared" si="0"/>
        <v>31.79</v>
      </c>
      <c r="H34" s="28">
        <f t="shared" si="0"/>
        <v>13.97</v>
      </c>
      <c r="I34" s="28">
        <f t="shared" si="0"/>
        <v>2.37</v>
      </c>
      <c r="J34" s="28">
        <f t="shared" si="0"/>
        <v>0.37</v>
      </c>
      <c r="K34" s="28">
        <f t="shared" si="0"/>
        <v>111</v>
      </c>
      <c r="L34" s="28">
        <f t="shared" si="0"/>
        <v>22.9</v>
      </c>
      <c r="M34" s="28">
        <f t="shared" si="0"/>
        <v>62.39</v>
      </c>
      <c r="N34" s="28">
        <f t="shared" si="0"/>
        <v>26.1</v>
      </c>
      <c r="O34" s="28">
        <f t="shared" si="0"/>
        <v>0</v>
      </c>
      <c r="P34" s="28">
        <f t="shared" si="0"/>
        <v>0.53</v>
      </c>
      <c r="Q34" s="28">
        <f t="shared" si="0"/>
        <v>9.61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24.51</v>
      </c>
      <c r="C35" s="29">
        <f t="shared" si="1"/>
        <v>18.34</v>
      </c>
      <c r="D35" s="29">
        <f t="shared" si="1"/>
        <v>23.33</v>
      </c>
      <c r="E35" s="29">
        <f t="shared" si="1"/>
        <v>7.11</v>
      </c>
      <c r="F35" s="29">
        <f t="shared" si="1"/>
        <v>7.79</v>
      </c>
      <c r="G35" s="29">
        <f t="shared" si="1"/>
        <v>77.5</v>
      </c>
      <c r="H35" s="29">
        <f t="shared" si="1"/>
        <v>45.59</v>
      </c>
      <c r="I35" s="29">
        <f t="shared" si="1"/>
        <v>6.33</v>
      </c>
      <c r="J35" s="29">
        <f t="shared" si="1"/>
        <v>1.58</v>
      </c>
      <c r="K35" s="29">
        <f t="shared" si="1"/>
        <v>359.78</v>
      </c>
      <c r="L35" s="29">
        <f t="shared" si="1"/>
        <v>32.06</v>
      </c>
      <c r="M35" s="29">
        <f t="shared" si="1"/>
        <v>102.78</v>
      </c>
      <c r="N35" s="29">
        <f t="shared" si="1"/>
        <v>556.4</v>
      </c>
      <c r="O35" s="29">
        <f t="shared" si="1"/>
        <v>0</v>
      </c>
      <c r="P35" s="29">
        <f t="shared" si="1"/>
        <v>1.03</v>
      </c>
      <c r="Q35" s="29">
        <f t="shared" si="1"/>
        <v>9.64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8.6370833333333312</v>
      </c>
      <c r="C36" s="28">
        <f t="shared" si="2"/>
        <v>12.017083333333332</v>
      </c>
      <c r="D36" s="28">
        <f t="shared" si="2"/>
        <v>11.727500000000001</v>
      </c>
      <c r="E36" s="28">
        <f t="shared" si="2"/>
        <v>5.7270833333333329</v>
      </c>
      <c r="F36" s="28">
        <f t="shared" si="2"/>
        <v>5.0412499999999998</v>
      </c>
      <c r="G36" s="28">
        <f t="shared" si="2"/>
        <v>56.564583333333331</v>
      </c>
      <c r="H36" s="28">
        <f t="shared" si="2"/>
        <v>28.429583333333326</v>
      </c>
      <c r="I36" s="28">
        <f t="shared" si="2"/>
        <v>3.9770833333333342</v>
      </c>
      <c r="J36" s="28">
        <f t="shared" si="2"/>
        <v>0.83291666666666664</v>
      </c>
      <c r="K36" s="28">
        <f t="shared" si="2"/>
        <v>255.91916666666668</v>
      </c>
      <c r="L36" s="28">
        <f t="shared" si="2"/>
        <v>27.42625</v>
      </c>
      <c r="M36" s="28">
        <f t="shared" si="2"/>
        <v>86.207916666666677</v>
      </c>
      <c r="N36" s="28">
        <f t="shared" si="2"/>
        <v>161.16666666666666</v>
      </c>
      <c r="O36" s="28">
        <f t="shared" si="2"/>
        <v>0</v>
      </c>
      <c r="P36" s="28">
        <f t="shared" si="2"/>
        <v>0.67041666666666666</v>
      </c>
      <c r="Q36" s="28">
        <f t="shared" si="2"/>
        <v>9.6208333333333353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6.9559448951280505</v>
      </c>
      <c r="C37" s="28">
        <f t="shared" ref="C37:Q37" si="3">STDEV(C9:C32)</f>
        <v>3.1587180657413225</v>
      </c>
      <c r="D37" s="28">
        <f t="shared" si="3"/>
        <v>4.8818931199671471</v>
      </c>
      <c r="E37" s="28">
        <f t="shared" si="3"/>
        <v>0.61229063265787687</v>
      </c>
      <c r="F37" s="28">
        <f t="shared" si="3"/>
        <v>0.86133522484872926</v>
      </c>
      <c r="G37" s="28">
        <f t="shared" si="3"/>
        <v>15.477259329111831</v>
      </c>
      <c r="H37" s="28">
        <f t="shared" si="3"/>
        <v>9.7371719308095503</v>
      </c>
      <c r="I37" s="28">
        <f t="shared" si="3"/>
        <v>1.1534126271225704</v>
      </c>
      <c r="J37" s="28">
        <f t="shared" si="3"/>
        <v>0.32088842929898737</v>
      </c>
      <c r="K37" s="28">
        <f t="shared" si="3"/>
        <v>103.26663146044997</v>
      </c>
      <c r="L37" s="28">
        <f t="shared" si="3"/>
        <v>3.1790274866489616</v>
      </c>
      <c r="M37" s="28">
        <f t="shared" si="3"/>
        <v>15.167792817324221</v>
      </c>
      <c r="N37" s="28">
        <f t="shared" si="3"/>
        <v>192.90129412568052</v>
      </c>
      <c r="O37" s="28">
        <f t="shared" si="3"/>
        <v>0</v>
      </c>
      <c r="P37" s="28">
        <f t="shared" si="3"/>
        <v>0.12889089307953636</v>
      </c>
      <c r="Q37" s="28">
        <f t="shared" si="3"/>
        <v>7.1728150235681725E-3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90" zoomScaleNormal="90" workbookViewId="0">
      <selection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6" width="9.140625" style="20" customWidth="1"/>
    <col min="17" max="17" width="16.42578125" style="20" customWidth="1"/>
    <col min="18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31/10/2024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756</v>
      </c>
      <c r="B9" s="53">
        <v>6.35</v>
      </c>
      <c r="C9" s="53">
        <v>10.82</v>
      </c>
      <c r="D9" s="53">
        <v>9.3699999999999992</v>
      </c>
      <c r="E9" s="53">
        <v>5.18</v>
      </c>
      <c r="F9" s="53">
        <v>4.22</v>
      </c>
      <c r="G9" s="53">
        <v>75.09</v>
      </c>
      <c r="H9" s="53">
        <v>45.59</v>
      </c>
      <c r="I9" s="53">
        <v>4.04</v>
      </c>
      <c r="J9" s="53">
        <v>0.54</v>
      </c>
      <c r="K9" s="53">
        <v>320.69</v>
      </c>
      <c r="L9" s="53">
        <v>24.83</v>
      </c>
      <c r="M9" s="53">
        <v>101.78</v>
      </c>
      <c r="N9" s="53">
        <v>26.1</v>
      </c>
      <c r="O9" s="53">
        <v>0</v>
      </c>
      <c r="P9" s="53">
        <v>0.59</v>
      </c>
      <c r="Q9" s="53">
        <v>9.6199999999999992</v>
      </c>
      <c r="R9" s="43"/>
      <c r="S9" s="43"/>
      <c r="T9" s="43"/>
      <c r="U9" s="43"/>
    </row>
    <row r="10" spans="1:21" s="11" customFormat="1" x14ac:dyDescent="0.25">
      <c r="A10" s="52" t="s">
        <v>757</v>
      </c>
      <c r="B10" s="53">
        <v>5.25</v>
      </c>
      <c r="C10" s="53">
        <v>8.61</v>
      </c>
      <c r="D10" s="53">
        <v>7.32</v>
      </c>
      <c r="E10" s="53">
        <v>4.84</v>
      </c>
      <c r="F10" s="53">
        <v>5.23</v>
      </c>
      <c r="G10" s="53">
        <v>68.31</v>
      </c>
      <c r="H10" s="53">
        <v>44.61</v>
      </c>
      <c r="I10" s="53">
        <v>2.79</v>
      </c>
      <c r="J10" s="53">
        <v>0.55000000000000004</v>
      </c>
      <c r="K10" s="53">
        <v>312.48</v>
      </c>
      <c r="L10" s="53">
        <v>23.94</v>
      </c>
      <c r="M10" s="53">
        <v>102.73</v>
      </c>
      <c r="N10" s="53">
        <v>26.1</v>
      </c>
      <c r="O10" s="53">
        <v>0</v>
      </c>
      <c r="P10" s="53">
        <v>0.67</v>
      </c>
      <c r="Q10" s="53">
        <v>9.6199999999999992</v>
      </c>
      <c r="R10" s="43"/>
      <c r="S10" s="43"/>
      <c r="T10" s="43"/>
      <c r="U10" s="43"/>
    </row>
    <row r="11" spans="1:21" s="11" customFormat="1" x14ac:dyDescent="0.25">
      <c r="A11" s="52" t="s">
        <v>758</v>
      </c>
      <c r="B11" s="53">
        <v>5.25</v>
      </c>
      <c r="C11" s="53">
        <v>8.41</v>
      </c>
      <c r="D11" s="53">
        <v>7.22</v>
      </c>
      <c r="E11" s="53">
        <v>4.8899999999999997</v>
      </c>
      <c r="F11" s="53">
        <v>5.04</v>
      </c>
      <c r="G11" s="53">
        <v>69.099999999999994</v>
      </c>
      <c r="H11" s="53">
        <v>39.57</v>
      </c>
      <c r="I11" s="53">
        <v>2.62</v>
      </c>
      <c r="J11" s="53">
        <v>0.51</v>
      </c>
      <c r="K11" s="53">
        <v>332.26</v>
      </c>
      <c r="L11" s="53">
        <v>23.88</v>
      </c>
      <c r="M11" s="53">
        <v>102.73</v>
      </c>
      <c r="N11" s="53">
        <v>26.1</v>
      </c>
      <c r="O11" s="53">
        <v>0</v>
      </c>
      <c r="P11" s="53">
        <v>0.6</v>
      </c>
      <c r="Q11" s="53">
        <v>9.6199999999999992</v>
      </c>
      <c r="R11" s="43"/>
      <c r="S11" s="43"/>
      <c r="T11" s="43"/>
      <c r="U11" s="43"/>
    </row>
    <row r="12" spans="1:21" s="11" customFormat="1" x14ac:dyDescent="0.25">
      <c r="A12" s="52" t="s">
        <v>759</v>
      </c>
      <c r="B12" s="53">
        <v>4.17</v>
      </c>
      <c r="C12" s="53">
        <v>8.7200000000000006</v>
      </c>
      <c r="D12" s="53">
        <v>6.33</v>
      </c>
      <c r="E12" s="53">
        <v>4.8600000000000003</v>
      </c>
      <c r="F12" s="53">
        <v>4.4000000000000004</v>
      </c>
      <c r="G12" s="53">
        <v>69.099999999999994</v>
      </c>
      <c r="H12" s="53">
        <v>37.369999999999997</v>
      </c>
      <c r="I12" s="53">
        <v>4.12</v>
      </c>
      <c r="J12" s="53">
        <v>1.02</v>
      </c>
      <c r="K12" s="53">
        <v>337.49</v>
      </c>
      <c r="L12" s="53">
        <v>23.74</v>
      </c>
      <c r="M12" s="53">
        <v>102.73</v>
      </c>
      <c r="N12" s="53">
        <v>26.1</v>
      </c>
      <c r="O12" s="53">
        <v>0</v>
      </c>
      <c r="P12" s="53">
        <v>0.55000000000000004</v>
      </c>
      <c r="Q12" s="53">
        <v>9.6199999999999992</v>
      </c>
      <c r="R12" s="43"/>
      <c r="S12" s="43"/>
      <c r="T12" s="43"/>
      <c r="U12" s="43"/>
    </row>
    <row r="13" spans="1:21" s="11" customFormat="1" x14ac:dyDescent="0.25">
      <c r="A13" s="52" t="s">
        <v>760</v>
      </c>
      <c r="B13" s="53">
        <v>5.66</v>
      </c>
      <c r="C13" s="53">
        <v>9.52</v>
      </c>
      <c r="D13" s="53">
        <v>8.1300000000000008</v>
      </c>
      <c r="E13" s="53">
        <v>3.92</v>
      </c>
      <c r="F13" s="53">
        <v>4.59</v>
      </c>
      <c r="G13" s="53">
        <v>67.069999999999993</v>
      </c>
      <c r="H13" s="53">
        <v>33.65</v>
      </c>
      <c r="I13" s="53">
        <v>3.68</v>
      </c>
      <c r="J13" s="53">
        <v>0.8</v>
      </c>
      <c r="K13" s="53">
        <v>354.37</v>
      </c>
      <c r="L13" s="53">
        <v>23.55</v>
      </c>
      <c r="M13" s="53">
        <v>102.75</v>
      </c>
      <c r="N13" s="53">
        <v>26.1</v>
      </c>
      <c r="O13" s="53">
        <v>0</v>
      </c>
      <c r="P13" s="53">
        <v>0.83</v>
      </c>
      <c r="Q13" s="53">
        <v>9.6199999999999992</v>
      </c>
      <c r="R13" s="43"/>
      <c r="S13" s="43"/>
      <c r="T13" s="43"/>
      <c r="U13" s="43"/>
    </row>
    <row r="14" spans="1:21" s="11" customFormat="1" x14ac:dyDescent="0.25">
      <c r="A14" s="52" t="s">
        <v>761</v>
      </c>
      <c r="B14" s="53">
        <v>9.59</v>
      </c>
      <c r="C14" s="53">
        <v>9.9</v>
      </c>
      <c r="D14" s="53">
        <v>11.46</v>
      </c>
      <c r="E14" s="53">
        <v>4.13</v>
      </c>
      <c r="F14" s="53">
        <v>4.55</v>
      </c>
      <c r="G14" s="53">
        <v>91.83</v>
      </c>
      <c r="H14" s="53">
        <v>46.39</v>
      </c>
      <c r="I14" s="53">
        <v>4.3899999999999997</v>
      </c>
      <c r="J14" s="53">
        <v>0.42</v>
      </c>
      <c r="K14" s="53">
        <v>311.87</v>
      </c>
      <c r="L14" s="53">
        <v>23.47</v>
      </c>
      <c r="M14" s="53">
        <v>102.77</v>
      </c>
      <c r="N14" s="53">
        <v>26.4</v>
      </c>
      <c r="O14" s="53">
        <v>0</v>
      </c>
      <c r="P14" s="53">
        <v>0.95</v>
      </c>
      <c r="Q14" s="53">
        <v>9.6199999999999992</v>
      </c>
      <c r="R14" s="43"/>
      <c r="S14" s="43"/>
      <c r="T14" s="43"/>
      <c r="U14" s="43"/>
    </row>
    <row r="15" spans="1:21" s="11" customFormat="1" x14ac:dyDescent="0.25">
      <c r="A15" s="52" t="s">
        <v>762</v>
      </c>
      <c r="B15" s="53">
        <v>12.08</v>
      </c>
      <c r="C15" s="53">
        <v>10.45</v>
      </c>
      <c r="D15" s="53">
        <v>13.77</v>
      </c>
      <c r="E15" s="53">
        <v>4.59</v>
      </c>
      <c r="F15" s="53">
        <v>4.05</v>
      </c>
      <c r="G15" s="53">
        <v>108.89</v>
      </c>
      <c r="H15" s="53">
        <v>52.78</v>
      </c>
      <c r="I15" s="53">
        <v>4.87</v>
      </c>
      <c r="J15" s="53">
        <v>0.82</v>
      </c>
      <c r="K15" s="53">
        <v>347.29</v>
      </c>
      <c r="L15" s="53">
        <v>24.07</v>
      </c>
      <c r="M15" s="53">
        <v>102.78</v>
      </c>
      <c r="N15" s="53">
        <v>67.400000000000006</v>
      </c>
      <c r="O15" s="53">
        <v>0</v>
      </c>
      <c r="P15" s="53">
        <v>1.83</v>
      </c>
      <c r="Q15" s="53">
        <v>9.6300000000000008</v>
      </c>
      <c r="R15" s="43"/>
      <c r="S15" s="43"/>
      <c r="T15" s="43"/>
      <c r="U15" s="43"/>
    </row>
    <row r="16" spans="1:21" s="11" customFormat="1" x14ac:dyDescent="0.25">
      <c r="A16" s="52" t="s">
        <v>763</v>
      </c>
      <c r="B16" s="53">
        <v>12.98</v>
      </c>
      <c r="C16" s="53">
        <v>11.15</v>
      </c>
      <c r="D16" s="53">
        <v>14.86</v>
      </c>
      <c r="E16" s="53">
        <v>5.9</v>
      </c>
      <c r="F16" s="53">
        <v>5.57</v>
      </c>
      <c r="G16" s="53">
        <v>115.76</v>
      </c>
      <c r="H16" s="53">
        <v>55.44</v>
      </c>
      <c r="I16" s="53">
        <v>5.57</v>
      </c>
      <c r="J16" s="53">
        <v>0.98</v>
      </c>
      <c r="K16" s="53">
        <v>340.17</v>
      </c>
      <c r="L16" s="53">
        <v>27.77</v>
      </c>
      <c r="M16" s="53">
        <v>102.37</v>
      </c>
      <c r="N16" s="53">
        <v>188.7</v>
      </c>
      <c r="O16" s="53">
        <v>0</v>
      </c>
      <c r="P16" s="53">
        <v>1.03</v>
      </c>
      <c r="Q16" s="53">
        <v>9.6199999999999992</v>
      </c>
      <c r="R16" s="43"/>
      <c r="S16" s="43"/>
      <c r="T16" s="43"/>
      <c r="U16" s="43"/>
    </row>
    <row r="17" spans="1:21" s="11" customFormat="1" x14ac:dyDescent="0.25">
      <c r="A17" s="52" t="s">
        <v>764</v>
      </c>
      <c r="B17" s="53">
        <v>13.05</v>
      </c>
      <c r="C17" s="53">
        <v>13.2</v>
      </c>
      <c r="D17" s="53">
        <v>15.82</v>
      </c>
      <c r="E17" s="53">
        <v>6.32</v>
      </c>
      <c r="F17" s="53">
        <v>4.51</v>
      </c>
      <c r="G17" s="53">
        <v>117.49</v>
      </c>
      <c r="H17" s="53">
        <v>56.79</v>
      </c>
      <c r="I17" s="53">
        <v>5.56</v>
      </c>
      <c r="J17" s="53">
        <v>1.08</v>
      </c>
      <c r="K17" s="53">
        <v>341.24</v>
      </c>
      <c r="L17" s="53">
        <v>28.62</v>
      </c>
      <c r="M17" s="53">
        <v>82.29</v>
      </c>
      <c r="N17" s="53">
        <v>333.6</v>
      </c>
      <c r="O17" s="53">
        <v>0</v>
      </c>
      <c r="P17" s="53">
        <v>0.99</v>
      </c>
      <c r="Q17" s="53">
        <v>9.6300000000000008</v>
      </c>
      <c r="R17" s="43"/>
      <c r="S17" s="43"/>
      <c r="T17" s="43"/>
      <c r="U17" s="43"/>
    </row>
    <row r="18" spans="1:21" s="11" customFormat="1" x14ac:dyDescent="0.25">
      <c r="A18" s="52" t="s">
        <v>765</v>
      </c>
      <c r="B18" s="53">
        <v>10.54</v>
      </c>
      <c r="C18" s="53">
        <v>12.68</v>
      </c>
      <c r="D18" s="53">
        <v>13.71</v>
      </c>
      <c r="E18" s="53">
        <v>5.62</v>
      </c>
      <c r="F18" s="53">
        <v>5.3</v>
      </c>
      <c r="G18" s="53">
        <v>117.49</v>
      </c>
      <c r="H18" s="53">
        <v>56.79</v>
      </c>
      <c r="I18" s="53">
        <v>5.57</v>
      </c>
      <c r="J18" s="53">
        <v>1.36</v>
      </c>
      <c r="K18" s="53">
        <v>134.18</v>
      </c>
      <c r="L18" s="53">
        <v>29.12</v>
      </c>
      <c r="M18" s="53">
        <v>79.83</v>
      </c>
      <c r="N18" s="53">
        <v>417.5</v>
      </c>
      <c r="O18" s="53">
        <v>0</v>
      </c>
      <c r="P18" s="53">
        <v>0.82</v>
      </c>
      <c r="Q18" s="53">
        <v>9.64</v>
      </c>
      <c r="R18" s="43"/>
      <c r="S18" s="43"/>
      <c r="T18" s="43"/>
      <c r="U18" s="43"/>
    </row>
    <row r="19" spans="1:21" s="11" customFormat="1" x14ac:dyDescent="0.25">
      <c r="A19" s="52" t="s">
        <v>766</v>
      </c>
      <c r="B19" s="53">
        <v>6.26</v>
      </c>
      <c r="C19" s="53">
        <v>14.09</v>
      </c>
      <c r="D19" s="53">
        <v>9.77</v>
      </c>
      <c r="E19" s="53">
        <v>7.74</v>
      </c>
      <c r="F19" s="53">
        <v>16.87</v>
      </c>
      <c r="G19" s="53">
        <v>115.35</v>
      </c>
      <c r="H19" s="53">
        <v>53.09</v>
      </c>
      <c r="I19" s="53">
        <v>3.75</v>
      </c>
      <c r="J19" s="53">
        <v>1.32</v>
      </c>
      <c r="K19" s="53">
        <v>122.86</v>
      </c>
      <c r="L19" s="53">
        <v>28.96</v>
      </c>
      <c r="M19" s="53">
        <v>79.239999999999995</v>
      </c>
      <c r="N19" s="53">
        <v>332.7</v>
      </c>
      <c r="O19" s="53">
        <v>0</v>
      </c>
      <c r="P19" s="53">
        <v>0.61</v>
      </c>
      <c r="Q19" s="53">
        <v>9.64</v>
      </c>
      <c r="R19" s="43"/>
      <c r="S19" s="43"/>
      <c r="T19" s="43"/>
      <c r="U19" s="43"/>
    </row>
    <row r="20" spans="1:21" s="11" customFormat="1" x14ac:dyDescent="0.25">
      <c r="A20" s="52" t="s">
        <v>767</v>
      </c>
      <c r="B20" s="53">
        <v>2</v>
      </c>
      <c r="C20" s="53">
        <v>20.61</v>
      </c>
      <c r="D20" s="53">
        <v>11</v>
      </c>
      <c r="E20" s="53">
        <v>7.99</v>
      </c>
      <c r="F20" s="53">
        <v>8.0500000000000007</v>
      </c>
      <c r="G20" s="53">
        <v>96.65</v>
      </c>
      <c r="H20" s="53">
        <v>50.82</v>
      </c>
      <c r="I20" s="53">
        <v>4.6900000000000004</v>
      </c>
      <c r="J20" s="53">
        <v>2.04</v>
      </c>
      <c r="K20" s="53">
        <v>340.99</v>
      </c>
      <c r="L20" s="53">
        <v>32.869999999999997</v>
      </c>
      <c r="M20" s="53">
        <v>67.83</v>
      </c>
      <c r="N20" s="53">
        <v>511.9</v>
      </c>
      <c r="O20" s="53">
        <v>0</v>
      </c>
      <c r="P20" s="53">
        <v>0.75</v>
      </c>
      <c r="Q20" s="53">
        <v>9.6199999999999992</v>
      </c>
      <c r="R20" s="43"/>
      <c r="S20" s="43"/>
      <c r="T20" s="43"/>
      <c r="U20" s="43"/>
    </row>
    <row r="21" spans="1:21" s="11" customFormat="1" x14ac:dyDescent="0.25">
      <c r="A21" s="52" t="s">
        <v>768</v>
      </c>
      <c r="B21" s="53">
        <v>3.01</v>
      </c>
      <c r="C21" s="53">
        <v>19.34</v>
      </c>
      <c r="D21" s="53">
        <v>10.75</v>
      </c>
      <c r="E21" s="53">
        <v>8.8699999999999992</v>
      </c>
      <c r="F21" s="53">
        <v>6.94</v>
      </c>
      <c r="G21" s="53">
        <v>102.97</v>
      </c>
      <c r="H21" s="53">
        <v>46.24</v>
      </c>
      <c r="I21" s="53">
        <v>4.67</v>
      </c>
      <c r="J21" s="53">
        <v>1.43</v>
      </c>
      <c r="K21" s="53">
        <v>358.32</v>
      </c>
      <c r="L21" s="53">
        <v>33.14</v>
      </c>
      <c r="M21" s="53">
        <v>62.33</v>
      </c>
      <c r="N21" s="53">
        <v>462.5</v>
      </c>
      <c r="O21" s="53">
        <v>0</v>
      </c>
      <c r="P21" s="53">
        <v>0.79</v>
      </c>
      <c r="Q21" s="53">
        <v>9.6199999999999992</v>
      </c>
      <c r="R21" s="43"/>
      <c r="S21" s="43"/>
      <c r="T21" s="43"/>
      <c r="U21" s="43"/>
    </row>
    <row r="22" spans="1:21" s="11" customFormat="1" x14ac:dyDescent="0.25">
      <c r="A22" s="52" t="s">
        <v>769</v>
      </c>
      <c r="B22" s="53">
        <v>1.78</v>
      </c>
      <c r="C22" s="53">
        <v>28.59</v>
      </c>
      <c r="D22" s="53">
        <v>13.8</v>
      </c>
      <c r="E22" s="53">
        <v>12.27</v>
      </c>
      <c r="F22" s="53">
        <v>21.26</v>
      </c>
      <c r="G22" s="53">
        <v>102.97</v>
      </c>
      <c r="H22" s="53">
        <v>46.24</v>
      </c>
      <c r="I22" s="53">
        <v>4.51</v>
      </c>
      <c r="J22" s="53">
        <v>1.54</v>
      </c>
      <c r="K22" s="53">
        <v>345.93</v>
      </c>
      <c r="L22" s="53">
        <v>32.43</v>
      </c>
      <c r="M22" s="53">
        <v>60.37</v>
      </c>
      <c r="N22" s="53">
        <v>274.39999999999998</v>
      </c>
      <c r="O22" s="53">
        <v>0</v>
      </c>
      <c r="P22" s="53">
        <v>0.82</v>
      </c>
      <c r="Q22" s="53">
        <v>9.6199999999999992</v>
      </c>
      <c r="R22" s="43"/>
      <c r="S22" s="43"/>
      <c r="T22" s="43"/>
      <c r="U22" s="43"/>
    </row>
    <row r="23" spans="1:21" s="11" customFormat="1" x14ac:dyDescent="0.25">
      <c r="A23" s="52" t="s">
        <v>770</v>
      </c>
      <c r="B23" s="53">
        <v>1.1599999999999999</v>
      </c>
      <c r="C23" s="53">
        <v>23.62</v>
      </c>
      <c r="D23" s="53">
        <v>11.5</v>
      </c>
      <c r="E23" s="53">
        <v>9.9</v>
      </c>
      <c r="F23" s="53">
        <v>9.1300000000000008</v>
      </c>
      <c r="G23" s="53">
        <v>86.72</v>
      </c>
      <c r="H23" s="53">
        <v>44.32</v>
      </c>
      <c r="I23" s="53">
        <v>2.87</v>
      </c>
      <c r="J23" s="53">
        <v>1.53</v>
      </c>
      <c r="K23" s="53">
        <v>340.18</v>
      </c>
      <c r="L23" s="53">
        <v>31.45</v>
      </c>
      <c r="M23" s="53">
        <v>62.15</v>
      </c>
      <c r="N23" s="53">
        <v>167.6</v>
      </c>
      <c r="O23" s="53">
        <v>0</v>
      </c>
      <c r="P23" s="53">
        <v>0.83</v>
      </c>
      <c r="Q23" s="53">
        <v>9.6199999999999992</v>
      </c>
      <c r="R23" s="43"/>
      <c r="S23" s="43"/>
      <c r="T23" s="43"/>
      <c r="U23" s="43"/>
    </row>
    <row r="24" spans="1:21" s="11" customFormat="1" x14ac:dyDescent="0.25">
      <c r="A24" s="52" t="s">
        <v>771</v>
      </c>
      <c r="B24" s="53">
        <v>1.25</v>
      </c>
      <c r="C24" s="53">
        <v>21.98</v>
      </c>
      <c r="D24" s="53">
        <v>10.76</v>
      </c>
      <c r="E24" s="53">
        <v>8.5500000000000007</v>
      </c>
      <c r="F24" s="53">
        <v>9.6999999999999993</v>
      </c>
      <c r="G24" s="53">
        <v>88.8</v>
      </c>
      <c r="H24" s="53">
        <v>43.97</v>
      </c>
      <c r="I24" s="53">
        <v>2.88</v>
      </c>
      <c r="J24" s="53">
        <v>0.63</v>
      </c>
      <c r="K24" s="53">
        <v>354.72</v>
      </c>
      <c r="L24" s="53">
        <v>30.3</v>
      </c>
      <c r="M24" s="53">
        <v>63.19</v>
      </c>
      <c r="N24" s="53">
        <v>108.2</v>
      </c>
      <c r="O24" s="53">
        <v>0</v>
      </c>
      <c r="P24" s="53">
        <v>0.83</v>
      </c>
      <c r="Q24" s="53">
        <v>9.6199999999999992</v>
      </c>
      <c r="R24" s="43"/>
      <c r="S24" s="43"/>
      <c r="T24" s="43"/>
      <c r="U24" s="43"/>
    </row>
    <row r="25" spans="1:21" s="11" customFormat="1" x14ac:dyDescent="0.25">
      <c r="A25" s="52" t="s">
        <v>772</v>
      </c>
      <c r="B25" s="53">
        <v>0.37</v>
      </c>
      <c r="C25" s="53">
        <v>21.51</v>
      </c>
      <c r="D25" s="53">
        <v>9.7200000000000006</v>
      </c>
      <c r="E25" s="53">
        <v>8.9600000000000009</v>
      </c>
      <c r="F25" s="53">
        <v>15.83</v>
      </c>
      <c r="G25" s="53">
        <v>88.8</v>
      </c>
      <c r="H25" s="53">
        <v>43.44</v>
      </c>
      <c r="I25" s="53">
        <v>2.8</v>
      </c>
      <c r="J25" s="53">
        <v>0.57999999999999996</v>
      </c>
      <c r="K25" s="53">
        <v>334.61</v>
      </c>
      <c r="L25" s="53">
        <v>29.33</v>
      </c>
      <c r="M25" s="53">
        <v>64.37</v>
      </c>
      <c r="N25" s="53">
        <v>78.900000000000006</v>
      </c>
      <c r="O25" s="53">
        <v>0</v>
      </c>
      <c r="P25" s="53">
        <v>1.01</v>
      </c>
      <c r="Q25" s="53">
        <v>9.6300000000000008</v>
      </c>
      <c r="R25" s="43"/>
      <c r="S25" s="43"/>
      <c r="T25" s="43"/>
      <c r="U25" s="43"/>
    </row>
    <row r="26" spans="1:21" s="11" customFormat="1" x14ac:dyDescent="0.25">
      <c r="A26" s="52" t="s">
        <v>773</v>
      </c>
      <c r="B26" s="53">
        <v>0.8</v>
      </c>
      <c r="C26" s="53">
        <v>26.92</v>
      </c>
      <c r="D26" s="53">
        <v>13.11</v>
      </c>
      <c r="E26" s="53">
        <v>8.86</v>
      </c>
      <c r="F26" s="53">
        <v>11.04</v>
      </c>
      <c r="G26" s="53">
        <v>65.16</v>
      </c>
      <c r="H26" s="53">
        <v>38.14</v>
      </c>
      <c r="I26" s="53">
        <v>3.84</v>
      </c>
      <c r="J26" s="53">
        <v>0.43</v>
      </c>
      <c r="K26" s="53">
        <v>86.69</v>
      </c>
      <c r="L26" s="53">
        <v>28.74</v>
      </c>
      <c r="M26" s="53">
        <v>70.05</v>
      </c>
      <c r="N26" s="53">
        <v>36.299999999999997</v>
      </c>
      <c r="O26" s="53">
        <v>0</v>
      </c>
      <c r="P26" s="53">
        <v>1.41</v>
      </c>
      <c r="Q26" s="53">
        <v>9.6199999999999992</v>
      </c>
      <c r="R26" s="43"/>
      <c r="S26" s="43"/>
      <c r="T26" s="43"/>
      <c r="U26" s="43"/>
    </row>
    <row r="27" spans="1:21" s="11" customFormat="1" x14ac:dyDescent="0.25">
      <c r="A27" s="52" t="s">
        <v>774</v>
      </c>
      <c r="B27" s="53">
        <v>1.46</v>
      </c>
      <c r="C27" s="53">
        <v>22.17</v>
      </c>
      <c r="D27" s="53">
        <v>10.99</v>
      </c>
      <c r="E27" s="53">
        <v>7.23</v>
      </c>
      <c r="F27" s="53">
        <v>6.88</v>
      </c>
      <c r="G27" s="53">
        <v>89.87</v>
      </c>
      <c r="H27" s="53">
        <v>39.89</v>
      </c>
      <c r="I27" s="53">
        <v>4.24</v>
      </c>
      <c r="J27" s="53">
        <v>0.37</v>
      </c>
      <c r="K27" s="53">
        <v>357.56</v>
      </c>
      <c r="L27" s="53">
        <v>27.31</v>
      </c>
      <c r="M27" s="53">
        <v>74.52</v>
      </c>
      <c r="N27" s="53">
        <v>26.2</v>
      </c>
      <c r="O27" s="53">
        <v>0</v>
      </c>
      <c r="P27" s="53">
        <v>1.38</v>
      </c>
      <c r="Q27" s="53">
        <v>9.6300000000000008</v>
      </c>
      <c r="R27" s="43"/>
      <c r="S27" s="43"/>
      <c r="T27" s="43"/>
      <c r="U27" s="43"/>
    </row>
    <row r="28" spans="1:21" s="11" customFormat="1" x14ac:dyDescent="0.25">
      <c r="A28" s="52" t="s">
        <v>775</v>
      </c>
      <c r="B28" s="53">
        <v>2.4900000000000002</v>
      </c>
      <c r="C28" s="53">
        <v>16.920000000000002</v>
      </c>
      <c r="D28" s="53">
        <v>9.41</v>
      </c>
      <c r="E28" s="53">
        <v>6.93</v>
      </c>
      <c r="F28" s="53">
        <v>7.63</v>
      </c>
      <c r="G28" s="53">
        <v>90.43</v>
      </c>
      <c r="H28" s="53">
        <v>39.89</v>
      </c>
      <c r="I28" s="53">
        <v>4.6399999999999997</v>
      </c>
      <c r="J28" s="53">
        <v>0.51</v>
      </c>
      <c r="K28" s="53">
        <v>315.55</v>
      </c>
      <c r="L28" s="53">
        <v>26.68</v>
      </c>
      <c r="M28" s="53">
        <v>75.989999999999995</v>
      </c>
      <c r="N28" s="53">
        <v>26.6</v>
      </c>
      <c r="O28" s="53">
        <v>0</v>
      </c>
      <c r="P28" s="53">
        <v>0.94</v>
      </c>
      <c r="Q28" s="53">
        <v>9.64</v>
      </c>
      <c r="R28" s="43"/>
      <c r="S28" s="43"/>
      <c r="T28" s="43"/>
      <c r="U28" s="43"/>
    </row>
    <row r="29" spans="1:21" s="11" customFormat="1" x14ac:dyDescent="0.25">
      <c r="A29" s="52" t="s">
        <v>776</v>
      </c>
      <c r="B29" s="53">
        <v>6.91</v>
      </c>
      <c r="C29" s="53">
        <v>14.27</v>
      </c>
      <c r="D29" s="53">
        <v>11.62</v>
      </c>
      <c r="E29" s="53">
        <v>7.34</v>
      </c>
      <c r="F29" s="53">
        <v>5.09</v>
      </c>
      <c r="G29" s="53">
        <v>98.88</v>
      </c>
      <c r="H29" s="53">
        <v>204.29</v>
      </c>
      <c r="I29" s="53">
        <v>5.16</v>
      </c>
      <c r="J29" s="53">
        <v>0.47</v>
      </c>
      <c r="K29" s="53">
        <v>343.35</v>
      </c>
      <c r="L29" s="53">
        <v>25.28</v>
      </c>
      <c r="M29" s="53">
        <v>90.33</v>
      </c>
      <c r="N29" s="53">
        <v>26.5</v>
      </c>
      <c r="O29" s="53">
        <v>0</v>
      </c>
      <c r="P29" s="53">
        <v>1.7</v>
      </c>
      <c r="Q29" s="53">
        <v>9.6300000000000008</v>
      </c>
      <c r="R29" s="43"/>
      <c r="S29" s="43"/>
      <c r="T29" s="43"/>
      <c r="U29" s="43"/>
    </row>
    <row r="30" spans="1:21" s="11" customFormat="1" x14ac:dyDescent="0.25">
      <c r="A30" s="52" t="s">
        <v>777</v>
      </c>
      <c r="B30" s="53">
        <v>16.52</v>
      </c>
      <c r="C30" s="53">
        <v>14.62</v>
      </c>
      <c r="D30" s="53">
        <v>18.88</v>
      </c>
      <c r="E30" s="53">
        <v>9.31</v>
      </c>
      <c r="F30" s="53">
        <v>5.29</v>
      </c>
      <c r="G30" s="53">
        <v>134.88999999999999</v>
      </c>
      <c r="H30" s="53">
        <v>204.29</v>
      </c>
      <c r="I30" s="53">
        <v>6.23</v>
      </c>
      <c r="J30" s="53">
        <v>0.56000000000000005</v>
      </c>
      <c r="K30" s="53">
        <v>310.58</v>
      </c>
      <c r="L30" s="53">
        <v>24.26</v>
      </c>
      <c r="M30" s="53">
        <v>95.36</v>
      </c>
      <c r="N30" s="53">
        <v>26.1</v>
      </c>
      <c r="O30" s="53">
        <v>0</v>
      </c>
      <c r="P30" s="53">
        <v>1.85</v>
      </c>
      <c r="Q30" s="53">
        <v>9.6300000000000008</v>
      </c>
      <c r="R30" s="43"/>
      <c r="S30" s="43"/>
      <c r="T30" s="43"/>
      <c r="U30" s="43"/>
    </row>
    <row r="31" spans="1:21" s="11" customFormat="1" x14ac:dyDescent="0.25">
      <c r="A31" s="52" t="s">
        <v>778</v>
      </c>
      <c r="B31" s="53">
        <v>25.63</v>
      </c>
      <c r="C31" s="53">
        <v>13.2</v>
      </c>
      <c r="D31" s="53">
        <v>25.74</v>
      </c>
      <c r="E31" s="53">
        <v>12.22</v>
      </c>
      <c r="F31" s="53">
        <v>7.08</v>
      </c>
      <c r="G31" s="53">
        <v>375.09</v>
      </c>
      <c r="H31" s="53">
        <v>179.25</v>
      </c>
      <c r="I31" s="53">
        <v>8.1300000000000008</v>
      </c>
      <c r="J31" s="53">
        <v>0.5</v>
      </c>
      <c r="K31" s="53">
        <v>301.86</v>
      </c>
      <c r="L31" s="53">
        <v>23.97</v>
      </c>
      <c r="M31" s="53">
        <v>97.24</v>
      </c>
      <c r="N31" s="53">
        <v>26</v>
      </c>
      <c r="O31" s="53">
        <v>0</v>
      </c>
      <c r="P31" s="53">
        <v>1.67</v>
      </c>
      <c r="Q31" s="53">
        <v>9.64</v>
      </c>
      <c r="R31" s="43"/>
      <c r="S31" s="43"/>
      <c r="T31" s="43"/>
      <c r="U31" s="43"/>
    </row>
    <row r="32" spans="1:21" s="11" customFormat="1" x14ac:dyDescent="0.25">
      <c r="A32" s="52" t="s">
        <v>779</v>
      </c>
      <c r="B32" s="53">
        <v>32</v>
      </c>
      <c r="C32" s="53">
        <v>13.87</v>
      </c>
      <c r="D32" s="53">
        <v>31.45</v>
      </c>
      <c r="E32" s="53">
        <v>12.95</v>
      </c>
      <c r="F32" s="53">
        <v>7.01</v>
      </c>
      <c r="G32" s="53">
        <v>678.02</v>
      </c>
      <c r="H32" s="53">
        <v>462.17</v>
      </c>
      <c r="I32" s="53">
        <v>8.08</v>
      </c>
      <c r="J32" s="53">
        <v>0.49</v>
      </c>
      <c r="K32" s="53">
        <v>299.67</v>
      </c>
      <c r="L32" s="53">
        <v>24.03</v>
      </c>
      <c r="M32" s="53">
        <v>100.7</v>
      </c>
      <c r="N32" s="53">
        <v>25.9</v>
      </c>
      <c r="O32" s="53">
        <v>0</v>
      </c>
      <c r="P32" s="53">
        <v>1.36</v>
      </c>
      <c r="Q32" s="53">
        <v>9.6199999999999992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0.37</v>
      </c>
      <c r="C34" s="28">
        <f t="shared" si="0"/>
        <v>8.41</v>
      </c>
      <c r="D34" s="28">
        <f t="shared" si="0"/>
        <v>6.33</v>
      </c>
      <c r="E34" s="28">
        <f t="shared" si="0"/>
        <v>3.92</v>
      </c>
      <c r="F34" s="28">
        <f t="shared" si="0"/>
        <v>4.05</v>
      </c>
      <c r="G34" s="28">
        <f t="shared" si="0"/>
        <v>65.16</v>
      </c>
      <c r="H34" s="28">
        <f t="shared" si="0"/>
        <v>33.65</v>
      </c>
      <c r="I34" s="28">
        <f t="shared" si="0"/>
        <v>2.62</v>
      </c>
      <c r="J34" s="28">
        <f t="shared" si="0"/>
        <v>0.37</v>
      </c>
      <c r="K34" s="28">
        <f t="shared" si="0"/>
        <v>86.69</v>
      </c>
      <c r="L34" s="28">
        <f t="shared" si="0"/>
        <v>23.47</v>
      </c>
      <c r="M34" s="28">
        <f t="shared" si="0"/>
        <v>60.37</v>
      </c>
      <c r="N34" s="28">
        <f t="shared" si="0"/>
        <v>25.9</v>
      </c>
      <c r="O34" s="28">
        <f t="shared" si="0"/>
        <v>0</v>
      </c>
      <c r="P34" s="28">
        <f t="shared" si="0"/>
        <v>0.55000000000000004</v>
      </c>
      <c r="Q34" s="28">
        <f t="shared" si="0"/>
        <v>9.6199999999999992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32</v>
      </c>
      <c r="C35" s="29">
        <f t="shared" si="1"/>
        <v>28.59</v>
      </c>
      <c r="D35" s="29">
        <f t="shared" si="1"/>
        <v>31.45</v>
      </c>
      <c r="E35" s="29">
        <f t="shared" si="1"/>
        <v>12.95</v>
      </c>
      <c r="F35" s="29">
        <f t="shared" si="1"/>
        <v>21.26</v>
      </c>
      <c r="G35" s="29">
        <f t="shared" si="1"/>
        <v>678.02</v>
      </c>
      <c r="H35" s="29">
        <f t="shared" si="1"/>
        <v>462.17</v>
      </c>
      <c r="I35" s="29">
        <f t="shared" si="1"/>
        <v>8.1300000000000008</v>
      </c>
      <c r="J35" s="29">
        <f t="shared" si="1"/>
        <v>2.04</v>
      </c>
      <c r="K35" s="29">
        <f t="shared" si="1"/>
        <v>358.32</v>
      </c>
      <c r="L35" s="29">
        <f t="shared" si="1"/>
        <v>33.14</v>
      </c>
      <c r="M35" s="29">
        <f t="shared" si="1"/>
        <v>102.78</v>
      </c>
      <c r="N35" s="29">
        <f t="shared" si="1"/>
        <v>511.9</v>
      </c>
      <c r="O35" s="29">
        <f t="shared" si="1"/>
        <v>0</v>
      </c>
      <c r="P35" s="29">
        <f t="shared" si="1"/>
        <v>1.85</v>
      </c>
      <c r="Q35" s="29">
        <f t="shared" si="1"/>
        <v>9.64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7.7733333333333325</v>
      </c>
      <c r="C36" s="28">
        <f t="shared" si="2"/>
        <v>15.632083333333334</v>
      </c>
      <c r="D36" s="28">
        <f t="shared" si="2"/>
        <v>12.770416666666664</v>
      </c>
      <c r="E36" s="28">
        <f t="shared" si="2"/>
        <v>7.4737499999999999</v>
      </c>
      <c r="F36" s="28">
        <f t="shared" si="2"/>
        <v>7.7191666666666663</v>
      </c>
      <c r="G36" s="28">
        <f t="shared" si="2"/>
        <v>129.78041666666667</v>
      </c>
      <c r="H36" s="28">
        <f t="shared" si="2"/>
        <v>81.875833333333347</v>
      </c>
      <c r="I36" s="28">
        <f t="shared" si="2"/>
        <v>4.5708333333333329</v>
      </c>
      <c r="J36" s="28">
        <f t="shared" si="2"/>
        <v>0.85333333333333317</v>
      </c>
      <c r="K36" s="28">
        <f t="shared" si="2"/>
        <v>306.03791666666666</v>
      </c>
      <c r="L36" s="28">
        <f t="shared" si="2"/>
        <v>27.15583333333333</v>
      </c>
      <c r="M36" s="28">
        <f t="shared" si="2"/>
        <v>85.26791666666665</v>
      </c>
      <c r="N36" s="28">
        <f t="shared" si="2"/>
        <v>137.24583333333331</v>
      </c>
      <c r="O36" s="28">
        <f t="shared" si="2"/>
        <v>0</v>
      </c>
      <c r="P36" s="28">
        <f t="shared" si="2"/>
        <v>1.0337500000000002</v>
      </c>
      <c r="Q36" s="28">
        <f t="shared" si="2"/>
        <v>9.6258333333333326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7.9439233909057645</v>
      </c>
      <c r="C37" s="28">
        <f t="shared" ref="C37:Q37" si="3">STDEV(C9:C32)</f>
        <v>6.0266610405017342</v>
      </c>
      <c r="D37" s="28">
        <f t="shared" si="3"/>
        <v>5.7292525342708833</v>
      </c>
      <c r="E37" s="28">
        <f t="shared" si="3"/>
        <v>2.6193507534435367</v>
      </c>
      <c r="F37" s="28">
        <f t="shared" si="3"/>
        <v>4.451068183145984</v>
      </c>
      <c r="G37" s="28">
        <f t="shared" si="3"/>
        <v>131.45336721435763</v>
      </c>
      <c r="H37" s="28">
        <f t="shared" si="3"/>
        <v>95.788887615316369</v>
      </c>
      <c r="I37" s="28">
        <f t="shared" si="3"/>
        <v>1.4695811786286983</v>
      </c>
      <c r="J37" s="28">
        <f t="shared" si="3"/>
        <v>0.46084673172859542</v>
      </c>
      <c r="K37" s="28">
        <f t="shared" si="3"/>
        <v>76.250732283250258</v>
      </c>
      <c r="L37" s="28">
        <f t="shared" si="3"/>
        <v>3.2824300604049008</v>
      </c>
      <c r="M37" s="28">
        <f t="shared" si="3"/>
        <v>16.582029292912722</v>
      </c>
      <c r="N37" s="28">
        <f t="shared" si="3"/>
        <v>160.32186370512309</v>
      </c>
      <c r="O37" s="28">
        <f t="shared" si="3"/>
        <v>0</v>
      </c>
      <c r="P37" s="28">
        <f t="shared" si="3"/>
        <v>0.40764234643703962</v>
      </c>
      <c r="Q37" s="28">
        <f t="shared" si="3"/>
        <v>7.7553160822910324E-3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5"/>
  <sheetViews>
    <sheetView tabSelected="1" workbookViewId="0">
      <pane xSplit="1" ySplit="8" topLeftCell="E9" activePane="bottomRight" state="frozen"/>
      <selection activeCell="B2" sqref="B2"/>
      <selection pane="topRight" activeCell="B2" sqref="B2"/>
      <selection pane="bottomLeft" activeCell="B2" sqref="B2"/>
      <selection pane="bottomRight" activeCell="R14" sqref="R14"/>
    </sheetView>
  </sheetViews>
  <sheetFormatPr defaultColWidth="8.85546875" defaultRowHeight="15" x14ac:dyDescent="0.25"/>
  <cols>
    <col min="1" max="1" width="17.42578125" style="11" customWidth="1"/>
    <col min="2" max="2" width="17.85546875" style="11" customWidth="1"/>
    <col min="3" max="3" width="9.85546875" style="11" customWidth="1"/>
    <col min="4" max="4" width="12.5703125" style="11" customWidth="1"/>
    <col min="5" max="5" width="9.7109375" style="11" customWidth="1"/>
    <col min="6" max="6" width="8.85546875" style="11"/>
    <col min="7" max="7" width="11.28515625" style="11" customWidth="1"/>
    <col min="8" max="8" width="12.42578125" style="11" customWidth="1"/>
    <col min="9" max="9" width="13" style="11" customWidth="1"/>
    <col min="10" max="10" width="8.85546875" style="11"/>
    <col min="11" max="11" width="9.7109375" style="11" customWidth="1"/>
    <col min="12" max="12" width="11" style="11" customWidth="1"/>
    <col min="13" max="13" width="10" style="11" customWidth="1"/>
    <col min="14" max="15" width="8.85546875" style="11"/>
    <col min="16" max="16" width="11" style="11" customWidth="1"/>
    <col min="17" max="17" width="13" style="11" customWidth="1"/>
    <col min="18" max="18" width="8.85546875" style="11"/>
    <col min="19" max="19" width="12.140625" style="11" customWidth="1"/>
    <col min="20" max="20" width="12.7109375" style="11" customWidth="1"/>
    <col min="21" max="16384" width="8.85546875" style="11"/>
  </cols>
  <sheetData>
    <row r="1" spans="1:21" s="21" customFormat="1" ht="27.75" customHeight="1" x14ac:dyDescent="0.25">
      <c r="A1" s="14" t="s">
        <v>2</v>
      </c>
      <c r="B1" s="23" t="s">
        <v>59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01/10/2024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25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x14ac:dyDescent="0.25">
      <c r="A9" s="36" t="str">
        <f>'01'!$B$2</f>
        <v>01/10/2024 01:00</v>
      </c>
      <c r="B9" s="24">
        <f>'01'!B36</f>
        <v>4.0212499999999993</v>
      </c>
      <c r="C9" s="24">
        <f>'01'!C36</f>
        <v>8.2191666666666681</v>
      </c>
      <c r="D9" s="24">
        <f>'01'!D36</f>
        <v>7.319166666666665</v>
      </c>
      <c r="E9" s="24">
        <f>'01'!E36</f>
        <v>5.5766666666666671</v>
      </c>
      <c r="F9" s="24">
        <f>'01'!F36</f>
        <v>6.1375000000000002</v>
      </c>
      <c r="G9" s="24">
        <f>'01'!G36</f>
        <v>35.172499999999999</v>
      </c>
      <c r="H9" s="24">
        <f>'01'!H36</f>
        <v>12.57583333333333</v>
      </c>
      <c r="I9" s="24">
        <f>'01'!I36</f>
        <v>2.525384615384616</v>
      </c>
      <c r="J9" s="24">
        <f>'01'!J36</f>
        <v>0.41583333333333328</v>
      </c>
      <c r="K9" s="24">
        <f>'01'!K36</f>
        <v>267.55666666666673</v>
      </c>
      <c r="L9" s="24">
        <f>'01'!L36</f>
        <v>29.017916666666665</v>
      </c>
      <c r="M9" s="24">
        <f>'01'!M36</f>
        <v>87.216666666666683</v>
      </c>
      <c r="N9" s="24">
        <f>'01'!N36</f>
        <v>229.69583333333335</v>
      </c>
      <c r="O9" s="24">
        <f>'01'!O36</f>
        <v>0</v>
      </c>
      <c r="P9" s="30">
        <f>'01'!$P$36</f>
        <v>0.53583333333333327</v>
      </c>
      <c r="Q9" s="24">
        <f>'01'!Q36</f>
        <v>9.6145833333333357</v>
      </c>
      <c r="R9" s="44"/>
      <c r="S9" s="44"/>
      <c r="T9" s="44"/>
      <c r="U9" s="45"/>
    </row>
    <row r="10" spans="1:21" s="34" customFormat="1" x14ac:dyDescent="0.25">
      <c r="A10" s="36" t="str">
        <f>'02'!$B$2</f>
        <v>02/10/2024 01:00</v>
      </c>
      <c r="B10" s="33">
        <f>'02'!B36</f>
        <v>3.9874999999999989</v>
      </c>
      <c r="C10" s="33">
        <f>'02'!C36</f>
        <v>8.9345833333333342</v>
      </c>
      <c r="D10" s="33">
        <f>'02'!D36</f>
        <v>7.7404166666666674</v>
      </c>
      <c r="E10" s="33">
        <f>'02'!E36</f>
        <v>5.6175000000000006</v>
      </c>
      <c r="F10" s="33">
        <f>'02'!F36</f>
        <v>5.6312499999999988</v>
      </c>
      <c r="G10" s="33">
        <f>'02'!G36</f>
        <v>48.410416666666663</v>
      </c>
      <c r="H10" s="33">
        <f>'02'!H36</f>
        <v>17.544583333333339</v>
      </c>
      <c r="I10" s="33">
        <f>'02'!I36</f>
        <v>2.7770833333333336</v>
      </c>
      <c r="J10" s="33">
        <f>'02'!J36</f>
        <v>0.70333333333333325</v>
      </c>
      <c r="K10" s="33">
        <f>'02'!K36</f>
        <v>304.62666666666661</v>
      </c>
      <c r="L10" s="33">
        <f>'02'!L36</f>
        <v>29.786666666666665</v>
      </c>
      <c r="M10" s="33">
        <f>'02'!M36</f>
        <v>84.417083333333323</v>
      </c>
      <c r="N10" s="33">
        <f>'02'!N36</f>
        <v>212.15416666666678</v>
      </c>
      <c r="O10" s="33">
        <f>'02'!O36</f>
        <v>0</v>
      </c>
      <c r="P10" s="30">
        <f>'02'!$P$36</f>
        <v>0.54916666666666669</v>
      </c>
      <c r="Q10" s="33">
        <f>'02'!Q36</f>
        <v>9.615000000000002</v>
      </c>
      <c r="R10" s="46"/>
      <c r="S10" s="46"/>
      <c r="T10" s="46"/>
      <c r="U10" s="46"/>
    </row>
    <row r="11" spans="1:21" s="34" customFormat="1" x14ac:dyDescent="0.25">
      <c r="A11" s="36" t="str">
        <f>'03'!$B$2</f>
        <v>03/10/2024 01:00</v>
      </c>
      <c r="B11" s="33">
        <f>'03'!B36</f>
        <v>5.1549999999999994</v>
      </c>
      <c r="C11" s="33">
        <f>'03'!C36</f>
        <v>9.0366666666666671</v>
      </c>
      <c r="D11" s="33">
        <f>'03'!D36</f>
        <v>8.7458333333333318</v>
      </c>
      <c r="E11" s="33">
        <f>'03'!E36</f>
        <v>5.9312499999999995</v>
      </c>
      <c r="F11" s="33">
        <f>'03'!F36</f>
        <v>5.083333333333333</v>
      </c>
      <c r="G11" s="33">
        <f>'03'!G36</f>
        <v>46.254583333333336</v>
      </c>
      <c r="H11" s="33">
        <f>'03'!H36</f>
        <v>16.478333333333335</v>
      </c>
      <c r="I11" s="33">
        <f>'03'!I36</f>
        <v>2.8420833333333335</v>
      </c>
      <c r="J11" s="33">
        <f>'03'!J36</f>
        <v>1.2849999999999999</v>
      </c>
      <c r="K11" s="33">
        <f>'03'!K36</f>
        <v>324.54750000000001</v>
      </c>
      <c r="L11" s="33">
        <f>'03'!L36</f>
        <v>30.145833333333332</v>
      </c>
      <c r="M11" s="33">
        <f>'03'!M36</f>
        <v>79.246249999999989</v>
      </c>
      <c r="N11" s="33">
        <f>'03'!N36</f>
        <v>224.46666666666667</v>
      </c>
      <c r="O11" s="33">
        <f>'03'!O36</f>
        <v>0</v>
      </c>
      <c r="P11" s="30">
        <f>'03'!$P$36</f>
        <v>0.63291666666666668</v>
      </c>
      <c r="Q11" s="33">
        <f>'03'!Q36</f>
        <v>9.6162500000000026</v>
      </c>
      <c r="R11" s="46"/>
      <c r="S11" s="46"/>
      <c r="T11" s="46"/>
      <c r="U11" s="46"/>
    </row>
    <row r="12" spans="1:21" s="34" customFormat="1" x14ac:dyDescent="0.25">
      <c r="A12" s="36" t="str">
        <f>'04'!$B$2</f>
        <v>04/10/2024 01:00</v>
      </c>
      <c r="B12" s="33">
        <f>'04'!B36</f>
        <v>6.1433333333333353</v>
      </c>
      <c r="C12" s="33">
        <f>'04'!C36</f>
        <v>9.4104166666666664</v>
      </c>
      <c r="D12" s="33">
        <f>'04'!D36</f>
        <v>9.6987500000000004</v>
      </c>
      <c r="E12" s="33">
        <f>'04'!E36</f>
        <v>5.6475</v>
      </c>
      <c r="F12" s="33">
        <f>'04'!F36</f>
        <v>5.9920833333333343</v>
      </c>
      <c r="G12" s="33">
        <f>'04'!G36</f>
        <v>54.276818181818179</v>
      </c>
      <c r="H12" s="33">
        <f>'04'!H36</f>
        <v>15.105454545454547</v>
      </c>
      <c r="I12" s="33">
        <f>'04'!I36</f>
        <v>3.3287499999999994</v>
      </c>
      <c r="J12" s="33">
        <f>'04'!J36</f>
        <v>0.76166666666666671</v>
      </c>
      <c r="K12" s="33">
        <f>'04'!K36</f>
        <v>317.60958333333332</v>
      </c>
      <c r="L12" s="33">
        <f>'04'!L36</f>
        <v>29.292500000000004</v>
      </c>
      <c r="M12" s="33">
        <f>'04'!M36</f>
        <v>79.683333333333323</v>
      </c>
      <c r="N12" s="33">
        <f>'04'!N36</f>
        <v>221.56666666666672</v>
      </c>
      <c r="O12" s="33">
        <f>'04'!O36</f>
        <v>0</v>
      </c>
      <c r="P12" s="30">
        <f>'04'!$P$36</f>
        <v>0.62750000000000006</v>
      </c>
      <c r="Q12" s="33">
        <f>'04'!Q36</f>
        <v>9.6175000000000015</v>
      </c>
      <c r="R12" s="46"/>
      <c r="S12" s="46"/>
      <c r="T12" s="46"/>
      <c r="U12" s="46"/>
    </row>
    <row r="13" spans="1:21" s="34" customFormat="1" x14ac:dyDescent="0.25">
      <c r="A13" s="36" t="str">
        <f>'05'!$B$2</f>
        <v>05/10/2024 01:00</v>
      </c>
      <c r="B13" s="33">
        <f>'05'!B36</f>
        <v>12.415000000000001</v>
      </c>
      <c r="C13" s="33">
        <f>'05'!C36</f>
        <v>11.004583333333334</v>
      </c>
      <c r="D13" s="33">
        <f>'05'!D36</f>
        <v>15.556249999999999</v>
      </c>
      <c r="E13" s="33">
        <f>'05'!E36</f>
        <v>6.010416666666667</v>
      </c>
      <c r="F13" s="33">
        <f>'05'!F36</f>
        <v>4.88</v>
      </c>
      <c r="G13" s="33">
        <f>'05'!G36</f>
        <v>54.771250000000002</v>
      </c>
      <c r="H13" s="33">
        <f>'05'!H36</f>
        <v>19.165833333333332</v>
      </c>
      <c r="I13" s="33">
        <f>'05'!I36</f>
        <v>3.7604166666666665</v>
      </c>
      <c r="J13" s="33">
        <f>'05'!J36</f>
        <v>0.86458333333333337</v>
      </c>
      <c r="K13" s="33">
        <f>'05'!K36</f>
        <v>299.57083333333333</v>
      </c>
      <c r="L13" s="33">
        <f>'05'!L36</f>
        <v>29.286249999999995</v>
      </c>
      <c r="M13" s="33">
        <f>'05'!M36</f>
        <v>78.460833333333355</v>
      </c>
      <c r="N13" s="33">
        <f>'05'!N36</f>
        <v>206.88750000000002</v>
      </c>
      <c r="O13" s="33">
        <f>'05'!O36</f>
        <v>0</v>
      </c>
      <c r="P13" s="30">
        <f>'05'!$P$36</f>
        <v>0.72749999999999992</v>
      </c>
      <c r="Q13" s="33">
        <f>'05'!Q36</f>
        <v>9.6166666666666689</v>
      </c>
      <c r="R13" s="46"/>
      <c r="S13" s="46"/>
      <c r="T13" s="46"/>
      <c r="U13" s="46"/>
    </row>
    <row r="14" spans="1:21" s="34" customFormat="1" x14ac:dyDescent="0.25">
      <c r="A14" s="36" t="str">
        <f>'06'!$B$2</f>
        <v>06/10/2024 01:00</v>
      </c>
      <c r="B14" s="33">
        <f>'06'!B36</f>
        <v>19.098333333333329</v>
      </c>
      <c r="C14" s="33">
        <f>'06'!C36</f>
        <v>12.325416666666667</v>
      </c>
      <c r="D14" s="33">
        <f>'06'!D36</f>
        <v>21.630416666666662</v>
      </c>
      <c r="E14" s="33">
        <f>'06'!E36</f>
        <v>6.0383333333333331</v>
      </c>
      <c r="F14" s="33">
        <f>'06'!F36</f>
        <v>4.7391666666666667</v>
      </c>
      <c r="G14" s="33">
        <f>'06'!G36</f>
        <v>68.476249999999993</v>
      </c>
      <c r="H14" s="33">
        <f>'06'!H36</f>
        <v>27.342916666666671</v>
      </c>
      <c r="I14" s="33">
        <f>'06'!I36</f>
        <v>4.9145833333333337</v>
      </c>
      <c r="J14" s="33">
        <f>'06'!J36</f>
        <v>0.89916666666666656</v>
      </c>
      <c r="K14" s="33">
        <f>'06'!K36</f>
        <v>328.23375000000004</v>
      </c>
      <c r="L14" s="33">
        <f>'06'!L36</f>
        <v>28.7</v>
      </c>
      <c r="M14" s="33">
        <f>'06'!M36</f>
        <v>77.977499999999978</v>
      </c>
      <c r="N14" s="33">
        <f>'06'!N36</f>
        <v>187.60833333333335</v>
      </c>
      <c r="O14" s="33">
        <f>'06'!O36</f>
        <v>0</v>
      </c>
      <c r="P14" s="30">
        <f>'06'!$P$36</f>
        <v>1.0054166666666664</v>
      </c>
      <c r="Q14" s="33">
        <f>'06'!Q36</f>
        <v>9.6212500000000016</v>
      </c>
      <c r="R14" s="46"/>
      <c r="S14" s="46"/>
      <c r="T14" s="46"/>
      <c r="U14" s="46"/>
    </row>
    <row r="15" spans="1:21" s="34" customFormat="1" x14ac:dyDescent="0.25">
      <c r="A15" s="36" t="str">
        <f>'07'!$B$2</f>
        <v>07/10/2024 01:00</v>
      </c>
      <c r="B15" s="33">
        <f>'07'!B36</f>
        <v>15.833750000000002</v>
      </c>
      <c r="C15" s="33">
        <f>'07'!C36</f>
        <v>13.77375</v>
      </c>
      <c r="D15" s="33">
        <f>'07'!D36</f>
        <v>19.50375</v>
      </c>
      <c r="E15" s="33">
        <f>'07'!E36</f>
        <v>5.6837500000000007</v>
      </c>
      <c r="F15" s="33">
        <f>'07'!F36</f>
        <v>6.239583333333333</v>
      </c>
      <c r="G15" s="33">
        <f>'07'!G36</f>
        <v>73.348333333333343</v>
      </c>
      <c r="H15" s="33">
        <f>'07'!H36</f>
        <v>27.719166666666656</v>
      </c>
      <c r="I15" s="33">
        <f>'07'!I36</f>
        <v>4.4716666666666658</v>
      </c>
      <c r="J15" s="33">
        <f>'07'!J36</f>
        <v>1.0362499999999997</v>
      </c>
      <c r="K15" s="33">
        <f>'07'!K36</f>
        <v>295.00875000000002</v>
      </c>
      <c r="L15" s="33">
        <f>'07'!L36</f>
        <v>27.772499999999997</v>
      </c>
      <c r="M15" s="33">
        <f>'07'!M36</f>
        <v>84.322916666666671</v>
      </c>
      <c r="N15" s="33">
        <f>'07'!N36</f>
        <v>192.04166666666663</v>
      </c>
      <c r="O15" s="33">
        <f>'07'!O36</f>
        <v>0</v>
      </c>
      <c r="P15" s="33">
        <f>'07'!P36</f>
        <v>0.74333333333333329</v>
      </c>
      <c r="Q15" s="33">
        <f>'07'!Q36</f>
        <v>9.6212500000000034</v>
      </c>
      <c r="R15" s="46"/>
      <c r="S15" s="46"/>
      <c r="T15" s="46"/>
      <c r="U15" s="46"/>
    </row>
    <row r="16" spans="1:21" s="34" customFormat="1" x14ac:dyDescent="0.25">
      <c r="A16" s="36" t="str">
        <f>'08'!$B$2</f>
        <v>08/10/2024 01:00</v>
      </c>
      <c r="B16" s="33">
        <f>'08'!B36</f>
        <v>10.781666666666666</v>
      </c>
      <c r="C16" s="33">
        <f>'08'!C36</f>
        <v>10.657499999999999</v>
      </c>
      <c r="D16" s="33">
        <f>'08'!D36</f>
        <v>14.077083333333333</v>
      </c>
      <c r="E16" s="33">
        <f>'08'!E36</f>
        <v>5.6895833333333341</v>
      </c>
      <c r="F16" s="33">
        <f>'08'!F36</f>
        <v>4.5650000000000004</v>
      </c>
      <c r="G16" s="33">
        <f>'08'!G36</f>
        <v>58.142500000000013</v>
      </c>
      <c r="H16" s="33">
        <f>'08'!H36</f>
        <v>18.582499999999996</v>
      </c>
      <c r="I16" s="33">
        <f>'08'!I36</f>
        <v>4.1854166666666659</v>
      </c>
      <c r="J16" s="33">
        <f>'08'!J36</f>
        <v>0.94583333333333319</v>
      </c>
      <c r="K16" s="33">
        <f>'08'!K36</f>
        <v>288.41500000000002</v>
      </c>
      <c r="L16" s="33">
        <f>'08'!L36</f>
        <v>26.608333333333334</v>
      </c>
      <c r="M16" s="33">
        <f>'08'!M36</f>
        <v>93.275416666666672</v>
      </c>
      <c r="N16" s="33">
        <f>'08'!N36</f>
        <v>164.78749999999997</v>
      </c>
      <c r="O16" s="33">
        <f>'08'!O36</f>
        <v>0</v>
      </c>
      <c r="P16" s="30">
        <f>'08'!$P$36</f>
        <v>0.75708333333333344</v>
      </c>
      <c r="Q16" s="33">
        <f>'08'!Q36</f>
        <v>9.6187500000000004</v>
      </c>
      <c r="R16" s="46"/>
      <c r="S16" s="46"/>
      <c r="T16" s="46"/>
      <c r="U16" s="46"/>
    </row>
    <row r="17" spans="1:24" s="34" customFormat="1" x14ac:dyDescent="0.25">
      <c r="A17" s="36" t="str">
        <f>'09'!$B$2</f>
        <v>09/10/2024 01:00</v>
      </c>
      <c r="B17" s="33">
        <f>'09'!B36</f>
        <v>10.332083333333333</v>
      </c>
      <c r="C17" s="33">
        <f>'09'!C36</f>
        <v>11.892499999999998</v>
      </c>
      <c r="D17" s="33">
        <f>'09'!D36</f>
        <v>14.17375</v>
      </c>
      <c r="E17" s="33">
        <f>'09'!E36</f>
        <v>5.8120833333333346</v>
      </c>
      <c r="F17" s="33">
        <f>'09'!F36</f>
        <v>5.3841666666666654</v>
      </c>
      <c r="G17" s="33">
        <f>'09'!G36</f>
        <v>54.015000000000001</v>
      </c>
      <c r="H17" s="33">
        <f>'09'!H36</f>
        <v>14.817777777777779</v>
      </c>
      <c r="I17" s="33">
        <f>'09'!I36</f>
        <v>4.0412499999999998</v>
      </c>
      <c r="J17" s="33">
        <f>'09'!J36</f>
        <v>0.89291666666666669</v>
      </c>
      <c r="K17" s="33">
        <f>'09'!K36</f>
        <v>257.3704166666667</v>
      </c>
      <c r="L17" s="33">
        <f>'09'!L36</f>
        <v>27.53458333333333</v>
      </c>
      <c r="M17" s="33">
        <f>'09'!M36</f>
        <v>88.312916666666652</v>
      </c>
      <c r="N17" s="33">
        <f>'09'!N36</f>
        <v>196.28333333333339</v>
      </c>
      <c r="O17" s="33">
        <f>'09'!O36</f>
        <v>0</v>
      </c>
      <c r="P17" s="33">
        <f>'09'!P36</f>
        <v>0.73791666666666667</v>
      </c>
      <c r="Q17" s="33">
        <f>'09'!Q36</f>
        <v>9.6212500000000016</v>
      </c>
      <c r="R17" s="46"/>
      <c r="S17" s="46"/>
      <c r="T17" s="46"/>
      <c r="U17" s="46"/>
      <c r="V17" s="35"/>
      <c r="W17" s="35"/>
      <c r="X17" s="35"/>
    </row>
    <row r="18" spans="1:24" s="34" customFormat="1" x14ac:dyDescent="0.25">
      <c r="A18" s="36" t="str">
        <f>'10'!$B$2</f>
        <v>10/10/2024 01:00</v>
      </c>
      <c r="B18" s="33">
        <f>'10'!B36</f>
        <v>22.767499999999998</v>
      </c>
      <c r="C18" s="33">
        <f>'10'!C36</f>
        <v>10.054583333333335</v>
      </c>
      <c r="D18" s="33">
        <f>'10'!D36</f>
        <v>23.170833333333331</v>
      </c>
      <c r="E18" s="33">
        <f>'10'!E36</f>
        <v>5.9783333333333326</v>
      </c>
      <c r="F18" s="33">
        <f>'10'!F36</f>
        <v>4.621666666666667</v>
      </c>
      <c r="G18" s="33">
        <f>'10'!G36</f>
        <v>55.316666666666663</v>
      </c>
      <c r="H18" s="33">
        <f>'10'!H36</f>
        <v>35.314583333333331</v>
      </c>
      <c r="I18" s="33">
        <f>'10'!I36</f>
        <v>5.867916666666666</v>
      </c>
      <c r="J18" s="33">
        <f>'10'!J36</f>
        <v>0.71916666666666662</v>
      </c>
      <c r="K18" s="33">
        <f>'10'!K36</f>
        <v>329.53083333333331</v>
      </c>
      <c r="L18" s="33">
        <f>'10'!L36</f>
        <v>27.166666666666671</v>
      </c>
      <c r="M18" s="33">
        <f>'10'!M36</f>
        <v>94.350416666666661</v>
      </c>
      <c r="N18" s="33">
        <f>'10'!N36</f>
        <v>145.65416666666664</v>
      </c>
      <c r="O18" s="33">
        <f>'10'!O36</f>
        <v>0.22500000000000001</v>
      </c>
      <c r="P18" s="30">
        <f>'10'!$P$36</f>
        <v>1.3150000000000002</v>
      </c>
      <c r="Q18" s="33">
        <f>'10'!Q36</f>
        <v>9.6254166666666663</v>
      </c>
      <c r="R18" s="46"/>
      <c r="S18" s="46"/>
      <c r="T18" s="46"/>
      <c r="U18" s="46"/>
    </row>
    <row r="19" spans="1:24" s="34" customFormat="1" x14ac:dyDescent="0.25">
      <c r="A19" s="36" t="str">
        <f>'11'!$B$2</f>
        <v>11/10/2024 01:00</v>
      </c>
      <c r="B19" s="33">
        <f>'11'!B36</f>
        <v>28.287916666666671</v>
      </c>
      <c r="C19" s="33">
        <f>'11'!C36</f>
        <v>7.044999999999999</v>
      </c>
      <c r="D19" s="33">
        <f>'11'!D36</f>
        <v>26.270416666666659</v>
      </c>
      <c r="E19" s="33">
        <f>'11'!E36</f>
        <v>5.7704166666666667</v>
      </c>
      <c r="F19" s="33">
        <f>'11'!F36</f>
        <v>4.121666666666667</v>
      </c>
      <c r="G19" s="33">
        <f>'11'!G36</f>
        <v>34.177916666666661</v>
      </c>
      <c r="H19" s="33">
        <f>'11'!H36</f>
        <v>11.92416666666667</v>
      </c>
      <c r="I19" s="33">
        <f>'11'!I36</f>
        <v>4.9804166666666667</v>
      </c>
      <c r="J19" s="33">
        <f>'11'!J36</f>
        <v>0.85624999999999984</v>
      </c>
      <c r="K19" s="33">
        <f>'11'!K36</f>
        <v>214.28166666666667</v>
      </c>
      <c r="L19" s="33">
        <f>'11'!L36</f>
        <v>27.675000000000001</v>
      </c>
      <c r="M19" s="33">
        <f>'11'!M36</f>
        <v>83.771666666666661</v>
      </c>
      <c r="N19" s="33">
        <f>'11'!N36</f>
        <v>238.5333333333333</v>
      </c>
      <c r="O19" s="33">
        <f>'11'!O36</f>
        <v>0</v>
      </c>
      <c r="P19" s="33">
        <f>'11'!P36</f>
        <v>0.83791666666666664</v>
      </c>
      <c r="Q19" s="33">
        <f>'11'!Q36</f>
        <v>9.6283333333333374</v>
      </c>
      <c r="R19" s="46"/>
      <c r="S19" s="46"/>
      <c r="T19" s="46"/>
      <c r="U19" s="46"/>
    </row>
    <row r="20" spans="1:24" s="34" customFormat="1" x14ac:dyDescent="0.25">
      <c r="A20" s="36" t="str">
        <f>'12'!$B$2</f>
        <v>12/10/2024 01:00</v>
      </c>
      <c r="B20" s="33">
        <f>'12'!B36</f>
        <v>14.622083333333329</v>
      </c>
      <c r="C20" s="33">
        <f>'12'!C36</f>
        <v>6.7525000000000004</v>
      </c>
      <c r="D20" s="33">
        <f>'12'!D36</f>
        <v>15.15</v>
      </c>
      <c r="E20" s="33">
        <f>'12'!E36</f>
        <v>5.0612500000000002</v>
      </c>
      <c r="F20" s="33">
        <f>'12'!F36</f>
        <v>4.2362500000000001</v>
      </c>
      <c r="G20" s="33">
        <f>'12'!G36</f>
        <v>28.418333333333322</v>
      </c>
      <c r="H20" s="33">
        <f>'12'!H36</f>
        <v>23.474583333333332</v>
      </c>
      <c r="I20" s="33">
        <f>'12'!I36</f>
        <v>3.9229166666666662</v>
      </c>
      <c r="J20" s="33">
        <f>'12'!J36</f>
        <v>0.94625000000000015</v>
      </c>
      <c r="K20" s="33">
        <f>'12'!K36</f>
        <v>187.74291666666667</v>
      </c>
      <c r="L20" s="33">
        <f>'12'!L36</f>
        <v>28.429999999999993</v>
      </c>
      <c r="M20" s="33">
        <f>'12'!M36</f>
        <v>80.008333333333312</v>
      </c>
      <c r="N20" s="33">
        <f>'12'!N36</f>
        <v>235.32500000000002</v>
      </c>
      <c r="O20" s="33">
        <f>'12'!O36</f>
        <v>0</v>
      </c>
      <c r="P20" s="33">
        <f>'12'!P36</f>
        <v>0.57541666666666669</v>
      </c>
      <c r="Q20" s="33">
        <f>'12'!Q36</f>
        <v>9.6195833333333383</v>
      </c>
      <c r="R20" s="46"/>
      <c r="S20" s="46"/>
      <c r="T20" s="46"/>
      <c r="U20" s="46"/>
    </row>
    <row r="21" spans="1:24" s="34" customFormat="1" x14ac:dyDescent="0.25">
      <c r="A21" s="36" t="str">
        <f>'13'!$B$2</f>
        <v>13/10/2024 01:00</v>
      </c>
      <c r="B21" s="33">
        <f>'13'!B36</f>
        <v>5.3162499999999993</v>
      </c>
      <c r="C21" s="33">
        <f>'13'!C36</f>
        <v>6.13375</v>
      </c>
      <c r="D21" s="33">
        <f>'13'!D36</f>
        <v>7.3862500000000004</v>
      </c>
      <c r="E21" s="33">
        <f>'13'!E36</f>
        <v>4.7504166666666654</v>
      </c>
      <c r="F21" s="33">
        <f>'13'!F36</f>
        <v>4.3220833333333326</v>
      </c>
      <c r="G21" s="33">
        <f>'13'!G36</f>
        <v>23.790000000000006</v>
      </c>
      <c r="H21" s="33">
        <f>'13'!H36</f>
        <v>20.56625</v>
      </c>
      <c r="I21" s="33">
        <f>'13'!I36</f>
        <v>3.5783333333333331</v>
      </c>
      <c r="J21" s="33">
        <f>'13'!J36</f>
        <v>1.1716666666666666</v>
      </c>
      <c r="K21" s="33">
        <f>'13'!K36</f>
        <v>152.97375000000002</v>
      </c>
      <c r="L21" s="33">
        <f>'13'!L36</f>
        <v>28.112083333333331</v>
      </c>
      <c r="M21" s="33">
        <f>'13'!M36</f>
        <v>78.952500000000001</v>
      </c>
      <c r="N21" s="33">
        <f>'13'!N36</f>
        <v>229.6791666666667</v>
      </c>
      <c r="O21" s="33">
        <f>'13'!O36</f>
        <v>0</v>
      </c>
      <c r="P21" s="33">
        <f>'13'!P36</f>
        <v>0.41541666666666671</v>
      </c>
      <c r="Q21" s="33">
        <f>'13'!Q36</f>
        <v>9.6179166666666713</v>
      </c>
      <c r="R21" s="46"/>
      <c r="S21" s="46"/>
      <c r="T21" s="46"/>
      <c r="U21" s="46"/>
    </row>
    <row r="22" spans="1:24" s="34" customFormat="1" x14ac:dyDescent="0.25">
      <c r="A22" s="36" t="str">
        <f>'14'!$B$2</f>
        <v>14/10/2024 01:00</v>
      </c>
      <c r="B22" s="30">
        <f>'14'!B36</f>
        <v>3.6458333333333335</v>
      </c>
      <c r="C22" s="30">
        <f>'14'!C36</f>
        <v>6.0079166666666675</v>
      </c>
      <c r="D22" s="30">
        <f>'14'!D36</f>
        <v>6.0220833333333319</v>
      </c>
      <c r="E22" s="30">
        <f>'14'!E36</f>
        <v>5.1975000000000016</v>
      </c>
      <c r="F22" s="30">
        <f>'14'!F36</f>
        <v>4.368333333333335</v>
      </c>
      <c r="G22" s="30">
        <f>'14'!G36</f>
        <v>32.666249999999998</v>
      </c>
      <c r="H22" s="30">
        <f>'14'!H36</f>
        <v>18.855833333333333</v>
      </c>
      <c r="I22" s="30">
        <f>'14'!I36</f>
        <v>3.7999999999999989</v>
      </c>
      <c r="J22" s="30">
        <f>'14'!J36</f>
        <v>1.20875</v>
      </c>
      <c r="K22" s="30">
        <f>'14'!K36</f>
        <v>174.71041666666667</v>
      </c>
      <c r="L22" s="30">
        <f>'14'!L36</f>
        <v>27.53125</v>
      </c>
      <c r="M22" s="30">
        <f>'14'!M36</f>
        <v>85.675416666666692</v>
      </c>
      <c r="N22" s="30">
        <f>'14'!N36</f>
        <v>223.5</v>
      </c>
      <c r="O22" s="30">
        <f>'14'!O36</f>
        <v>0</v>
      </c>
      <c r="P22" s="30">
        <f>'14'!P36</f>
        <v>0.46291666666666664</v>
      </c>
      <c r="Q22" s="30">
        <f>'14'!Q36</f>
        <v>9.6150000000000002</v>
      </c>
      <c r="R22" s="47"/>
      <c r="S22" s="47"/>
      <c r="T22" s="47"/>
      <c r="U22" s="47"/>
    </row>
    <row r="23" spans="1:24" s="34" customFormat="1" x14ac:dyDescent="0.25">
      <c r="A23" s="36" t="str">
        <f>'15'!$B$2</f>
        <v>15/10/2024 01:00</v>
      </c>
      <c r="B23" s="33">
        <f>'15'!B36</f>
        <v>2.7975000000000008</v>
      </c>
      <c r="C23" s="33">
        <f>'15'!C36</f>
        <v>6.4795833333333341</v>
      </c>
      <c r="D23" s="33">
        <f>'15'!D36</f>
        <v>5.5837500000000011</v>
      </c>
      <c r="E23" s="33">
        <f>'15'!E36</f>
        <v>4.7699999999999996</v>
      </c>
      <c r="F23" s="33">
        <f>'15'!F36</f>
        <v>4.402916666666667</v>
      </c>
      <c r="G23" s="33">
        <f>'15'!G36</f>
        <v>39.134583333333332</v>
      </c>
      <c r="H23" s="33">
        <f>'15'!H36</f>
        <v>20.657916666666662</v>
      </c>
      <c r="I23" s="33">
        <f>'15'!I36</f>
        <v>4.2300000000000004</v>
      </c>
      <c r="J23" s="33">
        <f>'15'!J36</f>
        <v>1.1045833333333333</v>
      </c>
      <c r="K23" s="33">
        <f>'15'!K36</f>
        <v>177.20708333333332</v>
      </c>
      <c r="L23" s="33">
        <f>'15'!L36</f>
        <v>27.593749999999996</v>
      </c>
      <c r="M23" s="33">
        <f>'15'!M36</f>
        <v>83.681666666666686</v>
      </c>
      <c r="N23" s="33">
        <f>'15'!N36</f>
        <v>220.93333333333337</v>
      </c>
      <c r="O23" s="33">
        <f>'15'!O36</f>
        <v>0</v>
      </c>
      <c r="P23" s="30">
        <f>'15'!P36</f>
        <v>0.46458333333333335</v>
      </c>
      <c r="Q23" s="30">
        <f>'15'!Q36</f>
        <v>9.615000000000002</v>
      </c>
      <c r="R23" s="47"/>
      <c r="S23" s="47"/>
      <c r="T23" s="47"/>
      <c r="U23" s="46"/>
    </row>
    <row r="24" spans="1:24" s="34" customFormat="1" x14ac:dyDescent="0.25">
      <c r="A24" s="36" t="str">
        <f>'16'!$B$2</f>
        <v>16/10/2024 01:00</v>
      </c>
      <c r="B24" s="33">
        <f>'16'!B36</f>
        <v>3.3929166666666677</v>
      </c>
      <c r="C24" s="33">
        <f>'16'!C36</f>
        <v>6.5149999999999997</v>
      </c>
      <c r="D24" s="33">
        <f>'16'!D36</f>
        <v>6.0258333333333338</v>
      </c>
      <c r="E24" s="33">
        <f>'16'!E36</f>
        <v>5.3049999999999988</v>
      </c>
      <c r="F24" s="33">
        <f>'16'!F36</f>
        <v>4.7595833333333335</v>
      </c>
      <c r="G24" s="33">
        <f>'16'!G36</f>
        <v>35.784583333333337</v>
      </c>
      <c r="H24" s="33">
        <f>'16'!H36</f>
        <v>19.85083333333333</v>
      </c>
      <c r="I24" s="33">
        <f>'16'!I36</f>
        <v>3.36</v>
      </c>
      <c r="J24" s="33">
        <f>'16'!J36</f>
        <v>0.94874999999999998</v>
      </c>
      <c r="K24" s="33">
        <f>'16'!K36</f>
        <v>192.60083333333338</v>
      </c>
      <c r="L24" s="33">
        <f>'16'!L36</f>
        <v>27.348749999999999</v>
      </c>
      <c r="M24" s="33">
        <f>'16'!M36</f>
        <v>86.433750000000018</v>
      </c>
      <c r="N24" s="33">
        <f>'16'!N36</f>
        <v>185.72083333333342</v>
      </c>
      <c r="O24" s="33">
        <f>'16'!O36</f>
        <v>0</v>
      </c>
      <c r="P24" s="30">
        <f>'16'!P36</f>
        <v>0.46791666666666676</v>
      </c>
      <c r="Q24" s="30">
        <f>'16'!Q36</f>
        <v>9.6166666666666689</v>
      </c>
      <c r="R24" s="47"/>
      <c r="S24" s="47"/>
      <c r="T24" s="47"/>
      <c r="U24" s="46"/>
    </row>
    <row r="25" spans="1:24" s="34" customFormat="1" x14ac:dyDescent="0.25">
      <c r="A25" s="36" t="str">
        <f>'17'!$B$2</f>
        <v>17/10/2024 01:00</v>
      </c>
      <c r="B25" s="33">
        <f>'17'!B36</f>
        <v>5.882083333333334</v>
      </c>
      <c r="C25" s="33">
        <f>'17'!C36</f>
        <v>6.8354166666666671</v>
      </c>
      <c r="D25" s="33">
        <f>'17'!D36</f>
        <v>8.215833333333336</v>
      </c>
      <c r="E25" s="33">
        <f>'17'!E36</f>
        <v>5.0204166666666667</v>
      </c>
      <c r="F25" s="33">
        <f>'17'!F36</f>
        <v>4.1195833333333338</v>
      </c>
      <c r="G25" s="33">
        <f>'17'!G36</f>
        <v>31.239999999999995</v>
      </c>
      <c r="H25" s="33">
        <f>'17'!H36</f>
        <v>15.825833333333334</v>
      </c>
      <c r="I25" s="33">
        <f>'17'!I36</f>
        <v>3.65625</v>
      </c>
      <c r="J25" s="33">
        <f>'17'!J36</f>
        <v>0.95000000000000007</v>
      </c>
      <c r="K25" s="33">
        <f>'17'!K36</f>
        <v>177.39541666666665</v>
      </c>
      <c r="L25" s="33">
        <f>'17'!L36</f>
        <v>28.154583333333331</v>
      </c>
      <c r="M25" s="33">
        <f>'17'!M36</f>
        <v>81.31</v>
      </c>
      <c r="N25" s="33">
        <f>'17'!N36</f>
        <v>215.0541666666667</v>
      </c>
      <c r="O25" s="33">
        <f>'17'!O36</f>
        <v>0</v>
      </c>
      <c r="P25" s="30">
        <f>'17'!P36</f>
        <v>0.56291666666666673</v>
      </c>
      <c r="Q25" s="30">
        <f>'17'!Q36</f>
        <v>9.6191666666666666</v>
      </c>
      <c r="R25" s="47"/>
      <c r="S25" s="47"/>
      <c r="T25" s="47"/>
      <c r="U25" s="46"/>
    </row>
    <row r="26" spans="1:24" s="34" customFormat="1" x14ac:dyDescent="0.25">
      <c r="A26" s="36" t="str">
        <f>'18'!$B$2</f>
        <v>18/10/2024 01:00</v>
      </c>
      <c r="B26" s="33">
        <f>'18'!B36</f>
        <v>8.9170833333333324</v>
      </c>
      <c r="C26" s="33">
        <f>'18'!C36</f>
        <v>8.8970833333333346</v>
      </c>
      <c r="D26" s="33">
        <f>'18'!D36</f>
        <v>11.65625</v>
      </c>
      <c r="E26" s="33">
        <f>'18'!E36</f>
        <v>5.6383333333333319</v>
      </c>
      <c r="F26" s="33">
        <f>'18'!F36</f>
        <v>4.5545833333333334</v>
      </c>
      <c r="G26" s="33">
        <f>'18'!G36</f>
        <v>51.395000000000003</v>
      </c>
      <c r="H26" s="33">
        <f>'18'!H36</f>
        <v>10.260833333333332</v>
      </c>
      <c r="I26" s="33">
        <f>'18'!I36</f>
        <v>3.311666666666667</v>
      </c>
      <c r="J26" s="33">
        <f>'18'!J36</f>
        <v>0.79999999999999993</v>
      </c>
      <c r="K26" s="33">
        <f>'18'!K36</f>
        <v>260.54541666666671</v>
      </c>
      <c r="L26" s="33">
        <f>'18'!L36</f>
        <v>28.441250000000007</v>
      </c>
      <c r="M26" s="33">
        <f>'18'!M36</f>
        <v>84.150416666666658</v>
      </c>
      <c r="N26" s="33">
        <f>'18'!N36</f>
        <v>219.32916666666674</v>
      </c>
      <c r="O26" s="33">
        <f>'18'!O36</f>
        <v>0</v>
      </c>
      <c r="P26" s="30">
        <f>'18'!P36</f>
        <v>0.59166666666666667</v>
      </c>
      <c r="Q26" s="30">
        <f>'18'!Q36</f>
        <v>9.6191666666666666</v>
      </c>
      <c r="R26" s="47"/>
      <c r="S26" s="47"/>
      <c r="T26" s="47"/>
      <c r="U26" s="46"/>
    </row>
    <row r="27" spans="1:24" s="34" customFormat="1" x14ac:dyDescent="0.25">
      <c r="A27" s="36" t="str">
        <f>'19'!$B$2</f>
        <v>19/10/2024 01:00</v>
      </c>
      <c r="B27" s="33">
        <f>'19'!B36</f>
        <v>12.374166666666667</v>
      </c>
      <c r="C27" s="33">
        <f>'19'!C36</f>
        <v>10.135833333333331</v>
      </c>
      <c r="D27" s="33">
        <f>'19'!D36</f>
        <v>15.028333333333334</v>
      </c>
      <c r="E27" s="33">
        <f>'19'!E36</f>
        <v>6.1720833333333323</v>
      </c>
      <c r="F27" s="33">
        <f>'19'!F36</f>
        <v>4.7270833333333337</v>
      </c>
      <c r="G27" s="33">
        <f>'19'!G36</f>
        <v>99.50291666666665</v>
      </c>
      <c r="H27" s="33">
        <f>'19'!H36</f>
        <v>51.2575</v>
      </c>
      <c r="I27" s="33">
        <f>'19'!I36</f>
        <v>4.7808333333333328</v>
      </c>
      <c r="J27" s="33">
        <f>'19'!J36</f>
        <v>1.1283333333333334</v>
      </c>
      <c r="K27" s="33">
        <f>'19'!K36</f>
        <v>272.88958333333323</v>
      </c>
      <c r="L27" s="33">
        <f>'19'!L36</f>
        <v>27.782916666666676</v>
      </c>
      <c r="M27" s="33">
        <f>'19'!M36</f>
        <v>85.297916666666694</v>
      </c>
      <c r="N27" s="33">
        <f>'19'!N36</f>
        <v>176.22500000000002</v>
      </c>
      <c r="O27" s="33">
        <f>'19'!O36</f>
        <v>0</v>
      </c>
      <c r="P27" s="30">
        <f>'19'!P36</f>
        <v>0.80416666666666659</v>
      </c>
      <c r="Q27" s="30">
        <f>'19'!Q36</f>
        <v>9.6208333333333371</v>
      </c>
      <c r="R27" s="47"/>
      <c r="S27" s="47"/>
      <c r="T27" s="47"/>
      <c r="U27" s="46"/>
    </row>
    <row r="28" spans="1:24" s="34" customFormat="1" x14ac:dyDescent="0.25">
      <c r="A28" s="36" t="str">
        <f>'20'!$B$2</f>
        <v>20/10/2024 01:00</v>
      </c>
      <c r="B28" s="33">
        <f>'20'!B36</f>
        <v>6.6574999999999989</v>
      </c>
      <c r="C28" s="33">
        <f>'20'!C36</f>
        <v>9.1591666666666676</v>
      </c>
      <c r="D28" s="33">
        <f>'20'!D36</f>
        <v>10.021666666666667</v>
      </c>
      <c r="E28" s="33">
        <f>'20'!E36</f>
        <v>5.6583333333333323</v>
      </c>
      <c r="F28" s="33">
        <f>'20'!F36</f>
        <v>4.1533333333333324</v>
      </c>
      <c r="G28" s="33">
        <f>'20'!G36</f>
        <v>49.326666666666661</v>
      </c>
      <c r="H28" s="33">
        <f>'20'!H36</f>
        <v>22.471250000000001</v>
      </c>
      <c r="I28" s="33">
        <f>'20'!I36</f>
        <v>4.1033333333333344</v>
      </c>
      <c r="J28" s="33">
        <f>'20'!J36</f>
        <v>0.94999999999999984</v>
      </c>
      <c r="K28" s="33">
        <f>'20'!K36</f>
        <v>267.40249999999997</v>
      </c>
      <c r="L28" s="33">
        <f>'20'!L36</f>
        <v>25.56708333333334</v>
      </c>
      <c r="M28" s="33">
        <f>'20'!M36</f>
        <v>87.223333333333315</v>
      </c>
      <c r="N28" s="33">
        <f>'20'!N36</f>
        <v>133.16666666666666</v>
      </c>
      <c r="O28" s="33">
        <f>'20'!O36</f>
        <v>0</v>
      </c>
      <c r="P28" s="30">
        <f>'20'!P36</f>
        <v>0.62833333333333319</v>
      </c>
      <c r="Q28" s="30">
        <f>'20'!Q36</f>
        <v>9.6179166666666678</v>
      </c>
      <c r="R28" s="47"/>
      <c r="S28" s="47"/>
      <c r="T28" s="47"/>
      <c r="U28" s="46"/>
    </row>
    <row r="29" spans="1:24" s="34" customFormat="1" x14ac:dyDescent="0.25">
      <c r="A29" s="36" t="str">
        <f>'21'!$B$2</f>
        <v>21/10/2024 02:00</v>
      </c>
      <c r="B29" s="33">
        <f>'21'!B36</f>
        <v>4.3858333333333333</v>
      </c>
      <c r="C29" s="33">
        <f>'21'!C36</f>
        <v>9.8900000000000023</v>
      </c>
      <c r="D29" s="33">
        <f>'21'!D36</f>
        <v>8.5525000000000002</v>
      </c>
      <c r="E29" s="33">
        <f>'21'!E36</f>
        <v>5.6245833333333337</v>
      </c>
      <c r="F29" s="33">
        <f>'21'!F36</f>
        <v>4.9741666666666662</v>
      </c>
      <c r="G29" s="33">
        <f>'21'!G36</f>
        <v>74.153750000000002</v>
      </c>
      <c r="H29" s="33">
        <f>'21'!H36</f>
        <v>39.564583333333331</v>
      </c>
      <c r="I29" s="33">
        <f>'21'!I36</f>
        <v>4.4908333333333328</v>
      </c>
      <c r="J29" s="33">
        <f>'21'!J36</f>
        <v>0.97083333333333321</v>
      </c>
      <c r="K29" s="33">
        <f>'21'!K36</f>
        <v>227.2441666666667</v>
      </c>
      <c r="L29" s="33">
        <f>'21'!L36</f>
        <v>26.756250000000005</v>
      </c>
      <c r="M29" s="33">
        <f>'21'!M36</f>
        <v>78.03125</v>
      </c>
      <c r="N29" s="33">
        <f>'21'!N36</f>
        <v>154.82083333333335</v>
      </c>
      <c r="O29" s="33">
        <f>'21'!O36</f>
        <v>0</v>
      </c>
      <c r="P29" s="30">
        <f>'21'!P36</f>
        <v>0.70541666666666669</v>
      </c>
      <c r="Q29" s="30">
        <f>'21'!Q36</f>
        <v>9.6187500000000039</v>
      </c>
      <c r="R29" s="47"/>
      <c r="S29" s="47"/>
      <c r="T29" s="47"/>
      <c r="U29" s="46"/>
    </row>
    <row r="30" spans="1:24" s="34" customFormat="1" x14ac:dyDescent="0.25">
      <c r="A30" s="36" t="str">
        <f>'22'!$B$2</f>
        <v>22/10/2024 02:00</v>
      </c>
      <c r="B30" s="33">
        <f>'22'!B36</f>
        <v>15.362083333333333</v>
      </c>
      <c r="C30" s="33">
        <f>'22'!C36</f>
        <v>19.225416666666671</v>
      </c>
      <c r="D30" s="33">
        <f>'22'!D36</f>
        <v>21.164583333333333</v>
      </c>
      <c r="E30" s="33">
        <f>'22'!E36</f>
        <v>7.1237500000000011</v>
      </c>
      <c r="F30" s="33">
        <f>'22'!F36</f>
        <v>5.9958333333333327</v>
      </c>
      <c r="G30" s="33">
        <f>'22'!G36</f>
        <v>87.832272727272724</v>
      </c>
      <c r="H30" s="33">
        <f>'22'!H36</f>
        <v>91.944545454545448</v>
      </c>
      <c r="I30" s="33">
        <f>'22'!I36</f>
        <v>5.3604166666666666</v>
      </c>
      <c r="J30" s="33">
        <f>'22'!J36</f>
        <v>0.95833333333333304</v>
      </c>
      <c r="K30" s="33">
        <f>'22'!K36</f>
        <v>307.98458333333332</v>
      </c>
      <c r="L30" s="33">
        <f>'22'!L36</f>
        <v>26.743750000000002</v>
      </c>
      <c r="M30" s="33">
        <f>'22'!M36</f>
        <v>73.989166666666677</v>
      </c>
      <c r="N30" s="33">
        <f>'22'!N36</f>
        <v>193.49583333333337</v>
      </c>
      <c r="O30" s="33">
        <f>'22'!O36</f>
        <v>0</v>
      </c>
      <c r="P30" s="30">
        <f>'22'!P36</f>
        <v>1.0458333333333332</v>
      </c>
      <c r="Q30" s="30">
        <f>'22'!Q36</f>
        <v>9.6220833333333342</v>
      </c>
      <c r="R30" s="47"/>
      <c r="S30" s="46"/>
      <c r="T30" s="46"/>
      <c r="U30" s="46"/>
    </row>
    <row r="31" spans="1:24" s="34" customFormat="1" x14ac:dyDescent="0.25">
      <c r="A31" s="36" t="str">
        <f>'23'!$B$2</f>
        <v>23/10/2024 02:00</v>
      </c>
      <c r="B31" s="33">
        <f>'23'!B36</f>
        <v>20.072500000000005</v>
      </c>
      <c r="C31" s="33">
        <f>'23'!C36</f>
        <v>17.267500000000005</v>
      </c>
      <c r="D31" s="33">
        <f>'23'!D36</f>
        <v>23.486666666666668</v>
      </c>
      <c r="E31" s="33">
        <f>'23'!E36</f>
        <v>6.4620833333333332</v>
      </c>
      <c r="F31" s="33">
        <f>'23'!F36</f>
        <v>4.6900000000000004</v>
      </c>
      <c r="G31" s="33">
        <f>'23'!G36</f>
        <v>97.582499999999996</v>
      </c>
      <c r="H31" s="33">
        <f>'23'!H36</f>
        <v>82.817333333333352</v>
      </c>
      <c r="I31" s="33">
        <f>'23'!I36</f>
        <v>6.324583333333333</v>
      </c>
      <c r="J31" s="33">
        <f>'23'!J36</f>
        <v>1.1883333333333332</v>
      </c>
      <c r="K31" s="33">
        <f>'23'!K36</f>
        <v>342.32416666666671</v>
      </c>
      <c r="L31" s="33">
        <f>'23'!L36</f>
        <v>26.37125</v>
      </c>
      <c r="M31" s="33">
        <f>'23'!M36</f>
        <v>68.75</v>
      </c>
      <c r="N31" s="33">
        <f>'23'!N36</f>
        <v>199.66666666666663</v>
      </c>
      <c r="O31" s="33">
        <f>'23'!O36</f>
        <v>0</v>
      </c>
      <c r="P31" s="33">
        <f>'23'!P36</f>
        <v>1.1304166666666666</v>
      </c>
      <c r="Q31" s="33">
        <f>'23'!Q36</f>
        <v>9.6241666666666674</v>
      </c>
      <c r="R31" s="46"/>
      <c r="S31" s="46"/>
      <c r="T31" s="46"/>
      <c r="U31" s="46"/>
    </row>
    <row r="32" spans="1:24" s="34" customFormat="1" x14ac:dyDescent="0.25">
      <c r="A32" s="36" t="str">
        <f>'24'!$B$2</f>
        <v>24/10/2024 02:00</v>
      </c>
      <c r="B32" s="33">
        <f>'24'!B36</f>
        <v>9.5087499999999991</v>
      </c>
      <c r="C32" s="33">
        <f>'24'!C36</f>
        <v>22.814999999999998</v>
      </c>
      <c r="D32" s="33">
        <f>'24'!D36</f>
        <v>17.669583333333332</v>
      </c>
      <c r="E32" s="33">
        <f>'24'!E36</f>
        <v>7.1329166666666657</v>
      </c>
      <c r="F32" s="33">
        <f>'24'!F36</f>
        <v>5.7333333333333343</v>
      </c>
      <c r="G32" s="33">
        <f>'24'!G36</f>
        <v>85.157500000000013</v>
      </c>
      <c r="H32" s="33">
        <f>'24'!H36</f>
        <v>39.724166666666655</v>
      </c>
      <c r="I32" s="33">
        <f>'24'!I36</f>
        <v>4.0420833333333333</v>
      </c>
      <c r="J32" s="33">
        <f>'24'!J36</f>
        <v>1.9774999999999998</v>
      </c>
      <c r="K32" s="33">
        <f>'24'!K36</f>
        <v>340.17708333333331</v>
      </c>
      <c r="L32" s="33">
        <f>'24'!L36</f>
        <v>26.861666666666668</v>
      </c>
      <c r="M32" s="33">
        <f>'24'!M36</f>
        <v>67.59416666666668</v>
      </c>
      <c r="N32" s="33">
        <f>'24'!N36</f>
        <v>193.57916666666665</v>
      </c>
      <c r="O32" s="33">
        <f>'24'!O36</f>
        <v>0</v>
      </c>
      <c r="P32" s="33">
        <f>'24'!P36</f>
        <v>0.83083333333333342</v>
      </c>
      <c r="Q32" s="33">
        <f>'24'!Q36</f>
        <v>9.625</v>
      </c>
      <c r="R32" s="46"/>
      <c r="S32" s="46"/>
      <c r="T32" s="46"/>
      <c r="U32" s="46"/>
    </row>
    <row r="33" spans="1:21" s="34" customFormat="1" x14ac:dyDescent="0.25">
      <c r="A33" s="36" t="str">
        <f>'25'!$B$2</f>
        <v>25/10/2024 02:00</v>
      </c>
      <c r="B33" s="33">
        <f>'25'!B36</f>
        <v>10.953750000000001</v>
      </c>
      <c r="C33" s="33">
        <f>'25'!C36</f>
        <v>15.224583333333333</v>
      </c>
      <c r="D33" s="33">
        <f>'25'!D36</f>
        <v>15.22125</v>
      </c>
      <c r="E33" s="33">
        <f>'25'!E36</f>
        <v>5.7074999999999996</v>
      </c>
      <c r="F33" s="33">
        <f>'25'!F36</f>
        <v>4.4266666666666667</v>
      </c>
      <c r="G33" s="33">
        <f>'25'!G36</f>
        <v>56.26666666666668</v>
      </c>
      <c r="H33" s="33">
        <f>'25'!H36</f>
        <v>23.897500000000004</v>
      </c>
      <c r="I33" s="33">
        <f>'25'!I36</f>
        <v>3.2754166666666671</v>
      </c>
      <c r="J33" s="33">
        <f>'25'!J36</f>
        <v>1.7766666666666671</v>
      </c>
      <c r="K33" s="33">
        <f>'25'!K36</f>
        <v>330.68833333333333</v>
      </c>
      <c r="L33" s="33">
        <f>'25'!L36</f>
        <v>26.359999999999996</v>
      </c>
      <c r="M33" s="33">
        <f>'25'!M36</f>
        <v>78.05749999999999</v>
      </c>
      <c r="N33" s="33">
        <f>'25'!N36</f>
        <v>168.71666666666664</v>
      </c>
      <c r="O33" s="33">
        <f>'25'!O36</f>
        <v>0</v>
      </c>
      <c r="P33" s="33">
        <f>'25'!P36</f>
        <v>0.67208333333333348</v>
      </c>
      <c r="Q33" s="33">
        <f>'25'!Q36</f>
        <v>9.6225000000000023</v>
      </c>
      <c r="R33" s="46"/>
      <c r="S33" s="46"/>
      <c r="T33" s="46"/>
      <c r="U33" s="46"/>
    </row>
    <row r="34" spans="1:21" s="34" customFormat="1" x14ac:dyDescent="0.25">
      <c r="A34" s="36" t="str">
        <f>'26'!$B$2</f>
        <v>26/10/2024 01:00</v>
      </c>
      <c r="B34" s="33">
        <f>'26'!B36</f>
        <v>21.167916666666663</v>
      </c>
      <c r="C34" s="33">
        <f>'26'!C36</f>
        <v>16.398333333333333</v>
      </c>
      <c r="D34" s="33">
        <f>'26'!D36</f>
        <v>23.82791666666667</v>
      </c>
      <c r="E34" s="33">
        <f>'26'!E36</f>
        <v>5.6658333333333317</v>
      </c>
      <c r="F34" s="33">
        <f>'26'!F36</f>
        <v>4.3216666666666663</v>
      </c>
      <c r="G34" s="33">
        <f>'26'!G36</f>
        <v>65.117916666666659</v>
      </c>
      <c r="H34" s="33">
        <f>'26'!H36</f>
        <v>25.819583333333327</v>
      </c>
      <c r="I34" s="33">
        <f>'26'!I36</f>
        <v>4.3066666666666675</v>
      </c>
      <c r="J34" s="33">
        <f>'26'!J36</f>
        <v>1.6499999999999997</v>
      </c>
      <c r="K34" s="33">
        <f>'26'!K36</f>
        <v>343.16666666666657</v>
      </c>
      <c r="L34" s="33">
        <f>'26'!L36</f>
        <v>26.291666666666661</v>
      </c>
      <c r="M34" s="33">
        <f>'26'!M36</f>
        <v>73.99708333333335</v>
      </c>
      <c r="N34" s="33">
        <f>'26'!N36</f>
        <v>190.05833333333337</v>
      </c>
      <c r="O34" s="33">
        <f>'26'!O36</f>
        <v>0</v>
      </c>
      <c r="P34" s="33">
        <f>'26'!P36</f>
        <v>0.87666666666666659</v>
      </c>
      <c r="Q34" s="33">
        <f>'26'!Q36</f>
        <v>9.6283333333333321</v>
      </c>
      <c r="R34" s="46"/>
      <c r="S34" s="46"/>
      <c r="T34" s="46"/>
      <c r="U34" s="46"/>
    </row>
    <row r="35" spans="1:21" s="34" customFormat="1" x14ac:dyDescent="0.25">
      <c r="A35" s="36" t="str">
        <f>'27'!$B$2</f>
        <v>27/10/2024 01:00</v>
      </c>
      <c r="B35" s="33">
        <f>'27'!B36</f>
        <v>18.145833333333336</v>
      </c>
      <c r="C35" s="33">
        <f>'27'!C36</f>
        <v>14.937083333333335</v>
      </c>
      <c r="D35" s="33">
        <f>'27'!D36</f>
        <v>20.761249999999997</v>
      </c>
      <c r="E35" s="33">
        <f>'27'!E36</f>
        <v>5.3591666666666669</v>
      </c>
      <c r="F35" s="33">
        <f>'27'!F36</f>
        <v>4.4449999999999994</v>
      </c>
      <c r="G35" s="33">
        <f>'27'!G36</f>
        <v>66.616666666666674</v>
      </c>
      <c r="H35" s="33">
        <f>'27'!H36</f>
        <v>31.580416666666661</v>
      </c>
      <c r="I35" s="33">
        <f>'27'!I36</f>
        <v>4.7487500000000002</v>
      </c>
      <c r="J35" s="33">
        <f>'27'!J36</f>
        <v>1.3829166666666668</v>
      </c>
      <c r="K35" s="33">
        <f>'27'!K36</f>
        <v>286.63124999999997</v>
      </c>
      <c r="L35" s="33">
        <f>'27'!L36</f>
        <v>25.798750000000002</v>
      </c>
      <c r="M35" s="33">
        <f>'27'!M36</f>
        <v>85.994583333333324</v>
      </c>
      <c r="N35" s="33">
        <f>'27'!N36</f>
        <v>139.22916666666666</v>
      </c>
      <c r="O35" s="33">
        <f>'27'!O36</f>
        <v>0</v>
      </c>
      <c r="P35" s="30">
        <f>'27'!P36</f>
        <v>0.78041666666666665</v>
      </c>
      <c r="Q35" s="33">
        <f>'27'!Q36</f>
        <v>9.6270833333333332</v>
      </c>
      <c r="R35" s="46"/>
      <c r="S35" s="46"/>
      <c r="T35" s="46"/>
      <c r="U35" s="46"/>
    </row>
    <row r="36" spans="1:21" s="34" customFormat="1" x14ac:dyDescent="0.25">
      <c r="A36" s="36" t="str">
        <f>'28'!$B$2</f>
        <v>29/10/2024 01:00</v>
      </c>
      <c r="B36" s="33">
        <f>'28'!B36</f>
        <v>14.30208333333333</v>
      </c>
      <c r="C36" s="33">
        <f>'28'!C36</f>
        <v>15.097083333333332</v>
      </c>
      <c r="D36" s="33">
        <f>'28'!D36</f>
        <v>17.515000000000001</v>
      </c>
      <c r="E36" s="33">
        <f>'28'!E36</f>
        <v>6.0141666666666653</v>
      </c>
      <c r="F36" s="33">
        <f>'28'!F36</f>
        <v>4.9766666666666666</v>
      </c>
      <c r="G36" s="33">
        <f>'28'!G36</f>
        <v>51.608260869565221</v>
      </c>
      <c r="H36" s="33">
        <f>'28'!H36</f>
        <v>20.344782608695656</v>
      </c>
      <c r="I36" s="33">
        <f>'28'!I36</f>
        <v>4.535000000000001</v>
      </c>
      <c r="J36" s="33">
        <f>'28'!J36</f>
        <v>0.96541666666666648</v>
      </c>
      <c r="K36" s="33">
        <f>'28'!K36</f>
        <v>281.18833333333345</v>
      </c>
      <c r="L36" s="33">
        <f>'28'!L36</f>
        <v>27.342499999999998</v>
      </c>
      <c r="M36" s="33">
        <f>'28'!M36</f>
        <v>88.008333333333326</v>
      </c>
      <c r="N36" s="33">
        <f>'28'!N36</f>
        <v>186.11666666666665</v>
      </c>
      <c r="O36" s="33">
        <f>'28'!O36</f>
        <v>0</v>
      </c>
      <c r="P36" s="30">
        <f>'28'!P36</f>
        <v>0.75124999999999986</v>
      </c>
      <c r="Q36" s="33">
        <f>'28'!Q36</f>
        <v>9.6258333333333326</v>
      </c>
      <c r="R36" s="46"/>
      <c r="S36" s="46"/>
      <c r="T36" s="46"/>
      <c r="U36" s="46"/>
    </row>
    <row r="37" spans="1:21" s="34" customFormat="1" x14ac:dyDescent="0.25">
      <c r="A37" s="36" t="str">
        <f>'29'!$B$2</f>
        <v>29/10/2024 01:00</v>
      </c>
      <c r="B37" s="33">
        <f>'29'!B36</f>
        <v>14.30208333333333</v>
      </c>
      <c r="C37" s="33">
        <f>'29'!C36</f>
        <v>15.097083333333332</v>
      </c>
      <c r="D37" s="33">
        <f>'29'!D36</f>
        <v>17.515000000000001</v>
      </c>
      <c r="E37" s="33">
        <f>'29'!E36</f>
        <v>6.0141666666666653</v>
      </c>
      <c r="F37" s="33">
        <f>'29'!F36</f>
        <v>4.9766666666666666</v>
      </c>
      <c r="G37" s="33">
        <f>'29'!G36</f>
        <v>51.608260869565221</v>
      </c>
      <c r="H37" s="33">
        <f>'29'!H36</f>
        <v>20.344782608695656</v>
      </c>
      <c r="I37" s="33">
        <f>'29'!I36</f>
        <v>4.535000000000001</v>
      </c>
      <c r="J37" s="33">
        <f>'29'!J36</f>
        <v>0.96541666666666648</v>
      </c>
      <c r="K37" s="33">
        <f>'29'!K36</f>
        <v>281.18833333333345</v>
      </c>
      <c r="L37" s="33">
        <f>'29'!L36</f>
        <v>27.342499999999998</v>
      </c>
      <c r="M37" s="33">
        <f>'29'!M36</f>
        <v>88.008333333333326</v>
      </c>
      <c r="N37" s="33">
        <f>'29'!N36</f>
        <v>186.11666666666665</v>
      </c>
      <c r="O37" s="33">
        <f>'29'!O36</f>
        <v>0</v>
      </c>
      <c r="P37" s="33">
        <f>'29'!P36</f>
        <v>0.75124999999999986</v>
      </c>
      <c r="Q37" s="33">
        <f>'29'!Q36</f>
        <v>9.6258333333333326</v>
      </c>
      <c r="R37" s="46"/>
      <c r="S37" s="46"/>
      <c r="T37" s="46"/>
      <c r="U37" s="46"/>
    </row>
    <row r="38" spans="1:21" s="34" customFormat="1" x14ac:dyDescent="0.25">
      <c r="A38" s="36" t="str">
        <f>'30'!$B$2</f>
        <v>30/10/2024 01:00</v>
      </c>
      <c r="B38" s="33">
        <f>'30'!B36</f>
        <v>8.6370833333333312</v>
      </c>
      <c r="C38" s="33">
        <f>'30'!C36</f>
        <v>12.017083333333332</v>
      </c>
      <c r="D38" s="33">
        <f>'30'!D36</f>
        <v>11.727500000000001</v>
      </c>
      <c r="E38" s="33">
        <f>'30'!E36</f>
        <v>5.7270833333333329</v>
      </c>
      <c r="F38" s="33">
        <f>'30'!F36</f>
        <v>5.0412499999999998</v>
      </c>
      <c r="G38" s="33">
        <f>'30'!G36</f>
        <v>56.564583333333331</v>
      </c>
      <c r="H38" s="33">
        <f>'30'!H36</f>
        <v>28.429583333333326</v>
      </c>
      <c r="I38" s="33">
        <f>'30'!I36</f>
        <v>3.9770833333333342</v>
      </c>
      <c r="J38" s="33">
        <f>'30'!J36</f>
        <v>0.83291666666666664</v>
      </c>
      <c r="K38" s="33">
        <f>'30'!K36</f>
        <v>255.91916666666668</v>
      </c>
      <c r="L38" s="33">
        <f>'30'!L36</f>
        <v>27.42625</v>
      </c>
      <c r="M38" s="33">
        <f>'30'!M36</f>
        <v>86.207916666666677</v>
      </c>
      <c r="N38" s="33">
        <f>'30'!N36</f>
        <v>161.16666666666666</v>
      </c>
      <c r="O38" s="33">
        <f>'30'!O36</f>
        <v>0</v>
      </c>
      <c r="P38" s="33">
        <f>'30'!P36</f>
        <v>0.67041666666666666</v>
      </c>
      <c r="Q38" s="33">
        <f>'30'!Q36</f>
        <v>9.6208333333333353</v>
      </c>
      <c r="R38" s="46"/>
      <c r="S38" s="46"/>
      <c r="T38" s="46"/>
      <c r="U38" s="46"/>
    </row>
    <row r="39" spans="1:21" s="34" customFormat="1" x14ac:dyDescent="0.25">
      <c r="A39" s="36" t="str">
        <f>'31'!$B$2</f>
        <v>31/10/2024 01:00</v>
      </c>
      <c r="B39" s="33">
        <f>'31'!B37</f>
        <v>7.9439233909057645</v>
      </c>
      <c r="C39" s="33">
        <f>'31'!C37</f>
        <v>6.0266610405017342</v>
      </c>
      <c r="D39" s="33">
        <f>'31'!D37</f>
        <v>5.7292525342708833</v>
      </c>
      <c r="E39" s="33">
        <f>'31'!E37</f>
        <v>2.6193507534435367</v>
      </c>
      <c r="F39" s="33">
        <f>'31'!F37</f>
        <v>4.451068183145984</v>
      </c>
      <c r="G39" s="33">
        <f>'31'!G37</f>
        <v>131.45336721435763</v>
      </c>
      <c r="H39" s="33">
        <f>'31'!H37</f>
        <v>95.788887615316369</v>
      </c>
      <c r="I39" s="33">
        <f>'31'!I37</f>
        <v>1.4695811786286983</v>
      </c>
      <c r="J39" s="33">
        <f>'31'!J37</f>
        <v>0.46084673172859542</v>
      </c>
      <c r="K39" s="33">
        <f>'31'!K37</f>
        <v>76.250732283250258</v>
      </c>
      <c r="L39" s="33">
        <f>'31'!L37</f>
        <v>3.2824300604049008</v>
      </c>
      <c r="M39" s="33">
        <f>'31'!M37</f>
        <v>16.582029292912722</v>
      </c>
      <c r="N39" s="33">
        <f>'31'!N37</f>
        <v>160.32186370512309</v>
      </c>
      <c r="O39" s="33">
        <f>'31'!O37</f>
        <v>0</v>
      </c>
      <c r="P39" s="33">
        <f>'31'!P37</f>
        <v>0.40764234643703962</v>
      </c>
      <c r="Q39" s="33">
        <f>'31'!Q37</f>
        <v>7.7553160822910324E-3</v>
      </c>
      <c r="R39" s="46"/>
      <c r="S39" s="46"/>
      <c r="T39" s="46"/>
      <c r="U39" s="46"/>
    </row>
    <row r="40" spans="1:21" x14ac:dyDescent="0.25"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0"/>
      <c r="S40" s="20"/>
      <c r="T40" s="20"/>
      <c r="U40" s="48"/>
    </row>
    <row r="41" spans="1:21" s="21" customFormat="1" x14ac:dyDescent="0.25">
      <c r="A41" s="14" t="s">
        <v>30</v>
      </c>
      <c r="B41" s="15">
        <f t="shared" ref="B41:Q41" si="0">MIN(B9:B38)</f>
        <v>2.7975000000000008</v>
      </c>
      <c r="C41" s="15">
        <f t="shared" si="0"/>
        <v>6.0079166666666675</v>
      </c>
      <c r="D41" s="15">
        <f t="shared" si="0"/>
        <v>5.5837500000000011</v>
      </c>
      <c r="E41" s="15">
        <f t="shared" si="0"/>
        <v>4.7504166666666654</v>
      </c>
      <c r="F41" s="15">
        <f t="shared" si="0"/>
        <v>4.1195833333333338</v>
      </c>
      <c r="G41" s="15">
        <f t="shared" si="0"/>
        <v>23.790000000000006</v>
      </c>
      <c r="H41" s="15">
        <f t="shared" si="0"/>
        <v>10.260833333333332</v>
      </c>
      <c r="I41" s="15">
        <f t="shared" si="0"/>
        <v>2.525384615384616</v>
      </c>
      <c r="J41" s="15">
        <f t="shared" si="0"/>
        <v>0.41583333333333328</v>
      </c>
      <c r="K41" s="15">
        <f t="shared" si="0"/>
        <v>152.97375000000002</v>
      </c>
      <c r="L41" s="15">
        <f t="shared" si="0"/>
        <v>25.56708333333334</v>
      </c>
      <c r="M41" s="15">
        <f t="shared" si="0"/>
        <v>67.59416666666668</v>
      </c>
      <c r="N41" s="15">
        <f t="shared" si="0"/>
        <v>133.16666666666666</v>
      </c>
      <c r="O41" s="15">
        <f t="shared" si="0"/>
        <v>0</v>
      </c>
      <c r="P41" s="15">
        <f t="shared" si="0"/>
        <v>0.41541666666666671</v>
      </c>
      <c r="Q41" s="15">
        <f t="shared" si="0"/>
        <v>9.6145833333333357</v>
      </c>
      <c r="R41" s="28"/>
      <c r="S41" s="28"/>
      <c r="T41" s="28"/>
      <c r="U41" s="28"/>
    </row>
    <row r="42" spans="1:21" s="21" customFormat="1" x14ac:dyDescent="0.25">
      <c r="A42" s="14" t="s">
        <v>31</v>
      </c>
      <c r="B42" s="15">
        <f t="shared" ref="B42:Q42" si="1">MAX(B9:B38)</f>
        <v>28.287916666666671</v>
      </c>
      <c r="C42" s="15">
        <f t="shared" si="1"/>
        <v>22.814999999999998</v>
      </c>
      <c r="D42" s="15">
        <f t="shared" si="1"/>
        <v>26.270416666666659</v>
      </c>
      <c r="E42" s="15">
        <f t="shared" si="1"/>
        <v>7.1329166666666657</v>
      </c>
      <c r="F42" s="15">
        <f t="shared" si="1"/>
        <v>6.239583333333333</v>
      </c>
      <c r="G42" s="15">
        <f t="shared" si="1"/>
        <v>99.50291666666665</v>
      </c>
      <c r="H42" s="15">
        <f t="shared" si="1"/>
        <v>91.944545454545448</v>
      </c>
      <c r="I42" s="15">
        <f t="shared" si="1"/>
        <v>6.324583333333333</v>
      </c>
      <c r="J42" s="15">
        <f t="shared" si="1"/>
        <v>1.9774999999999998</v>
      </c>
      <c r="K42" s="15">
        <f t="shared" si="1"/>
        <v>343.16666666666657</v>
      </c>
      <c r="L42" s="15">
        <f t="shared" si="1"/>
        <v>30.145833333333332</v>
      </c>
      <c r="M42" s="15">
        <f t="shared" si="1"/>
        <v>94.350416666666661</v>
      </c>
      <c r="N42" s="15">
        <f t="shared" si="1"/>
        <v>238.5333333333333</v>
      </c>
      <c r="O42" s="15">
        <f t="shared" si="1"/>
        <v>0.22500000000000001</v>
      </c>
      <c r="P42" s="15">
        <f t="shared" si="1"/>
        <v>1.3150000000000002</v>
      </c>
      <c r="Q42" s="15">
        <f t="shared" si="1"/>
        <v>9.6283333333333374</v>
      </c>
      <c r="R42" s="28"/>
      <c r="S42" s="28"/>
      <c r="T42" s="28"/>
      <c r="U42" s="28"/>
    </row>
    <row r="43" spans="1:21" s="21" customFormat="1" x14ac:dyDescent="0.25">
      <c r="A43" s="14" t="s">
        <v>32</v>
      </c>
      <c r="B43" s="15">
        <f t="shared" ref="B43:Q43" si="2">AVERAGE(B9:B38)</f>
        <v>11.308888888888886</v>
      </c>
      <c r="C43" s="15">
        <f t="shared" si="2"/>
        <v>11.241319444444446</v>
      </c>
      <c r="D43" s="15">
        <f t="shared" si="2"/>
        <v>14.347263888888888</v>
      </c>
      <c r="E43" s="15">
        <f t="shared" si="2"/>
        <v>5.7386805555555531</v>
      </c>
      <c r="F43" s="15">
        <f t="shared" si="2"/>
        <v>4.8873472222222221</v>
      </c>
      <c r="G43" s="15">
        <f t="shared" si="2"/>
        <v>55.537631532718478</v>
      </c>
      <c r="H43" s="15">
        <f t="shared" si="2"/>
        <v>27.475308655394532</v>
      </c>
      <c r="I43" s="15">
        <f t="shared" si="2"/>
        <v>4.134471153846154</v>
      </c>
      <c r="J43" s="15">
        <f t="shared" si="2"/>
        <v>1.0418888888888889</v>
      </c>
      <c r="K43" s="15">
        <f t="shared" si="2"/>
        <v>269.5577222222222</v>
      </c>
      <c r="L43" s="15">
        <f t="shared" si="2"/>
        <v>27.641416666666668</v>
      </c>
      <c r="M43" s="15">
        <f t="shared" si="2"/>
        <v>82.413555555555533</v>
      </c>
      <c r="N43" s="15">
        <f t="shared" si="2"/>
        <v>194.38597222222225</v>
      </c>
      <c r="O43" s="15">
        <f t="shared" si="2"/>
        <v>7.5000000000000006E-3</v>
      </c>
      <c r="P43" s="15">
        <f t="shared" si="2"/>
        <v>0.72191666666666665</v>
      </c>
      <c r="Q43" s="15">
        <f t="shared" si="2"/>
        <v>9.6205972222222247</v>
      </c>
      <c r="R43" s="28"/>
      <c r="S43" s="28"/>
      <c r="T43" s="28"/>
      <c r="U43" s="28"/>
    </row>
    <row r="44" spans="1:21" s="21" customFormat="1" x14ac:dyDescent="0.25">
      <c r="A44" s="14" t="s">
        <v>38</v>
      </c>
      <c r="B44" s="15">
        <f t="shared" ref="B44:Q44" si="3">STDEV(B9:B38)</f>
        <v>6.6608558721738103</v>
      </c>
      <c r="C44" s="15">
        <f t="shared" si="3"/>
        <v>4.2405621488385821</v>
      </c>
      <c r="D44" s="15">
        <f t="shared" si="3"/>
        <v>6.1840984745206491</v>
      </c>
      <c r="E44" s="15">
        <f t="shared" si="3"/>
        <v>0.54441461544244341</v>
      </c>
      <c r="F44" s="15">
        <f t="shared" si="3"/>
        <v>0.6302763059033728</v>
      </c>
      <c r="G44" s="15">
        <f t="shared" si="3"/>
        <v>19.731194454316743</v>
      </c>
      <c r="H44" s="15">
        <f t="shared" si="3"/>
        <v>18.682280302034687</v>
      </c>
      <c r="I44" s="15">
        <f t="shared" si="3"/>
        <v>0.86443120454013223</v>
      </c>
      <c r="J44" s="15">
        <f t="shared" si="3"/>
        <v>0.32193257972378675</v>
      </c>
      <c r="K44" s="15">
        <f t="shared" si="3"/>
        <v>57.081372090095279</v>
      </c>
      <c r="L44" s="15">
        <f t="shared" si="3"/>
        <v>1.1402936233329517</v>
      </c>
      <c r="M44" s="15">
        <f t="shared" si="3"/>
        <v>6.2659832627610621</v>
      </c>
      <c r="N44" s="15">
        <f t="shared" si="3"/>
        <v>29.271782063884501</v>
      </c>
      <c r="O44" s="15">
        <f t="shared" si="3"/>
        <v>4.107919181288746E-2</v>
      </c>
      <c r="P44" s="15">
        <f t="shared" si="3"/>
        <v>0.20493987997978944</v>
      </c>
      <c r="Q44" s="15">
        <f t="shared" si="3"/>
        <v>4.1315812084772863E-3</v>
      </c>
      <c r="R44" s="28"/>
      <c r="S44" s="28"/>
      <c r="T44" s="28"/>
      <c r="U44" s="28"/>
    </row>
    <row r="45" spans="1:21" s="21" customFormat="1" x14ac:dyDescent="0.25">
      <c r="A45" s="14" t="s">
        <v>33</v>
      </c>
      <c r="B45" s="12">
        <f t="shared" ref="B45:D45" si="4">COUNT(B9:B38)</f>
        <v>30</v>
      </c>
      <c r="C45" s="12">
        <f t="shared" si="4"/>
        <v>30</v>
      </c>
      <c r="D45" s="12">
        <f t="shared" si="4"/>
        <v>30</v>
      </c>
      <c r="E45" s="12">
        <f>COUNT(E9:E39)</f>
        <v>31</v>
      </c>
      <c r="F45" s="12">
        <f t="shared" ref="F45:Q45" si="5">COUNT(F9:F39)</f>
        <v>31</v>
      </c>
      <c r="G45" s="12">
        <f t="shared" si="5"/>
        <v>31</v>
      </c>
      <c r="H45" s="12">
        <f t="shared" si="5"/>
        <v>31</v>
      </c>
      <c r="I45" s="12">
        <f t="shared" si="5"/>
        <v>31</v>
      </c>
      <c r="J45" s="12">
        <f t="shared" si="5"/>
        <v>31</v>
      </c>
      <c r="K45" s="12">
        <f t="shared" si="5"/>
        <v>31</v>
      </c>
      <c r="L45" s="12">
        <f t="shared" si="5"/>
        <v>31</v>
      </c>
      <c r="M45" s="12">
        <f t="shared" si="5"/>
        <v>31</v>
      </c>
      <c r="N45" s="12">
        <f t="shared" si="5"/>
        <v>31</v>
      </c>
      <c r="O45" s="12">
        <f t="shared" si="5"/>
        <v>31</v>
      </c>
      <c r="P45" s="12">
        <f t="shared" si="5"/>
        <v>31</v>
      </c>
      <c r="Q45" s="12">
        <f t="shared" si="5"/>
        <v>31</v>
      </c>
      <c r="R45" s="29"/>
      <c r="S45" s="29"/>
      <c r="T45" s="29"/>
      <c r="U45" s="29"/>
    </row>
    <row r="46" spans="1:21" s="21" customFormat="1" x14ac:dyDescent="0.25">
      <c r="A46" s="14" t="s">
        <v>34</v>
      </c>
      <c r="B46" s="12" t="str">
        <f>IF(B45&gt;=28,"&gt;90%",IF(B45&lt;=28,"&lt;90%"))</f>
        <v>&gt;90%</v>
      </c>
      <c r="C46" s="12" t="str">
        <f t="shared" ref="C46:Q46" si="6">IF(C45&gt;=28,"&gt;90%",IF(C45&lt;=28,"&lt;90%"))</f>
        <v>&gt;90%</v>
      </c>
      <c r="D46" s="12" t="str">
        <f t="shared" si="6"/>
        <v>&gt;90%</v>
      </c>
      <c r="E46" s="12" t="str">
        <f t="shared" si="6"/>
        <v>&gt;90%</v>
      </c>
      <c r="F46" s="12" t="str">
        <f t="shared" si="6"/>
        <v>&gt;90%</v>
      </c>
      <c r="G46" s="12" t="str">
        <f t="shared" si="6"/>
        <v>&gt;90%</v>
      </c>
      <c r="H46" s="12" t="str">
        <f t="shared" si="6"/>
        <v>&gt;90%</v>
      </c>
      <c r="I46" s="12" t="str">
        <f t="shared" si="6"/>
        <v>&gt;90%</v>
      </c>
      <c r="J46" s="12" t="str">
        <f t="shared" si="6"/>
        <v>&gt;90%</v>
      </c>
      <c r="K46" s="12" t="str">
        <f t="shared" si="6"/>
        <v>&gt;90%</v>
      </c>
      <c r="L46" s="12" t="str">
        <f t="shared" si="6"/>
        <v>&gt;90%</v>
      </c>
      <c r="M46" s="12" t="str">
        <f t="shared" si="6"/>
        <v>&gt;90%</v>
      </c>
      <c r="N46" s="12" t="str">
        <f t="shared" si="6"/>
        <v>&gt;90%</v>
      </c>
      <c r="O46" s="12" t="str">
        <f t="shared" si="6"/>
        <v>&gt;90%</v>
      </c>
      <c r="P46" s="12" t="str">
        <f t="shared" si="6"/>
        <v>&gt;90%</v>
      </c>
      <c r="Q46" s="12" t="str">
        <f t="shared" si="6"/>
        <v>&gt;90%</v>
      </c>
      <c r="R46" s="29"/>
      <c r="S46" s="29"/>
      <c r="T46" s="29"/>
      <c r="U46" s="29"/>
    </row>
    <row r="47" spans="1:21" s="21" customFormat="1" x14ac:dyDescent="0.25">
      <c r="A47" s="14" t="s">
        <v>1</v>
      </c>
      <c r="B47" s="12" t="str">
        <f>IF(B45&gt;=28,"OK",IF(B45&lt;=28,"LESS"))</f>
        <v>OK</v>
      </c>
      <c r="C47" s="12" t="str">
        <f t="shared" ref="C47:Q47" si="7">IF(C45&gt;=28,"OK",IF(C45&lt;=28,"LESS"))</f>
        <v>OK</v>
      </c>
      <c r="D47" s="12" t="str">
        <f t="shared" si="7"/>
        <v>OK</v>
      </c>
      <c r="E47" s="12" t="str">
        <f t="shared" si="7"/>
        <v>OK</v>
      </c>
      <c r="F47" s="12" t="str">
        <f t="shared" si="7"/>
        <v>OK</v>
      </c>
      <c r="G47" s="12" t="str">
        <f t="shared" si="7"/>
        <v>OK</v>
      </c>
      <c r="H47" s="12" t="str">
        <f t="shared" si="7"/>
        <v>OK</v>
      </c>
      <c r="I47" s="12" t="str">
        <f t="shared" si="7"/>
        <v>OK</v>
      </c>
      <c r="J47" s="12" t="str">
        <f t="shared" si="7"/>
        <v>OK</v>
      </c>
      <c r="K47" s="12" t="str">
        <f t="shared" si="7"/>
        <v>OK</v>
      </c>
      <c r="L47" s="12" t="str">
        <f t="shared" si="7"/>
        <v>OK</v>
      </c>
      <c r="M47" s="12" t="str">
        <f t="shared" si="7"/>
        <v>OK</v>
      </c>
      <c r="N47" s="12" t="str">
        <f t="shared" si="7"/>
        <v>OK</v>
      </c>
      <c r="O47" s="12" t="str">
        <f t="shared" si="7"/>
        <v>OK</v>
      </c>
      <c r="P47" s="12" t="str">
        <f t="shared" si="7"/>
        <v>OK</v>
      </c>
      <c r="Q47" s="12" t="str">
        <f t="shared" si="7"/>
        <v>OK</v>
      </c>
      <c r="R47" s="29"/>
      <c r="S47" s="29"/>
      <c r="T47" s="29"/>
      <c r="U47" s="29"/>
    </row>
    <row r="48" spans="1:21" x14ac:dyDescent="0.25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</row>
    <row r="50" spans="1:16" x14ac:dyDescent="0.25">
      <c r="A50" s="14" t="s">
        <v>35</v>
      </c>
      <c r="B50" s="40" t="s">
        <v>41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 x14ac:dyDescent="0.25">
      <c r="A51" s="13"/>
      <c r="B51" s="21"/>
      <c r="C51" s="21"/>
      <c r="D51" s="1"/>
      <c r="E51" s="1"/>
      <c r="F51" s="1"/>
      <c r="G51" s="1"/>
      <c r="H51" s="1"/>
      <c r="I51" s="1"/>
      <c r="J51" s="21"/>
      <c r="K51" s="21"/>
      <c r="L51" s="21"/>
      <c r="M51" s="21"/>
      <c r="N51" s="21"/>
      <c r="O51" s="21"/>
      <c r="P51" s="21"/>
    </row>
    <row r="52" spans="1:16" ht="15.75" x14ac:dyDescent="0.25">
      <c r="A52" s="17" t="s">
        <v>36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</row>
    <row r="53" spans="1:16" x14ac:dyDescent="0.2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x14ac:dyDescent="0.25">
      <c r="A54" s="1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6" x14ac:dyDescent="0.25">
      <c r="A55" s="13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</sheetData>
  <mergeCells count="1">
    <mergeCell ref="B52:P5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30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2018-07-30T12:51:54Z</cp:lastPrinted>
  <dcterms:created xsi:type="dcterms:W3CDTF">2013-08-23T16:44:31Z</dcterms:created>
  <dcterms:modified xsi:type="dcterms:W3CDTF">2024-11-18T11:51:31Z</dcterms:modified>
</cp:coreProperties>
</file>