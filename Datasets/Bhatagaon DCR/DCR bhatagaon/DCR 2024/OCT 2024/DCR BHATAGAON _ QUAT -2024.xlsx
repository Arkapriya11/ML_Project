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4" l="1"/>
  <c r="I110" i="4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G39" i="39" s="1"/>
  <c r="F108" i="44"/>
  <c r="F39" i="39" s="1"/>
  <c r="E108" i="44"/>
  <c r="E39" i="39" s="1"/>
  <c r="D108" i="44"/>
  <c r="D39" i="39" s="1"/>
  <c r="C108" i="44"/>
  <c r="C39" i="39" s="1"/>
  <c r="B108" i="44"/>
  <c r="B39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H39" i="39"/>
  <c r="I39" i="39"/>
  <c r="J39" i="39"/>
  <c r="K39" i="39"/>
  <c r="L39" i="39"/>
  <c r="M39" i="39"/>
  <c r="N39" i="39"/>
  <c r="O39" i="39"/>
  <c r="P39" i="39"/>
  <c r="Q39" i="39"/>
  <c r="I110" i="40"/>
  <c r="H110" i="40"/>
  <c r="G110" i="40"/>
  <c r="G110" i="33"/>
  <c r="H110" i="33"/>
  <c r="I110" i="33"/>
  <c r="J110" i="33"/>
  <c r="I110" i="32"/>
  <c r="Q110" i="31"/>
  <c r="G110" i="31"/>
  <c r="H110" i="31"/>
  <c r="I110" i="31"/>
  <c r="I110" i="30"/>
  <c r="I110" i="29"/>
  <c r="J110" i="29"/>
  <c r="J110" i="28"/>
  <c r="H110" i="28"/>
  <c r="I110" i="27"/>
  <c r="H110" i="27"/>
  <c r="G110" i="27"/>
  <c r="G110" i="22"/>
  <c r="H110" i="22"/>
  <c r="H110" i="21"/>
  <c r="G110" i="21"/>
  <c r="B111" i="44" l="1"/>
  <c r="C111" i="44"/>
  <c r="D111" i="44"/>
  <c r="E111" i="44"/>
  <c r="F111" i="44"/>
  <c r="G111" i="44"/>
  <c r="H111" i="44"/>
  <c r="I111" i="44"/>
  <c r="J111" i="44"/>
  <c r="K111" i="44"/>
  <c r="L111" i="44"/>
  <c r="M111" i="44"/>
  <c r="N111" i="44"/>
  <c r="O111" i="44"/>
  <c r="P111" i="44"/>
  <c r="Q111" i="44"/>
  <c r="Q110" i="19"/>
  <c r="H110" i="18"/>
  <c r="I110" i="18"/>
  <c r="J110" i="18"/>
  <c r="Q110" i="17"/>
  <c r="Q110" i="16"/>
  <c r="H110" i="16"/>
  <c r="Q110" i="15"/>
  <c r="H110" i="15"/>
  <c r="H110" i="14"/>
  <c r="G110" i="14"/>
  <c r="F110" i="12"/>
  <c r="G110" i="12"/>
  <c r="H110" i="12"/>
  <c r="I110" i="12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B110" i="11"/>
  <c r="H110" i="9"/>
  <c r="G110" i="9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N110" i="26"/>
  <c r="N111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1" i="40"/>
  <c r="I111" i="40"/>
  <c r="G112" i="33"/>
  <c r="H111" i="33"/>
  <c r="I111" i="33"/>
  <c r="J112" i="33"/>
  <c r="J110" i="32"/>
  <c r="J111" i="32" s="1"/>
  <c r="I112" i="32"/>
  <c r="H110" i="32"/>
  <c r="H111" i="32" s="1"/>
  <c r="H112" i="31"/>
  <c r="I111" i="31"/>
  <c r="J110" i="31"/>
  <c r="J111" i="31" s="1"/>
  <c r="G112" i="31"/>
  <c r="J110" i="30"/>
  <c r="J111" i="30" s="1"/>
  <c r="I112" i="30"/>
  <c r="H110" i="30"/>
  <c r="H112" i="30" s="1"/>
  <c r="J112" i="29"/>
  <c r="I112" i="29"/>
  <c r="H110" i="29"/>
  <c r="H112" i="29" s="1"/>
  <c r="J111" i="28"/>
  <c r="I110" i="28"/>
  <c r="I112" i="28" s="1"/>
  <c r="H111" i="28"/>
  <c r="I112" i="27"/>
  <c r="C110" i="27"/>
  <c r="C111" i="27" s="1"/>
  <c r="D110" i="27"/>
  <c r="D111" i="27" s="1"/>
  <c r="E110" i="27"/>
  <c r="F110" i="27"/>
  <c r="F112" i="27" s="1"/>
  <c r="G112" i="27"/>
  <c r="H111" i="27"/>
  <c r="J110" i="27"/>
  <c r="K110" i="27"/>
  <c r="L110" i="27"/>
  <c r="L112" i="27" s="1"/>
  <c r="M110" i="27"/>
  <c r="N110" i="27"/>
  <c r="O110" i="27"/>
  <c r="O111" i="27" s="1"/>
  <c r="P110" i="27"/>
  <c r="P112" i="27" s="1"/>
  <c r="Q110" i="27"/>
  <c r="Q111" i="26"/>
  <c r="Q111" i="25"/>
  <c r="O112" i="25"/>
  <c r="N111" i="25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2" i="22"/>
  <c r="G111" i="22"/>
  <c r="J110" i="21"/>
  <c r="J111" i="21" s="1"/>
  <c r="I110" i="21"/>
  <c r="I111" i="21" s="1"/>
  <c r="H111" i="21"/>
  <c r="H110" i="20"/>
  <c r="H112" i="20" s="1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1" i="16"/>
  <c r="I110" i="16"/>
  <c r="I111" i="16" s="1"/>
  <c r="J110" i="16"/>
  <c r="J111" i="16" s="1"/>
  <c r="Q111" i="16"/>
  <c r="H111" i="15"/>
  <c r="I110" i="15"/>
  <c r="I111" i="15" s="1"/>
  <c r="J110" i="15"/>
  <c r="J112" i="15" s="1"/>
  <c r="Q111" i="15"/>
  <c r="J110" i="14"/>
  <c r="J111" i="14" s="1"/>
  <c r="H112" i="14"/>
  <c r="D112" i="11"/>
  <c r="C112" i="11"/>
  <c r="B111" i="11"/>
  <c r="J110" i="13"/>
  <c r="J112" i="13" s="1"/>
  <c r="H110" i="13"/>
  <c r="H112" i="13" s="1"/>
  <c r="F111" i="12"/>
  <c r="J110" i="12"/>
  <c r="J112" i="12" s="1"/>
  <c r="H111" i="12"/>
  <c r="I112" i="12"/>
  <c r="J111" i="11"/>
  <c r="I111" i="11"/>
  <c r="H111" i="11"/>
  <c r="G112" i="11"/>
  <c r="J110" i="10"/>
  <c r="J112" i="10"/>
  <c r="I110" i="10"/>
  <c r="I111" i="10"/>
  <c r="H110" i="10"/>
  <c r="H112" i="10"/>
  <c r="J110" i="9"/>
  <c r="J111" i="9"/>
  <c r="I110" i="9"/>
  <c r="I111" i="9" s="1"/>
  <c r="H111" i="9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E110" i="2"/>
  <c r="E112" i="2" s="1"/>
  <c r="F110" i="2"/>
  <c r="F111" i="2" s="1"/>
  <c r="G110" i="2"/>
  <c r="G112" i="2" s="1"/>
  <c r="H110" i="2"/>
  <c r="H112" i="2" s="1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Q45" i="39" s="1"/>
  <c r="P108" i="41"/>
  <c r="O108" i="41"/>
  <c r="O38" i="39" s="1"/>
  <c r="O45" i="39" s="1"/>
  <c r="N108" i="41"/>
  <c r="N38" i="39" s="1"/>
  <c r="N45" i="39" s="1"/>
  <c r="M108" i="41"/>
  <c r="M38" i="39" s="1"/>
  <c r="M45" i="39" s="1"/>
  <c r="L108" i="41"/>
  <c r="L38" i="39" s="1"/>
  <c r="L45" i="39" s="1"/>
  <c r="K108" i="41"/>
  <c r="K38" i="39" s="1"/>
  <c r="K45" i="39" s="1"/>
  <c r="J108" i="41"/>
  <c r="I108" i="41"/>
  <c r="I38" i="39" s="1"/>
  <c r="I45" i="39" s="1"/>
  <c r="H108" i="41"/>
  <c r="G108" i="41"/>
  <c r="F108" i="41"/>
  <c r="E108" i="41"/>
  <c r="D108" i="41"/>
  <c r="C108" i="41"/>
  <c r="B108" i="41"/>
  <c r="B38" i="39" s="1"/>
  <c r="B45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2" i="40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J37" i="39" s="1"/>
  <c r="I108" i="40"/>
  <c r="I37" i="39" s="1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/>
  <c r="E110" i="32"/>
  <c r="E111" i="32" s="1"/>
  <c r="D110" i="32"/>
  <c r="D112" i="32" s="1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0" i="29"/>
  <c r="G111" i="29"/>
  <c r="F110" i="29"/>
  <c r="F111" i="29" s="1"/>
  <c r="E110" i="29"/>
  <c r="E112" i="29" s="1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K32" i="39" s="1"/>
  <c r="J108" i="29"/>
  <c r="I108" i="29"/>
  <c r="I32" i="39" s="1"/>
  <c r="H108" i="29"/>
  <c r="G108" i="29"/>
  <c r="F108" i="29"/>
  <c r="E108" i="29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N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F30" i="39" s="1"/>
  <c r="E108" i="27"/>
  <c r="E30" i="39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D29" i="39" s="1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J28" i="39" s="1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/>
  <c r="O110" i="24"/>
  <c r="O112" i="24" s="1"/>
  <c r="N110" i="24"/>
  <c r="N111" i="24" s="1"/>
  <c r="M110" i="24"/>
  <c r="M112" i="24" s="1"/>
  <c r="L110" i="24"/>
  <c r="L112" i="24" s="1"/>
  <c r="K110" i="24"/>
  <c r="K111" i="24" s="1"/>
  <c r="G110" i="24"/>
  <c r="G112" i="24" s="1"/>
  <c r="F110" i="24"/>
  <c r="F112" i="24"/>
  <c r="E110" i="24"/>
  <c r="E112" i="24" s="1"/>
  <c r="D110" i="24"/>
  <c r="D112" i="24" s="1"/>
  <c r="C110" i="24"/>
  <c r="C111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 s="1"/>
  <c r="J108" i="24"/>
  <c r="J27" i="39" s="1"/>
  <c r="I108" i="24"/>
  <c r="H108" i="24"/>
  <c r="H27" i="39" s="1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/>
  <c r="O110" i="23"/>
  <c r="O112" i="23" s="1"/>
  <c r="N110" i="23"/>
  <c r="N111" i="23" s="1"/>
  <c r="M110" i="23"/>
  <c r="M112" i="23" s="1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G26" i="39" s="1"/>
  <c r="F108" i="23"/>
  <c r="F26" i="39" s="1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1" i="21" s="1"/>
  <c r="G112" i="21"/>
  <c r="F110" i="21"/>
  <c r="F112" i="21"/>
  <c r="E110" i="21"/>
  <c r="E112" i="21" s="1"/>
  <c r="D110" i="21"/>
  <c r="D111" i="21" s="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/>
  <c r="M108" i="21"/>
  <c r="M24" i="39"/>
  <c r="L108" i="21"/>
  <c r="L24" i="39"/>
  <c r="K108" i="21"/>
  <c r="K24" i="39"/>
  <c r="J108" i="21"/>
  <c r="J24" i="39"/>
  <c r="I108" i="21"/>
  <c r="I24" i="39" s="1"/>
  <c r="H108" i="21"/>
  <c r="G108" i="21"/>
  <c r="F108" i="21"/>
  <c r="F24" i="39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/>
  <c r="N110" i="20"/>
  <c r="N111" i="20" s="1"/>
  <c r="M110" i="20"/>
  <c r="M112" i="20" s="1"/>
  <c r="L110" i="20"/>
  <c r="L112" i="20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I23" i="39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/>
  <c r="L110" i="19"/>
  <c r="L112" i="19"/>
  <c r="K110" i="19"/>
  <c r="K111" i="19" s="1"/>
  <c r="G110" i="19"/>
  <c r="G112" i="19" s="1"/>
  <c r="F110" i="19"/>
  <c r="F112" i="19"/>
  <c r="E110" i="19"/>
  <c r="E111" i="19" s="1"/>
  <c r="D110" i="19"/>
  <c r="D112" i="19" s="1"/>
  <c r="C110" i="19"/>
  <c r="C111" i="19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N22" i="39" s="1"/>
  <c r="M108" i="19"/>
  <c r="M22" i="39" s="1"/>
  <c r="L108" i="19"/>
  <c r="K108" i="19"/>
  <c r="K22" i="39" s="1"/>
  <c r="J108" i="19"/>
  <c r="I108" i="19"/>
  <c r="I22" i="39" s="1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/>
  <c r="K110" i="18"/>
  <c r="K112" i="18" s="1"/>
  <c r="J111" i="18"/>
  <c r="I112" i="18"/>
  <c r="H111" i="18"/>
  <c r="G110" i="18"/>
  <c r="G111" i="18"/>
  <c r="F110" i="18"/>
  <c r="F112" i="18" s="1"/>
  <c r="E110" i="18"/>
  <c r="E112" i="18" s="1"/>
  <c r="D110" i="18"/>
  <c r="D112" i="18" s="1"/>
  <c r="C110" i="18"/>
  <c r="C111" i="18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2" i="17" s="1"/>
  <c r="E110" i="17"/>
  <c r="E112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P110" i="16"/>
  <c r="P112" i="16" s="1"/>
  <c r="O110" i="16"/>
  <c r="O112" i="16" s="1"/>
  <c r="N110" i="16"/>
  <c r="N112" i="16" s="1"/>
  <c r="M110" i="16"/>
  <c r="M112" i="16" s="1"/>
  <c r="L110" i="16"/>
  <c r="L112" i="16"/>
  <c r="K110" i="16"/>
  <c r="K112" i="16" s="1"/>
  <c r="G110" i="16"/>
  <c r="G111" i="16" s="1"/>
  <c r="F110" i="16"/>
  <c r="F112" i="16"/>
  <c r="E110" i="16"/>
  <c r="E112" i="16" s="1"/>
  <c r="D110" i="16"/>
  <c r="D112" i="16" s="1"/>
  <c r="C110" i="16"/>
  <c r="C112" i="16" s="1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 s="1"/>
  <c r="O110" i="15"/>
  <c r="O112" i="15" s="1"/>
  <c r="N110" i="15"/>
  <c r="N111" i="15" s="1"/>
  <c r="M110" i="15"/>
  <c r="M112" i="15"/>
  <c r="L110" i="15"/>
  <c r="L111" i="15"/>
  <c r="K110" i="15"/>
  <c r="K112" i="15"/>
  <c r="G110" i="15"/>
  <c r="G111" i="15"/>
  <c r="F110" i="15"/>
  <c r="F112" i="15"/>
  <c r="E110" i="15"/>
  <c r="E112" i="15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H18" i="39" s="1"/>
  <c r="G108" i="15"/>
  <c r="G18" i="39" s="1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2" i="14"/>
  <c r="F110" i="14"/>
  <c r="F111" i="14" s="1"/>
  <c r="E110" i="14"/>
  <c r="E112" i="14" s="1"/>
  <c r="D110" i="14"/>
  <c r="D112" i="14" s="1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/>
  <c r="N110" i="12"/>
  <c r="N111" i="12" s="1"/>
  <c r="M110" i="12"/>
  <c r="M111" i="12"/>
  <c r="L110" i="12"/>
  <c r="L112" i="12" s="1"/>
  <c r="K110" i="12"/>
  <c r="K111" i="12" s="1"/>
  <c r="G111" i="12"/>
  <c r="E110" i="12"/>
  <c r="E112" i="12" s="1"/>
  <c r="D110" i="12"/>
  <c r="D112" i="12" s="1"/>
  <c r="C110" i="12"/>
  <c r="C112" i="12" s="1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/>
  <c r="L108" i="12"/>
  <c r="L15" i="39" s="1"/>
  <c r="K108" i="12"/>
  <c r="K15" i="39" s="1"/>
  <c r="J108" i="12"/>
  <c r="I108" i="12"/>
  <c r="I15" i="39" s="1"/>
  <c r="H108" i="12"/>
  <c r="G108" i="12"/>
  <c r="G15" i="39" s="1"/>
  <c r="F108" i="12"/>
  <c r="E108" i="12"/>
  <c r="E15" i="39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1" i="11"/>
  <c r="P112" i="11"/>
  <c r="O112" i="11"/>
  <c r="N112" i="11"/>
  <c r="M112" i="11"/>
  <c r="L112" i="11"/>
  <c r="K112" i="11"/>
  <c r="F111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/>
  <c r="M108" i="11"/>
  <c r="M14" i="39" s="1"/>
  <c r="L108" i="11"/>
  <c r="L14" i="39" s="1"/>
  <c r="K108" i="11"/>
  <c r="K14" i="39" s="1"/>
  <c r="J108" i="11"/>
  <c r="J14" i="39" s="1"/>
  <c r="I108" i="11"/>
  <c r="H108" i="11"/>
  <c r="H14" i="39" s="1"/>
  <c r="G108" i="11"/>
  <c r="G14" i="39" s="1"/>
  <c r="F108" i="11"/>
  <c r="F14" i="39" s="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2" i="9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/>
  <c r="I108" i="3"/>
  <c r="I10" i="39"/>
  <c r="H108" i="3"/>
  <c r="H10" i="39" s="1"/>
  <c r="G108" i="3"/>
  <c r="G10" i="39" s="1"/>
  <c r="F108" i="3"/>
  <c r="F10" i="39" s="1"/>
  <c r="E108" i="3"/>
  <c r="E10" i="39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Q112" i="2"/>
  <c r="T40" i="6"/>
  <c r="T21" i="6"/>
  <c r="K88" i="6"/>
  <c r="J88" i="6"/>
  <c r="K115" i="6"/>
  <c r="J115" i="6"/>
  <c r="I115" i="6"/>
  <c r="L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P45" i="39" s="1"/>
  <c r="J38" i="39"/>
  <c r="J45" i="39" s="1"/>
  <c r="H38" i="39"/>
  <c r="H45" i="39" s="1"/>
  <c r="G38" i="39"/>
  <c r="G45" i="39" s="1"/>
  <c r="F38" i="39"/>
  <c r="F45" i="39" s="1"/>
  <c r="E38" i="39"/>
  <c r="E45" i="39" s="1"/>
  <c r="D38" i="39"/>
  <c r="D45" i="39" s="1"/>
  <c r="C38" i="39"/>
  <c r="C45" i="39" s="1"/>
  <c r="O37" i="39"/>
  <c r="N37" i="39"/>
  <c r="M37" i="39"/>
  <c r="L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L22" i="39"/>
  <c r="G22" i="39"/>
  <c r="C22" i="39"/>
  <c r="Q21" i="39"/>
  <c r="P21" i="39"/>
  <c r="G21" i="39"/>
  <c r="F21" i="39"/>
  <c r="C21" i="39"/>
  <c r="A21" i="39"/>
  <c r="E20" i="39"/>
  <c r="L19" i="39"/>
  <c r="K19" i="39"/>
  <c r="G19" i="39"/>
  <c r="B19" i="39"/>
  <c r="L18" i="39"/>
  <c r="I18" i="39"/>
  <c r="E18" i="39"/>
  <c r="D18" i="39"/>
  <c r="P17" i="39"/>
  <c r="M17" i="39"/>
  <c r="L17" i="39"/>
  <c r="A17" i="39"/>
  <c r="P16" i="39"/>
  <c r="L16" i="39"/>
  <c r="I16" i="39"/>
  <c r="F16" i="39"/>
  <c r="E16" i="39"/>
  <c r="D16" i="39"/>
  <c r="C16" i="39"/>
  <c r="B16" i="39"/>
  <c r="N15" i="39"/>
  <c r="H15" i="39"/>
  <c r="F15" i="39"/>
  <c r="I14" i="39"/>
  <c r="E14" i="39"/>
  <c r="D14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P35" i="39"/>
  <c r="G35" i="39"/>
  <c r="C35" i="39"/>
  <c r="M34" i="39"/>
  <c r="K34" i="39"/>
  <c r="J34" i="39"/>
  <c r="I34" i="39"/>
  <c r="H34" i="39"/>
  <c r="F34" i="39"/>
  <c r="L33" i="39"/>
  <c r="J33" i="39"/>
  <c r="I33" i="39"/>
  <c r="H33" i="39"/>
  <c r="F33" i="39"/>
  <c r="B33" i="39"/>
  <c r="Q32" i="39"/>
  <c r="O32" i="39"/>
  <c r="N32" i="39"/>
  <c r="G32" i="39"/>
  <c r="F32" i="39"/>
  <c r="E32" i="39"/>
  <c r="B32" i="39"/>
  <c r="Q31" i="39"/>
  <c r="M31" i="39"/>
  <c r="J31" i="39"/>
  <c r="I31" i="39"/>
  <c r="F31" i="39"/>
  <c r="P30" i="39"/>
  <c r="M30" i="39"/>
  <c r="L30" i="39"/>
  <c r="I30" i="39"/>
  <c r="C30" i="39"/>
  <c r="B30" i="39"/>
  <c r="Q29" i="39"/>
  <c r="M29" i="39"/>
  <c r="K29" i="39"/>
  <c r="I29" i="39"/>
  <c r="H29" i="39"/>
  <c r="G29" i="39"/>
  <c r="F29" i="39"/>
  <c r="E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G27" i="39"/>
  <c r="B27" i="39"/>
  <c r="O26" i="39"/>
  <c r="I25" i="39"/>
  <c r="P24" i="39"/>
  <c r="H24" i="39"/>
  <c r="N23" i="39"/>
  <c r="C23" i="39"/>
  <c r="O22" i="39"/>
  <c r="D22" i="39"/>
  <c r="D20" i="39"/>
  <c r="F18" i="39"/>
  <c r="E17" i="39"/>
  <c r="M16" i="39"/>
  <c r="K16" i="39"/>
  <c r="J15" i="39"/>
  <c r="Q12" i="39"/>
  <c r="B12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O18" i="39"/>
  <c r="B17" i="39"/>
  <c r="K28" i="6"/>
  <c r="J28" i="6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G111" i="41"/>
  <c r="F111" i="41"/>
  <c r="D111" i="41"/>
  <c r="C111" i="41"/>
  <c r="B111" i="41"/>
  <c r="Q111" i="40"/>
  <c r="O111" i="40"/>
  <c r="M111" i="40"/>
  <c r="K111" i="40"/>
  <c r="G111" i="40"/>
  <c r="F111" i="40"/>
  <c r="B111" i="40"/>
  <c r="P111" i="33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D111" i="29"/>
  <c r="C111" i="29"/>
  <c r="B111" i="29"/>
  <c r="N111" i="28"/>
  <c r="M111" i="28"/>
  <c r="L111" i="28"/>
  <c r="G111" i="28"/>
  <c r="E111" i="28"/>
  <c r="D111" i="28"/>
  <c r="C111" i="28"/>
  <c r="N111" i="27"/>
  <c r="M111" i="27"/>
  <c r="E111" i="27"/>
  <c r="B111" i="27"/>
  <c r="L111" i="26"/>
  <c r="K111" i="26"/>
  <c r="P111" i="24"/>
  <c r="O111" i="24"/>
  <c r="M111" i="24"/>
  <c r="L111" i="24"/>
  <c r="Q111" i="24"/>
  <c r="F111" i="24"/>
  <c r="E111" i="24"/>
  <c r="B111" i="24"/>
  <c r="P111" i="23"/>
  <c r="M111" i="23"/>
  <c r="K111" i="23"/>
  <c r="H111" i="23"/>
  <c r="E111" i="23"/>
  <c r="D111" i="23"/>
  <c r="B111" i="23"/>
  <c r="P111" i="22"/>
  <c r="M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L111" i="18"/>
  <c r="I111" i="18"/>
  <c r="F111" i="18"/>
  <c r="D111" i="18"/>
  <c r="O111" i="17"/>
  <c r="B111" i="17"/>
  <c r="N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D111" i="2"/>
  <c r="L112" i="10"/>
  <c r="E111" i="10"/>
  <c r="L111" i="9"/>
  <c r="G111" i="9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Q111" i="27"/>
  <c r="Q112" i="26"/>
  <c r="G111" i="26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O111" i="9"/>
  <c r="D111" i="10"/>
  <c r="O112" i="10"/>
  <c r="H111" i="10"/>
  <c r="M112" i="12"/>
  <c r="D112" i="13"/>
  <c r="O112" i="13"/>
  <c r="B112" i="13"/>
  <c r="M112" i="13"/>
  <c r="D111" i="14"/>
  <c r="O112" i="14"/>
  <c r="L112" i="15"/>
  <c r="G112" i="15"/>
  <c r="H112" i="16"/>
  <c r="B111" i="16"/>
  <c r="M111" i="16"/>
  <c r="K111" i="16"/>
  <c r="M112" i="18"/>
  <c r="C112" i="18"/>
  <c r="K111" i="18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F112" i="11"/>
  <c r="K112" i="14"/>
  <c r="P112" i="17"/>
  <c r="C112" i="24"/>
  <c r="L112" i="29"/>
  <c r="C112" i="40"/>
  <c r="K111" i="3"/>
  <c r="F112" i="2"/>
  <c r="J112" i="16"/>
  <c r="I111" i="19"/>
  <c r="G111" i="27"/>
  <c r="H112" i="33"/>
  <c r="G112" i="13"/>
  <c r="B112" i="21"/>
  <c r="B112" i="22"/>
  <c r="N112" i="22"/>
  <c r="N112" i="23"/>
  <c r="K112" i="28"/>
  <c r="G111" i="30"/>
  <c r="L112" i="32"/>
  <c r="B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O112" i="8"/>
  <c r="J112" i="9"/>
  <c r="I111" i="12"/>
  <c r="I111" i="23"/>
  <c r="E111" i="25"/>
  <c r="M112" i="25"/>
  <c r="F112" i="26"/>
  <c r="J112" i="30"/>
  <c r="L112" i="41" l="1"/>
  <c r="K111" i="41"/>
  <c r="N112" i="33"/>
  <c r="J111" i="33"/>
  <c r="G112" i="32"/>
  <c r="E112" i="32"/>
  <c r="N111" i="31"/>
  <c r="O111" i="31"/>
  <c r="E111" i="29"/>
  <c r="O111" i="28"/>
  <c r="P111" i="27"/>
  <c r="O112" i="27"/>
  <c r="C112" i="27"/>
  <c r="N112" i="26"/>
  <c r="D111" i="24"/>
  <c r="J112" i="24"/>
  <c r="C111" i="23"/>
  <c r="K111" i="22"/>
  <c r="I112" i="20"/>
  <c r="K112" i="19"/>
  <c r="E111" i="18"/>
  <c r="N111" i="18"/>
  <c r="F111" i="17"/>
  <c r="D112" i="17"/>
  <c r="O111" i="16"/>
  <c r="H112" i="15"/>
  <c r="I112" i="15"/>
  <c r="F112" i="14"/>
  <c r="H111" i="13"/>
  <c r="K112" i="12"/>
  <c r="N112" i="12"/>
  <c r="H112" i="11"/>
  <c r="B112" i="11"/>
  <c r="C111" i="10"/>
  <c r="G111" i="10"/>
  <c r="K111" i="10"/>
  <c r="Q112" i="10"/>
  <c r="M112" i="10"/>
  <c r="K42" i="39"/>
  <c r="J42" i="39"/>
  <c r="D112" i="9"/>
  <c r="K44" i="39"/>
  <c r="K47" i="39"/>
  <c r="E111" i="2"/>
  <c r="J43" i="39"/>
  <c r="K43" i="39"/>
  <c r="O112" i="2"/>
  <c r="K41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2" i="39"/>
  <c r="H44" i="39"/>
  <c r="H43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K46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<sst xmlns="http://schemas.openxmlformats.org/spreadsheetml/2006/main" count="5868" uniqueCount="3224">
  <si>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</si>
  <si>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</si>
  <si>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</si>
  <si>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</si>
  <si>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</si>
  <si>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</si>
  <si>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</si>
  <si>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</si>
  <si>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</si>
  <si>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</si>
  <si>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</si>
  <si>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</si>
  <si>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</si>
  <si>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</si>
  <si>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</si>
  <si>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</si>
  <si>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</si>
  <si>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</si>
  <si>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</si>
  <si>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</si>
  <si>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</si>
  <si>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</si>
  <si>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</si>
  <si>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</si>
  <si>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</si>
  <si>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</si>
  <si>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</si>
  <si>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</si>
  <si>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</si>
  <si>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</si>
  <si>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</si>
  <si>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</si>
  <si>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</si>
  <si>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</si>
  <si>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</si>
  <si>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</si>
  <si>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</si>
  <si>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</si>
  <si>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</si>
  <si>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</si>
  <si>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</si>
  <si>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</si>
  <si>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</si>
  <si>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</si>
  <si>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</si>
  <si>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</si>
  <si>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</si>
  <si>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</si>
  <si>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</si>
  <si>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</si>
  <si>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</si>
  <si>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</si>
  <si>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</si>
  <si>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</si>
  <si>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</si>
  <si>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</si>
  <si>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</si>
  <si>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</si>
  <si>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</si>
  <si>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</si>
  <si>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</si>
  <si>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</si>
  <si>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</si>
  <si>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</si>
  <si>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</si>
  <si>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</si>
  <si>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</si>
  <si>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</si>
  <si>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</si>
  <si>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</si>
  <si>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</si>
  <si>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</si>
  <si>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</si>
  <si>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</si>
  <si>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</si>
  <si>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</si>
  <si>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</si>
  <si>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</si>
  <si>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</si>
  <si>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</si>
  <si>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</si>
  <si>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</si>
  <si>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</si>
  <si>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</si>
  <si>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</si>
  <si>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</si>
  <si>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</si>
  <si>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</si>
  <si>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</si>
  <si>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</si>
  <si>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</si>
  <si>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</si>
  <si>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</si>
  <si>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</si>
  <si>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</si>
  <si>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</si>
  <si>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</si>
  <si>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</si>
  <si>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</si>
  <si>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</si>
  <si>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</si>
  <si>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</si>
  <si>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</si>
  <si>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</si>
  <si>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</si>
  <si>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</si>
  <si>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</si>
  <si>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</si>
  <si>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</si>
  <si>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</si>
  <si>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</si>
  <si>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</si>
  <si>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</si>
  <si>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</si>
  <si>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</si>
  <si>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</si>
  <si>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</si>
  <si>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</si>
  <si>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</si>
  <si>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</si>
  <si>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</si>
  <si>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</si>
  <si>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</si>
  <si>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</si>
  <si>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</si>
  <si>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</si>
  <si>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</si>
  <si>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</si>
  <si>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</si>
  <si>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</si>
  <si>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</si>
  <si>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</si>
  <si>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</si>
  <si>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</si>
  <si>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</si>
  <si>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</si>
  <si>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</si>
  <si>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</si>
  <si>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</si>
  <si>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</si>
  <si>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</si>
  <si>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</si>
  <si>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</si>
  <si>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</si>
  <si>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</si>
  <si>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</si>
  <si>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</si>
  <si>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</si>
  <si>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</si>
  <si>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</si>
  <si>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</si>
  <si>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</si>
  <si>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</si>
  <si>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</si>
  <si>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</si>
  <si>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</si>
  <si>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</si>
  <si>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</si>
  <si>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</si>
  <si>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</si>
  <si>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</si>
  <si>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</si>
  <si>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</si>
  <si>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</si>
  <si>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</si>
  <si>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</si>
  <si>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</si>
  <si>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</si>
  <si>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</si>
  <si>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</si>
  <si>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</si>
  <si>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</si>
  <si>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</si>
  <si>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</si>
  <si>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</si>
  <si>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</si>
  <si>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</si>
  <si>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</si>
  <si>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</si>
  <si>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</si>
  <si>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</si>
  <si>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</si>
  <si>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</si>
  <si>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</si>
  <si>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</si>
  <si>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</si>
  <si>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</si>
  <si>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</si>
  <si>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</si>
  <si>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</si>
  <si>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</si>
  <si>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</si>
  <si>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</si>
  <si>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</si>
  <si>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</si>
  <si>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</si>
  <si>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</si>
  <si>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</si>
  <si>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</si>
  <si>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</si>
  <si>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</si>
  <si>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</si>
  <si>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</si>
  <si>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</si>
  <si>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</si>
  <si>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</si>
  <si>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</si>
  <si>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</si>
  <si>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</si>
  <si>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</si>
  <si>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</si>
  <si>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</si>
  <si>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</si>
  <si>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</si>
  <si>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</si>
  <si>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</si>
  <si>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</si>
  <si>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</si>
  <si>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</si>
  <si>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</si>
  <si>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</si>
  <si>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</si>
  <si>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</si>
  <si>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</si>
  <si>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</si>
  <si>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</si>
  <si>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</si>
  <si>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Calibration report Of SILTARA, RAIPUR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</si>
  <si>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</si>
  <si>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</si>
  <si>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</si>
  <si>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</si>
  <si>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</si>
  <si>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</si>
  <si>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</si>
  <si>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</si>
  <si>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</si>
  <si>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</si>
  <si>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</si>
  <si>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</si>
  <si>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</si>
  <si>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</si>
  <si>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</si>
  <si>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</si>
  <si>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</si>
  <si>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</si>
  <si>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01/10/2024 00:15</t>
  </si>
  <si>
    <t>01/10/2024 00:30</t>
  </si>
  <si>
    <t>01/10/2024 00:45</t>
  </si>
  <si>
    <t>01/10/2024 01:00</t>
  </si>
  <si>
    <t>01/10/2024 01:15</t>
  </si>
  <si>
    <t>01/10/2024 01:30</t>
  </si>
  <si>
    <t>01/10/2024 01:45</t>
  </si>
  <si>
    <t>01/10/2024 02:00</t>
  </si>
  <si>
    <t>01/10/2024 02:15</t>
  </si>
  <si>
    <t>01/10/2024 02:30</t>
  </si>
  <si>
    <t>01/10/2024 02:45</t>
  </si>
  <si>
    <t>01/10/2024 03:00</t>
  </si>
  <si>
    <t>01/10/2024 03:15</t>
  </si>
  <si>
    <t>01/10/2024 03:30</t>
  </si>
  <si>
    <t>01/10/2024 03:45</t>
  </si>
  <si>
    <t>01/10/2024 04:00</t>
  </si>
  <si>
    <t>01/10/2024 04:15</t>
  </si>
  <si>
    <t>01/10/2024 04:30</t>
  </si>
  <si>
    <t>01/10/2024 04:45</t>
  </si>
  <si>
    <t>01/10/2024 05:00</t>
  </si>
  <si>
    <t>01/10/2024 05:15</t>
  </si>
  <si>
    <t>01/10/2024 05:30</t>
  </si>
  <si>
    <t>01/10/2024 05:45</t>
  </si>
  <si>
    <t>01/10/2024 06:00</t>
  </si>
  <si>
    <t>01/10/2024 06:15</t>
  </si>
  <si>
    <t>01/10/2024 06:30</t>
  </si>
  <si>
    <t>01/10/2024 06:45</t>
  </si>
  <si>
    <t>01/10/2024 07:00</t>
  </si>
  <si>
    <t>01/10/2024 07:15</t>
  </si>
  <si>
    <t>01/10/2024 07:30</t>
  </si>
  <si>
    <t>01/10/2024 07:45</t>
  </si>
  <si>
    <t>01/10/2024 08:00</t>
  </si>
  <si>
    <t>01/10/2024 08:15</t>
  </si>
  <si>
    <t>01/10/2024 08:30</t>
  </si>
  <si>
    <t>01/10/2024 08:45</t>
  </si>
  <si>
    <t>01/10/2024 09:00</t>
  </si>
  <si>
    <t>01/10/2024 09:15</t>
  </si>
  <si>
    <t>01/10/2024 09:30</t>
  </si>
  <si>
    <t>01/10/2024 09:45</t>
  </si>
  <si>
    <t>01/10/2024 10:00</t>
  </si>
  <si>
    <t>01/10/2024 10:15</t>
  </si>
  <si>
    <t>01/10/2024 10:30</t>
  </si>
  <si>
    <t>01/10/2024 10:45</t>
  </si>
  <si>
    <t>01/10/2024 11:00</t>
  </si>
  <si>
    <t>01/10/2024 11:15</t>
  </si>
  <si>
    <t>01/10/2024 11:30</t>
  </si>
  <si>
    <t>01/10/2024 11:45</t>
  </si>
  <si>
    <t>01/10/2024 12:00</t>
  </si>
  <si>
    <t>01/10/2024 12:15</t>
  </si>
  <si>
    <t>01/10/2024 12:30</t>
  </si>
  <si>
    <t>01/10/2024 12:45</t>
  </si>
  <si>
    <t>01/10/2024 13:00</t>
  </si>
  <si>
    <t>01/10/2024 13:15</t>
  </si>
  <si>
    <t>01/10/2024 13:30</t>
  </si>
  <si>
    <t>01/10/2024 13:45</t>
  </si>
  <si>
    <t>01/10/2024 14:00</t>
  </si>
  <si>
    <t>01/10/2024 14:15</t>
  </si>
  <si>
    <t>01/10/2024 14:30</t>
  </si>
  <si>
    <t>01/10/2024 14:45</t>
  </si>
  <si>
    <t>01/10/2024 15:00</t>
  </si>
  <si>
    <t>01/10/2024 15:15</t>
  </si>
  <si>
    <t>01/10/2024 15:30</t>
  </si>
  <si>
    <t>01/10/2024 15:45</t>
  </si>
  <si>
    <t>01/10/2024 16:00</t>
  </si>
  <si>
    <t>01/10/2024 16:15</t>
  </si>
  <si>
    <t>01/10/2024 16:30</t>
  </si>
  <si>
    <t>01/10/2024 16:45</t>
  </si>
  <si>
    <t>01/10/2024 17:00</t>
  </si>
  <si>
    <t>01/10/2024 17:15</t>
  </si>
  <si>
    <t>01/10/2024 17:30</t>
  </si>
  <si>
    <t>01/10/2024 17:45</t>
  </si>
  <si>
    <t>01/10/2024 18:00</t>
  </si>
  <si>
    <t>01/10/2024 18:15</t>
  </si>
  <si>
    <t>01/10/2024 18:30</t>
  </si>
  <si>
    <t>01/10/2024 18:45</t>
  </si>
  <si>
    <t>01/10/2024 19:00</t>
  </si>
  <si>
    <t>01/10/2024 19:15</t>
  </si>
  <si>
    <t>01/10/2024 19:30</t>
  </si>
  <si>
    <t>01/10/2024 19:45</t>
  </si>
  <si>
    <t>01/10/2024 20:00</t>
  </si>
  <si>
    <t>01/10/2024 20:15</t>
  </si>
  <si>
    <t>01/10/2024 20:30</t>
  </si>
  <si>
    <t>01/10/2024 20:45</t>
  </si>
  <si>
    <t>01/10/2024 21:00</t>
  </si>
  <si>
    <t>01/10/2024 21:15</t>
  </si>
  <si>
    <t>01/10/2024 21:30</t>
  </si>
  <si>
    <t>01/10/2024 21:45</t>
  </si>
  <si>
    <t>01/10/2024 22:00</t>
  </si>
  <si>
    <t>01/10/2024 22:15</t>
  </si>
  <si>
    <t>01/10/2024 22:30</t>
  </si>
  <si>
    <t>01/10/2024 22:45</t>
  </si>
  <si>
    <t>01/10/2024 23:00</t>
  </si>
  <si>
    <t>01/10/2024 23:15</t>
  </si>
  <si>
    <t>01/10/2024 23:30</t>
  </si>
  <si>
    <t>01/10/2024 23:45</t>
  </si>
  <si>
    <t>01/10/2024 24:00</t>
  </si>
  <si>
    <t>02/10/2024 00:15</t>
  </si>
  <si>
    <t>02/10/2024 00:30</t>
  </si>
  <si>
    <t>02/10/2024 00:45</t>
  </si>
  <si>
    <t>02/10/2024 01:00</t>
  </si>
  <si>
    <t>02/10/2024 01:15</t>
  </si>
  <si>
    <t>02/10/2024 01:30</t>
  </si>
  <si>
    <t>02/10/2024 01:45</t>
  </si>
  <si>
    <t>02/10/2024 02:00</t>
  </si>
  <si>
    <t>02/10/2024 02:15</t>
  </si>
  <si>
    <t>02/10/2024 02:30</t>
  </si>
  <si>
    <t>02/10/2024 02:45</t>
  </si>
  <si>
    <t>02/10/2024 03:00</t>
  </si>
  <si>
    <t>02/10/2024 03:15</t>
  </si>
  <si>
    <t>02/10/2024 03:30</t>
  </si>
  <si>
    <t>02/10/2024 03:45</t>
  </si>
  <si>
    <t>02/10/2024 04:00</t>
  </si>
  <si>
    <t>02/10/2024 04:15</t>
  </si>
  <si>
    <t>02/10/2024 04:30</t>
  </si>
  <si>
    <t>02/10/2024 04:45</t>
  </si>
  <si>
    <t>02/10/2024 05:00</t>
  </si>
  <si>
    <t>02/10/2024 05:15</t>
  </si>
  <si>
    <t>02/10/2024 05:30</t>
  </si>
  <si>
    <t>02/10/2024 05:45</t>
  </si>
  <si>
    <t>02/10/2024 06:00</t>
  </si>
  <si>
    <t>02/10/2024 06:15</t>
  </si>
  <si>
    <t>02/10/2024 06:30</t>
  </si>
  <si>
    <t>02/10/2024 06:45</t>
  </si>
  <si>
    <t>02/10/2024 07:00</t>
  </si>
  <si>
    <t>02/10/2024 07:15</t>
  </si>
  <si>
    <t>02/10/2024 07:30</t>
  </si>
  <si>
    <t>02/10/2024 07:45</t>
  </si>
  <si>
    <t>02/10/2024 08:00</t>
  </si>
  <si>
    <t>02/10/2024 08:15</t>
  </si>
  <si>
    <t>02/10/2024 08:30</t>
  </si>
  <si>
    <t>02/10/2024 08:45</t>
  </si>
  <si>
    <t>02/10/2024 09:00</t>
  </si>
  <si>
    <t>02/10/2024 09:15</t>
  </si>
  <si>
    <t>02/10/2024 09:30</t>
  </si>
  <si>
    <t>02/10/2024 09:45</t>
  </si>
  <si>
    <t>02/10/2024 10:00</t>
  </si>
  <si>
    <t>02/10/2024 10:15</t>
  </si>
  <si>
    <t>02/10/2024 10:30</t>
  </si>
  <si>
    <t>02/10/2024 10:45</t>
  </si>
  <si>
    <t>02/10/2024 11:00</t>
  </si>
  <si>
    <t>02/10/2024 11:15</t>
  </si>
  <si>
    <t>02/10/2024 11:30</t>
  </si>
  <si>
    <t>02/10/2024 11:45</t>
  </si>
  <si>
    <t>02/10/2024 12:00</t>
  </si>
  <si>
    <t>02/10/2024 12:15</t>
  </si>
  <si>
    <t>02/10/2024 12:30</t>
  </si>
  <si>
    <t>02/10/2024 12:45</t>
  </si>
  <si>
    <t>02/10/2024 13:00</t>
  </si>
  <si>
    <t>02/10/2024 13:15</t>
  </si>
  <si>
    <t>02/10/2024 13:30</t>
  </si>
  <si>
    <t>02/10/2024 13:45</t>
  </si>
  <si>
    <t>02/10/2024 14:00</t>
  </si>
  <si>
    <t>02/10/2024 14:15</t>
  </si>
  <si>
    <t>02/10/2024 14:30</t>
  </si>
  <si>
    <t>02/10/2024 14:45</t>
  </si>
  <si>
    <t>02/10/2024 15:00</t>
  </si>
  <si>
    <t>02/10/2024 15:15</t>
  </si>
  <si>
    <t>02/10/2024 15:30</t>
  </si>
  <si>
    <t>02/10/2024 15:45</t>
  </si>
  <si>
    <t>02/10/2024 16:00</t>
  </si>
  <si>
    <t>02/10/2024 16:15</t>
  </si>
  <si>
    <t>02/10/2024 16:30</t>
  </si>
  <si>
    <t>02/10/2024 16:45</t>
  </si>
  <si>
    <t>02/10/2024 17:00</t>
  </si>
  <si>
    <t>02/10/2024 17:15</t>
  </si>
  <si>
    <t>02/10/2024 17:30</t>
  </si>
  <si>
    <t>02/10/2024 17:45</t>
  </si>
  <si>
    <t>02/10/2024 18:00</t>
  </si>
  <si>
    <t>02/10/2024 18:15</t>
  </si>
  <si>
    <t>02/10/2024 18:30</t>
  </si>
  <si>
    <t>02/10/2024 18:45</t>
  </si>
  <si>
    <t>02/10/2024 19:00</t>
  </si>
  <si>
    <t>02/10/2024 19:15</t>
  </si>
  <si>
    <t>02/10/2024 19:30</t>
  </si>
  <si>
    <t>02/10/2024 19:45</t>
  </si>
  <si>
    <t>02/10/2024 20:00</t>
  </si>
  <si>
    <t>02/10/2024 20:15</t>
  </si>
  <si>
    <t>02/10/2024 20:30</t>
  </si>
  <si>
    <t>02/10/2024 20:45</t>
  </si>
  <si>
    <t>02/10/2024 21:00</t>
  </si>
  <si>
    <t>02/10/2024 21:15</t>
  </si>
  <si>
    <t>02/10/2024 21:30</t>
  </si>
  <si>
    <t>02/10/2024 21:45</t>
  </si>
  <si>
    <t>02/10/2024 22:00</t>
  </si>
  <si>
    <t>02/10/2024 22:15</t>
  </si>
  <si>
    <t>02/10/2024 22:30</t>
  </si>
  <si>
    <t>02/10/2024 22:45</t>
  </si>
  <si>
    <t>02/10/2024 23:00</t>
  </si>
  <si>
    <t>02/10/2024 23:15</t>
  </si>
  <si>
    <t>02/10/2024 23:30</t>
  </si>
  <si>
    <t>02/10/2024 23:45</t>
  </si>
  <si>
    <t>02/10/2024 24:00</t>
  </si>
  <si>
    <t>03/10/2024 00:15</t>
  </si>
  <si>
    <t>03/10/2024 00:30</t>
  </si>
  <si>
    <t>03/10/2024 00:45</t>
  </si>
  <si>
    <t>03/10/2024 01:00</t>
  </si>
  <si>
    <t>03/10/2024 01:15</t>
  </si>
  <si>
    <t>03/10/2024 01:30</t>
  </si>
  <si>
    <t>03/10/2024 01:45</t>
  </si>
  <si>
    <t>03/10/2024 02:00</t>
  </si>
  <si>
    <t>03/10/2024 02:15</t>
  </si>
  <si>
    <t>03/10/2024 02:30</t>
  </si>
  <si>
    <t>03/10/2024 02:45</t>
  </si>
  <si>
    <t>03/10/2024 03:00</t>
  </si>
  <si>
    <t>03/10/2024 03:15</t>
  </si>
  <si>
    <t>03/10/2024 03:30</t>
  </si>
  <si>
    <t>03/10/2024 03:45</t>
  </si>
  <si>
    <t>03/10/2024 04:00</t>
  </si>
  <si>
    <t>03/10/2024 04:15</t>
  </si>
  <si>
    <t>03/10/2024 04:30</t>
  </si>
  <si>
    <t>03/10/2024 04:45</t>
  </si>
  <si>
    <t>03/10/2024 05:00</t>
  </si>
  <si>
    <t>03/10/2024 05:15</t>
  </si>
  <si>
    <t>03/10/2024 05:30</t>
  </si>
  <si>
    <t>03/10/2024 05:45</t>
  </si>
  <si>
    <t>03/10/2024 06:00</t>
  </si>
  <si>
    <t>03/10/2024 06:15</t>
  </si>
  <si>
    <t>03/10/2024 06:30</t>
  </si>
  <si>
    <t>03/10/2024 06:45</t>
  </si>
  <si>
    <t>03/10/2024 07:00</t>
  </si>
  <si>
    <t>03/10/2024 07:15</t>
  </si>
  <si>
    <t>03/10/2024 07:30</t>
  </si>
  <si>
    <t>03/10/2024 07:45</t>
  </si>
  <si>
    <t>03/10/2024 08:00</t>
  </si>
  <si>
    <t>03/10/2024 08:15</t>
  </si>
  <si>
    <t>03/10/2024 08:30</t>
  </si>
  <si>
    <t>03/10/2024 08:45</t>
  </si>
  <si>
    <t>03/10/2024 09:00</t>
  </si>
  <si>
    <t>03/10/2024 09:15</t>
  </si>
  <si>
    <t>03/10/2024 09:30</t>
  </si>
  <si>
    <t>03/10/2024 09:45</t>
  </si>
  <si>
    <t>03/10/2024 10:00</t>
  </si>
  <si>
    <t>03/10/2024 10:15</t>
  </si>
  <si>
    <t>03/10/2024 10:30</t>
  </si>
  <si>
    <t>03/10/2024 10:45</t>
  </si>
  <si>
    <t>03/10/2024 11:00</t>
  </si>
  <si>
    <t>03/10/2024 11:15</t>
  </si>
  <si>
    <t>03/10/2024 11:30</t>
  </si>
  <si>
    <t>03/10/2024 11:45</t>
  </si>
  <si>
    <t>03/10/2024 12:00</t>
  </si>
  <si>
    <t>03/10/2024 12:15</t>
  </si>
  <si>
    <t>03/10/2024 12:30</t>
  </si>
  <si>
    <t>03/10/2024 12:45</t>
  </si>
  <si>
    <t>03/10/2024 13:00</t>
  </si>
  <si>
    <t>03/10/2024 13:15</t>
  </si>
  <si>
    <t>03/10/2024 13:30</t>
  </si>
  <si>
    <t>03/10/2024 13:45</t>
  </si>
  <si>
    <t>03/10/2024 14:00</t>
  </si>
  <si>
    <t>03/10/2024 14:15</t>
  </si>
  <si>
    <t>03/10/2024 14:30</t>
  </si>
  <si>
    <t>03/10/2024 14:45</t>
  </si>
  <si>
    <t>03/10/2024 15:00</t>
  </si>
  <si>
    <t>03/10/2024 15:15</t>
  </si>
  <si>
    <t>03/10/2024 15:30</t>
  </si>
  <si>
    <t>03/10/2024 15:45</t>
  </si>
  <si>
    <t>03/10/2024 16:00</t>
  </si>
  <si>
    <t>03/10/2024 16:15</t>
  </si>
  <si>
    <t>03/10/2024 16:30</t>
  </si>
  <si>
    <t>03/10/2024 16:45</t>
  </si>
  <si>
    <t>03/10/2024 17:00</t>
  </si>
  <si>
    <t>03/10/2024 17:15</t>
  </si>
  <si>
    <t>03/10/2024 17:30</t>
  </si>
  <si>
    <t>03/10/2024 17:45</t>
  </si>
  <si>
    <t>03/10/2024 18:00</t>
  </si>
  <si>
    <t>03/10/2024 18:15</t>
  </si>
  <si>
    <t>03/10/2024 18:30</t>
  </si>
  <si>
    <t>03/10/2024 18:45</t>
  </si>
  <si>
    <t>03/10/2024 19:00</t>
  </si>
  <si>
    <t>03/10/2024 19:15</t>
  </si>
  <si>
    <t>03/10/2024 19:30</t>
  </si>
  <si>
    <t>03/10/2024 19:45</t>
  </si>
  <si>
    <t>03/10/2024 20:00</t>
  </si>
  <si>
    <t>03/10/2024 20:15</t>
  </si>
  <si>
    <t>03/10/2024 20:30</t>
  </si>
  <si>
    <t>03/10/2024 20:45</t>
  </si>
  <si>
    <t>03/10/2024 21:00</t>
  </si>
  <si>
    <t>03/10/2024 21:15</t>
  </si>
  <si>
    <t>03/10/2024 21:30</t>
  </si>
  <si>
    <t>03/10/2024 21:45</t>
  </si>
  <si>
    <t>03/10/2024 22:00</t>
  </si>
  <si>
    <t>03/10/2024 22:15</t>
  </si>
  <si>
    <t>03/10/2024 22:30</t>
  </si>
  <si>
    <t>03/10/2024 22:45</t>
  </si>
  <si>
    <t>03/10/2024 23:00</t>
  </si>
  <si>
    <t>03/10/2024 23:15</t>
  </si>
  <si>
    <t>03/10/2024 23:30</t>
  </si>
  <si>
    <t>03/10/2024 23:45</t>
  </si>
  <si>
    <t>03/10/2024 24:00</t>
  </si>
  <si>
    <t>04/10/2024 00:15</t>
  </si>
  <si>
    <t>04/10/2024 00:30</t>
  </si>
  <si>
    <t>04/10/2024 00:45</t>
  </si>
  <si>
    <t>04/10/2024 01:00</t>
  </si>
  <si>
    <t>04/10/2024 01:15</t>
  </si>
  <si>
    <t>04/10/2024 01:30</t>
  </si>
  <si>
    <t>04/10/2024 01:45</t>
  </si>
  <si>
    <t>04/10/2024 02:00</t>
  </si>
  <si>
    <t>04/10/2024 02:15</t>
  </si>
  <si>
    <t>04/10/2024 02:30</t>
  </si>
  <si>
    <t>04/10/2024 02:45</t>
  </si>
  <si>
    <t>04/10/2024 03:00</t>
  </si>
  <si>
    <t>04/10/2024 03:15</t>
  </si>
  <si>
    <t>04/10/2024 03:30</t>
  </si>
  <si>
    <t>04/10/2024 03:45</t>
  </si>
  <si>
    <t>04/10/2024 04:00</t>
  </si>
  <si>
    <t>04/10/2024 04:15</t>
  </si>
  <si>
    <t>04/10/2024 04:30</t>
  </si>
  <si>
    <t>04/10/2024 04:45</t>
  </si>
  <si>
    <t>04/10/2024 05:00</t>
  </si>
  <si>
    <t>04/10/2024 05:15</t>
  </si>
  <si>
    <t>04/10/2024 05:30</t>
  </si>
  <si>
    <t>04/10/2024 05:45</t>
  </si>
  <si>
    <t>04/10/2024 06:00</t>
  </si>
  <si>
    <t>04/10/2024 06:15</t>
  </si>
  <si>
    <t>04/10/2024 06:30</t>
  </si>
  <si>
    <t>04/10/2024 06:45</t>
  </si>
  <si>
    <t>04/10/2024 07:00</t>
  </si>
  <si>
    <t>04/10/2024 07:15</t>
  </si>
  <si>
    <t>04/10/2024 07:30</t>
  </si>
  <si>
    <t>04/10/2024 07:45</t>
  </si>
  <si>
    <t>04/10/2024 08:00</t>
  </si>
  <si>
    <t>04/10/2024 08:15</t>
  </si>
  <si>
    <t>04/10/2024 08:30</t>
  </si>
  <si>
    <t>04/10/2024 08:45</t>
  </si>
  <si>
    <t>04/10/2024 09:00</t>
  </si>
  <si>
    <t>04/10/2024 09:15</t>
  </si>
  <si>
    <t>04/10/2024 09:30</t>
  </si>
  <si>
    <t>04/10/2024 09:45</t>
  </si>
  <si>
    <t>04/10/2024 10:00</t>
  </si>
  <si>
    <t>04/10/2024 10:15</t>
  </si>
  <si>
    <t>04/10/2024 10:30</t>
  </si>
  <si>
    <t>04/10/2024 10:45</t>
  </si>
  <si>
    <t>04/10/2024 11:00</t>
  </si>
  <si>
    <t>04/10/2024 11:15</t>
  </si>
  <si>
    <t>04/10/2024 11:30</t>
  </si>
  <si>
    <t>04/10/2024 11:45</t>
  </si>
  <si>
    <t>04/10/2024 12:00</t>
  </si>
  <si>
    <t>04/10/2024 12:15</t>
  </si>
  <si>
    <t>04/10/2024 12:30</t>
  </si>
  <si>
    <t>04/10/2024 12:45</t>
  </si>
  <si>
    <t>04/10/2024 13:00</t>
  </si>
  <si>
    <t>04/10/2024 13:15</t>
  </si>
  <si>
    <t>04/10/2024 13:30</t>
  </si>
  <si>
    <t>04/10/2024 13:45</t>
  </si>
  <si>
    <t>04/10/2024 14:00</t>
  </si>
  <si>
    <t>04/10/2024 14:15</t>
  </si>
  <si>
    <t>04/10/2024 14:30</t>
  </si>
  <si>
    <t>04/10/2024 14:45</t>
  </si>
  <si>
    <t>04/10/2024 15:00</t>
  </si>
  <si>
    <t>04/10/2024 15:15</t>
  </si>
  <si>
    <t>04/10/2024 15:30</t>
  </si>
  <si>
    <t>04/10/2024 15:45</t>
  </si>
  <si>
    <t>04/10/2024 16:00</t>
  </si>
  <si>
    <t>04/10/2024 16:15</t>
  </si>
  <si>
    <t>04/10/2024 16:30</t>
  </si>
  <si>
    <t>04/10/2024 16:45</t>
  </si>
  <si>
    <t>04/10/2024 17:00</t>
  </si>
  <si>
    <t>04/10/2024 17:15</t>
  </si>
  <si>
    <t>04/10/2024 17:30</t>
  </si>
  <si>
    <t>04/10/2024 17:45</t>
  </si>
  <si>
    <t>04/10/2024 18:00</t>
  </si>
  <si>
    <t>04/10/2024 18:15</t>
  </si>
  <si>
    <t>04/10/2024 18:30</t>
  </si>
  <si>
    <t>04/10/2024 18:45</t>
  </si>
  <si>
    <t>04/10/2024 19:00</t>
  </si>
  <si>
    <t>04/10/2024 19:15</t>
  </si>
  <si>
    <t>04/10/2024 19:30</t>
  </si>
  <si>
    <t>04/10/2024 19:45</t>
  </si>
  <si>
    <t>04/10/2024 20:00</t>
  </si>
  <si>
    <t>04/10/2024 20:15</t>
  </si>
  <si>
    <t>04/10/2024 20:30</t>
  </si>
  <si>
    <t>04/10/2024 20:45</t>
  </si>
  <si>
    <t>04/10/2024 21:00</t>
  </si>
  <si>
    <t>04/10/2024 21:15</t>
  </si>
  <si>
    <t>04/10/2024 21:30</t>
  </si>
  <si>
    <t>04/10/2024 21:45</t>
  </si>
  <si>
    <t>04/10/2024 22:00</t>
  </si>
  <si>
    <t>04/10/2024 22:15</t>
  </si>
  <si>
    <t>04/10/2024 22:30</t>
  </si>
  <si>
    <t>04/10/2024 22:45</t>
  </si>
  <si>
    <t>04/10/2024 23:00</t>
  </si>
  <si>
    <t>04/10/2024 23:15</t>
  </si>
  <si>
    <t>04/10/2024 23:30</t>
  </si>
  <si>
    <t>04/10/2024 23:45</t>
  </si>
  <si>
    <t>04/10/2024 24:00</t>
  </si>
  <si>
    <t>05/10/2024 00:15</t>
  </si>
  <si>
    <t>05/10/2024 00:30</t>
  </si>
  <si>
    <t>05/10/2024 00:45</t>
  </si>
  <si>
    <t>05/10/2024 01:00</t>
  </si>
  <si>
    <t>05/10/2024 01:15</t>
  </si>
  <si>
    <t>05/10/2024 01:30</t>
  </si>
  <si>
    <t>05/10/2024 01:45</t>
  </si>
  <si>
    <t>05/10/2024 02:00</t>
  </si>
  <si>
    <t>05/10/2024 02:15</t>
  </si>
  <si>
    <t>05/10/2024 02:30</t>
  </si>
  <si>
    <t>05/10/2024 02:45</t>
  </si>
  <si>
    <t>05/10/2024 03:00</t>
  </si>
  <si>
    <t>05/10/2024 03:15</t>
  </si>
  <si>
    <t>05/10/2024 03:30</t>
  </si>
  <si>
    <t>05/10/2024 03:45</t>
  </si>
  <si>
    <t>05/10/2024 04:00</t>
  </si>
  <si>
    <t>05/10/2024 04:15</t>
  </si>
  <si>
    <t>05/10/2024 04:30</t>
  </si>
  <si>
    <t>05/10/2024 04:45</t>
  </si>
  <si>
    <t>05/10/2024 05:00</t>
  </si>
  <si>
    <t>05/10/2024 05:15</t>
  </si>
  <si>
    <t>05/10/2024 05:30</t>
  </si>
  <si>
    <t>05/10/2024 05:45</t>
  </si>
  <si>
    <t>05/10/2024 06:00</t>
  </si>
  <si>
    <t>05/10/2024 06:15</t>
  </si>
  <si>
    <t>05/10/2024 06:30</t>
  </si>
  <si>
    <t>05/10/2024 06:45</t>
  </si>
  <si>
    <t>05/10/2024 07:00</t>
  </si>
  <si>
    <t>05/10/2024 07:15</t>
  </si>
  <si>
    <t>05/10/2024 07:30</t>
  </si>
  <si>
    <t>05/10/2024 07:45</t>
  </si>
  <si>
    <t>05/10/2024 08:00</t>
  </si>
  <si>
    <t>05/10/2024 08:15</t>
  </si>
  <si>
    <t>05/10/2024 08:30</t>
  </si>
  <si>
    <t>05/10/2024 08:45</t>
  </si>
  <si>
    <t>05/10/2024 09:00</t>
  </si>
  <si>
    <t>05/10/2024 09:15</t>
  </si>
  <si>
    <t>05/10/2024 09:30</t>
  </si>
  <si>
    <t>05/10/2024 09:45</t>
  </si>
  <si>
    <t>05/10/2024 10:00</t>
  </si>
  <si>
    <t>05/10/2024 10:15</t>
  </si>
  <si>
    <t>05/10/2024 10:30</t>
  </si>
  <si>
    <t>05/10/2024 10:45</t>
  </si>
  <si>
    <t>05/10/2024 11:00</t>
  </si>
  <si>
    <t>05/10/2024 11:15</t>
  </si>
  <si>
    <t>05/10/2024 11:30</t>
  </si>
  <si>
    <t>05/10/2024 11:45</t>
  </si>
  <si>
    <t>05/10/2024 12:00</t>
  </si>
  <si>
    <t>05/10/2024 12:15</t>
  </si>
  <si>
    <t>05/10/2024 12:30</t>
  </si>
  <si>
    <t>05/10/2024 12:45</t>
  </si>
  <si>
    <t>05/10/2024 13:00</t>
  </si>
  <si>
    <t>05/10/2024 13:15</t>
  </si>
  <si>
    <t>05/10/2024 13:30</t>
  </si>
  <si>
    <t>05/10/2024 13:45</t>
  </si>
  <si>
    <t>05/10/2024 14:00</t>
  </si>
  <si>
    <t>05/10/2024 14:15</t>
  </si>
  <si>
    <t>05/10/2024 14:30</t>
  </si>
  <si>
    <t>05/10/2024 14:45</t>
  </si>
  <si>
    <t>05/10/2024 15:00</t>
  </si>
  <si>
    <t>05/10/2024 15:15</t>
  </si>
  <si>
    <t>05/10/2024 15:30</t>
  </si>
  <si>
    <t>05/10/2024 15:45</t>
  </si>
  <si>
    <t>05/10/2024 16:00</t>
  </si>
  <si>
    <t>05/10/2024 16:15</t>
  </si>
  <si>
    <t>05/10/2024 16:30</t>
  </si>
  <si>
    <t>05/10/2024 16:45</t>
  </si>
  <si>
    <t>05/10/2024 17:00</t>
  </si>
  <si>
    <t>05/10/2024 17:15</t>
  </si>
  <si>
    <t>05/10/2024 17:30</t>
  </si>
  <si>
    <t>05/10/2024 17:45</t>
  </si>
  <si>
    <t>05/10/2024 18:00</t>
  </si>
  <si>
    <t>05/10/2024 18:15</t>
  </si>
  <si>
    <t>05/10/2024 18:30</t>
  </si>
  <si>
    <t>05/10/2024 18:45</t>
  </si>
  <si>
    <t>05/10/2024 19:00</t>
  </si>
  <si>
    <t>05/10/2024 19:15</t>
  </si>
  <si>
    <t>05/10/2024 19:30</t>
  </si>
  <si>
    <t>05/10/2024 19:45</t>
  </si>
  <si>
    <t>05/10/2024 20:00</t>
  </si>
  <si>
    <t>05/10/2024 20:15</t>
  </si>
  <si>
    <t>05/10/2024 20:30</t>
  </si>
  <si>
    <t>05/10/2024 20:45</t>
  </si>
  <si>
    <t>05/10/2024 21:00</t>
  </si>
  <si>
    <t>05/10/2024 21:15</t>
  </si>
  <si>
    <t>05/10/2024 21:30</t>
  </si>
  <si>
    <t>05/10/2024 21:45</t>
  </si>
  <si>
    <t>05/10/2024 22:00</t>
  </si>
  <si>
    <t>05/10/2024 22:15</t>
  </si>
  <si>
    <t>05/10/2024 22:30</t>
  </si>
  <si>
    <t>05/10/2024 22:45</t>
  </si>
  <si>
    <t>05/10/2024 23:00</t>
  </si>
  <si>
    <t>05/10/2024 23:15</t>
  </si>
  <si>
    <t>05/10/2024 23:30</t>
  </si>
  <si>
    <t>05/10/2024 23:45</t>
  </si>
  <si>
    <t>05/10/2024 24:00</t>
  </si>
  <si>
    <t>06/10/2024 00:15</t>
  </si>
  <si>
    <t>06/10/2024 00:30</t>
  </si>
  <si>
    <t>06/10/2024 00:45</t>
  </si>
  <si>
    <t>06/10/2024 01:00</t>
  </si>
  <si>
    <t>06/10/2024 01:15</t>
  </si>
  <si>
    <t>06/10/2024 01:30</t>
  </si>
  <si>
    <t>06/10/2024 01:45</t>
  </si>
  <si>
    <t>06/10/2024 02:00</t>
  </si>
  <si>
    <t>06/10/2024 02:15</t>
  </si>
  <si>
    <t>06/10/2024 02:30</t>
  </si>
  <si>
    <t>06/10/2024 02:45</t>
  </si>
  <si>
    <t>06/10/2024 03:00</t>
  </si>
  <si>
    <t>06/10/2024 03:15</t>
  </si>
  <si>
    <t>06/10/2024 03:30</t>
  </si>
  <si>
    <t>06/10/2024 03:45</t>
  </si>
  <si>
    <t>06/10/2024 04:00</t>
  </si>
  <si>
    <t>06/10/2024 04:15</t>
  </si>
  <si>
    <t>06/10/2024 04:30</t>
  </si>
  <si>
    <t>06/10/2024 04:45</t>
  </si>
  <si>
    <t>06/10/2024 05:00</t>
  </si>
  <si>
    <t>06/10/2024 05:15</t>
  </si>
  <si>
    <t>06/10/2024 05:30</t>
  </si>
  <si>
    <t>06/10/2024 05:45</t>
  </si>
  <si>
    <t>06/10/2024 06:00</t>
  </si>
  <si>
    <t>06/10/2024 06:15</t>
  </si>
  <si>
    <t>06/10/2024 06:30</t>
  </si>
  <si>
    <t>06/10/2024 06:45</t>
  </si>
  <si>
    <t>06/10/2024 07:00</t>
  </si>
  <si>
    <t>06/10/2024 07:15</t>
  </si>
  <si>
    <t>06/10/2024 07:30</t>
  </si>
  <si>
    <t>06/10/2024 07:45</t>
  </si>
  <si>
    <t>06/10/2024 08:00</t>
  </si>
  <si>
    <t>06/10/2024 08:15</t>
  </si>
  <si>
    <t>06/10/2024 08:30</t>
  </si>
  <si>
    <t>06/10/2024 08:45</t>
  </si>
  <si>
    <t>06/10/2024 09:00</t>
  </si>
  <si>
    <t>06/10/2024 09:15</t>
  </si>
  <si>
    <t>06/10/2024 09:30</t>
  </si>
  <si>
    <t>06/10/2024 09:45</t>
  </si>
  <si>
    <t>06/10/2024 10:00</t>
  </si>
  <si>
    <t>06/10/2024 10:15</t>
  </si>
  <si>
    <t>06/10/2024 10:30</t>
  </si>
  <si>
    <t>06/10/2024 10:45</t>
  </si>
  <si>
    <t>06/10/2024 11:00</t>
  </si>
  <si>
    <t>06/10/2024 11:15</t>
  </si>
  <si>
    <t>06/10/2024 11:30</t>
  </si>
  <si>
    <t>06/10/2024 11:45</t>
  </si>
  <si>
    <t>06/10/2024 12:00</t>
  </si>
  <si>
    <t>06/10/2024 12:15</t>
  </si>
  <si>
    <t>06/10/2024 12:30</t>
  </si>
  <si>
    <t>06/10/2024 12:45</t>
  </si>
  <si>
    <t>06/10/2024 13:00</t>
  </si>
  <si>
    <t>06/10/2024 13:15</t>
  </si>
  <si>
    <t>06/10/2024 13:30</t>
  </si>
  <si>
    <t>06/10/2024 13:45</t>
  </si>
  <si>
    <t>06/10/2024 14:00</t>
  </si>
  <si>
    <t>06/10/2024 14:15</t>
  </si>
  <si>
    <t>06/10/2024 14:30</t>
  </si>
  <si>
    <t>06/10/2024 14:45</t>
  </si>
  <si>
    <t>06/10/2024 15:00</t>
  </si>
  <si>
    <t>06/10/2024 15:15</t>
  </si>
  <si>
    <t>06/10/2024 15:30</t>
  </si>
  <si>
    <t>06/10/2024 15:45</t>
  </si>
  <si>
    <t>06/10/2024 16:00</t>
  </si>
  <si>
    <t>06/10/2024 16:15</t>
  </si>
  <si>
    <t>06/10/2024 16:30</t>
  </si>
  <si>
    <t>06/10/2024 16:45</t>
  </si>
  <si>
    <t>06/10/2024 17:00</t>
  </si>
  <si>
    <t>06/10/2024 17:15</t>
  </si>
  <si>
    <t>06/10/2024 17:30</t>
  </si>
  <si>
    <t>06/10/2024 17:45</t>
  </si>
  <si>
    <t>06/10/2024 18:00</t>
  </si>
  <si>
    <t>06/10/2024 18:15</t>
  </si>
  <si>
    <t>06/10/2024 18:30</t>
  </si>
  <si>
    <t>06/10/2024 18:45</t>
  </si>
  <si>
    <t>06/10/2024 19:00</t>
  </si>
  <si>
    <t>06/10/2024 19:15</t>
  </si>
  <si>
    <t>06/10/2024 19:30</t>
  </si>
  <si>
    <t>06/10/2024 19:45</t>
  </si>
  <si>
    <t>06/10/2024 20:00</t>
  </si>
  <si>
    <t>06/10/2024 20:15</t>
  </si>
  <si>
    <t>06/10/2024 20:30</t>
  </si>
  <si>
    <t>06/10/2024 20:45</t>
  </si>
  <si>
    <t>06/10/2024 21:00</t>
  </si>
  <si>
    <t>06/10/2024 21:15</t>
  </si>
  <si>
    <t>06/10/2024 21:30</t>
  </si>
  <si>
    <t>06/10/2024 21:45</t>
  </si>
  <si>
    <t>06/10/2024 22:00</t>
  </si>
  <si>
    <t>06/10/2024 22:15</t>
  </si>
  <si>
    <t>06/10/2024 22:30</t>
  </si>
  <si>
    <t>06/10/2024 22:45</t>
  </si>
  <si>
    <t>06/10/2024 23:00</t>
  </si>
  <si>
    <t>06/10/2024 23:15</t>
  </si>
  <si>
    <t>06/10/2024 23:30</t>
  </si>
  <si>
    <t>06/10/2024 23:45</t>
  </si>
  <si>
    <t>06/10/2024 24:00</t>
  </si>
  <si>
    <t>07/10/2024 00:15</t>
  </si>
  <si>
    <t>07/10/2024 00:30</t>
  </si>
  <si>
    <t>07/10/2024 00:45</t>
  </si>
  <si>
    <t>07/10/2024 01:00</t>
  </si>
  <si>
    <t>07/10/2024 01:15</t>
  </si>
  <si>
    <t>07/10/2024 01:30</t>
  </si>
  <si>
    <t>07/10/2024 01:45</t>
  </si>
  <si>
    <t>07/10/2024 02:00</t>
  </si>
  <si>
    <t>07/10/2024 02:15</t>
  </si>
  <si>
    <t>07/10/2024 02:30</t>
  </si>
  <si>
    <t>07/10/2024 02:45</t>
  </si>
  <si>
    <t>07/10/2024 03:00</t>
  </si>
  <si>
    <t>07/10/2024 03:15</t>
  </si>
  <si>
    <t>07/10/2024 03:30</t>
  </si>
  <si>
    <t>07/10/2024 03:45</t>
  </si>
  <si>
    <t>07/10/2024 04:00</t>
  </si>
  <si>
    <t>07/10/2024 04:15</t>
  </si>
  <si>
    <t>07/10/2024 04:30</t>
  </si>
  <si>
    <t>07/10/2024 04:45</t>
  </si>
  <si>
    <t>07/10/2024 05:00</t>
  </si>
  <si>
    <t>07/10/2024 05:15</t>
  </si>
  <si>
    <t>07/10/2024 05:30</t>
  </si>
  <si>
    <t>07/10/2024 05:45</t>
  </si>
  <si>
    <t>07/10/2024 06:00</t>
  </si>
  <si>
    <t>07/10/2024 06:15</t>
  </si>
  <si>
    <t>07/10/2024 06:30</t>
  </si>
  <si>
    <t>07/10/2024 06:45</t>
  </si>
  <si>
    <t>07/10/2024 07:00</t>
  </si>
  <si>
    <t>07/10/2024 07:15</t>
  </si>
  <si>
    <t>07/10/2024 07:30</t>
  </si>
  <si>
    <t>07/10/2024 07:45</t>
  </si>
  <si>
    <t>07/10/2024 08:00</t>
  </si>
  <si>
    <t>07/10/2024 08:15</t>
  </si>
  <si>
    <t>07/10/2024 08:30</t>
  </si>
  <si>
    <t>07/10/2024 08:45</t>
  </si>
  <si>
    <t>07/10/2024 09:00</t>
  </si>
  <si>
    <t>07/10/2024 09:15</t>
  </si>
  <si>
    <t>07/10/2024 09:30</t>
  </si>
  <si>
    <t>07/10/2024 09:45</t>
  </si>
  <si>
    <t>07/10/2024 10:00</t>
  </si>
  <si>
    <t>07/10/2024 10:15</t>
  </si>
  <si>
    <t>07/10/2024 10:30</t>
  </si>
  <si>
    <t>07/10/2024 10:45</t>
  </si>
  <si>
    <t>07/10/2024 11:00</t>
  </si>
  <si>
    <t>07/10/2024 11:15</t>
  </si>
  <si>
    <t>07/10/2024 11:30</t>
  </si>
  <si>
    <t>07/10/2024 11:45</t>
  </si>
  <si>
    <t>07/10/2024 12:00</t>
  </si>
  <si>
    <t>07/10/2024 12:15</t>
  </si>
  <si>
    <t>07/10/2024 12:30</t>
  </si>
  <si>
    <t>07/10/2024 12:45</t>
  </si>
  <si>
    <t>07/10/2024 13:00</t>
  </si>
  <si>
    <t>07/10/2024 13:15</t>
  </si>
  <si>
    <t>07/10/2024 13:30</t>
  </si>
  <si>
    <t>07/10/2024 13:45</t>
  </si>
  <si>
    <t>07/10/2024 14:00</t>
  </si>
  <si>
    <t>07/10/2024 14:15</t>
  </si>
  <si>
    <t>07/10/2024 14:30</t>
  </si>
  <si>
    <t>07/10/2024 14:45</t>
  </si>
  <si>
    <t>07/10/2024 15:00</t>
  </si>
  <si>
    <t>07/10/2024 15:15</t>
  </si>
  <si>
    <t>07/10/2024 15:30</t>
  </si>
  <si>
    <t>07/10/2024 15:45</t>
  </si>
  <si>
    <t>07/10/2024 16:00</t>
  </si>
  <si>
    <t>07/10/2024 16:15</t>
  </si>
  <si>
    <t>07/10/2024 16:30</t>
  </si>
  <si>
    <t>07/10/2024 16:45</t>
  </si>
  <si>
    <t>07/10/2024 17:00</t>
  </si>
  <si>
    <t>07/10/2024 17:15</t>
  </si>
  <si>
    <t>07/10/2024 17:30</t>
  </si>
  <si>
    <t>07/10/2024 17:45</t>
  </si>
  <si>
    <t>07/10/2024 18:00</t>
  </si>
  <si>
    <t>07/10/2024 18:15</t>
  </si>
  <si>
    <t>07/10/2024 18:30</t>
  </si>
  <si>
    <t>07/10/2024 18:45</t>
  </si>
  <si>
    <t>07/10/2024 19:00</t>
  </si>
  <si>
    <t>07/10/2024 19:15</t>
  </si>
  <si>
    <t>07/10/2024 19:30</t>
  </si>
  <si>
    <t>07/10/2024 19:45</t>
  </si>
  <si>
    <t>07/10/2024 20:00</t>
  </si>
  <si>
    <t>07/10/2024 20:15</t>
  </si>
  <si>
    <t>07/10/2024 20:30</t>
  </si>
  <si>
    <t>07/10/2024 20:45</t>
  </si>
  <si>
    <t>07/10/2024 21:00</t>
  </si>
  <si>
    <t>07/10/2024 21:15</t>
  </si>
  <si>
    <t>07/10/2024 21:30</t>
  </si>
  <si>
    <t>07/10/2024 21:45</t>
  </si>
  <si>
    <t>07/10/2024 22:00</t>
  </si>
  <si>
    <t>07/10/2024 22:15</t>
  </si>
  <si>
    <t>07/10/2024 22:30</t>
  </si>
  <si>
    <t>07/10/2024 22:45</t>
  </si>
  <si>
    <t>07/10/2024 23:00</t>
  </si>
  <si>
    <t>07/10/2024 23:15</t>
  </si>
  <si>
    <t>07/10/2024 23:30</t>
  </si>
  <si>
    <t>07/10/2024 23:45</t>
  </si>
  <si>
    <t>07/10/2024 24:00</t>
  </si>
  <si>
    <t>08/10/2024 00:15</t>
  </si>
  <si>
    <t>08/10/2024 00:30</t>
  </si>
  <si>
    <t>08/10/2024 00:45</t>
  </si>
  <si>
    <t>08/10/2024 01:00</t>
  </si>
  <si>
    <t>08/10/2024 01:15</t>
  </si>
  <si>
    <t>08/10/2024 01:30</t>
  </si>
  <si>
    <t>08/10/2024 01:45</t>
  </si>
  <si>
    <t>08/10/2024 02:00</t>
  </si>
  <si>
    <t>08/10/2024 02:15</t>
  </si>
  <si>
    <t>08/10/2024 02:30</t>
  </si>
  <si>
    <t>08/10/2024 02:45</t>
  </si>
  <si>
    <t>08/10/2024 03:00</t>
  </si>
  <si>
    <t>08/10/2024 03:15</t>
  </si>
  <si>
    <t>08/10/2024 03:30</t>
  </si>
  <si>
    <t>08/10/2024 03:45</t>
  </si>
  <si>
    <t>08/10/2024 04:00</t>
  </si>
  <si>
    <t>08/10/2024 04:15</t>
  </si>
  <si>
    <t>08/10/2024 04:30</t>
  </si>
  <si>
    <t>08/10/2024 04:45</t>
  </si>
  <si>
    <t>08/10/2024 05:00</t>
  </si>
  <si>
    <t>08/10/2024 05:15</t>
  </si>
  <si>
    <t>08/10/2024 05:30</t>
  </si>
  <si>
    <t>08/10/2024 05:45</t>
  </si>
  <si>
    <t>08/10/2024 06:00</t>
  </si>
  <si>
    <t>08/10/2024 06:15</t>
  </si>
  <si>
    <t>08/10/2024 06:30</t>
  </si>
  <si>
    <t>08/10/2024 06:45</t>
  </si>
  <si>
    <t>08/10/2024 07:00</t>
  </si>
  <si>
    <t>08/10/2024 07:15</t>
  </si>
  <si>
    <t>08/10/2024 07:30</t>
  </si>
  <si>
    <t>08/10/2024 07:45</t>
  </si>
  <si>
    <t>08/10/2024 08:00</t>
  </si>
  <si>
    <t>08/10/2024 08:15</t>
  </si>
  <si>
    <t>08/10/2024 08:30</t>
  </si>
  <si>
    <t>08/10/2024 08:45</t>
  </si>
  <si>
    <t>08/10/2024 09:00</t>
  </si>
  <si>
    <t>08/10/2024 09:15</t>
  </si>
  <si>
    <t>08/10/2024 09:30</t>
  </si>
  <si>
    <t>08/10/2024 09:45</t>
  </si>
  <si>
    <t>08/10/2024 10:00</t>
  </si>
  <si>
    <t>08/10/2024 10:15</t>
  </si>
  <si>
    <t>08/10/2024 10:30</t>
  </si>
  <si>
    <t>08/10/2024 10:45</t>
  </si>
  <si>
    <t>08/10/2024 11:00</t>
  </si>
  <si>
    <t>08/10/2024 11:15</t>
  </si>
  <si>
    <t>08/10/2024 11:30</t>
  </si>
  <si>
    <t>08/10/2024 11:45</t>
  </si>
  <si>
    <t>08/10/2024 12:00</t>
  </si>
  <si>
    <t>08/10/2024 12:15</t>
  </si>
  <si>
    <t>08/10/2024 12:30</t>
  </si>
  <si>
    <t>08/10/2024 12:45</t>
  </si>
  <si>
    <t>08/10/2024 13:00</t>
  </si>
  <si>
    <t>08/10/2024 13:15</t>
  </si>
  <si>
    <t>08/10/2024 13:30</t>
  </si>
  <si>
    <t>08/10/2024 13:45</t>
  </si>
  <si>
    <t>08/10/2024 14:00</t>
  </si>
  <si>
    <t>08/10/2024 14:15</t>
  </si>
  <si>
    <t>08/10/2024 14:30</t>
  </si>
  <si>
    <t>08/10/2024 14:45</t>
  </si>
  <si>
    <t>08/10/2024 15:00</t>
  </si>
  <si>
    <t>08/10/2024 15:15</t>
  </si>
  <si>
    <t>08/10/2024 15:30</t>
  </si>
  <si>
    <t>08/10/2024 15:45</t>
  </si>
  <si>
    <t>08/10/2024 16:00</t>
  </si>
  <si>
    <t>08/10/2024 16:15</t>
  </si>
  <si>
    <t>08/10/2024 16:30</t>
  </si>
  <si>
    <t>08/10/2024 16:45</t>
  </si>
  <si>
    <t>08/10/2024 17:00</t>
  </si>
  <si>
    <t>08/10/2024 17:15</t>
  </si>
  <si>
    <t>08/10/2024 17:30</t>
  </si>
  <si>
    <t>08/10/2024 17:45</t>
  </si>
  <si>
    <t>08/10/2024 18:00</t>
  </si>
  <si>
    <t>08/10/2024 18:15</t>
  </si>
  <si>
    <t>08/10/2024 18:30</t>
  </si>
  <si>
    <t>08/10/2024 18:45</t>
  </si>
  <si>
    <t>08/10/2024 19:00</t>
  </si>
  <si>
    <t>08/10/2024 19:15</t>
  </si>
  <si>
    <t>08/10/2024 19:30</t>
  </si>
  <si>
    <t>08/10/2024 19:45</t>
  </si>
  <si>
    <t>08/10/2024 20:00</t>
  </si>
  <si>
    <t>08/10/2024 20:15</t>
  </si>
  <si>
    <t>08/10/2024 20:30</t>
  </si>
  <si>
    <t>08/10/2024 20:45</t>
  </si>
  <si>
    <t>08/10/2024 21:00</t>
  </si>
  <si>
    <t>08/10/2024 21:15</t>
  </si>
  <si>
    <t>08/10/2024 21:30</t>
  </si>
  <si>
    <t>08/10/2024 21:45</t>
  </si>
  <si>
    <t>08/10/2024 22:00</t>
  </si>
  <si>
    <t>08/10/2024 22:15</t>
  </si>
  <si>
    <t>08/10/2024 22:30</t>
  </si>
  <si>
    <t>08/10/2024 22:45</t>
  </si>
  <si>
    <t>08/10/2024 23:00</t>
  </si>
  <si>
    <t>08/10/2024 23:15</t>
  </si>
  <si>
    <t>08/10/2024 23:30</t>
  </si>
  <si>
    <t>08/10/2024 23:45</t>
  </si>
  <si>
    <t>08/10/2024 24:00</t>
  </si>
  <si>
    <t>09/10/2024 00:15</t>
  </si>
  <si>
    <t>09/10/2024 00:30</t>
  </si>
  <si>
    <t>09/10/2024 00:45</t>
  </si>
  <si>
    <t>09/10/2024 01:00</t>
  </si>
  <si>
    <t>09/10/2024 01:15</t>
  </si>
  <si>
    <t>09/10/2024 01:30</t>
  </si>
  <si>
    <t>09/10/2024 01:45</t>
  </si>
  <si>
    <t>09/10/2024 02:00</t>
  </si>
  <si>
    <t>09/10/2024 02:15</t>
  </si>
  <si>
    <t>09/10/2024 02:30</t>
  </si>
  <si>
    <t>09/10/2024 02:45</t>
  </si>
  <si>
    <t>09/10/2024 03:00</t>
  </si>
  <si>
    <t>09/10/2024 03:15</t>
  </si>
  <si>
    <t>09/10/2024 03:30</t>
  </si>
  <si>
    <t>09/10/2024 03:45</t>
  </si>
  <si>
    <t>09/10/2024 04:00</t>
  </si>
  <si>
    <t>09/10/2024 04:15</t>
  </si>
  <si>
    <t>09/10/2024 04:30</t>
  </si>
  <si>
    <t>09/10/2024 04:45</t>
  </si>
  <si>
    <t>09/10/2024 05:00</t>
  </si>
  <si>
    <t>09/10/2024 05:15</t>
  </si>
  <si>
    <t>09/10/2024 05:30</t>
  </si>
  <si>
    <t>09/10/2024 05:45</t>
  </si>
  <si>
    <t>09/10/2024 06:00</t>
  </si>
  <si>
    <t>09/10/2024 06:15</t>
  </si>
  <si>
    <t>09/10/2024 06:30</t>
  </si>
  <si>
    <t>09/10/2024 06:45</t>
  </si>
  <si>
    <t>09/10/2024 07:00</t>
  </si>
  <si>
    <t>09/10/2024 07:15</t>
  </si>
  <si>
    <t>09/10/2024 07:30</t>
  </si>
  <si>
    <t>09/10/2024 07:45</t>
  </si>
  <si>
    <t>09/10/2024 08:00</t>
  </si>
  <si>
    <t>09/10/2024 08:15</t>
  </si>
  <si>
    <t>09/10/2024 08:30</t>
  </si>
  <si>
    <t>09/10/2024 08:45</t>
  </si>
  <si>
    <t>09/10/2024 09:00</t>
  </si>
  <si>
    <t>09/10/2024 09:15</t>
  </si>
  <si>
    <t>09/10/2024 09:30</t>
  </si>
  <si>
    <t>09/10/2024 09:45</t>
  </si>
  <si>
    <t>09/10/2024 10:00</t>
  </si>
  <si>
    <t>09/10/2024 10:15</t>
  </si>
  <si>
    <t>09/10/2024 10:30</t>
  </si>
  <si>
    <t>09/10/2024 10:45</t>
  </si>
  <si>
    <t>09/10/2024 11:00</t>
  </si>
  <si>
    <t>09/10/2024 11:15</t>
  </si>
  <si>
    <t>09/10/2024 11:30</t>
  </si>
  <si>
    <t>09/10/2024 11:45</t>
  </si>
  <si>
    <t>09/10/2024 12:00</t>
  </si>
  <si>
    <t>09/10/2024 12:15</t>
  </si>
  <si>
    <t>09/10/2024 12:30</t>
  </si>
  <si>
    <t>09/10/2024 12:45</t>
  </si>
  <si>
    <t>09/10/2024 13:00</t>
  </si>
  <si>
    <t>09/10/2024 13:15</t>
  </si>
  <si>
    <t>09/10/2024 13:30</t>
  </si>
  <si>
    <t>09/10/2024 13:45</t>
  </si>
  <si>
    <t>09/10/2024 14:00</t>
  </si>
  <si>
    <t>09/10/2024 14:15</t>
  </si>
  <si>
    <t>09/10/2024 14:30</t>
  </si>
  <si>
    <t>09/10/2024 14:45</t>
  </si>
  <si>
    <t>09/10/2024 15:00</t>
  </si>
  <si>
    <t>09/10/2024 15:15</t>
  </si>
  <si>
    <t>09/10/2024 15:30</t>
  </si>
  <si>
    <t>09/10/2024 15:45</t>
  </si>
  <si>
    <t>09/10/2024 16:00</t>
  </si>
  <si>
    <t>09/10/2024 16:15</t>
  </si>
  <si>
    <t>09/10/2024 16:30</t>
  </si>
  <si>
    <t>09/10/2024 16:45</t>
  </si>
  <si>
    <t>09/10/2024 17:00</t>
  </si>
  <si>
    <t>09/10/2024 17:15</t>
  </si>
  <si>
    <t>09/10/2024 17:30</t>
  </si>
  <si>
    <t>09/10/2024 17:45</t>
  </si>
  <si>
    <t>09/10/2024 18:00</t>
  </si>
  <si>
    <t>09/10/2024 18:15</t>
  </si>
  <si>
    <t>09/10/2024 18:30</t>
  </si>
  <si>
    <t>09/10/2024 18:45</t>
  </si>
  <si>
    <t>09/10/2024 19:00</t>
  </si>
  <si>
    <t>09/10/2024 19:15</t>
  </si>
  <si>
    <t>09/10/2024 19:30</t>
  </si>
  <si>
    <t>09/10/2024 19:45</t>
  </si>
  <si>
    <t>09/10/2024 20:00</t>
  </si>
  <si>
    <t>09/10/2024 20:15</t>
  </si>
  <si>
    <t>09/10/2024 20:30</t>
  </si>
  <si>
    <t>09/10/2024 20:45</t>
  </si>
  <si>
    <t>09/10/2024 21:00</t>
  </si>
  <si>
    <t>09/10/2024 21:15</t>
  </si>
  <si>
    <t>09/10/2024 21:30</t>
  </si>
  <si>
    <t>09/10/2024 21:45</t>
  </si>
  <si>
    <t>09/10/2024 22:00</t>
  </si>
  <si>
    <t>09/10/2024 22:15</t>
  </si>
  <si>
    <t>09/10/2024 22:30</t>
  </si>
  <si>
    <t>09/10/2024 22:45</t>
  </si>
  <si>
    <t>09/10/2024 23:00</t>
  </si>
  <si>
    <t>09/10/2024 23:15</t>
  </si>
  <si>
    <t>09/10/2024 23:30</t>
  </si>
  <si>
    <t>09/10/2024 23:45</t>
  </si>
  <si>
    <t>09/10/2024 24:00</t>
  </si>
  <si>
    <t>10/10/2024 00:15</t>
  </si>
  <si>
    <t>10/10/2024 00:30</t>
  </si>
  <si>
    <t>10/10/2024 00:45</t>
  </si>
  <si>
    <t>10/10/2024 01:00</t>
  </si>
  <si>
    <t>10/10/2024 01:15</t>
  </si>
  <si>
    <t>10/10/2024 01:30</t>
  </si>
  <si>
    <t>10/10/2024 01:45</t>
  </si>
  <si>
    <t>10/10/2024 02:00</t>
  </si>
  <si>
    <t>10/10/2024 02:15</t>
  </si>
  <si>
    <t>10/10/2024 02:30</t>
  </si>
  <si>
    <t>10/10/2024 02:45</t>
  </si>
  <si>
    <t>10/10/2024 03:00</t>
  </si>
  <si>
    <t>10/10/2024 03:15</t>
  </si>
  <si>
    <t>10/10/2024 03:30</t>
  </si>
  <si>
    <t>10/10/2024 03:45</t>
  </si>
  <si>
    <t>10/10/2024 04:00</t>
  </si>
  <si>
    <t>10/10/2024 04:15</t>
  </si>
  <si>
    <t>10/10/2024 04:30</t>
  </si>
  <si>
    <t>10/10/2024 04:45</t>
  </si>
  <si>
    <t>10/10/2024 05:00</t>
  </si>
  <si>
    <t>10/10/2024 05:15</t>
  </si>
  <si>
    <t>10/10/2024 05:30</t>
  </si>
  <si>
    <t>10/10/2024 05:45</t>
  </si>
  <si>
    <t>10/10/2024 06:00</t>
  </si>
  <si>
    <t>10/10/2024 06:15</t>
  </si>
  <si>
    <t>10/10/2024 06:30</t>
  </si>
  <si>
    <t>10/10/2024 06:45</t>
  </si>
  <si>
    <t>10/10/2024 07:00</t>
  </si>
  <si>
    <t>10/10/2024 07:15</t>
  </si>
  <si>
    <t>10/10/2024 07:30</t>
  </si>
  <si>
    <t>10/10/2024 07:45</t>
  </si>
  <si>
    <t>10/10/2024 08:00</t>
  </si>
  <si>
    <t>10/10/2024 08:15</t>
  </si>
  <si>
    <t>10/10/2024 08:30</t>
  </si>
  <si>
    <t>10/10/2024 08:45</t>
  </si>
  <si>
    <t>10/10/2024 09:00</t>
  </si>
  <si>
    <t>10/10/2024 09:15</t>
  </si>
  <si>
    <t>10/10/2024 09:30</t>
  </si>
  <si>
    <t>10/10/2024 09:45</t>
  </si>
  <si>
    <t>10/10/2024 10:00</t>
  </si>
  <si>
    <t>10/10/2024 10:15</t>
  </si>
  <si>
    <t>10/10/2024 10:30</t>
  </si>
  <si>
    <t>10/10/2024 10:45</t>
  </si>
  <si>
    <t>10/10/2024 11:00</t>
  </si>
  <si>
    <t>10/10/2024 11:15</t>
  </si>
  <si>
    <t>10/10/2024 11:30</t>
  </si>
  <si>
    <t>10/10/2024 11:45</t>
  </si>
  <si>
    <t>10/10/2024 12:00</t>
  </si>
  <si>
    <t>10/10/2024 12:15</t>
  </si>
  <si>
    <t>10/10/2024 12:30</t>
  </si>
  <si>
    <t>10/10/2024 12:45</t>
  </si>
  <si>
    <t>10/10/2024 13:00</t>
  </si>
  <si>
    <t>10/10/2024 13:15</t>
  </si>
  <si>
    <t>10/10/2024 13:30</t>
  </si>
  <si>
    <t>10/10/2024 13:45</t>
  </si>
  <si>
    <t>10/10/2024 14:00</t>
  </si>
  <si>
    <t>10/10/2024 14:15</t>
  </si>
  <si>
    <t>10/10/2024 14:30</t>
  </si>
  <si>
    <t>10/10/2024 14:45</t>
  </si>
  <si>
    <t>10/10/2024 15:00</t>
  </si>
  <si>
    <t>10/10/2024 15:15</t>
  </si>
  <si>
    <t>10/10/2024 15:30</t>
  </si>
  <si>
    <t>10/10/2024 15:45</t>
  </si>
  <si>
    <t>10/10/2024 16:00</t>
  </si>
  <si>
    <t>10/10/2024 16:15</t>
  </si>
  <si>
    <t>10/10/2024 16:30</t>
  </si>
  <si>
    <t>10/10/2024 16:45</t>
  </si>
  <si>
    <t>10/10/2024 17:00</t>
  </si>
  <si>
    <t>10/10/2024 17:15</t>
  </si>
  <si>
    <t>10/10/2024 17:30</t>
  </si>
  <si>
    <t>10/10/2024 17:45</t>
  </si>
  <si>
    <t>10/10/2024 18:00</t>
  </si>
  <si>
    <t>10/10/2024 18:15</t>
  </si>
  <si>
    <t>10/10/2024 18:30</t>
  </si>
  <si>
    <t>10/10/2024 18:45</t>
  </si>
  <si>
    <t>10/10/2024 19:00</t>
  </si>
  <si>
    <t>10/10/2024 19:15</t>
  </si>
  <si>
    <t>10/10/2024 19:30</t>
  </si>
  <si>
    <t>10/10/2024 19:45</t>
  </si>
  <si>
    <t>10/10/2024 20:00</t>
  </si>
  <si>
    <t>10/10/2024 20:15</t>
  </si>
  <si>
    <t>10/10/2024 20:30</t>
  </si>
  <si>
    <t>10/10/2024 20:45</t>
  </si>
  <si>
    <t>10/10/2024 21:00</t>
  </si>
  <si>
    <t>10/10/2024 21:15</t>
  </si>
  <si>
    <t>10/10/2024 21:30</t>
  </si>
  <si>
    <t>10/10/2024 21:45</t>
  </si>
  <si>
    <t>10/10/2024 22:00</t>
  </si>
  <si>
    <t>10/10/2024 22:15</t>
  </si>
  <si>
    <t>10/10/2024 22:30</t>
  </si>
  <si>
    <t>10/10/2024 22:45</t>
  </si>
  <si>
    <t>10/10/2024 23:00</t>
  </si>
  <si>
    <t>10/10/2024 23:15</t>
  </si>
  <si>
    <t>10/10/2024 23:30</t>
  </si>
  <si>
    <t>10/10/2024 23:45</t>
  </si>
  <si>
    <t>10/10/2024 24:00</t>
  </si>
  <si>
    <t>11/10/2024 00:15</t>
  </si>
  <si>
    <t>11/10/2024 00:30</t>
  </si>
  <si>
    <t>11/10/2024 00:45</t>
  </si>
  <si>
    <t>11/10/2024 01:00</t>
  </si>
  <si>
    <t>11/10/2024 01:15</t>
  </si>
  <si>
    <t>11/10/2024 01:30</t>
  </si>
  <si>
    <t>11/10/2024 01:45</t>
  </si>
  <si>
    <t>11/10/2024 02:00</t>
  </si>
  <si>
    <t>11/10/2024 02:15</t>
  </si>
  <si>
    <t>11/10/2024 02:30</t>
  </si>
  <si>
    <t>11/10/2024 02:45</t>
  </si>
  <si>
    <t>11/10/2024 03:00</t>
  </si>
  <si>
    <t>11/10/2024 03:15</t>
  </si>
  <si>
    <t>11/10/2024 03:30</t>
  </si>
  <si>
    <t>11/10/2024 03:45</t>
  </si>
  <si>
    <t>11/10/2024 04:00</t>
  </si>
  <si>
    <t>11/10/2024 04:15</t>
  </si>
  <si>
    <t>11/10/2024 04:30</t>
  </si>
  <si>
    <t>11/10/2024 04:45</t>
  </si>
  <si>
    <t>11/10/2024 05:00</t>
  </si>
  <si>
    <t>11/10/2024 05:15</t>
  </si>
  <si>
    <t>11/10/2024 05:30</t>
  </si>
  <si>
    <t>11/10/2024 05:45</t>
  </si>
  <si>
    <t>11/10/2024 06:00</t>
  </si>
  <si>
    <t>11/10/2024 06:15</t>
  </si>
  <si>
    <t>11/10/2024 06:30</t>
  </si>
  <si>
    <t>11/10/2024 06:45</t>
  </si>
  <si>
    <t>11/10/2024 07:00</t>
  </si>
  <si>
    <t>11/10/2024 07:15</t>
  </si>
  <si>
    <t>11/10/2024 07:30</t>
  </si>
  <si>
    <t>11/10/2024 07:45</t>
  </si>
  <si>
    <t>11/10/2024 08:00</t>
  </si>
  <si>
    <t>11/10/2024 08:15</t>
  </si>
  <si>
    <t>11/10/2024 08:30</t>
  </si>
  <si>
    <t>11/10/2024 08:45</t>
  </si>
  <si>
    <t>11/10/2024 09:00</t>
  </si>
  <si>
    <t>11/10/2024 09:15</t>
  </si>
  <si>
    <t>11/10/2024 09:30</t>
  </si>
  <si>
    <t>11/10/2024 09:45</t>
  </si>
  <si>
    <t>11/10/2024 10:00</t>
  </si>
  <si>
    <t>11/10/2024 10:15</t>
  </si>
  <si>
    <t>11/10/2024 10:30</t>
  </si>
  <si>
    <t>11/10/2024 10:45</t>
  </si>
  <si>
    <t>11/10/2024 11:00</t>
  </si>
  <si>
    <t>11/10/2024 11:15</t>
  </si>
  <si>
    <t>11/10/2024 11:30</t>
  </si>
  <si>
    <t>11/10/2024 11:45</t>
  </si>
  <si>
    <t>11/10/2024 12:00</t>
  </si>
  <si>
    <t>11/10/2024 12:15</t>
  </si>
  <si>
    <t>11/10/2024 12:30</t>
  </si>
  <si>
    <t>11/10/2024 12:45</t>
  </si>
  <si>
    <t>11/10/2024 13:00</t>
  </si>
  <si>
    <t>11/10/2024 13:15</t>
  </si>
  <si>
    <t>11/10/2024 13:30</t>
  </si>
  <si>
    <t>11/10/2024 13:45</t>
  </si>
  <si>
    <t>11/10/2024 14:00</t>
  </si>
  <si>
    <t>11/10/2024 14:15</t>
  </si>
  <si>
    <t>11/10/2024 14:30</t>
  </si>
  <si>
    <t>11/10/2024 14:45</t>
  </si>
  <si>
    <t>11/10/2024 15:00</t>
  </si>
  <si>
    <t>11/10/2024 15:15</t>
  </si>
  <si>
    <t>11/10/2024 15:30</t>
  </si>
  <si>
    <t>11/10/2024 15:45</t>
  </si>
  <si>
    <t>11/10/2024 16:00</t>
  </si>
  <si>
    <t>11/10/2024 16:15</t>
  </si>
  <si>
    <t>11/10/2024 16:30</t>
  </si>
  <si>
    <t>11/10/2024 16:45</t>
  </si>
  <si>
    <t>11/10/2024 17:00</t>
  </si>
  <si>
    <t>11/10/2024 17:15</t>
  </si>
  <si>
    <t>11/10/2024 17:30</t>
  </si>
  <si>
    <t>11/10/2024 17:45</t>
  </si>
  <si>
    <t>11/10/2024 18:00</t>
  </si>
  <si>
    <t>11/10/2024 18:15</t>
  </si>
  <si>
    <t>11/10/2024 18:30</t>
  </si>
  <si>
    <t>11/10/2024 18:45</t>
  </si>
  <si>
    <t>11/10/2024 19:00</t>
  </si>
  <si>
    <t>11/10/2024 19:15</t>
  </si>
  <si>
    <t>11/10/2024 19:30</t>
  </si>
  <si>
    <t>11/10/2024 19:45</t>
  </si>
  <si>
    <t>11/10/2024 20:00</t>
  </si>
  <si>
    <t>11/10/2024 20:15</t>
  </si>
  <si>
    <t>11/10/2024 20:30</t>
  </si>
  <si>
    <t>11/10/2024 20:45</t>
  </si>
  <si>
    <t>11/10/2024 21:00</t>
  </si>
  <si>
    <t>11/10/2024 21:15</t>
  </si>
  <si>
    <t>11/10/2024 21:30</t>
  </si>
  <si>
    <t>11/10/2024 21:45</t>
  </si>
  <si>
    <t>11/10/2024 22:00</t>
  </si>
  <si>
    <t>11/10/2024 22:15</t>
  </si>
  <si>
    <t>11/10/2024 22:30</t>
  </si>
  <si>
    <t>11/10/2024 22:45</t>
  </si>
  <si>
    <t>11/10/2024 23:00</t>
  </si>
  <si>
    <t>11/10/2024 23:15</t>
  </si>
  <si>
    <t>11/10/2024 23:30</t>
  </si>
  <si>
    <t>11/10/2024 23:45</t>
  </si>
  <si>
    <t>11/10/2024 24:00</t>
  </si>
  <si>
    <t>12/10/2024 00:15</t>
  </si>
  <si>
    <t>12/10/2024 00:30</t>
  </si>
  <si>
    <t>12/10/2024 00:45</t>
  </si>
  <si>
    <t>12/10/2024 01:00</t>
  </si>
  <si>
    <t>12/10/2024 01:15</t>
  </si>
  <si>
    <t>12/10/2024 01:30</t>
  </si>
  <si>
    <t>12/10/2024 01:45</t>
  </si>
  <si>
    <t>12/10/2024 02:00</t>
  </si>
  <si>
    <t>12/10/2024 02:15</t>
  </si>
  <si>
    <t>12/10/2024 02:30</t>
  </si>
  <si>
    <t>12/10/2024 02:45</t>
  </si>
  <si>
    <t>12/10/2024 03:00</t>
  </si>
  <si>
    <t>12/10/2024 03:15</t>
  </si>
  <si>
    <t>12/10/2024 03:30</t>
  </si>
  <si>
    <t>12/10/2024 03:45</t>
  </si>
  <si>
    <t>12/10/2024 04:00</t>
  </si>
  <si>
    <t>12/10/2024 04:15</t>
  </si>
  <si>
    <t>12/10/2024 04:30</t>
  </si>
  <si>
    <t>12/10/2024 04:45</t>
  </si>
  <si>
    <t>12/10/2024 05:00</t>
  </si>
  <si>
    <t>12/10/2024 05:15</t>
  </si>
  <si>
    <t>12/10/2024 05:30</t>
  </si>
  <si>
    <t>12/10/2024 05:45</t>
  </si>
  <si>
    <t>12/10/2024 06:00</t>
  </si>
  <si>
    <t>12/10/2024 06:15</t>
  </si>
  <si>
    <t>12/10/2024 06:30</t>
  </si>
  <si>
    <t>12/10/2024 06:45</t>
  </si>
  <si>
    <t>12/10/2024 07:00</t>
  </si>
  <si>
    <t>12/10/2024 07:15</t>
  </si>
  <si>
    <t>12/10/2024 07:30</t>
  </si>
  <si>
    <t>12/10/2024 07:45</t>
  </si>
  <si>
    <t>12/10/2024 08:00</t>
  </si>
  <si>
    <t>12/10/2024 08:15</t>
  </si>
  <si>
    <t>12/10/2024 08:30</t>
  </si>
  <si>
    <t>12/10/2024 08:45</t>
  </si>
  <si>
    <t>12/10/2024 09:00</t>
  </si>
  <si>
    <t>12/10/2024 09:15</t>
  </si>
  <si>
    <t>12/10/2024 09:30</t>
  </si>
  <si>
    <t>12/10/2024 09:45</t>
  </si>
  <si>
    <t>12/10/2024 10:00</t>
  </si>
  <si>
    <t>12/10/2024 10:15</t>
  </si>
  <si>
    <t>12/10/2024 10:30</t>
  </si>
  <si>
    <t>12/10/2024 10:45</t>
  </si>
  <si>
    <t>12/10/2024 11:00</t>
  </si>
  <si>
    <t>12/10/2024 11:15</t>
  </si>
  <si>
    <t>12/10/2024 11:30</t>
  </si>
  <si>
    <t>12/10/2024 11:45</t>
  </si>
  <si>
    <t>12/10/2024 12:00</t>
  </si>
  <si>
    <t>12/10/2024 12:15</t>
  </si>
  <si>
    <t>12/10/2024 12:30</t>
  </si>
  <si>
    <t>12/10/2024 12:45</t>
  </si>
  <si>
    <t>12/10/2024 13:00</t>
  </si>
  <si>
    <t>12/10/2024 13:15</t>
  </si>
  <si>
    <t>12/10/2024 13:30</t>
  </si>
  <si>
    <t>12/10/2024 13:45</t>
  </si>
  <si>
    <t>12/10/2024 14:00</t>
  </si>
  <si>
    <t>12/10/2024 14:15</t>
  </si>
  <si>
    <t>12/10/2024 14:30</t>
  </si>
  <si>
    <t>12/10/2024 14:45</t>
  </si>
  <si>
    <t>12/10/2024 15:00</t>
  </si>
  <si>
    <t>12/10/2024 15:15</t>
  </si>
  <si>
    <t>12/10/2024 15:30</t>
  </si>
  <si>
    <t>12/10/2024 15:45</t>
  </si>
  <si>
    <t>12/10/2024 16:00</t>
  </si>
  <si>
    <t>12/10/2024 16:15</t>
  </si>
  <si>
    <t>12/10/2024 16:30</t>
  </si>
  <si>
    <t>12/10/2024 16:45</t>
  </si>
  <si>
    <t>12/10/2024 17:00</t>
  </si>
  <si>
    <t>12/10/2024 17:15</t>
  </si>
  <si>
    <t>12/10/2024 17:30</t>
  </si>
  <si>
    <t>12/10/2024 17:45</t>
  </si>
  <si>
    <t>12/10/2024 18:00</t>
  </si>
  <si>
    <t>12/10/2024 18:15</t>
  </si>
  <si>
    <t>12/10/2024 18:30</t>
  </si>
  <si>
    <t>12/10/2024 18:45</t>
  </si>
  <si>
    <t>12/10/2024 19:00</t>
  </si>
  <si>
    <t>12/10/2024 19:15</t>
  </si>
  <si>
    <t>12/10/2024 19:30</t>
  </si>
  <si>
    <t>12/10/2024 19:45</t>
  </si>
  <si>
    <t>12/10/2024 20:00</t>
  </si>
  <si>
    <t>12/10/2024 20:15</t>
  </si>
  <si>
    <t>12/10/2024 20:30</t>
  </si>
  <si>
    <t>12/10/2024 20:45</t>
  </si>
  <si>
    <t>12/10/2024 21:00</t>
  </si>
  <si>
    <t>12/10/2024 21:15</t>
  </si>
  <si>
    <t>12/10/2024 21:30</t>
  </si>
  <si>
    <t>12/10/2024 21:45</t>
  </si>
  <si>
    <t>12/10/2024 22:00</t>
  </si>
  <si>
    <t>12/10/2024 22:15</t>
  </si>
  <si>
    <t>12/10/2024 22:30</t>
  </si>
  <si>
    <t>12/10/2024 22:45</t>
  </si>
  <si>
    <t>12/10/2024 23:00</t>
  </si>
  <si>
    <t>12/10/2024 23:15</t>
  </si>
  <si>
    <t>12/10/2024 23:30</t>
  </si>
  <si>
    <t>12/10/2024 23:45</t>
  </si>
  <si>
    <t>12/10/2024 24:00</t>
  </si>
  <si>
    <t>13/10/2024 00:15</t>
  </si>
  <si>
    <t>13/10/2024 00:30</t>
  </si>
  <si>
    <t>13/10/2024 00:45</t>
  </si>
  <si>
    <t>13/10/2024 01:00</t>
  </si>
  <si>
    <t>13/10/2024 01:15</t>
  </si>
  <si>
    <t>13/10/2024 01:30</t>
  </si>
  <si>
    <t>13/10/2024 01:45</t>
  </si>
  <si>
    <t>13/10/2024 02:00</t>
  </si>
  <si>
    <t>13/10/2024 02:15</t>
  </si>
  <si>
    <t>13/10/2024 02:30</t>
  </si>
  <si>
    <t>13/10/2024 02:45</t>
  </si>
  <si>
    <t>13/10/2024 03:00</t>
  </si>
  <si>
    <t>13/10/2024 03:15</t>
  </si>
  <si>
    <t>13/10/2024 03:30</t>
  </si>
  <si>
    <t>13/10/2024 03:45</t>
  </si>
  <si>
    <t>13/10/2024 04:00</t>
  </si>
  <si>
    <t>13/10/2024 04:15</t>
  </si>
  <si>
    <t>13/10/2024 04:30</t>
  </si>
  <si>
    <t>13/10/2024 04:45</t>
  </si>
  <si>
    <t>13/10/2024 05:00</t>
  </si>
  <si>
    <t>13/10/2024 05:15</t>
  </si>
  <si>
    <t>13/10/2024 05:30</t>
  </si>
  <si>
    <t>13/10/2024 05:45</t>
  </si>
  <si>
    <t>13/10/2024 06:00</t>
  </si>
  <si>
    <t>13/10/2024 06:15</t>
  </si>
  <si>
    <t>13/10/2024 06:30</t>
  </si>
  <si>
    <t>13/10/2024 06:45</t>
  </si>
  <si>
    <t>13/10/2024 07:00</t>
  </si>
  <si>
    <t>13/10/2024 07:15</t>
  </si>
  <si>
    <t>13/10/2024 07:30</t>
  </si>
  <si>
    <t>13/10/2024 07:45</t>
  </si>
  <si>
    <t>13/10/2024 08:00</t>
  </si>
  <si>
    <t>13/10/2024 08:15</t>
  </si>
  <si>
    <t>13/10/2024 08:30</t>
  </si>
  <si>
    <t>13/10/2024 08:45</t>
  </si>
  <si>
    <t>13/10/2024 09:00</t>
  </si>
  <si>
    <t>13/10/2024 09:15</t>
  </si>
  <si>
    <t>13/10/2024 09:30</t>
  </si>
  <si>
    <t>13/10/2024 09:45</t>
  </si>
  <si>
    <t>13/10/2024 10:00</t>
  </si>
  <si>
    <t>13/10/2024 10:15</t>
  </si>
  <si>
    <t>13/10/2024 10:30</t>
  </si>
  <si>
    <t>13/10/2024 10:45</t>
  </si>
  <si>
    <t>13/10/2024 11:00</t>
  </si>
  <si>
    <t>13/10/2024 11:15</t>
  </si>
  <si>
    <t>13/10/2024 11:30</t>
  </si>
  <si>
    <t>13/10/2024 11:45</t>
  </si>
  <si>
    <t>13/10/2024 12:00</t>
  </si>
  <si>
    <t>13/10/2024 12:15</t>
  </si>
  <si>
    <t>13/10/2024 12:30</t>
  </si>
  <si>
    <t>13/10/2024 12:45</t>
  </si>
  <si>
    <t>13/10/2024 13:00</t>
  </si>
  <si>
    <t>13/10/2024 13:15</t>
  </si>
  <si>
    <t>13/10/2024 13:30</t>
  </si>
  <si>
    <t>13/10/2024 13:45</t>
  </si>
  <si>
    <t>13/10/2024 14:00</t>
  </si>
  <si>
    <t>13/10/2024 14:15</t>
  </si>
  <si>
    <t>13/10/2024 14:30</t>
  </si>
  <si>
    <t>13/10/2024 14:45</t>
  </si>
  <si>
    <t>13/10/2024 15:00</t>
  </si>
  <si>
    <t>13/10/2024 15:15</t>
  </si>
  <si>
    <t>13/10/2024 15:30</t>
  </si>
  <si>
    <t>13/10/2024 15:45</t>
  </si>
  <si>
    <t>13/10/2024 16:00</t>
  </si>
  <si>
    <t>13/10/2024 16:15</t>
  </si>
  <si>
    <t>13/10/2024 16:30</t>
  </si>
  <si>
    <t>13/10/2024 16:45</t>
  </si>
  <si>
    <t>13/10/2024 17:00</t>
  </si>
  <si>
    <t>13/10/2024 17:15</t>
  </si>
  <si>
    <t>13/10/2024 17:30</t>
  </si>
  <si>
    <t>13/10/2024 17:45</t>
  </si>
  <si>
    <t>13/10/2024 18:00</t>
  </si>
  <si>
    <t>13/10/2024 18:15</t>
  </si>
  <si>
    <t>13/10/2024 18:30</t>
  </si>
  <si>
    <t>13/10/2024 18:45</t>
  </si>
  <si>
    <t>13/10/2024 19:00</t>
  </si>
  <si>
    <t>13/10/2024 19:15</t>
  </si>
  <si>
    <t>13/10/2024 19:30</t>
  </si>
  <si>
    <t>13/10/2024 19:45</t>
  </si>
  <si>
    <t>13/10/2024 20:00</t>
  </si>
  <si>
    <t>13/10/2024 20:15</t>
  </si>
  <si>
    <t>13/10/2024 20:30</t>
  </si>
  <si>
    <t>13/10/2024 20:45</t>
  </si>
  <si>
    <t>13/10/2024 21:00</t>
  </si>
  <si>
    <t>13/10/2024 21:15</t>
  </si>
  <si>
    <t>13/10/2024 21:30</t>
  </si>
  <si>
    <t>13/10/2024 21:45</t>
  </si>
  <si>
    <t>13/10/2024 22:00</t>
  </si>
  <si>
    <t>13/10/2024 22:15</t>
  </si>
  <si>
    <t>13/10/2024 22:30</t>
  </si>
  <si>
    <t>13/10/2024 22:45</t>
  </si>
  <si>
    <t>13/10/2024 23:00</t>
  </si>
  <si>
    <t>13/10/2024 23:15</t>
  </si>
  <si>
    <t>13/10/2024 23:30</t>
  </si>
  <si>
    <t>13/10/2024 23:45</t>
  </si>
  <si>
    <t>13/10/2024 24:00</t>
  </si>
  <si>
    <t>14/10/2024 00:15</t>
  </si>
  <si>
    <t>14/10/2024 00:30</t>
  </si>
  <si>
    <t>14/10/2024 00:45</t>
  </si>
  <si>
    <t>14/10/2024 01:00</t>
  </si>
  <si>
    <t>14/10/2024 01:15</t>
  </si>
  <si>
    <t>14/10/2024 01:30</t>
  </si>
  <si>
    <t>14/10/2024 01:45</t>
  </si>
  <si>
    <t>14/10/2024 02:00</t>
  </si>
  <si>
    <t>14/10/2024 02:15</t>
  </si>
  <si>
    <t>14/10/2024 02:30</t>
  </si>
  <si>
    <t>14/10/2024 02:45</t>
  </si>
  <si>
    <t>14/10/2024 03:00</t>
  </si>
  <si>
    <t>14/10/2024 03:15</t>
  </si>
  <si>
    <t>14/10/2024 03:30</t>
  </si>
  <si>
    <t>14/10/2024 03:45</t>
  </si>
  <si>
    <t>14/10/2024 04:00</t>
  </si>
  <si>
    <t>14/10/2024 04:15</t>
  </si>
  <si>
    <t>14/10/2024 04:30</t>
  </si>
  <si>
    <t>14/10/2024 04:45</t>
  </si>
  <si>
    <t>14/10/2024 05:00</t>
  </si>
  <si>
    <t>14/10/2024 05:15</t>
  </si>
  <si>
    <t>14/10/2024 05:30</t>
  </si>
  <si>
    <t>14/10/2024 05:45</t>
  </si>
  <si>
    <t>14/10/2024 06:00</t>
  </si>
  <si>
    <t>14/10/2024 06:15</t>
  </si>
  <si>
    <t>14/10/2024 06:30</t>
  </si>
  <si>
    <t>14/10/2024 06:45</t>
  </si>
  <si>
    <t>14/10/2024 07:00</t>
  </si>
  <si>
    <t>14/10/2024 07:15</t>
  </si>
  <si>
    <t>14/10/2024 07:30</t>
  </si>
  <si>
    <t>14/10/2024 07:45</t>
  </si>
  <si>
    <t>14/10/2024 08:00</t>
  </si>
  <si>
    <t>14/10/2024 08:15</t>
  </si>
  <si>
    <t>14/10/2024 08:30</t>
  </si>
  <si>
    <t>14/10/2024 08:45</t>
  </si>
  <si>
    <t>14/10/2024 09:00</t>
  </si>
  <si>
    <t>14/10/2024 09:15</t>
  </si>
  <si>
    <t>14/10/2024 09:30</t>
  </si>
  <si>
    <t>14/10/2024 09:45</t>
  </si>
  <si>
    <t>14/10/2024 10:00</t>
  </si>
  <si>
    <t>14/10/2024 10:15</t>
  </si>
  <si>
    <t>14/10/2024 10:30</t>
  </si>
  <si>
    <t>14/10/2024 10:45</t>
  </si>
  <si>
    <t>14/10/2024 11:00</t>
  </si>
  <si>
    <t>14/10/2024 11:15</t>
  </si>
  <si>
    <t>14/10/2024 11:30</t>
  </si>
  <si>
    <t>14/10/2024 11:45</t>
  </si>
  <si>
    <t>14/10/2024 12:00</t>
  </si>
  <si>
    <t>14/10/2024 12:15</t>
  </si>
  <si>
    <t>14/10/2024 12:30</t>
  </si>
  <si>
    <t>14/10/2024 12:45</t>
  </si>
  <si>
    <t>14/10/2024 13:00</t>
  </si>
  <si>
    <t>14/10/2024 13:15</t>
  </si>
  <si>
    <t>14/10/2024 13:30</t>
  </si>
  <si>
    <t>14/10/2024 13:45</t>
  </si>
  <si>
    <t>14/10/2024 14:00</t>
  </si>
  <si>
    <t>14/10/2024 14:15</t>
  </si>
  <si>
    <t>14/10/2024 14:30</t>
  </si>
  <si>
    <t>14/10/2024 14:45</t>
  </si>
  <si>
    <t>14/10/2024 15:00</t>
  </si>
  <si>
    <t>14/10/2024 15:15</t>
  </si>
  <si>
    <t>14/10/2024 15:30</t>
  </si>
  <si>
    <t>14/10/2024 15:45</t>
  </si>
  <si>
    <t>14/10/2024 16:00</t>
  </si>
  <si>
    <t>14/10/2024 16:15</t>
  </si>
  <si>
    <t>14/10/2024 16:30</t>
  </si>
  <si>
    <t>14/10/2024 16:45</t>
  </si>
  <si>
    <t>14/10/2024 17:00</t>
  </si>
  <si>
    <t>14/10/2024 17:15</t>
  </si>
  <si>
    <t>14/10/2024 17:30</t>
  </si>
  <si>
    <t>14/10/2024 17:45</t>
  </si>
  <si>
    <t>14/10/2024 18:00</t>
  </si>
  <si>
    <t>14/10/2024 18:15</t>
  </si>
  <si>
    <t>14/10/2024 18:30</t>
  </si>
  <si>
    <t>14/10/2024 18:45</t>
  </si>
  <si>
    <t>14/10/2024 19:00</t>
  </si>
  <si>
    <t>14/10/2024 19:15</t>
  </si>
  <si>
    <t>14/10/2024 19:30</t>
  </si>
  <si>
    <t>14/10/2024 19:45</t>
  </si>
  <si>
    <t>14/10/2024 20:00</t>
  </si>
  <si>
    <t>14/10/2024 20:15</t>
  </si>
  <si>
    <t>14/10/2024 20:30</t>
  </si>
  <si>
    <t>14/10/2024 20:45</t>
  </si>
  <si>
    <t>14/10/2024 21:00</t>
  </si>
  <si>
    <t>14/10/2024 21:15</t>
  </si>
  <si>
    <t>14/10/2024 21:30</t>
  </si>
  <si>
    <t>14/10/2024 21:45</t>
  </si>
  <si>
    <t>14/10/2024 22:00</t>
  </si>
  <si>
    <t>14/10/2024 22:15</t>
  </si>
  <si>
    <t>14/10/2024 22:30</t>
  </si>
  <si>
    <t>14/10/2024 22:45</t>
  </si>
  <si>
    <t>14/10/2024 23:00</t>
  </si>
  <si>
    <t>14/10/2024 23:15</t>
  </si>
  <si>
    <t>14/10/2024 23:30</t>
  </si>
  <si>
    <t>14/10/2024 23:45</t>
  </si>
  <si>
    <t>14/10/2024 24:00</t>
  </si>
  <si>
    <t>15/10/2024 00:15</t>
  </si>
  <si>
    <t>15/10/2024 00:30</t>
  </si>
  <si>
    <t>15/10/2024 00:45</t>
  </si>
  <si>
    <t>15/10/2024 01:00</t>
  </si>
  <si>
    <t>15/10/2024 01:15</t>
  </si>
  <si>
    <t>15/10/2024 01:30</t>
  </si>
  <si>
    <t>15/10/2024 01:45</t>
  </si>
  <si>
    <t>15/10/2024 02:00</t>
  </si>
  <si>
    <t>15/10/2024 02:15</t>
  </si>
  <si>
    <t>15/10/2024 02:30</t>
  </si>
  <si>
    <t>15/10/2024 02:45</t>
  </si>
  <si>
    <t>15/10/2024 03:00</t>
  </si>
  <si>
    <t>15/10/2024 03:15</t>
  </si>
  <si>
    <t>15/10/2024 03:30</t>
  </si>
  <si>
    <t>15/10/2024 03:45</t>
  </si>
  <si>
    <t>15/10/2024 04:00</t>
  </si>
  <si>
    <t>15/10/2024 04:15</t>
  </si>
  <si>
    <t>15/10/2024 04:30</t>
  </si>
  <si>
    <t>15/10/2024 04:45</t>
  </si>
  <si>
    <t>15/10/2024 05:00</t>
  </si>
  <si>
    <t>15/10/2024 05:15</t>
  </si>
  <si>
    <t>15/10/2024 05:30</t>
  </si>
  <si>
    <t>15/10/2024 05:45</t>
  </si>
  <si>
    <t>15/10/2024 06:00</t>
  </si>
  <si>
    <t>15/10/2024 06:15</t>
  </si>
  <si>
    <t>15/10/2024 06:30</t>
  </si>
  <si>
    <t>15/10/2024 06:45</t>
  </si>
  <si>
    <t>15/10/2024 07:00</t>
  </si>
  <si>
    <t>15/10/2024 07:15</t>
  </si>
  <si>
    <t>15/10/2024 07:30</t>
  </si>
  <si>
    <t>15/10/2024 07:45</t>
  </si>
  <si>
    <t>15/10/2024 08:00</t>
  </si>
  <si>
    <t>15/10/2024 08:15</t>
  </si>
  <si>
    <t>15/10/2024 08:30</t>
  </si>
  <si>
    <t>15/10/2024 08:45</t>
  </si>
  <si>
    <t>15/10/2024 09:00</t>
  </si>
  <si>
    <t>15/10/2024 09:15</t>
  </si>
  <si>
    <t>15/10/2024 09:30</t>
  </si>
  <si>
    <t>15/10/2024 09:45</t>
  </si>
  <si>
    <t>15/10/2024 10:00</t>
  </si>
  <si>
    <t>15/10/2024 10:15</t>
  </si>
  <si>
    <t>15/10/2024 10:30</t>
  </si>
  <si>
    <t>15/10/2024 10:45</t>
  </si>
  <si>
    <t>15/10/2024 11:00</t>
  </si>
  <si>
    <t>15/10/2024 11:15</t>
  </si>
  <si>
    <t>15/10/2024 11:30</t>
  </si>
  <si>
    <t>15/10/2024 11:45</t>
  </si>
  <si>
    <t>15/10/2024 12:00</t>
  </si>
  <si>
    <t>15/10/2024 12:15</t>
  </si>
  <si>
    <t>15/10/2024 12:30</t>
  </si>
  <si>
    <t>15/10/2024 12:45</t>
  </si>
  <si>
    <t>15/10/2024 13:00</t>
  </si>
  <si>
    <t>15/10/2024 13:15</t>
  </si>
  <si>
    <t>15/10/2024 13:30</t>
  </si>
  <si>
    <t>15/10/2024 13:45</t>
  </si>
  <si>
    <t>15/10/2024 14:00</t>
  </si>
  <si>
    <t>15/10/2024 14:15</t>
  </si>
  <si>
    <t>15/10/2024 14:30</t>
  </si>
  <si>
    <t>15/10/2024 14:45</t>
  </si>
  <si>
    <t>15/10/2024 15:00</t>
  </si>
  <si>
    <t>15/10/2024 15:15</t>
  </si>
  <si>
    <t>15/10/2024 15:30</t>
  </si>
  <si>
    <t>15/10/2024 15:45</t>
  </si>
  <si>
    <t>15/10/2024 16:00</t>
  </si>
  <si>
    <t>15/10/2024 16:15</t>
  </si>
  <si>
    <t>15/10/2024 16:30</t>
  </si>
  <si>
    <t>15/10/2024 16:45</t>
  </si>
  <si>
    <t>15/10/2024 17:00</t>
  </si>
  <si>
    <t>15/10/2024 17:15</t>
  </si>
  <si>
    <t>15/10/2024 17:30</t>
  </si>
  <si>
    <t>15/10/2024 17:45</t>
  </si>
  <si>
    <t>15/10/2024 18:00</t>
  </si>
  <si>
    <t>15/10/2024 18:15</t>
  </si>
  <si>
    <t>15/10/2024 18:30</t>
  </si>
  <si>
    <t>15/10/2024 18:45</t>
  </si>
  <si>
    <t>15/10/2024 19:00</t>
  </si>
  <si>
    <t>15/10/2024 19:15</t>
  </si>
  <si>
    <t>15/10/2024 19:30</t>
  </si>
  <si>
    <t>15/10/2024 19:45</t>
  </si>
  <si>
    <t>15/10/2024 20:00</t>
  </si>
  <si>
    <t>15/10/2024 20:15</t>
  </si>
  <si>
    <t>15/10/2024 20:30</t>
  </si>
  <si>
    <t>15/10/2024 20:45</t>
  </si>
  <si>
    <t>15/10/2024 21:00</t>
  </si>
  <si>
    <t>15/10/2024 21:15</t>
  </si>
  <si>
    <t>15/10/2024 21:30</t>
  </si>
  <si>
    <t>15/10/2024 21:45</t>
  </si>
  <si>
    <t>15/10/2024 22:00</t>
  </si>
  <si>
    <t>15/10/2024 22:15</t>
  </si>
  <si>
    <t>15/10/2024 22:30</t>
  </si>
  <si>
    <t>15/10/2024 22:45</t>
  </si>
  <si>
    <t>15/10/2024 23:00</t>
  </si>
  <si>
    <t>15/10/2024 23:15</t>
  </si>
  <si>
    <t>15/10/2024 23:30</t>
  </si>
  <si>
    <t>15/10/2024 23:45</t>
  </si>
  <si>
    <t>15/10/2024 24:00</t>
  </si>
  <si>
    <t>16/10/2024 00:15</t>
  </si>
  <si>
    <t>16/10/2024 00:30</t>
  </si>
  <si>
    <t>16/10/2024 00:45</t>
  </si>
  <si>
    <t>16/10/2024 01:00</t>
  </si>
  <si>
    <t>16/10/2024 01:15</t>
  </si>
  <si>
    <t>16/10/2024 01:30</t>
  </si>
  <si>
    <t>16/10/2024 01:45</t>
  </si>
  <si>
    <t>16/10/2024 02:00</t>
  </si>
  <si>
    <t>16/10/2024 02:15</t>
  </si>
  <si>
    <t>16/10/2024 02:30</t>
  </si>
  <si>
    <t>16/10/2024 02:45</t>
  </si>
  <si>
    <t>16/10/2024 03:00</t>
  </si>
  <si>
    <t>16/10/2024 03:15</t>
  </si>
  <si>
    <t>16/10/2024 03:30</t>
  </si>
  <si>
    <t>16/10/2024 03:45</t>
  </si>
  <si>
    <t>16/10/2024 04:00</t>
  </si>
  <si>
    <t>16/10/2024 04:15</t>
  </si>
  <si>
    <t>16/10/2024 04:30</t>
  </si>
  <si>
    <t>16/10/2024 04:45</t>
  </si>
  <si>
    <t>16/10/2024 05:00</t>
  </si>
  <si>
    <t>16/10/2024 05:15</t>
  </si>
  <si>
    <t>16/10/2024 05:30</t>
  </si>
  <si>
    <t>16/10/2024 05:45</t>
  </si>
  <si>
    <t>16/10/2024 06:00</t>
  </si>
  <si>
    <t>16/10/2024 06:15</t>
  </si>
  <si>
    <t>16/10/2024 06:30</t>
  </si>
  <si>
    <t>16/10/2024 06:45</t>
  </si>
  <si>
    <t>16/10/2024 07:00</t>
  </si>
  <si>
    <t>16/10/2024 07:15</t>
  </si>
  <si>
    <t>16/10/2024 07:30</t>
  </si>
  <si>
    <t>16/10/2024 07:45</t>
  </si>
  <si>
    <t>16/10/2024 08:00</t>
  </si>
  <si>
    <t>16/10/2024 08:15</t>
  </si>
  <si>
    <t>16/10/2024 08:30</t>
  </si>
  <si>
    <t>16/10/2024 08:45</t>
  </si>
  <si>
    <t>16/10/2024 09:00</t>
  </si>
  <si>
    <t>16/10/2024 09:15</t>
  </si>
  <si>
    <t>16/10/2024 09:30</t>
  </si>
  <si>
    <t>16/10/2024 09:45</t>
  </si>
  <si>
    <t>16/10/2024 10:00</t>
  </si>
  <si>
    <t>16/10/2024 10:15</t>
  </si>
  <si>
    <t>16/10/2024 10:30</t>
  </si>
  <si>
    <t>16/10/2024 10:45</t>
  </si>
  <si>
    <t>16/10/2024 11:00</t>
  </si>
  <si>
    <t>16/10/2024 11:15</t>
  </si>
  <si>
    <t>16/10/2024 11:30</t>
  </si>
  <si>
    <t>16/10/2024 11:45</t>
  </si>
  <si>
    <t>16/10/2024 12:00</t>
  </si>
  <si>
    <t>16/10/2024 12:15</t>
  </si>
  <si>
    <t>16/10/2024 12:30</t>
  </si>
  <si>
    <t>16/10/2024 12:45</t>
  </si>
  <si>
    <t>16/10/2024 13:00</t>
  </si>
  <si>
    <t>16/10/2024 13:15</t>
  </si>
  <si>
    <t>16/10/2024 13:30</t>
  </si>
  <si>
    <t>16/10/2024 13:45</t>
  </si>
  <si>
    <t>16/10/2024 14:00</t>
  </si>
  <si>
    <t>16/10/2024 14:15</t>
  </si>
  <si>
    <t>16/10/2024 14:30</t>
  </si>
  <si>
    <t>16/10/2024 14:45</t>
  </si>
  <si>
    <t>16/10/2024 15:00</t>
  </si>
  <si>
    <t>16/10/2024 15:15</t>
  </si>
  <si>
    <t>16/10/2024 15:30</t>
  </si>
  <si>
    <t>16/10/2024 15:45</t>
  </si>
  <si>
    <t>16/10/2024 16:00</t>
  </si>
  <si>
    <t>16/10/2024 16:15</t>
  </si>
  <si>
    <t>16/10/2024 16:30</t>
  </si>
  <si>
    <t>16/10/2024 16:45</t>
  </si>
  <si>
    <t>16/10/2024 17:00</t>
  </si>
  <si>
    <t>16/10/2024 17:15</t>
  </si>
  <si>
    <t>16/10/2024 17:30</t>
  </si>
  <si>
    <t>16/10/2024 17:45</t>
  </si>
  <si>
    <t>16/10/2024 18:00</t>
  </si>
  <si>
    <t>16/10/2024 18:15</t>
  </si>
  <si>
    <t>16/10/2024 18:30</t>
  </si>
  <si>
    <t>16/10/2024 18:45</t>
  </si>
  <si>
    <t>16/10/2024 19:00</t>
  </si>
  <si>
    <t>16/10/2024 19:15</t>
  </si>
  <si>
    <t>16/10/2024 19:30</t>
  </si>
  <si>
    <t>16/10/2024 19:45</t>
  </si>
  <si>
    <t>16/10/2024 20:00</t>
  </si>
  <si>
    <t>16/10/2024 20:15</t>
  </si>
  <si>
    <t>16/10/2024 20:30</t>
  </si>
  <si>
    <t>16/10/2024 20:45</t>
  </si>
  <si>
    <t>16/10/2024 21:00</t>
  </si>
  <si>
    <t>16/10/2024 21:15</t>
  </si>
  <si>
    <t>16/10/2024 21:30</t>
  </si>
  <si>
    <t>16/10/2024 21:45</t>
  </si>
  <si>
    <t>16/10/2024 22:00</t>
  </si>
  <si>
    <t>16/10/2024 22:15</t>
  </si>
  <si>
    <t>16/10/2024 22:30</t>
  </si>
  <si>
    <t>16/10/2024 22:45</t>
  </si>
  <si>
    <t>16/10/2024 23:00</t>
  </si>
  <si>
    <t>16/10/2024 23:15</t>
  </si>
  <si>
    <t>16/10/2024 23:30</t>
  </si>
  <si>
    <t>16/10/2024 23:45</t>
  </si>
  <si>
    <t>16/10/2024 24:00</t>
  </si>
  <si>
    <t>835 ug/cm2</t>
  </si>
  <si>
    <t>847 ug/cm2</t>
  </si>
  <si>
    <t>17/10/2024 00:15</t>
  </si>
  <si>
    <t>17/10/2024 00:30</t>
  </si>
  <si>
    <t>17/10/2024 00:45</t>
  </si>
  <si>
    <t>17/10/2024 01:00</t>
  </si>
  <si>
    <t>17/10/2024 01:15</t>
  </si>
  <si>
    <t>17/10/2024 01:30</t>
  </si>
  <si>
    <t>17/10/2024 01:45</t>
  </si>
  <si>
    <t>17/10/2024 02:00</t>
  </si>
  <si>
    <t>17/10/2024 02:15</t>
  </si>
  <si>
    <t>17/10/2024 02:30</t>
  </si>
  <si>
    <t>17/10/2024 02:45</t>
  </si>
  <si>
    <t>17/10/2024 03:00</t>
  </si>
  <si>
    <t>17/10/2024 03:15</t>
  </si>
  <si>
    <t>17/10/2024 03:30</t>
  </si>
  <si>
    <t>17/10/2024 03:45</t>
  </si>
  <si>
    <t>17/10/2024 04:00</t>
  </si>
  <si>
    <t>17/10/2024 04:15</t>
  </si>
  <si>
    <t>17/10/2024 04:30</t>
  </si>
  <si>
    <t>17/10/2024 04:45</t>
  </si>
  <si>
    <t>17/10/2024 05:00</t>
  </si>
  <si>
    <t>17/10/2024 05:15</t>
  </si>
  <si>
    <t>17/10/2024 05:30</t>
  </si>
  <si>
    <t>17/10/2024 05:45</t>
  </si>
  <si>
    <t>17/10/2024 06:00</t>
  </si>
  <si>
    <t>17/10/2024 06:15</t>
  </si>
  <si>
    <t>17/10/2024 06:30</t>
  </si>
  <si>
    <t>17/10/2024 06:45</t>
  </si>
  <si>
    <t>17/10/2024 07:00</t>
  </si>
  <si>
    <t>17/10/2024 07:15</t>
  </si>
  <si>
    <t>17/10/2024 07:30</t>
  </si>
  <si>
    <t>17/10/2024 07:45</t>
  </si>
  <si>
    <t>17/10/2024 08:00</t>
  </si>
  <si>
    <t>17/10/2024 08:15</t>
  </si>
  <si>
    <t>17/10/2024 08:30</t>
  </si>
  <si>
    <t>17/10/2024 08:45</t>
  </si>
  <si>
    <t>17/10/2024 09:00</t>
  </si>
  <si>
    <t>17/10/2024 09:15</t>
  </si>
  <si>
    <t>17/10/2024 09:30</t>
  </si>
  <si>
    <t>17/10/2024 09:45</t>
  </si>
  <si>
    <t>17/10/2024 10:00</t>
  </si>
  <si>
    <t>17/10/2024 10:15</t>
  </si>
  <si>
    <t>17/10/2024 10:30</t>
  </si>
  <si>
    <t>17/10/2024 10:45</t>
  </si>
  <si>
    <t>17/10/2024 11:00</t>
  </si>
  <si>
    <t>17/10/2024 11:15</t>
  </si>
  <si>
    <t>17/10/2024 11:30</t>
  </si>
  <si>
    <t>17/10/2024 11:45</t>
  </si>
  <si>
    <t>17/10/2024 12:00</t>
  </si>
  <si>
    <t>17/10/2024 12:15</t>
  </si>
  <si>
    <t>17/10/2024 12:30</t>
  </si>
  <si>
    <t>17/10/2024 12:45</t>
  </si>
  <si>
    <t>17/10/2024 13:00</t>
  </si>
  <si>
    <t>17/10/2024 13:15</t>
  </si>
  <si>
    <t>17/10/2024 13:30</t>
  </si>
  <si>
    <t>17/10/2024 13:45</t>
  </si>
  <si>
    <t>17/10/2024 14:00</t>
  </si>
  <si>
    <t>17/10/2024 14:15</t>
  </si>
  <si>
    <t>17/10/2024 14:30</t>
  </si>
  <si>
    <t>17/10/2024 14:45</t>
  </si>
  <si>
    <t>17/10/2024 15:00</t>
  </si>
  <si>
    <t>17/10/2024 15:15</t>
  </si>
  <si>
    <t>17/10/2024 15:30</t>
  </si>
  <si>
    <t>17/10/2024 15:45</t>
  </si>
  <si>
    <t>17/10/2024 16:00</t>
  </si>
  <si>
    <t>17/10/2024 16:15</t>
  </si>
  <si>
    <t>17/10/2024 16:30</t>
  </si>
  <si>
    <t>17/10/2024 16:45</t>
  </si>
  <si>
    <t>17/10/2024 17:00</t>
  </si>
  <si>
    <t>17/10/2024 17:15</t>
  </si>
  <si>
    <t>17/10/2024 17:30</t>
  </si>
  <si>
    <t>17/10/2024 17:45</t>
  </si>
  <si>
    <t>17/10/2024 18:00</t>
  </si>
  <si>
    <t>17/10/2024 18:15</t>
  </si>
  <si>
    <t>17/10/2024 18:30</t>
  </si>
  <si>
    <t>17/10/2024 18:45</t>
  </si>
  <si>
    <t>17/10/2024 19:00</t>
  </si>
  <si>
    <t>17/10/2024 19:15</t>
  </si>
  <si>
    <t>17/10/2024 19:30</t>
  </si>
  <si>
    <t>17/10/2024 19:45</t>
  </si>
  <si>
    <t>17/10/2024 20:00</t>
  </si>
  <si>
    <t>17/10/2024 20:15</t>
  </si>
  <si>
    <t>17/10/2024 20:30</t>
  </si>
  <si>
    <t>17/10/2024 20:45</t>
  </si>
  <si>
    <t>17/10/2024 21:00</t>
  </si>
  <si>
    <t>17/10/2024 21:15</t>
  </si>
  <si>
    <t>17/10/2024 21:30</t>
  </si>
  <si>
    <t>17/10/2024 21:45</t>
  </si>
  <si>
    <t>17/10/2024 22:00</t>
  </si>
  <si>
    <t>17/10/2024 22:15</t>
  </si>
  <si>
    <t>17/10/2024 22:30</t>
  </si>
  <si>
    <t>17/10/2024 22:45</t>
  </si>
  <si>
    <t>17/10/2024 23:00</t>
  </si>
  <si>
    <t>17/10/2024 23:15</t>
  </si>
  <si>
    <t>17/10/2024 23:30</t>
  </si>
  <si>
    <t>17/10/2024 23:45</t>
  </si>
  <si>
    <t>17/10/2024 24:00</t>
  </si>
  <si>
    <t>18/10/2024 00:15</t>
  </si>
  <si>
    <t>18/10/2024 00:30</t>
  </si>
  <si>
    <t>18/10/2024 00:45</t>
  </si>
  <si>
    <t>18/10/2024 01:00</t>
  </si>
  <si>
    <t>18/10/2024 01:15</t>
  </si>
  <si>
    <t>18/10/2024 01:30</t>
  </si>
  <si>
    <t>18/10/2024 01:45</t>
  </si>
  <si>
    <t>18/10/2024 02:00</t>
  </si>
  <si>
    <t>18/10/2024 02:15</t>
  </si>
  <si>
    <t>18/10/2024 02:30</t>
  </si>
  <si>
    <t>18/10/2024 02:45</t>
  </si>
  <si>
    <t>18/10/2024 03:00</t>
  </si>
  <si>
    <t>18/10/2024 03:15</t>
  </si>
  <si>
    <t>18/10/2024 03:30</t>
  </si>
  <si>
    <t>18/10/2024 03:45</t>
  </si>
  <si>
    <t>18/10/2024 04:00</t>
  </si>
  <si>
    <t>18/10/2024 04:15</t>
  </si>
  <si>
    <t>18/10/2024 04:30</t>
  </si>
  <si>
    <t>18/10/2024 04:45</t>
  </si>
  <si>
    <t>18/10/2024 05:00</t>
  </si>
  <si>
    <t>18/10/2024 05:15</t>
  </si>
  <si>
    <t>18/10/2024 05:30</t>
  </si>
  <si>
    <t>18/10/2024 05:45</t>
  </si>
  <si>
    <t>18/10/2024 06:00</t>
  </si>
  <si>
    <t>18/10/2024 06:15</t>
  </si>
  <si>
    <t>18/10/2024 06:30</t>
  </si>
  <si>
    <t>18/10/2024 06:45</t>
  </si>
  <si>
    <t>18/10/2024 07:00</t>
  </si>
  <si>
    <t>18/10/2024 07:15</t>
  </si>
  <si>
    <t>18/10/2024 07:30</t>
  </si>
  <si>
    <t>18/10/2024 07:45</t>
  </si>
  <si>
    <t>18/10/2024 08:00</t>
  </si>
  <si>
    <t>18/10/2024 08:15</t>
  </si>
  <si>
    <t>18/10/2024 08:30</t>
  </si>
  <si>
    <t>18/10/2024 08:45</t>
  </si>
  <si>
    <t>18/10/2024 09:00</t>
  </si>
  <si>
    <t>18/10/2024 09:15</t>
  </si>
  <si>
    <t>18/10/2024 09:30</t>
  </si>
  <si>
    <t>18/10/2024 09:45</t>
  </si>
  <si>
    <t>18/10/2024 10:00</t>
  </si>
  <si>
    <t>18/10/2024 10:15</t>
  </si>
  <si>
    <t>18/10/2024 10:30</t>
  </si>
  <si>
    <t>18/10/2024 10:45</t>
  </si>
  <si>
    <t>18/10/2024 11:00</t>
  </si>
  <si>
    <t>18/10/2024 11:15</t>
  </si>
  <si>
    <t>18/10/2024 11:30</t>
  </si>
  <si>
    <t>18/10/2024 11:45</t>
  </si>
  <si>
    <t>18/10/2024 12:00</t>
  </si>
  <si>
    <t>18/10/2024 12:15</t>
  </si>
  <si>
    <t>18/10/2024 12:30</t>
  </si>
  <si>
    <t>18/10/2024 12:45</t>
  </si>
  <si>
    <t>18/10/2024 13:00</t>
  </si>
  <si>
    <t>18/10/2024 13:15</t>
  </si>
  <si>
    <t>18/10/2024 13:30</t>
  </si>
  <si>
    <t>18/10/2024 13:45</t>
  </si>
  <si>
    <t>18/10/2024 14:00</t>
  </si>
  <si>
    <t>18/10/2024 14:15</t>
  </si>
  <si>
    <t>18/10/2024 14:30</t>
  </si>
  <si>
    <t>18/10/2024 14:45</t>
  </si>
  <si>
    <t>18/10/2024 15:00</t>
  </si>
  <si>
    <t>18/10/2024 15:15</t>
  </si>
  <si>
    <t>18/10/2024 15:30</t>
  </si>
  <si>
    <t>18/10/2024 15:45</t>
  </si>
  <si>
    <t>18/10/2024 16:00</t>
  </si>
  <si>
    <t>18/10/2024 16:15</t>
  </si>
  <si>
    <t>18/10/2024 16:30</t>
  </si>
  <si>
    <t>18/10/2024 16:45</t>
  </si>
  <si>
    <t>18/10/2024 17:00</t>
  </si>
  <si>
    <t>18/10/2024 17:15</t>
  </si>
  <si>
    <t>18/10/2024 17:30</t>
  </si>
  <si>
    <t>18/10/2024 17:45</t>
  </si>
  <si>
    <t>18/10/2024 18:00</t>
  </si>
  <si>
    <t>18/10/2024 18:15</t>
  </si>
  <si>
    <t>18/10/2024 18:30</t>
  </si>
  <si>
    <t>18/10/2024 18:45</t>
  </si>
  <si>
    <t>18/10/2024 19:00</t>
  </si>
  <si>
    <t>18/10/2024 19:15</t>
  </si>
  <si>
    <t>18/10/2024 19:30</t>
  </si>
  <si>
    <t>18/10/2024 19:45</t>
  </si>
  <si>
    <t>18/10/2024 20:00</t>
  </si>
  <si>
    <t>18/10/2024 20:15</t>
  </si>
  <si>
    <t>18/10/2024 20:30</t>
  </si>
  <si>
    <t>18/10/2024 20:45</t>
  </si>
  <si>
    <t>18/10/2024 21:00</t>
  </si>
  <si>
    <t>18/10/2024 21:15</t>
  </si>
  <si>
    <t>18/10/2024 21:30</t>
  </si>
  <si>
    <t>18/10/2024 21:45</t>
  </si>
  <si>
    <t>18/10/2024 22:00</t>
  </si>
  <si>
    <t>18/10/2024 22:15</t>
  </si>
  <si>
    <t>18/10/2024 22:30</t>
  </si>
  <si>
    <t>18/10/2024 22:45</t>
  </si>
  <si>
    <t>18/10/2024 23:00</t>
  </si>
  <si>
    <t>18/10/2024 23:15</t>
  </si>
  <si>
    <t>18/10/2024 23:30</t>
  </si>
  <si>
    <t>18/10/2024 23:45</t>
  </si>
  <si>
    <t>18/10/2024 24:00</t>
  </si>
  <si>
    <t>19/10/2024 00:15</t>
  </si>
  <si>
    <t>19/10/2024 00:30</t>
  </si>
  <si>
    <t>19/10/2024 00:45</t>
  </si>
  <si>
    <t>19/10/2024 01:00</t>
  </si>
  <si>
    <t>19/10/2024 01:15</t>
  </si>
  <si>
    <t>19/10/2024 01:30</t>
  </si>
  <si>
    <t>19/10/2024 01:45</t>
  </si>
  <si>
    <t>19/10/2024 02:00</t>
  </si>
  <si>
    <t>19/10/2024 02:15</t>
  </si>
  <si>
    <t>19/10/2024 02:30</t>
  </si>
  <si>
    <t>19/10/2024 02:45</t>
  </si>
  <si>
    <t>19/10/2024 03:00</t>
  </si>
  <si>
    <t>19/10/2024 03:15</t>
  </si>
  <si>
    <t>19/10/2024 03:30</t>
  </si>
  <si>
    <t>19/10/2024 03:45</t>
  </si>
  <si>
    <t>19/10/2024 04:00</t>
  </si>
  <si>
    <t>19/10/2024 04:15</t>
  </si>
  <si>
    <t>19/10/2024 04:30</t>
  </si>
  <si>
    <t>19/10/2024 04:45</t>
  </si>
  <si>
    <t>19/10/2024 05:00</t>
  </si>
  <si>
    <t>19/10/2024 05:15</t>
  </si>
  <si>
    <t>19/10/2024 05:30</t>
  </si>
  <si>
    <t>19/10/2024 05:45</t>
  </si>
  <si>
    <t>19/10/2024 06:00</t>
  </si>
  <si>
    <t>19/10/2024 06:15</t>
  </si>
  <si>
    <t>19/10/2024 06:30</t>
  </si>
  <si>
    <t>19/10/2024 06:45</t>
  </si>
  <si>
    <t>19/10/2024 07:00</t>
  </si>
  <si>
    <t>19/10/2024 07:15</t>
  </si>
  <si>
    <t>19/10/2024 07:30</t>
  </si>
  <si>
    <t>19/10/2024 07:45</t>
  </si>
  <si>
    <t>19/10/2024 08:00</t>
  </si>
  <si>
    <t>19/10/2024 08:15</t>
  </si>
  <si>
    <t>19/10/2024 08:30</t>
  </si>
  <si>
    <t>19/10/2024 08:45</t>
  </si>
  <si>
    <t>19/10/2024 09:00</t>
  </si>
  <si>
    <t>19/10/2024 09:15</t>
  </si>
  <si>
    <t>19/10/2024 09:30</t>
  </si>
  <si>
    <t>19/10/2024 09:45</t>
  </si>
  <si>
    <t>19/10/2024 10:00</t>
  </si>
  <si>
    <t>19/10/2024 10:15</t>
  </si>
  <si>
    <t>19/10/2024 10:30</t>
  </si>
  <si>
    <t>19/10/2024 10:45</t>
  </si>
  <si>
    <t>19/10/2024 11:00</t>
  </si>
  <si>
    <t>19/10/2024 11:15</t>
  </si>
  <si>
    <t>19/10/2024 11:30</t>
  </si>
  <si>
    <t>19/10/2024 11:45</t>
  </si>
  <si>
    <t>19/10/2024 12:00</t>
  </si>
  <si>
    <t>19/10/2024 12:15</t>
  </si>
  <si>
    <t>19/10/2024 12:30</t>
  </si>
  <si>
    <t>19/10/2024 12:45</t>
  </si>
  <si>
    <t>19/10/2024 13:00</t>
  </si>
  <si>
    <t>19/10/2024 13:15</t>
  </si>
  <si>
    <t>19/10/2024 13:30</t>
  </si>
  <si>
    <t>19/10/2024 13:45</t>
  </si>
  <si>
    <t>19/10/2024 14:00</t>
  </si>
  <si>
    <t>19/10/2024 14:15</t>
  </si>
  <si>
    <t>19/10/2024 14:30</t>
  </si>
  <si>
    <t>19/10/2024 14:45</t>
  </si>
  <si>
    <t>19/10/2024 15:00</t>
  </si>
  <si>
    <t>19/10/2024 15:15</t>
  </si>
  <si>
    <t>19/10/2024 15:30</t>
  </si>
  <si>
    <t>19/10/2024 15:45</t>
  </si>
  <si>
    <t>19/10/2024 16:00</t>
  </si>
  <si>
    <t>19/10/2024 16:15</t>
  </si>
  <si>
    <t>19/10/2024 16:30</t>
  </si>
  <si>
    <t>19/10/2024 16:45</t>
  </si>
  <si>
    <t>19/10/2024 17:00</t>
  </si>
  <si>
    <t>19/10/2024 17:15</t>
  </si>
  <si>
    <t>19/10/2024 17:30</t>
  </si>
  <si>
    <t>19/10/2024 17:45</t>
  </si>
  <si>
    <t>19/10/2024 18:00</t>
  </si>
  <si>
    <t>19/10/2024 18:15</t>
  </si>
  <si>
    <t>19/10/2024 18:30</t>
  </si>
  <si>
    <t>19/10/2024 18:45</t>
  </si>
  <si>
    <t>19/10/2024 19:00</t>
  </si>
  <si>
    <t>19/10/2024 19:15</t>
  </si>
  <si>
    <t>19/10/2024 19:30</t>
  </si>
  <si>
    <t>19/10/2024 19:45</t>
  </si>
  <si>
    <t>19/10/2024 20:00</t>
  </si>
  <si>
    <t>19/10/2024 20:15</t>
  </si>
  <si>
    <t>19/10/2024 20:30</t>
  </si>
  <si>
    <t>19/10/2024 20:45</t>
  </si>
  <si>
    <t>19/10/2024 21:00</t>
  </si>
  <si>
    <t>19/10/2024 21:15</t>
  </si>
  <si>
    <t>19/10/2024 21:30</t>
  </si>
  <si>
    <t>19/10/2024 21:45</t>
  </si>
  <si>
    <t>19/10/2024 22:00</t>
  </si>
  <si>
    <t>19/10/2024 22:15</t>
  </si>
  <si>
    <t>19/10/2024 22:30</t>
  </si>
  <si>
    <t>19/10/2024 22:45</t>
  </si>
  <si>
    <t>19/10/2024 23:00</t>
  </si>
  <si>
    <t>19/10/2024 23:15</t>
  </si>
  <si>
    <t>19/10/2024 23:30</t>
  </si>
  <si>
    <t>19/10/2024 23:45</t>
  </si>
  <si>
    <t>19/10/2024 24:00</t>
  </si>
  <si>
    <t>20/10/2024 00:15</t>
  </si>
  <si>
    <t>20/10/2024 00:30</t>
  </si>
  <si>
    <t>20/10/2024 00:45</t>
  </si>
  <si>
    <t>20/10/2024 01:00</t>
  </si>
  <si>
    <t>20/10/2024 01:15</t>
  </si>
  <si>
    <t>20/10/2024 01:30</t>
  </si>
  <si>
    <t>20/10/2024 01:45</t>
  </si>
  <si>
    <t>20/10/2024 02:00</t>
  </si>
  <si>
    <t>20/10/2024 02:15</t>
  </si>
  <si>
    <t>20/10/2024 02:30</t>
  </si>
  <si>
    <t>20/10/2024 02:45</t>
  </si>
  <si>
    <t>20/10/2024 03:00</t>
  </si>
  <si>
    <t>20/10/2024 03:15</t>
  </si>
  <si>
    <t>20/10/2024 03:30</t>
  </si>
  <si>
    <t>20/10/2024 03:45</t>
  </si>
  <si>
    <t>20/10/2024 04:00</t>
  </si>
  <si>
    <t>20/10/2024 04:15</t>
  </si>
  <si>
    <t>20/10/2024 04:30</t>
  </si>
  <si>
    <t>20/10/2024 04:45</t>
  </si>
  <si>
    <t>20/10/2024 05:00</t>
  </si>
  <si>
    <t>20/10/2024 05:15</t>
  </si>
  <si>
    <t>20/10/2024 05:30</t>
  </si>
  <si>
    <t>20/10/2024 05:45</t>
  </si>
  <si>
    <t>20/10/2024 06:00</t>
  </si>
  <si>
    <t>20/10/2024 06:15</t>
  </si>
  <si>
    <t>20/10/2024 06:30</t>
  </si>
  <si>
    <t>20/10/2024 06:45</t>
  </si>
  <si>
    <t>20/10/2024 07:00</t>
  </si>
  <si>
    <t>20/10/2024 07:15</t>
  </si>
  <si>
    <t>20/10/2024 07:30</t>
  </si>
  <si>
    <t>20/10/2024 07:45</t>
  </si>
  <si>
    <t>20/10/2024 08:00</t>
  </si>
  <si>
    <t>20/10/2024 08:15</t>
  </si>
  <si>
    <t>20/10/2024 08:30</t>
  </si>
  <si>
    <t>20/10/2024 08:45</t>
  </si>
  <si>
    <t>20/10/2024 09:00</t>
  </si>
  <si>
    <t>20/10/2024 09:15</t>
  </si>
  <si>
    <t>20/10/2024 09:30</t>
  </si>
  <si>
    <t>20/10/2024 09:45</t>
  </si>
  <si>
    <t>20/10/2024 10:00</t>
  </si>
  <si>
    <t>20/10/2024 10:15</t>
  </si>
  <si>
    <t>20/10/2024 10:30</t>
  </si>
  <si>
    <t>20/10/2024 10:45</t>
  </si>
  <si>
    <t>20/10/2024 11:00</t>
  </si>
  <si>
    <t>20/10/2024 11:15</t>
  </si>
  <si>
    <t>20/10/2024 11:30</t>
  </si>
  <si>
    <t>20/10/2024 11:45</t>
  </si>
  <si>
    <t>20/10/2024 12:00</t>
  </si>
  <si>
    <t>20/10/2024 12:15</t>
  </si>
  <si>
    <t>20/10/2024 12:30</t>
  </si>
  <si>
    <t>20/10/2024 12:45</t>
  </si>
  <si>
    <t>20/10/2024 13:00</t>
  </si>
  <si>
    <t>20/10/2024 13:15</t>
  </si>
  <si>
    <t>20/10/2024 13:30</t>
  </si>
  <si>
    <t>20/10/2024 13:45</t>
  </si>
  <si>
    <t>20/10/2024 14:00</t>
  </si>
  <si>
    <t>20/10/2024 14:15</t>
  </si>
  <si>
    <t>20/10/2024 14:30</t>
  </si>
  <si>
    <t>20/10/2024 14:45</t>
  </si>
  <si>
    <t>20/10/2024 15:00</t>
  </si>
  <si>
    <t>20/10/2024 15:15</t>
  </si>
  <si>
    <t>20/10/2024 15:30</t>
  </si>
  <si>
    <t>20/10/2024 15:45</t>
  </si>
  <si>
    <t>20/10/2024 16:00</t>
  </si>
  <si>
    <t>20/10/2024 16:15</t>
  </si>
  <si>
    <t>20/10/2024 16:30</t>
  </si>
  <si>
    <t>20/10/2024 16:45</t>
  </si>
  <si>
    <t>20/10/2024 17:00</t>
  </si>
  <si>
    <t>20/10/2024 17:15</t>
  </si>
  <si>
    <t>20/10/2024 17:30</t>
  </si>
  <si>
    <t>20/10/2024 17:45</t>
  </si>
  <si>
    <t>20/10/2024 18:00</t>
  </si>
  <si>
    <t>20/10/2024 18:15</t>
  </si>
  <si>
    <t>20/10/2024 18:30</t>
  </si>
  <si>
    <t>20/10/2024 18:45</t>
  </si>
  <si>
    <t>20/10/2024 19:00</t>
  </si>
  <si>
    <t>20/10/2024 19:15</t>
  </si>
  <si>
    <t>20/10/2024 19:30</t>
  </si>
  <si>
    <t>20/10/2024 19:45</t>
  </si>
  <si>
    <t>20/10/2024 20:00</t>
  </si>
  <si>
    <t>20/10/2024 20:15</t>
  </si>
  <si>
    <t>20/10/2024 20:30</t>
  </si>
  <si>
    <t>20/10/2024 20:45</t>
  </si>
  <si>
    <t>20/10/2024 21:00</t>
  </si>
  <si>
    <t>20/10/2024 21:15</t>
  </si>
  <si>
    <t>20/10/2024 21:30</t>
  </si>
  <si>
    <t>20/10/2024 21:45</t>
  </si>
  <si>
    <t>20/10/2024 22:00</t>
  </si>
  <si>
    <t>20/10/2024 22:15</t>
  </si>
  <si>
    <t>20/10/2024 22:30</t>
  </si>
  <si>
    <t>20/10/2024 22:45</t>
  </si>
  <si>
    <t>20/10/2024 23:00</t>
  </si>
  <si>
    <t>20/10/2024 23:15</t>
  </si>
  <si>
    <t>20/10/2024 23:30</t>
  </si>
  <si>
    <t>20/10/2024 23:45</t>
  </si>
  <si>
    <t>20/10/2024 24:00</t>
  </si>
  <si>
    <t>21/10/2024 00:15</t>
  </si>
  <si>
    <t>21/10/2024 00:30</t>
  </si>
  <si>
    <t>21/10/2024 00:45</t>
  </si>
  <si>
    <t>21/10/2024 01:00</t>
  </si>
  <si>
    <t>21/10/2024 01:15</t>
  </si>
  <si>
    <t>21/10/2024 01:30</t>
  </si>
  <si>
    <t>21/10/2024 01:45</t>
  </si>
  <si>
    <t>21/10/2024 02:00</t>
  </si>
  <si>
    <t>21/10/2024 02:15</t>
  </si>
  <si>
    <t>21/10/2024 02:30</t>
  </si>
  <si>
    <t>21/10/2024 02:45</t>
  </si>
  <si>
    <t>21/10/2024 03:00</t>
  </si>
  <si>
    <t>21/10/2024 03:15</t>
  </si>
  <si>
    <t>21/10/2024 03:30</t>
  </si>
  <si>
    <t>21/10/2024 03:45</t>
  </si>
  <si>
    <t>21/10/2024 04:00</t>
  </si>
  <si>
    <t>21/10/2024 04:15</t>
  </si>
  <si>
    <t>21/10/2024 04:30</t>
  </si>
  <si>
    <t>21/10/2024 04:45</t>
  </si>
  <si>
    <t>21/10/2024 05:00</t>
  </si>
  <si>
    <t>21/10/2024 05:15</t>
  </si>
  <si>
    <t>21/10/2024 05:30</t>
  </si>
  <si>
    <t>21/10/2024 05:45</t>
  </si>
  <si>
    <t>21/10/2024 06:00</t>
  </si>
  <si>
    <t>21/10/2024 06:15</t>
  </si>
  <si>
    <t>21/10/2024 06:30</t>
  </si>
  <si>
    <t>21/10/2024 06:45</t>
  </si>
  <si>
    <t>21/10/2024 07:00</t>
  </si>
  <si>
    <t>21/10/2024 07:15</t>
  </si>
  <si>
    <t>21/10/2024 07:30</t>
  </si>
  <si>
    <t>21/10/2024 07:45</t>
  </si>
  <si>
    <t>21/10/2024 08:00</t>
  </si>
  <si>
    <t>21/10/2024 08:15</t>
  </si>
  <si>
    <t>21/10/2024 08:30</t>
  </si>
  <si>
    <t>21/10/2024 08:45</t>
  </si>
  <si>
    <t>21/10/2024 09:00</t>
  </si>
  <si>
    <t>21/10/2024 09:15</t>
  </si>
  <si>
    <t>21/10/2024 09:30</t>
  </si>
  <si>
    <t>21/10/2024 09:45</t>
  </si>
  <si>
    <t>21/10/2024 10:00</t>
  </si>
  <si>
    <t>21/10/2024 10:15</t>
  </si>
  <si>
    <t>21/10/2024 10:30</t>
  </si>
  <si>
    <t>21/10/2024 10:45</t>
  </si>
  <si>
    <t>21/10/2024 11:00</t>
  </si>
  <si>
    <t>21/10/2024 11:15</t>
  </si>
  <si>
    <t>21/10/2024 11:30</t>
  </si>
  <si>
    <t>21/10/2024 11:45</t>
  </si>
  <si>
    <t>21/10/2024 12:00</t>
  </si>
  <si>
    <t>21/10/2024 12:15</t>
  </si>
  <si>
    <t>21/10/2024 12:30</t>
  </si>
  <si>
    <t>21/10/2024 12:45</t>
  </si>
  <si>
    <t>21/10/2024 13:00</t>
  </si>
  <si>
    <t>21/10/2024 13:15</t>
  </si>
  <si>
    <t>21/10/2024 13:30</t>
  </si>
  <si>
    <t>21/10/2024 13:45</t>
  </si>
  <si>
    <t>21/10/2024 14:00</t>
  </si>
  <si>
    <t>21/10/2024 14:15</t>
  </si>
  <si>
    <t>21/10/2024 14:30</t>
  </si>
  <si>
    <t>21/10/2024 14:45</t>
  </si>
  <si>
    <t>21/10/2024 15:00</t>
  </si>
  <si>
    <t>21/10/2024 15:15</t>
  </si>
  <si>
    <t>21/10/2024 15:30</t>
  </si>
  <si>
    <t>21/10/2024 15:45</t>
  </si>
  <si>
    <t>21/10/2024 16:00</t>
  </si>
  <si>
    <t>21/10/2024 16:15</t>
  </si>
  <si>
    <t>21/10/2024 16:30</t>
  </si>
  <si>
    <t>21/10/2024 16:45</t>
  </si>
  <si>
    <t>21/10/2024 17:00</t>
  </si>
  <si>
    <t>21/10/2024 17:15</t>
  </si>
  <si>
    <t>21/10/2024 17:30</t>
  </si>
  <si>
    <t>21/10/2024 17:45</t>
  </si>
  <si>
    <t>21/10/2024 18:00</t>
  </si>
  <si>
    <t>21/10/2024 18:15</t>
  </si>
  <si>
    <t>21/10/2024 18:30</t>
  </si>
  <si>
    <t>21/10/2024 18:45</t>
  </si>
  <si>
    <t>21/10/2024 19:00</t>
  </si>
  <si>
    <t>21/10/2024 19:15</t>
  </si>
  <si>
    <t>21/10/2024 19:30</t>
  </si>
  <si>
    <t>21/10/2024 19:45</t>
  </si>
  <si>
    <t>21/10/2024 20:00</t>
  </si>
  <si>
    <t>21/10/2024 20:15</t>
  </si>
  <si>
    <t>21/10/2024 20:30</t>
  </si>
  <si>
    <t>21/10/2024 20:45</t>
  </si>
  <si>
    <t>21/10/2024 21:00</t>
  </si>
  <si>
    <t>21/10/2024 21:15</t>
  </si>
  <si>
    <t>21/10/2024 21:30</t>
  </si>
  <si>
    <t>21/10/2024 21:45</t>
  </si>
  <si>
    <t>21/10/2024 22:00</t>
  </si>
  <si>
    <t>21/10/2024 22:15</t>
  </si>
  <si>
    <t>21/10/2024 22:30</t>
  </si>
  <si>
    <t>21/10/2024 22:45</t>
  </si>
  <si>
    <t>21/10/2024 23:00</t>
  </si>
  <si>
    <t>21/10/2024 23:15</t>
  </si>
  <si>
    <t>21/10/2024 23:30</t>
  </si>
  <si>
    <t>21/10/2024 23:45</t>
  </si>
  <si>
    <t>21/10/2024 24:00</t>
  </si>
  <si>
    <t>22/10/2024 00:15</t>
  </si>
  <si>
    <t>22/10/2024 00:30</t>
  </si>
  <si>
    <t>22/10/2024 00:45</t>
  </si>
  <si>
    <t>22/10/2024 01:00</t>
  </si>
  <si>
    <t>22/10/2024 01:15</t>
  </si>
  <si>
    <t>22/10/2024 01:30</t>
  </si>
  <si>
    <t>22/10/2024 01:45</t>
  </si>
  <si>
    <t>22/10/2024 02:00</t>
  </si>
  <si>
    <t>22/10/2024 02:15</t>
  </si>
  <si>
    <t>22/10/2024 02:30</t>
  </si>
  <si>
    <t>22/10/2024 02:45</t>
  </si>
  <si>
    <t>22/10/2024 03:00</t>
  </si>
  <si>
    <t>22/10/2024 03:15</t>
  </si>
  <si>
    <t>22/10/2024 03:30</t>
  </si>
  <si>
    <t>22/10/2024 03:45</t>
  </si>
  <si>
    <t>22/10/2024 04:00</t>
  </si>
  <si>
    <t>22/10/2024 04:15</t>
  </si>
  <si>
    <t>22/10/2024 04:30</t>
  </si>
  <si>
    <t>22/10/2024 04:45</t>
  </si>
  <si>
    <t>22/10/2024 05:00</t>
  </si>
  <si>
    <t>22/10/2024 05:15</t>
  </si>
  <si>
    <t>22/10/2024 05:30</t>
  </si>
  <si>
    <t>22/10/2024 05:45</t>
  </si>
  <si>
    <t>22/10/2024 06:00</t>
  </si>
  <si>
    <t>22/10/2024 06:15</t>
  </si>
  <si>
    <t>22/10/2024 06:30</t>
  </si>
  <si>
    <t>22/10/2024 06:45</t>
  </si>
  <si>
    <t>22/10/2024 07:00</t>
  </si>
  <si>
    <t>22/10/2024 07:15</t>
  </si>
  <si>
    <t>22/10/2024 07:30</t>
  </si>
  <si>
    <t>22/10/2024 07:45</t>
  </si>
  <si>
    <t>22/10/2024 08:00</t>
  </si>
  <si>
    <t>22/10/2024 08:15</t>
  </si>
  <si>
    <t>22/10/2024 08:30</t>
  </si>
  <si>
    <t>22/10/2024 08:45</t>
  </si>
  <si>
    <t>22/10/2024 09:00</t>
  </si>
  <si>
    <t>22/10/2024 09:15</t>
  </si>
  <si>
    <t>22/10/2024 09:30</t>
  </si>
  <si>
    <t>22/10/2024 09:45</t>
  </si>
  <si>
    <t>22/10/2024 10:00</t>
  </si>
  <si>
    <t>22/10/2024 10:15</t>
  </si>
  <si>
    <t>22/10/2024 10:30</t>
  </si>
  <si>
    <t>22/10/2024 10:45</t>
  </si>
  <si>
    <t>22/10/2024 11:00</t>
  </si>
  <si>
    <t>22/10/2024 11:15</t>
  </si>
  <si>
    <t>22/10/2024 11:30</t>
  </si>
  <si>
    <t>22/10/2024 11:45</t>
  </si>
  <si>
    <t>22/10/2024 12:00</t>
  </si>
  <si>
    <t>22/10/2024 12:15</t>
  </si>
  <si>
    <t>22/10/2024 12:30</t>
  </si>
  <si>
    <t>22/10/2024 12:45</t>
  </si>
  <si>
    <t>22/10/2024 13:00</t>
  </si>
  <si>
    <t>22/10/2024 13:15</t>
  </si>
  <si>
    <t>22/10/2024 13:30</t>
  </si>
  <si>
    <t>22/10/2024 13:45</t>
  </si>
  <si>
    <t>22/10/2024 14:00</t>
  </si>
  <si>
    <t>22/10/2024 14:15</t>
  </si>
  <si>
    <t>22/10/2024 14:30</t>
  </si>
  <si>
    <t>22/10/2024 14:45</t>
  </si>
  <si>
    <t>22/10/2024 15:00</t>
  </si>
  <si>
    <t>22/10/2024 15:15</t>
  </si>
  <si>
    <t>22/10/2024 15:30</t>
  </si>
  <si>
    <t>22/10/2024 15:45</t>
  </si>
  <si>
    <t>22/10/2024 16:00</t>
  </si>
  <si>
    <t>22/10/2024 16:15</t>
  </si>
  <si>
    <t>22/10/2024 16:30</t>
  </si>
  <si>
    <t>22/10/2024 16:45</t>
  </si>
  <si>
    <t>22/10/2024 17:00</t>
  </si>
  <si>
    <t>22/10/2024 17:15</t>
  </si>
  <si>
    <t>22/10/2024 17:30</t>
  </si>
  <si>
    <t>22/10/2024 17:45</t>
  </si>
  <si>
    <t>22/10/2024 18:00</t>
  </si>
  <si>
    <t>22/10/2024 18:15</t>
  </si>
  <si>
    <t>22/10/2024 18:30</t>
  </si>
  <si>
    <t>22/10/2024 18:45</t>
  </si>
  <si>
    <t>22/10/2024 19:00</t>
  </si>
  <si>
    <t>22/10/2024 19:15</t>
  </si>
  <si>
    <t>22/10/2024 19:30</t>
  </si>
  <si>
    <t>22/10/2024 19:45</t>
  </si>
  <si>
    <t>22/10/2024 20:00</t>
  </si>
  <si>
    <t>22/10/2024 20:15</t>
  </si>
  <si>
    <t>22/10/2024 20:30</t>
  </si>
  <si>
    <t>22/10/2024 20:45</t>
  </si>
  <si>
    <t>22/10/2024 21:00</t>
  </si>
  <si>
    <t>22/10/2024 21:15</t>
  </si>
  <si>
    <t>22/10/2024 21:30</t>
  </si>
  <si>
    <t>22/10/2024 21:45</t>
  </si>
  <si>
    <t>22/10/2024 22:00</t>
  </si>
  <si>
    <t>22/10/2024 22:15</t>
  </si>
  <si>
    <t>22/10/2024 22:30</t>
  </si>
  <si>
    <t>22/10/2024 22:45</t>
  </si>
  <si>
    <t>22/10/2024 23:00</t>
  </si>
  <si>
    <t>22/10/2024 23:15</t>
  </si>
  <si>
    <t>22/10/2024 23:30</t>
  </si>
  <si>
    <t>22/10/2024 23:45</t>
  </si>
  <si>
    <t>22/10/2024 24:00</t>
  </si>
  <si>
    <t>23/10/2024 00:15</t>
  </si>
  <si>
    <t>23/10/2024 00:30</t>
  </si>
  <si>
    <t>23/10/2024 00:45</t>
  </si>
  <si>
    <t>23/10/2024 01:00</t>
  </si>
  <si>
    <t>23/10/2024 01:15</t>
  </si>
  <si>
    <t>23/10/2024 01:30</t>
  </si>
  <si>
    <t>23/10/2024 01:45</t>
  </si>
  <si>
    <t>23/10/2024 02:00</t>
  </si>
  <si>
    <t>23/10/2024 02:15</t>
  </si>
  <si>
    <t>23/10/2024 02:30</t>
  </si>
  <si>
    <t>23/10/2024 02:45</t>
  </si>
  <si>
    <t>23/10/2024 03:00</t>
  </si>
  <si>
    <t>23/10/2024 03:15</t>
  </si>
  <si>
    <t>23/10/2024 03:30</t>
  </si>
  <si>
    <t>23/10/2024 03:45</t>
  </si>
  <si>
    <t>23/10/2024 04:00</t>
  </si>
  <si>
    <t>23/10/2024 04:15</t>
  </si>
  <si>
    <t>23/10/2024 04:30</t>
  </si>
  <si>
    <t>23/10/2024 04:45</t>
  </si>
  <si>
    <t>23/10/2024 05:00</t>
  </si>
  <si>
    <t>23/10/2024 05:15</t>
  </si>
  <si>
    <t>23/10/2024 05:30</t>
  </si>
  <si>
    <t>23/10/2024 05:45</t>
  </si>
  <si>
    <t>23/10/2024 06:00</t>
  </si>
  <si>
    <t>23/10/2024 06:15</t>
  </si>
  <si>
    <t>23/10/2024 06:30</t>
  </si>
  <si>
    <t>23/10/2024 06:45</t>
  </si>
  <si>
    <t>23/10/2024 07:00</t>
  </si>
  <si>
    <t>23/10/2024 07:15</t>
  </si>
  <si>
    <t>23/10/2024 07:30</t>
  </si>
  <si>
    <t>23/10/2024 07:45</t>
  </si>
  <si>
    <t>23/10/2024 08:00</t>
  </si>
  <si>
    <t>23/10/2024 08:15</t>
  </si>
  <si>
    <t>23/10/2024 08:30</t>
  </si>
  <si>
    <t>23/10/2024 08:45</t>
  </si>
  <si>
    <t>23/10/2024 09:00</t>
  </si>
  <si>
    <t>23/10/2024 09:15</t>
  </si>
  <si>
    <t>23/10/2024 09:30</t>
  </si>
  <si>
    <t>23/10/2024 09:45</t>
  </si>
  <si>
    <t>23/10/2024 10:00</t>
  </si>
  <si>
    <t>23/10/2024 10:15</t>
  </si>
  <si>
    <t>23/10/2024 10:30</t>
  </si>
  <si>
    <t>23/10/2024 10:45</t>
  </si>
  <si>
    <t>23/10/2024 11:00</t>
  </si>
  <si>
    <t>23/10/2024 11:15</t>
  </si>
  <si>
    <t>23/10/2024 11:30</t>
  </si>
  <si>
    <t>23/10/2024 11:45</t>
  </si>
  <si>
    <t>23/10/2024 12:00</t>
  </si>
  <si>
    <t>23/10/2024 12:15</t>
  </si>
  <si>
    <t>23/10/2024 12:30</t>
  </si>
  <si>
    <t>23/10/2024 12:45</t>
  </si>
  <si>
    <t>23/10/2024 13:00</t>
  </si>
  <si>
    <t>23/10/2024 13:15</t>
  </si>
  <si>
    <t>23/10/2024 13:30</t>
  </si>
  <si>
    <t>23/10/2024 13:45</t>
  </si>
  <si>
    <t>23/10/2024 14:00</t>
  </si>
  <si>
    <t>23/10/2024 14:15</t>
  </si>
  <si>
    <t>23/10/2024 14:30</t>
  </si>
  <si>
    <t>23/10/2024 14:45</t>
  </si>
  <si>
    <t>23/10/2024 15:00</t>
  </si>
  <si>
    <t>23/10/2024 15:15</t>
  </si>
  <si>
    <t>23/10/2024 15:30</t>
  </si>
  <si>
    <t>23/10/2024 15:45</t>
  </si>
  <si>
    <t>23/10/2024 16:00</t>
  </si>
  <si>
    <t>23/10/2024 16:15</t>
  </si>
  <si>
    <t>23/10/2024 16:30</t>
  </si>
  <si>
    <t>23/10/2024 16:45</t>
  </si>
  <si>
    <t>23/10/2024 17:00</t>
  </si>
  <si>
    <t>23/10/2024 17:15</t>
  </si>
  <si>
    <t>23/10/2024 17:30</t>
  </si>
  <si>
    <t>23/10/2024 17:45</t>
  </si>
  <si>
    <t>23/10/2024 18:00</t>
  </si>
  <si>
    <t>23/10/2024 18:15</t>
  </si>
  <si>
    <t>23/10/2024 18:30</t>
  </si>
  <si>
    <t>23/10/2024 18:45</t>
  </si>
  <si>
    <t>23/10/2024 19:00</t>
  </si>
  <si>
    <t>23/10/2024 19:15</t>
  </si>
  <si>
    <t>23/10/2024 19:30</t>
  </si>
  <si>
    <t>23/10/2024 19:45</t>
  </si>
  <si>
    <t>23/10/2024 20:00</t>
  </si>
  <si>
    <t>23/10/2024 20:15</t>
  </si>
  <si>
    <t>23/10/2024 20:30</t>
  </si>
  <si>
    <t>23/10/2024 20:45</t>
  </si>
  <si>
    <t>23/10/2024 21:00</t>
  </si>
  <si>
    <t>23/10/2024 21:15</t>
  </si>
  <si>
    <t>23/10/2024 21:30</t>
  </si>
  <si>
    <t>23/10/2024 21:45</t>
  </si>
  <si>
    <t>23/10/2024 22:00</t>
  </si>
  <si>
    <t>23/10/2024 22:15</t>
  </si>
  <si>
    <t>23/10/2024 22:30</t>
  </si>
  <si>
    <t>23/10/2024 22:45</t>
  </si>
  <si>
    <t>23/10/2024 23:00</t>
  </si>
  <si>
    <t>23/10/2024 23:15</t>
  </si>
  <si>
    <t>23/10/2024 23:30</t>
  </si>
  <si>
    <t>23/10/2024 23:45</t>
  </si>
  <si>
    <t>23/10/2024 24:00</t>
  </si>
  <si>
    <t>24/10/2024 00:15</t>
  </si>
  <si>
    <t>24/10/2024 00:30</t>
  </si>
  <si>
    <t>24/10/2024 00:45</t>
  </si>
  <si>
    <t>24/10/2024 01:00</t>
  </si>
  <si>
    <t>24/10/2024 01:15</t>
  </si>
  <si>
    <t>24/10/2024 01:30</t>
  </si>
  <si>
    <t>24/10/2024 01:45</t>
  </si>
  <si>
    <t>24/10/2024 02:00</t>
  </si>
  <si>
    <t>24/10/2024 02:15</t>
  </si>
  <si>
    <t>24/10/2024 02:30</t>
  </si>
  <si>
    <t>24/10/2024 02:45</t>
  </si>
  <si>
    <t>24/10/2024 03:00</t>
  </si>
  <si>
    <t>24/10/2024 03:15</t>
  </si>
  <si>
    <t>24/10/2024 03:30</t>
  </si>
  <si>
    <t>24/10/2024 03:45</t>
  </si>
  <si>
    <t>24/10/2024 04:00</t>
  </si>
  <si>
    <t>24/10/2024 04:15</t>
  </si>
  <si>
    <t>24/10/2024 04:30</t>
  </si>
  <si>
    <t>24/10/2024 04:45</t>
  </si>
  <si>
    <t>24/10/2024 05:00</t>
  </si>
  <si>
    <t>24/10/2024 05:15</t>
  </si>
  <si>
    <t>24/10/2024 05:30</t>
  </si>
  <si>
    <t>24/10/2024 05:45</t>
  </si>
  <si>
    <t>24/10/2024 06:00</t>
  </si>
  <si>
    <t>24/10/2024 06:15</t>
  </si>
  <si>
    <t>24/10/2024 06:30</t>
  </si>
  <si>
    <t>24/10/2024 06:45</t>
  </si>
  <si>
    <t>24/10/2024 07:00</t>
  </si>
  <si>
    <t>24/10/2024 07:15</t>
  </si>
  <si>
    <t>24/10/2024 07:30</t>
  </si>
  <si>
    <t>24/10/2024 07:45</t>
  </si>
  <si>
    <t>24/10/2024 08:00</t>
  </si>
  <si>
    <t>24/10/2024 08:15</t>
  </si>
  <si>
    <t>24/10/2024 08:30</t>
  </si>
  <si>
    <t>24/10/2024 08:45</t>
  </si>
  <si>
    <t>24/10/2024 09:00</t>
  </si>
  <si>
    <t>24/10/2024 09:15</t>
  </si>
  <si>
    <t>24/10/2024 09:30</t>
  </si>
  <si>
    <t>24/10/2024 09:45</t>
  </si>
  <si>
    <t>24/10/2024 10:00</t>
  </si>
  <si>
    <t>24/10/2024 10:15</t>
  </si>
  <si>
    <t>24/10/2024 10:30</t>
  </si>
  <si>
    <t>24/10/2024 10:45</t>
  </si>
  <si>
    <t>24/10/2024 11:00</t>
  </si>
  <si>
    <t>24/10/2024 11:15</t>
  </si>
  <si>
    <t>24/10/2024 11:30</t>
  </si>
  <si>
    <t>24/10/2024 11:45</t>
  </si>
  <si>
    <t>24/10/2024 12:00</t>
  </si>
  <si>
    <t>24/10/2024 12:15</t>
  </si>
  <si>
    <t>24/10/2024 12:30</t>
  </si>
  <si>
    <t>24/10/2024 12:45</t>
  </si>
  <si>
    <t>24/10/2024 13:00</t>
  </si>
  <si>
    <t>24/10/2024 13:15</t>
  </si>
  <si>
    <t>24/10/2024 13:30</t>
  </si>
  <si>
    <t>24/10/2024 13:45</t>
  </si>
  <si>
    <t>24/10/2024 14:00</t>
  </si>
  <si>
    <t>24/10/2024 14:15</t>
  </si>
  <si>
    <t>24/10/2024 14:30</t>
  </si>
  <si>
    <t>24/10/2024 14:45</t>
  </si>
  <si>
    <t>24/10/2024 15:00</t>
  </si>
  <si>
    <t>24/10/2024 15:15</t>
  </si>
  <si>
    <t>24/10/2024 15:30</t>
  </si>
  <si>
    <t>24/10/2024 15:45</t>
  </si>
  <si>
    <t>24/10/2024 16:00</t>
  </si>
  <si>
    <t>24/10/2024 16:15</t>
  </si>
  <si>
    <t>24/10/2024 16:30</t>
  </si>
  <si>
    <t>24/10/2024 16:45</t>
  </si>
  <si>
    <t>24/10/2024 17:00</t>
  </si>
  <si>
    <t>24/10/2024 17:15</t>
  </si>
  <si>
    <t>24/10/2024 17:30</t>
  </si>
  <si>
    <t>24/10/2024 17:45</t>
  </si>
  <si>
    <t>24/10/2024 18:00</t>
  </si>
  <si>
    <t>24/10/2024 18:15</t>
  </si>
  <si>
    <t>24/10/2024 18:30</t>
  </si>
  <si>
    <t>24/10/2024 18:45</t>
  </si>
  <si>
    <t>24/10/2024 19:00</t>
  </si>
  <si>
    <t>24/10/2024 19:15</t>
  </si>
  <si>
    <t>24/10/2024 19:30</t>
  </si>
  <si>
    <t>24/10/2024 19:45</t>
  </si>
  <si>
    <t>24/10/2024 20:00</t>
  </si>
  <si>
    <t>24/10/2024 20:15</t>
  </si>
  <si>
    <t>24/10/2024 20:30</t>
  </si>
  <si>
    <t>24/10/2024 20:45</t>
  </si>
  <si>
    <t>24/10/2024 21:00</t>
  </si>
  <si>
    <t>24/10/2024 21:15</t>
  </si>
  <si>
    <t>24/10/2024 21:30</t>
  </si>
  <si>
    <t>24/10/2024 21:45</t>
  </si>
  <si>
    <t>24/10/2024 22:00</t>
  </si>
  <si>
    <t>24/10/2024 22:15</t>
  </si>
  <si>
    <t>24/10/2024 22:30</t>
  </si>
  <si>
    <t>24/10/2024 22:45</t>
  </si>
  <si>
    <t>24/10/2024 23:00</t>
  </si>
  <si>
    <t>24/10/2024 23:15</t>
  </si>
  <si>
    <t>24/10/2024 23:30</t>
  </si>
  <si>
    <t>24/10/2024 23:45</t>
  </si>
  <si>
    <t>24/10/2024 24:00</t>
  </si>
  <si>
    <t>25/10/2024 00:15</t>
  </si>
  <si>
    <t>25/10/2024 00:30</t>
  </si>
  <si>
    <t>25/10/2024 00:45</t>
  </si>
  <si>
    <t>25/10/2024 01:00</t>
  </si>
  <si>
    <t>25/10/2024 01:15</t>
  </si>
  <si>
    <t>25/10/2024 01:30</t>
  </si>
  <si>
    <t>25/10/2024 01:45</t>
  </si>
  <si>
    <t>25/10/2024 02:00</t>
  </si>
  <si>
    <t>25/10/2024 02:15</t>
  </si>
  <si>
    <t>25/10/2024 02:30</t>
  </si>
  <si>
    <t>25/10/2024 02:45</t>
  </si>
  <si>
    <t>25/10/2024 03:00</t>
  </si>
  <si>
    <t>25/10/2024 03:15</t>
  </si>
  <si>
    <t>25/10/2024 03:30</t>
  </si>
  <si>
    <t>25/10/2024 03:45</t>
  </si>
  <si>
    <t>25/10/2024 04:00</t>
  </si>
  <si>
    <t>25/10/2024 04:15</t>
  </si>
  <si>
    <t>25/10/2024 04:30</t>
  </si>
  <si>
    <t>25/10/2024 04:45</t>
  </si>
  <si>
    <t>25/10/2024 05:00</t>
  </si>
  <si>
    <t>25/10/2024 05:15</t>
  </si>
  <si>
    <t>25/10/2024 05:30</t>
  </si>
  <si>
    <t>25/10/2024 05:45</t>
  </si>
  <si>
    <t>25/10/2024 06:00</t>
  </si>
  <si>
    <t>25/10/2024 06:15</t>
  </si>
  <si>
    <t>25/10/2024 06:30</t>
  </si>
  <si>
    <t>25/10/2024 06:45</t>
  </si>
  <si>
    <t>25/10/2024 07:00</t>
  </si>
  <si>
    <t>25/10/2024 07:15</t>
  </si>
  <si>
    <t>25/10/2024 07:30</t>
  </si>
  <si>
    <t>25/10/2024 07:45</t>
  </si>
  <si>
    <t>25/10/2024 08:00</t>
  </si>
  <si>
    <t>25/10/2024 08:15</t>
  </si>
  <si>
    <t>25/10/2024 08:30</t>
  </si>
  <si>
    <t>25/10/2024 08:45</t>
  </si>
  <si>
    <t>25/10/2024 09:00</t>
  </si>
  <si>
    <t>25/10/2024 09:15</t>
  </si>
  <si>
    <t>25/10/2024 09:30</t>
  </si>
  <si>
    <t>25/10/2024 09:45</t>
  </si>
  <si>
    <t>25/10/2024 10:00</t>
  </si>
  <si>
    <t>25/10/2024 10:15</t>
  </si>
  <si>
    <t>25/10/2024 10:30</t>
  </si>
  <si>
    <t>25/10/2024 10:45</t>
  </si>
  <si>
    <t>25/10/2024 11:00</t>
  </si>
  <si>
    <t>25/10/2024 11:15</t>
  </si>
  <si>
    <t>25/10/2024 11:30</t>
  </si>
  <si>
    <t>25/10/2024 11:45</t>
  </si>
  <si>
    <t>25/10/2024 12:00</t>
  </si>
  <si>
    <t>25/10/2024 12:15</t>
  </si>
  <si>
    <t>25/10/2024 12:30</t>
  </si>
  <si>
    <t>25/10/2024 12:45</t>
  </si>
  <si>
    <t>25/10/2024 13:00</t>
  </si>
  <si>
    <t>25/10/2024 13:15</t>
  </si>
  <si>
    <t>25/10/2024 13:30</t>
  </si>
  <si>
    <t>25/10/2024 13:45</t>
  </si>
  <si>
    <t>25/10/2024 14:00</t>
  </si>
  <si>
    <t>25/10/2024 14:15</t>
  </si>
  <si>
    <t>25/10/2024 14:30</t>
  </si>
  <si>
    <t>25/10/2024 14:45</t>
  </si>
  <si>
    <t>25/10/2024 15:00</t>
  </si>
  <si>
    <t>25/10/2024 15:15</t>
  </si>
  <si>
    <t>25/10/2024 15:30</t>
  </si>
  <si>
    <t>25/10/2024 15:45</t>
  </si>
  <si>
    <t>25/10/2024 16:00</t>
  </si>
  <si>
    <t>25/10/2024 16:15</t>
  </si>
  <si>
    <t>25/10/2024 16:30</t>
  </si>
  <si>
    <t>25/10/2024 16:45</t>
  </si>
  <si>
    <t>25/10/2024 17:00</t>
  </si>
  <si>
    <t>25/10/2024 17:15</t>
  </si>
  <si>
    <t>25/10/2024 17:30</t>
  </si>
  <si>
    <t>25/10/2024 17:45</t>
  </si>
  <si>
    <t>25/10/2024 18:00</t>
  </si>
  <si>
    <t>25/10/2024 18:15</t>
  </si>
  <si>
    <t>25/10/2024 18:30</t>
  </si>
  <si>
    <t>25/10/2024 18:45</t>
  </si>
  <si>
    <t>25/10/2024 19:00</t>
  </si>
  <si>
    <t>25/10/2024 19:15</t>
  </si>
  <si>
    <t>25/10/2024 19:30</t>
  </si>
  <si>
    <t>25/10/2024 19:45</t>
  </si>
  <si>
    <t>25/10/2024 20:00</t>
  </si>
  <si>
    <t>25/10/2024 20:15</t>
  </si>
  <si>
    <t>25/10/2024 20:30</t>
  </si>
  <si>
    <t>25/10/2024 20:45</t>
  </si>
  <si>
    <t>25/10/2024 21:00</t>
  </si>
  <si>
    <t>25/10/2024 21:15</t>
  </si>
  <si>
    <t>25/10/2024 21:30</t>
  </si>
  <si>
    <t>25/10/2024 21:45</t>
  </si>
  <si>
    <t>25/10/2024 22:00</t>
  </si>
  <si>
    <t>25/10/2024 22:15</t>
  </si>
  <si>
    <t>25/10/2024 22:30</t>
  </si>
  <si>
    <t>25/10/2024 22:45</t>
  </si>
  <si>
    <t>25/10/2024 23:00</t>
  </si>
  <si>
    <t>25/10/2024 23:15</t>
  </si>
  <si>
    <t>25/10/2024 23:30</t>
  </si>
  <si>
    <t>25/10/2024 23:45</t>
  </si>
  <si>
    <t>25/10/2024 24:00</t>
  </si>
  <si>
    <t>26/10/2024 00:15</t>
  </si>
  <si>
    <t>26/10/2024 00:30</t>
  </si>
  <si>
    <t>26/10/2024 00:45</t>
  </si>
  <si>
    <t>26/10/2024 01:00</t>
  </si>
  <si>
    <t>26/10/2024 01:15</t>
  </si>
  <si>
    <t>26/10/2024 01:30</t>
  </si>
  <si>
    <t>26/10/2024 01:45</t>
  </si>
  <si>
    <t>26/10/2024 02:00</t>
  </si>
  <si>
    <t>26/10/2024 02:15</t>
  </si>
  <si>
    <t>26/10/2024 02:30</t>
  </si>
  <si>
    <t>26/10/2024 02:45</t>
  </si>
  <si>
    <t>26/10/2024 03:00</t>
  </si>
  <si>
    <t>26/10/2024 03:15</t>
  </si>
  <si>
    <t>26/10/2024 03:30</t>
  </si>
  <si>
    <t>26/10/2024 03:45</t>
  </si>
  <si>
    <t>26/10/2024 04:00</t>
  </si>
  <si>
    <t>26/10/2024 04:15</t>
  </si>
  <si>
    <t>26/10/2024 04:30</t>
  </si>
  <si>
    <t>26/10/2024 04:45</t>
  </si>
  <si>
    <t>26/10/2024 05:00</t>
  </si>
  <si>
    <t>26/10/2024 05:15</t>
  </si>
  <si>
    <t>26/10/2024 05:30</t>
  </si>
  <si>
    <t>26/10/2024 05:45</t>
  </si>
  <si>
    <t>26/10/2024 06:00</t>
  </si>
  <si>
    <t>26/10/2024 06:15</t>
  </si>
  <si>
    <t>26/10/2024 06:30</t>
  </si>
  <si>
    <t>26/10/2024 06:45</t>
  </si>
  <si>
    <t>26/10/2024 07:00</t>
  </si>
  <si>
    <t>26/10/2024 07:15</t>
  </si>
  <si>
    <t>26/10/2024 07:30</t>
  </si>
  <si>
    <t>26/10/2024 07:45</t>
  </si>
  <si>
    <t>26/10/2024 08:00</t>
  </si>
  <si>
    <t>26/10/2024 08:15</t>
  </si>
  <si>
    <t>26/10/2024 08:30</t>
  </si>
  <si>
    <t>26/10/2024 08:45</t>
  </si>
  <si>
    <t>26/10/2024 09:00</t>
  </si>
  <si>
    <t>26/10/2024 09:15</t>
  </si>
  <si>
    <t>26/10/2024 09:30</t>
  </si>
  <si>
    <t>26/10/2024 09:45</t>
  </si>
  <si>
    <t>26/10/2024 10:00</t>
  </si>
  <si>
    <t>26/10/2024 10:15</t>
  </si>
  <si>
    <t>26/10/2024 10:30</t>
  </si>
  <si>
    <t>26/10/2024 10:45</t>
  </si>
  <si>
    <t>26/10/2024 11:00</t>
  </si>
  <si>
    <t>26/10/2024 11:15</t>
  </si>
  <si>
    <t>26/10/2024 11:30</t>
  </si>
  <si>
    <t>26/10/2024 11:45</t>
  </si>
  <si>
    <t>26/10/2024 12:00</t>
  </si>
  <si>
    <t>26/10/2024 12:15</t>
  </si>
  <si>
    <t>26/10/2024 12:30</t>
  </si>
  <si>
    <t>26/10/2024 12:45</t>
  </si>
  <si>
    <t>26/10/2024 13:00</t>
  </si>
  <si>
    <t>26/10/2024 13:15</t>
  </si>
  <si>
    <t>26/10/2024 13:30</t>
  </si>
  <si>
    <t>26/10/2024 13:45</t>
  </si>
  <si>
    <t>26/10/2024 14:00</t>
  </si>
  <si>
    <t>26/10/2024 14:15</t>
  </si>
  <si>
    <t>26/10/2024 14:30</t>
  </si>
  <si>
    <t>26/10/2024 14:45</t>
  </si>
  <si>
    <t>26/10/2024 15:00</t>
  </si>
  <si>
    <t>26/10/2024 15:15</t>
  </si>
  <si>
    <t>26/10/2024 15:30</t>
  </si>
  <si>
    <t>26/10/2024 15:45</t>
  </si>
  <si>
    <t>26/10/2024 16:00</t>
  </si>
  <si>
    <t>26/10/2024 16:15</t>
  </si>
  <si>
    <t>26/10/2024 16:30</t>
  </si>
  <si>
    <t>26/10/2024 16:45</t>
  </si>
  <si>
    <t>26/10/2024 17:00</t>
  </si>
  <si>
    <t>26/10/2024 17:15</t>
  </si>
  <si>
    <t>26/10/2024 17:30</t>
  </si>
  <si>
    <t>26/10/2024 17:45</t>
  </si>
  <si>
    <t>26/10/2024 18:00</t>
  </si>
  <si>
    <t>26/10/2024 18:15</t>
  </si>
  <si>
    <t>26/10/2024 18:30</t>
  </si>
  <si>
    <t>26/10/2024 18:45</t>
  </si>
  <si>
    <t>26/10/2024 19:00</t>
  </si>
  <si>
    <t>26/10/2024 19:15</t>
  </si>
  <si>
    <t>26/10/2024 19:30</t>
  </si>
  <si>
    <t>26/10/2024 19:45</t>
  </si>
  <si>
    <t>26/10/2024 20:00</t>
  </si>
  <si>
    <t>26/10/2024 20:15</t>
  </si>
  <si>
    <t>26/10/2024 20:30</t>
  </si>
  <si>
    <t>26/10/2024 20:45</t>
  </si>
  <si>
    <t>26/10/2024 21:00</t>
  </si>
  <si>
    <t>26/10/2024 21:15</t>
  </si>
  <si>
    <t>26/10/2024 21:30</t>
  </si>
  <si>
    <t>26/10/2024 21:45</t>
  </si>
  <si>
    <t>26/10/2024 22:00</t>
  </si>
  <si>
    <t>26/10/2024 22:15</t>
  </si>
  <si>
    <t>26/10/2024 22:30</t>
  </si>
  <si>
    <t>26/10/2024 22:45</t>
  </si>
  <si>
    <t>26/10/2024 23:00</t>
  </si>
  <si>
    <t>26/10/2024 23:15</t>
  </si>
  <si>
    <t>26/10/2024 23:30</t>
  </si>
  <si>
    <t>26/10/2024 23:45</t>
  </si>
  <si>
    <t>26/10/2024 24:00</t>
  </si>
  <si>
    <t>27/10/2024 00:15</t>
  </si>
  <si>
    <t>27/10/2024 00:30</t>
  </si>
  <si>
    <t>27/10/2024 00:45</t>
  </si>
  <si>
    <t>27/10/2024 01:00</t>
  </si>
  <si>
    <t>27/10/2024 01:15</t>
  </si>
  <si>
    <t>27/10/2024 01:30</t>
  </si>
  <si>
    <t>27/10/2024 01:45</t>
  </si>
  <si>
    <t>27/10/2024 02:00</t>
  </si>
  <si>
    <t>27/10/2024 02:15</t>
  </si>
  <si>
    <t>27/10/2024 02:30</t>
  </si>
  <si>
    <t>27/10/2024 02:45</t>
  </si>
  <si>
    <t>27/10/2024 03:00</t>
  </si>
  <si>
    <t>27/10/2024 03:15</t>
  </si>
  <si>
    <t>27/10/2024 03:30</t>
  </si>
  <si>
    <t>27/10/2024 03:45</t>
  </si>
  <si>
    <t>27/10/2024 04:00</t>
  </si>
  <si>
    <t>27/10/2024 04:15</t>
  </si>
  <si>
    <t>27/10/2024 04:30</t>
  </si>
  <si>
    <t>27/10/2024 04:45</t>
  </si>
  <si>
    <t>27/10/2024 05:00</t>
  </si>
  <si>
    <t>27/10/2024 05:15</t>
  </si>
  <si>
    <t>27/10/2024 05:30</t>
  </si>
  <si>
    <t>27/10/2024 05:45</t>
  </si>
  <si>
    <t>27/10/2024 06:00</t>
  </si>
  <si>
    <t>27/10/2024 06:15</t>
  </si>
  <si>
    <t>27/10/2024 06:30</t>
  </si>
  <si>
    <t>27/10/2024 06:45</t>
  </si>
  <si>
    <t>27/10/2024 07:00</t>
  </si>
  <si>
    <t>27/10/2024 07:15</t>
  </si>
  <si>
    <t>27/10/2024 07:30</t>
  </si>
  <si>
    <t>27/10/2024 07:45</t>
  </si>
  <si>
    <t>27/10/2024 08:00</t>
  </si>
  <si>
    <t>27/10/2024 08:15</t>
  </si>
  <si>
    <t>27/10/2024 08:30</t>
  </si>
  <si>
    <t>27/10/2024 08:45</t>
  </si>
  <si>
    <t>27/10/2024 09:00</t>
  </si>
  <si>
    <t>27/10/2024 09:15</t>
  </si>
  <si>
    <t>27/10/2024 09:30</t>
  </si>
  <si>
    <t>27/10/2024 09:45</t>
  </si>
  <si>
    <t>27/10/2024 10:00</t>
  </si>
  <si>
    <t>27/10/2024 10:15</t>
  </si>
  <si>
    <t>27/10/2024 10:30</t>
  </si>
  <si>
    <t>27/10/2024 10:45</t>
  </si>
  <si>
    <t>27/10/2024 11:00</t>
  </si>
  <si>
    <t>27/10/2024 11:15</t>
  </si>
  <si>
    <t>27/10/2024 11:30</t>
  </si>
  <si>
    <t>27/10/2024 11:45</t>
  </si>
  <si>
    <t>27/10/2024 12:00</t>
  </si>
  <si>
    <t>27/10/2024 12:15</t>
  </si>
  <si>
    <t>27/10/2024 12:30</t>
  </si>
  <si>
    <t>27/10/2024 12:45</t>
  </si>
  <si>
    <t>27/10/2024 13:00</t>
  </si>
  <si>
    <t>27/10/2024 13:15</t>
  </si>
  <si>
    <t>27/10/2024 13:30</t>
  </si>
  <si>
    <t>27/10/2024 13:45</t>
  </si>
  <si>
    <t>27/10/2024 14:00</t>
  </si>
  <si>
    <t>27/10/2024 14:15</t>
  </si>
  <si>
    <t>27/10/2024 14:30</t>
  </si>
  <si>
    <t>27/10/2024 14:45</t>
  </si>
  <si>
    <t>27/10/2024 15:00</t>
  </si>
  <si>
    <t>27/10/2024 15:15</t>
  </si>
  <si>
    <t>27/10/2024 15:30</t>
  </si>
  <si>
    <t>27/10/2024 15:45</t>
  </si>
  <si>
    <t>27/10/2024 16:00</t>
  </si>
  <si>
    <t>27/10/2024 16:15</t>
  </si>
  <si>
    <t>27/10/2024 16:30</t>
  </si>
  <si>
    <t>27/10/2024 16:45</t>
  </si>
  <si>
    <t>27/10/2024 17:00</t>
  </si>
  <si>
    <t>27/10/2024 17:15</t>
  </si>
  <si>
    <t>27/10/2024 17:30</t>
  </si>
  <si>
    <t>27/10/2024 17:45</t>
  </si>
  <si>
    <t>27/10/2024 18:00</t>
  </si>
  <si>
    <t>27/10/2024 18:15</t>
  </si>
  <si>
    <t>27/10/2024 18:30</t>
  </si>
  <si>
    <t>27/10/2024 18:45</t>
  </si>
  <si>
    <t>27/10/2024 19:00</t>
  </si>
  <si>
    <t>27/10/2024 19:15</t>
  </si>
  <si>
    <t>27/10/2024 19:30</t>
  </si>
  <si>
    <t>27/10/2024 19:45</t>
  </si>
  <si>
    <t>27/10/2024 20:00</t>
  </si>
  <si>
    <t>27/10/2024 20:15</t>
  </si>
  <si>
    <t>27/10/2024 20:30</t>
  </si>
  <si>
    <t>27/10/2024 20:45</t>
  </si>
  <si>
    <t>27/10/2024 21:00</t>
  </si>
  <si>
    <t>27/10/2024 21:15</t>
  </si>
  <si>
    <t>27/10/2024 21:30</t>
  </si>
  <si>
    <t>27/10/2024 21:45</t>
  </si>
  <si>
    <t>27/10/2024 22:00</t>
  </si>
  <si>
    <t>27/10/2024 22:15</t>
  </si>
  <si>
    <t>27/10/2024 22:30</t>
  </si>
  <si>
    <t>27/10/2024 22:45</t>
  </si>
  <si>
    <t>27/10/2024 23:00</t>
  </si>
  <si>
    <t>27/10/2024 23:15</t>
  </si>
  <si>
    <t>27/10/2024 23:30</t>
  </si>
  <si>
    <t>27/10/2024 23:45</t>
  </si>
  <si>
    <t>27/10/2024 24:00</t>
  </si>
  <si>
    <t>28/10/2024 00:15</t>
  </si>
  <si>
    <t>28/10/2024 00:30</t>
  </si>
  <si>
    <t>28/10/2024 00:45</t>
  </si>
  <si>
    <t>28/10/2024 01:00</t>
  </si>
  <si>
    <t>28/10/2024 01:15</t>
  </si>
  <si>
    <t>28/10/2024 01:30</t>
  </si>
  <si>
    <t>28/10/2024 01:45</t>
  </si>
  <si>
    <t>28/10/2024 02:00</t>
  </si>
  <si>
    <t>28/10/2024 02:15</t>
  </si>
  <si>
    <t>28/10/2024 02:30</t>
  </si>
  <si>
    <t>28/10/2024 02:45</t>
  </si>
  <si>
    <t>28/10/2024 03:00</t>
  </si>
  <si>
    <t>28/10/2024 03:15</t>
  </si>
  <si>
    <t>28/10/2024 03:30</t>
  </si>
  <si>
    <t>28/10/2024 03:45</t>
  </si>
  <si>
    <t>28/10/2024 04:00</t>
  </si>
  <si>
    <t>28/10/2024 04:15</t>
  </si>
  <si>
    <t>28/10/2024 04:30</t>
  </si>
  <si>
    <t>28/10/2024 04:45</t>
  </si>
  <si>
    <t>28/10/2024 05:00</t>
  </si>
  <si>
    <t>28/10/2024 05:15</t>
  </si>
  <si>
    <t>28/10/2024 05:30</t>
  </si>
  <si>
    <t>28/10/2024 05:45</t>
  </si>
  <si>
    <t>28/10/2024 06:00</t>
  </si>
  <si>
    <t>28/10/2024 06:15</t>
  </si>
  <si>
    <t>28/10/2024 06:30</t>
  </si>
  <si>
    <t>28/10/2024 06:45</t>
  </si>
  <si>
    <t>28/10/2024 07:00</t>
  </si>
  <si>
    <t>28/10/2024 07:15</t>
  </si>
  <si>
    <t>28/10/2024 07:30</t>
  </si>
  <si>
    <t>28/10/2024 07:45</t>
  </si>
  <si>
    <t>28/10/2024 08:00</t>
  </si>
  <si>
    <t>28/10/2024 08:15</t>
  </si>
  <si>
    <t>28/10/2024 08:30</t>
  </si>
  <si>
    <t>28/10/2024 08:45</t>
  </si>
  <si>
    <t>28/10/2024 09:00</t>
  </si>
  <si>
    <t>28/10/2024 09:15</t>
  </si>
  <si>
    <t>28/10/2024 09:30</t>
  </si>
  <si>
    <t>28/10/2024 09:45</t>
  </si>
  <si>
    <t>28/10/2024 10:00</t>
  </si>
  <si>
    <t>28/10/2024 10:15</t>
  </si>
  <si>
    <t>28/10/2024 10:30</t>
  </si>
  <si>
    <t>28/10/2024 10:45</t>
  </si>
  <si>
    <t>28/10/2024 11:00</t>
  </si>
  <si>
    <t>28/10/2024 11:15</t>
  </si>
  <si>
    <t>28/10/2024 11:30</t>
  </si>
  <si>
    <t>28/10/2024 11:45</t>
  </si>
  <si>
    <t>28/10/2024 12:00</t>
  </si>
  <si>
    <t>28/10/2024 12:15</t>
  </si>
  <si>
    <t>28/10/2024 12:30</t>
  </si>
  <si>
    <t>28/10/2024 12:45</t>
  </si>
  <si>
    <t>28/10/2024 13:00</t>
  </si>
  <si>
    <t>28/10/2024 13:15</t>
  </si>
  <si>
    <t>28/10/2024 13:30</t>
  </si>
  <si>
    <t>28/10/2024 13:45</t>
  </si>
  <si>
    <t>28/10/2024 14:00</t>
  </si>
  <si>
    <t>28/10/2024 14:15</t>
  </si>
  <si>
    <t>28/10/2024 14:30</t>
  </si>
  <si>
    <t>28/10/2024 14:45</t>
  </si>
  <si>
    <t>28/10/2024 15:00</t>
  </si>
  <si>
    <t>28/10/2024 15:15</t>
  </si>
  <si>
    <t>28/10/2024 15:30</t>
  </si>
  <si>
    <t>28/10/2024 15:45</t>
  </si>
  <si>
    <t>28/10/2024 16:00</t>
  </si>
  <si>
    <t>28/10/2024 16:15</t>
  </si>
  <si>
    <t>28/10/2024 16:30</t>
  </si>
  <si>
    <t>28/10/2024 16:45</t>
  </si>
  <si>
    <t>28/10/2024 17:00</t>
  </si>
  <si>
    <t>28/10/2024 17:15</t>
  </si>
  <si>
    <t>28/10/2024 17:30</t>
  </si>
  <si>
    <t>28/10/2024 17:45</t>
  </si>
  <si>
    <t>28/10/2024 18:00</t>
  </si>
  <si>
    <t>28/10/2024 18:15</t>
  </si>
  <si>
    <t>28/10/2024 18:30</t>
  </si>
  <si>
    <t>28/10/2024 18:45</t>
  </si>
  <si>
    <t>28/10/2024 19:00</t>
  </si>
  <si>
    <t>28/10/2024 19:15</t>
  </si>
  <si>
    <t>28/10/2024 19:30</t>
  </si>
  <si>
    <t>28/10/2024 19:45</t>
  </si>
  <si>
    <t>28/10/2024 20:00</t>
  </si>
  <si>
    <t>28/10/2024 20:15</t>
  </si>
  <si>
    <t>28/10/2024 20:30</t>
  </si>
  <si>
    <t>28/10/2024 20:45</t>
  </si>
  <si>
    <t>28/10/2024 21:00</t>
  </si>
  <si>
    <t>28/10/2024 21:15</t>
  </si>
  <si>
    <t>28/10/2024 21:30</t>
  </si>
  <si>
    <t>28/10/2024 21:45</t>
  </si>
  <si>
    <t>28/10/2024 22:00</t>
  </si>
  <si>
    <t>28/10/2024 22:15</t>
  </si>
  <si>
    <t>28/10/2024 22:30</t>
  </si>
  <si>
    <t>28/10/2024 22:45</t>
  </si>
  <si>
    <t>28/10/2024 23:00</t>
  </si>
  <si>
    <t>28/10/2024 23:15</t>
  </si>
  <si>
    <t>28/10/2024 23:30</t>
  </si>
  <si>
    <t>28/10/2024 23:45</t>
  </si>
  <si>
    <t>28/10/2024 24:00</t>
  </si>
  <si>
    <t>29/10/2024 00:15</t>
  </si>
  <si>
    <t>29/10/2024 00:30</t>
  </si>
  <si>
    <t>29/10/2024 00:45</t>
  </si>
  <si>
    <t>29/10/2024 01:00</t>
  </si>
  <si>
    <t>29/10/2024 01:15</t>
  </si>
  <si>
    <t>29/10/2024 01:30</t>
  </si>
  <si>
    <t>29/10/2024 01:45</t>
  </si>
  <si>
    <t>29/10/2024 02:00</t>
  </si>
  <si>
    <t>29/10/2024 02:15</t>
  </si>
  <si>
    <t>29/10/2024 02:30</t>
  </si>
  <si>
    <t>29/10/2024 02:45</t>
  </si>
  <si>
    <t>29/10/2024 03:00</t>
  </si>
  <si>
    <t>29/10/2024 03:15</t>
  </si>
  <si>
    <t>29/10/2024 03:30</t>
  </si>
  <si>
    <t>29/10/2024 03:45</t>
  </si>
  <si>
    <t>29/10/2024 04:00</t>
  </si>
  <si>
    <t>29/10/2024 04:15</t>
  </si>
  <si>
    <t>29/10/2024 04:30</t>
  </si>
  <si>
    <t>29/10/2024 04:45</t>
  </si>
  <si>
    <t>29/10/2024 05:00</t>
  </si>
  <si>
    <t>29/10/2024 05:15</t>
  </si>
  <si>
    <t>29/10/2024 05:30</t>
  </si>
  <si>
    <t>29/10/2024 05:45</t>
  </si>
  <si>
    <t>29/10/2024 06:00</t>
  </si>
  <si>
    <t>29/10/2024 06:15</t>
  </si>
  <si>
    <t>29/10/2024 06:30</t>
  </si>
  <si>
    <t>29/10/2024 06:45</t>
  </si>
  <si>
    <t>29/10/2024 07:00</t>
  </si>
  <si>
    <t>29/10/2024 07:15</t>
  </si>
  <si>
    <t>29/10/2024 07:30</t>
  </si>
  <si>
    <t>29/10/2024 07:45</t>
  </si>
  <si>
    <t>29/10/2024 08:00</t>
  </si>
  <si>
    <t>29/10/2024 08:15</t>
  </si>
  <si>
    <t>29/10/2024 08:30</t>
  </si>
  <si>
    <t>29/10/2024 08:45</t>
  </si>
  <si>
    <t>29/10/2024 09:00</t>
  </si>
  <si>
    <t>29/10/2024 09:15</t>
  </si>
  <si>
    <t>29/10/2024 09:30</t>
  </si>
  <si>
    <t>29/10/2024 09:45</t>
  </si>
  <si>
    <t>29/10/2024 10:00</t>
  </si>
  <si>
    <t>29/10/2024 10:15</t>
  </si>
  <si>
    <t>29/10/2024 10:30</t>
  </si>
  <si>
    <t>29/10/2024 10:45</t>
  </si>
  <si>
    <t>29/10/2024 11:00</t>
  </si>
  <si>
    <t>29/10/2024 11:15</t>
  </si>
  <si>
    <t>29/10/2024 11:30</t>
  </si>
  <si>
    <t>29/10/2024 11:45</t>
  </si>
  <si>
    <t>29/10/2024 12:00</t>
  </si>
  <si>
    <t>29/10/2024 12:15</t>
  </si>
  <si>
    <t>29/10/2024 12:30</t>
  </si>
  <si>
    <t>29/10/2024 12:45</t>
  </si>
  <si>
    <t>29/10/2024 13:00</t>
  </si>
  <si>
    <t>29/10/2024 13:15</t>
  </si>
  <si>
    <t>29/10/2024 13:30</t>
  </si>
  <si>
    <t>29/10/2024 13:45</t>
  </si>
  <si>
    <t>29/10/2024 14:00</t>
  </si>
  <si>
    <t>29/10/2024 14:15</t>
  </si>
  <si>
    <t>29/10/2024 14:30</t>
  </si>
  <si>
    <t>29/10/2024 14:45</t>
  </si>
  <si>
    <t>29/10/2024 15:00</t>
  </si>
  <si>
    <t>29/10/2024 15:15</t>
  </si>
  <si>
    <t>29/10/2024 15:30</t>
  </si>
  <si>
    <t>29/10/2024 15:45</t>
  </si>
  <si>
    <t>29/10/2024 16:00</t>
  </si>
  <si>
    <t>29/10/2024 16:15</t>
  </si>
  <si>
    <t>29/10/2024 16:30</t>
  </si>
  <si>
    <t>29/10/2024 16:45</t>
  </si>
  <si>
    <t>29/10/2024 17:00</t>
  </si>
  <si>
    <t>29/10/2024 17:15</t>
  </si>
  <si>
    <t>29/10/2024 17:30</t>
  </si>
  <si>
    <t>29/10/2024 17:45</t>
  </si>
  <si>
    <t>29/10/2024 18:00</t>
  </si>
  <si>
    <t>29/10/2024 18:15</t>
  </si>
  <si>
    <t>29/10/2024 18:30</t>
  </si>
  <si>
    <t>29/10/2024 18:45</t>
  </si>
  <si>
    <t>29/10/2024 19:00</t>
  </si>
  <si>
    <t>29/10/2024 19:15</t>
  </si>
  <si>
    <t>29/10/2024 19:30</t>
  </si>
  <si>
    <t>29/10/2024 19:45</t>
  </si>
  <si>
    <t>29/10/2024 20:00</t>
  </si>
  <si>
    <t>29/10/2024 20:15</t>
  </si>
  <si>
    <t>29/10/2024 20:30</t>
  </si>
  <si>
    <t>29/10/2024 20:45</t>
  </si>
  <si>
    <t>29/10/2024 21:00</t>
  </si>
  <si>
    <t>29/10/2024 21:15</t>
  </si>
  <si>
    <t>29/10/2024 21:30</t>
  </si>
  <si>
    <t>29/10/2024 21:45</t>
  </si>
  <si>
    <t>29/10/2024 22:00</t>
  </si>
  <si>
    <t>29/10/2024 22:15</t>
  </si>
  <si>
    <t>29/10/2024 22:30</t>
  </si>
  <si>
    <t>29/10/2024 22:45</t>
  </si>
  <si>
    <t>29/10/2024 23:00</t>
  </si>
  <si>
    <t>29/10/2024 23:15</t>
  </si>
  <si>
    <t>29/10/2024 23:30</t>
  </si>
  <si>
    <t>29/10/2024 23:45</t>
  </si>
  <si>
    <t>29/10/2024 24:00</t>
  </si>
  <si>
    <t>30/10/2024 00:15</t>
  </si>
  <si>
    <t>30/10/2024 00:30</t>
  </si>
  <si>
    <t>30/10/2024 00:45</t>
  </si>
  <si>
    <t>30/10/2024 01:00</t>
  </si>
  <si>
    <t>30/10/2024 01:15</t>
  </si>
  <si>
    <t>30/10/2024 01:30</t>
  </si>
  <si>
    <t>30/10/2024 01:45</t>
  </si>
  <si>
    <t>30/10/2024 02:00</t>
  </si>
  <si>
    <t>30/10/2024 02:15</t>
  </si>
  <si>
    <t>30/10/2024 02:30</t>
  </si>
  <si>
    <t>30/10/2024 02:45</t>
  </si>
  <si>
    <t>30/10/2024 03:00</t>
  </si>
  <si>
    <t>30/10/2024 03:15</t>
  </si>
  <si>
    <t>30/10/2024 03:30</t>
  </si>
  <si>
    <t>30/10/2024 03:45</t>
  </si>
  <si>
    <t>30/10/2024 04:00</t>
  </si>
  <si>
    <t>30/10/2024 04:15</t>
  </si>
  <si>
    <t>30/10/2024 04:30</t>
  </si>
  <si>
    <t>30/10/2024 04:45</t>
  </si>
  <si>
    <t>30/10/2024 05:00</t>
  </si>
  <si>
    <t>30/10/2024 05:15</t>
  </si>
  <si>
    <t>30/10/2024 05:30</t>
  </si>
  <si>
    <t>30/10/2024 05:45</t>
  </si>
  <si>
    <t>30/10/2024 06:00</t>
  </si>
  <si>
    <t>30/10/2024 06:15</t>
  </si>
  <si>
    <t>30/10/2024 06:30</t>
  </si>
  <si>
    <t>30/10/2024 06:45</t>
  </si>
  <si>
    <t>30/10/2024 07:00</t>
  </si>
  <si>
    <t>30/10/2024 07:15</t>
  </si>
  <si>
    <t>30/10/2024 07:30</t>
  </si>
  <si>
    <t>30/10/2024 07:45</t>
  </si>
  <si>
    <t>30/10/2024 08:00</t>
  </si>
  <si>
    <t>30/10/2024 08:15</t>
  </si>
  <si>
    <t>30/10/2024 08:30</t>
  </si>
  <si>
    <t>30/10/2024 08:45</t>
  </si>
  <si>
    <t>30/10/2024 09:00</t>
  </si>
  <si>
    <t>30/10/2024 09:15</t>
  </si>
  <si>
    <t>30/10/2024 09:30</t>
  </si>
  <si>
    <t>30/10/2024 09:45</t>
  </si>
  <si>
    <t>30/10/2024 10:00</t>
  </si>
  <si>
    <t>30/10/2024 10:15</t>
  </si>
  <si>
    <t>30/10/2024 10:30</t>
  </si>
  <si>
    <t>30/10/2024 10:45</t>
  </si>
  <si>
    <t>30/10/2024 11:00</t>
  </si>
  <si>
    <t>30/10/2024 11:15</t>
  </si>
  <si>
    <t>30/10/2024 11:30</t>
  </si>
  <si>
    <t>30/10/2024 11:45</t>
  </si>
  <si>
    <t>30/10/2024 12:00</t>
  </si>
  <si>
    <t>30/10/2024 12:15</t>
  </si>
  <si>
    <t>30/10/2024 12:30</t>
  </si>
  <si>
    <t>30/10/2024 12:45</t>
  </si>
  <si>
    <t>30/10/2024 13:00</t>
  </si>
  <si>
    <t>30/10/2024 13:15</t>
  </si>
  <si>
    <t>30/10/2024 13:30</t>
  </si>
  <si>
    <t>30/10/2024 13:45</t>
  </si>
  <si>
    <t>30/10/2024 14:00</t>
  </si>
  <si>
    <t>30/10/2024 14:15</t>
  </si>
  <si>
    <t>30/10/2024 14:30</t>
  </si>
  <si>
    <t>30/10/2024 14:45</t>
  </si>
  <si>
    <t>30/10/2024 15:00</t>
  </si>
  <si>
    <t>30/10/2024 15:15</t>
  </si>
  <si>
    <t>30/10/2024 15:30</t>
  </si>
  <si>
    <t>30/10/2024 15:45</t>
  </si>
  <si>
    <t>30/10/2024 16:00</t>
  </si>
  <si>
    <t>30/10/2024 16:15</t>
  </si>
  <si>
    <t>30/10/2024 16:30</t>
  </si>
  <si>
    <t>30/10/2024 16:45</t>
  </si>
  <si>
    <t>30/10/2024 17:00</t>
  </si>
  <si>
    <t>30/10/2024 17:15</t>
  </si>
  <si>
    <t>30/10/2024 17:30</t>
  </si>
  <si>
    <t>30/10/2024 17:45</t>
  </si>
  <si>
    <t>30/10/2024 18:00</t>
  </si>
  <si>
    <t>30/10/2024 18:15</t>
  </si>
  <si>
    <t>30/10/2024 18:30</t>
  </si>
  <si>
    <t>30/10/2024 18:45</t>
  </si>
  <si>
    <t>30/10/2024 19:00</t>
  </si>
  <si>
    <t>30/10/2024 19:15</t>
  </si>
  <si>
    <t>30/10/2024 19:30</t>
  </si>
  <si>
    <t>30/10/2024 19:45</t>
  </si>
  <si>
    <t>30/10/2024 20:00</t>
  </si>
  <si>
    <t>30/10/2024 20:15</t>
  </si>
  <si>
    <t>30/10/2024 20:30</t>
  </si>
  <si>
    <t>30/10/2024 20:45</t>
  </si>
  <si>
    <t>30/10/2024 21:00</t>
  </si>
  <si>
    <t>30/10/2024 21:15</t>
  </si>
  <si>
    <t>30/10/2024 21:30</t>
  </si>
  <si>
    <t>30/10/2024 21:45</t>
  </si>
  <si>
    <t>30/10/2024 22:00</t>
  </si>
  <si>
    <t>30/10/2024 22:15</t>
  </si>
  <si>
    <t>30/10/2024 22:30</t>
  </si>
  <si>
    <t>30/10/2024 22:45</t>
  </si>
  <si>
    <t>30/10/2024 23:00</t>
  </si>
  <si>
    <t>30/10/2024 23:15</t>
  </si>
  <si>
    <t>30/10/2024 23:30</t>
  </si>
  <si>
    <t>30/10/2024 23:45</t>
  </si>
  <si>
    <t>30/10/2024 24:00</t>
  </si>
  <si>
    <t>31/10/2024 00:15</t>
  </si>
  <si>
    <t>31/10/2024 00:30</t>
  </si>
  <si>
    <t>31/10/2024 00:45</t>
  </si>
  <si>
    <t>31/10/2024 01:00</t>
  </si>
  <si>
    <t>31/10/2024 01:15</t>
  </si>
  <si>
    <t>31/10/2024 01:30</t>
  </si>
  <si>
    <t>31/10/2024 01:45</t>
  </si>
  <si>
    <t>31/10/2024 02:00</t>
  </si>
  <si>
    <t>31/10/2024 02:15</t>
  </si>
  <si>
    <t>31/10/2024 02:30</t>
  </si>
  <si>
    <t>31/10/2024 02:45</t>
  </si>
  <si>
    <t>31/10/2024 03:00</t>
  </si>
  <si>
    <t>31/10/2024 03:15</t>
  </si>
  <si>
    <t>31/10/2024 03:30</t>
  </si>
  <si>
    <t>31/10/2024 03:45</t>
  </si>
  <si>
    <t>31/10/2024 04:00</t>
  </si>
  <si>
    <t>31/10/2024 04:15</t>
  </si>
  <si>
    <t>31/10/2024 04:30</t>
  </si>
  <si>
    <t>31/10/2024 04:45</t>
  </si>
  <si>
    <t>31/10/2024 05:00</t>
  </si>
  <si>
    <t>31/10/2024 05:15</t>
  </si>
  <si>
    <t>31/10/2024 05:30</t>
  </si>
  <si>
    <t>31/10/2024 05:45</t>
  </si>
  <si>
    <t>31/10/2024 06:00</t>
  </si>
  <si>
    <t>31/10/2024 06:15</t>
  </si>
  <si>
    <t>31/10/2024 06:30</t>
  </si>
  <si>
    <t>31/10/2024 06:45</t>
  </si>
  <si>
    <t>31/10/2024 07:00</t>
  </si>
  <si>
    <t>31/10/2024 07:15</t>
  </si>
  <si>
    <t>31/10/2024 07:30</t>
  </si>
  <si>
    <t>31/10/2024 07:45</t>
  </si>
  <si>
    <t>31/10/2024 08:00</t>
  </si>
  <si>
    <t>31/10/2024 08:15</t>
  </si>
  <si>
    <t>31/10/2024 08:30</t>
  </si>
  <si>
    <t>31/10/2024 08:45</t>
  </si>
  <si>
    <t>31/10/2024 09:00</t>
  </si>
  <si>
    <t>31/10/2024 09:15</t>
  </si>
  <si>
    <t>31/10/2024 09:30</t>
  </si>
  <si>
    <t>31/10/2024 09:45</t>
  </si>
  <si>
    <t>31/10/2024 10:00</t>
  </si>
  <si>
    <t>31/10/2024 10:15</t>
  </si>
  <si>
    <t>31/10/2024 10:30</t>
  </si>
  <si>
    <t>31/10/2024 10:45</t>
  </si>
  <si>
    <t>31/10/2024 11:00</t>
  </si>
  <si>
    <t>31/10/2024 11:15</t>
  </si>
  <si>
    <t>31/10/2024 11:30</t>
  </si>
  <si>
    <t>31/10/2024 11:45</t>
  </si>
  <si>
    <t>31/10/2024 12:00</t>
  </si>
  <si>
    <t>31/10/2024 12:15</t>
  </si>
  <si>
    <t>31/10/2024 12:30</t>
  </si>
  <si>
    <t>31/10/2024 12:45</t>
  </si>
  <si>
    <t>31/10/2024 13:00</t>
  </si>
  <si>
    <t>31/10/2024 13:15</t>
  </si>
  <si>
    <t>31/10/2024 13:30</t>
  </si>
  <si>
    <t>31/10/2024 13:45</t>
  </si>
  <si>
    <t>31/10/2024 14:00</t>
  </si>
  <si>
    <t>31/10/2024 14:15</t>
  </si>
  <si>
    <t>31/10/2024 14:30</t>
  </si>
  <si>
    <t>31/10/2024 14:45</t>
  </si>
  <si>
    <t>31/10/2024 15:00</t>
  </si>
  <si>
    <t>31/10/2024 15:15</t>
  </si>
  <si>
    <t>31/10/2024 15:30</t>
  </si>
  <si>
    <t>31/10/2024 15:45</t>
  </si>
  <si>
    <t>31/10/2024 16:00</t>
  </si>
  <si>
    <t>31/10/2024 16:15</t>
  </si>
  <si>
    <t>31/10/2024 16:30</t>
  </si>
  <si>
    <t>31/10/2024 16:45</t>
  </si>
  <si>
    <t>31/10/2024 17:00</t>
  </si>
  <si>
    <t>31/10/2024 17:15</t>
  </si>
  <si>
    <t>31/10/2024 17:30</t>
  </si>
  <si>
    <t>31/10/2024 17:45</t>
  </si>
  <si>
    <t>31/10/2024 18:00</t>
  </si>
  <si>
    <t>31/10/2024 18:15</t>
  </si>
  <si>
    <t>31/10/2024 18:30</t>
  </si>
  <si>
    <t>31/10/2024 18:45</t>
  </si>
  <si>
    <t>31/10/2024 19:00</t>
  </si>
  <si>
    <t>31/10/2024 19:15</t>
  </si>
  <si>
    <t>31/10/2024 19:30</t>
  </si>
  <si>
    <t>31/10/2024 19:45</t>
  </si>
  <si>
    <t>31/10/2024 20:00</t>
  </si>
  <si>
    <t>31/10/2024 20:15</t>
  </si>
  <si>
    <t>31/10/2024 20:30</t>
  </si>
  <si>
    <t>31/10/2024 20:45</t>
  </si>
  <si>
    <t>31/10/2024 21:00</t>
  </si>
  <si>
    <t>31/10/2024 21:15</t>
  </si>
  <si>
    <t>31/10/2024 21:30</t>
  </si>
  <si>
    <t>31/10/2024 21:45</t>
  </si>
  <si>
    <t>31/10/2024 22:00</t>
  </si>
  <si>
    <t>31/10/2024 22:15</t>
  </si>
  <si>
    <t>31/10/2024 22:30</t>
  </si>
  <si>
    <t>31/10/2024 22:45</t>
  </si>
  <si>
    <t>31/10/2024 23:00</t>
  </si>
  <si>
    <t>31/10/2024 23:15</t>
  </si>
  <si>
    <t>31/10/2024 23:30</t>
  </si>
  <si>
    <t>31/10/2024 23:45</t>
  </si>
  <si>
    <t>31/10/2024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</si>
</sst>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246</v>
      </c>
      <c r="B9" s="64">
        <v>5.28</v>
      </c>
      <c r="C9" s="64">
        <v>5.19</v>
      </c>
      <c r="D9" s="64">
        <v>6.95</v>
      </c>
      <c r="E9" s="64">
        <v>5.48</v>
      </c>
      <c r="F9" s="64">
        <v>3.94</v>
      </c>
      <c r="G9" s="64">
        <v>28.2</v>
      </c>
      <c r="H9" s="64">
        <v>10.68</v>
      </c>
      <c r="I9" s="64">
        <v>0</v>
      </c>
      <c r="J9" s="64">
        <v>0.03</v>
      </c>
      <c r="K9" s="64">
        <v>23.37</v>
      </c>
      <c r="L9" s="64">
        <v>25.28</v>
      </c>
      <c r="M9" s="64">
        <v>102.14</v>
      </c>
      <c r="N9" s="64">
        <v>26.1</v>
      </c>
      <c r="O9" s="64">
        <v>0</v>
      </c>
      <c r="P9" s="64">
        <v>0.36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247</v>
      </c>
      <c r="B10" s="64">
        <v>5.18</v>
      </c>
      <c r="C10" s="64">
        <v>4.91</v>
      </c>
      <c r="D10" s="64">
        <v>6.72</v>
      </c>
      <c r="E10" s="64">
        <v>5.36</v>
      </c>
      <c r="F10" s="64">
        <v>3.85</v>
      </c>
      <c r="G10" s="64">
        <v>27.05</v>
      </c>
      <c r="H10" s="64">
        <v>9.94</v>
      </c>
      <c r="I10" s="64">
        <v>0</v>
      </c>
      <c r="J10" s="64">
        <v>0.13</v>
      </c>
      <c r="K10" s="64">
        <v>18.8</v>
      </c>
      <c r="L10" s="64">
        <v>25.16</v>
      </c>
      <c r="M10" s="64">
        <v>102.15</v>
      </c>
      <c r="N10" s="64">
        <v>26.1</v>
      </c>
      <c r="O10" s="64">
        <v>0</v>
      </c>
      <c r="P10" s="64">
        <v>0.39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248</v>
      </c>
      <c r="B11" s="64">
        <v>5.03</v>
      </c>
      <c r="C11" s="64">
        <v>4.62</v>
      </c>
      <c r="D11" s="64">
        <v>6.44</v>
      </c>
      <c r="E11" s="64">
        <v>5.48</v>
      </c>
      <c r="F11" s="64">
        <v>3.96</v>
      </c>
      <c r="G11" s="64">
        <v>27.05</v>
      </c>
      <c r="H11" s="64">
        <v>9.94</v>
      </c>
      <c r="I11" s="64">
        <v>0</v>
      </c>
      <c r="J11" s="64">
        <v>0.41</v>
      </c>
      <c r="K11" s="64">
        <v>357.58</v>
      </c>
      <c r="L11" s="64">
        <v>25.03</v>
      </c>
      <c r="M11" s="64">
        <v>102.15</v>
      </c>
      <c r="N11" s="64">
        <v>26.1</v>
      </c>
      <c r="O11" s="64">
        <v>0</v>
      </c>
      <c r="P11" s="64">
        <v>0.37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249</v>
      </c>
      <c r="B12" s="64">
        <v>4.84</v>
      </c>
      <c r="C12" s="64">
        <v>4.5199999999999996</v>
      </c>
      <c r="D12" s="64">
        <v>6.25</v>
      </c>
      <c r="E12" s="64">
        <v>5.61</v>
      </c>
      <c r="F12" s="64">
        <v>3.86</v>
      </c>
      <c r="G12" s="64">
        <v>27.05</v>
      </c>
      <c r="H12" s="64">
        <v>9.94</v>
      </c>
      <c r="I12" s="64">
        <v>0</v>
      </c>
      <c r="J12" s="64">
        <v>0.42</v>
      </c>
      <c r="K12" s="64">
        <v>3.08</v>
      </c>
      <c r="L12" s="64">
        <v>25.04</v>
      </c>
      <c r="M12" s="64">
        <v>102.15</v>
      </c>
      <c r="N12" s="64">
        <v>26.1</v>
      </c>
      <c r="O12" s="64">
        <v>0</v>
      </c>
      <c r="P12" s="64">
        <v>0.42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250</v>
      </c>
      <c r="B13" s="64">
        <v>4.66</v>
      </c>
      <c r="C13" s="64">
        <v>4.8</v>
      </c>
      <c r="D13" s="64">
        <v>6.24</v>
      </c>
      <c r="E13" s="64">
        <v>5.85</v>
      </c>
      <c r="F13" s="64">
        <v>4.8499999999999996</v>
      </c>
      <c r="G13" s="64">
        <v>26.75</v>
      </c>
      <c r="H13" s="64">
        <v>9.41</v>
      </c>
      <c r="I13" s="64">
        <v>0</v>
      </c>
      <c r="J13" s="64">
        <v>0.31</v>
      </c>
      <c r="K13" s="64">
        <v>15.87</v>
      </c>
      <c r="L13" s="64">
        <v>25.03</v>
      </c>
      <c r="M13" s="64">
        <v>102.15</v>
      </c>
      <c r="N13" s="64">
        <v>26.1</v>
      </c>
      <c r="O13" s="64">
        <v>0</v>
      </c>
      <c r="P13" s="64">
        <v>0.46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251</v>
      </c>
      <c r="B14" s="64">
        <v>4.34</v>
      </c>
      <c r="C14" s="64">
        <v>4.9400000000000004</v>
      </c>
      <c r="D14" s="64">
        <v>6.06</v>
      </c>
      <c r="E14" s="64">
        <v>5.68</v>
      </c>
      <c r="F14" s="64">
        <v>3.49</v>
      </c>
      <c r="G14" s="64">
        <v>25.97</v>
      </c>
      <c r="H14" s="64">
        <v>7.42</v>
      </c>
      <c r="I14" s="64">
        <v>0</v>
      </c>
      <c r="J14" s="64">
        <v>0.42</v>
      </c>
      <c r="K14" s="64">
        <v>14.85</v>
      </c>
      <c r="L14" s="64">
        <v>25.02</v>
      </c>
      <c r="M14" s="64">
        <v>102.15</v>
      </c>
      <c r="N14" s="64">
        <v>26.1</v>
      </c>
      <c r="O14" s="64">
        <v>0</v>
      </c>
      <c r="P14" s="64">
        <v>0.44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252</v>
      </c>
      <c r="B15" s="64">
        <v>3.76</v>
      </c>
      <c r="C15" s="64">
        <v>4.37</v>
      </c>
      <c r="D15" s="64">
        <v>5.3</v>
      </c>
      <c r="E15" s="64">
        <v>5.64</v>
      </c>
      <c r="F15" s="64">
        <v>2.83</v>
      </c>
      <c r="G15" s="64">
        <v>25.97</v>
      </c>
      <c r="H15" s="64">
        <v>7.42</v>
      </c>
      <c r="I15" s="64">
        <v>0</v>
      </c>
      <c r="J15" s="64">
        <v>0.28999999999999998</v>
      </c>
      <c r="K15" s="64">
        <v>13.33</v>
      </c>
      <c r="L15" s="64">
        <v>24.92</v>
      </c>
      <c r="M15" s="64">
        <v>102.15</v>
      </c>
      <c r="N15" s="64">
        <v>26.1</v>
      </c>
      <c r="O15" s="64">
        <v>0</v>
      </c>
      <c r="P15" s="64">
        <v>0.38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5" t="s">
        <v>253</v>
      </c>
      <c r="B16" s="64">
        <v>3.41</v>
      </c>
      <c r="C16" s="64">
        <v>4.1500000000000004</v>
      </c>
      <c r="D16" s="64">
        <v>4.9000000000000004</v>
      </c>
      <c r="E16" s="64">
        <v>5.7</v>
      </c>
      <c r="F16" s="64">
        <v>4.8</v>
      </c>
      <c r="G16" s="64">
        <v>25.97</v>
      </c>
      <c r="H16" s="64">
        <v>7.42</v>
      </c>
      <c r="I16" s="64">
        <v>0</v>
      </c>
      <c r="J16" s="64">
        <v>0.34</v>
      </c>
      <c r="K16" s="64">
        <v>17.760000000000002</v>
      </c>
      <c r="L16" s="64">
        <v>24.81</v>
      </c>
      <c r="M16" s="64">
        <v>102.15</v>
      </c>
      <c r="N16" s="64">
        <v>26.1</v>
      </c>
      <c r="O16" s="64">
        <v>0</v>
      </c>
      <c r="P16" s="64">
        <v>0.43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254</v>
      </c>
      <c r="B17" s="64">
        <v>3.15</v>
      </c>
      <c r="C17" s="64">
        <v>4.42</v>
      </c>
      <c r="D17" s="64">
        <v>4.83</v>
      </c>
      <c r="E17" s="64">
        <v>5.57</v>
      </c>
      <c r="F17" s="64">
        <v>2.8</v>
      </c>
      <c r="G17" s="64">
        <v>23.84</v>
      </c>
      <c r="H17" s="64">
        <v>6.61</v>
      </c>
      <c r="I17" s="64">
        <v>0</v>
      </c>
      <c r="J17" s="64">
        <v>0.23</v>
      </c>
      <c r="K17" s="64">
        <v>14.82</v>
      </c>
      <c r="L17" s="64">
        <v>24.74</v>
      </c>
      <c r="M17" s="64">
        <v>102.15</v>
      </c>
      <c r="N17" s="64">
        <v>26.1</v>
      </c>
      <c r="O17" s="64">
        <v>0</v>
      </c>
      <c r="P17" s="64">
        <v>0.38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5" t="s">
        <v>255</v>
      </c>
      <c r="B18" s="64">
        <v>2.83</v>
      </c>
      <c r="C18" s="64">
        <v>4.04</v>
      </c>
      <c r="D18" s="64">
        <v>4.38</v>
      </c>
      <c r="E18" s="64">
        <v>5.51</v>
      </c>
      <c r="F18" s="64">
        <v>4.01</v>
      </c>
      <c r="G18" s="64">
        <v>18.28</v>
      </c>
      <c r="H18" s="64">
        <v>5.19</v>
      </c>
      <c r="I18" s="64">
        <v>0</v>
      </c>
      <c r="J18" s="64">
        <v>0.31</v>
      </c>
      <c r="K18" s="64">
        <v>5.9</v>
      </c>
      <c r="L18" s="64">
        <v>24.75</v>
      </c>
      <c r="M18" s="64">
        <v>102.15</v>
      </c>
      <c r="N18" s="64">
        <v>26</v>
      </c>
      <c r="O18" s="64">
        <v>0</v>
      </c>
      <c r="P18" s="64">
        <v>0.37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5" t="s">
        <v>256</v>
      </c>
      <c r="B19" s="64">
        <v>2.73</v>
      </c>
      <c r="C19" s="64">
        <v>4.2</v>
      </c>
      <c r="D19" s="64">
        <v>4.38</v>
      </c>
      <c r="E19" s="64">
        <v>5.68</v>
      </c>
      <c r="F19" s="64">
        <v>3.81</v>
      </c>
      <c r="G19" s="64">
        <v>18.28</v>
      </c>
      <c r="H19" s="64">
        <v>5.19</v>
      </c>
      <c r="I19" s="64">
        <v>0</v>
      </c>
      <c r="J19" s="64">
        <v>0.35</v>
      </c>
      <c r="K19" s="64">
        <v>353.38</v>
      </c>
      <c r="L19" s="64">
        <v>24.77</v>
      </c>
      <c r="M19" s="64">
        <v>102.15</v>
      </c>
      <c r="N19" s="64">
        <v>26.1</v>
      </c>
      <c r="O19" s="64">
        <v>0</v>
      </c>
      <c r="P19" s="64">
        <v>0.4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257</v>
      </c>
      <c r="B20" s="64">
        <v>2.48</v>
      </c>
      <c r="C20" s="64">
        <v>4.01</v>
      </c>
      <c r="D20" s="64">
        <v>4.08</v>
      </c>
      <c r="E20" s="64">
        <v>5.84</v>
      </c>
      <c r="F20" s="64">
        <v>2.98</v>
      </c>
      <c r="G20" s="64">
        <v>18.28</v>
      </c>
      <c r="H20" s="64">
        <v>5.19</v>
      </c>
      <c r="I20" s="64">
        <v>0</v>
      </c>
      <c r="J20" s="64">
        <v>0.4</v>
      </c>
      <c r="K20" s="64">
        <v>0.8</v>
      </c>
      <c r="L20" s="64">
        <v>24.77</v>
      </c>
      <c r="M20" s="64">
        <v>101.66</v>
      </c>
      <c r="N20" s="64">
        <v>26</v>
      </c>
      <c r="O20" s="64">
        <v>0</v>
      </c>
      <c r="P20" s="64">
        <v>0.37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258</v>
      </c>
      <c r="B21" s="64">
        <v>2.2599999999999998</v>
      </c>
      <c r="C21" s="64">
        <v>3.76</v>
      </c>
      <c r="D21" s="64">
        <v>3.78</v>
      </c>
      <c r="E21" s="64">
        <v>5.42</v>
      </c>
      <c r="F21" s="64">
        <v>4.57</v>
      </c>
      <c r="G21" s="64">
        <v>18.510000000000002</v>
      </c>
      <c r="H21" s="64">
        <v>5.66</v>
      </c>
      <c r="I21" s="64">
        <v>0</v>
      </c>
      <c r="J21" s="64">
        <v>0.24</v>
      </c>
      <c r="K21" s="64">
        <v>344.6</v>
      </c>
      <c r="L21" s="64">
        <v>24.57</v>
      </c>
      <c r="M21" s="64">
        <v>101.84</v>
      </c>
      <c r="N21" s="64">
        <v>26.1</v>
      </c>
      <c r="O21" s="64">
        <v>0</v>
      </c>
      <c r="P21" s="64">
        <v>0.35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5" t="s">
        <v>259</v>
      </c>
      <c r="B22" s="64">
        <v>2.19</v>
      </c>
      <c r="C22" s="64">
        <v>3.68</v>
      </c>
      <c r="D22" s="64">
        <v>3.68</v>
      </c>
      <c r="E22" s="64">
        <v>5.4</v>
      </c>
      <c r="F22" s="64">
        <v>4.2300000000000004</v>
      </c>
      <c r="G22" s="64">
        <v>19.11</v>
      </c>
      <c r="H22" s="64">
        <v>6.47</v>
      </c>
      <c r="I22" s="64">
        <v>0</v>
      </c>
      <c r="J22" s="64">
        <v>0.05</v>
      </c>
      <c r="K22" s="64">
        <v>280.19</v>
      </c>
      <c r="L22" s="64">
        <v>24.42</v>
      </c>
      <c r="M22" s="64">
        <v>101.89</v>
      </c>
      <c r="N22" s="64">
        <v>26.1</v>
      </c>
      <c r="O22" s="64">
        <v>0</v>
      </c>
      <c r="P22" s="64">
        <v>0.28000000000000003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260</v>
      </c>
      <c r="B23" s="64">
        <v>2.39</v>
      </c>
      <c r="C23" s="64">
        <v>3.68</v>
      </c>
      <c r="D23" s="64">
        <v>3.84</v>
      </c>
      <c r="E23" s="64">
        <v>5.45</v>
      </c>
      <c r="F23" s="64">
        <v>3.94</v>
      </c>
      <c r="G23" s="64">
        <v>19.11</v>
      </c>
      <c r="H23" s="64">
        <v>6.47</v>
      </c>
      <c r="I23" s="64">
        <v>0</v>
      </c>
      <c r="J23" s="64">
        <v>0.21</v>
      </c>
      <c r="K23" s="64">
        <v>10.28</v>
      </c>
      <c r="L23" s="64">
        <v>24.33</v>
      </c>
      <c r="M23" s="64">
        <v>101.6</v>
      </c>
      <c r="N23" s="64">
        <v>26.1</v>
      </c>
      <c r="O23" s="64">
        <v>0</v>
      </c>
      <c r="P23" s="64">
        <v>0.3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261</v>
      </c>
      <c r="B24" s="64">
        <v>2.63</v>
      </c>
      <c r="C24" s="64">
        <v>3.78</v>
      </c>
      <c r="D24" s="64">
        <v>4.09</v>
      </c>
      <c r="E24" s="64">
        <v>5.0199999999999996</v>
      </c>
      <c r="F24" s="64">
        <v>3.79</v>
      </c>
      <c r="G24" s="64">
        <v>19.11</v>
      </c>
      <c r="H24" s="64">
        <v>6.47</v>
      </c>
      <c r="I24" s="64">
        <v>0</v>
      </c>
      <c r="J24" s="64">
        <v>0.22</v>
      </c>
      <c r="K24" s="64">
        <v>340.25</v>
      </c>
      <c r="L24" s="64">
        <v>24.35</v>
      </c>
      <c r="M24" s="64">
        <v>101.63</v>
      </c>
      <c r="N24" s="64">
        <v>26.1</v>
      </c>
      <c r="O24" s="64">
        <v>0</v>
      </c>
      <c r="P24" s="64">
        <v>0.28000000000000003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5" t="s">
        <v>262</v>
      </c>
      <c r="B25" s="64">
        <v>2.74</v>
      </c>
      <c r="C25" s="64">
        <v>3.75</v>
      </c>
      <c r="D25" s="64">
        <v>4.16</v>
      </c>
      <c r="E25" s="64">
        <v>4.82</v>
      </c>
      <c r="F25" s="64">
        <v>4.01</v>
      </c>
      <c r="G25" s="64">
        <v>17.68</v>
      </c>
      <c r="H25" s="64">
        <v>6.27</v>
      </c>
      <c r="I25" s="64">
        <v>0</v>
      </c>
      <c r="J25" s="64">
        <v>0.23</v>
      </c>
      <c r="K25" s="64">
        <v>11.56</v>
      </c>
      <c r="L25" s="64">
        <v>24.22</v>
      </c>
      <c r="M25" s="64">
        <v>101.86</v>
      </c>
      <c r="N25" s="64">
        <v>26.1</v>
      </c>
      <c r="O25" s="64">
        <v>0</v>
      </c>
      <c r="P25" s="64">
        <v>0.28999999999999998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263</v>
      </c>
      <c r="B26" s="64">
        <v>2.9</v>
      </c>
      <c r="C26" s="64">
        <v>3.74</v>
      </c>
      <c r="D26" s="64">
        <v>4.28</v>
      </c>
      <c r="E26" s="64">
        <v>4.84</v>
      </c>
      <c r="F26" s="64">
        <v>3.71</v>
      </c>
      <c r="G26" s="64">
        <v>13.96</v>
      </c>
      <c r="H26" s="64">
        <v>5.94</v>
      </c>
      <c r="I26" s="64">
        <v>0</v>
      </c>
      <c r="J26" s="64">
        <v>0.26</v>
      </c>
      <c r="K26" s="64">
        <v>359.03</v>
      </c>
      <c r="L26" s="64">
        <v>24.15</v>
      </c>
      <c r="M26" s="64">
        <v>101.96</v>
      </c>
      <c r="N26" s="64">
        <v>26.1</v>
      </c>
      <c r="O26" s="64">
        <v>0</v>
      </c>
      <c r="P26" s="64">
        <v>0.28000000000000003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264</v>
      </c>
      <c r="B27" s="64">
        <v>3.03</v>
      </c>
      <c r="C27" s="64">
        <v>3.75</v>
      </c>
      <c r="D27" s="64">
        <v>4.3899999999999997</v>
      </c>
      <c r="E27" s="64">
        <v>4.93</v>
      </c>
      <c r="F27" s="64">
        <v>3.32</v>
      </c>
      <c r="G27" s="64">
        <v>13.96</v>
      </c>
      <c r="H27" s="64">
        <v>5.94</v>
      </c>
      <c r="I27" s="64">
        <v>0</v>
      </c>
      <c r="J27" s="64">
        <v>0.3</v>
      </c>
      <c r="K27" s="64">
        <v>3.98</v>
      </c>
      <c r="L27" s="64">
        <v>24.12</v>
      </c>
      <c r="M27" s="64">
        <v>101.64</v>
      </c>
      <c r="N27" s="64">
        <v>26.1</v>
      </c>
      <c r="O27" s="64">
        <v>0</v>
      </c>
      <c r="P27" s="64">
        <v>0.3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265</v>
      </c>
      <c r="B28" s="64">
        <v>3.23</v>
      </c>
      <c r="C28" s="64">
        <v>3.75</v>
      </c>
      <c r="D28" s="64">
        <v>4.55</v>
      </c>
      <c r="E28" s="64">
        <v>4.97</v>
      </c>
      <c r="F28" s="64">
        <v>3.48</v>
      </c>
      <c r="G28" s="64">
        <v>13.96</v>
      </c>
      <c r="H28" s="64">
        <v>5.94</v>
      </c>
      <c r="I28" s="64">
        <v>0</v>
      </c>
      <c r="J28" s="64">
        <v>0.32</v>
      </c>
      <c r="K28" s="64">
        <v>17.77</v>
      </c>
      <c r="L28" s="64">
        <v>24.26</v>
      </c>
      <c r="M28" s="64">
        <v>101.63</v>
      </c>
      <c r="N28" s="64">
        <v>26</v>
      </c>
      <c r="O28" s="64">
        <v>0</v>
      </c>
      <c r="P28" s="64">
        <v>0.3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266</v>
      </c>
      <c r="B29" s="64">
        <v>3.34</v>
      </c>
      <c r="C29" s="64">
        <v>3.83</v>
      </c>
      <c r="D29" s="64">
        <v>4.68</v>
      </c>
      <c r="E29" s="64">
        <v>4.8099999999999996</v>
      </c>
      <c r="F29" s="64">
        <v>3.84</v>
      </c>
      <c r="G29" s="64">
        <v>14.53</v>
      </c>
      <c r="H29" s="64">
        <v>6.23</v>
      </c>
      <c r="I29" s="64">
        <v>0</v>
      </c>
      <c r="J29" s="64">
        <v>0.33</v>
      </c>
      <c r="K29" s="64">
        <v>339.54</v>
      </c>
      <c r="L29" s="64">
        <v>24.17</v>
      </c>
      <c r="M29" s="64">
        <v>101.84</v>
      </c>
      <c r="N29" s="64">
        <v>26.1</v>
      </c>
      <c r="O29" s="64">
        <v>0</v>
      </c>
      <c r="P29" s="64">
        <v>0.33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267</v>
      </c>
      <c r="B30" s="64">
        <v>3.48</v>
      </c>
      <c r="C30" s="64">
        <v>4.3499999999999996</v>
      </c>
      <c r="D30" s="64">
        <v>5.0599999999999996</v>
      </c>
      <c r="E30" s="64">
        <v>5.25</v>
      </c>
      <c r="F30" s="64">
        <v>4.3899999999999997</v>
      </c>
      <c r="G30" s="64">
        <v>16.02</v>
      </c>
      <c r="H30" s="64">
        <v>7.44</v>
      </c>
      <c r="I30" s="64">
        <v>0</v>
      </c>
      <c r="J30" s="64">
        <v>0.35</v>
      </c>
      <c r="K30" s="64">
        <v>335.31</v>
      </c>
      <c r="L30" s="64">
        <v>24.07</v>
      </c>
      <c r="M30" s="64">
        <v>102</v>
      </c>
      <c r="N30" s="64">
        <v>26.1</v>
      </c>
      <c r="O30" s="64">
        <v>0</v>
      </c>
      <c r="P30" s="64">
        <v>0.34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268</v>
      </c>
      <c r="B31" s="64">
        <v>3.56</v>
      </c>
      <c r="C31" s="64">
        <v>4.33</v>
      </c>
      <c r="D31" s="64">
        <v>5.12</v>
      </c>
      <c r="E31" s="64">
        <v>5.28</v>
      </c>
      <c r="F31" s="64">
        <v>2.98</v>
      </c>
      <c r="G31" s="64">
        <v>16.02</v>
      </c>
      <c r="H31" s="64">
        <v>7.44</v>
      </c>
      <c r="I31" s="64">
        <v>0</v>
      </c>
      <c r="J31" s="64">
        <v>0.28000000000000003</v>
      </c>
      <c r="K31" s="64">
        <v>329.21</v>
      </c>
      <c r="L31" s="64">
        <v>23.96</v>
      </c>
      <c r="M31" s="64">
        <v>101.64</v>
      </c>
      <c r="N31" s="64">
        <v>26.2</v>
      </c>
      <c r="O31" s="64">
        <v>0</v>
      </c>
      <c r="P31" s="64">
        <v>0.35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269</v>
      </c>
      <c r="B32" s="64">
        <v>3.71</v>
      </c>
      <c r="C32" s="64">
        <v>4.08</v>
      </c>
      <c r="D32" s="64">
        <v>5.1100000000000003</v>
      </c>
      <c r="E32" s="64">
        <v>5.71</v>
      </c>
      <c r="F32" s="64">
        <v>4.42</v>
      </c>
      <c r="G32" s="64">
        <v>16.02</v>
      </c>
      <c r="H32" s="64">
        <v>7.44</v>
      </c>
      <c r="I32" s="64">
        <v>0</v>
      </c>
      <c r="J32" s="64">
        <v>0.51</v>
      </c>
      <c r="K32" s="64">
        <v>321.44</v>
      </c>
      <c r="L32" s="64">
        <v>24.03</v>
      </c>
      <c r="M32" s="64">
        <v>101.63</v>
      </c>
      <c r="N32" s="64">
        <v>28.5</v>
      </c>
      <c r="O32" s="64">
        <v>0</v>
      </c>
      <c r="P32" s="64">
        <v>0.34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270</v>
      </c>
      <c r="B33" s="64">
        <v>4.22</v>
      </c>
      <c r="C33" s="64">
        <v>4.63</v>
      </c>
      <c r="D33" s="64">
        <v>5.81</v>
      </c>
      <c r="E33" s="64">
        <v>4.84</v>
      </c>
      <c r="F33" s="64">
        <v>3.34</v>
      </c>
      <c r="G33" s="64">
        <v>16.12</v>
      </c>
      <c r="H33" s="64">
        <v>7.23</v>
      </c>
      <c r="I33" s="64">
        <v>0</v>
      </c>
      <c r="J33" s="64">
        <v>0.31</v>
      </c>
      <c r="K33" s="64">
        <v>319.35000000000002</v>
      </c>
      <c r="L33" s="64">
        <v>24.06</v>
      </c>
      <c r="M33" s="64">
        <v>101.81</v>
      </c>
      <c r="N33" s="64">
        <v>38.299999999999997</v>
      </c>
      <c r="O33" s="64">
        <v>0</v>
      </c>
      <c r="P33" s="64">
        <v>0.38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271</v>
      </c>
      <c r="B34" s="64">
        <v>4.8099999999999996</v>
      </c>
      <c r="C34" s="64">
        <v>4.79</v>
      </c>
      <c r="D34" s="64">
        <v>6.36</v>
      </c>
      <c r="E34" s="64">
        <v>5.39</v>
      </c>
      <c r="F34" s="64">
        <v>3.3</v>
      </c>
      <c r="G34" s="64">
        <v>16.38</v>
      </c>
      <c r="H34" s="64">
        <v>6.87</v>
      </c>
      <c r="I34" s="64">
        <v>0</v>
      </c>
      <c r="J34" s="64">
        <v>0.28000000000000003</v>
      </c>
      <c r="K34" s="64">
        <v>353.91</v>
      </c>
      <c r="L34" s="64">
        <v>24.34</v>
      </c>
      <c r="M34" s="64">
        <v>102</v>
      </c>
      <c r="N34" s="64">
        <v>58.2</v>
      </c>
      <c r="O34" s="64">
        <v>0</v>
      </c>
      <c r="P34" s="64">
        <v>0.37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272</v>
      </c>
      <c r="B35" s="64">
        <v>5.12</v>
      </c>
      <c r="C35" s="64">
        <v>5.0999999999999996</v>
      </c>
      <c r="D35" s="64">
        <v>6.77</v>
      </c>
      <c r="E35" s="64">
        <v>5.34</v>
      </c>
      <c r="F35" s="64">
        <v>3.55</v>
      </c>
      <c r="G35" s="64">
        <v>16.38</v>
      </c>
      <c r="H35" s="64">
        <v>6.87</v>
      </c>
      <c r="I35" s="64">
        <v>0</v>
      </c>
      <c r="J35" s="64">
        <v>0.24</v>
      </c>
      <c r="K35" s="64">
        <v>15.34</v>
      </c>
      <c r="L35" s="64">
        <v>25.05</v>
      </c>
      <c r="M35" s="64">
        <v>101.62</v>
      </c>
      <c r="N35" s="64">
        <v>100.6</v>
      </c>
      <c r="O35" s="64">
        <v>0</v>
      </c>
      <c r="P35" s="64">
        <v>0.38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5" t="s">
        <v>273</v>
      </c>
      <c r="B36" s="64">
        <v>5.36</v>
      </c>
      <c r="C36" s="64">
        <v>5.0599999999999996</v>
      </c>
      <c r="D36" s="64">
        <v>6.94</v>
      </c>
      <c r="E36" s="64">
        <v>5.4</v>
      </c>
      <c r="F36" s="64">
        <v>2.91</v>
      </c>
      <c r="G36" s="64">
        <v>16.38</v>
      </c>
      <c r="H36" s="64">
        <v>6.87</v>
      </c>
      <c r="I36" s="64">
        <v>0</v>
      </c>
      <c r="J36" s="64">
        <v>0.26</v>
      </c>
      <c r="K36" s="64">
        <v>355.2</v>
      </c>
      <c r="L36" s="64">
        <v>26.36</v>
      </c>
      <c r="M36" s="64">
        <v>99.31</v>
      </c>
      <c r="N36" s="64">
        <v>145.69999999999999</v>
      </c>
      <c r="O36" s="64">
        <v>0</v>
      </c>
      <c r="P36" s="64">
        <v>0.38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274</v>
      </c>
      <c r="B37" s="64">
        <v>5.78</v>
      </c>
      <c r="C37" s="64">
        <v>5.18</v>
      </c>
      <c r="D37" s="64">
        <v>7.34</v>
      </c>
      <c r="E37" s="64">
        <v>5.5</v>
      </c>
      <c r="F37" s="64">
        <v>4.5</v>
      </c>
      <c r="G37" s="64">
        <v>18.07</v>
      </c>
      <c r="H37" s="64">
        <v>7.37</v>
      </c>
      <c r="I37" s="64">
        <v>0</v>
      </c>
      <c r="J37" s="64">
        <v>0.14000000000000001</v>
      </c>
      <c r="K37" s="64">
        <v>41.82</v>
      </c>
      <c r="L37" s="64">
        <v>26.83</v>
      </c>
      <c r="M37" s="64">
        <v>97.35</v>
      </c>
      <c r="N37" s="64">
        <v>187.6</v>
      </c>
      <c r="O37" s="64">
        <v>0</v>
      </c>
      <c r="P37" s="64">
        <v>0.37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5" t="s">
        <v>275</v>
      </c>
      <c r="B38" s="64">
        <v>6.01</v>
      </c>
      <c r="C38" s="64">
        <v>5.41</v>
      </c>
      <c r="D38" s="64">
        <v>7.65</v>
      </c>
      <c r="E38" s="64">
        <v>5.29</v>
      </c>
      <c r="F38" s="64">
        <v>2.4500000000000002</v>
      </c>
      <c r="G38" s="64">
        <v>22.48</v>
      </c>
      <c r="H38" s="64">
        <v>8.23</v>
      </c>
      <c r="I38" s="64">
        <v>0</v>
      </c>
      <c r="J38" s="64">
        <v>0.16</v>
      </c>
      <c r="K38" s="64">
        <v>38.54</v>
      </c>
      <c r="L38" s="64">
        <v>27.75</v>
      </c>
      <c r="M38" s="64">
        <v>93.66</v>
      </c>
      <c r="N38" s="64">
        <v>242.5</v>
      </c>
      <c r="O38" s="64">
        <v>0</v>
      </c>
      <c r="P38" s="64">
        <v>0.42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276</v>
      </c>
      <c r="B39" s="64">
        <v>6.07</v>
      </c>
      <c r="C39" s="64">
        <v>4.87</v>
      </c>
      <c r="D39" s="64">
        <v>7.41</v>
      </c>
      <c r="E39" s="64">
        <v>5.36</v>
      </c>
      <c r="F39" s="64">
        <v>3.73</v>
      </c>
      <c r="G39" s="64">
        <v>22.48</v>
      </c>
      <c r="H39" s="64">
        <v>8.23</v>
      </c>
      <c r="I39" s="64">
        <v>0</v>
      </c>
      <c r="J39" s="64">
        <v>0.35</v>
      </c>
      <c r="K39" s="64">
        <v>10.57</v>
      </c>
      <c r="L39" s="64">
        <v>28.81</v>
      </c>
      <c r="M39" s="64">
        <v>89.48</v>
      </c>
      <c r="N39" s="64">
        <v>308.2</v>
      </c>
      <c r="O39" s="64">
        <v>0</v>
      </c>
      <c r="P39" s="64">
        <v>0.5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277</v>
      </c>
      <c r="B40" s="64">
        <v>6.37</v>
      </c>
      <c r="C40" s="64">
        <v>4.8600000000000003</v>
      </c>
      <c r="D40" s="64">
        <v>7.64</v>
      </c>
      <c r="E40" s="64">
        <v>4.7</v>
      </c>
      <c r="F40" s="64">
        <v>3.83</v>
      </c>
      <c r="G40" s="64">
        <v>22.48</v>
      </c>
      <c r="H40" s="64">
        <v>8.23</v>
      </c>
      <c r="I40" s="64">
        <v>0</v>
      </c>
      <c r="J40" s="64">
        <v>0.4</v>
      </c>
      <c r="K40" s="64">
        <v>358.82</v>
      </c>
      <c r="L40" s="64">
        <v>29.54</v>
      </c>
      <c r="M40" s="64">
        <v>85.94</v>
      </c>
      <c r="N40" s="64">
        <v>362.1</v>
      </c>
      <c r="O40" s="64">
        <v>0</v>
      </c>
      <c r="P40" s="64">
        <v>0.51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278</v>
      </c>
      <c r="B41" s="64">
        <v>6.78</v>
      </c>
      <c r="C41" s="64">
        <v>5.23</v>
      </c>
      <c r="D41" s="64">
        <v>8.17</v>
      </c>
      <c r="E41" s="64">
        <v>4.78</v>
      </c>
      <c r="F41" s="64">
        <v>3.85</v>
      </c>
      <c r="G41" s="64">
        <v>23.73</v>
      </c>
      <c r="H41" s="64">
        <v>10.199999999999999</v>
      </c>
      <c r="I41" s="64">
        <v>0</v>
      </c>
      <c r="J41" s="64">
        <v>0.54</v>
      </c>
      <c r="K41" s="64">
        <v>333.37</v>
      </c>
      <c r="L41" s="64">
        <v>30.68</v>
      </c>
      <c r="M41" s="64">
        <v>81.349999999999994</v>
      </c>
      <c r="N41" s="64">
        <v>409.1</v>
      </c>
      <c r="O41" s="64">
        <v>0</v>
      </c>
      <c r="P41" s="64">
        <v>0.64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279</v>
      </c>
      <c r="B42" s="64">
        <v>7.37</v>
      </c>
      <c r="C42" s="64">
        <v>5.64</v>
      </c>
      <c r="D42" s="64">
        <v>8.86</v>
      </c>
      <c r="E42" s="64">
        <v>4.9800000000000004</v>
      </c>
      <c r="F42" s="64">
        <v>3.92</v>
      </c>
      <c r="G42" s="64">
        <v>26.98</v>
      </c>
      <c r="H42" s="64">
        <v>13.51</v>
      </c>
      <c r="I42" s="64">
        <v>0</v>
      </c>
      <c r="J42" s="64">
        <v>0.54</v>
      </c>
      <c r="K42" s="64">
        <v>329.3</v>
      </c>
      <c r="L42" s="64">
        <v>32.380000000000003</v>
      </c>
      <c r="M42" s="64">
        <v>74.040000000000006</v>
      </c>
      <c r="N42" s="64">
        <v>466.3</v>
      </c>
      <c r="O42" s="64">
        <v>0</v>
      </c>
      <c r="P42" s="64">
        <v>0.7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280</v>
      </c>
      <c r="B43" s="64">
        <v>7.94</v>
      </c>
      <c r="C43" s="64">
        <v>6.22</v>
      </c>
      <c r="D43" s="64">
        <v>9.61</v>
      </c>
      <c r="E43" s="64">
        <v>5.4</v>
      </c>
      <c r="F43" s="64">
        <v>3.42</v>
      </c>
      <c r="G43" s="64">
        <v>26.98</v>
      </c>
      <c r="H43" s="64">
        <v>13.51</v>
      </c>
      <c r="I43" s="64">
        <v>0</v>
      </c>
      <c r="J43" s="64">
        <v>0.59</v>
      </c>
      <c r="K43" s="64">
        <v>338.34</v>
      </c>
      <c r="L43" s="64">
        <v>32.96</v>
      </c>
      <c r="M43" s="64">
        <v>70.63</v>
      </c>
      <c r="N43" s="64">
        <v>520.6</v>
      </c>
      <c r="O43" s="64">
        <v>0</v>
      </c>
      <c r="P43" s="64">
        <v>0.63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281</v>
      </c>
      <c r="B44" s="64">
        <v>8.5500000000000007</v>
      </c>
      <c r="C44" s="64">
        <v>6.84</v>
      </c>
      <c r="D44" s="64">
        <v>10.43</v>
      </c>
      <c r="E44" s="64">
        <v>5.64</v>
      </c>
      <c r="F44" s="64">
        <v>3.76</v>
      </c>
      <c r="G44" s="64">
        <v>26.98</v>
      </c>
      <c r="H44" s="64">
        <v>13.51</v>
      </c>
      <c r="I44" s="64">
        <v>0</v>
      </c>
      <c r="J44" s="64">
        <v>0.49</v>
      </c>
      <c r="K44" s="64">
        <v>344.08</v>
      </c>
      <c r="L44" s="64">
        <v>32.630000000000003</v>
      </c>
      <c r="M44" s="64">
        <v>71.709999999999994</v>
      </c>
      <c r="N44" s="64">
        <v>566.29999999999995</v>
      </c>
      <c r="O44" s="64">
        <v>0</v>
      </c>
      <c r="P44" s="64">
        <v>0.77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282</v>
      </c>
      <c r="B45" s="64">
        <v>8.92</v>
      </c>
      <c r="C45" s="64">
        <v>7.9</v>
      </c>
      <c r="D45" s="64">
        <v>11.28</v>
      </c>
      <c r="E45" s="64">
        <v>5.41</v>
      </c>
      <c r="F45" s="64">
        <v>3.83</v>
      </c>
      <c r="G45" s="64">
        <v>28.22</v>
      </c>
      <c r="H45" s="64">
        <v>13.49</v>
      </c>
      <c r="I45" s="64">
        <v>0</v>
      </c>
      <c r="J45" s="64">
        <v>0.51</v>
      </c>
      <c r="K45" s="64">
        <v>340.94</v>
      </c>
      <c r="L45" s="64">
        <v>32.619999999999997</v>
      </c>
      <c r="M45" s="64">
        <v>71.03</v>
      </c>
      <c r="N45" s="64">
        <v>621.70000000000005</v>
      </c>
      <c r="O45" s="64">
        <v>0</v>
      </c>
      <c r="P45" s="64">
        <v>0.71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283</v>
      </c>
      <c r="B46" s="64">
        <v>9.09</v>
      </c>
      <c r="C46" s="64">
        <v>8.76</v>
      </c>
      <c r="D46" s="64">
        <v>11.86</v>
      </c>
      <c r="E46" s="64">
        <v>5.66</v>
      </c>
      <c r="F46" s="64">
        <v>4.53</v>
      </c>
      <c r="G46" s="64">
        <v>31.46</v>
      </c>
      <c r="H46" s="64">
        <v>13.43</v>
      </c>
      <c r="I46" s="64">
        <v>0</v>
      </c>
      <c r="J46" s="64">
        <v>0.49</v>
      </c>
      <c r="K46" s="64">
        <v>351.63</v>
      </c>
      <c r="L46" s="64">
        <v>33.46</v>
      </c>
      <c r="M46" s="64">
        <v>67.48</v>
      </c>
      <c r="N46" s="64">
        <v>662.4</v>
      </c>
      <c r="O46" s="64">
        <v>0</v>
      </c>
      <c r="P46" s="64">
        <v>0.68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284</v>
      </c>
      <c r="B47" s="64">
        <v>8.89</v>
      </c>
      <c r="C47" s="64">
        <v>9.58</v>
      </c>
      <c r="D47" s="64">
        <v>12.14</v>
      </c>
      <c r="E47" s="64">
        <v>5.91</v>
      </c>
      <c r="F47" s="64">
        <v>3.87</v>
      </c>
      <c r="G47" s="64">
        <v>31.46</v>
      </c>
      <c r="H47" s="64">
        <v>13.43</v>
      </c>
      <c r="I47" s="64">
        <v>0</v>
      </c>
      <c r="J47" s="64">
        <v>0.33</v>
      </c>
      <c r="K47" s="64">
        <v>21.41</v>
      </c>
      <c r="L47" s="64">
        <v>32.479999999999997</v>
      </c>
      <c r="M47" s="64">
        <v>69.86</v>
      </c>
      <c r="N47" s="64">
        <v>712.7</v>
      </c>
      <c r="O47" s="64">
        <v>0</v>
      </c>
      <c r="P47" s="64">
        <v>0.71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5" t="s">
        <v>285</v>
      </c>
      <c r="B48" s="64">
        <v>8.48</v>
      </c>
      <c r="C48" s="64">
        <v>9.67</v>
      </c>
      <c r="D48" s="64">
        <v>11.85</v>
      </c>
      <c r="E48" s="64">
        <v>6.08</v>
      </c>
      <c r="F48" s="64">
        <v>3.58</v>
      </c>
      <c r="G48" s="64">
        <v>31.46</v>
      </c>
      <c r="H48" s="64">
        <v>13.43</v>
      </c>
      <c r="I48" s="64">
        <v>0</v>
      </c>
      <c r="J48" s="64">
        <v>0.27</v>
      </c>
      <c r="K48" s="64">
        <v>6.32</v>
      </c>
      <c r="L48" s="64">
        <v>32.74</v>
      </c>
      <c r="M48" s="64">
        <v>68.67</v>
      </c>
      <c r="N48" s="64">
        <v>736.6</v>
      </c>
      <c r="O48" s="64">
        <v>0</v>
      </c>
      <c r="P48" s="64">
        <v>0.73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286</v>
      </c>
      <c r="B49" s="64">
        <v>8.35</v>
      </c>
      <c r="C49" s="64">
        <v>10.3</v>
      </c>
      <c r="D49" s="64">
        <v>12.08</v>
      </c>
      <c r="E49" s="64">
        <v>5.47</v>
      </c>
      <c r="F49" s="64">
        <v>4.1900000000000004</v>
      </c>
      <c r="G49" s="64">
        <v>32.89</v>
      </c>
      <c r="H49" s="64">
        <v>14.59</v>
      </c>
      <c r="I49" s="64">
        <v>0</v>
      </c>
      <c r="J49" s="64">
        <v>0.48</v>
      </c>
      <c r="K49" s="64">
        <v>357.7</v>
      </c>
      <c r="L49" s="64">
        <v>33.479999999999997</v>
      </c>
      <c r="M49" s="64">
        <v>66.34</v>
      </c>
      <c r="N49" s="64">
        <v>792.8</v>
      </c>
      <c r="O49" s="64">
        <v>0</v>
      </c>
      <c r="P49" s="64">
        <v>0.74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287</v>
      </c>
      <c r="B50" s="64">
        <v>7.99</v>
      </c>
      <c r="C50" s="64">
        <v>11.04</v>
      </c>
      <c r="D50" s="64">
        <v>12.18</v>
      </c>
      <c r="E50" s="64">
        <v>5.51</v>
      </c>
      <c r="F50" s="64">
        <v>4.6100000000000003</v>
      </c>
      <c r="G50" s="64">
        <v>36.6</v>
      </c>
      <c r="H50" s="64">
        <v>16.54</v>
      </c>
      <c r="I50" s="64">
        <v>0</v>
      </c>
      <c r="J50" s="64">
        <v>0.55000000000000004</v>
      </c>
      <c r="K50" s="64">
        <v>3.28</v>
      </c>
      <c r="L50" s="64">
        <v>32.590000000000003</v>
      </c>
      <c r="M50" s="64">
        <v>68.150000000000006</v>
      </c>
      <c r="N50" s="64">
        <v>825.8</v>
      </c>
      <c r="O50" s="64">
        <v>0</v>
      </c>
      <c r="P50" s="64">
        <v>0.75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288</v>
      </c>
      <c r="B51" s="64">
        <v>7.45</v>
      </c>
      <c r="C51" s="64">
        <v>11.71</v>
      </c>
      <c r="D51" s="64">
        <v>12.09</v>
      </c>
      <c r="E51" s="64">
        <v>5.6</v>
      </c>
      <c r="F51" s="64">
        <v>2.5099999999999998</v>
      </c>
      <c r="G51" s="64">
        <v>36.6</v>
      </c>
      <c r="H51" s="64">
        <v>16.54</v>
      </c>
      <c r="I51" s="64">
        <v>0</v>
      </c>
      <c r="J51" s="64">
        <v>0.49</v>
      </c>
      <c r="K51" s="64">
        <v>352.49</v>
      </c>
      <c r="L51" s="64">
        <v>33.03</v>
      </c>
      <c r="M51" s="64">
        <v>67.150000000000006</v>
      </c>
      <c r="N51" s="64">
        <v>850.4</v>
      </c>
      <c r="O51" s="64">
        <v>0</v>
      </c>
      <c r="P51" s="64">
        <v>0.74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289</v>
      </c>
      <c r="B52" s="64">
        <v>6.74</v>
      </c>
      <c r="C52" s="64">
        <v>13.03</v>
      </c>
      <c r="D52" s="64">
        <v>12.21</v>
      </c>
      <c r="E52" s="64">
        <v>5.74</v>
      </c>
      <c r="F52" s="64">
        <v>4.26</v>
      </c>
      <c r="G52" s="64">
        <v>36.6</v>
      </c>
      <c r="H52" s="64">
        <v>16.54</v>
      </c>
      <c r="I52" s="64">
        <v>0</v>
      </c>
      <c r="J52" s="64">
        <v>0.24</v>
      </c>
      <c r="K52" s="64">
        <v>356.19</v>
      </c>
      <c r="L52" s="64">
        <v>33.82</v>
      </c>
      <c r="M52" s="64">
        <v>65.66</v>
      </c>
      <c r="N52" s="64">
        <v>786.6</v>
      </c>
      <c r="O52" s="64">
        <v>0</v>
      </c>
      <c r="P52" s="64">
        <v>0.72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5" t="s">
        <v>290</v>
      </c>
      <c r="B53" s="64">
        <v>4.82</v>
      </c>
      <c r="C53" s="64">
        <v>15.06</v>
      </c>
      <c r="D53" s="64">
        <v>11.73</v>
      </c>
      <c r="E53" s="64">
        <v>5.45</v>
      </c>
      <c r="F53" s="64">
        <v>5.8</v>
      </c>
      <c r="G53" s="64">
        <v>34.51</v>
      </c>
      <c r="H53" s="64">
        <v>16.920000000000002</v>
      </c>
      <c r="I53" s="64">
        <v>0.32</v>
      </c>
      <c r="J53" s="64">
        <v>0.51</v>
      </c>
      <c r="K53" s="64">
        <v>340.18</v>
      </c>
      <c r="L53" s="64">
        <v>34.369999999999997</v>
      </c>
      <c r="M53" s="64">
        <v>62.32</v>
      </c>
      <c r="N53" s="64">
        <v>876.9</v>
      </c>
      <c r="O53" s="64">
        <v>0</v>
      </c>
      <c r="P53" s="64">
        <v>0.71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5" t="s">
        <v>291</v>
      </c>
      <c r="B54" s="64">
        <v>3.21</v>
      </c>
      <c r="C54" s="64">
        <v>16.62</v>
      </c>
      <c r="D54" s="64">
        <v>11.26</v>
      </c>
      <c r="E54" s="64">
        <v>6.24</v>
      </c>
      <c r="F54" s="64">
        <v>5.07</v>
      </c>
      <c r="G54" s="64">
        <v>29.07</v>
      </c>
      <c r="H54" s="64">
        <v>17.559999999999999</v>
      </c>
      <c r="I54" s="64">
        <v>3.2</v>
      </c>
      <c r="J54" s="64">
        <v>0.57999999999999996</v>
      </c>
      <c r="K54" s="64">
        <v>331</v>
      </c>
      <c r="L54" s="64">
        <v>34.28</v>
      </c>
      <c r="M54" s="64">
        <v>61.94</v>
      </c>
      <c r="N54" s="64">
        <v>867</v>
      </c>
      <c r="O54" s="64">
        <v>0</v>
      </c>
      <c r="P54" s="64">
        <v>0.7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292</v>
      </c>
      <c r="B55" s="64">
        <v>2.46</v>
      </c>
      <c r="C55" s="64">
        <v>16</v>
      </c>
      <c r="D55" s="64">
        <v>10.33</v>
      </c>
      <c r="E55" s="64">
        <v>6</v>
      </c>
      <c r="F55" s="64">
        <v>4.87</v>
      </c>
      <c r="G55" s="64">
        <v>29.07</v>
      </c>
      <c r="H55" s="64">
        <v>17.559999999999999</v>
      </c>
      <c r="I55" s="64">
        <v>3.1</v>
      </c>
      <c r="J55" s="64">
        <v>0.42</v>
      </c>
      <c r="K55" s="64">
        <v>339.59</v>
      </c>
      <c r="L55" s="64">
        <v>34.89</v>
      </c>
      <c r="M55" s="64">
        <v>59.36</v>
      </c>
      <c r="N55" s="64">
        <v>844.8</v>
      </c>
      <c r="O55" s="64">
        <v>0</v>
      </c>
      <c r="P55" s="64">
        <v>0.69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293</v>
      </c>
      <c r="B56" s="64">
        <v>2.31</v>
      </c>
      <c r="C56" s="64">
        <v>14.32</v>
      </c>
      <c r="D56" s="64">
        <v>9.34</v>
      </c>
      <c r="E56" s="64">
        <v>5.09</v>
      </c>
      <c r="F56" s="64">
        <v>5.3</v>
      </c>
      <c r="G56" s="64">
        <v>29.07</v>
      </c>
      <c r="H56" s="64">
        <v>17.559999999999999</v>
      </c>
      <c r="I56" s="64">
        <v>2.98</v>
      </c>
      <c r="J56" s="64">
        <v>0.41</v>
      </c>
      <c r="K56" s="64">
        <v>356.41</v>
      </c>
      <c r="L56" s="64">
        <v>34.35</v>
      </c>
      <c r="M56" s="64">
        <v>60.53</v>
      </c>
      <c r="N56" s="64">
        <v>409.9</v>
      </c>
      <c r="O56" s="64">
        <v>0</v>
      </c>
      <c r="P56" s="64">
        <v>0.67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294</v>
      </c>
      <c r="B57" s="64">
        <v>1.96</v>
      </c>
      <c r="C57" s="64">
        <v>13.62</v>
      </c>
      <c r="D57" s="64">
        <v>8.69</v>
      </c>
      <c r="E57" s="64">
        <v>5.68</v>
      </c>
      <c r="F57" s="64">
        <v>5.68</v>
      </c>
      <c r="G57" s="64">
        <v>35.020000000000003</v>
      </c>
      <c r="H57" s="64">
        <v>18.07</v>
      </c>
      <c r="I57" s="64">
        <v>2.84</v>
      </c>
      <c r="J57" s="64">
        <v>0.38</v>
      </c>
      <c r="K57" s="64">
        <v>338.42</v>
      </c>
      <c r="L57" s="64">
        <v>33.92</v>
      </c>
      <c r="M57" s="64">
        <v>61.77</v>
      </c>
      <c r="N57" s="64">
        <v>379.2</v>
      </c>
      <c r="O57" s="64">
        <v>0</v>
      </c>
      <c r="P57" s="64">
        <v>0.66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5" t="s">
        <v>295</v>
      </c>
      <c r="B58" s="64">
        <v>1.8</v>
      </c>
      <c r="C58" s="64">
        <v>12.56</v>
      </c>
      <c r="D58" s="64">
        <v>8</v>
      </c>
      <c r="E58" s="64">
        <v>5.37</v>
      </c>
      <c r="F58" s="64">
        <v>5.35</v>
      </c>
      <c r="G58" s="64">
        <v>50.49</v>
      </c>
      <c r="H58" s="64">
        <v>18.96</v>
      </c>
      <c r="I58" s="64">
        <v>2.57</v>
      </c>
      <c r="J58" s="64">
        <v>0.28000000000000003</v>
      </c>
      <c r="K58" s="64">
        <v>12.65</v>
      </c>
      <c r="L58" s="64">
        <v>32.97</v>
      </c>
      <c r="M58" s="64">
        <v>65.7</v>
      </c>
      <c r="N58" s="64">
        <v>287.3</v>
      </c>
      <c r="O58" s="64">
        <v>0</v>
      </c>
      <c r="P58" s="64">
        <v>0.61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5" t="s">
        <v>296</v>
      </c>
      <c r="B59" s="64">
        <v>1.85</v>
      </c>
      <c r="C59" s="64">
        <v>11.51</v>
      </c>
      <c r="D59" s="64">
        <v>7.49</v>
      </c>
      <c r="E59" s="64">
        <v>5.31</v>
      </c>
      <c r="F59" s="64">
        <v>5.44</v>
      </c>
      <c r="G59" s="64">
        <v>50.49</v>
      </c>
      <c r="H59" s="64">
        <v>18.96</v>
      </c>
      <c r="I59" s="64">
        <v>2.57</v>
      </c>
      <c r="J59" s="64">
        <v>0.28999999999999998</v>
      </c>
      <c r="K59" s="64">
        <v>357.06</v>
      </c>
      <c r="L59" s="64">
        <v>33.479999999999997</v>
      </c>
      <c r="M59" s="64">
        <v>64.040000000000006</v>
      </c>
      <c r="N59" s="64">
        <v>340.7</v>
      </c>
      <c r="O59" s="64">
        <v>0</v>
      </c>
      <c r="P59" s="64">
        <v>0.62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5" t="s">
        <v>297</v>
      </c>
      <c r="B60" s="64">
        <v>1.93</v>
      </c>
      <c r="C60" s="64">
        <v>10.73</v>
      </c>
      <c r="D60" s="64">
        <v>7.16</v>
      </c>
      <c r="E60" s="64">
        <v>5.5</v>
      </c>
      <c r="F60" s="64">
        <v>5.0599999999999996</v>
      </c>
      <c r="G60" s="64">
        <v>50.49</v>
      </c>
      <c r="H60" s="64">
        <v>18.96</v>
      </c>
      <c r="I60" s="64">
        <v>2.4500000000000002</v>
      </c>
      <c r="J60" s="64">
        <v>0.26</v>
      </c>
      <c r="K60" s="64">
        <v>5.46</v>
      </c>
      <c r="L60" s="64">
        <v>33.770000000000003</v>
      </c>
      <c r="M60" s="64">
        <v>62.48</v>
      </c>
      <c r="N60" s="64">
        <v>475.8</v>
      </c>
      <c r="O60" s="64">
        <v>0</v>
      </c>
      <c r="P60" s="64">
        <v>0.6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298</v>
      </c>
      <c r="B61" s="64">
        <v>1.9</v>
      </c>
      <c r="C61" s="64">
        <v>10.19</v>
      </c>
      <c r="D61" s="64">
        <v>6.84</v>
      </c>
      <c r="E61" s="64">
        <v>5.34</v>
      </c>
      <c r="F61" s="64">
        <v>8.57</v>
      </c>
      <c r="G61" s="64">
        <v>50.9</v>
      </c>
      <c r="H61" s="64">
        <v>18.23</v>
      </c>
      <c r="I61" s="64">
        <v>2.36</v>
      </c>
      <c r="J61" s="64">
        <v>0.28000000000000003</v>
      </c>
      <c r="K61" s="64">
        <v>164.59</v>
      </c>
      <c r="L61" s="64">
        <v>32.9</v>
      </c>
      <c r="M61" s="64">
        <v>64.78</v>
      </c>
      <c r="N61" s="64">
        <v>620.6</v>
      </c>
      <c r="O61" s="64">
        <v>0</v>
      </c>
      <c r="P61" s="64">
        <v>0.5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299</v>
      </c>
      <c r="B62" s="64">
        <v>1.68</v>
      </c>
      <c r="C62" s="64">
        <v>9.51</v>
      </c>
      <c r="D62" s="64">
        <v>6.31</v>
      </c>
      <c r="E62" s="64">
        <v>5.58</v>
      </c>
      <c r="F62" s="64">
        <v>5.73</v>
      </c>
      <c r="G62" s="64">
        <v>51.96</v>
      </c>
      <c r="H62" s="64">
        <v>15.43</v>
      </c>
      <c r="I62" s="64">
        <v>2.41</v>
      </c>
      <c r="J62" s="64">
        <v>0.15</v>
      </c>
      <c r="K62" s="64">
        <v>18.829999999999998</v>
      </c>
      <c r="L62" s="64">
        <v>32.909999999999997</v>
      </c>
      <c r="M62" s="64">
        <v>64.83</v>
      </c>
      <c r="N62" s="64">
        <v>412</v>
      </c>
      <c r="O62" s="64">
        <v>0</v>
      </c>
      <c r="P62" s="64">
        <v>0.51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300</v>
      </c>
      <c r="B63" s="64">
        <v>1.52</v>
      </c>
      <c r="C63" s="64">
        <v>9.34</v>
      </c>
      <c r="D63" s="64">
        <v>6.1</v>
      </c>
      <c r="E63" s="64">
        <v>5.53</v>
      </c>
      <c r="F63" s="64">
        <v>5.49</v>
      </c>
      <c r="G63" s="64">
        <v>51.96</v>
      </c>
      <c r="H63" s="64">
        <v>15.43</v>
      </c>
      <c r="I63" s="64">
        <v>2.38</v>
      </c>
      <c r="J63" s="64">
        <v>0.24</v>
      </c>
      <c r="K63" s="64">
        <v>105.57</v>
      </c>
      <c r="L63" s="64">
        <v>32.33</v>
      </c>
      <c r="M63" s="64">
        <v>66.900000000000006</v>
      </c>
      <c r="N63" s="64">
        <v>209.5</v>
      </c>
      <c r="O63" s="64">
        <v>0</v>
      </c>
      <c r="P63" s="64">
        <v>0.53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301</v>
      </c>
      <c r="B64" s="64">
        <v>1.1599999999999999</v>
      </c>
      <c r="C64" s="64">
        <v>8.27</v>
      </c>
      <c r="D64" s="64">
        <v>5.25</v>
      </c>
      <c r="E64" s="64">
        <v>5.33</v>
      </c>
      <c r="F64" s="64">
        <v>5</v>
      </c>
      <c r="G64" s="64">
        <v>51.96</v>
      </c>
      <c r="H64" s="64">
        <v>15.43</v>
      </c>
      <c r="I64" s="64">
        <v>2.85</v>
      </c>
      <c r="J64" s="64">
        <v>0.63</v>
      </c>
      <c r="K64" s="64">
        <v>134.91999999999999</v>
      </c>
      <c r="L64" s="64">
        <v>31.67</v>
      </c>
      <c r="M64" s="64">
        <v>69.03</v>
      </c>
      <c r="N64" s="64">
        <v>182.3</v>
      </c>
      <c r="O64" s="64">
        <v>0</v>
      </c>
      <c r="P64" s="64">
        <v>0.47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302</v>
      </c>
      <c r="B65" s="64">
        <v>0.6</v>
      </c>
      <c r="C65" s="64">
        <v>7.87</v>
      </c>
      <c r="D65" s="64">
        <v>4.5999999999999996</v>
      </c>
      <c r="E65" s="64">
        <v>5.78</v>
      </c>
      <c r="F65" s="64">
        <v>10.56</v>
      </c>
      <c r="G65" s="64">
        <v>46.91</v>
      </c>
      <c r="H65" s="64">
        <v>13.7</v>
      </c>
      <c r="I65" s="64">
        <v>2.96</v>
      </c>
      <c r="J65" s="64">
        <v>0.21</v>
      </c>
      <c r="K65" s="64">
        <v>117.26</v>
      </c>
      <c r="L65" s="64">
        <v>31.15</v>
      </c>
      <c r="M65" s="64">
        <v>70.22</v>
      </c>
      <c r="N65" s="64">
        <v>231.7</v>
      </c>
      <c r="O65" s="64">
        <v>0</v>
      </c>
      <c r="P65" s="64">
        <v>0.4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303</v>
      </c>
      <c r="B66" s="64">
        <v>-0.1</v>
      </c>
      <c r="C66" s="64">
        <v>9.14</v>
      </c>
      <c r="D66" s="64">
        <v>4.6900000000000004</v>
      </c>
      <c r="E66" s="64">
        <v>6.21</v>
      </c>
      <c r="F66" s="64">
        <v>16.510000000000002</v>
      </c>
      <c r="G66" s="64">
        <v>33.770000000000003</v>
      </c>
      <c r="H66" s="64">
        <v>10.8</v>
      </c>
      <c r="I66" s="64">
        <v>2.67</v>
      </c>
      <c r="J66" s="64">
        <v>0.32</v>
      </c>
      <c r="K66" s="64">
        <v>147.68</v>
      </c>
      <c r="L66" s="64">
        <v>31.2</v>
      </c>
      <c r="M66" s="64">
        <v>69.75</v>
      </c>
      <c r="N66" s="64">
        <v>173.2</v>
      </c>
      <c r="O66" s="64">
        <v>0</v>
      </c>
      <c r="P66" s="64">
        <v>0.36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304</v>
      </c>
      <c r="B67" s="64">
        <v>-0.18</v>
      </c>
      <c r="C67" s="64">
        <v>8.99</v>
      </c>
      <c r="D67" s="64">
        <v>4.55</v>
      </c>
      <c r="E67" s="64">
        <v>5.47</v>
      </c>
      <c r="F67" s="64">
        <v>9.2100000000000009</v>
      </c>
      <c r="G67" s="64">
        <v>33.770000000000003</v>
      </c>
      <c r="H67" s="64">
        <v>10.8</v>
      </c>
      <c r="I67" s="64">
        <v>2</v>
      </c>
      <c r="J67" s="64">
        <v>0.32</v>
      </c>
      <c r="K67" s="64">
        <v>46.9</v>
      </c>
      <c r="L67" s="64">
        <v>31.61</v>
      </c>
      <c r="M67" s="64">
        <v>69.430000000000007</v>
      </c>
      <c r="N67" s="64">
        <v>151.80000000000001</v>
      </c>
      <c r="O67" s="64">
        <v>0</v>
      </c>
      <c r="P67" s="64">
        <v>0.37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305</v>
      </c>
      <c r="B68" s="64">
        <v>0.05</v>
      </c>
      <c r="C68" s="64">
        <v>10.34</v>
      </c>
      <c r="D68" s="64">
        <v>5.44</v>
      </c>
      <c r="E68" s="64">
        <v>5.97</v>
      </c>
      <c r="F68" s="64">
        <v>20.010000000000002</v>
      </c>
      <c r="G68" s="64">
        <v>33.770000000000003</v>
      </c>
      <c r="H68" s="64">
        <v>10.8</v>
      </c>
      <c r="I68" s="64">
        <v>1.61</v>
      </c>
      <c r="J68" s="64">
        <v>0.01</v>
      </c>
      <c r="K68" s="64">
        <v>83.52</v>
      </c>
      <c r="L68" s="64">
        <v>31.53</v>
      </c>
      <c r="M68" s="64">
        <v>69.680000000000007</v>
      </c>
      <c r="N68" s="64">
        <v>124</v>
      </c>
      <c r="O68" s="64">
        <v>0</v>
      </c>
      <c r="P68" s="64">
        <v>0.37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306</v>
      </c>
      <c r="B69" s="64">
        <v>-0.16</v>
      </c>
      <c r="C69" s="64">
        <v>12.62</v>
      </c>
      <c r="D69" s="64">
        <v>6.46</v>
      </c>
      <c r="E69" s="64">
        <v>6.21</v>
      </c>
      <c r="F69" s="64">
        <v>13.81</v>
      </c>
      <c r="G69" s="64">
        <v>34.56</v>
      </c>
      <c r="H69" s="64">
        <v>11.61</v>
      </c>
      <c r="I69" s="64">
        <v>1.77</v>
      </c>
      <c r="J69" s="64">
        <v>0.16</v>
      </c>
      <c r="K69" s="64">
        <v>46.77</v>
      </c>
      <c r="L69" s="64">
        <v>31.12</v>
      </c>
      <c r="M69" s="64">
        <v>70.95</v>
      </c>
      <c r="N69" s="64">
        <v>119.4</v>
      </c>
      <c r="O69" s="64">
        <v>0</v>
      </c>
      <c r="P69" s="64">
        <v>0.35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307</v>
      </c>
      <c r="B70" s="64">
        <v>-0.02</v>
      </c>
      <c r="C70" s="64">
        <v>11.24</v>
      </c>
      <c r="D70" s="64">
        <v>5.86</v>
      </c>
      <c r="E70" s="64">
        <v>6.12</v>
      </c>
      <c r="F70" s="64">
        <v>9.6199999999999992</v>
      </c>
      <c r="G70" s="64">
        <v>36.619999999999997</v>
      </c>
      <c r="H70" s="64">
        <v>13.03</v>
      </c>
      <c r="I70" s="64">
        <v>1.39</v>
      </c>
      <c r="J70" s="64">
        <v>0.27</v>
      </c>
      <c r="K70" s="64">
        <v>5.92</v>
      </c>
      <c r="L70" s="64">
        <v>31.09</v>
      </c>
      <c r="M70" s="64">
        <v>70.41</v>
      </c>
      <c r="N70" s="64">
        <v>120.8</v>
      </c>
      <c r="O70" s="64">
        <v>0</v>
      </c>
      <c r="P70" s="64">
        <v>0.35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308</v>
      </c>
      <c r="B71" s="64">
        <v>0.27</v>
      </c>
      <c r="C71" s="64">
        <v>10.25</v>
      </c>
      <c r="D71" s="64">
        <v>5.57</v>
      </c>
      <c r="E71" s="64">
        <v>5.93</v>
      </c>
      <c r="F71" s="64">
        <v>6.69</v>
      </c>
      <c r="G71" s="64">
        <v>36.619999999999997</v>
      </c>
      <c r="H71" s="64">
        <v>13.03</v>
      </c>
      <c r="I71" s="64">
        <v>1.5</v>
      </c>
      <c r="J71" s="64">
        <v>0.3</v>
      </c>
      <c r="K71" s="64">
        <v>15.62</v>
      </c>
      <c r="L71" s="64">
        <v>31.03</v>
      </c>
      <c r="M71" s="64">
        <v>71.709999999999994</v>
      </c>
      <c r="N71" s="64">
        <v>119.7</v>
      </c>
      <c r="O71" s="64">
        <v>0</v>
      </c>
      <c r="P71" s="64">
        <v>0.36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309</v>
      </c>
      <c r="B72" s="64">
        <v>0.38</v>
      </c>
      <c r="C72" s="64">
        <v>9.0500000000000007</v>
      </c>
      <c r="D72" s="64">
        <v>5.04</v>
      </c>
      <c r="E72" s="64">
        <v>4.63</v>
      </c>
      <c r="F72" s="64">
        <v>5.89</v>
      </c>
      <c r="G72" s="64">
        <v>36.619999999999997</v>
      </c>
      <c r="H72" s="64">
        <v>13.03</v>
      </c>
      <c r="I72" s="64">
        <v>1.62</v>
      </c>
      <c r="J72" s="64">
        <v>0.11</v>
      </c>
      <c r="K72" s="64">
        <v>28.35</v>
      </c>
      <c r="L72" s="64">
        <v>30.8</v>
      </c>
      <c r="M72" s="64">
        <v>72.17</v>
      </c>
      <c r="N72" s="64">
        <v>127.7</v>
      </c>
      <c r="O72" s="64">
        <v>0</v>
      </c>
      <c r="P72" s="64">
        <v>0.3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310</v>
      </c>
      <c r="B73" s="64">
        <v>0.33</v>
      </c>
      <c r="C73" s="64">
        <v>7.95</v>
      </c>
      <c r="D73" s="64">
        <v>4.42</v>
      </c>
      <c r="E73" s="64">
        <v>4.21</v>
      </c>
      <c r="F73" s="64">
        <v>7.91</v>
      </c>
      <c r="G73" s="64">
        <v>33.200000000000003</v>
      </c>
      <c r="H73" s="64">
        <v>11.63</v>
      </c>
      <c r="I73" s="64">
        <v>1.51</v>
      </c>
      <c r="J73" s="64">
        <v>0.11</v>
      </c>
      <c r="K73" s="64">
        <v>176.65</v>
      </c>
      <c r="L73" s="64">
        <v>30.78</v>
      </c>
      <c r="M73" s="64">
        <v>72.94</v>
      </c>
      <c r="N73" s="64">
        <v>135.4</v>
      </c>
      <c r="O73" s="64">
        <v>0</v>
      </c>
      <c r="P73" s="64">
        <v>0.28000000000000003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5" t="s">
        <v>311</v>
      </c>
      <c r="B74" s="64">
        <v>0.47</v>
      </c>
      <c r="C74" s="64">
        <v>7.53</v>
      </c>
      <c r="D74" s="64">
        <v>4.32</v>
      </c>
      <c r="E74" s="64">
        <v>4.2699999999999996</v>
      </c>
      <c r="F74" s="64">
        <v>6.79</v>
      </c>
      <c r="G74" s="64">
        <v>24.3</v>
      </c>
      <c r="H74" s="64">
        <v>9.2799999999999994</v>
      </c>
      <c r="I74" s="64">
        <v>1.29</v>
      </c>
      <c r="J74" s="64">
        <v>0.11</v>
      </c>
      <c r="K74" s="64">
        <v>55.6</v>
      </c>
      <c r="L74" s="64">
        <v>30.97</v>
      </c>
      <c r="M74" s="64">
        <v>72.37</v>
      </c>
      <c r="N74" s="64">
        <v>130.6</v>
      </c>
      <c r="O74" s="64">
        <v>0</v>
      </c>
      <c r="P74" s="64">
        <v>0.28999999999999998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5" t="s">
        <v>312</v>
      </c>
      <c r="B75" s="64">
        <v>0.67</v>
      </c>
      <c r="C75" s="64">
        <v>7.09</v>
      </c>
      <c r="D75" s="64">
        <v>4.24</v>
      </c>
      <c r="E75" s="64">
        <v>3.97</v>
      </c>
      <c r="F75" s="64">
        <v>6.8</v>
      </c>
      <c r="G75" s="64">
        <v>24.3</v>
      </c>
      <c r="H75" s="64">
        <v>9.2799999999999994</v>
      </c>
      <c r="I75" s="64">
        <v>1</v>
      </c>
      <c r="J75" s="64">
        <v>0.48</v>
      </c>
      <c r="K75" s="64">
        <v>93.18</v>
      </c>
      <c r="L75" s="64">
        <v>30.84</v>
      </c>
      <c r="M75" s="64">
        <v>73.260000000000005</v>
      </c>
      <c r="N75" s="64">
        <v>106.7</v>
      </c>
      <c r="O75" s="64">
        <v>0</v>
      </c>
      <c r="P75" s="64">
        <v>0.28999999999999998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313</v>
      </c>
      <c r="B76" s="64">
        <v>0.87</v>
      </c>
      <c r="C76" s="64">
        <v>7.14</v>
      </c>
      <c r="D76" s="64">
        <v>4.43</v>
      </c>
      <c r="E76" s="64">
        <v>4.2</v>
      </c>
      <c r="F76" s="64">
        <v>6.36</v>
      </c>
      <c r="G76" s="64">
        <v>24.3</v>
      </c>
      <c r="H76" s="64">
        <v>9.2799999999999994</v>
      </c>
      <c r="I76" s="64">
        <v>0.88</v>
      </c>
      <c r="J76" s="64">
        <v>0.28999999999999998</v>
      </c>
      <c r="K76" s="64">
        <v>11.29</v>
      </c>
      <c r="L76" s="64">
        <v>30.97</v>
      </c>
      <c r="M76" s="64">
        <v>72.430000000000007</v>
      </c>
      <c r="N76" s="64">
        <v>90.5</v>
      </c>
      <c r="O76" s="64">
        <v>0</v>
      </c>
      <c r="P76" s="64">
        <v>0.36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314</v>
      </c>
      <c r="B77" s="64">
        <v>1.02</v>
      </c>
      <c r="C77" s="64">
        <v>7.25</v>
      </c>
      <c r="D77" s="64">
        <v>4.5999999999999996</v>
      </c>
      <c r="E77" s="64">
        <v>3.97</v>
      </c>
      <c r="F77" s="64">
        <v>7.09</v>
      </c>
      <c r="G77" s="64">
        <v>27.22</v>
      </c>
      <c r="H77" s="64">
        <v>9.9</v>
      </c>
      <c r="I77" s="64">
        <v>1.06</v>
      </c>
      <c r="J77" s="64">
        <v>0.15</v>
      </c>
      <c r="K77" s="64">
        <v>186.71</v>
      </c>
      <c r="L77" s="64">
        <v>30.47</v>
      </c>
      <c r="M77" s="64">
        <v>74.45</v>
      </c>
      <c r="N77" s="64">
        <v>67.400000000000006</v>
      </c>
      <c r="O77" s="64">
        <v>0</v>
      </c>
      <c r="P77" s="64">
        <v>0.31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315</v>
      </c>
      <c r="B78" s="64">
        <v>0.81</v>
      </c>
      <c r="C78" s="64">
        <v>7.82</v>
      </c>
      <c r="D78" s="64">
        <v>4.7300000000000004</v>
      </c>
      <c r="E78" s="64">
        <v>5.21</v>
      </c>
      <c r="F78" s="64">
        <v>8.98</v>
      </c>
      <c r="G78" s="64">
        <v>34.81</v>
      </c>
      <c r="H78" s="64">
        <v>12.28</v>
      </c>
      <c r="I78" s="64">
        <v>1.3</v>
      </c>
      <c r="J78" s="64">
        <v>0.21</v>
      </c>
      <c r="K78" s="64">
        <v>8.4</v>
      </c>
      <c r="L78" s="64">
        <v>30.1</v>
      </c>
      <c r="M78" s="64">
        <v>76.31</v>
      </c>
      <c r="N78" s="64">
        <v>46</v>
      </c>
      <c r="O78" s="64">
        <v>0</v>
      </c>
      <c r="P78" s="64">
        <v>0.36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316</v>
      </c>
      <c r="B79" s="64">
        <v>1</v>
      </c>
      <c r="C79" s="64">
        <v>9.49</v>
      </c>
      <c r="D79" s="64">
        <v>5.76</v>
      </c>
      <c r="E79" s="64">
        <v>5.32</v>
      </c>
      <c r="F79" s="64">
        <v>6.8</v>
      </c>
      <c r="G79" s="64">
        <v>34.81</v>
      </c>
      <c r="H79" s="64">
        <v>12.28</v>
      </c>
      <c r="I79" s="64">
        <v>1.26</v>
      </c>
      <c r="J79" s="64">
        <v>0.4</v>
      </c>
      <c r="K79" s="64">
        <v>24.59</v>
      </c>
      <c r="L79" s="64">
        <v>29.84</v>
      </c>
      <c r="M79" s="64">
        <v>78.709999999999994</v>
      </c>
      <c r="N79" s="64">
        <v>33.799999999999997</v>
      </c>
      <c r="O79" s="64">
        <v>0</v>
      </c>
      <c r="P79" s="64">
        <v>0.46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317</v>
      </c>
      <c r="B80" s="64">
        <v>1.34</v>
      </c>
      <c r="C80" s="64">
        <v>10.53</v>
      </c>
      <c r="D80" s="64">
        <v>6.57</v>
      </c>
      <c r="E80" s="64">
        <v>4.8600000000000003</v>
      </c>
      <c r="F80" s="64">
        <v>4.8499999999999996</v>
      </c>
      <c r="G80" s="64">
        <v>34.81</v>
      </c>
      <c r="H80" s="64">
        <v>12.28</v>
      </c>
      <c r="I80" s="64">
        <v>1.77</v>
      </c>
      <c r="J80" s="64">
        <v>0.33</v>
      </c>
      <c r="K80" s="64">
        <v>26.17</v>
      </c>
      <c r="L80" s="64">
        <v>29.44</v>
      </c>
      <c r="M80" s="64">
        <v>80.66</v>
      </c>
      <c r="N80" s="64">
        <v>27.9</v>
      </c>
      <c r="O80" s="64">
        <v>0</v>
      </c>
      <c r="P80" s="64">
        <v>0.48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318</v>
      </c>
      <c r="B81" s="64">
        <v>1.38</v>
      </c>
      <c r="C81" s="64">
        <v>9.9</v>
      </c>
      <c r="D81" s="64">
        <v>6.28</v>
      </c>
      <c r="E81" s="64">
        <v>4.84</v>
      </c>
      <c r="F81" s="64">
        <v>4.5999999999999996</v>
      </c>
      <c r="G81" s="64">
        <v>36.31</v>
      </c>
      <c r="H81" s="64">
        <v>12.69</v>
      </c>
      <c r="I81" s="64">
        <v>2.27</v>
      </c>
      <c r="J81" s="64">
        <v>0.33</v>
      </c>
      <c r="K81" s="64">
        <v>20.87</v>
      </c>
      <c r="L81" s="64">
        <v>29.25</v>
      </c>
      <c r="M81" s="64">
        <v>82.44</v>
      </c>
      <c r="N81" s="64">
        <v>26.5</v>
      </c>
      <c r="O81" s="64">
        <v>0</v>
      </c>
      <c r="P81" s="64">
        <v>0.59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319</v>
      </c>
      <c r="B82" s="64">
        <v>1.59</v>
      </c>
      <c r="C82" s="64">
        <v>9.69</v>
      </c>
      <c r="D82" s="64">
        <v>6.34</v>
      </c>
      <c r="E82" s="64">
        <v>5.0599999999999996</v>
      </c>
      <c r="F82" s="64">
        <v>4.13</v>
      </c>
      <c r="G82" s="64">
        <v>40.200000000000003</v>
      </c>
      <c r="H82" s="64">
        <v>13.39</v>
      </c>
      <c r="I82" s="64">
        <v>2.34</v>
      </c>
      <c r="J82" s="64">
        <v>0.31</v>
      </c>
      <c r="K82" s="64">
        <v>28.6</v>
      </c>
      <c r="L82" s="64">
        <v>28.97</v>
      </c>
      <c r="M82" s="64">
        <v>83.78</v>
      </c>
      <c r="N82" s="64">
        <v>26.3</v>
      </c>
      <c r="O82" s="64">
        <v>0</v>
      </c>
      <c r="P82" s="64">
        <v>0.51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5" t="s">
        <v>320</v>
      </c>
      <c r="B83" s="64">
        <v>1.6</v>
      </c>
      <c r="C83" s="64">
        <v>8.94</v>
      </c>
      <c r="D83" s="64">
        <v>5.95</v>
      </c>
      <c r="E83" s="64">
        <v>5</v>
      </c>
      <c r="F83" s="64">
        <v>4.0199999999999996</v>
      </c>
      <c r="G83" s="64">
        <v>40.200000000000003</v>
      </c>
      <c r="H83" s="64">
        <v>13.39</v>
      </c>
      <c r="I83" s="64">
        <v>2.37</v>
      </c>
      <c r="J83" s="64">
        <v>0.33</v>
      </c>
      <c r="K83" s="64">
        <v>8.4499999999999993</v>
      </c>
      <c r="L83" s="64">
        <v>28.72</v>
      </c>
      <c r="M83" s="64">
        <v>85.45</v>
      </c>
      <c r="N83" s="64">
        <v>26.2</v>
      </c>
      <c r="O83" s="64">
        <v>0</v>
      </c>
      <c r="P83" s="64">
        <v>0.51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321</v>
      </c>
      <c r="B84" s="64">
        <v>1.77</v>
      </c>
      <c r="C84" s="64">
        <v>8.67</v>
      </c>
      <c r="D84" s="64">
        <v>5.95</v>
      </c>
      <c r="E84" s="64">
        <v>4.3600000000000003</v>
      </c>
      <c r="F84" s="64">
        <v>3.93</v>
      </c>
      <c r="G84" s="64">
        <v>40.200000000000003</v>
      </c>
      <c r="H84" s="64">
        <v>13.39</v>
      </c>
      <c r="I84" s="64">
        <v>2.31</v>
      </c>
      <c r="J84" s="64">
        <v>0.27</v>
      </c>
      <c r="K84" s="64">
        <v>19.850000000000001</v>
      </c>
      <c r="L84" s="64">
        <v>28.52</v>
      </c>
      <c r="M84" s="64">
        <v>87.29</v>
      </c>
      <c r="N84" s="64">
        <v>26.1</v>
      </c>
      <c r="O84" s="64">
        <v>0</v>
      </c>
      <c r="P84" s="64">
        <v>0.6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5" t="s">
        <v>322</v>
      </c>
      <c r="B85" s="64">
        <v>2.06</v>
      </c>
      <c r="C85" s="64">
        <v>8.42</v>
      </c>
      <c r="D85" s="64">
        <v>6.05</v>
      </c>
      <c r="E85" s="64">
        <v>4.2300000000000004</v>
      </c>
      <c r="F85" s="64">
        <v>5.98</v>
      </c>
      <c r="G85" s="64">
        <v>44.8</v>
      </c>
      <c r="H85" s="64">
        <v>13.91</v>
      </c>
      <c r="I85" s="64">
        <v>2.31</v>
      </c>
      <c r="J85" s="64">
        <v>0.4</v>
      </c>
      <c r="K85" s="64">
        <v>16.97</v>
      </c>
      <c r="L85" s="64">
        <v>28.38</v>
      </c>
      <c r="M85" s="64">
        <v>87.44</v>
      </c>
      <c r="N85" s="64">
        <v>26.1</v>
      </c>
      <c r="O85" s="64">
        <v>0</v>
      </c>
      <c r="P85" s="64">
        <v>0.51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5" t="s">
        <v>323</v>
      </c>
      <c r="B86" s="64">
        <v>2.19</v>
      </c>
      <c r="C86" s="64">
        <v>8.52</v>
      </c>
      <c r="D86" s="64">
        <v>6.2</v>
      </c>
      <c r="E86" s="64">
        <v>4.53</v>
      </c>
      <c r="F86" s="64">
        <v>4.5599999999999996</v>
      </c>
      <c r="G86" s="64">
        <v>56.74</v>
      </c>
      <c r="H86" s="64">
        <v>14.81</v>
      </c>
      <c r="I86" s="64">
        <v>2.42</v>
      </c>
      <c r="J86" s="64">
        <v>0.39</v>
      </c>
      <c r="K86" s="64">
        <v>27.39</v>
      </c>
      <c r="L86" s="64">
        <v>28.32</v>
      </c>
      <c r="M86" s="64">
        <v>86.92</v>
      </c>
      <c r="N86" s="64">
        <v>26.1</v>
      </c>
      <c r="O86" s="64">
        <v>0</v>
      </c>
      <c r="P86" s="64">
        <v>0.51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324</v>
      </c>
      <c r="B87" s="64">
        <v>2.0699999999999998</v>
      </c>
      <c r="C87" s="64">
        <v>8.32</v>
      </c>
      <c r="D87" s="64">
        <v>6.01</v>
      </c>
      <c r="E87" s="64">
        <v>4.42</v>
      </c>
      <c r="F87" s="64">
        <v>3.53</v>
      </c>
      <c r="G87" s="64">
        <v>56.74</v>
      </c>
      <c r="H87" s="64">
        <v>14.81</v>
      </c>
      <c r="I87" s="64">
        <v>2.5499999999999998</v>
      </c>
      <c r="J87" s="64">
        <v>0.38</v>
      </c>
      <c r="K87" s="64">
        <v>16.12</v>
      </c>
      <c r="L87" s="64">
        <v>28.21</v>
      </c>
      <c r="M87" s="64">
        <v>87.22</v>
      </c>
      <c r="N87" s="64">
        <v>26.1</v>
      </c>
      <c r="O87" s="64">
        <v>0</v>
      </c>
      <c r="P87" s="64">
        <v>0.52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5" t="s">
        <v>325</v>
      </c>
      <c r="B88" s="64">
        <v>2.0299999999999998</v>
      </c>
      <c r="C88" s="64">
        <v>8.11</v>
      </c>
      <c r="D88" s="64">
        <v>5.86</v>
      </c>
      <c r="E88" s="64">
        <v>5.53</v>
      </c>
      <c r="F88" s="64">
        <v>4.53</v>
      </c>
      <c r="G88" s="64">
        <v>56.74</v>
      </c>
      <c r="H88" s="64">
        <v>14.81</v>
      </c>
      <c r="I88" s="64">
        <v>2.5</v>
      </c>
      <c r="J88" s="64">
        <v>0.52</v>
      </c>
      <c r="K88" s="64">
        <v>17.73</v>
      </c>
      <c r="L88" s="64">
        <v>28.01</v>
      </c>
      <c r="M88" s="64">
        <v>89.12</v>
      </c>
      <c r="N88" s="64">
        <v>26.1</v>
      </c>
      <c r="O88" s="64">
        <v>0</v>
      </c>
      <c r="P88" s="64">
        <v>0.56000000000000005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5" t="s">
        <v>326</v>
      </c>
      <c r="B89" s="64">
        <v>2.0499999999999998</v>
      </c>
      <c r="C89" s="64">
        <v>7.71</v>
      </c>
      <c r="D89" s="64">
        <v>5.67</v>
      </c>
      <c r="E89" s="64">
        <v>4.92</v>
      </c>
      <c r="F89" s="64">
        <v>4.5199999999999996</v>
      </c>
      <c r="G89" s="64">
        <v>54.64</v>
      </c>
      <c r="H89" s="64">
        <v>15.19</v>
      </c>
      <c r="I89" s="64">
        <v>2.57</v>
      </c>
      <c r="J89" s="64">
        <v>0.37</v>
      </c>
      <c r="K89" s="64">
        <v>355.33</v>
      </c>
      <c r="L89" s="64">
        <v>27.85</v>
      </c>
      <c r="M89" s="64">
        <v>90.31</v>
      </c>
      <c r="N89" s="64">
        <v>26.1</v>
      </c>
      <c r="O89" s="64">
        <v>0</v>
      </c>
      <c r="P89" s="64">
        <v>0.6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327</v>
      </c>
      <c r="B90" s="64">
        <v>2.2200000000000002</v>
      </c>
      <c r="C90" s="64">
        <v>7.35</v>
      </c>
      <c r="D90" s="64">
        <v>5.62</v>
      </c>
      <c r="E90" s="64">
        <v>5.04</v>
      </c>
      <c r="F90" s="64">
        <v>5.55</v>
      </c>
      <c r="G90" s="64">
        <v>49.17</v>
      </c>
      <c r="H90" s="64">
        <v>15.83</v>
      </c>
      <c r="I90" s="64">
        <v>2.41</v>
      </c>
      <c r="J90" s="64">
        <v>0.09</v>
      </c>
      <c r="K90" s="64">
        <v>166.59</v>
      </c>
      <c r="L90" s="64">
        <v>27.62</v>
      </c>
      <c r="M90" s="64">
        <v>91.88</v>
      </c>
      <c r="N90" s="64">
        <v>26.2</v>
      </c>
      <c r="O90" s="64">
        <v>0</v>
      </c>
      <c r="P90" s="64">
        <v>0.53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328</v>
      </c>
      <c r="B91" s="64">
        <v>2.5</v>
      </c>
      <c r="C91" s="64">
        <v>7.36</v>
      </c>
      <c r="D91" s="64">
        <v>5.85</v>
      </c>
      <c r="E91" s="64">
        <v>5.34</v>
      </c>
      <c r="F91" s="64">
        <v>4.7699999999999996</v>
      </c>
      <c r="G91" s="64">
        <v>49.17</v>
      </c>
      <c r="H91" s="64">
        <v>15.83</v>
      </c>
      <c r="I91" s="64">
        <v>1.86</v>
      </c>
      <c r="J91" s="64">
        <v>0.36</v>
      </c>
      <c r="K91" s="64">
        <v>17.91</v>
      </c>
      <c r="L91" s="64">
        <v>27.63</v>
      </c>
      <c r="M91" s="64">
        <v>92.19</v>
      </c>
      <c r="N91" s="64">
        <v>26.1</v>
      </c>
      <c r="O91" s="64">
        <v>0</v>
      </c>
      <c r="P91" s="64">
        <v>0.71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329</v>
      </c>
      <c r="B92" s="64">
        <v>3.05</v>
      </c>
      <c r="C92" s="64">
        <v>7.48</v>
      </c>
      <c r="D92" s="64">
        <v>6.35</v>
      </c>
      <c r="E92" s="64">
        <v>5.27</v>
      </c>
      <c r="F92" s="64">
        <v>4.7300000000000004</v>
      </c>
      <c r="G92" s="64">
        <v>49.17</v>
      </c>
      <c r="H92" s="64">
        <v>15.83</v>
      </c>
      <c r="I92" s="64">
        <v>1.8</v>
      </c>
      <c r="J92" s="64">
        <v>0.21</v>
      </c>
      <c r="K92" s="64">
        <v>48.84</v>
      </c>
      <c r="L92" s="64">
        <v>27.55</v>
      </c>
      <c r="M92" s="64">
        <v>92.89</v>
      </c>
      <c r="N92" s="64">
        <v>26.1</v>
      </c>
      <c r="O92" s="64">
        <v>0</v>
      </c>
      <c r="P92" s="64">
        <v>0.61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330</v>
      </c>
      <c r="B93" s="64">
        <v>3.53</v>
      </c>
      <c r="C93" s="64">
        <v>7.53</v>
      </c>
      <c r="D93" s="64">
        <v>6.76</v>
      </c>
      <c r="E93" s="64">
        <v>5.34</v>
      </c>
      <c r="F93" s="64">
        <v>4.6900000000000004</v>
      </c>
      <c r="G93" s="64">
        <v>49.05</v>
      </c>
      <c r="H93" s="64">
        <v>15.8</v>
      </c>
      <c r="I93" s="64">
        <v>2.29</v>
      </c>
      <c r="J93" s="64">
        <v>0.32</v>
      </c>
      <c r="K93" s="64">
        <v>334.48</v>
      </c>
      <c r="L93" s="64">
        <v>27.37</v>
      </c>
      <c r="M93" s="64">
        <v>94.63</v>
      </c>
      <c r="N93" s="64">
        <v>26.1</v>
      </c>
      <c r="O93" s="64">
        <v>0</v>
      </c>
      <c r="P93" s="64">
        <v>0.85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331</v>
      </c>
      <c r="B94" s="64">
        <v>4.2699999999999996</v>
      </c>
      <c r="C94" s="64">
        <v>7.57</v>
      </c>
      <c r="D94" s="64">
        <v>7.37</v>
      </c>
      <c r="E94" s="64">
        <v>5.22</v>
      </c>
      <c r="F94" s="64">
        <v>4.4800000000000004</v>
      </c>
      <c r="G94" s="64">
        <v>48.73</v>
      </c>
      <c r="H94" s="64">
        <v>15.65</v>
      </c>
      <c r="I94" s="64">
        <v>2.39</v>
      </c>
      <c r="J94" s="64">
        <v>0.12</v>
      </c>
      <c r="K94" s="64">
        <v>152.37</v>
      </c>
      <c r="L94" s="64">
        <v>27.18</v>
      </c>
      <c r="M94" s="64">
        <v>95.48</v>
      </c>
      <c r="N94" s="64">
        <v>26.1</v>
      </c>
      <c r="O94" s="64">
        <v>0</v>
      </c>
      <c r="P94" s="64">
        <v>0.67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332</v>
      </c>
      <c r="B95" s="64">
        <v>4.75</v>
      </c>
      <c r="C95" s="64">
        <v>7.59</v>
      </c>
      <c r="D95" s="64">
        <v>7.78</v>
      </c>
      <c r="E95" s="64">
        <v>5.22</v>
      </c>
      <c r="F95" s="64">
        <v>4.2</v>
      </c>
      <c r="G95" s="64">
        <v>48.73</v>
      </c>
      <c r="H95" s="64">
        <v>15.65</v>
      </c>
      <c r="I95" s="64">
        <v>2.44</v>
      </c>
      <c r="J95" s="64">
        <v>0.23</v>
      </c>
      <c r="K95" s="64">
        <v>40.549999999999997</v>
      </c>
      <c r="L95" s="64">
        <v>27.04</v>
      </c>
      <c r="M95" s="64">
        <v>96.08</v>
      </c>
      <c r="N95" s="64">
        <v>26.1</v>
      </c>
      <c r="O95" s="64">
        <v>0</v>
      </c>
      <c r="P95" s="64">
        <v>0.67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333</v>
      </c>
      <c r="B96" s="64">
        <v>5.15</v>
      </c>
      <c r="C96" s="64">
        <v>7.84</v>
      </c>
      <c r="D96" s="64">
        <v>8.23</v>
      </c>
      <c r="E96" s="64">
        <v>5.38</v>
      </c>
      <c r="F96" s="64">
        <v>4.53</v>
      </c>
      <c r="G96" s="64">
        <v>48.73</v>
      </c>
      <c r="H96" s="64">
        <v>15.65</v>
      </c>
      <c r="I96" s="64">
        <v>2.15</v>
      </c>
      <c r="J96" s="64">
        <v>0.27</v>
      </c>
      <c r="K96" s="64">
        <v>7.44</v>
      </c>
      <c r="L96" s="64">
        <v>26.94</v>
      </c>
      <c r="M96" s="64">
        <v>96.97</v>
      </c>
      <c r="N96" s="64">
        <v>26.1</v>
      </c>
      <c r="O96" s="64">
        <v>0</v>
      </c>
      <c r="P96" s="64">
        <v>0.63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334</v>
      </c>
      <c r="B97" s="64">
        <v>5.37</v>
      </c>
      <c r="C97" s="64">
        <v>8.0299999999999994</v>
      </c>
      <c r="D97" s="64">
        <v>8.5</v>
      </c>
      <c r="E97" s="64">
        <v>5.7</v>
      </c>
      <c r="F97" s="64">
        <v>4.1900000000000004</v>
      </c>
      <c r="G97" s="64">
        <v>47.27</v>
      </c>
      <c r="H97" s="64">
        <v>15.28</v>
      </c>
      <c r="I97" s="64">
        <v>2.31</v>
      </c>
      <c r="J97" s="64">
        <v>0.3</v>
      </c>
      <c r="K97" s="64">
        <v>17.18</v>
      </c>
      <c r="L97" s="64">
        <v>26.92</v>
      </c>
      <c r="M97" s="64">
        <v>97.82</v>
      </c>
      <c r="N97" s="64">
        <v>26.1</v>
      </c>
      <c r="O97" s="64">
        <v>0</v>
      </c>
      <c r="P97" s="64">
        <v>0.65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335</v>
      </c>
      <c r="B98" s="64">
        <v>5.77</v>
      </c>
      <c r="C98" s="64">
        <v>7.8</v>
      </c>
      <c r="D98" s="64">
        <v>8.6999999999999993</v>
      </c>
      <c r="E98" s="64">
        <v>5.71</v>
      </c>
      <c r="F98" s="64">
        <v>4.28</v>
      </c>
      <c r="G98" s="64">
        <v>43.48</v>
      </c>
      <c r="H98" s="64">
        <v>14.65</v>
      </c>
      <c r="I98" s="64">
        <v>3.01</v>
      </c>
      <c r="J98" s="64">
        <v>0.3</v>
      </c>
      <c r="K98" s="64">
        <v>347.16</v>
      </c>
      <c r="L98" s="64">
        <v>26.91</v>
      </c>
      <c r="M98" s="64">
        <v>97.72</v>
      </c>
      <c r="N98" s="64">
        <v>26.1</v>
      </c>
      <c r="O98" s="64">
        <v>0</v>
      </c>
      <c r="P98" s="64">
        <v>0.63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336</v>
      </c>
      <c r="B99" s="64">
        <v>5.89</v>
      </c>
      <c r="C99" s="64">
        <v>7.35</v>
      </c>
      <c r="D99" s="64">
        <v>8.57</v>
      </c>
      <c r="E99" s="64">
        <v>5.52</v>
      </c>
      <c r="F99" s="64">
        <v>4.32</v>
      </c>
      <c r="G99" s="64">
        <v>43.48</v>
      </c>
      <c r="H99" s="64">
        <v>14.65</v>
      </c>
      <c r="I99" s="64">
        <v>3.07</v>
      </c>
      <c r="J99" s="64">
        <v>0.24</v>
      </c>
      <c r="K99" s="64">
        <v>62.27</v>
      </c>
      <c r="L99" s="64">
        <v>26.82</v>
      </c>
      <c r="M99" s="64">
        <v>98.27</v>
      </c>
      <c r="N99" s="64">
        <v>26.1</v>
      </c>
      <c r="O99" s="64">
        <v>0</v>
      </c>
      <c r="P99" s="64">
        <v>0.59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337</v>
      </c>
      <c r="B100" s="64">
        <v>5.84</v>
      </c>
      <c r="C100" s="64">
        <v>7.3</v>
      </c>
      <c r="D100" s="64">
        <v>8.5</v>
      </c>
      <c r="E100" s="64">
        <v>5.45</v>
      </c>
      <c r="F100" s="64">
        <v>3.19</v>
      </c>
      <c r="G100" s="64">
        <v>43.48</v>
      </c>
      <c r="H100" s="64">
        <v>14.65</v>
      </c>
      <c r="I100" s="64">
        <v>2.34</v>
      </c>
      <c r="J100" s="64">
        <v>0.32</v>
      </c>
      <c r="K100" s="64">
        <v>42.62</v>
      </c>
      <c r="L100" s="64">
        <v>26.65</v>
      </c>
      <c r="M100" s="64">
        <v>99.7</v>
      </c>
      <c r="N100" s="64">
        <v>26.1</v>
      </c>
      <c r="O100" s="64">
        <v>0</v>
      </c>
      <c r="P100" s="64">
        <v>0.56000000000000005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338</v>
      </c>
      <c r="B101" s="64">
        <v>5.76</v>
      </c>
      <c r="C101" s="64">
        <v>6.91</v>
      </c>
      <c r="D101" s="64">
        <v>8.23</v>
      </c>
      <c r="E101" s="64">
        <v>5.21</v>
      </c>
      <c r="F101" s="64">
        <v>4.47</v>
      </c>
      <c r="G101" s="64">
        <v>42.24</v>
      </c>
      <c r="H101" s="64">
        <v>14.95</v>
      </c>
      <c r="I101" s="64">
        <v>2.93</v>
      </c>
      <c r="J101" s="64">
        <v>0.25</v>
      </c>
      <c r="K101" s="64">
        <v>29.19</v>
      </c>
      <c r="L101" s="64">
        <v>26.55</v>
      </c>
      <c r="M101" s="64">
        <v>100.39</v>
      </c>
      <c r="N101" s="64">
        <v>26.1</v>
      </c>
      <c r="O101" s="64">
        <v>0</v>
      </c>
      <c r="P101" s="64">
        <v>0.56999999999999995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339</v>
      </c>
      <c r="B102" s="64">
        <v>5.76</v>
      </c>
      <c r="C102" s="64">
        <v>6.83</v>
      </c>
      <c r="D102" s="64">
        <v>8.18</v>
      </c>
      <c r="E102" s="64">
        <v>5.52</v>
      </c>
      <c r="F102" s="64">
        <v>2.56</v>
      </c>
      <c r="G102" s="64">
        <v>39.03</v>
      </c>
      <c r="H102" s="64">
        <v>15.44</v>
      </c>
      <c r="I102" s="64">
        <v>2.6</v>
      </c>
      <c r="J102" s="64">
        <v>0.3</v>
      </c>
      <c r="K102" s="64">
        <v>334.23</v>
      </c>
      <c r="L102" s="64">
        <v>26.37</v>
      </c>
      <c r="M102" s="64">
        <v>101.69</v>
      </c>
      <c r="N102" s="64">
        <v>26.1</v>
      </c>
      <c r="O102" s="64">
        <v>0</v>
      </c>
      <c r="P102" s="64">
        <v>0.55000000000000004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5" t="s">
        <v>340</v>
      </c>
      <c r="B103" s="64">
        <v>6.21</v>
      </c>
      <c r="C103" s="64">
        <v>6.8</v>
      </c>
      <c r="D103" s="64">
        <v>8.5299999999999994</v>
      </c>
      <c r="E103" s="64">
        <v>5.38</v>
      </c>
      <c r="F103" s="64">
        <v>3.57</v>
      </c>
      <c r="G103" s="64">
        <v>39.03</v>
      </c>
      <c r="H103" s="64">
        <v>15.44</v>
      </c>
      <c r="I103" s="64">
        <v>2.25</v>
      </c>
      <c r="J103" s="64">
        <v>0.12</v>
      </c>
      <c r="K103" s="64">
        <v>34.35</v>
      </c>
      <c r="L103" s="64">
        <v>26.35</v>
      </c>
      <c r="M103" s="64">
        <v>101.13</v>
      </c>
      <c r="N103" s="64">
        <v>26.1</v>
      </c>
      <c r="O103" s="64">
        <v>0</v>
      </c>
      <c r="P103" s="64">
        <v>0.56000000000000005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341</v>
      </c>
      <c r="B104" s="64">
        <v>6.19</v>
      </c>
      <c r="C104" s="64">
        <v>6.57</v>
      </c>
      <c r="D104" s="64">
        <v>8.39</v>
      </c>
      <c r="E104" s="64">
        <v>4.93</v>
      </c>
      <c r="F104" s="64">
        <v>4</v>
      </c>
      <c r="G104" s="64">
        <v>39.03</v>
      </c>
      <c r="H104" s="64">
        <v>15.44</v>
      </c>
      <c r="I104" s="64">
        <v>2.63</v>
      </c>
      <c r="J104" s="64">
        <v>0.36</v>
      </c>
      <c r="K104" s="64">
        <v>353.21</v>
      </c>
      <c r="L104" s="64">
        <v>26.27</v>
      </c>
      <c r="M104" s="64">
        <v>101.63</v>
      </c>
      <c r="N104" s="64">
        <v>26.1</v>
      </c>
      <c r="O104" s="64">
        <v>0</v>
      </c>
      <c r="P104" s="64">
        <v>0.55000000000000004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-0.18</v>
      </c>
      <c r="C106" s="67">
        <f>MIN(C9:C104)</f>
        <v>3.68</v>
      </c>
      <c r="D106" s="67">
        <f t="shared" ref="D106:Q106" si="0">MIN(D9:D104)</f>
        <v>3.68</v>
      </c>
      <c r="E106" s="67">
        <f t="shared" si="0"/>
        <v>3.97</v>
      </c>
      <c r="F106" s="67">
        <f t="shared" si="0"/>
        <v>2.4500000000000002</v>
      </c>
      <c r="G106" s="67">
        <f t="shared" si="0"/>
        <v>13.96</v>
      </c>
      <c r="H106" s="67">
        <f t="shared" si="0"/>
        <v>5.19</v>
      </c>
      <c r="I106" s="67">
        <f t="shared" si="0"/>
        <v>0</v>
      </c>
      <c r="J106" s="67">
        <f t="shared" si="0"/>
        <v>0.01</v>
      </c>
      <c r="K106" s="67">
        <f t="shared" si="0"/>
        <v>0.8</v>
      </c>
      <c r="L106" s="67">
        <f t="shared" si="0"/>
        <v>23.96</v>
      </c>
      <c r="M106" s="67">
        <f t="shared" si="0"/>
        <v>59.36</v>
      </c>
      <c r="N106" s="67">
        <f t="shared" si="0"/>
        <v>26</v>
      </c>
      <c r="O106" s="67">
        <f t="shared" si="0"/>
        <v>0</v>
      </c>
      <c r="P106" s="67">
        <f t="shared" si="0"/>
        <v>0.28000000000000003</v>
      </c>
      <c r="Q106" s="67">
        <f t="shared" si="0"/>
        <v>9.58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9.09</v>
      </c>
      <c r="C107" s="66">
        <f t="shared" ref="C107:Q107" si="1">MAX(C9:C104)</f>
        <v>16.62</v>
      </c>
      <c r="D107" s="66">
        <f t="shared" si="1"/>
        <v>12.21</v>
      </c>
      <c r="E107" s="66">
        <f t="shared" si="1"/>
        <v>6.24</v>
      </c>
      <c r="F107" s="66">
        <f t="shared" si="1"/>
        <v>20.010000000000002</v>
      </c>
      <c r="G107" s="66">
        <f t="shared" si="1"/>
        <v>56.74</v>
      </c>
      <c r="H107" s="66">
        <f t="shared" si="1"/>
        <v>18.96</v>
      </c>
      <c r="I107" s="66">
        <f t="shared" si="1"/>
        <v>3.2</v>
      </c>
      <c r="J107" s="66">
        <f t="shared" si="1"/>
        <v>0.63</v>
      </c>
      <c r="K107" s="66">
        <f t="shared" si="1"/>
        <v>359.03</v>
      </c>
      <c r="L107" s="66">
        <f t="shared" si="1"/>
        <v>34.89</v>
      </c>
      <c r="M107" s="66">
        <f t="shared" si="1"/>
        <v>102.15</v>
      </c>
      <c r="N107" s="66">
        <f t="shared" si="1"/>
        <v>876.9</v>
      </c>
      <c r="O107" s="66">
        <f t="shared" si="1"/>
        <v>0</v>
      </c>
      <c r="P107" s="66">
        <f t="shared" si="1"/>
        <v>0.85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3.6082291666666655</v>
      </c>
      <c r="C108" s="67">
        <f t="shared" ref="C108:Q108" si="2">AVERAGE(C9:C104)</f>
        <v>7.573854166666667</v>
      </c>
      <c r="D108" s="67">
        <f t="shared" si="2"/>
        <v>6.8500000000000005</v>
      </c>
      <c r="E108" s="67">
        <f t="shared" si="2"/>
        <v>5.3038541666666648</v>
      </c>
      <c r="F108" s="67">
        <f t="shared" si="2"/>
        <v>5.0455208333333337</v>
      </c>
      <c r="G108" s="67">
        <f t="shared" si="2"/>
        <v>32.949479166666663</v>
      </c>
      <c r="H108" s="67">
        <f t="shared" si="2"/>
        <v>11.978020833333332</v>
      </c>
      <c r="I108" s="67">
        <f t="shared" si="2"/>
        <v>1.1847916666666667</v>
      </c>
      <c r="J108" s="67">
        <f t="shared" si="2"/>
        <v>0.31145833333333328</v>
      </c>
      <c r="K108" s="67">
        <f t="shared" si="2"/>
        <v>148.33635416666667</v>
      </c>
      <c r="L108" s="67">
        <f t="shared" si="2"/>
        <v>28.653749999999999</v>
      </c>
      <c r="M108" s="67">
        <f t="shared" si="2"/>
        <v>85.700729166666648</v>
      </c>
      <c r="N108" s="67">
        <f t="shared" si="2"/>
        <v>191.28020833333309</v>
      </c>
      <c r="O108" s="67">
        <f t="shared" si="2"/>
        <v>0</v>
      </c>
      <c r="P108" s="67">
        <f t="shared" si="2"/>
        <v>0.49520833333333353</v>
      </c>
      <c r="Q108" s="67">
        <f t="shared" si="2"/>
        <v>9.6090625000000092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2.4456526391007287</v>
      </c>
      <c r="C109" s="67">
        <f t="shared" ref="C109:Q109" si="3">STDEV(C9:C104)</f>
        <v>3.023365628877388</v>
      </c>
      <c r="D109" s="67">
        <f t="shared" si="3"/>
        <v>2.3122297281605628</v>
      </c>
      <c r="E109" s="67">
        <f t="shared" si="3"/>
        <v>0.48948817477607576</v>
      </c>
      <c r="F109" s="67">
        <f t="shared" si="3"/>
        <v>2.6517790928838956</v>
      </c>
      <c r="G109" s="67">
        <f t="shared" si="3"/>
        <v>12.205563301845194</v>
      </c>
      <c r="H109" s="67">
        <f t="shared" si="3"/>
        <v>3.979675104377689</v>
      </c>
      <c r="I109" s="67">
        <f t="shared" si="3"/>
        <v>1.1920093422158335</v>
      </c>
      <c r="J109" s="67">
        <f t="shared" si="3"/>
        <v>0.13003626349815456</v>
      </c>
      <c r="K109" s="67">
        <f t="shared" si="3"/>
        <v>150.0139119381567</v>
      </c>
      <c r="L109" s="67">
        <f t="shared" si="3"/>
        <v>3.3874841619362455</v>
      </c>
      <c r="M109" s="67">
        <f t="shared" si="3"/>
        <v>15.056622759981945</v>
      </c>
      <c r="N109" s="67">
        <f t="shared" si="3"/>
        <v>256.07802865935543</v>
      </c>
      <c r="O109" s="67">
        <f t="shared" si="3"/>
        <v>0</v>
      </c>
      <c r="P109" s="67">
        <f t="shared" si="3"/>
        <v>0.15039582277700295</v>
      </c>
      <c r="Q109" s="67">
        <f t="shared" si="3"/>
        <v>8.088734856511532E-3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342</v>
      </c>
      <c r="B9" s="64">
        <v>5.9</v>
      </c>
      <c r="C9" s="64">
        <v>6.41</v>
      </c>
      <c r="D9" s="64">
        <v>8.08</v>
      </c>
      <c r="E9" s="64">
        <v>5.26</v>
      </c>
      <c r="F9" s="64">
        <v>3.18</v>
      </c>
      <c r="G9" s="64">
        <v>38.659999999999997</v>
      </c>
      <c r="H9" s="64">
        <v>15.49</v>
      </c>
      <c r="I9" s="64">
        <v>2.2599999999999998</v>
      </c>
      <c r="J9" s="64">
        <v>0.39</v>
      </c>
      <c r="K9" s="64">
        <v>10.94</v>
      </c>
      <c r="L9" s="64">
        <v>26.36</v>
      </c>
      <c r="M9" s="64">
        <v>101.16</v>
      </c>
      <c r="N9" s="64">
        <v>26.1</v>
      </c>
      <c r="O9" s="64">
        <v>0</v>
      </c>
      <c r="P9" s="64">
        <v>0.57999999999999996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5" t="s">
        <v>343</v>
      </c>
      <c r="B10" s="64">
        <v>5.66</v>
      </c>
      <c r="C10" s="64">
        <v>5.97</v>
      </c>
      <c r="D10" s="64">
        <v>7.66</v>
      </c>
      <c r="E10" s="64">
        <v>5.38</v>
      </c>
      <c r="F10" s="64">
        <v>4.28</v>
      </c>
      <c r="G10" s="64">
        <v>37.69</v>
      </c>
      <c r="H10" s="64">
        <v>15.58</v>
      </c>
      <c r="I10" s="64">
        <v>3.18</v>
      </c>
      <c r="J10" s="64">
        <v>0.39</v>
      </c>
      <c r="K10" s="64">
        <v>1.05</v>
      </c>
      <c r="L10" s="64">
        <v>26.32</v>
      </c>
      <c r="M10" s="64">
        <v>101.17</v>
      </c>
      <c r="N10" s="64">
        <v>26</v>
      </c>
      <c r="O10" s="64">
        <v>0</v>
      </c>
      <c r="P10" s="64">
        <v>0.56000000000000005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15" t="s">
        <v>344</v>
      </c>
      <c r="B11" s="64">
        <v>5.55</v>
      </c>
      <c r="C11" s="64">
        <v>5.84</v>
      </c>
      <c r="D11" s="64">
        <v>7.5</v>
      </c>
      <c r="E11" s="64">
        <v>5.1100000000000003</v>
      </c>
      <c r="F11" s="64">
        <v>4.3499999999999996</v>
      </c>
      <c r="G11" s="64">
        <v>37.69</v>
      </c>
      <c r="H11" s="64">
        <v>15.58</v>
      </c>
      <c r="I11" s="64">
        <v>3.2</v>
      </c>
      <c r="J11" s="64">
        <v>0.56000000000000005</v>
      </c>
      <c r="K11" s="64">
        <v>343.64</v>
      </c>
      <c r="L11" s="64">
        <v>26.17</v>
      </c>
      <c r="M11" s="64">
        <v>101.65</v>
      </c>
      <c r="N11" s="64">
        <v>26</v>
      </c>
      <c r="O11" s="64">
        <v>0</v>
      </c>
      <c r="P11" s="64">
        <v>0.52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5" t="s">
        <v>345</v>
      </c>
      <c r="B12" s="64">
        <v>5.42</v>
      </c>
      <c r="C12" s="64">
        <v>5.86</v>
      </c>
      <c r="D12" s="64">
        <v>7.41</v>
      </c>
      <c r="E12" s="64">
        <v>4.54</v>
      </c>
      <c r="F12" s="64">
        <v>4.04</v>
      </c>
      <c r="G12" s="64">
        <v>37.69</v>
      </c>
      <c r="H12" s="64">
        <v>15.58</v>
      </c>
      <c r="I12" s="64">
        <v>3</v>
      </c>
      <c r="J12" s="64">
        <v>0.43</v>
      </c>
      <c r="K12" s="64">
        <v>348.53</v>
      </c>
      <c r="L12" s="64">
        <v>26.22</v>
      </c>
      <c r="M12" s="64">
        <v>100.1</v>
      </c>
      <c r="N12" s="64">
        <v>26</v>
      </c>
      <c r="O12" s="64">
        <v>0</v>
      </c>
      <c r="P12" s="64">
        <v>0.53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346</v>
      </c>
      <c r="B13" s="64">
        <v>5.23</v>
      </c>
      <c r="C13" s="64">
        <v>5.84</v>
      </c>
      <c r="D13" s="64">
        <v>7.25</v>
      </c>
      <c r="E13" s="64">
        <v>5.0599999999999996</v>
      </c>
      <c r="F13" s="64">
        <v>5.87</v>
      </c>
      <c r="G13" s="64">
        <v>37.840000000000003</v>
      </c>
      <c r="H13" s="64">
        <v>15.62</v>
      </c>
      <c r="I13" s="64">
        <v>2.93</v>
      </c>
      <c r="J13" s="64">
        <v>0.14000000000000001</v>
      </c>
      <c r="K13" s="64">
        <v>348.55</v>
      </c>
      <c r="L13" s="64">
        <v>26.03</v>
      </c>
      <c r="M13" s="64">
        <v>101.46</v>
      </c>
      <c r="N13" s="64">
        <v>26.1</v>
      </c>
      <c r="O13" s="64">
        <v>0</v>
      </c>
      <c r="P13" s="64">
        <v>0.48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347</v>
      </c>
      <c r="B14" s="64">
        <v>5.09</v>
      </c>
      <c r="C14" s="64">
        <v>5.68</v>
      </c>
      <c r="D14" s="64">
        <v>7.05</v>
      </c>
      <c r="E14" s="64">
        <v>4.8899999999999997</v>
      </c>
      <c r="F14" s="64">
        <v>4.68</v>
      </c>
      <c r="G14" s="64">
        <v>38.24</v>
      </c>
      <c r="H14" s="64">
        <v>15.81</v>
      </c>
      <c r="I14" s="64">
        <v>2.87</v>
      </c>
      <c r="J14" s="64">
        <v>0.27</v>
      </c>
      <c r="K14" s="64">
        <v>1.28</v>
      </c>
      <c r="L14" s="64">
        <v>25.78</v>
      </c>
      <c r="M14" s="64">
        <v>102.18</v>
      </c>
      <c r="N14" s="64">
        <v>26.1</v>
      </c>
      <c r="O14" s="64">
        <v>0</v>
      </c>
      <c r="P14" s="64">
        <v>0.45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348</v>
      </c>
      <c r="B15" s="64">
        <v>4.91</v>
      </c>
      <c r="C15" s="64">
        <v>5.44</v>
      </c>
      <c r="D15" s="64">
        <v>6.78</v>
      </c>
      <c r="E15" s="64">
        <v>4.9800000000000004</v>
      </c>
      <c r="F15" s="64">
        <v>4.29</v>
      </c>
      <c r="G15" s="64">
        <v>38.24</v>
      </c>
      <c r="H15" s="64">
        <v>15.81</v>
      </c>
      <c r="I15" s="64">
        <v>2.91</v>
      </c>
      <c r="J15" s="64">
        <v>0.28000000000000003</v>
      </c>
      <c r="K15" s="64">
        <v>1.1000000000000001</v>
      </c>
      <c r="L15" s="64">
        <v>25.7</v>
      </c>
      <c r="M15" s="64">
        <v>102.2</v>
      </c>
      <c r="N15" s="64">
        <v>26.1</v>
      </c>
      <c r="O15" s="64">
        <v>0</v>
      </c>
      <c r="P15" s="64">
        <v>0.41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5" t="s">
        <v>349</v>
      </c>
      <c r="B16" s="64">
        <v>4.7</v>
      </c>
      <c r="C16" s="64">
        <v>5.24</v>
      </c>
      <c r="D16" s="64">
        <v>6.51</v>
      </c>
      <c r="E16" s="64">
        <v>5.18</v>
      </c>
      <c r="F16" s="64">
        <v>4.41</v>
      </c>
      <c r="G16" s="64">
        <v>38.24</v>
      </c>
      <c r="H16" s="64">
        <v>15.81</v>
      </c>
      <c r="I16" s="64">
        <v>2.6</v>
      </c>
      <c r="J16" s="64">
        <v>0.38</v>
      </c>
      <c r="K16" s="64">
        <v>353.02</v>
      </c>
      <c r="L16" s="64">
        <v>25.53</v>
      </c>
      <c r="M16" s="64">
        <v>102.21</v>
      </c>
      <c r="N16" s="64">
        <v>26.1</v>
      </c>
      <c r="O16" s="64">
        <v>0</v>
      </c>
      <c r="P16" s="64">
        <v>0.44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350</v>
      </c>
      <c r="B17" s="64">
        <v>4.51</v>
      </c>
      <c r="C17" s="64">
        <v>5.44</v>
      </c>
      <c r="D17" s="64">
        <v>6.46</v>
      </c>
      <c r="E17" s="64">
        <v>5.29</v>
      </c>
      <c r="F17" s="64">
        <v>4.53</v>
      </c>
      <c r="G17" s="64">
        <v>37.630000000000003</v>
      </c>
      <c r="H17" s="64">
        <v>14.65</v>
      </c>
      <c r="I17" s="64">
        <v>2.02</v>
      </c>
      <c r="J17" s="64">
        <v>0.34</v>
      </c>
      <c r="K17" s="64">
        <v>4.6100000000000003</v>
      </c>
      <c r="L17" s="64">
        <v>25.41</v>
      </c>
      <c r="M17" s="64">
        <v>102.23</v>
      </c>
      <c r="N17" s="64">
        <v>26.1</v>
      </c>
      <c r="O17" s="64">
        <v>0</v>
      </c>
      <c r="P17" s="64">
        <v>0.5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5" t="s">
        <v>351</v>
      </c>
      <c r="B18" s="64">
        <v>4.22</v>
      </c>
      <c r="C18" s="64">
        <v>5.31</v>
      </c>
      <c r="D18" s="64">
        <v>6.16</v>
      </c>
      <c r="E18" s="64">
        <v>5.03</v>
      </c>
      <c r="F18" s="64">
        <v>4.5999999999999996</v>
      </c>
      <c r="G18" s="64">
        <v>36.049999999999997</v>
      </c>
      <c r="H18" s="64">
        <v>12.61</v>
      </c>
      <c r="I18" s="64">
        <v>2.6</v>
      </c>
      <c r="J18" s="64">
        <v>0.45</v>
      </c>
      <c r="K18" s="64">
        <v>330.77</v>
      </c>
      <c r="L18" s="64">
        <v>25.38</v>
      </c>
      <c r="M18" s="64">
        <v>102.23</v>
      </c>
      <c r="N18" s="64">
        <v>26.1</v>
      </c>
      <c r="O18" s="64">
        <v>0</v>
      </c>
      <c r="P18" s="64">
        <v>0.5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352</v>
      </c>
      <c r="B19" s="64">
        <v>3.8</v>
      </c>
      <c r="C19" s="64">
        <v>5.15</v>
      </c>
      <c r="D19" s="64">
        <v>5.74</v>
      </c>
      <c r="E19" s="64">
        <v>5.09</v>
      </c>
      <c r="F19" s="64">
        <v>4.24</v>
      </c>
      <c r="G19" s="64">
        <v>36.049999999999997</v>
      </c>
      <c r="H19" s="64">
        <v>12.61</v>
      </c>
      <c r="I19" s="64">
        <v>2.78</v>
      </c>
      <c r="J19" s="64">
        <v>0.39</v>
      </c>
      <c r="K19" s="64">
        <v>341.14</v>
      </c>
      <c r="L19" s="64">
        <v>25.36</v>
      </c>
      <c r="M19" s="64">
        <v>102.23</v>
      </c>
      <c r="N19" s="64">
        <v>26</v>
      </c>
      <c r="O19" s="64">
        <v>0</v>
      </c>
      <c r="P19" s="64">
        <v>0.53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353</v>
      </c>
      <c r="B20" s="64">
        <v>3.52</v>
      </c>
      <c r="C20" s="64">
        <v>5.21</v>
      </c>
      <c r="D20" s="64">
        <v>5.55</v>
      </c>
      <c r="E20" s="64">
        <v>5.34</v>
      </c>
      <c r="F20" s="64">
        <v>4.3</v>
      </c>
      <c r="G20" s="64">
        <v>36.049999999999997</v>
      </c>
      <c r="H20" s="64">
        <v>12.61</v>
      </c>
      <c r="I20" s="64">
        <v>2.85</v>
      </c>
      <c r="J20" s="64">
        <v>0.51</v>
      </c>
      <c r="K20" s="64">
        <v>339.26</v>
      </c>
      <c r="L20" s="64">
        <v>25.52</v>
      </c>
      <c r="M20" s="64">
        <v>102.2</v>
      </c>
      <c r="N20" s="64">
        <v>25.8</v>
      </c>
      <c r="O20" s="64">
        <v>0</v>
      </c>
      <c r="P20" s="64">
        <v>0.51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5" t="s">
        <v>354</v>
      </c>
      <c r="B21" s="64">
        <v>3.21</v>
      </c>
      <c r="C21" s="64">
        <v>5.3</v>
      </c>
      <c r="D21" s="64">
        <v>5.34</v>
      </c>
      <c r="E21" s="64">
        <v>4.91</v>
      </c>
      <c r="F21" s="64">
        <v>4.0599999999999996</v>
      </c>
      <c r="G21" s="64">
        <v>33.82</v>
      </c>
      <c r="H21" s="64">
        <v>13.36</v>
      </c>
      <c r="I21" s="64">
        <v>3.43</v>
      </c>
      <c r="J21" s="64">
        <v>0.37</v>
      </c>
      <c r="K21" s="64">
        <v>346.75</v>
      </c>
      <c r="L21" s="64">
        <v>25.43</v>
      </c>
      <c r="M21" s="64">
        <v>102.21</v>
      </c>
      <c r="N21" s="64">
        <v>26.1</v>
      </c>
      <c r="O21" s="64">
        <v>0</v>
      </c>
      <c r="P21" s="64">
        <v>0.45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355</v>
      </c>
      <c r="B22" s="64">
        <v>2.97</v>
      </c>
      <c r="C22" s="64">
        <v>5.26</v>
      </c>
      <c r="D22" s="64">
        <v>5.13</v>
      </c>
      <c r="E22" s="64">
        <v>5.47</v>
      </c>
      <c r="F22" s="64">
        <v>3.6</v>
      </c>
      <c r="G22" s="64">
        <v>28.03</v>
      </c>
      <c r="H22" s="64">
        <v>14.63</v>
      </c>
      <c r="I22" s="64">
        <v>3.62</v>
      </c>
      <c r="J22" s="64">
        <v>0.49</v>
      </c>
      <c r="K22" s="64">
        <v>335.37</v>
      </c>
      <c r="L22" s="64">
        <v>25.45</v>
      </c>
      <c r="M22" s="64">
        <v>102.2</v>
      </c>
      <c r="N22" s="64">
        <v>26</v>
      </c>
      <c r="O22" s="64">
        <v>0</v>
      </c>
      <c r="P22" s="64">
        <v>0.48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356</v>
      </c>
      <c r="B23" s="64">
        <v>2.82</v>
      </c>
      <c r="C23" s="64">
        <v>5.3</v>
      </c>
      <c r="D23" s="64">
        <v>5.03</v>
      </c>
      <c r="E23" s="64">
        <v>5.1100000000000003</v>
      </c>
      <c r="F23" s="64">
        <v>4.09</v>
      </c>
      <c r="G23" s="64">
        <v>28.03</v>
      </c>
      <c r="H23" s="64">
        <v>14.63</v>
      </c>
      <c r="I23" s="64">
        <v>2.93</v>
      </c>
      <c r="J23" s="64">
        <v>0.5</v>
      </c>
      <c r="K23" s="64">
        <v>329.56</v>
      </c>
      <c r="L23" s="64">
        <v>25.33</v>
      </c>
      <c r="M23" s="64">
        <v>102.22</v>
      </c>
      <c r="N23" s="64">
        <v>26.1</v>
      </c>
      <c r="O23" s="64">
        <v>0</v>
      </c>
      <c r="P23" s="64">
        <v>0.48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357</v>
      </c>
      <c r="B24" s="64">
        <v>2.74</v>
      </c>
      <c r="C24" s="64">
        <v>5.38</v>
      </c>
      <c r="D24" s="64">
        <v>5.01</v>
      </c>
      <c r="E24" s="64">
        <v>3.79</v>
      </c>
      <c r="F24" s="64">
        <v>3.75</v>
      </c>
      <c r="G24" s="64">
        <v>28.03</v>
      </c>
      <c r="H24" s="64">
        <v>14.63</v>
      </c>
      <c r="I24" s="64">
        <v>2.69</v>
      </c>
      <c r="J24" s="64">
        <v>0.36</v>
      </c>
      <c r="K24" s="64">
        <v>323.33</v>
      </c>
      <c r="L24" s="64">
        <v>25.25</v>
      </c>
      <c r="M24" s="64">
        <v>102.23</v>
      </c>
      <c r="N24" s="64">
        <v>26.1</v>
      </c>
      <c r="O24" s="64">
        <v>0</v>
      </c>
      <c r="P24" s="64">
        <v>0.44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358</v>
      </c>
      <c r="B25" s="64">
        <v>2.7</v>
      </c>
      <c r="C25" s="64">
        <v>5.6</v>
      </c>
      <c r="D25" s="64">
        <v>5.09</v>
      </c>
      <c r="E25" s="64">
        <v>4.47</v>
      </c>
      <c r="F25" s="64">
        <v>4.12</v>
      </c>
      <c r="G25" s="64">
        <v>29.96</v>
      </c>
      <c r="H25" s="64">
        <v>14.98</v>
      </c>
      <c r="I25" s="64">
        <v>2.65</v>
      </c>
      <c r="J25" s="64">
        <v>0.47</v>
      </c>
      <c r="K25" s="64">
        <v>334.36</v>
      </c>
      <c r="L25" s="64">
        <v>25.25</v>
      </c>
      <c r="M25" s="64">
        <v>102.23</v>
      </c>
      <c r="N25" s="64">
        <v>26.1</v>
      </c>
      <c r="O25" s="64">
        <v>0</v>
      </c>
      <c r="P25" s="64">
        <v>0.47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359</v>
      </c>
      <c r="B26" s="64">
        <v>2.76</v>
      </c>
      <c r="C26" s="64">
        <v>5.52</v>
      </c>
      <c r="D26" s="64">
        <v>5.0999999999999996</v>
      </c>
      <c r="E26" s="64">
        <v>4.4800000000000004</v>
      </c>
      <c r="F26" s="64">
        <v>4</v>
      </c>
      <c r="G26" s="64">
        <v>34.97</v>
      </c>
      <c r="H26" s="64">
        <v>15.56</v>
      </c>
      <c r="I26" s="64">
        <v>3.08</v>
      </c>
      <c r="J26" s="64">
        <v>0.46</v>
      </c>
      <c r="K26" s="64">
        <v>332.98</v>
      </c>
      <c r="L26" s="64">
        <v>25.17</v>
      </c>
      <c r="M26" s="64">
        <v>102.23</v>
      </c>
      <c r="N26" s="64">
        <v>26.1</v>
      </c>
      <c r="O26" s="64">
        <v>0</v>
      </c>
      <c r="P26" s="64">
        <v>0.46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360</v>
      </c>
      <c r="B27" s="64">
        <v>3.11</v>
      </c>
      <c r="C27" s="64">
        <v>5.68</v>
      </c>
      <c r="D27" s="64">
        <v>5.46</v>
      </c>
      <c r="E27" s="64">
        <v>4.38</v>
      </c>
      <c r="F27" s="64">
        <v>4.57</v>
      </c>
      <c r="G27" s="64">
        <v>34.97</v>
      </c>
      <c r="H27" s="64">
        <v>15.56</v>
      </c>
      <c r="I27" s="64">
        <v>3.08</v>
      </c>
      <c r="J27" s="64">
        <v>0.49</v>
      </c>
      <c r="K27" s="64">
        <v>341.7</v>
      </c>
      <c r="L27" s="64">
        <v>25.11</v>
      </c>
      <c r="M27" s="64">
        <v>102.23</v>
      </c>
      <c r="N27" s="64">
        <v>26.1</v>
      </c>
      <c r="O27" s="64">
        <v>0</v>
      </c>
      <c r="P27" s="64">
        <v>0.51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361</v>
      </c>
      <c r="B28" s="64">
        <v>3.56</v>
      </c>
      <c r="C28" s="64">
        <v>5.91</v>
      </c>
      <c r="D28" s="64">
        <v>5.94</v>
      </c>
      <c r="E28" s="64">
        <v>4.7699999999999996</v>
      </c>
      <c r="F28" s="64">
        <v>4.62</v>
      </c>
      <c r="G28" s="64">
        <v>34.97</v>
      </c>
      <c r="H28" s="64">
        <v>15.56</v>
      </c>
      <c r="I28" s="64">
        <v>3.78</v>
      </c>
      <c r="J28" s="64">
        <v>0.26</v>
      </c>
      <c r="K28" s="64">
        <v>284.24</v>
      </c>
      <c r="L28" s="64">
        <v>25.07</v>
      </c>
      <c r="M28" s="64">
        <v>102.23</v>
      </c>
      <c r="N28" s="64">
        <v>26.1</v>
      </c>
      <c r="O28" s="64">
        <v>0</v>
      </c>
      <c r="P28" s="64">
        <v>0.46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5" t="s">
        <v>362</v>
      </c>
      <c r="B29" s="64">
        <v>3.98</v>
      </c>
      <c r="C29" s="64">
        <v>6.03</v>
      </c>
      <c r="D29" s="64">
        <v>6.35</v>
      </c>
      <c r="E29" s="64">
        <v>4.42</v>
      </c>
      <c r="F29" s="64">
        <v>4.4800000000000004</v>
      </c>
      <c r="G29" s="64">
        <v>36.67</v>
      </c>
      <c r="H29" s="64">
        <v>16.54</v>
      </c>
      <c r="I29" s="64">
        <v>4.49</v>
      </c>
      <c r="J29" s="64">
        <v>0.37</v>
      </c>
      <c r="K29" s="64">
        <v>311.81</v>
      </c>
      <c r="L29" s="64">
        <v>24.74</v>
      </c>
      <c r="M29" s="64">
        <v>102.26</v>
      </c>
      <c r="N29" s="64">
        <v>26.1</v>
      </c>
      <c r="O29" s="64">
        <v>0</v>
      </c>
      <c r="P29" s="64">
        <v>0.45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5" t="s">
        <v>363</v>
      </c>
      <c r="B30" s="64">
        <v>4.32</v>
      </c>
      <c r="C30" s="64">
        <v>6.03</v>
      </c>
      <c r="D30" s="64">
        <v>6.62</v>
      </c>
      <c r="E30" s="64">
        <v>4.7</v>
      </c>
      <c r="F30" s="64">
        <v>4.33</v>
      </c>
      <c r="G30" s="64">
        <v>41.08</v>
      </c>
      <c r="H30" s="64">
        <v>20.3</v>
      </c>
      <c r="I30" s="64">
        <v>3.76</v>
      </c>
      <c r="J30" s="64">
        <v>0.45</v>
      </c>
      <c r="K30" s="64">
        <v>9.92</v>
      </c>
      <c r="L30" s="64">
        <v>24.53</v>
      </c>
      <c r="M30" s="64">
        <v>102.26</v>
      </c>
      <c r="N30" s="64">
        <v>26.1</v>
      </c>
      <c r="O30" s="64">
        <v>0</v>
      </c>
      <c r="P30" s="64">
        <v>0.47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5" t="s">
        <v>364</v>
      </c>
      <c r="B31" s="64">
        <v>4.76</v>
      </c>
      <c r="C31" s="64">
        <v>6.05</v>
      </c>
      <c r="D31" s="64">
        <v>6.98</v>
      </c>
      <c r="E31" s="64">
        <v>4.67</v>
      </c>
      <c r="F31" s="64">
        <v>3.97</v>
      </c>
      <c r="G31" s="64">
        <v>41.08</v>
      </c>
      <c r="H31" s="64">
        <v>20.3</v>
      </c>
      <c r="I31" s="64">
        <v>3.23</v>
      </c>
      <c r="J31" s="64">
        <v>0.24</v>
      </c>
      <c r="K31" s="64">
        <v>346.17</v>
      </c>
      <c r="L31" s="64">
        <v>24.36</v>
      </c>
      <c r="M31" s="64">
        <v>102.27</v>
      </c>
      <c r="N31" s="64">
        <v>26.1</v>
      </c>
      <c r="O31" s="64">
        <v>0</v>
      </c>
      <c r="P31" s="64">
        <v>0.53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365</v>
      </c>
      <c r="B32" s="64">
        <v>5.35</v>
      </c>
      <c r="C32" s="64">
        <v>6.19</v>
      </c>
      <c r="D32" s="64">
        <v>7.52</v>
      </c>
      <c r="E32" s="64">
        <v>5.01</v>
      </c>
      <c r="F32" s="64">
        <v>4.26</v>
      </c>
      <c r="G32" s="64">
        <v>41.08</v>
      </c>
      <c r="H32" s="64">
        <v>20.3</v>
      </c>
      <c r="I32" s="64">
        <v>3.28</v>
      </c>
      <c r="J32" s="64">
        <v>0.11</v>
      </c>
      <c r="K32" s="64">
        <v>272.39</v>
      </c>
      <c r="L32" s="64">
        <v>24.51</v>
      </c>
      <c r="M32" s="64">
        <v>102.28</v>
      </c>
      <c r="N32" s="64">
        <v>27.9</v>
      </c>
      <c r="O32" s="64">
        <v>0</v>
      </c>
      <c r="P32" s="64">
        <v>0.5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366</v>
      </c>
      <c r="B33" s="64">
        <v>5.87</v>
      </c>
      <c r="C33" s="64">
        <v>6.25</v>
      </c>
      <c r="D33" s="64">
        <v>7.97</v>
      </c>
      <c r="E33" s="64">
        <v>5.05</v>
      </c>
      <c r="F33" s="64">
        <v>4.05</v>
      </c>
      <c r="G33" s="64">
        <v>43.11</v>
      </c>
      <c r="H33" s="64">
        <v>20.51</v>
      </c>
      <c r="I33" s="64">
        <v>3.4</v>
      </c>
      <c r="J33" s="64">
        <v>0.37</v>
      </c>
      <c r="K33" s="64">
        <v>322.01</v>
      </c>
      <c r="L33" s="64">
        <v>24.7</v>
      </c>
      <c r="M33" s="64">
        <v>102.28</v>
      </c>
      <c r="N33" s="64">
        <v>38.5</v>
      </c>
      <c r="O33" s="64">
        <v>0</v>
      </c>
      <c r="P33" s="64">
        <v>0.5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367</v>
      </c>
      <c r="B34" s="64">
        <v>6.33</v>
      </c>
      <c r="C34" s="64">
        <v>6.63</v>
      </c>
      <c r="D34" s="64">
        <v>8.5399999999999991</v>
      </c>
      <c r="E34" s="64">
        <v>5.0599999999999996</v>
      </c>
      <c r="F34" s="64">
        <v>4.1399999999999997</v>
      </c>
      <c r="G34" s="64">
        <v>48.37</v>
      </c>
      <c r="H34" s="64">
        <v>20.87</v>
      </c>
      <c r="I34" s="64">
        <v>3.18</v>
      </c>
      <c r="J34" s="64">
        <v>0.2</v>
      </c>
      <c r="K34" s="64">
        <v>322.68</v>
      </c>
      <c r="L34" s="64">
        <v>25.02</v>
      </c>
      <c r="M34" s="64">
        <v>102.26</v>
      </c>
      <c r="N34" s="64">
        <v>56.7</v>
      </c>
      <c r="O34" s="64">
        <v>0</v>
      </c>
      <c r="P34" s="64">
        <v>0.5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368</v>
      </c>
      <c r="B35" s="64">
        <v>6.89</v>
      </c>
      <c r="C35" s="64">
        <v>6.63</v>
      </c>
      <c r="D35" s="64">
        <v>8.99</v>
      </c>
      <c r="E35" s="64">
        <v>4.57</v>
      </c>
      <c r="F35" s="64">
        <v>4.55</v>
      </c>
      <c r="G35" s="64">
        <v>48.37</v>
      </c>
      <c r="H35" s="64">
        <v>20.87</v>
      </c>
      <c r="I35" s="64">
        <v>3.53</v>
      </c>
      <c r="J35" s="64">
        <v>0.34</v>
      </c>
      <c r="K35" s="64">
        <v>337.24</v>
      </c>
      <c r="L35" s="64">
        <v>25.74</v>
      </c>
      <c r="M35" s="64">
        <v>101.96</v>
      </c>
      <c r="N35" s="64">
        <v>93.1</v>
      </c>
      <c r="O35" s="64">
        <v>0</v>
      </c>
      <c r="P35" s="64">
        <v>0.55000000000000004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5" t="s">
        <v>369</v>
      </c>
      <c r="B36" s="64">
        <v>7.37</v>
      </c>
      <c r="C36" s="64">
        <v>6.72</v>
      </c>
      <c r="D36" s="64">
        <v>9.42</v>
      </c>
      <c r="E36" s="64">
        <v>5.16</v>
      </c>
      <c r="F36" s="64">
        <v>4.4400000000000004</v>
      </c>
      <c r="G36" s="64">
        <v>48.37</v>
      </c>
      <c r="H36" s="64">
        <v>20.87</v>
      </c>
      <c r="I36" s="64">
        <v>3.85</v>
      </c>
      <c r="J36" s="64">
        <v>0.26</v>
      </c>
      <c r="K36" s="64">
        <v>9.14</v>
      </c>
      <c r="L36" s="64">
        <v>26.69</v>
      </c>
      <c r="M36" s="64">
        <v>99.3</v>
      </c>
      <c r="N36" s="64">
        <v>142.19999999999999</v>
      </c>
      <c r="O36" s="64">
        <v>0</v>
      </c>
      <c r="P36" s="64">
        <v>0.55000000000000004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370</v>
      </c>
      <c r="B37" s="64">
        <v>7.38</v>
      </c>
      <c r="C37" s="64">
        <v>6.68</v>
      </c>
      <c r="D37" s="64">
        <v>9.41</v>
      </c>
      <c r="E37" s="64">
        <v>5.38</v>
      </c>
      <c r="F37" s="64">
        <v>3.38</v>
      </c>
      <c r="G37" s="64">
        <v>50.46</v>
      </c>
      <c r="H37" s="64">
        <v>21.64</v>
      </c>
      <c r="I37" s="64">
        <v>3.73</v>
      </c>
      <c r="J37" s="64">
        <v>0.39</v>
      </c>
      <c r="K37" s="64">
        <v>354.05</v>
      </c>
      <c r="L37" s="64">
        <v>27.6</v>
      </c>
      <c r="M37" s="64">
        <v>94.9</v>
      </c>
      <c r="N37" s="64">
        <v>194.9</v>
      </c>
      <c r="O37" s="64">
        <v>0</v>
      </c>
      <c r="P37" s="64">
        <v>0.5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371</v>
      </c>
      <c r="B38" s="64">
        <v>7.24</v>
      </c>
      <c r="C38" s="64">
        <v>6.51</v>
      </c>
      <c r="D38" s="64">
        <v>9.2100000000000009</v>
      </c>
      <c r="E38" s="64">
        <v>5.34</v>
      </c>
      <c r="F38" s="64">
        <v>3.67</v>
      </c>
      <c r="G38" s="64">
        <v>55.9</v>
      </c>
      <c r="H38" s="64">
        <v>23</v>
      </c>
      <c r="I38" s="64">
        <v>4.26</v>
      </c>
      <c r="J38" s="64">
        <v>0.23</v>
      </c>
      <c r="K38" s="64">
        <v>2.21</v>
      </c>
      <c r="L38" s="64">
        <v>28.9</v>
      </c>
      <c r="M38" s="64">
        <v>89.38</v>
      </c>
      <c r="N38" s="64">
        <v>248.9</v>
      </c>
      <c r="O38" s="64">
        <v>0</v>
      </c>
      <c r="P38" s="64">
        <v>0.52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5" t="s">
        <v>372</v>
      </c>
      <c r="B39" s="64">
        <v>7.17</v>
      </c>
      <c r="C39" s="64">
        <v>6.41</v>
      </c>
      <c r="D39" s="64">
        <v>9.1</v>
      </c>
      <c r="E39" s="64">
        <v>5.26</v>
      </c>
      <c r="F39" s="64">
        <v>4.1900000000000004</v>
      </c>
      <c r="G39" s="64">
        <v>55.9</v>
      </c>
      <c r="H39" s="64">
        <v>23</v>
      </c>
      <c r="I39" s="64">
        <v>4.22</v>
      </c>
      <c r="J39" s="64">
        <v>0.53</v>
      </c>
      <c r="K39" s="64">
        <v>3.99</v>
      </c>
      <c r="L39" s="64">
        <v>30.11</v>
      </c>
      <c r="M39" s="64">
        <v>83.51</v>
      </c>
      <c r="N39" s="64">
        <v>309.10000000000002</v>
      </c>
      <c r="O39" s="64">
        <v>0</v>
      </c>
      <c r="P39" s="64">
        <v>0.52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373</v>
      </c>
      <c r="B40" s="64">
        <v>7.12</v>
      </c>
      <c r="C40" s="64">
        <v>6.81</v>
      </c>
      <c r="D40" s="64">
        <v>9.27</v>
      </c>
      <c r="E40" s="64">
        <v>5.38</v>
      </c>
      <c r="F40" s="64">
        <v>3.35</v>
      </c>
      <c r="G40" s="64">
        <v>55.9</v>
      </c>
      <c r="H40" s="64">
        <v>23</v>
      </c>
      <c r="I40" s="64">
        <v>4.0999999999999996</v>
      </c>
      <c r="J40" s="64">
        <v>0.19</v>
      </c>
      <c r="K40" s="64">
        <v>342.88</v>
      </c>
      <c r="L40" s="64">
        <v>30.59</v>
      </c>
      <c r="M40" s="64">
        <v>80.8</v>
      </c>
      <c r="N40" s="64">
        <v>362.3</v>
      </c>
      <c r="O40" s="64">
        <v>0</v>
      </c>
      <c r="P40" s="64">
        <v>0.51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374</v>
      </c>
      <c r="B41" s="64">
        <v>6.8</v>
      </c>
      <c r="C41" s="64">
        <v>6.88</v>
      </c>
      <c r="D41" s="64">
        <v>9.0399999999999991</v>
      </c>
      <c r="E41" s="64">
        <v>4.71</v>
      </c>
      <c r="F41" s="64">
        <v>3.93</v>
      </c>
      <c r="G41" s="64">
        <v>53.89</v>
      </c>
      <c r="H41" s="64">
        <v>23.34</v>
      </c>
      <c r="I41" s="64">
        <v>4.24</v>
      </c>
      <c r="J41" s="64">
        <v>0.42</v>
      </c>
      <c r="K41" s="64">
        <v>6.5</v>
      </c>
      <c r="L41" s="64">
        <v>30.98</v>
      </c>
      <c r="M41" s="64">
        <v>80.06</v>
      </c>
      <c r="N41" s="64">
        <v>407</v>
      </c>
      <c r="O41" s="64">
        <v>0</v>
      </c>
      <c r="P41" s="64">
        <v>0.55000000000000004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375</v>
      </c>
      <c r="B42" s="64">
        <v>6.64</v>
      </c>
      <c r="C42" s="64">
        <v>6.93</v>
      </c>
      <c r="D42" s="64">
        <v>8.9499999999999993</v>
      </c>
      <c r="E42" s="64">
        <v>5.05</v>
      </c>
      <c r="F42" s="64">
        <v>3.3</v>
      </c>
      <c r="G42" s="64">
        <v>48.67</v>
      </c>
      <c r="H42" s="64">
        <v>23.93</v>
      </c>
      <c r="I42" s="64">
        <v>4.2300000000000004</v>
      </c>
      <c r="J42" s="64">
        <v>0.33</v>
      </c>
      <c r="K42" s="64">
        <v>342.3</v>
      </c>
      <c r="L42" s="64">
        <v>32.020000000000003</v>
      </c>
      <c r="M42" s="64">
        <v>75.180000000000007</v>
      </c>
      <c r="N42" s="64">
        <v>457.6</v>
      </c>
      <c r="O42" s="64">
        <v>0</v>
      </c>
      <c r="P42" s="64">
        <v>0.6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15" t="s">
        <v>376</v>
      </c>
      <c r="B43" s="64">
        <v>6.54</v>
      </c>
      <c r="C43" s="64">
        <v>7.14</v>
      </c>
      <c r="D43" s="64">
        <v>8.98</v>
      </c>
      <c r="E43" s="64">
        <v>5.28</v>
      </c>
      <c r="F43" s="64">
        <v>4.3099999999999996</v>
      </c>
      <c r="G43" s="64">
        <v>48.67</v>
      </c>
      <c r="H43" s="64">
        <v>23.93</v>
      </c>
      <c r="I43" s="64">
        <v>3.95</v>
      </c>
      <c r="J43" s="64">
        <v>0.33</v>
      </c>
      <c r="K43" s="64">
        <v>348.13</v>
      </c>
      <c r="L43" s="64">
        <v>31.69</v>
      </c>
      <c r="M43" s="64">
        <v>76.09</v>
      </c>
      <c r="N43" s="64">
        <v>506.1</v>
      </c>
      <c r="O43" s="64">
        <v>0</v>
      </c>
      <c r="P43" s="64">
        <v>0.66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377</v>
      </c>
      <c r="B44" s="64">
        <v>6.54</v>
      </c>
      <c r="C44" s="64">
        <v>7.34</v>
      </c>
      <c r="D44" s="64">
        <v>9.08</v>
      </c>
      <c r="E44" s="64">
        <v>4.8600000000000003</v>
      </c>
      <c r="F44" s="64">
        <v>4.26</v>
      </c>
      <c r="G44" s="64">
        <v>48.67</v>
      </c>
      <c r="H44" s="64">
        <v>23.93</v>
      </c>
      <c r="I44" s="64">
        <v>4.18</v>
      </c>
      <c r="J44" s="64">
        <v>0.62</v>
      </c>
      <c r="K44" s="64">
        <v>338.82</v>
      </c>
      <c r="L44" s="64">
        <v>33.090000000000003</v>
      </c>
      <c r="M44" s="64">
        <v>71.97</v>
      </c>
      <c r="N44" s="64">
        <v>547.70000000000005</v>
      </c>
      <c r="O44" s="64">
        <v>0</v>
      </c>
      <c r="P44" s="64">
        <v>0.7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5" t="s">
        <v>378</v>
      </c>
      <c r="B45" s="64">
        <v>6.65</v>
      </c>
      <c r="C45" s="64">
        <v>7.66</v>
      </c>
      <c r="D45" s="64">
        <v>9.34</v>
      </c>
      <c r="E45" s="64">
        <v>4.53</v>
      </c>
      <c r="F45" s="64">
        <v>4.18</v>
      </c>
      <c r="G45" s="64">
        <v>49.55</v>
      </c>
      <c r="H45" s="64">
        <v>24.15</v>
      </c>
      <c r="I45" s="64">
        <v>4.07</v>
      </c>
      <c r="J45" s="64">
        <v>0.71</v>
      </c>
      <c r="K45" s="64">
        <v>325.39</v>
      </c>
      <c r="L45" s="64">
        <v>33.68</v>
      </c>
      <c r="M45" s="64">
        <v>69.069999999999993</v>
      </c>
      <c r="N45" s="64">
        <v>599.6</v>
      </c>
      <c r="O45" s="64">
        <v>0</v>
      </c>
      <c r="P45" s="64">
        <v>0.62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5" t="s">
        <v>379</v>
      </c>
      <c r="B46" s="64">
        <v>6.65</v>
      </c>
      <c r="C46" s="64">
        <v>7.89</v>
      </c>
      <c r="D46" s="64">
        <v>9.4499999999999993</v>
      </c>
      <c r="E46" s="64">
        <v>4.71</v>
      </c>
      <c r="F46" s="64">
        <v>4.25</v>
      </c>
      <c r="G46" s="64">
        <v>51.86</v>
      </c>
      <c r="H46" s="64">
        <v>25.07</v>
      </c>
      <c r="I46" s="64">
        <v>4.07</v>
      </c>
      <c r="J46" s="64">
        <v>0.59</v>
      </c>
      <c r="K46" s="64">
        <v>328.12</v>
      </c>
      <c r="L46" s="64">
        <v>34.729999999999997</v>
      </c>
      <c r="M46" s="64">
        <v>63.42</v>
      </c>
      <c r="N46" s="64">
        <v>652.70000000000005</v>
      </c>
      <c r="O46" s="64">
        <v>0</v>
      </c>
      <c r="P46" s="64">
        <v>0.59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380</v>
      </c>
      <c r="B47" s="64">
        <v>6.37</v>
      </c>
      <c r="C47" s="64">
        <v>8.3699999999999992</v>
      </c>
      <c r="D47" s="64">
        <v>9.48</v>
      </c>
      <c r="E47" s="64">
        <v>5.09</v>
      </c>
      <c r="F47" s="64">
        <v>4.17</v>
      </c>
      <c r="G47" s="64">
        <v>51.86</v>
      </c>
      <c r="H47" s="64">
        <v>25.07</v>
      </c>
      <c r="I47" s="64">
        <v>3.73</v>
      </c>
      <c r="J47" s="64">
        <v>0.94</v>
      </c>
      <c r="K47" s="64">
        <v>322.18</v>
      </c>
      <c r="L47" s="64">
        <v>35.21</v>
      </c>
      <c r="M47" s="64">
        <v>61.87</v>
      </c>
      <c r="N47" s="64">
        <v>698</v>
      </c>
      <c r="O47" s="64">
        <v>0</v>
      </c>
      <c r="P47" s="64">
        <v>0.6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5" t="s">
        <v>381</v>
      </c>
      <c r="B48" s="64">
        <v>6.03</v>
      </c>
      <c r="C48" s="64">
        <v>9.0500000000000007</v>
      </c>
      <c r="D48" s="64">
        <v>9.56</v>
      </c>
      <c r="E48" s="64">
        <v>5.18</v>
      </c>
      <c r="F48" s="64">
        <v>4.5</v>
      </c>
      <c r="G48" s="64">
        <v>51.86</v>
      </c>
      <c r="H48" s="64">
        <v>25.07</v>
      </c>
      <c r="I48" s="64">
        <v>3.45</v>
      </c>
      <c r="J48" s="64">
        <v>0.96</v>
      </c>
      <c r="K48" s="64">
        <v>325.33</v>
      </c>
      <c r="L48" s="64">
        <v>35.909999999999997</v>
      </c>
      <c r="M48" s="64">
        <v>58.5</v>
      </c>
      <c r="N48" s="64">
        <v>609.29999999999995</v>
      </c>
      <c r="O48" s="64">
        <v>0</v>
      </c>
      <c r="P48" s="64">
        <v>0.61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382</v>
      </c>
      <c r="B49" s="64">
        <v>5.53</v>
      </c>
      <c r="C49" s="64">
        <v>9.81</v>
      </c>
      <c r="D49" s="64">
        <v>9.56</v>
      </c>
      <c r="E49" s="64">
        <v>5.28</v>
      </c>
      <c r="F49" s="64">
        <v>4.66</v>
      </c>
      <c r="G49" s="64">
        <v>52.42</v>
      </c>
      <c r="H49" s="64">
        <v>25.03</v>
      </c>
      <c r="I49" s="64">
        <v>3.67</v>
      </c>
      <c r="J49" s="64">
        <v>1.57</v>
      </c>
      <c r="K49" s="64">
        <v>321.35000000000002</v>
      </c>
      <c r="L49" s="64">
        <v>34.96</v>
      </c>
      <c r="M49" s="64">
        <v>60.01</v>
      </c>
      <c r="N49" s="64">
        <v>574.6</v>
      </c>
      <c r="O49" s="64">
        <v>0</v>
      </c>
      <c r="P49" s="64">
        <v>0.59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383</v>
      </c>
      <c r="B50" s="64">
        <v>5.0199999999999996</v>
      </c>
      <c r="C50" s="64">
        <v>10.75</v>
      </c>
      <c r="D50" s="64">
        <v>9.64</v>
      </c>
      <c r="E50" s="64">
        <v>5.14</v>
      </c>
      <c r="F50" s="64">
        <v>5.31</v>
      </c>
      <c r="G50" s="64">
        <v>53.87</v>
      </c>
      <c r="H50" s="64">
        <v>24.95</v>
      </c>
      <c r="I50" s="64">
        <v>3.51</v>
      </c>
      <c r="J50" s="64">
        <v>0.8</v>
      </c>
      <c r="K50" s="64">
        <v>322.89999999999998</v>
      </c>
      <c r="L50" s="64">
        <v>35.299999999999997</v>
      </c>
      <c r="M50" s="64">
        <v>57.76</v>
      </c>
      <c r="N50" s="64">
        <v>793.7</v>
      </c>
      <c r="O50" s="64">
        <v>0</v>
      </c>
      <c r="P50" s="64">
        <v>0.57999999999999996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384</v>
      </c>
      <c r="B51" s="64">
        <v>4.24</v>
      </c>
      <c r="C51" s="64">
        <v>10.97</v>
      </c>
      <c r="D51" s="64">
        <v>9.1300000000000008</v>
      </c>
      <c r="E51" s="64">
        <v>5.38</v>
      </c>
      <c r="F51" s="64">
        <v>4.05</v>
      </c>
      <c r="G51" s="64">
        <v>53.87</v>
      </c>
      <c r="H51" s="64">
        <v>24.95</v>
      </c>
      <c r="I51" s="64">
        <v>3.5</v>
      </c>
      <c r="J51" s="64">
        <v>0.8</v>
      </c>
      <c r="K51" s="64">
        <v>327.67</v>
      </c>
      <c r="L51" s="64">
        <v>35.71</v>
      </c>
      <c r="M51" s="64">
        <v>56.92</v>
      </c>
      <c r="N51" s="64">
        <v>825.3</v>
      </c>
      <c r="O51" s="64">
        <v>0</v>
      </c>
      <c r="P51" s="64">
        <v>0.56999999999999995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5" t="s">
        <v>385</v>
      </c>
      <c r="B52" s="64">
        <v>3.15</v>
      </c>
      <c r="C52" s="64">
        <v>10.68</v>
      </c>
      <c r="D52" s="64">
        <v>8.11</v>
      </c>
      <c r="E52" s="64">
        <v>5.24</v>
      </c>
      <c r="F52" s="64">
        <v>5.2</v>
      </c>
      <c r="G52" s="64">
        <v>53.87</v>
      </c>
      <c r="H52" s="64">
        <v>24.95</v>
      </c>
      <c r="I52" s="64">
        <v>3.48</v>
      </c>
      <c r="J52" s="64">
        <v>1.06</v>
      </c>
      <c r="K52" s="64">
        <v>320.45999999999998</v>
      </c>
      <c r="L52" s="64">
        <v>35.9</v>
      </c>
      <c r="M52" s="64">
        <v>57.32</v>
      </c>
      <c r="N52" s="64">
        <v>861</v>
      </c>
      <c r="O52" s="64">
        <v>0</v>
      </c>
      <c r="P52" s="64">
        <v>0.56999999999999995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386</v>
      </c>
      <c r="B53" s="64">
        <v>2.57</v>
      </c>
      <c r="C53" s="64">
        <v>10.79</v>
      </c>
      <c r="D53" s="64">
        <v>7.7</v>
      </c>
      <c r="E53" s="64">
        <v>5.33</v>
      </c>
      <c r="F53" s="64">
        <v>3.72</v>
      </c>
      <c r="G53" s="64">
        <v>51.65</v>
      </c>
      <c r="H53" s="64">
        <v>21.77</v>
      </c>
      <c r="I53" s="64">
        <v>3.27</v>
      </c>
      <c r="J53" s="64">
        <v>1.99</v>
      </c>
      <c r="K53" s="64">
        <v>327.24</v>
      </c>
      <c r="L53" s="64">
        <v>36.1</v>
      </c>
      <c r="M53" s="64">
        <v>55.54</v>
      </c>
      <c r="N53" s="64">
        <v>607.20000000000005</v>
      </c>
      <c r="O53" s="64">
        <v>0</v>
      </c>
      <c r="P53" s="64">
        <v>0.55000000000000004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387</v>
      </c>
      <c r="B54" s="64">
        <v>2.2799999999999998</v>
      </c>
      <c r="C54" s="64">
        <v>10.77</v>
      </c>
      <c r="D54" s="64">
        <v>7.45</v>
      </c>
      <c r="E54" s="64">
        <v>5.41</v>
      </c>
      <c r="F54" s="64">
        <v>5.14</v>
      </c>
      <c r="G54" s="64">
        <v>45.87</v>
      </c>
      <c r="H54" s="64">
        <v>16.21</v>
      </c>
      <c r="I54" s="64">
        <v>3.06</v>
      </c>
      <c r="J54" s="64">
        <v>1.7</v>
      </c>
      <c r="K54" s="64">
        <v>323.98</v>
      </c>
      <c r="L54" s="64">
        <v>35.21</v>
      </c>
      <c r="M54" s="64">
        <v>54.14</v>
      </c>
      <c r="N54" s="64">
        <v>612.29999999999995</v>
      </c>
      <c r="O54" s="64">
        <v>0</v>
      </c>
      <c r="P54" s="64">
        <v>0.55000000000000004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388</v>
      </c>
      <c r="B55" s="64">
        <v>2.2400000000000002</v>
      </c>
      <c r="C55" s="64">
        <v>10.43</v>
      </c>
      <c r="D55" s="64">
        <v>7.24</v>
      </c>
      <c r="E55" s="64">
        <v>5.3</v>
      </c>
      <c r="F55" s="64">
        <v>3.59</v>
      </c>
      <c r="G55" s="64">
        <v>45.87</v>
      </c>
      <c r="H55" s="64">
        <v>16.21</v>
      </c>
      <c r="I55" s="64">
        <v>2.88</v>
      </c>
      <c r="J55" s="64">
        <v>1.34</v>
      </c>
      <c r="K55" s="64">
        <v>322.23</v>
      </c>
      <c r="L55" s="64">
        <v>35.28</v>
      </c>
      <c r="M55" s="64">
        <v>53.86</v>
      </c>
      <c r="N55" s="64">
        <v>711.6</v>
      </c>
      <c r="O55" s="64">
        <v>0</v>
      </c>
      <c r="P55" s="64">
        <v>0.53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5" t="s">
        <v>389</v>
      </c>
      <c r="B56" s="64">
        <v>2.14</v>
      </c>
      <c r="C56" s="64">
        <v>10.44</v>
      </c>
      <c r="D56" s="64">
        <v>7.17</v>
      </c>
      <c r="E56" s="64">
        <v>5.19</v>
      </c>
      <c r="F56" s="64">
        <v>5.73</v>
      </c>
      <c r="G56" s="64">
        <v>45.87</v>
      </c>
      <c r="H56" s="64">
        <v>16.21</v>
      </c>
      <c r="I56" s="64">
        <v>2.73</v>
      </c>
      <c r="J56" s="64">
        <v>1.27</v>
      </c>
      <c r="K56" s="64">
        <v>326.89</v>
      </c>
      <c r="L56" s="64">
        <v>35.49</v>
      </c>
      <c r="M56" s="64">
        <v>53.84</v>
      </c>
      <c r="N56" s="64">
        <v>390</v>
      </c>
      <c r="O56" s="64">
        <v>0</v>
      </c>
      <c r="P56" s="64">
        <v>0.53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5" t="s">
        <v>390</v>
      </c>
      <c r="B57" s="64">
        <v>2.27</v>
      </c>
      <c r="C57" s="64">
        <v>10.63</v>
      </c>
      <c r="D57" s="64">
        <v>7.38</v>
      </c>
      <c r="E57" s="64">
        <v>5.72</v>
      </c>
      <c r="F57" s="64">
        <v>3.66</v>
      </c>
      <c r="G57" s="64">
        <v>47.36</v>
      </c>
      <c r="H57" s="64">
        <v>16.420000000000002</v>
      </c>
      <c r="I57" s="64">
        <v>2.46</v>
      </c>
      <c r="J57" s="64">
        <v>0.79</v>
      </c>
      <c r="K57" s="64">
        <v>329.32</v>
      </c>
      <c r="L57" s="64">
        <v>35.31</v>
      </c>
      <c r="M57" s="64">
        <v>54.05</v>
      </c>
      <c r="N57" s="64">
        <v>388</v>
      </c>
      <c r="O57" s="64">
        <v>0</v>
      </c>
      <c r="P57" s="64">
        <v>0.53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5" t="s">
        <v>391</v>
      </c>
      <c r="B58" s="64">
        <v>2.21</v>
      </c>
      <c r="C58" s="64">
        <v>10.3</v>
      </c>
      <c r="D58" s="64">
        <v>7.16</v>
      </c>
      <c r="E58" s="64">
        <v>5.89</v>
      </c>
      <c r="F58" s="64">
        <v>4.45</v>
      </c>
      <c r="G58" s="64">
        <v>51.23</v>
      </c>
      <c r="H58" s="64">
        <v>16.760000000000002</v>
      </c>
      <c r="I58" s="64">
        <v>2.37</v>
      </c>
      <c r="J58" s="64">
        <v>1.1200000000000001</v>
      </c>
      <c r="K58" s="64">
        <v>328.41</v>
      </c>
      <c r="L58" s="64">
        <v>35.26</v>
      </c>
      <c r="M58" s="64">
        <v>53.87</v>
      </c>
      <c r="N58" s="64">
        <v>396.3</v>
      </c>
      <c r="O58" s="64">
        <v>0</v>
      </c>
      <c r="P58" s="64">
        <v>0.52</v>
      </c>
      <c r="Q58" s="64">
        <v>9.59</v>
      </c>
      <c r="R58" s="198"/>
      <c r="S58" s="198"/>
      <c r="T58" s="198"/>
      <c r="U58" s="198"/>
    </row>
    <row r="59" spans="1:21" s="12" customFormat="1" x14ac:dyDescent="0.25">
      <c r="A59" s="215" t="s">
        <v>392</v>
      </c>
      <c r="B59" s="64">
        <v>2.2000000000000002</v>
      </c>
      <c r="C59" s="64">
        <v>10.23</v>
      </c>
      <c r="D59" s="64">
        <v>7.11</v>
      </c>
      <c r="E59" s="64">
        <v>6.11</v>
      </c>
      <c r="F59" s="64">
        <v>4.1900000000000004</v>
      </c>
      <c r="G59" s="64">
        <v>51.23</v>
      </c>
      <c r="H59" s="64">
        <v>16.760000000000002</v>
      </c>
      <c r="I59" s="64">
        <v>2.3199999999999998</v>
      </c>
      <c r="J59" s="64">
        <v>0.75</v>
      </c>
      <c r="K59" s="64">
        <v>324.51</v>
      </c>
      <c r="L59" s="64">
        <v>35.29</v>
      </c>
      <c r="M59" s="64">
        <v>54.27</v>
      </c>
      <c r="N59" s="64">
        <v>408.9</v>
      </c>
      <c r="O59" s="64">
        <v>0</v>
      </c>
      <c r="P59" s="64">
        <v>0.49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5" t="s">
        <v>393</v>
      </c>
      <c r="B60" s="64">
        <v>2.16</v>
      </c>
      <c r="C60" s="64">
        <v>9.68</v>
      </c>
      <c r="D60" s="64">
        <v>6.79</v>
      </c>
      <c r="E60" s="64">
        <v>5.86</v>
      </c>
      <c r="F60" s="64">
        <v>4.72</v>
      </c>
      <c r="G60" s="64">
        <v>51.23</v>
      </c>
      <c r="H60" s="64">
        <v>16.760000000000002</v>
      </c>
      <c r="I60" s="64">
        <v>2.29</v>
      </c>
      <c r="J60" s="64">
        <v>0.73</v>
      </c>
      <c r="K60" s="64">
        <v>328.18</v>
      </c>
      <c r="L60" s="64">
        <v>34.96</v>
      </c>
      <c r="M60" s="64">
        <v>53.74</v>
      </c>
      <c r="N60" s="64">
        <v>463.6</v>
      </c>
      <c r="O60" s="64">
        <v>0</v>
      </c>
      <c r="P60" s="64">
        <v>0.5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394</v>
      </c>
      <c r="B61" s="64">
        <v>2.1</v>
      </c>
      <c r="C61" s="64">
        <v>9.56</v>
      </c>
      <c r="D61" s="64">
        <v>6.68</v>
      </c>
      <c r="E61" s="64">
        <v>5.76</v>
      </c>
      <c r="F61" s="64">
        <v>8.6</v>
      </c>
      <c r="G61" s="64">
        <v>49.86</v>
      </c>
      <c r="H61" s="64">
        <v>16.68</v>
      </c>
      <c r="I61" s="64">
        <v>1.82</v>
      </c>
      <c r="J61" s="64">
        <v>1.58</v>
      </c>
      <c r="K61" s="64">
        <v>327</v>
      </c>
      <c r="L61" s="64">
        <v>34.729999999999997</v>
      </c>
      <c r="M61" s="64">
        <v>54.67</v>
      </c>
      <c r="N61" s="64">
        <v>385.2</v>
      </c>
      <c r="O61" s="64">
        <v>0</v>
      </c>
      <c r="P61" s="64">
        <v>0.49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395</v>
      </c>
      <c r="B62" s="64">
        <v>1.57</v>
      </c>
      <c r="C62" s="64">
        <v>10.58</v>
      </c>
      <c r="D62" s="64">
        <v>6.78</v>
      </c>
      <c r="E62" s="64">
        <v>6.3</v>
      </c>
      <c r="F62" s="64">
        <v>7.92</v>
      </c>
      <c r="G62" s="64">
        <v>46.3</v>
      </c>
      <c r="H62" s="64">
        <v>16.39</v>
      </c>
      <c r="I62" s="64">
        <v>1.78</v>
      </c>
      <c r="J62" s="64">
        <v>0.89</v>
      </c>
      <c r="K62" s="64">
        <v>327.06</v>
      </c>
      <c r="L62" s="64">
        <v>34.39</v>
      </c>
      <c r="M62" s="64">
        <v>54.38</v>
      </c>
      <c r="N62" s="64">
        <v>358.9</v>
      </c>
      <c r="O62" s="64">
        <v>0</v>
      </c>
      <c r="P62" s="64">
        <v>0.49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396</v>
      </c>
      <c r="B63" s="64">
        <v>1.07</v>
      </c>
      <c r="C63" s="64">
        <v>11</v>
      </c>
      <c r="D63" s="64">
        <v>6.61</v>
      </c>
      <c r="E63" s="64">
        <v>6.4</v>
      </c>
      <c r="F63" s="64">
        <v>7.18</v>
      </c>
      <c r="G63" s="64">
        <v>46.3</v>
      </c>
      <c r="H63" s="64">
        <v>16.39</v>
      </c>
      <c r="I63" s="64">
        <v>1.75</v>
      </c>
      <c r="J63" s="64">
        <v>1.1599999999999999</v>
      </c>
      <c r="K63" s="64">
        <v>331.19</v>
      </c>
      <c r="L63" s="64">
        <v>34.4</v>
      </c>
      <c r="M63" s="64">
        <v>52.93</v>
      </c>
      <c r="N63" s="64">
        <v>272.89999999999998</v>
      </c>
      <c r="O63" s="64">
        <v>0</v>
      </c>
      <c r="P63" s="64">
        <v>0.45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5" t="s">
        <v>397</v>
      </c>
      <c r="B64" s="64">
        <v>0.61</v>
      </c>
      <c r="C64" s="64">
        <v>10.94</v>
      </c>
      <c r="D64" s="64">
        <v>6.2</v>
      </c>
      <c r="E64" s="64">
        <v>6.23</v>
      </c>
      <c r="F64" s="64">
        <v>9.5500000000000007</v>
      </c>
      <c r="G64" s="64">
        <v>46.3</v>
      </c>
      <c r="H64" s="64">
        <v>16.39</v>
      </c>
      <c r="I64" s="64">
        <v>1.71</v>
      </c>
      <c r="J64" s="64">
        <v>0.9</v>
      </c>
      <c r="K64" s="64">
        <v>325.67</v>
      </c>
      <c r="L64" s="64">
        <v>34.43</v>
      </c>
      <c r="M64" s="64">
        <v>53.31</v>
      </c>
      <c r="N64" s="64">
        <v>239.3</v>
      </c>
      <c r="O64" s="64">
        <v>0</v>
      </c>
      <c r="P64" s="64">
        <v>0.45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398</v>
      </c>
      <c r="B65" s="64">
        <v>0.53</v>
      </c>
      <c r="C65" s="64">
        <v>10.96</v>
      </c>
      <c r="D65" s="64">
        <v>6.15</v>
      </c>
      <c r="E65" s="64">
        <v>6.16</v>
      </c>
      <c r="F65" s="64">
        <v>12.92</v>
      </c>
      <c r="G65" s="64">
        <v>47.05</v>
      </c>
      <c r="H65" s="64">
        <v>15.22</v>
      </c>
      <c r="I65" s="64">
        <v>1.53</v>
      </c>
      <c r="J65" s="64">
        <v>0.85</v>
      </c>
      <c r="K65" s="64">
        <v>332.59</v>
      </c>
      <c r="L65" s="64">
        <v>34.08</v>
      </c>
      <c r="M65" s="64">
        <v>53.06</v>
      </c>
      <c r="N65" s="64">
        <v>250</v>
      </c>
      <c r="O65" s="64">
        <v>0</v>
      </c>
      <c r="P65" s="64">
        <v>0.44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399</v>
      </c>
      <c r="B66" s="64">
        <v>0.56000000000000005</v>
      </c>
      <c r="C66" s="64">
        <v>12.87</v>
      </c>
      <c r="D66" s="64">
        <v>7.18</v>
      </c>
      <c r="E66" s="64">
        <v>6.57</v>
      </c>
      <c r="F66" s="64">
        <v>10.23</v>
      </c>
      <c r="G66" s="64">
        <v>48.98</v>
      </c>
      <c r="H66" s="64">
        <v>13.18</v>
      </c>
      <c r="I66" s="64">
        <v>1.37</v>
      </c>
      <c r="J66" s="64">
        <v>0.63</v>
      </c>
      <c r="K66" s="64">
        <v>327.75</v>
      </c>
      <c r="L66" s="64">
        <v>33.68</v>
      </c>
      <c r="M66" s="64">
        <v>54.92</v>
      </c>
      <c r="N66" s="64">
        <v>204.7</v>
      </c>
      <c r="O66" s="64">
        <v>0</v>
      </c>
      <c r="P66" s="64">
        <v>0.43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400</v>
      </c>
      <c r="B67" s="64">
        <v>1.0900000000000001</v>
      </c>
      <c r="C67" s="64">
        <v>15.73</v>
      </c>
      <c r="D67" s="64">
        <v>9.09</v>
      </c>
      <c r="E67" s="64">
        <v>7.09</v>
      </c>
      <c r="F67" s="64">
        <v>8.52</v>
      </c>
      <c r="G67" s="64">
        <v>48.98</v>
      </c>
      <c r="H67" s="64">
        <v>13.18</v>
      </c>
      <c r="I67" s="64">
        <v>1.19</v>
      </c>
      <c r="J67" s="64">
        <v>1.23</v>
      </c>
      <c r="K67" s="64">
        <v>330.3</v>
      </c>
      <c r="L67" s="64">
        <v>33.14</v>
      </c>
      <c r="M67" s="64">
        <v>57.62</v>
      </c>
      <c r="N67" s="64">
        <v>198.4</v>
      </c>
      <c r="O67" s="64">
        <v>0</v>
      </c>
      <c r="P67" s="64">
        <v>0.43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401</v>
      </c>
      <c r="B68" s="64">
        <v>1.89</v>
      </c>
      <c r="C68" s="64">
        <v>16.63</v>
      </c>
      <c r="D68" s="64">
        <v>10.199999999999999</v>
      </c>
      <c r="E68" s="64">
        <v>6.4</v>
      </c>
      <c r="F68" s="64">
        <v>6.14</v>
      </c>
      <c r="G68" s="64">
        <v>48.98</v>
      </c>
      <c r="H68" s="64">
        <v>13.18</v>
      </c>
      <c r="I68" s="64">
        <v>1.3</v>
      </c>
      <c r="J68" s="64">
        <v>1.18</v>
      </c>
      <c r="K68" s="64">
        <v>326.74</v>
      </c>
      <c r="L68" s="64">
        <v>33.03</v>
      </c>
      <c r="M68" s="64">
        <v>58.47</v>
      </c>
      <c r="N68" s="64">
        <v>190.5</v>
      </c>
      <c r="O68" s="64">
        <v>0</v>
      </c>
      <c r="P68" s="64">
        <v>0.43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402</v>
      </c>
      <c r="B69" s="64">
        <v>2.2599999999999998</v>
      </c>
      <c r="C69" s="64">
        <v>15.23</v>
      </c>
      <c r="D69" s="64">
        <v>9.77</v>
      </c>
      <c r="E69" s="64">
        <v>6.33</v>
      </c>
      <c r="F69" s="64">
        <v>5.18</v>
      </c>
      <c r="G69" s="64">
        <v>51.24</v>
      </c>
      <c r="H69" s="64">
        <v>14.04</v>
      </c>
      <c r="I69" s="64">
        <v>1.38</v>
      </c>
      <c r="J69" s="64">
        <v>1.03</v>
      </c>
      <c r="K69" s="64">
        <v>333.49</v>
      </c>
      <c r="L69" s="64">
        <v>32.479999999999997</v>
      </c>
      <c r="M69" s="64">
        <v>60.09</v>
      </c>
      <c r="N69" s="64">
        <v>170.3</v>
      </c>
      <c r="O69" s="64">
        <v>0</v>
      </c>
      <c r="P69" s="64">
        <v>0.44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403</v>
      </c>
      <c r="B70" s="64">
        <v>2.27</v>
      </c>
      <c r="C70" s="64">
        <v>14.53</v>
      </c>
      <c r="D70" s="64">
        <v>9.41</v>
      </c>
      <c r="E70" s="64">
        <v>5.97</v>
      </c>
      <c r="F70" s="64">
        <v>5.99</v>
      </c>
      <c r="G70" s="64">
        <v>57.12</v>
      </c>
      <c r="H70" s="64">
        <v>15.49</v>
      </c>
      <c r="I70" s="64">
        <v>1.32</v>
      </c>
      <c r="J70" s="64">
        <v>0.77</v>
      </c>
      <c r="K70" s="64">
        <v>323.99</v>
      </c>
      <c r="L70" s="64">
        <v>32.4</v>
      </c>
      <c r="M70" s="64">
        <v>59.55</v>
      </c>
      <c r="N70" s="64">
        <v>159</v>
      </c>
      <c r="O70" s="64">
        <v>0</v>
      </c>
      <c r="P70" s="64">
        <v>0.44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5" t="s">
        <v>404</v>
      </c>
      <c r="B71" s="64">
        <v>1.73</v>
      </c>
      <c r="C71" s="64">
        <v>15.87</v>
      </c>
      <c r="D71" s="64">
        <v>9.68</v>
      </c>
      <c r="E71" s="64">
        <v>6.79</v>
      </c>
      <c r="F71" s="64">
        <v>6.63</v>
      </c>
      <c r="G71" s="64">
        <v>57.12</v>
      </c>
      <c r="H71" s="64">
        <v>15.49</v>
      </c>
      <c r="I71" s="64">
        <v>1.5</v>
      </c>
      <c r="J71" s="64">
        <v>0.51</v>
      </c>
      <c r="K71" s="64">
        <v>324.93</v>
      </c>
      <c r="L71" s="64">
        <v>32.32</v>
      </c>
      <c r="M71" s="64">
        <v>60.13</v>
      </c>
      <c r="N71" s="64">
        <v>148.9</v>
      </c>
      <c r="O71" s="64">
        <v>0</v>
      </c>
      <c r="P71" s="64">
        <v>0.48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5" t="s">
        <v>405</v>
      </c>
      <c r="B72" s="64">
        <v>1.48</v>
      </c>
      <c r="C72" s="64">
        <v>15.79</v>
      </c>
      <c r="D72" s="64">
        <v>9.43</v>
      </c>
      <c r="E72" s="64">
        <v>6.93</v>
      </c>
      <c r="F72" s="64">
        <v>5.65</v>
      </c>
      <c r="G72" s="64">
        <v>57.12</v>
      </c>
      <c r="H72" s="64">
        <v>15.49</v>
      </c>
      <c r="I72" s="64">
        <v>1.51</v>
      </c>
      <c r="J72" s="64">
        <v>0.49</v>
      </c>
      <c r="K72" s="64">
        <v>322.99</v>
      </c>
      <c r="L72" s="64">
        <v>31.71</v>
      </c>
      <c r="M72" s="64">
        <v>61.84</v>
      </c>
      <c r="N72" s="64">
        <v>137.9</v>
      </c>
      <c r="O72" s="64">
        <v>0</v>
      </c>
      <c r="P72" s="64">
        <v>0.42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5" t="s">
        <v>406</v>
      </c>
      <c r="B73" s="64">
        <v>1.32</v>
      </c>
      <c r="C73" s="64">
        <v>14.38</v>
      </c>
      <c r="D73" s="64">
        <v>8.58</v>
      </c>
      <c r="E73" s="64">
        <v>6.36</v>
      </c>
      <c r="F73" s="64">
        <v>5.15</v>
      </c>
      <c r="G73" s="64">
        <v>56.13</v>
      </c>
      <c r="H73" s="64">
        <v>16.18</v>
      </c>
      <c r="I73" s="64">
        <v>1.43</v>
      </c>
      <c r="J73" s="64">
        <v>0.3</v>
      </c>
      <c r="K73" s="64">
        <v>339.55</v>
      </c>
      <c r="L73" s="64">
        <v>31.46</v>
      </c>
      <c r="M73" s="64">
        <v>63.09</v>
      </c>
      <c r="N73" s="64">
        <v>123.5</v>
      </c>
      <c r="O73" s="64">
        <v>0</v>
      </c>
      <c r="P73" s="64">
        <v>0.43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407</v>
      </c>
      <c r="B74" s="64">
        <v>1.1200000000000001</v>
      </c>
      <c r="C74" s="64">
        <v>12.86</v>
      </c>
      <c r="D74" s="64">
        <v>7.62</v>
      </c>
      <c r="E74" s="64">
        <v>6.35</v>
      </c>
      <c r="F74" s="64">
        <v>7.13</v>
      </c>
      <c r="G74" s="64">
        <v>53.56</v>
      </c>
      <c r="H74" s="64">
        <v>17.350000000000001</v>
      </c>
      <c r="I74" s="64">
        <v>1.39</v>
      </c>
      <c r="J74" s="64">
        <v>0.21</v>
      </c>
      <c r="K74" s="64">
        <v>321.7</v>
      </c>
      <c r="L74" s="64">
        <v>30.98</v>
      </c>
      <c r="M74" s="64">
        <v>62.96</v>
      </c>
      <c r="N74" s="64">
        <v>105.4</v>
      </c>
      <c r="O74" s="64">
        <v>0</v>
      </c>
      <c r="P74" s="64">
        <v>0.38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408</v>
      </c>
      <c r="B75" s="64">
        <v>0.71</v>
      </c>
      <c r="C75" s="64">
        <v>12.48</v>
      </c>
      <c r="D75" s="64">
        <v>7.09</v>
      </c>
      <c r="E75" s="64">
        <v>6.92</v>
      </c>
      <c r="F75" s="64">
        <v>6.91</v>
      </c>
      <c r="G75" s="64">
        <v>53.56</v>
      </c>
      <c r="H75" s="64">
        <v>17.350000000000001</v>
      </c>
      <c r="I75" s="64">
        <v>1.1000000000000001</v>
      </c>
      <c r="J75" s="64">
        <v>0.47</v>
      </c>
      <c r="K75" s="64">
        <v>349.55</v>
      </c>
      <c r="L75" s="64">
        <v>30.95</v>
      </c>
      <c r="M75" s="64">
        <v>64.73</v>
      </c>
      <c r="N75" s="64">
        <v>89.6</v>
      </c>
      <c r="O75" s="64">
        <v>0</v>
      </c>
      <c r="P75" s="64">
        <v>0.42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5" t="s">
        <v>409</v>
      </c>
      <c r="B76" s="64">
        <v>1.1499999999999999</v>
      </c>
      <c r="C76" s="64">
        <v>11.64</v>
      </c>
      <c r="D76" s="64">
        <v>7</v>
      </c>
      <c r="E76" s="64">
        <v>6.73</v>
      </c>
      <c r="F76" s="64">
        <v>6.02</v>
      </c>
      <c r="G76" s="64">
        <v>53.56</v>
      </c>
      <c r="H76" s="64">
        <v>17.350000000000001</v>
      </c>
      <c r="I76" s="64">
        <v>1.01</v>
      </c>
      <c r="J76" s="64">
        <v>0.43</v>
      </c>
      <c r="K76" s="64">
        <v>309.27</v>
      </c>
      <c r="L76" s="64">
        <v>30.91</v>
      </c>
      <c r="M76" s="64">
        <v>64.37</v>
      </c>
      <c r="N76" s="64">
        <v>76.5</v>
      </c>
      <c r="O76" s="64">
        <v>0</v>
      </c>
      <c r="P76" s="64">
        <v>0.63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410</v>
      </c>
      <c r="B77" s="64">
        <v>1.54</v>
      </c>
      <c r="C77" s="64">
        <v>11.99</v>
      </c>
      <c r="D77" s="64">
        <v>7.5</v>
      </c>
      <c r="E77" s="64">
        <v>6.68</v>
      </c>
      <c r="F77" s="64">
        <v>7.3</v>
      </c>
      <c r="G77" s="64">
        <v>51.08</v>
      </c>
      <c r="H77" s="64">
        <v>16.29</v>
      </c>
      <c r="I77" s="64">
        <v>1.43</v>
      </c>
      <c r="J77" s="64">
        <v>0.17</v>
      </c>
      <c r="K77" s="64">
        <v>323.07</v>
      </c>
      <c r="L77" s="64">
        <v>30.62</v>
      </c>
      <c r="M77" s="64">
        <v>66.400000000000006</v>
      </c>
      <c r="N77" s="64">
        <v>60.8</v>
      </c>
      <c r="O77" s="64">
        <v>0</v>
      </c>
      <c r="P77" s="64">
        <v>0.57999999999999996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411</v>
      </c>
      <c r="B78" s="64">
        <v>1.73</v>
      </c>
      <c r="C78" s="64">
        <v>11.89</v>
      </c>
      <c r="D78" s="64">
        <v>7.6</v>
      </c>
      <c r="E78" s="64">
        <v>6.71</v>
      </c>
      <c r="F78" s="64">
        <v>6.63</v>
      </c>
      <c r="G78" s="64">
        <v>44.64</v>
      </c>
      <c r="H78" s="64">
        <v>12.24</v>
      </c>
      <c r="I78" s="64">
        <v>1.44</v>
      </c>
      <c r="J78" s="64">
        <v>0.19</v>
      </c>
      <c r="K78" s="64">
        <v>336.68</v>
      </c>
      <c r="L78" s="64">
        <v>30.1</v>
      </c>
      <c r="M78" s="64">
        <v>70.17</v>
      </c>
      <c r="N78" s="64">
        <v>46.2</v>
      </c>
      <c r="O78" s="64">
        <v>0</v>
      </c>
      <c r="P78" s="64">
        <v>0.54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412</v>
      </c>
      <c r="B79" s="64">
        <v>1.64</v>
      </c>
      <c r="C79" s="64">
        <v>11.51</v>
      </c>
      <c r="D79" s="64">
        <v>7.33</v>
      </c>
      <c r="E79" s="64">
        <v>6.42</v>
      </c>
      <c r="F79" s="64">
        <v>7.28</v>
      </c>
      <c r="G79" s="64">
        <v>44.64</v>
      </c>
      <c r="H79" s="64">
        <v>12.24</v>
      </c>
      <c r="I79" s="64">
        <v>1.41</v>
      </c>
      <c r="J79" s="64">
        <v>0.09</v>
      </c>
      <c r="K79" s="64">
        <v>76.010000000000005</v>
      </c>
      <c r="L79" s="64">
        <v>29.53</v>
      </c>
      <c r="M79" s="64">
        <v>75.73</v>
      </c>
      <c r="N79" s="64">
        <v>34</v>
      </c>
      <c r="O79" s="64">
        <v>0</v>
      </c>
      <c r="P79" s="64">
        <v>0.51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413</v>
      </c>
      <c r="B80" s="64">
        <v>1.4</v>
      </c>
      <c r="C80" s="64">
        <v>11.02</v>
      </c>
      <c r="D80" s="64">
        <v>6.88</v>
      </c>
      <c r="E80" s="64">
        <v>6.08</v>
      </c>
      <c r="F80" s="64">
        <v>6.3</v>
      </c>
      <c r="G80" s="64">
        <v>44.64</v>
      </c>
      <c r="H80" s="64">
        <v>12.24</v>
      </c>
      <c r="I80" s="64">
        <v>1.72</v>
      </c>
      <c r="J80" s="64">
        <v>0.18</v>
      </c>
      <c r="K80" s="64">
        <v>81.52</v>
      </c>
      <c r="L80" s="64">
        <v>29.02</v>
      </c>
      <c r="M80" s="64">
        <v>79.98</v>
      </c>
      <c r="N80" s="64">
        <v>27.7</v>
      </c>
      <c r="O80" s="64">
        <v>0</v>
      </c>
      <c r="P80" s="64">
        <v>0.48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414</v>
      </c>
      <c r="B81" s="64">
        <v>1.42</v>
      </c>
      <c r="C81" s="64">
        <v>10.43</v>
      </c>
      <c r="D81" s="64">
        <v>6.59</v>
      </c>
      <c r="E81" s="64">
        <v>6.27</v>
      </c>
      <c r="F81" s="64">
        <v>5.36</v>
      </c>
      <c r="G81" s="64">
        <v>50.79</v>
      </c>
      <c r="H81" s="64">
        <v>13.45</v>
      </c>
      <c r="I81" s="64">
        <v>1.63</v>
      </c>
      <c r="J81" s="64">
        <v>0.05</v>
      </c>
      <c r="K81" s="64">
        <v>133.99</v>
      </c>
      <c r="L81" s="64">
        <v>28.73</v>
      </c>
      <c r="M81" s="64">
        <v>83.15</v>
      </c>
      <c r="N81" s="64">
        <v>26.6</v>
      </c>
      <c r="O81" s="64">
        <v>0</v>
      </c>
      <c r="P81" s="64">
        <v>0.5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415</v>
      </c>
      <c r="B82" s="64">
        <v>1.54</v>
      </c>
      <c r="C82" s="64">
        <v>9.84</v>
      </c>
      <c r="D82" s="64">
        <v>6.37</v>
      </c>
      <c r="E82" s="64">
        <v>6.06</v>
      </c>
      <c r="F82" s="64">
        <v>5.81</v>
      </c>
      <c r="G82" s="64">
        <v>66.760000000000005</v>
      </c>
      <c r="H82" s="64">
        <v>15.48</v>
      </c>
      <c r="I82" s="64">
        <v>1.52</v>
      </c>
      <c r="J82" s="64">
        <v>0.04</v>
      </c>
      <c r="K82" s="64">
        <v>120.4</v>
      </c>
      <c r="L82" s="64">
        <v>28.52</v>
      </c>
      <c r="M82" s="64">
        <v>85.31</v>
      </c>
      <c r="N82" s="64">
        <v>26.1</v>
      </c>
      <c r="O82" s="64">
        <v>0</v>
      </c>
      <c r="P82" s="64">
        <v>0.55000000000000004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5" t="s">
        <v>416</v>
      </c>
      <c r="B83" s="64">
        <v>1.67</v>
      </c>
      <c r="C83" s="64">
        <v>9.32</v>
      </c>
      <c r="D83" s="64">
        <v>6.21</v>
      </c>
      <c r="E83" s="64">
        <v>5.88</v>
      </c>
      <c r="F83" s="64">
        <v>5.25</v>
      </c>
      <c r="G83" s="64">
        <v>66.760000000000005</v>
      </c>
      <c r="H83" s="64">
        <v>15.48</v>
      </c>
      <c r="I83" s="64">
        <v>1.61</v>
      </c>
      <c r="J83" s="64">
        <v>7.0000000000000007E-2</v>
      </c>
      <c r="K83" s="64">
        <v>103.43</v>
      </c>
      <c r="L83" s="64">
        <v>28.36</v>
      </c>
      <c r="M83" s="64">
        <v>87.18</v>
      </c>
      <c r="N83" s="64">
        <v>26.1</v>
      </c>
      <c r="O83" s="64">
        <v>0</v>
      </c>
      <c r="P83" s="64">
        <v>0.47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417</v>
      </c>
      <c r="B84" s="64">
        <v>1.74</v>
      </c>
      <c r="C84" s="64">
        <v>9.5299999999999994</v>
      </c>
      <c r="D84" s="64">
        <v>6.38</v>
      </c>
      <c r="E84" s="64">
        <v>6.3</v>
      </c>
      <c r="F84" s="64">
        <v>4.91</v>
      </c>
      <c r="G84" s="64">
        <v>66.760000000000005</v>
      </c>
      <c r="H84" s="64">
        <v>15.48</v>
      </c>
      <c r="I84" s="64">
        <v>1.42</v>
      </c>
      <c r="J84" s="64">
        <v>0.22</v>
      </c>
      <c r="K84" s="64">
        <v>125.38</v>
      </c>
      <c r="L84" s="64">
        <v>28.16</v>
      </c>
      <c r="M84" s="64">
        <v>88.93</v>
      </c>
      <c r="N84" s="64">
        <v>26.1</v>
      </c>
      <c r="O84" s="64">
        <v>0</v>
      </c>
      <c r="P84" s="64">
        <v>0.48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5" t="s">
        <v>418</v>
      </c>
      <c r="B85" s="64">
        <v>1.7</v>
      </c>
      <c r="C85" s="64">
        <v>8.7200000000000006</v>
      </c>
      <c r="D85" s="64">
        <v>5.92</v>
      </c>
      <c r="E85" s="64">
        <v>6.25</v>
      </c>
      <c r="F85" s="64">
        <v>6.09</v>
      </c>
      <c r="G85" s="64">
        <v>62.53</v>
      </c>
      <c r="H85" s="64">
        <v>14.67</v>
      </c>
      <c r="I85" s="64">
        <v>1.71</v>
      </c>
      <c r="J85" s="64">
        <v>0.12</v>
      </c>
      <c r="K85" s="64">
        <v>71.53</v>
      </c>
      <c r="L85" s="64">
        <v>27.98</v>
      </c>
      <c r="M85" s="64">
        <v>91.19</v>
      </c>
      <c r="N85" s="64">
        <v>26.1</v>
      </c>
      <c r="O85" s="64">
        <v>0</v>
      </c>
      <c r="P85" s="64">
        <v>0.48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419</v>
      </c>
      <c r="B86" s="64">
        <v>1.82</v>
      </c>
      <c r="C86" s="64">
        <v>8.39</v>
      </c>
      <c r="D86" s="64">
        <v>5.84</v>
      </c>
      <c r="E86" s="64">
        <v>6.17</v>
      </c>
      <c r="F86" s="64">
        <v>3.97</v>
      </c>
      <c r="G86" s="64">
        <v>51.51</v>
      </c>
      <c r="H86" s="64">
        <v>13.31</v>
      </c>
      <c r="I86" s="64">
        <v>2.11</v>
      </c>
      <c r="J86" s="64">
        <v>0.51</v>
      </c>
      <c r="K86" s="64">
        <v>100.65</v>
      </c>
      <c r="L86" s="64">
        <v>27.62</v>
      </c>
      <c r="M86" s="64">
        <v>94.52</v>
      </c>
      <c r="N86" s="64">
        <v>26.1</v>
      </c>
      <c r="O86" s="64">
        <v>0</v>
      </c>
      <c r="P86" s="64">
        <v>0.44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420</v>
      </c>
      <c r="B87" s="64">
        <v>1.87</v>
      </c>
      <c r="C87" s="64">
        <v>7.53</v>
      </c>
      <c r="D87" s="64">
        <v>5.43</v>
      </c>
      <c r="E87" s="64">
        <v>5.97</v>
      </c>
      <c r="F87" s="64">
        <v>4.71</v>
      </c>
      <c r="G87" s="64">
        <v>51.51</v>
      </c>
      <c r="H87" s="64">
        <v>13.31</v>
      </c>
      <c r="I87" s="64">
        <v>2.06</v>
      </c>
      <c r="J87" s="64">
        <v>0.22</v>
      </c>
      <c r="K87" s="64">
        <v>116.58</v>
      </c>
      <c r="L87" s="64">
        <v>27.41</v>
      </c>
      <c r="M87" s="64">
        <v>96.65</v>
      </c>
      <c r="N87" s="64">
        <v>26.1</v>
      </c>
      <c r="O87" s="64">
        <v>0</v>
      </c>
      <c r="P87" s="64">
        <v>0.45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421</v>
      </c>
      <c r="B88" s="64">
        <v>2</v>
      </c>
      <c r="C88" s="64">
        <v>7.58</v>
      </c>
      <c r="D88" s="64">
        <v>5.57</v>
      </c>
      <c r="E88" s="64">
        <v>3.83</v>
      </c>
      <c r="F88" s="64">
        <v>3.21</v>
      </c>
      <c r="G88" s="64">
        <v>51.51</v>
      </c>
      <c r="H88" s="64">
        <v>13.31</v>
      </c>
      <c r="I88" s="64">
        <v>1.42</v>
      </c>
      <c r="J88" s="64">
        <v>0.18</v>
      </c>
      <c r="K88" s="64">
        <v>120.51</v>
      </c>
      <c r="L88" s="64">
        <v>27.3</v>
      </c>
      <c r="M88" s="64">
        <v>96.83</v>
      </c>
      <c r="N88" s="64">
        <v>26</v>
      </c>
      <c r="O88" s="64">
        <v>0</v>
      </c>
      <c r="P88" s="64">
        <v>0.48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422</v>
      </c>
      <c r="B89" s="64">
        <v>2.0499999999999998</v>
      </c>
      <c r="C89" s="64">
        <v>6.97</v>
      </c>
      <c r="D89" s="64">
        <v>5.28</v>
      </c>
      <c r="E89" s="64">
        <v>4.25</v>
      </c>
      <c r="F89" s="64">
        <v>3.79</v>
      </c>
      <c r="G89" s="64">
        <v>49.61</v>
      </c>
      <c r="H89" s="64">
        <v>13.29</v>
      </c>
      <c r="I89" s="64">
        <v>1.53</v>
      </c>
      <c r="J89" s="64">
        <v>0.06</v>
      </c>
      <c r="K89" s="64">
        <v>70.540000000000006</v>
      </c>
      <c r="L89" s="64">
        <v>27.41</v>
      </c>
      <c r="M89" s="64">
        <v>95.11</v>
      </c>
      <c r="N89" s="64">
        <v>26</v>
      </c>
      <c r="O89" s="64">
        <v>0</v>
      </c>
      <c r="P89" s="64">
        <v>0.48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5" t="s">
        <v>423</v>
      </c>
      <c r="B90" s="64">
        <v>2.14</v>
      </c>
      <c r="C90" s="64">
        <v>7.2</v>
      </c>
      <c r="D90" s="64">
        <v>5.47</v>
      </c>
      <c r="E90" s="64">
        <v>4.33</v>
      </c>
      <c r="F90" s="64">
        <v>4.43</v>
      </c>
      <c r="G90" s="64">
        <v>44.69</v>
      </c>
      <c r="H90" s="64">
        <v>13.24</v>
      </c>
      <c r="I90" s="64">
        <v>1.72</v>
      </c>
      <c r="J90" s="64">
        <v>0.15</v>
      </c>
      <c r="K90" s="64">
        <v>1.72</v>
      </c>
      <c r="L90" s="64">
        <v>27.38</v>
      </c>
      <c r="M90" s="64">
        <v>94.5</v>
      </c>
      <c r="N90" s="64">
        <v>26.1</v>
      </c>
      <c r="O90" s="64">
        <v>0</v>
      </c>
      <c r="P90" s="64">
        <v>0.52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424</v>
      </c>
      <c r="B91" s="64">
        <v>2.17</v>
      </c>
      <c r="C91" s="64">
        <v>6.73</v>
      </c>
      <c r="D91" s="64">
        <v>5.26</v>
      </c>
      <c r="E91" s="64">
        <v>4.3</v>
      </c>
      <c r="F91" s="64">
        <v>4.2300000000000004</v>
      </c>
      <c r="G91" s="64">
        <v>44.69</v>
      </c>
      <c r="H91" s="64">
        <v>13.24</v>
      </c>
      <c r="I91" s="64">
        <v>1.94</v>
      </c>
      <c r="J91" s="64">
        <v>0.22</v>
      </c>
      <c r="K91" s="64">
        <v>87.83</v>
      </c>
      <c r="L91" s="64">
        <v>27.34</v>
      </c>
      <c r="M91" s="64">
        <v>93.76</v>
      </c>
      <c r="N91" s="64">
        <v>26</v>
      </c>
      <c r="O91" s="64">
        <v>0</v>
      </c>
      <c r="P91" s="64">
        <v>0.49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5" t="s">
        <v>425</v>
      </c>
      <c r="B92" s="64">
        <v>2.41</v>
      </c>
      <c r="C92" s="64">
        <v>6.94</v>
      </c>
      <c r="D92" s="64">
        <v>5.56</v>
      </c>
      <c r="E92" s="64">
        <v>4.78</v>
      </c>
      <c r="F92" s="64">
        <v>4.26</v>
      </c>
      <c r="G92" s="64">
        <v>44.69</v>
      </c>
      <c r="H92" s="64">
        <v>13.24</v>
      </c>
      <c r="I92" s="64">
        <v>1.75</v>
      </c>
      <c r="J92" s="64">
        <v>7.0000000000000007E-2</v>
      </c>
      <c r="K92" s="64">
        <v>62.31</v>
      </c>
      <c r="L92" s="64">
        <v>27.34</v>
      </c>
      <c r="M92" s="64">
        <v>92.62</v>
      </c>
      <c r="N92" s="64">
        <v>26</v>
      </c>
      <c r="O92" s="64">
        <v>0</v>
      </c>
      <c r="P92" s="64">
        <v>0.53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426</v>
      </c>
      <c r="B93" s="64">
        <v>2.62</v>
      </c>
      <c r="C93" s="64">
        <v>6.71</v>
      </c>
      <c r="D93" s="64">
        <v>5.6</v>
      </c>
      <c r="E93" s="64">
        <v>4.18</v>
      </c>
      <c r="F93" s="64">
        <v>3.57</v>
      </c>
      <c r="G93" s="64">
        <v>42.75</v>
      </c>
      <c r="H93" s="64">
        <v>13.46</v>
      </c>
      <c r="I93" s="64">
        <v>2.2200000000000002</v>
      </c>
      <c r="J93" s="64">
        <v>0.3</v>
      </c>
      <c r="K93" s="64">
        <v>356.46</v>
      </c>
      <c r="L93" s="64">
        <v>27.39</v>
      </c>
      <c r="M93" s="64">
        <v>92.37</v>
      </c>
      <c r="N93" s="64">
        <v>26.1</v>
      </c>
      <c r="O93" s="64">
        <v>0</v>
      </c>
      <c r="P93" s="64">
        <v>0.69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427</v>
      </c>
      <c r="B94" s="64">
        <v>3.08</v>
      </c>
      <c r="C94" s="64">
        <v>6.52</v>
      </c>
      <c r="D94" s="64">
        <v>5.88</v>
      </c>
      <c r="E94" s="64">
        <v>4.4800000000000004</v>
      </c>
      <c r="F94" s="64">
        <v>4.58</v>
      </c>
      <c r="G94" s="64">
        <v>37.71</v>
      </c>
      <c r="H94" s="64">
        <v>14.31</v>
      </c>
      <c r="I94" s="64">
        <v>2.14</v>
      </c>
      <c r="J94" s="64">
        <v>0.33</v>
      </c>
      <c r="K94" s="64">
        <v>351.65</v>
      </c>
      <c r="L94" s="64">
        <v>27.28</v>
      </c>
      <c r="M94" s="64">
        <v>92.93</v>
      </c>
      <c r="N94" s="64">
        <v>26.1</v>
      </c>
      <c r="O94" s="64">
        <v>0</v>
      </c>
      <c r="P94" s="64">
        <v>0.62</v>
      </c>
      <c r="Q94" s="64">
        <v>9.6</v>
      </c>
      <c r="R94" s="198"/>
      <c r="S94" s="198"/>
      <c r="T94" s="198"/>
      <c r="U94" s="198"/>
    </row>
    <row r="95" spans="1:26" s="12" customFormat="1" x14ac:dyDescent="0.25">
      <c r="A95" s="215" t="s">
        <v>428</v>
      </c>
      <c r="B95" s="64">
        <v>3.64</v>
      </c>
      <c r="C95" s="64">
        <v>6.77</v>
      </c>
      <c r="D95" s="64">
        <v>6.45</v>
      </c>
      <c r="E95" s="64">
        <v>4.8</v>
      </c>
      <c r="F95" s="64">
        <v>4.57</v>
      </c>
      <c r="G95" s="64">
        <v>37.71</v>
      </c>
      <c r="H95" s="64">
        <v>14.31</v>
      </c>
      <c r="I95" s="64">
        <v>2.29</v>
      </c>
      <c r="J95" s="64">
        <v>0.09</v>
      </c>
      <c r="K95" s="64">
        <v>17.77</v>
      </c>
      <c r="L95" s="64">
        <v>27</v>
      </c>
      <c r="M95" s="64">
        <v>94.93</v>
      </c>
      <c r="N95" s="64">
        <v>26.1</v>
      </c>
      <c r="O95" s="64">
        <v>0</v>
      </c>
      <c r="P95" s="64">
        <v>0.6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429</v>
      </c>
      <c r="B96" s="64">
        <v>3.9</v>
      </c>
      <c r="C96" s="64">
        <v>6.8</v>
      </c>
      <c r="D96" s="64">
        <v>6.68</v>
      </c>
      <c r="E96" s="64">
        <v>4.53</v>
      </c>
      <c r="F96" s="64">
        <v>4.72</v>
      </c>
      <c r="G96" s="64">
        <v>37.71</v>
      </c>
      <c r="H96" s="64">
        <v>14.31</v>
      </c>
      <c r="I96" s="64">
        <v>2.2200000000000002</v>
      </c>
      <c r="J96" s="64">
        <v>0.16</v>
      </c>
      <c r="K96" s="64">
        <v>227.08</v>
      </c>
      <c r="L96" s="64">
        <v>26.85</v>
      </c>
      <c r="M96" s="64">
        <v>96.2</v>
      </c>
      <c r="N96" s="64">
        <v>26.1</v>
      </c>
      <c r="O96" s="64">
        <v>0</v>
      </c>
      <c r="P96" s="64">
        <v>0.73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430</v>
      </c>
      <c r="B97" s="64">
        <v>4.22</v>
      </c>
      <c r="C97" s="64">
        <v>6.88</v>
      </c>
      <c r="D97" s="64">
        <v>6.98</v>
      </c>
      <c r="E97" s="64">
        <v>4.33</v>
      </c>
      <c r="F97" s="64">
        <v>4.32</v>
      </c>
      <c r="G97" s="64">
        <v>39.130000000000003</v>
      </c>
      <c r="H97" s="64">
        <v>14.45</v>
      </c>
      <c r="I97" s="64">
        <v>1.76</v>
      </c>
      <c r="J97" s="64">
        <v>0.33</v>
      </c>
      <c r="K97" s="64">
        <v>5.52</v>
      </c>
      <c r="L97" s="64">
        <v>26.78</v>
      </c>
      <c r="M97" s="64">
        <v>97.21</v>
      </c>
      <c r="N97" s="64">
        <v>26.1</v>
      </c>
      <c r="O97" s="64">
        <v>0</v>
      </c>
      <c r="P97" s="64">
        <v>0.65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431</v>
      </c>
      <c r="B98" s="64">
        <v>4.59</v>
      </c>
      <c r="C98" s="64">
        <v>6.78</v>
      </c>
      <c r="D98" s="64">
        <v>7.22</v>
      </c>
      <c r="E98" s="64">
        <v>4.41</v>
      </c>
      <c r="F98" s="64">
        <v>4.33</v>
      </c>
      <c r="G98" s="64">
        <v>42.82</v>
      </c>
      <c r="H98" s="64">
        <v>14.7</v>
      </c>
      <c r="I98" s="64">
        <v>1.96</v>
      </c>
      <c r="J98" s="64">
        <v>0.21</v>
      </c>
      <c r="K98" s="64">
        <v>333.5</v>
      </c>
      <c r="L98" s="64">
        <v>26.8</v>
      </c>
      <c r="M98" s="64">
        <v>97.28</v>
      </c>
      <c r="N98" s="64">
        <v>26.1</v>
      </c>
      <c r="O98" s="64">
        <v>0</v>
      </c>
      <c r="P98" s="64">
        <v>0.57999999999999996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432</v>
      </c>
      <c r="B99" s="64">
        <v>4.79</v>
      </c>
      <c r="C99" s="64">
        <v>6.79</v>
      </c>
      <c r="D99" s="64">
        <v>7.39</v>
      </c>
      <c r="E99" s="64">
        <v>4.3600000000000003</v>
      </c>
      <c r="F99" s="64">
        <v>4.41</v>
      </c>
      <c r="G99" s="64">
        <v>42.82</v>
      </c>
      <c r="H99" s="64">
        <v>14.7</v>
      </c>
      <c r="I99" s="64">
        <v>1.99</v>
      </c>
      <c r="J99" s="64">
        <v>0.2</v>
      </c>
      <c r="K99" s="64">
        <v>351.69</v>
      </c>
      <c r="L99" s="64">
        <v>26.73</v>
      </c>
      <c r="M99" s="64">
        <v>97.67</v>
      </c>
      <c r="N99" s="64">
        <v>26.1</v>
      </c>
      <c r="O99" s="64">
        <v>0</v>
      </c>
      <c r="P99" s="64">
        <v>0.54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433</v>
      </c>
      <c r="B100" s="64">
        <v>5</v>
      </c>
      <c r="C100" s="64">
        <v>6.97</v>
      </c>
      <c r="D100" s="64">
        <v>7.66</v>
      </c>
      <c r="E100" s="64">
        <v>4.66</v>
      </c>
      <c r="F100" s="64">
        <v>4.6399999999999997</v>
      </c>
      <c r="G100" s="64">
        <v>42.82</v>
      </c>
      <c r="H100" s="64">
        <v>14.7</v>
      </c>
      <c r="I100" s="64">
        <v>1.88</v>
      </c>
      <c r="J100" s="64">
        <v>0.17</v>
      </c>
      <c r="K100" s="64">
        <v>78.97</v>
      </c>
      <c r="L100" s="64">
        <v>26.63</v>
      </c>
      <c r="M100" s="64">
        <v>98.67</v>
      </c>
      <c r="N100" s="64">
        <v>26.1</v>
      </c>
      <c r="O100" s="64">
        <v>0</v>
      </c>
      <c r="P100" s="64">
        <v>0.57999999999999996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434</v>
      </c>
      <c r="B101" s="64">
        <v>5.01</v>
      </c>
      <c r="C101" s="64">
        <v>6.96</v>
      </c>
      <c r="D101" s="64">
        <v>7.65</v>
      </c>
      <c r="E101" s="64">
        <v>4.93</v>
      </c>
      <c r="F101" s="64">
        <v>4.12</v>
      </c>
      <c r="G101" s="64">
        <v>42.88</v>
      </c>
      <c r="H101" s="64">
        <v>14.63</v>
      </c>
      <c r="I101" s="64">
        <v>1.99</v>
      </c>
      <c r="J101" s="64">
        <v>0.72</v>
      </c>
      <c r="K101" s="64">
        <v>127.88</v>
      </c>
      <c r="L101" s="64">
        <v>26.26</v>
      </c>
      <c r="M101" s="64">
        <v>101.62</v>
      </c>
      <c r="N101" s="64">
        <v>26.1</v>
      </c>
      <c r="O101" s="64">
        <v>0</v>
      </c>
      <c r="P101" s="64">
        <v>0.44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435</v>
      </c>
      <c r="B102" s="64">
        <v>4.79</v>
      </c>
      <c r="C102" s="64">
        <v>6.79</v>
      </c>
      <c r="D102" s="64">
        <v>7.38</v>
      </c>
      <c r="E102" s="64">
        <v>4.5599999999999996</v>
      </c>
      <c r="F102" s="64">
        <v>4.3099999999999996</v>
      </c>
      <c r="G102" s="64">
        <v>43.04</v>
      </c>
      <c r="H102" s="64">
        <v>14.51</v>
      </c>
      <c r="I102" s="64">
        <v>1.89</v>
      </c>
      <c r="J102" s="64">
        <v>0.25</v>
      </c>
      <c r="K102" s="64">
        <v>142.72999999999999</v>
      </c>
      <c r="L102" s="64">
        <v>26.15</v>
      </c>
      <c r="M102" s="64">
        <v>101.53</v>
      </c>
      <c r="N102" s="64">
        <v>26.1</v>
      </c>
      <c r="O102" s="64">
        <v>0</v>
      </c>
      <c r="P102" s="64">
        <v>0.45</v>
      </c>
      <c r="Q102" s="64">
        <v>9.59</v>
      </c>
      <c r="R102" s="198"/>
      <c r="S102" s="198"/>
      <c r="T102" s="198"/>
      <c r="U102" s="198"/>
    </row>
    <row r="103" spans="1:33" s="12" customFormat="1" x14ac:dyDescent="0.25">
      <c r="A103" s="215" t="s">
        <v>436</v>
      </c>
      <c r="B103" s="64">
        <v>4.54</v>
      </c>
      <c r="C103" s="64">
        <v>6.6</v>
      </c>
      <c r="D103" s="64">
        <v>7.08</v>
      </c>
      <c r="E103" s="64">
        <v>4.41</v>
      </c>
      <c r="F103" s="64">
        <v>4.6100000000000003</v>
      </c>
      <c r="G103" s="64">
        <v>43.04</v>
      </c>
      <c r="H103" s="64">
        <v>14.51</v>
      </c>
      <c r="I103" s="64">
        <v>1.75</v>
      </c>
      <c r="J103" s="64">
        <v>0.28000000000000003</v>
      </c>
      <c r="K103" s="64">
        <v>118.09</v>
      </c>
      <c r="L103" s="64">
        <v>26.1</v>
      </c>
      <c r="M103" s="64">
        <v>101.28</v>
      </c>
      <c r="N103" s="64">
        <v>26.1</v>
      </c>
      <c r="O103" s="64">
        <v>0</v>
      </c>
      <c r="P103" s="64">
        <v>0.44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437</v>
      </c>
      <c r="B104" s="64">
        <v>4.3600000000000003</v>
      </c>
      <c r="C104" s="64">
        <v>6.36</v>
      </c>
      <c r="D104" s="64">
        <v>6.82</v>
      </c>
      <c r="E104" s="64">
        <v>4.8899999999999997</v>
      </c>
      <c r="F104" s="64">
        <v>3.7</v>
      </c>
      <c r="G104" s="64">
        <v>43.04</v>
      </c>
      <c r="H104" s="64">
        <v>14.51</v>
      </c>
      <c r="I104" s="64">
        <v>1.53</v>
      </c>
      <c r="J104" s="64">
        <v>0.01</v>
      </c>
      <c r="K104" s="64">
        <v>147.97999999999999</v>
      </c>
      <c r="L104" s="64">
        <v>26.04</v>
      </c>
      <c r="M104" s="64">
        <v>101.57</v>
      </c>
      <c r="N104" s="64">
        <v>26.1</v>
      </c>
      <c r="O104" s="64">
        <v>0</v>
      </c>
      <c r="P104" s="64">
        <v>0.41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0.53</v>
      </c>
      <c r="C106" s="67">
        <f>MIN(C9:C104)</f>
        <v>5.15</v>
      </c>
      <c r="D106" s="67">
        <f t="shared" ref="D106:Q106" si="0">MIN(D9:D104)</f>
        <v>5.01</v>
      </c>
      <c r="E106" s="67">
        <f t="shared" si="0"/>
        <v>3.79</v>
      </c>
      <c r="F106" s="67">
        <f t="shared" si="0"/>
        <v>3.18</v>
      </c>
      <c r="G106" s="67">
        <f t="shared" si="0"/>
        <v>28.03</v>
      </c>
      <c r="H106" s="67">
        <f t="shared" si="0"/>
        <v>12.24</v>
      </c>
      <c r="I106" s="67">
        <f t="shared" si="0"/>
        <v>1.01</v>
      </c>
      <c r="J106" s="67">
        <f t="shared" si="0"/>
        <v>0.01</v>
      </c>
      <c r="K106" s="67">
        <f t="shared" si="0"/>
        <v>1.05</v>
      </c>
      <c r="L106" s="67">
        <f t="shared" si="0"/>
        <v>24.36</v>
      </c>
      <c r="M106" s="67">
        <f t="shared" si="0"/>
        <v>52.93</v>
      </c>
      <c r="N106" s="67">
        <f t="shared" si="0"/>
        <v>25.8</v>
      </c>
      <c r="O106" s="67">
        <f t="shared" si="0"/>
        <v>0</v>
      </c>
      <c r="P106" s="67">
        <f t="shared" si="0"/>
        <v>0.38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7.38</v>
      </c>
      <c r="C107" s="66">
        <f t="shared" ref="C107:Q107" si="1">MAX(C9:C104)</f>
        <v>16.63</v>
      </c>
      <c r="D107" s="66">
        <f t="shared" si="1"/>
        <v>10.199999999999999</v>
      </c>
      <c r="E107" s="66">
        <f t="shared" si="1"/>
        <v>7.09</v>
      </c>
      <c r="F107" s="66">
        <f t="shared" si="1"/>
        <v>12.92</v>
      </c>
      <c r="G107" s="66">
        <f t="shared" si="1"/>
        <v>66.760000000000005</v>
      </c>
      <c r="H107" s="66">
        <f t="shared" si="1"/>
        <v>25.07</v>
      </c>
      <c r="I107" s="66">
        <f t="shared" si="1"/>
        <v>4.49</v>
      </c>
      <c r="J107" s="66">
        <f t="shared" si="1"/>
        <v>1.99</v>
      </c>
      <c r="K107" s="66">
        <f t="shared" si="1"/>
        <v>356.46</v>
      </c>
      <c r="L107" s="66">
        <f t="shared" si="1"/>
        <v>36.1</v>
      </c>
      <c r="M107" s="66">
        <f t="shared" si="1"/>
        <v>102.28</v>
      </c>
      <c r="N107" s="66">
        <f t="shared" si="1"/>
        <v>861</v>
      </c>
      <c r="O107" s="66">
        <f t="shared" si="1"/>
        <v>0</v>
      </c>
      <c r="P107" s="66">
        <f t="shared" si="1"/>
        <v>0.73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3.5961458333333347</v>
      </c>
      <c r="C108" s="67">
        <f t="shared" ref="C108:Q108" si="2">AVERAGE(C9:C104)</f>
        <v>8.464479166666667</v>
      </c>
      <c r="D108" s="67">
        <f t="shared" si="2"/>
        <v>7.3062500000000012</v>
      </c>
      <c r="E108" s="67">
        <f t="shared" si="2"/>
        <v>5.3322916666666691</v>
      </c>
      <c r="F108" s="67">
        <f t="shared" si="2"/>
        <v>4.9670833333333331</v>
      </c>
      <c r="G108" s="67">
        <f t="shared" si="2"/>
        <v>46.17656250000001</v>
      </c>
      <c r="H108" s="67">
        <f t="shared" si="2"/>
        <v>16.898958333333336</v>
      </c>
      <c r="I108" s="67">
        <f t="shared" si="2"/>
        <v>2.5424999999999991</v>
      </c>
      <c r="J108" s="67">
        <f t="shared" si="2"/>
        <v>0.50677083333333306</v>
      </c>
      <c r="K108" s="67">
        <f t="shared" si="2"/>
        <v>243.45645833333347</v>
      </c>
      <c r="L108" s="67">
        <f t="shared" si="2"/>
        <v>29.36802083333335</v>
      </c>
      <c r="M108" s="67">
        <f t="shared" si="2"/>
        <v>82.553645833333363</v>
      </c>
      <c r="N108" s="67">
        <f t="shared" si="2"/>
        <v>182.18541666666636</v>
      </c>
      <c r="O108" s="67">
        <f t="shared" si="2"/>
        <v>0</v>
      </c>
      <c r="P108" s="67">
        <f t="shared" si="2"/>
        <v>0.51312499999999972</v>
      </c>
      <c r="Q108" s="67">
        <f t="shared" si="2"/>
        <v>9.60812500000001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1.9609172771900518</v>
      </c>
      <c r="C109" s="67">
        <f t="shared" ref="C109:Q109" si="3">STDEV(C9:C104)</f>
        <v>2.9186827850181625</v>
      </c>
      <c r="D109" s="67">
        <f t="shared" si="3"/>
        <v>1.4073859680833358</v>
      </c>
      <c r="E109" s="67">
        <f t="shared" si="3"/>
        <v>0.78405891181272147</v>
      </c>
      <c r="F109" s="67">
        <f t="shared" si="3"/>
        <v>1.5841311194180789</v>
      </c>
      <c r="G109" s="67">
        <f t="shared" si="3"/>
        <v>8.2258438476898643</v>
      </c>
      <c r="H109" s="67">
        <f t="shared" si="3"/>
        <v>3.8154738904586445</v>
      </c>
      <c r="I109" s="67">
        <f t="shared" si="3"/>
        <v>0.9541697962103004</v>
      </c>
      <c r="J109" s="67">
        <f t="shared" si="3"/>
        <v>0.40253275719379095</v>
      </c>
      <c r="K109" s="67">
        <f t="shared" si="3"/>
        <v>129.6252508131696</v>
      </c>
      <c r="L109" s="67">
        <f t="shared" si="3"/>
        <v>3.8141869851195027</v>
      </c>
      <c r="M109" s="67">
        <f t="shared" si="3"/>
        <v>19.317501479489611</v>
      </c>
      <c r="N109" s="67">
        <f t="shared" si="3"/>
        <v>229.15545676251134</v>
      </c>
      <c r="O109" s="67">
        <f t="shared" si="3"/>
        <v>0</v>
      </c>
      <c r="P109" s="67">
        <f t="shared" si="3"/>
        <v>6.9286780086370889E-2</v>
      </c>
      <c r="Q109" s="67">
        <f t="shared" si="3"/>
        <v>8.7434185774816868E-3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438</v>
      </c>
      <c r="B9" s="64">
        <v>4.2</v>
      </c>
      <c r="C9" s="64">
        <v>6.36</v>
      </c>
      <c r="D9" s="64">
        <v>6.69</v>
      </c>
      <c r="E9" s="64">
        <v>5.36</v>
      </c>
      <c r="F9" s="64">
        <v>3.77</v>
      </c>
      <c r="G9" s="64">
        <v>42.01</v>
      </c>
      <c r="H9" s="64">
        <v>15.3</v>
      </c>
      <c r="I9" s="64">
        <v>1.65</v>
      </c>
      <c r="J9" s="64">
        <v>0.22</v>
      </c>
      <c r="K9" s="64">
        <v>58.95</v>
      </c>
      <c r="L9" s="64">
        <v>26.13</v>
      </c>
      <c r="M9" s="64">
        <v>100.15</v>
      </c>
      <c r="N9" s="64">
        <v>26</v>
      </c>
      <c r="O9" s="64">
        <v>0</v>
      </c>
      <c r="P9" s="64">
        <v>0.43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439</v>
      </c>
      <c r="B10" s="64">
        <v>3.86</v>
      </c>
      <c r="C10" s="64">
        <v>6.01</v>
      </c>
      <c r="D10" s="64">
        <v>6.23</v>
      </c>
      <c r="E10" s="64">
        <v>5.03</v>
      </c>
      <c r="F10" s="64">
        <v>4.41</v>
      </c>
      <c r="G10" s="64">
        <v>39.31</v>
      </c>
      <c r="H10" s="64">
        <v>16.62</v>
      </c>
      <c r="I10" s="64">
        <v>2.23</v>
      </c>
      <c r="J10" s="64">
        <v>0.02</v>
      </c>
      <c r="K10" s="64">
        <v>337.85</v>
      </c>
      <c r="L10" s="64">
        <v>26.14</v>
      </c>
      <c r="M10" s="64">
        <v>99.54</v>
      </c>
      <c r="N10" s="64">
        <v>26</v>
      </c>
      <c r="O10" s="64">
        <v>0</v>
      </c>
      <c r="P10" s="64">
        <v>0.46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440</v>
      </c>
      <c r="B11" s="64">
        <v>3.51</v>
      </c>
      <c r="C11" s="64">
        <v>5.86</v>
      </c>
      <c r="D11" s="64">
        <v>5.88</v>
      </c>
      <c r="E11" s="64">
        <v>5.25</v>
      </c>
      <c r="F11" s="64">
        <v>3.81</v>
      </c>
      <c r="G11" s="64">
        <v>39.31</v>
      </c>
      <c r="H11" s="64">
        <v>16.62</v>
      </c>
      <c r="I11" s="64">
        <v>1.87</v>
      </c>
      <c r="J11" s="64">
        <v>0.21</v>
      </c>
      <c r="K11" s="64">
        <v>1.25</v>
      </c>
      <c r="L11" s="64">
        <v>26.16</v>
      </c>
      <c r="M11" s="64">
        <v>99.72</v>
      </c>
      <c r="N11" s="64">
        <v>26.1</v>
      </c>
      <c r="O11" s="64">
        <v>0</v>
      </c>
      <c r="P11" s="64">
        <v>0.42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5" t="s">
        <v>441</v>
      </c>
      <c r="B12" s="64">
        <v>3.12</v>
      </c>
      <c r="C12" s="64">
        <v>5.8</v>
      </c>
      <c r="D12" s="64">
        <v>5.53</v>
      </c>
      <c r="E12" s="64">
        <v>5.36</v>
      </c>
      <c r="F12" s="64">
        <v>3.39</v>
      </c>
      <c r="G12" s="64">
        <v>39.31</v>
      </c>
      <c r="H12" s="64">
        <v>16.62</v>
      </c>
      <c r="I12" s="64">
        <v>1.93</v>
      </c>
      <c r="J12" s="64">
        <v>0.31</v>
      </c>
      <c r="K12" s="64">
        <v>24.75</v>
      </c>
      <c r="L12" s="64">
        <v>26.23</v>
      </c>
      <c r="M12" s="64">
        <v>99.06</v>
      </c>
      <c r="N12" s="64">
        <v>26.1</v>
      </c>
      <c r="O12" s="64">
        <v>0</v>
      </c>
      <c r="P12" s="64">
        <v>0.44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442</v>
      </c>
      <c r="B13" s="64">
        <v>2.65</v>
      </c>
      <c r="C13" s="64">
        <v>5.52</v>
      </c>
      <c r="D13" s="64">
        <v>5.01</v>
      </c>
      <c r="E13" s="64">
        <v>5.25</v>
      </c>
      <c r="F13" s="64">
        <v>4.8600000000000003</v>
      </c>
      <c r="G13" s="64">
        <v>38.090000000000003</v>
      </c>
      <c r="H13" s="64">
        <v>16.12</v>
      </c>
      <c r="I13" s="64">
        <v>2.65</v>
      </c>
      <c r="J13" s="64">
        <v>0.34</v>
      </c>
      <c r="K13" s="64">
        <v>14.37</v>
      </c>
      <c r="L13" s="64">
        <v>26.21</v>
      </c>
      <c r="M13" s="64">
        <v>98.91</v>
      </c>
      <c r="N13" s="64">
        <v>26.1</v>
      </c>
      <c r="O13" s="64">
        <v>0</v>
      </c>
      <c r="P13" s="64">
        <v>0.37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443</v>
      </c>
      <c r="B14" s="64">
        <v>2.36</v>
      </c>
      <c r="C14" s="64">
        <v>5.2</v>
      </c>
      <c r="D14" s="64">
        <v>4.5999999999999996</v>
      </c>
      <c r="E14" s="64">
        <v>5.05</v>
      </c>
      <c r="F14" s="64">
        <v>4.84</v>
      </c>
      <c r="G14" s="64">
        <v>34.93</v>
      </c>
      <c r="H14" s="64">
        <v>14.22</v>
      </c>
      <c r="I14" s="64">
        <v>2.5099999999999998</v>
      </c>
      <c r="J14" s="64">
        <v>0.34</v>
      </c>
      <c r="K14" s="64">
        <v>11</v>
      </c>
      <c r="L14" s="64">
        <v>26.19</v>
      </c>
      <c r="M14" s="64">
        <v>98.86</v>
      </c>
      <c r="N14" s="64">
        <v>26.1</v>
      </c>
      <c r="O14" s="64">
        <v>0</v>
      </c>
      <c r="P14" s="64">
        <v>0.39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5" t="s">
        <v>444</v>
      </c>
      <c r="B15" s="64">
        <v>2.2000000000000002</v>
      </c>
      <c r="C15" s="64">
        <v>5.05</v>
      </c>
      <c r="D15" s="64">
        <v>4.4000000000000004</v>
      </c>
      <c r="E15" s="64">
        <v>5.37</v>
      </c>
      <c r="F15" s="64">
        <v>4.57</v>
      </c>
      <c r="G15" s="64">
        <v>34.93</v>
      </c>
      <c r="H15" s="64">
        <v>14.22</v>
      </c>
      <c r="I15" s="64">
        <v>1.49</v>
      </c>
      <c r="J15" s="64">
        <v>0.33</v>
      </c>
      <c r="K15" s="64">
        <v>17.309999999999999</v>
      </c>
      <c r="L15" s="64">
        <v>26.16</v>
      </c>
      <c r="M15" s="64">
        <v>99.05</v>
      </c>
      <c r="N15" s="64">
        <v>26.1</v>
      </c>
      <c r="O15" s="64">
        <v>0</v>
      </c>
      <c r="P15" s="64">
        <v>0.38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445</v>
      </c>
      <c r="B16" s="64">
        <v>2.11</v>
      </c>
      <c r="C16" s="64">
        <v>4.93</v>
      </c>
      <c r="D16" s="64">
        <v>4.2699999999999996</v>
      </c>
      <c r="E16" s="64">
        <v>5.28</v>
      </c>
      <c r="F16" s="64">
        <v>4.93</v>
      </c>
      <c r="G16" s="64">
        <v>34.93</v>
      </c>
      <c r="H16" s="64">
        <v>14.22</v>
      </c>
      <c r="I16" s="64">
        <v>1.42</v>
      </c>
      <c r="J16" s="64">
        <v>0.31</v>
      </c>
      <c r="K16" s="64">
        <v>15.8</v>
      </c>
      <c r="L16" s="64">
        <v>25.96</v>
      </c>
      <c r="M16" s="64">
        <v>100.35</v>
      </c>
      <c r="N16" s="64">
        <v>26.1</v>
      </c>
      <c r="O16" s="64">
        <v>0</v>
      </c>
      <c r="P16" s="64">
        <v>0.35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446</v>
      </c>
      <c r="B17" s="64">
        <v>1.98</v>
      </c>
      <c r="C17" s="64">
        <v>4.76</v>
      </c>
      <c r="D17" s="64">
        <v>4.08</v>
      </c>
      <c r="E17" s="64">
        <v>5.0199999999999996</v>
      </c>
      <c r="F17" s="64">
        <v>4.8499999999999996</v>
      </c>
      <c r="G17" s="64">
        <v>34.01</v>
      </c>
      <c r="H17" s="64">
        <v>14.1</v>
      </c>
      <c r="I17" s="64">
        <v>1.35</v>
      </c>
      <c r="J17" s="64">
        <v>0.28999999999999998</v>
      </c>
      <c r="K17" s="64">
        <v>4.12</v>
      </c>
      <c r="L17" s="64">
        <v>25.93</v>
      </c>
      <c r="M17" s="64">
        <v>100.24</v>
      </c>
      <c r="N17" s="64">
        <v>26.1</v>
      </c>
      <c r="O17" s="64">
        <v>0</v>
      </c>
      <c r="P17" s="64">
        <v>0.36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5" t="s">
        <v>447</v>
      </c>
      <c r="B18" s="64">
        <v>1.84</v>
      </c>
      <c r="C18" s="64">
        <v>4.71</v>
      </c>
      <c r="D18" s="64">
        <v>3.93</v>
      </c>
      <c r="E18" s="64">
        <v>4.97</v>
      </c>
      <c r="F18" s="64">
        <v>4.9800000000000004</v>
      </c>
      <c r="G18" s="64">
        <v>31.61</v>
      </c>
      <c r="H18" s="64">
        <v>13.88</v>
      </c>
      <c r="I18" s="64">
        <v>1.29</v>
      </c>
      <c r="J18" s="64">
        <v>0.37</v>
      </c>
      <c r="K18" s="64">
        <v>10.01</v>
      </c>
      <c r="L18" s="64">
        <v>25.8</v>
      </c>
      <c r="M18" s="64">
        <v>101.36</v>
      </c>
      <c r="N18" s="64">
        <v>26.1</v>
      </c>
      <c r="O18" s="64">
        <v>0</v>
      </c>
      <c r="P18" s="64">
        <v>0.36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5" t="s">
        <v>448</v>
      </c>
      <c r="B19" s="64">
        <v>1.72</v>
      </c>
      <c r="C19" s="64">
        <v>4.49</v>
      </c>
      <c r="D19" s="64">
        <v>3.73</v>
      </c>
      <c r="E19" s="64">
        <v>5.29</v>
      </c>
      <c r="F19" s="64">
        <v>4.8899999999999997</v>
      </c>
      <c r="G19" s="64">
        <v>31.61</v>
      </c>
      <c r="H19" s="64">
        <v>13.88</v>
      </c>
      <c r="I19" s="64">
        <v>1.54</v>
      </c>
      <c r="J19" s="64">
        <v>0.21</v>
      </c>
      <c r="K19" s="64">
        <v>346.12</v>
      </c>
      <c r="L19" s="64">
        <v>25.61</v>
      </c>
      <c r="M19" s="64">
        <v>102.42</v>
      </c>
      <c r="N19" s="64">
        <v>26.1</v>
      </c>
      <c r="O19" s="64">
        <v>0</v>
      </c>
      <c r="P19" s="64">
        <v>0.34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449</v>
      </c>
      <c r="B20" s="64">
        <v>1.69</v>
      </c>
      <c r="C20" s="64">
        <v>4.37</v>
      </c>
      <c r="D20" s="64">
        <v>3.64</v>
      </c>
      <c r="E20" s="64">
        <v>5.19</v>
      </c>
      <c r="F20" s="64">
        <v>4.7300000000000004</v>
      </c>
      <c r="G20" s="64">
        <v>31.61</v>
      </c>
      <c r="H20" s="64">
        <v>13.88</v>
      </c>
      <c r="I20" s="64">
        <v>1.72</v>
      </c>
      <c r="J20" s="64">
        <v>0.28999999999999998</v>
      </c>
      <c r="K20" s="64">
        <v>339.85</v>
      </c>
      <c r="L20" s="64">
        <v>25.56</v>
      </c>
      <c r="M20" s="64">
        <v>102.48</v>
      </c>
      <c r="N20" s="64">
        <v>26.1</v>
      </c>
      <c r="O20" s="64">
        <v>0</v>
      </c>
      <c r="P20" s="64">
        <v>0.39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450</v>
      </c>
      <c r="B21" s="64">
        <v>1.67</v>
      </c>
      <c r="C21" s="64">
        <v>4.55</v>
      </c>
      <c r="D21" s="64">
        <v>3.72</v>
      </c>
      <c r="E21" s="64">
        <v>5.0199999999999996</v>
      </c>
      <c r="F21" s="64">
        <v>5.14</v>
      </c>
      <c r="G21" s="64">
        <v>29.88</v>
      </c>
      <c r="H21" s="64">
        <v>12.49</v>
      </c>
      <c r="I21" s="64">
        <v>1.58</v>
      </c>
      <c r="J21" s="64">
        <v>0.45</v>
      </c>
      <c r="K21" s="64">
        <v>345.64</v>
      </c>
      <c r="L21" s="64">
        <v>25.58</v>
      </c>
      <c r="M21" s="64">
        <v>102.46</v>
      </c>
      <c r="N21" s="64">
        <v>26.1</v>
      </c>
      <c r="O21" s="64">
        <v>0</v>
      </c>
      <c r="P21" s="64">
        <v>0.42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451</v>
      </c>
      <c r="B22" s="64">
        <v>1.45</v>
      </c>
      <c r="C22" s="64">
        <v>4.57</v>
      </c>
      <c r="D22" s="64">
        <v>3.55</v>
      </c>
      <c r="E22" s="64">
        <v>5.82</v>
      </c>
      <c r="F22" s="64">
        <v>2.73</v>
      </c>
      <c r="G22" s="64">
        <v>25.39</v>
      </c>
      <c r="H22" s="64">
        <v>10.06</v>
      </c>
      <c r="I22" s="64">
        <v>1.98</v>
      </c>
      <c r="J22" s="64">
        <v>0.52</v>
      </c>
      <c r="K22" s="64">
        <v>352.38</v>
      </c>
      <c r="L22" s="64">
        <v>25.58</v>
      </c>
      <c r="M22" s="64">
        <v>102.52</v>
      </c>
      <c r="N22" s="64">
        <v>26.1</v>
      </c>
      <c r="O22" s="64">
        <v>0</v>
      </c>
      <c r="P22" s="64">
        <v>0.4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5" t="s">
        <v>452</v>
      </c>
      <c r="B23" s="64">
        <v>1.17</v>
      </c>
      <c r="C23" s="64">
        <v>4.28</v>
      </c>
      <c r="D23" s="64">
        <v>3.17</v>
      </c>
      <c r="E23" s="64">
        <v>5.5</v>
      </c>
      <c r="F23" s="64">
        <v>3.67</v>
      </c>
      <c r="G23" s="64">
        <v>25.39</v>
      </c>
      <c r="H23" s="64">
        <v>10.06</v>
      </c>
      <c r="I23" s="64">
        <v>2.68</v>
      </c>
      <c r="J23" s="64">
        <v>0.56999999999999995</v>
      </c>
      <c r="K23" s="64">
        <v>333.3</v>
      </c>
      <c r="L23" s="64">
        <v>25.46</v>
      </c>
      <c r="M23" s="64">
        <v>102.52</v>
      </c>
      <c r="N23" s="64">
        <v>26.1</v>
      </c>
      <c r="O23" s="64">
        <v>0</v>
      </c>
      <c r="P23" s="64">
        <v>0.41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453</v>
      </c>
      <c r="B24" s="64">
        <v>0.89</v>
      </c>
      <c r="C24" s="64">
        <v>4.09</v>
      </c>
      <c r="D24" s="64">
        <v>2.85</v>
      </c>
      <c r="E24" s="64">
        <v>5.51</v>
      </c>
      <c r="F24" s="64">
        <v>4.16</v>
      </c>
      <c r="G24" s="64">
        <v>25.39</v>
      </c>
      <c r="H24" s="64">
        <v>10.06</v>
      </c>
      <c r="I24" s="64">
        <v>2.82</v>
      </c>
      <c r="J24" s="64">
        <v>0.62</v>
      </c>
      <c r="K24" s="64">
        <v>327.44</v>
      </c>
      <c r="L24" s="64">
        <v>25.44</v>
      </c>
      <c r="M24" s="64">
        <v>101.95</v>
      </c>
      <c r="N24" s="64">
        <v>25.9</v>
      </c>
      <c r="O24" s="64">
        <v>0</v>
      </c>
      <c r="P24" s="64">
        <v>0.4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454</v>
      </c>
      <c r="B25" s="64">
        <v>0.73</v>
      </c>
      <c r="C25" s="64">
        <v>4.41</v>
      </c>
      <c r="D25" s="64">
        <v>2.89</v>
      </c>
      <c r="E25" s="64">
        <v>5.36</v>
      </c>
      <c r="F25" s="64">
        <v>4.17</v>
      </c>
      <c r="G25" s="64">
        <v>27.49</v>
      </c>
      <c r="H25" s="64">
        <v>11.17</v>
      </c>
      <c r="I25" s="64">
        <v>2.76</v>
      </c>
      <c r="J25" s="64">
        <v>0.62</v>
      </c>
      <c r="K25" s="64">
        <v>332.23</v>
      </c>
      <c r="L25" s="64">
        <v>25.49</v>
      </c>
      <c r="M25" s="64">
        <v>101.1</v>
      </c>
      <c r="N25" s="64">
        <v>26</v>
      </c>
      <c r="O25" s="64">
        <v>0</v>
      </c>
      <c r="P25" s="64">
        <v>0.4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455</v>
      </c>
      <c r="B26" s="64">
        <v>0.65</v>
      </c>
      <c r="C26" s="64">
        <v>4.47</v>
      </c>
      <c r="D26" s="64">
        <v>2.86</v>
      </c>
      <c r="E26" s="64">
        <v>5.44</v>
      </c>
      <c r="F26" s="64">
        <v>3.92</v>
      </c>
      <c r="G26" s="64">
        <v>32.94</v>
      </c>
      <c r="H26" s="64">
        <v>13.04</v>
      </c>
      <c r="I26" s="64">
        <v>2.67</v>
      </c>
      <c r="J26" s="64">
        <v>0.54</v>
      </c>
      <c r="K26" s="64">
        <v>329.42</v>
      </c>
      <c r="L26" s="64">
        <v>25.45</v>
      </c>
      <c r="M26" s="64">
        <v>101.39</v>
      </c>
      <c r="N26" s="64">
        <v>26.1</v>
      </c>
      <c r="O26" s="64">
        <v>0</v>
      </c>
      <c r="P26" s="64">
        <v>0.39</v>
      </c>
      <c r="Q26" s="64">
        <v>9.59</v>
      </c>
      <c r="R26" s="198"/>
      <c r="S26" s="198"/>
      <c r="T26" s="198"/>
      <c r="U26" s="198"/>
    </row>
    <row r="27" spans="1:21" s="12" customFormat="1" x14ac:dyDescent="0.25">
      <c r="A27" s="215" t="s">
        <v>456</v>
      </c>
      <c r="B27" s="64">
        <v>0.75</v>
      </c>
      <c r="C27" s="64">
        <v>4.72</v>
      </c>
      <c r="D27" s="64">
        <v>3.07</v>
      </c>
      <c r="E27" s="64">
        <v>5.15</v>
      </c>
      <c r="F27" s="64">
        <v>3.17</v>
      </c>
      <c r="G27" s="64">
        <v>32.94</v>
      </c>
      <c r="H27" s="64">
        <v>13.04</v>
      </c>
      <c r="I27" s="64">
        <v>2.41</v>
      </c>
      <c r="J27" s="64">
        <v>0.41</v>
      </c>
      <c r="K27" s="64">
        <v>332.23</v>
      </c>
      <c r="L27" s="64">
        <v>25.43</v>
      </c>
      <c r="M27" s="64">
        <v>101.45</v>
      </c>
      <c r="N27" s="64">
        <v>26.1</v>
      </c>
      <c r="O27" s="64">
        <v>0</v>
      </c>
      <c r="P27" s="64">
        <v>0.38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5" t="s">
        <v>457</v>
      </c>
      <c r="B28" s="64">
        <v>0.94</v>
      </c>
      <c r="C28" s="64">
        <v>4.71</v>
      </c>
      <c r="D28" s="64">
        <v>3.21</v>
      </c>
      <c r="E28" s="64">
        <v>5.35</v>
      </c>
      <c r="F28" s="64">
        <v>4.3099999999999996</v>
      </c>
      <c r="G28" s="64">
        <v>32.94</v>
      </c>
      <c r="H28" s="64">
        <v>13.04</v>
      </c>
      <c r="I28" s="64">
        <v>2.3199999999999998</v>
      </c>
      <c r="J28" s="64">
        <v>0.34</v>
      </c>
      <c r="K28" s="64">
        <v>6.95</v>
      </c>
      <c r="L28" s="64">
        <v>25.27</v>
      </c>
      <c r="M28" s="64">
        <v>102.36</v>
      </c>
      <c r="N28" s="64">
        <v>26.1</v>
      </c>
      <c r="O28" s="64">
        <v>0</v>
      </c>
      <c r="P28" s="64">
        <v>0.38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5" t="s">
        <v>458</v>
      </c>
      <c r="B29" s="64">
        <v>1.1599999999999999</v>
      </c>
      <c r="C29" s="64">
        <v>5.03</v>
      </c>
      <c r="D29" s="64">
        <v>3.55</v>
      </c>
      <c r="E29" s="64">
        <v>5.39</v>
      </c>
      <c r="F29" s="64">
        <v>2.69</v>
      </c>
      <c r="G29" s="64">
        <v>31.72</v>
      </c>
      <c r="H29" s="64">
        <v>12.23</v>
      </c>
      <c r="I29" s="64">
        <v>1.84</v>
      </c>
      <c r="J29" s="64">
        <v>0.14000000000000001</v>
      </c>
      <c r="K29" s="64">
        <v>43.39</v>
      </c>
      <c r="L29" s="64">
        <v>25.18</v>
      </c>
      <c r="M29" s="64">
        <v>102.61</v>
      </c>
      <c r="N29" s="64">
        <v>26.1</v>
      </c>
      <c r="O29" s="64">
        <v>0</v>
      </c>
      <c r="P29" s="64">
        <v>0.4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5" t="s">
        <v>459</v>
      </c>
      <c r="B30" s="64">
        <v>1.28</v>
      </c>
      <c r="C30" s="64">
        <v>4.83</v>
      </c>
      <c r="D30" s="64">
        <v>3.55</v>
      </c>
      <c r="E30" s="64">
        <v>5.0999999999999996</v>
      </c>
      <c r="F30" s="64">
        <v>3.87</v>
      </c>
      <c r="G30" s="64">
        <v>28.54</v>
      </c>
      <c r="H30" s="64">
        <v>9.1300000000000008</v>
      </c>
      <c r="I30" s="64">
        <v>1.71</v>
      </c>
      <c r="J30" s="64">
        <v>0.16</v>
      </c>
      <c r="K30" s="64">
        <v>5.6</v>
      </c>
      <c r="L30" s="64">
        <v>24.97</v>
      </c>
      <c r="M30" s="64">
        <v>102.64</v>
      </c>
      <c r="N30" s="64">
        <v>26.1</v>
      </c>
      <c r="O30" s="64">
        <v>0</v>
      </c>
      <c r="P30" s="64">
        <v>0.5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460</v>
      </c>
      <c r="B31" s="64">
        <v>1.43</v>
      </c>
      <c r="C31" s="64">
        <v>4.8899999999999997</v>
      </c>
      <c r="D31" s="64">
        <v>3.7</v>
      </c>
      <c r="E31" s="64">
        <v>5.0999999999999996</v>
      </c>
      <c r="F31" s="64">
        <v>4.3099999999999996</v>
      </c>
      <c r="G31" s="64">
        <v>28.54</v>
      </c>
      <c r="H31" s="64">
        <v>9.1300000000000008</v>
      </c>
      <c r="I31" s="64">
        <v>1.84</v>
      </c>
      <c r="J31" s="64">
        <v>0.39</v>
      </c>
      <c r="K31" s="64">
        <v>349.34</v>
      </c>
      <c r="L31" s="64">
        <v>24.95</v>
      </c>
      <c r="M31" s="64">
        <v>102.65</v>
      </c>
      <c r="N31" s="64">
        <v>26.1</v>
      </c>
      <c r="O31" s="64">
        <v>0</v>
      </c>
      <c r="P31" s="64">
        <v>0.41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461</v>
      </c>
      <c r="B32" s="64">
        <v>1.67</v>
      </c>
      <c r="C32" s="64">
        <v>4.97</v>
      </c>
      <c r="D32" s="64">
        <v>3.94</v>
      </c>
      <c r="E32" s="64">
        <v>5.39</v>
      </c>
      <c r="F32" s="64">
        <v>4.34</v>
      </c>
      <c r="G32" s="64">
        <v>28.54</v>
      </c>
      <c r="H32" s="64">
        <v>9.1300000000000008</v>
      </c>
      <c r="I32" s="64">
        <v>3.04</v>
      </c>
      <c r="J32" s="64">
        <v>0.44</v>
      </c>
      <c r="K32" s="64">
        <v>5.53</v>
      </c>
      <c r="L32" s="64">
        <v>24.93</v>
      </c>
      <c r="M32" s="64">
        <v>102.68</v>
      </c>
      <c r="N32" s="64">
        <v>28.4</v>
      </c>
      <c r="O32" s="64">
        <v>0</v>
      </c>
      <c r="P32" s="64">
        <v>0.4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462</v>
      </c>
      <c r="B33" s="64">
        <v>1.89</v>
      </c>
      <c r="C33" s="64">
        <v>5.09</v>
      </c>
      <c r="D33" s="64">
        <v>4.18</v>
      </c>
      <c r="E33" s="64">
        <v>5.23</v>
      </c>
      <c r="F33" s="64">
        <v>4.38</v>
      </c>
      <c r="G33" s="64">
        <v>29.45</v>
      </c>
      <c r="H33" s="64">
        <v>10.96</v>
      </c>
      <c r="I33" s="64">
        <v>2.76</v>
      </c>
      <c r="J33" s="64">
        <v>0.42</v>
      </c>
      <c r="K33" s="64">
        <v>348.19</v>
      </c>
      <c r="L33" s="64">
        <v>25.01</v>
      </c>
      <c r="M33" s="64">
        <v>102.68</v>
      </c>
      <c r="N33" s="64">
        <v>39.1</v>
      </c>
      <c r="O33" s="64">
        <v>0</v>
      </c>
      <c r="P33" s="64">
        <v>0.41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5" t="s">
        <v>463</v>
      </c>
      <c r="B34" s="64">
        <v>2.2000000000000002</v>
      </c>
      <c r="C34" s="64">
        <v>5.26</v>
      </c>
      <c r="D34" s="64">
        <v>4.51</v>
      </c>
      <c r="E34" s="64">
        <v>5.33</v>
      </c>
      <c r="F34" s="64">
        <v>4.41</v>
      </c>
      <c r="G34" s="64">
        <v>31.82</v>
      </c>
      <c r="H34" s="64">
        <v>14.03</v>
      </c>
      <c r="I34" s="64">
        <v>2.2000000000000002</v>
      </c>
      <c r="J34" s="64">
        <v>0.38</v>
      </c>
      <c r="K34" s="64">
        <v>356.66</v>
      </c>
      <c r="L34" s="64">
        <v>25.25</v>
      </c>
      <c r="M34" s="64">
        <v>102.66</v>
      </c>
      <c r="N34" s="64">
        <v>58.6</v>
      </c>
      <c r="O34" s="64">
        <v>0</v>
      </c>
      <c r="P34" s="64">
        <v>0.4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464</v>
      </c>
      <c r="B35" s="64">
        <v>2.39</v>
      </c>
      <c r="C35" s="64">
        <v>5.46</v>
      </c>
      <c r="D35" s="64">
        <v>4.7699999999999996</v>
      </c>
      <c r="E35" s="64">
        <v>5.51</v>
      </c>
      <c r="F35" s="64">
        <v>4.1100000000000003</v>
      </c>
      <c r="G35" s="64">
        <v>31.82</v>
      </c>
      <c r="H35" s="64">
        <v>14.03</v>
      </c>
      <c r="I35" s="64">
        <v>2.39</v>
      </c>
      <c r="J35" s="64">
        <v>0.52</v>
      </c>
      <c r="K35" s="64">
        <v>352.82</v>
      </c>
      <c r="L35" s="64">
        <v>25.66</v>
      </c>
      <c r="M35" s="64">
        <v>101.76</v>
      </c>
      <c r="N35" s="64">
        <v>91.9</v>
      </c>
      <c r="O35" s="64">
        <v>0</v>
      </c>
      <c r="P35" s="64">
        <v>0.4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465</v>
      </c>
      <c r="B36" s="64">
        <v>2.5</v>
      </c>
      <c r="C36" s="64">
        <v>5.52</v>
      </c>
      <c r="D36" s="64">
        <v>4.8899999999999997</v>
      </c>
      <c r="E36" s="64">
        <v>5.61</v>
      </c>
      <c r="F36" s="64">
        <v>4.09</v>
      </c>
      <c r="G36" s="64">
        <v>31.82</v>
      </c>
      <c r="H36" s="64">
        <v>14.03</v>
      </c>
      <c r="I36" s="64">
        <v>2.3199999999999998</v>
      </c>
      <c r="J36" s="64">
        <v>0.5</v>
      </c>
      <c r="K36" s="64">
        <v>357.33</v>
      </c>
      <c r="L36" s="64">
        <v>26.49</v>
      </c>
      <c r="M36" s="64">
        <v>97.54</v>
      </c>
      <c r="N36" s="64">
        <v>140.9</v>
      </c>
      <c r="O36" s="64">
        <v>0</v>
      </c>
      <c r="P36" s="64">
        <v>0.4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466</v>
      </c>
      <c r="B37" s="64">
        <v>2.5299999999999998</v>
      </c>
      <c r="C37" s="64">
        <v>5.57</v>
      </c>
      <c r="D37" s="64">
        <v>4.9400000000000004</v>
      </c>
      <c r="E37" s="64">
        <v>5.61</v>
      </c>
      <c r="F37" s="64">
        <v>5.33</v>
      </c>
      <c r="G37" s="64">
        <v>32.71</v>
      </c>
      <c r="H37" s="64">
        <v>12.59</v>
      </c>
      <c r="I37" s="64">
        <v>2.12</v>
      </c>
      <c r="J37" s="64">
        <v>0.42</v>
      </c>
      <c r="K37" s="64">
        <v>7.13</v>
      </c>
      <c r="L37" s="64">
        <v>27.32</v>
      </c>
      <c r="M37" s="64">
        <v>93.4</v>
      </c>
      <c r="N37" s="64">
        <v>188</v>
      </c>
      <c r="O37" s="64">
        <v>0</v>
      </c>
      <c r="P37" s="64">
        <v>0.42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467</v>
      </c>
      <c r="B38" s="64">
        <v>2.63</v>
      </c>
      <c r="C38" s="64">
        <v>5.92</v>
      </c>
      <c r="D38" s="64">
        <v>5.2</v>
      </c>
      <c r="E38" s="64">
        <v>5.9</v>
      </c>
      <c r="F38" s="64">
        <v>4.47</v>
      </c>
      <c r="G38" s="64">
        <v>35.049999999999997</v>
      </c>
      <c r="H38" s="64">
        <v>10.18</v>
      </c>
      <c r="I38" s="64">
        <v>1.92</v>
      </c>
      <c r="J38" s="64">
        <v>0.48</v>
      </c>
      <c r="K38" s="64">
        <v>9.75</v>
      </c>
      <c r="L38" s="64">
        <v>28.09</v>
      </c>
      <c r="M38" s="64">
        <v>90.13</v>
      </c>
      <c r="N38" s="64">
        <v>237.4</v>
      </c>
      <c r="O38" s="64">
        <v>0</v>
      </c>
      <c r="P38" s="64">
        <v>0.45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468</v>
      </c>
      <c r="B39" s="64">
        <v>2.5499999999999998</v>
      </c>
      <c r="C39" s="64">
        <v>5.76</v>
      </c>
      <c r="D39" s="64">
        <v>5.05</v>
      </c>
      <c r="E39" s="64">
        <v>5.84</v>
      </c>
      <c r="F39" s="64">
        <v>3.13</v>
      </c>
      <c r="G39" s="64">
        <v>35.049999999999997</v>
      </c>
      <c r="H39" s="64">
        <v>10.18</v>
      </c>
      <c r="I39" s="64">
        <v>2.2599999999999998</v>
      </c>
      <c r="J39" s="64">
        <v>0.42</v>
      </c>
      <c r="K39" s="64">
        <v>8.1300000000000008</v>
      </c>
      <c r="L39" s="64">
        <v>29.06</v>
      </c>
      <c r="M39" s="64">
        <v>86.24</v>
      </c>
      <c r="N39" s="64">
        <v>295</v>
      </c>
      <c r="O39" s="64">
        <v>0</v>
      </c>
      <c r="P39" s="64">
        <v>0.46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469</v>
      </c>
      <c r="B40" s="64">
        <v>2.77</v>
      </c>
      <c r="C40" s="64">
        <v>5.83</v>
      </c>
      <c r="D40" s="64">
        <v>5.26</v>
      </c>
      <c r="E40" s="64">
        <v>5.45</v>
      </c>
      <c r="F40" s="64">
        <v>3.36</v>
      </c>
      <c r="G40" s="64">
        <v>35.049999999999997</v>
      </c>
      <c r="H40" s="64">
        <v>10.18</v>
      </c>
      <c r="I40" s="64">
        <v>2.63</v>
      </c>
      <c r="J40" s="64">
        <v>0.62</v>
      </c>
      <c r="K40" s="64">
        <v>326.69</v>
      </c>
      <c r="L40" s="64">
        <v>30.9</v>
      </c>
      <c r="M40" s="64">
        <v>78.38</v>
      </c>
      <c r="N40" s="64">
        <v>368.1</v>
      </c>
      <c r="O40" s="64">
        <v>0</v>
      </c>
      <c r="P40" s="64">
        <v>0.5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470</v>
      </c>
      <c r="B41" s="64">
        <v>3.49</v>
      </c>
      <c r="C41" s="64">
        <v>6.14</v>
      </c>
      <c r="D41" s="64">
        <v>6</v>
      </c>
      <c r="E41" s="64">
        <v>5.76</v>
      </c>
      <c r="F41" s="64">
        <v>4</v>
      </c>
      <c r="G41" s="64">
        <v>36.119999999999997</v>
      </c>
      <c r="H41" s="64">
        <v>10.02</v>
      </c>
      <c r="I41" s="64">
        <v>2.84</v>
      </c>
      <c r="J41" s="64">
        <v>0.56000000000000005</v>
      </c>
      <c r="K41" s="64">
        <v>347.82</v>
      </c>
      <c r="L41" s="64">
        <v>32.03</v>
      </c>
      <c r="M41" s="64">
        <v>73.92</v>
      </c>
      <c r="N41" s="64">
        <v>427.6</v>
      </c>
      <c r="O41" s="64">
        <v>0</v>
      </c>
      <c r="P41" s="64">
        <v>0.55000000000000004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471</v>
      </c>
      <c r="B42" s="64">
        <v>3.96</v>
      </c>
      <c r="C42" s="64">
        <v>6.75</v>
      </c>
      <c r="D42" s="64">
        <v>6.7</v>
      </c>
      <c r="E42" s="64">
        <v>5.2</v>
      </c>
      <c r="F42" s="64">
        <v>3.39</v>
      </c>
      <c r="G42" s="64">
        <v>38.880000000000003</v>
      </c>
      <c r="H42" s="64">
        <v>9.75</v>
      </c>
      <c r="I42" s="64">
        <v>3.39</v>
      </c>
      <c r="J42" s="64">
        <v>0.54</v>
      </c>
      <c r="K42" s="64">
        <v>333.13</v>
      </c>
      <c r="L42" s="64">
        <v>32.71</v>
      </c>
      <c r="M42" s="64">
        <v>71.510000000000005</v>
      </c>
      <c r="N42" s="64">
        <v>451.4</v>
      </c>
      <c r="O42" s="64">
        <v>0</v>
      </c>
      <c r="P42" s="64">
        <v>0.6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472</v>
      </c>
      <c r="B43" s="64">
        <v>4.38</v>
      </c>
      <c r="C43" s="64">
        <v>7.23</v>
      </c>
      <c r="D43" s="64">
        <v>7.29</v>
      </c>
      <c r="E43" s="64">
        <v>5.61</v>
      </c>
      <c r="F43" s="64">
        <v>3.52</v>
      </c>
      <c r="G43" s="64">
        <v>38.880000000000003</v>
      </c>
      <c r="H43" s="64">
        <v>9.75</v>
      </c>
      <c r="I43" s="64">
        <v>3.56</v>
      </c>
      <c r="J43" s="64">
        <v>0.81</v>
      </c>
      <c r="K43" s="64">
        <v>327.51</v>
      </c>
      <c r="L43" s="64">
        <v>33.51</v>
      </c>
      <c r="M43" s="64">
        <v>68.02</v>
      </c>
      <c r="N43" s="64">
        <v>503.9</v>
      </c>
      <c r="O43" s="64">
        <v>0</v>
      </c>
      <c r="P43" s="64">
        <v>0.65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473</v>
      </c>
      <c r="B44" s="64">
        <v>4.6500000000000004</v>
      </c>
      <c r="C44" s="64">
        <v>8.1300000000000008</v>
      </c>
      <c r="D44" s="64">
        <v>7.97</v>
      </c>
      <c r="E44" s="64">
        <v>6.01</v>
      </c>
      <c r="F44" s="64">
        <v>4.0199999999999996</v>
      </c>
      <c r="G44" s="64">
        <v>38.880000000000003</v>
      </c>
      <c r="H44" s="64">
        <v>9.75</v>
      </c>
      <c r="I44" s="64">
        <v>3.85</v>
      </c>
      <c r="J44" s="64">
        <v>1.18</v>
      </c>
      <c r="K44" s="64">
        <v>325.08999999999997</v>
      </c>
      <c r="L44" s="64">
        <v>33</v>
      </c>
      <c r="M44" s="64">
        <v>69.05</v>
      </c>
      <c r="N44" s="64">
        <v>563.20000000000005</v>
      </c>
      <c r="O44" s="64">
        <v>0</v>
      </c>
      <c r="P44" s="64">
        <v>0.65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5" t="s">
        <v>474</v>
      </c>
      <c r="B45" s="64">
        <v>4.6100000000000003</v>
      </c>
      <c r="C45" s="64">
        <v>8.7799999999999994</v>
      </c>
      <c r="D45" s="64">
        <v>8.2799999999999994</v>
      </c>
      <c r="E45" s="64">
        <v>5.99</v>
      </c>
      <c r="F45" s="64">
        <v>3.55</v>
      </c>
      <c r="G45" s="64">
        <v>40.99</v>
      </c>
      <c r="H45" s="64">
        <v>11.66</v>
      </c>
      <c r="I45" s="64">
        <v>4.01</v>
      </c>
      <c r="J45" s="64">
        <v>1.44</v>
      </c>
      <c r="K45" s="64">
        <v>319.61</v>
      </c>
      <c r="L45" s="64">
        <v>33.36</v>
      </c>
      <c r="M45" s="64">
        <v>65.430000000000007</v>
      </c>
      <c r="N45" s="64">
        <v>624.1</v>
      </c>
      <c r="O45" s="64">
        <v>0</v>
      </c>
      <c r="P45" s="64">
        <v>0.64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475</v>
      </c>
      <c r="B46" s="64">
        <v>4.3</v>
      </c>
      <c r="C46" s="64">
        <v>9.65</v>
      </c>
      <c r="D46" s="64">
        <v>8.49</v>
      </c>
      <c r="E46" s="64">
        <v>5.81</v>
      </c>
      <c r="F46" s="64">
        <v>4.7300000000000004</v>
      </c>
      <c r="G46" s="64">
        <v>46.48</v>
      </c>
      <c r="H46" s="64">
        <v>18.940000000000001</v>
      </c>
      <c r="I46" s="64">
        <v>3.87</v>
      </c>
      <c r="J46" s="64">
        <v>2.23</v>
      </c>
      <c r="K46" s="64">
        <v>326.37</v>
      </c>
      <c r="L46" s="64">
        <v>34.04</v>
      </c>
      <c r="M46" s="64">
        <v>61.39</v>
      </c>
      <c r="N46" s="64">
        <v>689.3</v>
      </c>
      <c r="O46" s="64">
        <v>0</v>
      </c>
      <c r="P46" s="64">
        <v>0.64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476</v>
      </c>
      <c r="B47" s="64">
        <v>3.84</v>
      </c>
      <c r="C47" s="64">
        <v>10.24</v>
      </c>
      <c r="D47" s="64">
        <v>8.43</v>
      </c>
      <c r="E47" s="64">
        <v>6.16</v>
      </c>
      <c r="F47" s="64">
        <v>4.53</v>
      </c>
      <c r="G47" s="64">
        <v>46.48</v>
      </c>
      <c r="H47" s="64">
        <v>18.940000000000001</v>
      </c>
      <c r="I47" s="64">
        <v>3.7</v>
      </c>
      <c r="J47" s="64">
        <v>2.21</v>
      </c>
      <c r="K47" s="64">
        <v>324.12</v>
      </c>
      <c r="L47" s="64">
        <v>34.880000000000003</v>
      </c>
      <c r="M47" s="64">
        <v>58.19</v>
      </c>
      <c r="N47" s="64">
        <v>739.1</v>
      </c>
      <c r="O47" s="64">
        <v>0</v>
      </c>
      <c r="P47" s="64">
        <v>0.61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477</v>
      </c>
      <c r="B48" s="64">
        <v>3.33</v>
      </c>
      <c r="C48" s="64">
        <v>10.84</v>
      </c>
      <c r="D48" s="64">
        <v>8.33</v>
      </c>
      <c r="E48" s="64">
        <v>6.06</v>
      </c>
      <c r="F48" s="64">
        <v>5.17</v>
      </c>
      <c r="G48" s="64">
        <v>46.48</v>
      </c>
      <c r="H48" s="64">
        <v>18.940000000000001</v>
      </c>
      <c r="I48" s="64">
        <v>3.45</v>
      </c>
      <c r="J48" s="64">
        <v>2.21</v>
      </c>
      <c r="K48" s="64">
        <v>328.43</v>
      </c>
      <c r="L48" s="64">
        <v>36.43</v>
      </c>
      <c r="M48" s="64">
        <v>53.43</v>
      </c>
      <c r="N48" s="64">
        <v>775.1</v>
      </c>
      <c r="O48" s="64">
        <v>0</v>
      </c>
      <c r="P48" s="64">
        <v>0.6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5" t="s">
        <v>478</v>
      </c>
      <c r="B49" s="64">
        <v>2.96</v>
      </c>
      <c r="C49" s="64">
        <v>11.36</v>
      </c>
      <c r="D49" s="64">
        <v>8.31</v>
      </c>
      <c r="E49" s="64">
        <v>6.07</v>
      </c>
      <c r="F49" s="64">
        <v>5.16</v>
      </c>
      <c r="G49" s="64">
        <v>46.39</v>
      </c>
      <c r="H49" s="64">
        <v>18.28</v>
      </c>
      <c r="I49" s="64">
        <v>3.19</v>
      </c>
      <c r="J49" s="64">
        <v>2.2000000000000002</v>
      </c>
      <c r="K49" s="64">
        <v>326.8</v>
      </c>
      <c r="L49" s="64">
        <v>37</v>
      </c>
      <c r="M49" s="64">
        <v>50.81</v>
      </c>
      <c r="N49" s="64">
        <v>785.8</v>
      </c>
      <c r="O49" s="64">
        <v>0</v>
      </c>
      <c r="P49" s="64">
        <v>0.6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479</v>
      </c>
      <c r="B50" s="64">
        <v>2.65</v>
      </c>
      <c r="C50" s="64">
        <v>11.76</v>
      </c>
      <c r="D50" s="64">
        <v>8.27</v>
      </c>
      <c r="E50" s="64">
        <v>5.76</v>
      </c>
      <c r="F50" s="64">
        <v>5.38</v>
      </c>
      <c r="G50" s="64">
        <v>46.16</v>
      </c>
      <c r="H50" s="64">
        <v>17.170000000000002</v>
      </c>
      <c r="I50" s="64">
        <v>2.82</v>
      </c>
      <c r="J50" s="64">
        <v>2.39</v>
      </c>
      <c r="K50" s="64">
        <v>328.06</v>
      </c>
      <c r="L50" s="64">
        <v>36.44</v>
      </c>
      <c r="M50" s="64">
        <v>52.04</v>
      </c>
      <c r="N50" s="64">
        <v>814.2</v>
      </c>
      <c r="O50" s="64">
        <v>0</v>
      </c>
      <c r="P50" s="64">
        <v>0.59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480</v>
      </c>
      <c r="B51" s="64">
        <v>2.33</v>
      </c>
      <c r="C51" s="64">
        <v>12.18</v>
      </c>
      <c r="D51" s="64">
        <v>8.23</v>
      </c>
      <c r="E51" s="64">
        <v>5.68</v>
      </c>
      <c r="F51" s="64">
        <v>5.25</v>
      </c>
      <c r="G51" s="64">
        <v>46.16</v>
      </c>
      <c r="H51" s="64">
        <v>17.170000000000002</v>
      </c>
      <c r="I51" s="64">
        <v>2.63</v>
      </c>
      <c r="J51" s="64">
        <v>2.0499999999999998</v>
      </c>
      <c r="K51" s="64">
        <v>322.94</v>
      </c>
      <c r="L51" s="64">
        <v>36.630000000000003</v>
      </c>
      <c r="M51" s="64">
        <v>50.54</v>
      </c>
      <c r="N51" s="64">
        <v>816.7</v>
      </c>
      <c r="O51" s="64">
        <v>0</v>
      </c>
      <c r="P51" s="64">
        <v>0.59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5" t="s">
        <v>481</v>
      </c>
      <c r="B52" s="64">
        <v>1.98</v>
      </c>
      <c r="C52" s="64">
        <v>12.33</v>
      </c>
      <c r="D52" s="64">
        <v>8.0299999999999994</v>
      </c>
      <c r="E52" s="64">
        <v>5.61</v>
      </c>
      <c r="F52" s="64">
        <v>5.34</v>
      </c>
      <c r="G52" s="64">
        <v>46.16</v>
      </c>
      <c r="H52" s="64">
        <v>17.170000000000002</v>
      </c>
      <c r="I52" s="64">
        <v>2.57</v>
      </c>
      <c r="J52" s="64">
        <v>2.0099999999999998</v>
      </c>
      <c r="K52" s="64">
        <v>323.43</v>
      </c>
      <c r="L52" s="64">
        <v>36.81</v>
      </c>
      <c r="M52" s="64">
        <v>50.44</v>
      </c>
      <c r="N52" s="64">
        <v>870</v>
      </c>
      <c r="O52" s="64">
        <v>0</v>
      </c>
      <c r="P52" s="64">
        <v>0.59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482</v>
      </c>
      <c r="B53" s="64">
        <v>1.73</v>
      </c>
      <c r="C53" s="64">
        <v>12.29</v>
      </c>
      <c r="D53" s="64">
        <v>7.81</v>
      </c>
      <c r="E53" s="64">
        <v>5.54</v>
      </c>
      <c r="F53" s="64">
        <v>5.46</v>
      </c>
      <c r="G53" s="64">
        <v>47.68</v>
      </c>
      <c r="H53" s="64">
        <v>15.18</v>
      </c>
      <c r="I53" s="64">
        <v>2.5299999999999998</v>
      </c>
      <c r="J53" s="64">
        <v>2.2999999999999998</v>
      </c>
      <c r="K53" s="64">
        <v>327.27999999999997</v>
      </c>
      <c r="L53" s="64">
        <v>37.08</v>
      </c>
      <c r="M53" s="64">
        <v>50.19</v>
      </c>
      <c r="N53" s="64">
        <v>879.1</v>
      </c>
      <c r="O53" s="64">
        <v>0</v>
      </c>
      <c r="P53" s="64">
        <v>0.57999999999999996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483</v>
      </c>
      <c r="B54" s="64">
        <v>1.6</v>
      </c>
      <c r="C54" s="64">
        <v>12.33</v>
      </c>
      <c r="D54" s="64">
        <v>7.72</v>
      </c>
      <c r="E54" s="64">
        <v>5.96</v>
      </c>
      <c r="F54" s="64">
        <v>5.8</v>
      </c>
      <c r="G54" s="64">
        <v>51.63</v>
      </c>
      <c r="H54" s="64">
        <v>11.85</v>
      </c>
      <c r="I54" s="64">
        <v>2.37</v>
      </c>
      <c r="J54" s="64">
        <v>2.95</v>
      </c>
      <c r="K54" s="64">
        <v>334.44</v>
      </c>
      <c r="L54" s="64">
        <v>36.69</v>
      </c>
      <c r="M54" s="64">
        <v>49.57</v>
      </c>
      <c r="N54" s="64">
        <v>905.6</v>
      </c>
      <c r="O54" s="64">
        <v>0</v>
      </c>
      <c r="P54" s="64">
        <v>0.57999999999999996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484</v>
      </c>
      <c r="B55" s="64">
        <v>1.52</v>
      </c>
      <c r="C55" s="64">
        <v>12.05</v>
      </c>
      <c r="D55" s="64">
        <v>7.51</v>
      </c>
      <c r="E55" s="64">
        <v>5.65</v>
      </c>
      <c r="F55" s="64">
        <v>5.45</v>
      </c>
      <c r="G55" s="64">
        <v>51.63</v>
      </c>
      <c r="H55" s="64">
        <v>11.85</v>
      </c>
      <c r="I55" s="64">
        <v>2.27</v>
      </c>
      <c r="J55" s="64">
        <v>2.99</v>
      </c>
      <c r="K55" s="64">
        <v>328.04</v>
      </c>
      <c r="L55" s="64">
        <v>35.86</v>
      </c>
      <c r="M55" s="64">
        <v>49.49</v>
      </c>
      <c r="N55" s="64">
        <v>904.3</v>
      </c>
      <c r="O55" s="64">
        <v>0</v>
      </c>
      <c r="P55" s="64">
        <v>0.56000000000000005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485</v>
      </c>
      <c r="B56" s="64">
        <v>1.18</v>
      </c>
      <c r="C56" s="64">
        <v>11.41</v>
      </c>
      <c r="D56" s="64">
        <v>6.91</v>
      </c>
      <c r="E56" s="64">
        <v>5.77</v>
      </c>
      <c r="F56" s="64">
        <v>6.31</v>
      </c>
      <c r="G56" s="64">
        <v>51.63</v>
      </c>
      <c r="H56" s="64">
        <v>11.85</v>
      </c>
      <c r="I56" s="64">
        <v>2.2000000000000002</v>
      </c>
      <c r="J56" s="64">
        <v>2.2000000000000002</v>
      </c>
      <c r="K56" s="64">
        <v>318.31</v>
      </c>
      <c r="L56" s="64">
        <v>36.049999999999997</v>
      </c>
      <c r="M56" s="64">
        <v>47.5</v>
      </c>
      <c r="N56" s="64">
        <v>547.4</v>
      </c>
      <c r="O56" s="64">
        <v>0</v>
      </c>
      <c r="P56" s="64">
        <v>0.54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486</v>
      </c>
      <c r="B57" s="64">
        <v>1.05</v>
      </c>
      <c r="C57" s="64">
        <v>11.52</v>
      </c>
      <c r="D57" s="64">
        <v>6.86</v>
      </c>
      <c r="E57" s="64">
        <v>5.81</v>
      </c>
      <c r="F57" s="64">
        <v>5.64</v>
      </c>
      <c r="G57" s="64">
        <v>50.86</v>
      </c>
      <c r="H57" s="64">
        <v>13.13</v>
      </c>
      <c r="I57" s="64">
        <v>2.0699999999999998</v>
      </c>
      <c r="J57" s="64">
        <v>3.19</v>
      </c>
      <c r="K57" s="64">
        <v>331.43</v>
      </c>
      <c r="L57" s="64">
        <v>35.75</v>
      </c>
      <c r="M57" s="64">
        <v>45.62</v>
      </c>
      <c r="N57" s="64">
        <v>755.4</v>
      </c>
      <c r="O57" s="64">
        <v>0</v>
      </c>
      <c r="P57" s="64">
        <v>0.53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487</v>
      </c>
      <c r="B58" s="64">
        <v>1.02</v>
      </c>
      <c r="C58" s="64">
        <v>11.19</v>
      </c>
      <c r="D58" s="64">
        <v>6.67</v>
      </c>
      <c r="E58" s="64">
        <v>6.35</v>
      </c>
      <c r="F58" s="64">
        <v>5.36</v>
      </c>
      <c r="G58" s="64">
        <v>48.87</v>
      </c>
      <c r="H58" s="64">
        <v>15.3</v>
      </c>
      <c r="I58" s="64">
        <v>1.92</v>
      </c>
      <c r="J58" s="64">
        <v>2.62</v>
      </c>
      <c r="K58" s="64">
        <v>329.54</v>
      </c>
      <c r="L58" s="64">
        <v>35.68</v>
      </c>
      <c r="M58" s="64">
        <v>44.97</v>
      </c>
      <c r="N58" s="64">
        <v>559.9</v>
      </c>
      <c r="O58" s="64">
        <v>0</v>
      </c>
      <c r="P58" s="64">
        <v>0.51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488</v>
      </c>
      <c r="B59" s="64">
        <v>1.03</v>
      </c>
      <c r="C59" s="64">
        <v>11.5</v>
      </c>
      <c r="D59" s="64">
        <v>6.83</v>
      </c>
      <c r="E59" s="64">
        <v>5.51</v>
      </c>
      <c r="F59" s="64">
        <v>6.32</v>
      </c>
      <c r="G59" s="64">
        <v>48.87</v>
      </c>
      <c r="H59" s="64">
        <v>15.3</v>
      </c>
      <c r="I59" s="64">
        <v>1.79</v>
      </c>
      <c r="J59" s="64">
        <v>2.65</v>
      </c>
      <c r="K59" s="64">
        <v>331.8</v>
      </c>
      <c r="L59" s="64">
        <v>35.799999999999997</v>
      </c>
      <c r="M59" s="64">
        <v>43.84</v>
      </c>
      <c r="N59" s="64">
        <v>533.1</v>
      </c>
      <c r="O59" s="64">
        <v>0</v>
      </c>
      <c r="P59" s="64">
        <v>0.51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489</v>
      </c>
      <c r="B60" s="64">
        <v>1</v>
      </c>
      <c r="C60" s="64">
        <v>11.58</v>
      </c>
      <c r="D60" s="64">
        <v>6.85</v>
      </c>
      <c r="E60" s="64">
        <v>5.36</v>
      </c>
      <c r="F60" s="64">
        <v>4.93</v>
      </c>
      <c r="G60" s="64">
        <v>48.87</v>
      </c>
      <c r="H60" s="64">
        <v>15.3</v>
      </c>
      <c r="I60" s="64">
        <v>1.69</v>
      </c>
      <c r="J60" s="64">
        <v>1.86</v>
      </c>
      <c r="K60" s="64">
        <v>330.85</v>
      </c>
      <c r="L60" s="64">
        <v>35.729999999999997</v>
      </c>
      <c r="M60" s="64">
        <v>43.45</v>
      </c>
      <c r="N60" s="64">
        <v>482</v>
      </c>
      <c r="O60" s="64">
        <v>0</v>
      </c>
      <c r="P60" s="64">
        <v>0.49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490</v>
      </c>
      <c r="B61" s="64">
        <v>0.75</v>
      </c>
      <c r="C61" s="64">
        <v>10.85</v>
      </c>
      <c r="D61" s="64">
        <v>6.27</v>
      </c>
      <c r="E61" s="64">
        <v>5.52</v>
      </c>
      <c r="F61" s="64">
        <v>5.35</v>
      </c>
      <c r="G61" s="64">
        <v>47.84</v>
      </c>
      <c r="H61" s="64">
        <v>15.82</v>
      </c>
      <c r="I61" s="64">
        <v>1.61</v>
      </c>
      <c r="J61" s="64">
        <v>2.36</v>
      </c>
      <c r="K61" s="64">
        <v>331.68</v>
      </c>
      <c r="L61" s="64">
        <v>35.47</v>
      </c>
      <c r="M61" s="64">
        <v>44.96</v>
      </c>
      <c r="N61" s="64">
        <v>292.39999999999998</v>
      </c>
      <c r="O61" s="64">
        <v>0</v>
      </c>
      <c r="P61" s="64">
        <v>0.45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15" t="s">
        <v>491</v>
      </c>
      <c r="B62" s="64">
        <v>0.7</v>
      </c>
      <c r="C62" s="64">
        <v>10.93</v>
      </c>
      <c r="D62" s="64">
        <v>6.27</v>
      </c>
      <c r="E62" s="64">
        <v>6.05</v>
      </c>
      <c r="F62" s="64">
        <v>6.16</v>
      </c>
      <c r="G62" s="64">
        <v>45.19</v>
      </c>
      <c r="H62" s="64">
        <v>17.82</v>
      </c>
      <c r="I62" s="64">
        <v>1.53</v>
      </c>
      <c r="J62" s="64">
        <v>2.65</v>
      </c>
      <c r="K62" s="64">
        <v>329.18</v>
      </c>
      <c r="L62" s="64">
        <v>34.97</v>
      </c>
      <c r="M62" s="64">
        <v>44.77</v>
      </c>
      <c r="N62" s="64">
        <v>276.2</v>
      </c>
      <c r="O62" s="64">
        <v>0</v>
      </c>
      <c r="P62" s="64">
        <v>0.48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5" t="s">
        <v>492</v>
      </c>
      <c r="B63" s="64">
        <v>0.75</v>
      </c>
      <c r="C63" s="64">
        <v>10.87</v>
      </c>
      <c r="D63" s="64">
        <v>6.28</v>
      </c>
      <c r="E63" s="64">
        <v>6.25</v>
      </c>
      <c r="F63" s="64">
        <v>5.19</v>
      </c>
      <c r="G63" s="64">
        <v>45.19</v>
      </c>
      <c r="H63" s="64">
        <v>17.82</v>
      </c>
      <c r="I63" s="64">
        <v>1.45</v>
      </c>
      <c r="J63" s="64">
        <v>2.5</v>
      </c>
      <c r="K63" s="64">
        <v>333.54</v>
      </c>
      <c r="L63" s="64">
        <v>34.549999999999997</v>
      </c>
      <c r="M63" s="64">
        <v>45.36</v>
      </c>
      <c r="N63" s="64">
        <v>178.1</v>
      </c>
      <c r="O63" s="64">
        <v>0</v>
      </c>
      <c r="P63" s="64">
        <v>0.47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493</v>
      </c>
      <c r="B64" s="64">
        <v>0.82</v>
      </c>
      <c r="C64" s="64">
        <v>10.61</v>
      </c>
      <c r="D64" s="64">
        <v>6.2</v>
      </c>
      <c r="E64" s="64">
        <v>5.49</v>
      </c>
      <c r="F64" s="64">
        <v>5.85</v>
      </c>
      <c r="G64" s="64">
        <v>45.19</v>
      </c>
      <c r="H64" s="64">
        <v>17.82</v>
      </c>
      <c r="I64" s="64">
        <v>1.41</v>
      </c>
      <c r="J64" s="64">
        <v>2.23</v>
      </c>
      <c r="K64" s="64">
        <v>325.12</v>
      </c>
      <c r="L64" s="64">
        <v>34.409999999999997</v>
      </c>
      <c r="M64" s="64">
        <v>47.88</v>
      </c>
      <c r="N64" s="64">
        <v>166.9</v>
      </c>
      <c r="O64" s="64">
        <v>0</v>
      </c>
      <c r="P64" s="64">
        <v>0.47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494</v>
      </c>
      <c r="B65" s="64">
        <v>0.88</v>
      </c>
      <c r="C65" s="64">
        <v>10.67</v>
      </c>
      <c r="D65" s="64">
        <v>6.28</v>
      </c>
      <c r="E65" s="64">
        <v>5.12</v>
      </c>
      <c r="F65" s="64">
        <v>5.88</v>
      </c>
      <c r="G65" s="64">
        <v>44.81</v>
      </c>
      <c r="H65" s="64">
        <v>16.09</v>
      </c>
      <c r="I65" s="64">
        <v>1.34</v>
      </c>
      <c r="J65" s="64">
        <v>2.15</v>
      </c>
      <c r="K65" s="64">
        <v>323.86</v>
      </c>
      <c r="L65" s="64">
        <v>34.090000000000003</v>
      </c>
      <c r="M65" s="64">
        <v>46.47</v>
      </c>
      <c r="N65" s="64">
        <v>169</v>
      </c>
      <c r="O65" s="64">
        <v>0</v>
      </c>
      <c r="P65" s="64">
        <v>0.46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495</v>
      </c>
      <c r="B66" s="64">
        <v>0.86</v>
      </c>
      <c r="C66" s="64">
        <v>10.84</v>
      </c>
      <c r="D66" s="64">
        <v>6.35</v>
      </c>
      <c r="E66" s="64">
        <v>5.55</v>
      </c>
      <c r="F66" s="64">
        <v>5.85</v>
      </c>
      <c r="G66" s="64">
        <v>43.84</v>
      </c>
      <c r="H66" s="64">
        <v>12.47</v>
      </c>
      <c r="I66" s="64">
        <v>1.29</v>
      </c>
      <c r="J66" s="64">
        <v>1.91</v>
      </c>
      <c r="K66" s="64">
        <v>326.85000000000002</v>
      </c>
      <c r="L66" s="64">
        <v>33.9</v>
      </c>
      <c r="M66" s="64">
        <v>48.15</v>
      </c>
      <c r="N66" s="64">
        <v>129.19999999999999</v>
      </c>
      <c r="O66" s="64">
        <v>0</v>
      </c>
      <c r="P66" s="64">
        <v>0.45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496</v>
      </c>
      <c r="B67" s="64">
        <v>1.25</v>
      </c>
      <c r="C67" s="64">
        <v>11.14</v>
      </c>
      <c r="D67" s="64">
        <v>6.83</v>
      </c>
      <c r="E67" s="64">
        <v>5.66</v>
      </c>
      <c r="F67" s="64">
        <v>5.55</v>
      </c>
      <c r="G67" s="64">
        <v>43.84</v>
      </c>
      <c r="H67" s="64">
        <v>12.47</v>
      </c>
      <c r="I67" s="64">
        <v>1.23</v>
      </c>
      <c r="J67" s="64">
        <v>2.2200000000000002</v>
      </c>
      <c r="K67" s="64">
        <v>331.47</v>
      </c>
      <c r="L67" s="64">
        <v>33.61</v>
      </c>
      <c r="M67" s="64">
        <v>49.13</v>
      </c>
      <c r="N67" s="64">
        <v>119.8</v>
      </c>
      <c r="O67" s="64">
        <v>0</v>
      </c>
      <c r="P67" s="64">
        <v>0.46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497</v>
      </c>
      <c r="B68" s="64">
        <v>1.96</v>
      </c>
      <c r="C68" s="64">
        <v>11.71</v>
      </c>
      <c r="D68" s="64">
        <v>7.69</v>
      </c>
      <c r="E68" s="64">
        <v>5.38</v>
      </c>
      <c r="F68" s="64">
        <v>5.58</v>
      </c>
      <c r="G68" s="64">
        <v>43.84</v>
      </c>
      <c r="H68" s="64">
        <v>12.47</v>
      </c>
      <c r="I68" s="64">
        <v>1.17</v>
      </c>
      <c r="J68" s="64">
        <v>2.4700000000000002</v>
      </c>
      <c r="K68" s="64">
        <v>329.47</v>
      </c>
      <c r="L68" s="64">
        <v>32.96</v>
      </c>
      <c r="M68" s="64">
        <v>50.03</v>
      </c>
      <c r="N68" s="64">
        <v>111.1</v>
      </c>
      <c r="O68" s="64">
        <v>0</v>
      </c>
      <c r="P68" s="64">
        <v>0.46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498</v>
      </c>
      <c r="B69" s="64">
        <v>1.68</v>
      </c>
      <c r="C69" s="64">
        <v>11.79</v>
      </c>
      <c r="D69" s="64">
        <v>7.51</v>
      </c>
      <c r="E69" s="64">
        <v>5.74</v>
      </c>
      <c r="F69" s="64">
        <v>5.63</v>
      </c>
      <c r="G69" s="64">
        <v>42.88</v>
      </c>
      <c r="H69" s="64">
        <v>11.08</v>
      </c>
      <c r="I69" s="64">
        <v>1.1599999999999999</v>
      </c>
      <c r="J69" s="64">
        <v>2.44</v>
      </c>
      <c r="K69" s="64">
        <v>330.31</v>
      </c>
      <c r="L69" s="64">
        <v>32.729999999999997</v>
      </c>
      <c r="M69" s="64">
        <v>50.85</v>
      </c>
      <c r="N69" s="64">
        <v>104.3</v>
      </c>
      <c r="O69" s="64">
        <v>0</v>
      </c>
      <c r="P69" s="64">
        <v>0.46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499</v>
      </c>
      <c r="B70" s="64">
        <v>1.55</v>
      </c>
      <c r="C70" s="64">
        <v>11.81</v>
      </c>
      <c r="D70" s="64">
        <v>7.41</v>
      </c>
      <c r="E70" s="64">
        <v>5.24</v>
      </c>
      <c r="F70" s="64">
        <v>5.55</v>
      </c>
      <c r="G70" s="64">
        <v>40.4</v>
      </c>
      <c r="H70" s="64">
        <v>8.73</v>
      </c>
      <c r="I70" s="64">
        <v>1.1499999999999999</v>
      </c>
      <c r="J70" s="64">
        <v>2.2799999999999998</v>
      </c>
      <c r="K70" s="64">
        <v>330.73</v>
      </c>
      <c r="L70" s="64">
        <v>32.369999999999997</v>
      </c>
      <c r="M70" s="64">
        <v>52.92</v>
      </c>
      <c r="N70" s="64">
        <v>97.7</v>
      </c>
      <c r="O70" s="64">
        <v>0</v>
      </c>
      <c r="P70" s="64">
        <v>0.44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5" t="s">
        <v>500</v>
      </c>
      <c r="B71" s="64">
        <v>1.75</v>
      </c>
      <c r="C71" s="64">
        <v>12.25</v>
      </c>
      <c r="D71" s="64">
        <v>7.81</v>
      </c>
      <c r="E71" s="64">
        <v>5.65</v>
      </c>
      <c r="F71" s="64">
        <v>5.64</v>
      </c>
      <c r="G71" s="64">
        <v>40.4</v>
      </c>
      <c r="H71" s="64">
        <v>8.73</v>
      </c>
      <c r="I71" s="64">
        <v>1.1299999999999999</v>
      </c>
      <c r="J71" s="64">
        <v>1.95</v>
      </c>
      <c r="K71" s="64">
        <v>327.86</v>
      </c>
      <c r="L71" s="64">
        <v>32.19</v>
      </c>
      <c r="M71" s="64">
        <v>54.23</v>
      </c>
      <c r="N71" s="64">
        <v>91.2</v>
      </c>
      <c r="O71" s="64">
        <v>0</v>
      </c>
      <c r="P71" s="64">
        <v>0.45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501</v>
      </c>
      <c r="B72" s="64">
        <v>1.87</v>
      </c>
      <c r="C72" s="64">
        <v>11.74</v>
      </c>
      <c r="D72" s="64">
        <v>7.63</v>
      </c>
      <c r="E72" s="64">
        <v>5.29</v>
      </c>
      <c r="F72" s="64">
        <v>4.8499999999999996</v>
      </c>
      <c r="G72" s="64">
        <v>40.4</v>
      </c>
      <c r="H72" s="64">
        <v>8.73</v>
      </c>
      <c r="I72" s="64">
        <v>1.1399999999999999</v>
      </c>
      <c r="J72" s="64">
        <v>2.37</v>
      </c>
      <c r="K72" s="64">
        <v>325.97000000000003</v>
      </c>
      <c r="L72" s="64">
        <v>32.020000000000003</v>
      </c>
      <c r="M72" s="64">
        <v>56</v>
      </c>
      <c r="N72" s="64">
        <v>85.2</v>
      </c>
      <c r="O72" s="64">
        <v>0</v>
      </c>
      <c r="P72" s="64">
        <v>0.45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5" t="s">
        <v>502</v>
      </c>
      <c r="B73" s="64">
        <v>1.62</v>
      </c>
      <c r="C73" s="64">
        <v>11.55</v>
      </c>
      <c r="D73" s="64">
        <v>7.34</v>
      </c>
      <c r="E73" s="64">
        <v>5.16</v>
      </c>
      <c r="F73" s="64">
        <v>5.27</v>
      </c>
      <c r="G73" s="64">
        <v>41.86</v>
      </c>
      <c r="H73" s="64">
        <v>7.78</v>
      </c>
      <c r="I73" s="64">
        <v>1.1299999999999999</v>
      </c>
      <c r="J73" s="64">
        <v>2.16</v>
      </c>
      <c r="K73" s="64">
        <v>328.38</v>
      </c>
      <c r="L73" s="64">
        <v>31.73</v>
      </c>
      <c r="M73" s="64">
        <v>58.01</v>
      </c>
      <c r="N73" s="64">
        <v>78.900000000000006</v>
      </c>
      <c r="O73" s="64">
        <v>0</v>
      </c>
      <c r="P73" s="64">
        <v>0.46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503</v>
      </c>
      <c r="B74" s="64">
        <v>1.49</v>
      </c>
      <c r="C74" s="64">
        <v>11</v>
      </c>
      <c r="D74" s="64">
        <v>6.94</v>
      </c>
      <c r="E74" s="64">
        <v>5.17</v>
      </c>
      <c r="F74" s="64">
        <v>4.82</v>
      </c>
      <c r="G74" s="64">
        <v>45.67</v>
      </c>
      <c r="H74" s="64">
        <v>6.11</v>
      </c>
      <c r="I74" s="64">
        <v>1.1200000000000001</v>
      </c>
      <c r="J74" s="64">
        <v>1.98</v>
      </c>
      <c r="K74" s="64">
        <v>326.33999999999997</v>
      </c>
      <c r="L74" s="64">
        <v>31.67</v>
      </c>
      <c r="M74" s="64">
        <v>57.84</v>
      </c>
      <c r="N74" s="64">
        <v>71.7</v>
      </c>
      <c r="O74" s="64">
        <v>0</v>
      </c>
      <c r="P74" s="64">
        <v>0.45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504</v>
      </c>
      <c r="B75" s="64">
        <v>1.46</v>
      </c>
      <c r="C75" s="64">
        <v>11.07</v>
      </c>
      <c r="D75" s="64">
        <v>6.95</v>
      </c>
      <c r="E75" s="64">
        <v>4.5199999999999996</v>
      </c>
      <c r="F75" s="64">
        <v>5.51</v>
      </c>
      <c r="G75" s="64">
        <v>45.67</v>
      </c>
      <c r="H75" s="64">
        <v>6.11</v>
      </c>
      <c r="I75" s="64">
        <v>1.0900000000000001</v>
      </c>
      <c r="J75" s="64">
        <v>1.57</v>
      </c>
      <c r="K75" s="64">
        <v>326.27</v>
      </c>
      <c r="L75" s="64">
        <v>31.38</v>
      </c>
      <c r="M75" s="64">
        <v>57.88</v>
      </c>
      <c r="N75" s="64">
        <v>64.099999999999994</v>
      </c>
      <c r="O75" s="64">
        <v>0</v>
      </c>
      <c r="P75" s="64">
        <v>0.46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5" t="s">
        <v>505</v>
      </c>
      <c r="B76" s="64">
        <v>1.51</v>
      </c>
      <c r="C76" s="64">
        <v>11.02</v>
      </c>
      <c r="D76" s="64">
        <v>6.97</v>
      </c>
      <c r="E76" s="64">
        <v>4.87</v>
      </c>
      <c r="F76" s="64">
        <v>4.34</v>
      </c>
      <c r="G76" s="64">
        <v>45.67</v>
      </c>
      <c r="H76" s="64">
        <v>6.11</v>
      </c>
      <c r="I76" s="64">
        <v>1.08</v>
      </c>
      <c r="J76" s="64">
        <v>1.79</v>
      </c>
      <c r="K76" s="64">
        <v>332.54</v>
      </c>
      <c r="L76" s="64">
        <v>31.25</v>
      </c>
      <c r="M76" s="64">
        <v>59.48</v>
      </c>
      <c r="N76" s="64">
        <v>56.8</v>
      </c>
      <c r="O76" s="64">
        <v>0</v>
      </c>
      <c r="P76" s="64">
        <v>0.48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506</v>
      </c>
      <c r="B77" s="64">
        <v>1.73</v>
      </c>
      <c r="C77" s="64">
        <v>10.66</v>
      </c>
      <c r="D77" s="64">
        <v>6.96</v>
      </c>
      <c r="E77" s="64">
        <v>4.8600000000000003</v>
      </c>
      <c r="F77" s="64">
        <v>4.28</v>
      </c>
      <c r="G77" s="64">
        <v>45.15</v>
      </c>
      <c r="H77" s="64">
        <v>5.76</v>
      </c>
      <c r="I77" s="64">
        <v>1.0900000000000001</v>
      </c>
      <c r="J77" s="64">
        <v>1.67</v>
      </c>
      <c r="K77" s="64">
        <v>329.44</v>
      </c>
      <c r="L77" s="64">
        <v>31.03</v>
      </c>
      <c r="M77" s="64">
        <v>60.83</v>
      </c>
      <c r="N77" s="64">
        <v>48.5</v>
      </c>
      <c r="O77" s="64">
        <v>0</v>
      </c>
      <c r="P77" s="64">
        <v>0.53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507</v>
      </c>
      <c r="B78" s="64">
        <v>2.04</v>
      </c>
      <c r="C78" s="64">
        <v>10.97</v>
      </c>
      <c r="D78" s="64">
        <v>7.37</v>
      </c>
      <c r="E78" s="64">
        <v>5.25</v>
      </c>
      <c r="F78" s="64">
        <v>4.82</v>
      </c>
      <c r="G78" s="64">
        <v>43.77</v>
      </c>
      <c r="H78" s="64">
        <v>4.28</v>
      </c>
      <c r="I78" s="64">
        <v>1.1499999999999999</v>
      </c>
      <c r="J78" s="64">
        <v>2.0499999999999998</v>
      </c>
      <c r="K78" s="64">
        <v>328.15</v>
      </c>
      <c r="L78" s="64">
        <v>30.57</v>
      </c>
      <c r="M78" s="64">
        <v>61.62</v>
      </c>
      <c r="N78" s="64">
        <v>40.200000000000003</v>
      </c>
      <c r="O78" s="64">
        <v>0</v>
      </c>
      <c r="P78" s="64">
        <v>0.49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508</v>
      </c>
      <c r="B79" s="64">
        <v>2.19</v>
      </c>
      <c r="C79" s="64">
        <v>10.81</v>
      </c>
      <c r="D79" s="64">
        <v>7.41</v>
      </c>
      <c r="E79" s="64">
        <v>5.03</v>
      </c>
      <c r="F79" s="64">
        <v>4.07</v>
      </c>
      <c r="G79" s="64">
        <v>43.77</v>
      </c>
      <c r="H79" s="64">
        <v>4.28</v>
      </c>
      <c r="I79" s="64">
        <v>1.35</v>
      </c>
      <c r="J79" s="64">
        <v>1.6</v>
      </c>
      <c r="K79" s="64">
        <v>328.66</v>
      </c>
      <c r="L79" s="64">
        <v>30.03</v>
      </c>
      <c r="M79" s="64">
        <v>67.180000000000007</v>
      </c>
      <c r="N79" s="64">
        <v>31.2</v>
      </c>
      <c r="O79" s="64">
        <v>0</v>
      </c>
      <c r="P79" s="64">
        <v>0.51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5" t="s">
        <v>509</v>
      </c>
      <c r="B80" s="64">
        <v>2.5</v>
      </c>
      <c r="C80" s="64">
        <v>10.7</v>
      </c>
      <c r="D80" s="64">
        <v>7.6</v>
      </c>
      <c r="E80" s="64">
        <v>4.79</v>
      </c>
      <c r="F80" s="64">
        <v>4.46</v>
      </c>
      <c r="G80" s="64">
        <v>43.77</v>
      </c>
      <c r="H80" s="64">
        <v>4.28</v>
      </c>
      <c r="I80" s="64">
        <v>1.28</v>
      </c>
      <c r="J80" s="64">
        <v>1.5</v>
      </c>
      <c r="K80" s="64">
        <v>332.82</v>
      </c>
      <c r="L80" s="64">
        <v>28.97</v>
      </c>
      <c r="M80" s="64">
        <v>75.52</v>
      </c>
      <c r="N80" s="64">
        <v>27.2</v>
      </c>
      <c r="O80" s="64">
        <v>0</v>
      </c>
      <c r="P80" s="64">
        <v>0.64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510</v>
      </c>
      <c r="B81" s="64">
        <v>3.13</v>
      </c>
      <c r="C81" s="64">
        <v>10.33</v>
      </c>
      <c r="D81" s="64">
        <v>7.9</v>
      </c>
      <c r="E81" s="64">
        <v>4.88</v>
      </c>
      <c r="F81" s="64">
        <v>4.75</v>
      </c>
      <c r="G81" s="64">
        <v>44.1</v>
      </c>
      <c r="H81" s="64">
        <v>8.99</v>
      </c>
      <c r="I81" s="64">
        <v>1.43</v>
      </c>
      <c r="J81" s="64">
        <v>1.1599999999999999</v>
      </c>
      <c r="K81" s="64">
        <v>332.95</v>
      </c>
      <c r="L81" s="64">
        <v>28.85</v>
      </c>
      <c r="M81" s="64">
        <v>76.16</v>
      </c>
      <c r="N81" s="64">
        <v>26.2</v>
      </c>
      <c r="O81" s="64">
        <v>0</v>
      </c>
      <c r="P81" s="64">
        <v>0.66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511</v>
      </c>
      <c r="B82" s="64">
        <v>4.04</v>
      </c>
      <c r="C82" s="64">
        <v>10.44</v>
      </c>
      <c r="D82" s="64">
        <v>8.69</v>
      </c>
      <c r="E82" s="64">
        <v>5.21</v>
      </c>
      <c r="F82" s="64">
        <v>4.6900000000000004</v>
      </c>
      <c r="G82" s="64">
        <v>44.97</v>
      </c>
      <c r="H82" s="64">
        <v>17.23</v>
      </c>
      <c r="I82" s="64">
        <v>1.62</v>
      </c>
      <c r="J82" s="64">
        <v>1.04</v>
      </c>
      <c r="K82" s="64">
        <v>332.73</v>
      </c>
      <c r="L82" s="64">
        <v>28.5</v>
      </c>
      <c r="M82" s="64">
        <v>79.19</v>
      </c>
      <c r="N82" s="64">
        <v>26.1</v>
      </c>
      <c r="O82" s="64">
        <v>0</v>
      </c>
      <c r="P82" s="64">
        <v>0.81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512</v>
      </c>
      <c r="B83" s="64">
        <v>5.01</v>
      </c>
      <c r="C83" s="64">
        <v>10.48</v>
      </c>
      <c r="D83" s="64">
        <v>9.5</v>
      </c>
      <c r="E83" s="64">
        <v>5.53</v>
      </c>
      <c r="F83" s="64">
        <v>4.38</v>
      </c>
      <c r="G83" s="64">
        <v>44.97</v>
      </c>
      <c r="H83" s="64">
        <v>17.23</v>
      </c>
      <c r="I83" s="64">
        <v>3.5</v>
      </c>
      <c r="J83" s="64">
        <v>0.84</v>
      </c>
      <c r="K83" s="64">
        <v>324.22000000000003</v>
      </c>
      <c r="L83" s="64">
        <v>28.55</v>
      </c>
      <c r="M83" s="64">
        <v>75.87</v>
      </c>
      <c r="N83" s="64">
        <v>26.1</v>
      </c>
      <c r="O83" s="64">
        <v>0</v>
      </c>
      <c r="P83" s="64">
        <v>0.9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513</v>
      </c>
      <c r="B84" s="64">
        <v>6.21</v>
      </c>
      <c r="C84" s="64">
        <v>10.73</v>
      </c>
      <c r="D84" s="64">
        <v>10.59</v>
      </c>
      <c r="E84" s="64">
        <v>5.73</v>
      </c>
      <c r="F84" s="64">
        <v>4.83</v>
      </c>
      <c r="G84" s="64">
        <v>44.97</v>
      </c>
      <c r="H84" s="64">
        <v>17.23</v>
      </c>
      <c r="I84" s="64">
        <v>4.54</v>
      </c>
      <c r="J84" s="64">
        <v>0.55000000000000004</v>
      </c>
      <c r="K84" s="64">
        <v>327.7</v>
      </c>
      <c r="L84" s="64">
        <v>28.87</v>
      </c>
      <c r="M84" s="64">
        <v>73.19</v>
      </c>
      <c r="N84" s="64">
        <v>26.2</v>
      </c>
      <c r="O84" s="64">
        <v>0</v>
      </c>
      <c r="P84" s="64">
        <v>1.01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514</v>
      </c>
      <c r="B85" s="64">
        <v>7.52</v>
      </c>
      <c r="C85" s="64">
        <v>10.81</v>
      </c>
      <c r="D85" s="64">
        <v>11.68</v>
      </c>
      <c r="E85" s="64">
        <v>5.61</v>
      </c>
      <c r="F85" s="64">
        <v>6.8</v>
      </c>
      <c r="G85" s="64">
        <v>48.51</v>
      </c>
      <c r="H85" s="64">
        <v>17.55</v>
      </c>
      <c r="I85" s="64">
        <v>3.52</v>
      </c>
      <c r="J85" s="64">
        <v>0.51</v>
      </c>
      <c r="K85" s="64">
        <v>336.89</v>
      </c>
      <c r="L85" s="64">
        <v>28.86</v>
      </c>
      <c r="M85" s="64">
        <v>73.790000000000006</v>
      </c>
      <c r="N85" s="64">
        <v>26.1</v>
      </c>
      <c r="O85" s="64">
        <v>0</v>
      </c>
      <c r="P85" s="64">
        <v>0.92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515</v>
      </c>
      <c r="B86" s="64">
        <v>8.4700000000000006</v>
      </c>
      <c r="C86" s="64">
        <v>10.77</v>
      </c>
      <c r="D86" s="64">
        <v>12.42</v>
      </c>
      <c r="E86" s="64">
        <v>5.41</v>
      </c>
      <c r="F86" s="64">
        <v>4.51</v>
      </c>
      <c r="G86" s="64">
        <v>57.72</v>
      </c>
      <c r="H86" s="64">
        <v>18.09</v>
      </c>
      <c r="I86" s="64">
        <v>3</v>
      </c>
      <c r="J86" s="64">
        <v>0.52</v>
      </c>
      <c r="K86" s="64">
        <v>323.68</v>
      </c>
      <c r="L86" s="64">
        <v>28.64</v>
      </c>
      <c r="M86" s="64">
        <v>75.19</v>
      </c>
      <c r="N86" s="64">
        <v>26.1</v>
      </c>
      <c r="O86" s="64">
        <v>0</v>
      </c>
      <c r="P86" s="64">
        <v>1.1200000000000001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516</v>
      </c>
      <c r="B87" s="64">
        <v>9.66</v>
      </c>
      <c r="C87" s="64">
        <v>10.71</v>
      </c>
      <c r="D87" s="64">
        <v>13.34</v>
      </c>
      <c r="E87" s="64">
        <v>5.45</v>
      </c>
      <c r="F87" s="64">
        <v>4.84</v>
      </c>
      <c r="G87" s="64">
        <v>57.72</v>
      </c>
      <c r="H87" s="64">
        <v>18.09</v>
      </c>
      <c r="I87" s="64">
        <v>3.13</v>
      </c>
      <c r="J87" s="64">
        <v>0.43</v>
      </c>
      <c r="K87" s="64">
        <v>351.95</v>
      </c>
      <c r="L87" s="64">
        <v>28.55</v>
      </c>
      <c r="M87" s="64">
        <v>75.33</v>
      </c>
      <c r="N87" s="64">
        <v>26.1</v>
      </c>
      <c r="O87" s="64">
        <v>0</v>
      </c>
      <c r="P87" s="64">
        <v>0.99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517</v>
      </c>
      <c r="B88" s="64">
        <v>10.68</v>
      </c>
      <c r="C88" s="64">
        <v>11.14</v>
      </c>
      <c r="D88" s="64">
        <v>14.38</v>
      </c>
      <c r="E88" s="64">
        <v>4.6399999999999997</v>
      </c>
      <c r="F88" s="64">
        <v>4.1500000000000004</v>
      </c>
      <c r="G88" s="64">
        <v>57.72</v>
      </c>
      <c r="H88" s="64">
        <v>18.09</v>
      </c>
      <c r="I88" s="64">
        <v>3.54</v>
      </c>
      <c r="J88" s="64">
        <v>0.26</v>
      </c>
      <c r="K88" s="64">
        <v>320.32</v>
      </c>
      <c r="L88" s="64">
        <v>28.29</v>
      </c>
      <c r="M88" s="64">
        <v>77.290000000000006</v>
      </c>
      <c r="N88" s="64">
        <v>26.2</v>
      </c>
      <c r="O88" s="64">
        <v>0</v>
      </c>
      <c r="P88" s="64">
        <v>1.1299999999999999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518</v>
      </c>
      <c r="B89" s="64">
        <v>11.83</v>
      </c>
      <c r="C89" s="64">
        <v>11</v>
      </c>
      <c r="D89" s="64">
        <v>15.23</v>
      </c>
      <c r="E89" s="64">
        <v>6.57</v>
      </c>
      <c r="F89" s="64">
        <v>3.79</v>
      </c>
      <c r="G89" s="64">
        <v>59.73</v>
      </c>
      <c r="H89" s="64">
        <v>21.38</v>
      </c>
      <c r="I89" s="64">
        <v>3.81</v>
      </c>
      <c r="J89" s="64">
        <v>0.39</v>
      </c>
      <c r="K89" s="64">
        <v>320.95999999999998</v>
      </c>
      <c r="L89" s="64">
        <v>28.16</v>
      </c>
      <c r="M89" s="64">
        <v>79.069999999999993</v>
      </c>
      <c r="N89" s="64">
        <v>26.1</v>
      </c>
      <c r="O89" s="64">
        <v>0</v>
      </c>
      <c r="P89" s="64">
        <v>1.28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519</v>
      </c>
      <c r="B90" s="64">
        <v>13.08</v>
      </c>
      <c r="C90" s="64">
        <v>11.36</v>
      </c>
      <c r="D90" s="64">
        <v>16.43</v>
      </c>
      <c r="E90" s="64">
        <v>7.19</v>
      </c>
      <c r="F90" s="64">
        <v>4.34</v>
      </c>
      <c r="G90" s="64">
        <v>64.930000000000007</v>
      </c>
      <c r="H90" s="64">
        <v>26.89</v>
      </c>
      <c r="I90" s="64">
        <v>4.1500000000000004</v>
      </c>
      <c r="J90" s="64">
        <v>0.45</v>
      </c>
      <c r="K90" s="64">
        <v>316.27999999999997</v>
      </c>
      <c r="L90" s="64">
        <v>28.02</v>
      </c>
      <c r="M90" s="64">
        <v>80.23</v>
      </c>
      <c r="N90" s="64">
        <v>26</v>
      </c>
      <c r="O90" s="64">
        <v>0</v>
      </c>
      <c r="P90" s="64">
        <v>1.02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520</v>
      </c>
      <c r="B91" s="64">
        <v>13.84</v>
      </c>
      <c r="C91" s="64">
        <v>11.35</v>
      </c>
      <c r="D91" s="64">
        <v>17.03</v>
      </c>
      <c r="E91" s="64">
        <v>6.99</v>
      </c>
      <c r="F91" s="64">
        <v>2.88</v>
      </c>
      <c r="G91" s="64">
        <v>64.930000000000007</v>
      </c>
      <c r="H91" s="64">
        <v>26.89</v>
      </c>
      <c r="I91" s="64">
        <v>4.5999999999999996</v>
      </c>
      <c r="J91" s="64">
        <v>0.51</v>
      </c>
      <c r="K91" s="64">
        <v>334.52</v>
      </c>
      <c r="L91" s="64">
        <v>28</v>
      </c>
      <c r="M91" s="64">
        <v>79.53</v>
      </c>
      <c r="N91" s="64">
        <v>26</v>
      </c>
      <c r="O91" s="64">
        <v>0</v>
      </c>
      <c r="P91" s="64">
        <v>1.06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521</v>
      </c>
      <c r="B92" s="64">
        <v>14.49</v>
      </c>
      <c r="C92" s="64">
        <v>11.34</v>
      </c>
      <c r="D92" s="64">
        <v>17.54</v>
      </c>
      <c r="E92" s="64">
        <v>6.92</v>
      </c>
      <c r="F92" s="64">
        <v>4.0999999999999996</v>
      </c>
      <c r="G92" s="64">
        <v>64.930000000000007</v>
      </c>
      <c r="H92" s="64">
        <v>26.89</v>
      </c>
      <c r="I92" s="64">
        <v>4.01</v>
      </c>
      <c r="J92" s="64">
        <v>0.43</v>
      </c>
      <c r="K92" s="64">
        <v>326.01</v>
      </c>
      <c r="L92" s="64">
        <v>27.93</v>
      </c>
      <c r="M92" s="64">
        <v>80.12</v>
      </c>
      <c r="N92" s="64">
        <v>26.1</v>
      </c>
      <c r="O92" s="64">
        <v>0</v>
      </c>
      <c r="P92" s="64">
        <v>0.95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5" t="s">
        <v>522</v>
      </c>
      <c r="B93" s="64">
        <v>15.29</v>
      </c>
      <c r="C93" s="64">
        <v>11.11</v>
      </c>
      <c r="D93" s="64">
        <v>18.059999999999999</v>
      </c>
      <c r="E93" s="64">
        <v>6.93</v>
      </c>
      <c r="F93" s="64">
        <v>2.97</v>
      </c>
      <c r="G93" s="64">
        <v>66.16</v>
      </c>
      <c r="H93" s="64">
        <v>27.48</v>
      </c>
      <c r="I93" s="64">
        <v>3.86</v>
      </c>
      <c r="J93" s="64">
        <v>0.02</v>
      </c>
      <c r="K93" s="64">
        <v>312.31</v>
      </c>
      <c r="L93" s="64">
        <v>27.68</v>
      </c>
      <c r="M93" s="64">
        <v>82.38</v>
      </c>
      <c r="N93" s="64">
        <v>26.1</v>
      </c>
      <c r="O93" s="64">
        <v>0</v>
      </c>
      <c r="P93" s="64">
        <v>0.96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523</v>
      </c>
      <c r="B94" s="64">
        <v>15.84</v>
      </c>
      <c r="C94" s="64">
        <v>10.74</v>
      </c>
      <c r="D94" s="64">
        <v>18.32</v>
      </c>
      <c r="E94" s="64">
        <v>6.91</v>
      </c>
      <c r="F94" s="64">
        <v>4.3499999999999996</v>
      </c>
      <c r="G94" s="64">
        <v>69.36</v>
      </c>
      <c r="H94" s="64">
        <v>29.73</v>
      </c>
      <c r="I94" s="64">
        <v>4.3</v>
      </c>
      <c r="J94" s="64">
        <v>0.15</v>
      </c>
      <c r="K94" s="64">
        <v>70.19</v>
      </c>
      <c r="L94" s="64">
        <v>27.49</v>
      </c>
      <c r="M94" s="64">
        <v>83.51</v>
      </c>
      <c r="N94" s="64">
        <v>26.1</v>
      </c>
      <c r="O94" s="64">
        <v>0</v>
      </c>
      <c r="P94" s="64">
        <v>0.9</v>
      </c>
      <c r="Q94" s="64">
        <v>9.6</v>
      </c>
      <c r="R94" s="198"/>
      <c r="S94" s="198"/>
      <c r="T94" s="198"/>
      <c r="U94" s="198"/>
    </row>
    <row r="95" spans="1:26" s="12" customFormat="1" x14ac:dyDescent="0.25">
      <c r="A95" s="215" t="s">
        <v>524</v>
      </c>
      <c r="B95" s="64">
        <v>16.12</v>
      </c>
      <c r="C95" s="64">
        <v>10.6</v>
      </c>
      <c r="D95" s="64">
        <v>18.46</v>
      </c>
      <c r="E95" s="64">
        <v>7.27</v>
      </c>
      <c r="F95" s="64">
        <v>2.58</v>
      </c>
      <c r="G95" s="64">
        <v>69.36</v>
      </c>
      <c r="H95" s="64">
        <v>29.73</v>
      </c>
      <c r="I95" s="64">
        <v>4.93</v>
      </c>
      <c r="J95" s="64">
        <v>0.24</v>
      </c>
      <c r="K95" s="64">
        <v>13.07</v>
      </c>
      <c r="L95" s="64">
        <v>27.23</v>
      </c>
      <c r="M95" s="64">
        <v>85.8</v>
      </c>
      <c r="N95" s="64">
        <v>26.2</v>
      </c>
      <c r="O95" s="64">
        <v>0</v>
      </c>
      <c r="P95" s="64">
        <v>0.97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525</v>
      </c>
      <c r="B96" s="64">
        <v>16.37</v>
      </c>
      <c r="C96" s="64">
        <v>9.92</v>
      </c>
      <c r="D96" s="64">
        <v>18.309999999999999</v>
      </c>
      <c r="E96" s="64">
        <v>7.05</v>
      </c>
      <c r="F96" s="64">
        <v>4.1900000000000004</v>
      </c>
      <c r="G96" s="64">
        <v>69.36</v>
      </c>
      <c r="H96" s="64">
        <v>29.73</v>
      </c>
      <c r="I96" s="64">
        <v>4.54</v>
      </c>
      <c r="J96" s="64">
        <v>0.14000000000000001</v>
      </c>
      <c r="K96" s="64">
        <v>353.27</v>
      </c>
      <c r="L96" s="64">
        <v>27</v>
      </c>
      <c r="M96" s="64">
        <v>88.79</v>
      </c>
      <c r="N96" s="64">
        <v>26.1</v>
      </c>
      <c r="O96" s="64">
        <v>0</v>
      </c>
      <c r="P96" s="64">
        <v>0.95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526</v>
      </c>
      <c r="B97" s="64">
        <v>16.77</v>
      </c>
      <c r="C97" s="64">
        <v>9.36</v>
      </c>
      <c r="D97" s="64">
        <v>18.34</v>
      </c>
      <c r="E97" s="64">
        <v>6.98</v>
      </c>
      <c r="F97" s="64">
        <v>3.53</v>
      </c>
      <c r="G97" s="64">
        <v>69.08</v>
      </c>
      <c r="H97" s="64">
        <v>28.93</v>
      </c>
      <c r="I97" s="64">
        <v>4.3</v>
      </c>
      <c r="J97" s="64">
        <v>0.15</v>
      </c>
      <c r="K97" s="64">
        <v>311.79000000000002</v>
      </c>
      <c r="L97" s="64">
        <v>26.72</v>
      </c>
      <c r="M97" s="64">
        <v>91.01</v>
      </c>
      <c r="N97" s="64">
        <v>26.1</v>
      </c>
      <c r="O97" s="64">
        <v>0</v>
      </c>
      <c r="P97" s="64">
        <v>0.98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527</v>
      </c>
      <c r="B98" s="64">
        <v>17.21</v>
      </c>
      <c r="C98" s="64">
        <v>8.7899999999999991</v>
      </c>
      <c r="D98" s="64">
        <v>18.39</v>
      </c>
      <c r="E98" s="64">
        <v>6.69</v>
      </c>
      <c r="F98" s="64">
        <v>4.32</v>
      </c>
      <c r="G98" s="64">
        <v>68.34</v>
      </c>
      <c r="H98" s="64">
        <v>27.58</v>
      </c>
      <c r="I98" s="64">
        <v>4.28</v>
      </c>
      <c r="J98" s="64">
        <v>0.3</v>
      </c>
      <c r="K98" s="64">
        <v>248.27</v>
      </c>
      <c r="L98" s="64">
        <v>26.55</v>
      </c>
      <c r="M98" s="64">
        <v>92.5</v>
      </c>
      <c r="N98" s="64">
        <v>26.1</v>
      </c>
      <c r="O98" s="64">
        <v>0</v>
      </c>
      <c r="P98" s="64">
        <v>0.74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528</v>
      </c>
      <c r="B99" s="64">
        <v>16.98</v>
      </c>
      <c r="C99" s="64">
        <v>8.58</v>
      </c>
      <c r="D99" s="64">
        <v>18.100000000000001</v>
      </c>
      <c r="E99" s="64">
        <v>6.3</v>
      </c>
      <c r="F99" s="64">
        <v>4.37</v>
      </c>
      <c r="G99" s="64">
        <v>68.34</v>
      </c>
      <c r="H99" s="64">
        <v>27.58</v>
      </c>
      <c r="I99" s="64">
        <v>3.98</v>
      </c>
      <c r="J99" s="64">
        <v>0.08</v>
      </c>
      <c r="K99" s="64">
        <v>170.49</v>
      </c>
      <c r="L99" s="64">
        <v>26.38</v>
      </c>
      <c r="M99" s="64">
        <v>94.42</v>
      </c>
      <c r="N99" s="64">
        <v>26.1</v>
      </c>
      <c r="O99" s="64">
        <v>0</v>
      </c>
      <c r="P99" s="64">
        <v>0.82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529</v>
      </c>
      <c r="B100" s="64">
        <v>16.88</v>
      </c>
      <c r="C100" s="64">
        <v>8.4</v>
      </c>
      <c r="D100" s="64">
        <v>17.920000000000002</v>
      </c>
      <c r="E100" s="64">
        <v>6.52</v>
      </c>
      <c r="F100" s="64">
        <v>4.34</v>
      </c>
      <c r="G100" s="64">
        <v>68.34</v>
      </c>
      <c r="H100" s="64">
        <v>27.58</v>
      </c>
      <c r="I100" s="64">
        <v>3.37</v>
      </c>
      <c r="J100" s="64">
        <v>0.12</v>
      </c>
      <c r="K100" s="64">
        <v>67.13</v>
      </c>
      <c r="L100" s="64">
        <v>26.38</v>
      </c>
      <c r="M100" s="64">
        <v>94.81</v>
      </c>
      <c r="N100" s="64">
        <v>25.9</v>
      </c>
      <c r="O100" s="64">
        <v>0</v>
      </c>
      <c r="P100" s="64">
        <v>0.77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530</v>
      </c>
      <c r="B101" s="64">
        <v>16.61</v>
      </c>
      <c r="C101" s="64">
        <v>8.16</v>
      </c>
      <c r="D101" s="64">
        <v>17.579999999999998</v>
      </c>
      <c r="E101" s="64">
        <v>6.77</v>
      </c>
      <c r="F101" s="64">
        <v>4.17</v>
      </c>
      <c r="G101" s="64">
        <v>67.94</v>
      </c>
      <c r="H101" s="64">
        <v>27.14</v>
      </c>
      <c r="I101" s="64">
        <v>3.45</v>
      </c>
      <c r="J101" s="64">
        <v>0.05</v>
      </c>
      <c r="K101" s="64">
        <v>317.29000000000002</v>
      </c>
      <c r="L101" s="64">
        <v>26.33</v>
      </c>
      <c r="M101" s="64">
        <v>96.02</v>
      </c>
      <c r="N101" s="64">
        <v>25.9</v>
      </c>
      <c r="O101" s="64">
        <v>0</v>
      </c>
      <c r="P101" s="64">
        <v>0.78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5" t="s">
        <v>531</v>
      </c>
      <c r="B102" s="64">
        <v>16.170000000000002</v>
      </c>
      <c r="C102" s="64">
        <v>7.83</v>
      </c>
      <c r="D102" s="64">
        <v>17.059999999999999</v>
      </c>
      <c r="E102" s="64">
        <v>6.66</v>
      </c>
      <c r="F102" s="64">
        <v>4.17</v>
      </c>
      <c r="G102" s="64">
        <v>66.89</v>
      </c>
      <c r="H102" s="64">
        <v>26.4</v>
      </c>
      <c r="I102" s="64">
        <v>3.33</v>
      </c>
      <c r="J102" s="64">
        <v>0.13</v>
      </c>
      <c r="K102" s="64">
        <v>353.76</v>
      </c>
      <c r="L102" s="64">
        <v>26.15</v>
      </c>
      <c r="M102" s="64">
        <v>98.46</v>
      </c>
      <c r="N102" s="64">
        <v>26.1</v>
      </c>
      <c r="O102" s="64">
        <v>0</v>
      </c>
      <c r="P102" s="64">
        <v>0.73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532</v>
      </c>
      <c r="B103" s="64">
        <v>15.73</v>
      </c>
      <c r="C103" s="64">
        <v>7.34</v>
      </c>
      <c r="D103" s="64">
        <v>16.45</v>
      </c>
      <c r="E103" s="64">
        <v>6.16</v>
      </c>
      <c r="F103" s="64">
        <v>4.25</v>
      </c>
      <c r="G103" s="64">
        <v>66.89</v>
      </c>
      <c r="H103" s="64">
        <v>26.4</v>
      </c>
      <c r="I103" s="64">
        <v>3.38</v>
      </c>
      <c r="J103" s="64">
        <v>0.44</v>
      </c>
      <c r="K103" s="64">
        <v>340.71</v>
      </c>
      <c r="L103" s="64">
        <v>26.08</v>
      </c>
      <c r="M103" s="64">
        <v>98.87</v>
      </c>
      <c r="N103" s="64">
        <v>25.8</v>
      </c>
      <c r="O103" s="64">
        <v>0</v>
      </c>
      <c r="P103" s="64">
        <v>0.78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533</v>
      </c>
      <c r="B104" s="64">
        <v>15.31</v>
      </c>
      <c r="C104" s="64">
        <v>7.28</v>
      </c>
      <c r="D104" s="64">
        <v>16.079999999999998</v>
      </c>
      <c r="E104" s="64">
        <v>5.51</v>
      </c>
      <c r="F104" s="64">
        <v>4.01</v>
      </c>
      <c r="G104" s="64">
        <v>66.89</v>
      </c>
      <c r="H104" s="64">
        <v>26.4</v>
      </c>
      <c r="I104" s="64">
        <v>3.43</v>
      </c>
      <c r="J104" s="64">
        <v>0.52</v>
      </c>
      <c r="K104" s="64">
        <v>341.3</v>
      </c>
      <c r="L104" s="64">
        <v>26.18</v>
      </c>
      <c r="M104" s="64">
        <v>97.53</v>
      </c>
      <c r="N104" s="64">
        <v>25.7</v>
      </c>
      <c r="O104" s="64">
        <v>0</v>
      </c>
      <c r="P104" s="64">
        <v>0.83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0.65</v>
      </c>
      <c r="C106" s="67">
        <f>MIN(C9:C104)</f>
        <v>4.09</v>
      </c>
      <c r="D106" s="67">
        <f t="shared" ref="D106:Q106" si="0">MIN(D9:D104)</f>
        <v>2.85</v>
      </c>
      <c r="E106" s="67">
        <f t="shared" si="0"/>
        <v>4.5199999999999996</v>
      </c>
      <c r="F106" s="67">
        <f t="shared" si="0"/>
        <v>2.58</v>
      </c>
      <c r="G106" s="67">
        <f t="shared" si="0"/>
        <v>25.39</v>
      </c>
      <c r="H106" s="67">
        <f t="shared" si="0"/>
        <v>4.28</v>
      </c>
      <c r="I106" s="67">
        <f t="shared" si="0"/>
        <v>1.08</v>
      </c>
      <c r="J106" s="67">
        <f t="shared" si="0"/>
        <v>0.02</v>
      </c>
      <c r="K106" s="67">
        <f t="shared" si="0"/>
        <v>1.25</v>
      </c>
      <c r="L106" s="67">
        <f t="shared" si="0"/>
        <v>24.93</v>
      </c>
      <c r="M106" s="67">
        <f t="shared" si="0"/>
        <v>43.45</v>
      </c>
      <c r="N106" s="67">
        <f t="shared" si="0"/>
        <v>25.7</v>
      </c>
      <c r="O106" s="67">
        <f t="shared" si="0"/>
        <v>0</v>
      </c>
      <c r="P106" s="67">
        <f t="shared" si="0"/>
        <v>0.34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17.21</v>
      </c>
      <c r="C107" s="66">
        <f t="shared" ref="C107:Q107" si="1">MAX(C9:C104)</f>
        <v>12.33</v>
      </c>
      <c r="D107" s="66">
        <f t="shared" si="1"/>
        <v>18.46</v>
      </c>
      <c r="E107" s="66">
        <f t="shared" si="1"/>
        <v>7.27</v>
      </c>
      <c r="F107" s="66">
        <f t="shared" si="1"/>
        <v>6.8</v>
      </c>
      <c r="G107" s="66">
        <f t="shared" si="1"/>
        <v>69.36</v>
      </c>
      <c r="H107" s="66">
        <f t="shared" si="1"/>
        <v>29.73</v>
      </c>
      <c r="I107" s="66">
        <f t="shared" si="1"/>
        <v>4.93</v>
      </c>
      <c r="J107" s="66">
        <f t="shared" si="1"/>
        <v>3.19</v>
      </c>
      <c r="K107" s="66">
        <f t="shared" si="1"/>
        <v>357.33</v>
      </c>
      <c r="L107" s="66">
        <f t="shared" si="1"/>
        <v>37.08</v>
      </c>
      <c r="M107" s="66">
        <f t="shared" si="1"/>
        <v>102.68</v>
      </c>
      <c r="N107" s="66">
        <f t="shared" si="1"/>
        <v>905.6</v>
      </c>
      <c r="O107" s="66">
        <f t="shared" si="1"/>
        <v>0</v>
      </c>
      <c r="P107" s="66">
        <f t="shared" si="1"/>
        <v>1.28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4.6843750000000002</v>
      </c>
      <c r="C108" s="67">
        <f t="shared" ref="C108:Q108" si="2">AVERAGE(C9:C104)</f>
        <v>8.6855208333333351</v>
      </c>
      <c r="D108" s="67">
        <f t="shared" si="2"/>
        <v>8.2938541666666659</v>
      </c>
      <c r="E108" s="67">
        <f t="shared" si="2"/>
        <v>5.6580208333333344</v>
      </c>
      <c r="F108" s="67">
        <f t="shared" si="2"/>
        <v>4.5735416666666655</v>
      </c>
      <c r="G108" s="67">
        <f t="shared" si="2"/>
        <v>44.932604166666685</v>
      </c>
      <c r="H108" s="67">
        <f t="shared" si="2"/>
        <v>15.309687500000008</v>
      </c>
      <c r="I108" s="67">
        <f t="shared" si="2"/>
        <v>2.4741666666666666</v>
      </c>
      <c r="J108" s="67">
        <f t="shared" si="2"/>
        <v>1.0840625000000002</v>
      </c>
      <c r="K108" s="67">
        <f t="shared" si="2"/>
        <v>267.73916666666668</v>
      </c>
      <c r="L108" s="67">
        <f t="shared" si="2"/>
        <v>29.69125</v>
      </c>
      <c r="M108" s="67">
        <f t="shared" si="2"/>
        <v>77.071145833333318</v>
      </c>
      <c r="N108" s="67">
        <f t="shared" si="2"/>
        <v>193.12083333333325</v>
      </c>
      <c r="O108" s="67">
        <f t="shared" si="2"/>
        <v>0</v>
      </c>
      <c r="P108" s="67">
        <f t="shared" si="2"/>
        <v>0.58552083333333349</v>
      </c>
      <c r="Q108" s="67">
        <f t="shared" si="2"/>
        <v>9.609583333333342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5.221247040496622</v>
      </c>
      <c r="C109" s="67">
        <f t="shared" ref="C109:Q109" si="3">STDEV(C9:C104)</f>
        <v>2.8417055182043303</v>
      </c>
      <c r="D109" s="67">
        <f t="shared" si="3"/>
        <v>4.660401466734422</v>
      </c>
      <c r="E109" s="67">
        <f t="shared" si="3"/>
        <v>0.60741491895730781</v>
      </c>
      <c r="F109" s="67">
        <f t="shared" si="3"/>
        <v>0.86173262328584199</v>
      </c>
      <c r="G109" s="67">
        <f t="shared" si="3"/>
        <v>12.264072753997766</v>
      </c>
      <c r="H109" s="67">
        <f t="shared" si="3"/>
        <v>6.4911316754192727</v>
      </c>
      <c r="I109" s="67">
        <f t="shared" si="3"/>
        <v>1.053293248182416</v>
      </c>
      <c r="J109" s="67">
        <f t="shared" si="3"/>
        <v>0.92641536452693773</v>
      </c>
      <c r="K109" s="67">
        <f t="shared" si="3"/>
        <v>125.39111159355222</v>
      </c>
      <c r="L109" s="67">
        <f t="shared" si="3"/>
        <v>3.9614038580174196</v>
      </c>
      <c r="M109" s="67">
        <f t="shared" si="3"/>
        <v>21.28109207080028</v>
      </c>
      <c r="N109" s="67">
        <f t="shared" si="3"/>
        <v>270.24774829060186</v>
      </c>
      <c r="O109" s="67">
        <f t="shared" si="3"/>
        <v>0</v>
      </c>
      <c r="P109" s="67">
        <f t="shared" si="3"/>
        <v>0.21889612913634907</v>
      </c>
      <c r="Q109" s="67">
        <f t="shared" si="3"/>
        <v>7.9361486969655674E-3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534</v>
      </c>
      <c r="B9" s="64">
        <v>14.36</v>
      </c>
      <c r="C9" s="64">
        <v>7.7</v>
      </c>
      <c r="D9" s="64">
        <v>15.54</v>
      </c>
      <c r="E9" s="64">
        <v>5.71</v>
      </c>
      <c r="F9" s="64">
        <v>3.63</v>
      </c>
      <c r="G9" s="64">
        <v>66.38</v>
      </c>
      <c r="H9" s="64">
        <v>25.22</v>
      </c>
      <c r="I9" s="64">
        <v>3.96</v>
      </c>
      <c r="J9" s="64">
        <v>0.44</v>
      </c>
      <c r="K9" s="64">
        <v>342.19</v>
      </c>
      <c r="L9" s="64">
        <v>26.11</v>
      </c>
      <c r="M9" s="64">
        <v>97.83</v>
      </c>
      <c r="N9" s="64">
        <v>25.9</v>
      </c>
      <c r="O9" s="64">
        <v>0</v>
      </c>
      <c r="P9" s="64">
        <v>0.75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535</v>
      </c>
      <c r="B10" s="64">
        <v>13.24</v>
      </c>
      <c r="C10" s="64">
        <v>7.5</v>
      </c>
      <c r="D10" s="64">
        <v>14.54</v>
      </c>
      <c r="E10" s="64">
        <v>5.32</v>
      </c>
      <c r="F10" s="64">
        <v>4.12</v>
      </c>
      <c r="G10" s="64">
        <v>65.05</v>
      </c>
      <c r="H10" s="64">
        <v>23.23</v>
      </c>
      <c r="I10" s="64">
        <v>4.49</v>
      </c>
      <c r="J10" s="64">
        <v>0.43</v>
      </c>
      <c r="K10" s="64">
        <v>342.94</v>
      </c>
      <c r="L10" s="64">
        <v>26.02</v>
      </c>
      <c r="M10" s="64">
        <v>98.47</v>
      </c>
      <c r="N10" s="64">
        <v>25.9</v>
      </c>
      <c r="O10" s="64">
        <v>0</v>
      </c>
      <c r="P10" s="64">
        <v>0.79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5" t="s">
        <v>536</v>
      </c>
      <c r="B11" s="64">
        <v>12.23</v>
      </c>
      <c r="C11" s="64">
        <v>7.12</v>
      </c>
      <c r="D11" s="64">
        <v>13.53</v>
      </c>
      <c r="E11" s="64">
        <v>5.3</v>
      </c>
      <c r="F11" s="64">
        <v>3.88</v>
      </c>
      <c r="G11" s="64">
        <v>65.05</v>
      </c>
      <c r="H11" s="64">
        <v>23.23</v>
      </c>
      <c r="I11" s="64">
        <v>4.2300000000000004</v>
      </c>
      <c r="J11" s="64">
        <v>0.47</v>
      </c>
      <c r="K11" s="64">
        <v>325.01</v>
      </c>
      <c r="L11" s="64">
        <v>25.94</v>
      </c>
      <c r="M11" s="64">
        <v>98.69</v>
      </c>
      <c r="N11" s="64">
        <v>26</v>
      </c>
      <c r="O11" s="64">
        <v>0</v>
      </c>
      <c r="P11" s="64">
        <v>0.74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537</v>
      </c>
      <c r="B12" s="64">
        <v>11.29</v>
      </c>
      <c r="C12" s="64">
        <v>7.35</v>
      </c>
      <c r="D12" s="64">
        <v>12.89</v>
      </c>
      <c r="E12" s="64">
        <v>5.62</v>
      </c>
      <c r="F12" s="64">
        <v>3.89</v>
      </c>
      <c r="G12" s="64">
        <v>65.05</v>
      </c>
      <c r="H12" s="64">
        <v>23.23</v>
      </c>
      <c r="I12" s="64">
        <v>3.95</v>
      </c>
      <c r="J12" s="64">
        <v>0.23</v>
      </c>
      <c r="K12" s="64">
        <v>42.73</v>
      </c>
      <c r="L12" s="64">
        <v>25.74</v>
      </c>
      <c r="M12" s="64">
        <v>99.83</v>
      </c>
      <c r="N12" s="64">
        <v>26.1</v>
      </c>
      <c r="O12" s="64">
        <v>0</v>
      </c>
      <c r="P12" s="64">
        <v>0.69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538</v>
      </c>
      <c r="B13" s="64">
        <v>10.54</v>
      </c>
      <c r="C13" s="64">
        <v>7.12</v>
      </c>
      <c r="D13" s="64">
        <v>12.17</v>
      </c>
      <c r="E13" s="64">
        <v>5.33</v>
      </c>
      <c r="F13" s="64">
        <v>6.02</v>
      </c>
      <c r="G13" s="64">
        <v>62.59</v>
      </c>
      <c r="H13" s="64">
        <v>22.6</v>
      </c>
      <c r="I13" s="64">
        <v>4.33</v>
      </c>
      <c r="J13" s="64">
        <v>0.32</v>
      </c>
      <c r="K13" s="64">
        <v>11.84</v>
      </c>
      <c r="L13" s="64">
        <v>25.67</v>
      </c>
      <c r="M13" s="64">
        <v>100.56</v>
      </c>
      <c r="N13" s="64">
        <v>26</v>
      </c>
      <c r="O13" s="64">
        <v>0</v>
      </c>
      <c r="P13" s="64">
        <v>0.72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539</v>
      </c>
      <c r="B14" s="64">
        <v>9.91</v>
      </c>
      <c r="C14" s="64">
        <v>6.92</v>
      </c>
      <c r="D14" s="64">
        <v>11.57</v>
      </c>
      <c r="E14" s="64">
        <v>5.19</v>
      </c>
      <c r="F14" s="64">
        <v>2.72</v>
      </c>
      <c r="G14" s="64">
        <v>56.19</v>
      </c>
      <c r="H14" s="64">
        <v>19.95</v>
      </c>
      <c r="I14" s="64">
        <v>3.76</v>
      </c>
      <c r="J14" s="64">
        <v>0.49</v>
      </c>
      <c r="K14" s="64">
        <v>354.83</v>
      </c>
      <c r="L14" s="64">
        <v>25.69</v>
      </c>
      <c r="M14" s="64">
        <v>100.41</v>
      </c>
      <c r="N14" s="64">
        <v>25.9</v>
      </c>
      <c r="O14" s="64">
        <v>0</v>
      </c>
      <c r="P14" s="64">
        <v>0.65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540</v>
      </c>
      <c r="B15" s="64">
        <v>9.27</v>
      </c>
      <c r="C15" s="64">
        <v>6.69</v>
      </c>
      <c r="D15" s="64">
        <v>10.93</v>
      </c>
      <c r="E15" s="64">
        <v>5.35</v>
      </c>
      <c r="F15" s="64">
        <v>3.66</v>
      </c>
      <c r="G15" s="64">
        <v>56.19</v>
      </c>
      <c r="H15" s="64">
        <v>19.95</v>
      </c>
      <c r="I15" s="64">
        <v>3.81</v>
      </c>
      <c r="J15" s="64">
        <v>0.2</v>
      </c>
      <c r="K15" s="64">
        <v>1.98</v>
      </c>
      <c r="L15" s="64">
        <v>25.54</v>
      </c>
      <c r="M15" s="64">
        <v>101.05</v>
      </c>
      <c r="N15" s="64">
        <v>26</v>
      </c>
      <c r="O15" s="64">
        <v>0</v>
      </c>
      <c r="P15" s="64">
        <v>0.68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5" t="s">
        <v>541</v>
      </c>
      <c r="B16" s="64">
        <v>8.61</v>
      </c>
      <c r="C16" s="64">
        <v>6.38</v>
      </c>
      <c r="D16" s="64">
        <v>10.24</v>
      </c>
      <c r="E16" s="64">
        <v>5.52</v>
      </c>
      <c r="F16" s="64">
        <v>3.57</v>
      </c>
      <c r="G16" s="64">
        <v>56.19</v>
      </c>
      <c r="H16" s="64">
        <v>19.95</v>
      </c>
      <c r="I16" s="64">
        <v>3.92</v>
      </c>
      <c r="J16" s="64">
        <v>0.26</v>
      </c>
      <c r="K16" s="64">
        <v>19.88</v>
      </c>
      <c r="L16" s="64">
        <v>25.49</v>
      </c>
      <c r="M16" s="64">
        <v>100.76</v>
      </c>
      <c r="N16" s="64">
        <v>25.9</v>
      </c>
      <c r="O16" s="64">
        <v>0</v>
      </c>
      <c r="P16" s="64">
        <v>0.65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5" t="s">
        <v>542</v>
      </c>
      <c r="B17" s="64">
        <v>8.01</v>
      </c>
      <c r="C17" s="64">
        <v>6.25</v>
      </c>
      <c r="D17" s="64">
        <v>9.69</v>
      </c>
      <c r="E17" s="64">
        <v>5.54</v>
      </c>
      <c r="F17" s="64">
        <v>3.65</v>
      </c>
      <c r="G17" s="64">
        <v>52.04</v>
      </c>
      <c r="H17" s="64">
        <v>17.77</v>
      </c>
      <c r="I17" s="64">
        <v>3.48</v>
      </c>
      <c r="J17" s="64">
        <v>7.0000000000000007E-2</v>
      </c>
      <c r="K17" s="64">
        <v>140.66999999999999</v>
      </c>
      <c r="L17" s="64">
        <v>25.27</v>
      </c>
      <c r="M17" s="64">
        <v>102.17</v>
      </c>
      <c r="N17" s="64">
        <v>26.1</v>
      </c>
      <c r="O17" s="64">
        <v>0</v>
      </c>
      <c r="P17" s="64">
        <v>0.6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543</v>
      </c>
      <c r="B18" s="64">
        <v>7.75</v>
      </c>
      <c r="C18" s="64">
        <v>5.62</v>
      </c>
      <c r="D18" s="64">
        <v>9.15</v>
      </c>
      <c r="E18" s="64">
        <v>5.22</v>
      </c>
      <c r="F18" s="64">
        <v>3.93</v>
      </c>
      <c r="G18" s="64">
        <v>41.25</v>
      </c>
      <c r="H18" s="64">
        <v>13.96</v>
      </c>
      <c r="I18" s="64">
        <v>3.84</v>
      </c>
      <c r="J18" s="64">
        <v>0.23</v>
      </c>
      <c r="K18" s="64">
        <v>167.73</v>
      </c>
      <c r="L18" s="64">
        <v>24.91</v>
      </c>
      <c r="M18" s="64">
        <v>102.7</v>
      </c>
      <c r="N18" s="64">
        <v>26.1</v>
      </c>
      <c r="O18" s="64">
        <v>0</v>
      </c>
      <c r="P18" s="64">
        <v>0.48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5" t="s">
        <v>544</v>
      </c>
      <c r="B19" s="64">
        <v>7.53</v>
      </c>
      <c r="C19" s="64">
        <v>5.26</v>
      </c>
      <c r="D19" s="64">
        <v>8.7899999999999991</v>
      </c>
      <c r="E19" s="64">
        <v>4.8</v>
      </c>
      <c r="F19" s="64">
        <v>4.4400000000000004</v>
      </c>
      <c r="G19" s="64">
        <v>41.25</v>
      </c>
      <c r="H19" s="64">
        <v>13.96</v>
      </c>
      <c r="I19" s="64">
        <v>2.86</v>
      </c>
      <c r="J19" s="64">
        <v>0.37</v>
      </c>
      <c r="K19" s="64">
        <v>230.53</v>
      </c>
      <c r="L19" s="64">
        <v>24.73</v>
      </c>
      <c r="M19" s="64">
        <v>102.7</v>
      </c>
      <c r="N19" s="64">
        <v>26</v>
      </c>
      <c r="O19" s="64">
        <v>0</v>
      </c>
      <c r="P19" s="64">
        <v>0.48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545</v>
      </c>
      <c r="B20" s="64">
        <v>7.34</v>
      </c>
      <c r="C20" s="64">
        <v>5.12</v>
      </c>
      <c r="D20" s="64">
        <v>8.56</v>
      </c>
      <c r="E20" s="64">
        <v>5.32</v>
      </c>
      <c r="F20" s="64">
        <v>4.08</v>
      </c>
      <c r="G20" s="64">
        <v>41.25</v>
      </c>
      <c r="H20" s="64">
        <v>13.96</v>
      </c>
      <c r="I20" s="64">
        <v>2.0699999999999998</v>
      </c>
      <c r="J20" s="64">
        <v>0.15</v>
      </c>
      <c r="K20" s="64">
        <v>221.6</v>
      </c>
      <c r="L20" s="64">
        <v>24.64</v>
      </c>
      <c r="M20" s="64">
        <v>102.72</v>
      </c>
      <c r="N20" s="64">
        <v>25.9</v>
      </c>
      <c r="O20" s="64">
        <v>0</v>
      </c>
      <c r="P20" s="64">
        <v>0.47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546</v>
      </c>
      <c r="B21" s="64">
        <v>7.1</v>
      </c>
      <c r="C21" s="64">
        <v>4.92</v>
      </c>
      <c r="D21" s="64">
        <v>8.26</v>
      </c>
      <c r="E21" s="64">
        <v>5.04</v>
      </c>
      <c r="F21" s="64">
        <v>4.2699999999999996</v>
      </c>
      <c r="G21" s="64">
        <v>41.76</v>
      </c>
      <c r="H21" s="64">
        <v>14.77</v>
      </c>
      <c r="I21" s="64">
        <v>2.21</v>
      </c>
      <c r="J21" s="64">
        <v>0.26</v>
      </c>
      <c r="K21" s="64">
        <v>12.98</v>
      </c>
      <c r="L21" s="64">
        <v>24.54</v>
      </c>
      <c r="M21" s="64">
        <v>102.74</v>
      </c>
      <c r="N21" s="64">
        <v>25.8</v>
      </c>
      <c r="O21" s="64">
        <v>0</v>
      </c>
      <c r="P21" s="64">
        <v>0.46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547</v>
      </c>
      <c r="B22" s="64">
        <v>6.88</v>
      </c>
      <c r="C22" s="64">
        <v>4.72</v>
      </c>
      <c r="D22" s="64">
        <v>7.98</v>
      </c>
      <c r="E22" s="64">
        <v>4.8899999999999997</v>
      </c>
      <c r="F22" s="64">
        <v>4.33</v>
      </c>
      <c r="G22" s="64">
        <v>43.07</v>
      </c>
      <c r="H22" s="64">
        <v>16.12</v>
      </c>
      <c r="I22" s="64">
        <v>2.08</v>
      </c>
      <c r="J22" s="64">
        <v>0.21</v>
      </c>
      <c r="K22" s="64">
        <v>330.73</v>
      </c>
      <c r="L22" s="64">
        <v>24.39</v>
      </c>
      <c r="M22" s="64">
        <v>102.79</v>
      </c>
      <c r="N22" s="64">
        <v>26</v>
      </c>
      <c r="O22" s="64">
        <v>0</v>
      </c>
      <c r="P22" s="64">
        <v>0.45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548</v>
      </c>
      <c r="B23" s="64">
        <v>6.69</v>
      </c>
      <c r="C23" s="64">
        <v>4.6900000000000004</v>
      </c>
      <c r="D23" s="64">
        <v>7.82</v>
      </c>
      <c r="E23" s="64">
        <v>4.9400000000000004</v>
      </c>
      <c r="F23" s="64">
        <v>4.16</v>
      </c>
      <c r="G23" s="64">
        <v>43.07</v>
      </c>
      <c r="H23" s="64">
        <v>16.12</v>
      </c>
      <c r="I23" s="64">
        <v>1.84</v>
      </c>
      <c r="J23" s="64">
        <v>0.28000000000000003</v>
      </c>
      <c r="K23" s="64">
        <v>325.3</v>
      </c>
      <c r="L23" s="64">
        <v>24.29</v>
      </c>
      <c r="M23" s="64">
        <v>102.8</v>
      </c>
      <c r="N23" s="64">
        <v>26.1</v>
      </c>
      <c r="O23" s="64">
        <v>0</v>
      </c>
      <c r="P23" s="64">
        <v>0.49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549</v>
      </c>
      <c r="B24" s="64">
        <v>6.53</v>
      </c>
      <c r="C24" s="64">
        <v>4.63</v>
      </c>
      <c r="D24" s="64">
        <v>7.65</v>
      </c>
      <c r="E24" s="64">
        <v>4.0199999999999996</v>
      </c>
      <c r="F24" s="64">
        <v>3.96</v>
      </c>
      <c r="G24" s="64">
        <v>43.07</v>
      </c>
      <c r="H24" s="64">
        <v>16.12</v>
      </c>
      <c r="I24" s="64">
        <v>2.4900000000000002</v>
      </c>
      <c r="J24" s="64">
        <v>0.19</v>
      </c>
      <c r="K24" s="64">
        <v>212.38</v>
      </c>
      <c r="L24" s="64">
        <v>24.09</v>
      </c>
      <c r="M24" s="64">
        <v>102.8</v>
      </c>
      <c r="N24" s="64">
        <v>26.1</v>
      </c>
      <c r="O24" s="64">
        <v>0</v>
      </c>
      <c r="P24" s="64">
        <v>0.47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5" t="s">
        <v>550</v>
      </c>
      <c r="B25" s="64">
        <v>6.36</v>
      </c>
      <c r="C25" s="64">
        <v>4.9800000000000004</v>
      </c>
      <c r="D25" s="64">
        <v>7.7</v>
      </c>
      <c r="E25" s="64">
        <v>4.79</v>
      </c>
      <c r="F25" s="64">
        <v>4.3600000000000003</v>
      </c>
      <c r="G25" s="64">
        <v>42.74</v>
      </c>
      <c r="H25" s="64">
        <v>16.39</v>
      </c>
      <c r="I25" s="64">
        <v>3.05</v>
      </c>
      <c r="J25" s="64">
        <v>0.16</v>
      </c>
      <c r="K25" s="64">
        <v>221.29</v>
      </c>
      <c r="L25" s="64">
        <v>23.86</v>
      </c>
      <c r="M25" s="64">
        <v>102.82</v>
      </c>
      <c r="N25" s="64">
        <v>26.1</v>
      </c>
      <c r="O25" s="64">
        <v>0</v>
      </c>
      <c r="P25" s="64">
        <v>0.57999999999999996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551</v>
      </c>
      <c r="B26" s="64">
        <v>6.18</v>
      </c>
      <c r="C26" s="64">
        <v>5.03</v>
      </c>
      <c r="D26" s="64">
        <v>7.59</v>
      </c>
      <c r="E26" s="64">
        <v>4.87</v>
      </c>
      <c r="F26" s="64">
        <v>3.84</v>
      </c>
      <c r="G26" s="64">
        <v>41.88</v>
      </c>
      <c r="H26" s="64">
        <v>16.87</v>
      </c>
      <c r="I26" s="64">
        <v>3.61</v>
      </c>
      <c r="J26" s="64">
        <v>0.37</v>
      </c>
      <c r="K26" s="64">
        <v>227.47</v>
      </c>
      <c r="L26" s="64">
        <v>23.89</v>
      </c>
      <c r="M26" s="64">
        <v>102.8</v>
      </c>
      <c r="N26" s="64">
        <v>25.8</v>
      </c>
      <c r="O26" s="64">
        <v>0</v>
      </c>
      <c r="P26" s="64">
        <v>0.51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552</v>
      </c>
      <c r="B27" s="64">
        <v>5.98</v>
      </c>
      <c r="C27" s="64">
        <v>4.96</v>
      </c>
      <c r="D27" s="64">
        <v>7.39</v>
      </c>
      <c r="E27" s="64">
        <v>4.63</v>
      </c>
      <c r="F27" s="64">
        <v>3.8</v>
      </c>
      <c r="G27" s="64">
        <v>41.88</v>
      </c>
      <c r="H27" s="64">
        <v>16.87</v>
      </c>
      <c r="I27" s="64">
        <v>3.88</v>
      </c>
      <c r="J27" s="64">
        <v>0.35</v>
      </c>
      <c r="K27" s="64">
        <v>329.95</v>
      </c>
      <c r="L27" s="64">
        <v>24.03</v>
      </c>
      <c r="M27" s="64">
        <v>102.78</v>
      </c>
      <c r="N27" s="64">
        <v>25.9</v>
      </c>
      <c r="O27" s="64">
        <v>0</v>
      </c>
      <c r="P27" s="64">
        <v>0.53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553</v>
      </c>
      <c r="B28" s="64">
        <v>5.72</v>
      </c>
      <c r="C28" s="64">
        <v>4.82</v>
      </c>
      <c r="D28" s="64">
        <v>7.11</v>
      </c>
      <c r="E28" s="64">
        <v>4.5199999999999996</v>
      </c>
      <c r="F28" s="64">
        <v>4.16</v>
      </c>
      <c r="G28" s="64">
        <v>41.88</v>
      </c>
      <c r="H28" s="64">
        <v>16.87</v>
      </c>
      <c r="I28" s="64">
        <v>4.22</v>
      </c>
      <c r="J28" s="64">
        <v>0.14000000000000001</v>
      </c>
      <c r="K28" s="64">
        <v>352.1</v>
      </c>
      <c r="L28" s="64">
        <v>23.83</v>
      </c>
      <c r="M28" s="64">
        <v>102.21</v>
      </c>
      <c r="N28" s="64">
        <v>25.8</v>
      </c>
      <c r="O28" s="64">
        <v>0</v>
      </c>
      <c r="P28" s="64">
        <v>0.56000000000000005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5" t="s">
        <v>554</v>
      </c>
      <c r="B29" s="64">
        <v>5.6</v>
      </c>
      <c r="C29" s="64">
        <v>4.76</v>
      </c>
      <c r="D29" s="64">
        <v>6.98</v>
      </c>
      <c r="E29" s="64">
        <v>4.5599999999999996</v>
      </c>
      <c r="F29" s="64">
        <v>3.69</v>
      </c>
      <c r="G29" s="64">
        <v>41.18</v>
      </c>
      <c r="H29" s="64">
        <v>16.649999999999999</v>
      </c>
      <c r="I29" s="64">
        <v>3.61</v>
      </c>
      <c r="J29" s="64">
        <v>0.04</v>
      </c>
      <c r="K29" s="64">
        <v>235.67</v>
      </c>
      <c r="L29" s="64">
        <v>23.82</v>
      </c>
      <c r="M29" s="64">
        <v>102.2</v>
      </c>
      <c r="N29" s="64">
        <v>25.8</v>
      </c>
      <c r="O29" s="64">
        <v>0</v>
      </c>
      <c r="P29" s="64">
        <v>0.54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5" t="s">
        <v>555</v>
      </c>
      <c r="B30" s="64">
        <v>5.76</v>
      </c>
      <c r="C30" s="64">
        <v>5.0599999999999996</v>
      </c>
      <c r="D30" s="64">
        <v>7.26</v>
      </c>
      <c r="E30" s="64">
        <v>4.5199999999999996</v>
      </c>
      <c r="F30" s="64">
        <v>3.41</v>
      </c>
      <c r="G30" s="64">
        <v>39.380000000000003</v>
      </c>
      <c r="H30" s="64">
        <v>15.8</v>
      </c>
      <c r="I30" s="64">
        <v>3.56</v>
      </c>
      <c r="J30" s="64">
        <v>0.16</v>
      </c>
      <c r="K30" s="64">
        <v>96.81</v>
      </c>
      <c r="L30" s="64">
        <v>23.6</v>
      </c>
      <c r="M30" s="64">
        <v>102.68</v>
      </c>
      <c r="N30" s="64">
        <v>26</v>
      </c>
      <c r="O30" s="64">
        <v>0</v>
      </c>
      <c r="P30" s="64">
        <v>0.51</v>
      </c>
      <c r="Q30" s="64">
        <v>9.59</v>
      </c>
      <c r="R30" s="198"/>
      <c r="S30" s="198"/>
      <c r="T30" s="198"/>
      <c r="U30" s="198"/>
    </row>
    <row r="31" spans="1:21" s="12" customFormat="1" x14ac:dyDescent="0.25">
      <c r="A31" s="215" t="s">
        <v>556</v>
      </c>
      <c r="B31" s="64">
        <v>5.86</v>
      </c>
      <c r="C31" s="64">
        <v>5.04</v>
      </c>
      <c r="D31" s="64">
        <v>7.33</v>
      </c>
      <c r="E31" s="64">
        <v>4.6500000000000004</v>
      </c>
      <c r="F31" s="64">
        <v>4.01</v>
      </c>
      <c r="G31" s="64">
        <v>39.380000000000003</v>
      </c>
      <c r="H31" s="64">
        <v>15.8</v>
      </c>
      <c r="I31" s="64">
        <v>4.17</v>
      </c>
      <c r="J31" s="64">
        <v>0.03</v>
      </c>
      <c r="K31" s="64">
        <v>231.67</v>
      </c>
      <c r="L31" s="64">
        <v>23.56</v>
      </c>
      <c r="M31" s="64">
        <v>102.28</v>
      </c>
      <c r="N31" s="64">
        <v>26</v>
      </c>
      <c r="O31" s="64">
        <v>0</v>
      </c>
      <c r="P31" s="64">
        <v>0.55000000000000004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557</v>
      </c>
      <c r="B32" s="64">
        <v>5.69</v>
      </c>
      <c r="C32" s="64">
        <v>4.9400000000000004</v>
      </c>
      <c r="D32" s="64">
        <v>7.14</v>
      </c>
      <c r="E32" s="64">
        <v>4.79</v>
      </c>
      <c r="F32" s="64">
        <v>3.26</v>
      </c>
      <c r="G32" s="64">
        <v>39.380000000000003</v>
      </c>
      <c r="H32" s="64">
        <v>15.8</v>
      </c>
      <c r="I32" s="64">
        <v>3.2</v>
      </c>
      <c r="J32" s="64">
        <v>0.33</v>
      </c>
      <c r="K32" s="64">
        <v>344.57</v>
      </c>
      <c r="L32" s="64">
        <v>23.62</v>
      </c>
      <c r="M32" s="64">
        <v>101.49</v>
      </c>
      <c r="N32" s="64">
        <v>28.5</v>
      </c>
      <c r="O32" s="64">
        <v>0</v>
      </c>
      <c r="P32" s="64">
        <v>0.48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558</v>
      </c>
      <c r="B33" s="64">
        <v>5.44</v>
      </c>
      <c r="C33" s="64">
        <v>5.19</v>
      </c>
      <c r="D33" s="64">
        <v>7.07</v>
      </c>
      <c r="E33" s="64">
        <v>4.71</v>
      </c>
      <c r="F33" s="64">
        <v>3.91</v>
      </c>
      <c r="G33" s="64">
        <v>37.590000000000003</v>
      </c>
      <c r="H33" s="64">
        <v>14.47</v>
      </c>
      <c r="I33" s="64">
        <v>3.5</v>
      </c>
      <c r="J33" s="64">
        <v>0.12</v>
      </c>
      <c r="K33" s="64">
        <v>329.66</v>
      </c>
      <c r="L33" s="64">
        <v>23.77</v>
      </c>
      <c r="M33" s="64">
        <v>99.8</v>
      </c>
      <c r="N33" s="64">
        <v>38.200000000000003</v>
      </c>
      <c r="O33" s="64">
        <v>0</v>
      </c>
      <c r="P33" s="64">
        <v>0.52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5" t="s">
        <v>559</v>
      </c>
      <c r="B34" s="64">
        <v>5.44</v>
      </c>
      <c r="C34" s="64">
        <v>5.2</v>
      </c>
      <c r="D34" s="64">
        <v>7.08</v>
      </c>
      <c r="E34" s="64">
        <v>4.79</v>
      </c>
      <c r="F34" s="64">
        <v>3.41</v>
      </c>
      <c r="G34" s="64">
        <v>32.93</v>
      </c>
      <c r="H34" s="64">
        <v>12.24</v>
      </c>
      <c r="I34" s="64">
        <v>3.74</v>
      </c>
      <c r="J34" s="64">
        <v>0.24</v>
      </c>
      <c r="K34" s="64">
        <v>333.04</v>
      </c>
      <c r="L34" s="64">
        <v>23.93</v>
      </c>
      <c r="M34" s="64">
        <v>97.7</v>
      </c>
      <c r="N34" s="64">
        <v>56.6</v>
      </c>
      <c r="O34" s="64">
        <v>0</v>
      </c>
      <c r="P34" s="64">
        <v>0.46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560</v>
      </c>
      <c r="B35" s="64">
        <v>5.58</v>
      </c>
      <c r="C35" s="64">
        <v>4.8600000000000003</v>
      </c>
      <c r="D35" s="64">
        <v>7.02</v>
      </c>
      <c r="E35" s="64">
        <v>5.07</v>
      </c>
      <c r="F35" s="64">
        <v>3.92</v>
      </c>
      <c r="G35" s="64">
        <v>32.93</v>
      </c>
      <c r="H35" s="64">
        <v>12.24</v>
      </c>
      <c r="I35" s="64">
        <v>3.33</v>
      </c>
      <c r="J35" s="64">
        <v>0.34</v>
      </c>
      <c r="K35" s="64">
        <v>22.99</v>
      </c>
      <c r="L35" s="64">
        <v>24.53</v>
      </c>
      <c r="M35" s="64">
        <v>95.41</v>
      </c>
      <c r="N35" s="64">
        <v>95.2</v>
      </c>
      <c r="O35" s="64">
        <v>0</v>
      </c>
      <c r="P35" s="64">
        <v>0.48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5" t="s">
        <v>561</v>
      </c>
      <c r="B36" s="64">
        <v>5.95</v>
      </c>
      <c r="C36" s="64">
        <v>5.01</v>
      </c>
      <c r="D36" s="64">
        <v>7.39</v>
      </c>
      <c r="E36" s="64">
        <v>4.63</v>
      </c>
      <c r="F36" s="64">
        <v>3.74</v>
      </c>
      <c r="G36" s="64">
        <v>32.93</v>
      </c>
      <c r="H36" s="64">
        <v>12.24</v>
      </c>
      <c r="I36" s="64">
        <v>2.9</v>
      </c>
      <c r="J36" s="64">
        <v>0.45</v>
      </c>
      <c r="K36" s="64">
        <v>353.4</v>
      </c>
      <c r="L36" s="64">
        <v>25.86</v>
      </c>
      <c r="M36" s="64">
        <v>90.42</v>
      </c>
      <c r="N36" s="64">
        <v>142.30000000000001</v>
      </c>
      <c r="O36" s="64">
        <v>0</v>
      </c>
      <c r="P36" s="64">
        <v>0.52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562</v>
      </c>
      <c r="B37" s="64">
        <v>6.42</v>
      </c>
      <c r="C37" s="64">
        <v>5.16</v>
      </c>
      <c r="D37" s="64">
        <v>7.84</v>
      </c>
      <c r="E37" s="64">
        <v>4.8499999999999996</v>
      </c>
      <c r="F37" s="64">
        <v>4.32</v>
      </c>
      <c r="G37" s="64">
        <v>34</v>
      </c>
      <c r="H37" s="64">
        <v>12.45</v>
      </c>
      <c r="I37" s="64">
        <v>2.96</v>
      </c>
      <c r="J37" s="64">
        <v>0.47</v>
      </c>
      <c r="K37" s="64">
        <v>356.43</v>
      </c>
      <c r="L37" s="64">
        <v>27.08</v>
      </c>
      <c r="M37" s="64">
        <v>85.97</v>
      </c>
      <c r="N37" s="64">
        <v>191</v>
      </c>
      <c r="O37" s="64">
        <v>0</v>
      </c>
      <c r="P37" s="64">
        <v>0.52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563</v>
      </c>
      <c r="B38" s="64">
        <v>6.59</v>
      </c>
      <c r="C38" s="64">
        <v>5.24</v>
      </c>
      <c r="D38" s="64">
        <v>8.02</v>
      </c>
      <c r="E38" s="64">
        <v>4.8600000000000003</v>
      </c>
      <c r="F38" s="64">
        <v>3.63</v>
      </c>
      <c r="G38" s="64">
        <v>36.76</v>
      </c>
      <c r="H38" s="64">
        <v>12.8</v>
      </c>
      <c r="I38" s="64">
        <v>3.17</v>
      </c>
      <c r="J38" s="64">
        <v>0.47</v>
      </c>
      <c r="K38" s="64">
        <v>5.86</v>
      </c>
      <c r="L38" s="64">
        <v>27.06</v>
      </c>
      <c r="M38" s="64">
        <v>86.87</v>
      </c>
      <c r="N38" s="64">
        <v>247.6</v>
      </c>
      <c r="O38" s="64">
        <v>0</v>
      </c>
      <c r="P38" s="64">
        <v>0.55000000000000004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564</v>
      </c>
      <c r="B39" s="64">
        <v>6.58</v>
      </c>
      <c r="C39" s="64">
        <v>5.39</v>
      </c>
      <c r="D39" s="64">
        <v>8.09</v>
      </c>
      <c r="E39" s="64">
        <v>4.95</v>
      </c>
      <c r="F39" s="64">
        <v>3.83</v>
      </c>
      <c r="G39" s="64">
        <v>36.76</v>
      </c>
      <c r="H39" s="64">
        <v>12.8</v>
      </c>
      <c r="I39" s="64">
        <v>3.32</v>
      </c>
      <c r="J39" s="64">
        <v>0.38</v>
      </c>
      <c r="K39" s="64">
        <v>350.85</v>
      </c>
      <c r="L39" s="64">
        <v>28.04</v>
      </c>
      <c r="M39" s="64">
        <v>82.64</v>
      </c>
      <c r="N39" s="64">
        <v>305.3</v>
      </c>
      <c r="O39" s="64">
        <v>0</v>
      </c>
      <c r="P39" s="64">
        <v>0.63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5" t="s">
        <v>565</v>
      </c>
      <c r="B40" s="64">
        <v>6.63</v>
      </c>
      <c r="C40" s="64">
        <v>5.44</v>
      </c>
      <c r="D40" s="64">
        <v>8.16</v>
      </c>
      <c r="E40" s="64">
        <v>4.62</v>
      </c>
      <c r="F40" s="64">
        <v>3.86</v>
      </c>
      <c r="G40" s="64">
        <v>36.76</v>
      </c>
      <c r="H40" s="64">
        <v>12.8</v>
      </c>
      <c r="I40" s="64">
        <v>3.76</v>
      </c>
      <c r="J40" s="64">
        <v>0.51</v>
      </c>
      <c r="K40" s="64">
        <v>346.12</v>
      </c>
      <c r="L40" s="64">
        <v>29.47</v>
      </c>
      <c r="M40" s="64">
        <v>77.2</v>
      </c>
      <c r="N40" s="64">
        <v>363.7</v>
      </c>
      <c r="O40" s="64">
        <v>0</v>
      </c>
      <c r="P40" s="64">
        <v>0.82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566</v>
      </c>
      <c r="B41" s="64">
        <v>6.93</v>
      </c>
      <c r="C41" s="64">
        <v>5.68</v>
      </c>
      <c r="D41" s="64">
        <v>8.5299999999999994</v>
      </c>
      <c r="E41" s="64">
        <v>4.33</v>
      </c>
      <c r="F41" s="64">
        <v>4.04</v>
      </c>
      <c r="G41" s="64">
        <v>38.18</v>
      </c>
      <c r="H41" s="64">
        <v>13.29</v>
      </c>
      <c r="I41" s="64">
        <v>4.29</v>
      </c>
      <c r="J41" s="64">
        <v>0.52</v>
      </c>
      <c r="K41" s="64">
        <v>344.34</v>
      </c>
      <c r="L41" s="64">
        <v>31.55</v>
      </c>
      <c r="M41" s="64">
        <v>68.62</v>
      </c>
      <c r="N41" s="64">
        <v>418.4</v>
      </c>
      <c r="O41" s="64">
        <v>0</v>
      </c>
      <c r="P41" s="64">
        <v>0.71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5" t="s">
        <v>567</v>
      </c>
      <c r="B42" s="64">
        <v>7.17</v>
      </c>
      <c r="C42" s="64">
        <v>6.26</v>
      </c>
      <c r="D42" s="64">
        <v>9.02</v>
      </c>
      <c r="E42" s="64">
        <v>4.5599999999999996</v>
      </c>
      <c r="F42" s="64">
        <v>3.87</v>
      </c>
      <c r="G42" s="64">
        <v>41.86</v>
      </c>
      <c r="H42" s="64">
        <v>14.12</v>
      </c>
      <c r="I42" s="64">
        <v>4.68</v>
      </c>
      <c r="J42" s="64">
        <v>0.62</v>
      </c>
      <c r="K42" s="64">
        <v>339.97</v>
      </c>
      <c r="L42" s="64">
        <v>32.28</v>
      </c>
      <c r="M42" s="64">
        <v>65.94</v>
      </c>
      <c r="N42" s="64">
        <v>474.8</v>
      </c>
      <c r="O42" s="64">
        <v>0</v>
      </c>
      <c r="P42" s="64">
        <v>0.61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568</v>
      </c>
      <c r="B43" s="64">
        <v>7.2</v>
      </c>
      <c r="C43" s="64">
        <v>6.68</v>
      </c>
      <c r="D43" s="64">
        <v>9.27</v>
      </c>
      <c r="E43" s="64">
        <v>5.05</v>
      </c>
      <c r="F43" s="64">
        <v>4.67</v>
      </c>
      <c r="G43" s="64">
        <v>41.86</v>
      </c>
      <c r="H43" s="64">
        <v>14.12</v>
      </c>
      <c r="I43" s="64">
        <v>4.75</v>
      </c>
      <c r="J43" s="64">
        <v>0.7</v>
      </c>
      <c r="K43" s="64">
        <v>332.99</v>
      </c>
      <c r="L43" s="64">
        <v>32.369999999999997</v>
      </c>
      <c r="M43" s="64">
        <v>68.16</v>
      </c>
      <c r="N43" s="64">
        <v>525.79999999999995</v>
      </c>
      <c r="O43" s="64">
        <v>0</v>
      </c>
      <c r="P43" s="64">
        <v>0.62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569</v>
      </c>
      <c r="B44" s="64">
        <v>7</v>
      </c>
      <c r="C44" s="64">
        <v>7.13</v>
      </c>
      <c r="D44" s="64">
        <v>9.34</v>
      </c>
      <c r="E44" s="64">
        <v>4.9400000000000004</v>
      </c>
      <c r="F44" s="64">
        <v>4.24</v>
      </c>
      <c r="G44" s="64">
        <v>41.86</v>
      </c>
      <c r="H44" s="64">
        <v>14.12</v>
      </c>
      <c r="I44" s="64">
        <v>4.6900000000000004</v>
      </c>
      <c r="J44" s="64">
        <v>0.76</v>
      </c>
      <c r="K44" s="64">
        <v>337.33</v>
      </c>
      <c r="L44" s="64">
        <v>31.97</v>
      </c>
      <c r="M44" s="64">
        <v>72.13</v>
      </c>
      <c r="N44" s="64">
        <v>572.1</v>
      </c>
      <c r="O44" s="64">
        <v>0</v>
      </c>
      <c r="P44" s="64">
        <v>0.63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570</v>
      </c>
      <c r="B45" s="64">
        <v>6.78</v>
      </c>
      <c r="C45" s="64">
        <v>8.02</v>
      </c>
      <c r="D45" s="64">
        <v>9.6300000000000008</v>
      </c>
      <c r="E45" s="64">
        <v>4.9800000000000004</v>
      </c>
      <c r="F45" s="64">
        <v>3.75</v>
      </c>
      <c r="G45" s="64">
        <v>42.21</v>
      </c>
      <c r="H45" s="64">
        <v>14.84</v>
      </c>
      <c r="I45" s="64">
        <v>4.58</v>
      </c>
      <c r="J45" s="64">
        <v>0.71</v>
      </c>
      <c r="K45" s="64">
        <v>330.55</v>
      </c>
      <c r="L45" s="64">
        <v>32.659999999999997</v>
      </c>
      <c r="M45" s="64">
        <v>65.98</v>
      </c>
      <c r="N45" s="64">
        <v>614.5</v>
      </c>
      <c r="O45" s="64">
        <v>0</v>
      </c>
      <c r="P45" s="64">
        <v>0.63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5" t="s">
        <v>571</v>
      </c>
      <c r="B46" s="64">
        <v>6.42</v>
      </c>
      <c r="C46" s="64">
        <v>9.0299999999999994</v>
      </c>
      <c r="D46" s="64">
        <v>9.86</v>
      </c>
      <c r="E46" s="64">
        <v>4.8</v>
      </c>
      <c r="F46" s="64">
        <v>4.3</v>
      </c>
      <c r="G46" s="64">
        <v>43.15</v>
      </c>
      <c r="H46" s="64">
        <v>17.87</v>
      </c>
      <c r="I46" s="64">
        <v>4.68</v>
      </c>
      <c r="J46" s="64">
        <v>0.64</v>
      </c>
      <c r="K46" s="64">
        <v>341.46</v>
      </c>
      <c r="L46" s="64">
        <v>33.619999999999997</v>
      </c>
      <c r="M46" s="64">
        <v>62.31</v>
      </c>
      <c r="N46" s="64">
        <v>654.4</v>
      </c>
      <c r="O46" s="64">
        <v>0</v>
      </c>
      <c r="P46" s="64">
        <v>0.62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572</v>
      </c>
      <c r="B47" s="64">
        <v>5.82</v>
      </c>
      <c r="C47" s="64">
        <v>9.92</v>
      </c>
      <c r="D47" s="64">
        <v>9.85</v>
      </c>
      <c r="E47" s="64">
        <v>4.8099999999999996</v>
      </c>
      <c r="F47" s="64">
        <v>3.69</v>
      </c>
      <c r="G47" s="64">
        <v>43.15</v>
      </c>
      <c r="H47" s="64">
        <v>17.87</v>
      </c>
      <c r="I47" s="64">
        <v>4.37</v>
      </c>
      <c r="J47" s="64">
        <v>0.56000000000000005</v>
      </c>
      <c r="K47" s="64">
        <v>343.34</v>
      </c>
      <c r="L47" s="64">
        <v>34.119999999999997</v>
      </c>
      <c r="M47" s="64">
        <v>60.4</v>
      </c>
      <c r="N47" s="64">
        <v>696.9</v>
      </c>
      <c r="O47" s="64">
        <v>0</v>
      </c>
      <c r="P47" s="64">
        <v>0.63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573</v>
      </c>
      <c r="B48" s="64">
        <v>5.07</v>
      </c>
      <c r="C48" s="64">
        <v>10.33</v>
      </c>
      <c r="D48" s="64">
        <v>9.4600000000000009</v>
      </c>
      <c r="E48" s="64">
        <v>5</v>
      </c>
      <c r="F48" s="64">
        <v>4.03</v>
      </c>
      <c r="G48" s="64">
        <v>43.15</v>
      </c>
      <c r="H48" s="64">
        <v>17.87</v>
      </c>
      <c r="I48" s="64">
        <v>4.2699999999999996</v>
      </c>
      <c r="J48" s="64">
        <v>0.63</v>
      </c>
      <c r="K48" s="64">
        <v>334.85</v>
      </c>
      <c r="L48" s="64">
        <v>34.71</v>
      </c>
      <c r="M48" s="64">
        <v>56.35</v>
      </c>
      <c r="N48" s="64">
        <v>734</v>
      </c>
      <c r="O48" s="64">
        <v>0</v>
      </c>
      <c r="P48" s="64">
        <v>0.62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574</v>
      </c>
      <c r="B49" s="64">
        <v>4.3899999999999997</v>
      </c>
      <c r="C49" s="64">
        <v>11.09</v>
      </c>
      <c r="D49" s="64">
        <v>9.32</v>
      </c>
      <c r="E49" s="64">
        <v>4.58</v>
      </c>
      <c r="F49" s="64">
        <v>4.58</v>
      </c>
      <c r="G49" s="64">
        <v>43.74</v>
      </c>
      <c r="H49" s="64">
        <v>17.27</v>
      </c>
      <c r="I49" s="64">
        <v>4.24</v>
      </c>
      <c r="J49" s="64">
        <v>0.68</v>
      </c>
      <c r="K49" s="64">
        <v>332</v>
      </c>
      <c r="L49" s="64">
        <v>35.33</v>
      </c>
      <c r="M49" s="64">
        <v>53.46</v>
      </c>
      <c r="N49" s="64">
        <v>772.7</v>
      </c>
      <c r="O49" s="64">
        <v>0</v>
      </c>
      <c r="P49" s="64">
        <v>0.62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575</v>
      </c>
      <c r="B50" s="64">
        <v>3.85</v>
      </c>
      <c r="C50" s="64">
        <v>11.26</v>
      </c>
      <c r="D50" s="64">
        <v>8.9700000000000006</v>
      </c>
      <c r="E50" s="64">
        <v>4.83</v>
      </c>
      <c r="F50" s="64">
        <v>3.67</v>
      </c>
      <c r="G50" s="64">
        <v>45.28</v>
      </c>
      <c r="H50" s="64">
        <v>16.25</v>
      </c>
      <c r="I50" s="64">
        <v>4.18</v>
      </c>
      <c r="J50" s="64">
        <v>0.65</v>
      </c>
      <c r="K50" s="64">
        <v>342.28</v>
      </c>
      <c r="L50" s="64">
        <v>36.58</v>
      </c>
      <c r="M50" s="64">
        <v>50.57</v>
      </c>
      <c r="N50" s="64">
        <v>801.2</v>
      </c>
      <c r="O50" s="64">
        <v>0</v>
      </c>
      <c r="P50" s="64">
        <v>0.61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576</v>
      </c>
      <c r="B51" s="64">
        <v>3.51</v>
      </c>
      <c r="C51" s="64">
        <v>11.18</v>
      </c>
      <c r="D51" s="64">
        <v>8.66</v>
      </c>
      <c r="E51" s="64">
        <v>4.59</v>
      </c>
      <c r="F51" s="64">
        <v>4.07</v>
      </c>
      <c r="G51" s="64">
        <v>45.28</v>
      </c>
      <c r="H51" s="64">
        <v>16.25</v>
      </c>
      <c r="I51" s="64">
        <v>4</v>
      </c>
      <c r="J51" s="64">
        <v>0.83</v>
      </c>
      <c r="K51" s="64">
        <v>333.9</v>
      </c>
      <c r="L51" s="64">
        <v>36.78</v>
      </c>
      <c r="M51" s="64">
        <v>50.12</v>
      </c>
      <c r="N51" s="64">
        <v>832.8</v>
      </c>
      <c r="O51" s="64">
        <v>0</v>
      </c>
      <c r="P51" s="64">
        <v>0.59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5" t="s">
        <v>577</v>
      </c>
      <c r="B52" s="64">
        <v>3.16</v>
      </c>
      <c r="C52" s="64">
        <v>11.17</v>
      </c>
      <c r="D52" s="64">
        <v>8.3699999999999992</v>
      </c>
      <c r="E52" s="64">
        <v>4.41</v>
      </c>
      <c r="F52" s="64">
        <v>4.58</v>
      </c>
      <c r="G52" s="64">
        <v>45.28</v>
      </c>
      <c r="H52" s="64">
        <v>16.25</v>
      </c>
      <c r="I52" s="64">
        <v>3.65</v>
      </c>
      <c r="J52" s="64">
        <v>0.67</v>
      </c>
      <c r="K52" s="64">
        <v>330.82</v>
      </c>
      <c r="L52" s="64">
        <v>36.520000000000003</v>
      </c>
      <c r="M52" s="64">
        <v>51.26</v>
      </c>
      <c r="N52" s="64">
        <v>844.6</v>
      </c>
      <c r="O52" s="64">
        <v>0</v>
      </c>
      <c r="P52" s="64">
        <v>0.57999999999999996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578</v>
      </c>
      <c r="B53" s="64">
        <v>1.62</v>
      </c>
      <c r="C53" s="64">
        <v>13.25</v>
      </c>
      <c r="D53" s="64">
        <v>8.2200000000000006</v>
      </c>
      <c r="E53" s="64">
        <v>5.76</v>
      </c>
      <c r="F53" s="64">
        <v>14.22</v>
      </c>
      <c r="G53" s="64">
        <v>45.28</v>
      </c>
      <c r="H53" s="64">
        <v>16.25</v>
      </c>
      <c r="I53" s="64">
        <v>3.4</v>
      </c>
      <c r="J53" s="64">
        <v>0.65</v>
      </c>
      <c r="K53" s="64">
        <v>337.14</v>
      </c>
      <c r="L53" s="64">
        <v>36.549999999999997</v>
      </c>
      <c r="M53" s="64">
        <v>51.36</v>
      </c>
      <c r="N53" s="64">
        <v>858.9</v>
      </c>
      <c r="O53" s="64">
        <v>0</v>
      </c>
      <c r="P53" s="64">
        <v>0.49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579</v>
      </c>
      <c r="B54" s="64">
        <v>0.27</v>
      </c>
      <c r="C54" s="64">
        <v>14.18</v>
      </c>
      <c r="D54" s="64">
        <v>7.63</v>
      </c>
      <c r="E54" s="64">
        <v>6.14</v>
      </c>
      <c r="F54" s="64">
        <v>8.0500000000000007</v>
      </c>
      <c r="G54" s="64">
        <v>45.28</v>
      </c>
      <c r="H54" s="64">
        <v>16.25</v>
      </c>
      <c r="I54" s="64">
        <v>2.92</v>
      </c>
      <c r="J54" s="64">
        <v>0.7</v>
      </c>
      <c r="K54" s="64">
        <v>328.99</v>
      </c>
      <c r="L54" s="64">
        <v>36.619999999999997</v>
      </c>
      <c r="M54" s="64">
        <v>51.14</v>
      </c>
      <c r="N54" s="64">
        <v>777.2</v>
      </c>
      <c r="O54" s="64">
        <v>0</v>
      </c>
      <c r="P54" s="64">
        <v>0.48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5" t="s">
        <v>580</v>
      </c>
      <c r="B55" s="64">
        <v>0.51</v>
      </c>
      <c r="C55" s="64">
        <v>13.2</v>
      </c>
      <c r="D55" s="64">
        <v>7.3</v>
      </c>
      <c r="E55" s="64">
        <v>5.32</v>
      </c>
      <c r="F55" s="64">
        <v>7.38</v>
      </c>
      <c r="G55" s="64">
        <v>45.28</v>
      </c>
      <c r="H55" s="64">
        <v>16.25</v>
      </c>
      <c r="I55" s="64">
        <v>2.3199999999999998</v>
      </c>
      <c r="J55" s="64">
        <v>0.8</v>
      </c>
      <c r="K55" s="64">
        <v>334.65</v>
      </c>
      <c r="L55" s="64">
        <v>35.770000000000003</v>
      </c>
      <c r="M55" s="64">
        <v>52.92</v>
      </c>
      <c r="N55" s="64">
        <v>603.79999999999995</v>
      </c>
      <c r="O55" s="64">
        <v>0</v>
      </c>
      <c r="P55" s="64">
        <v>0.47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581</v>
      </c>
      <c r="B56" s="64">
        <v>0.56000000000000005</v>
      </c>
      <c r="C56" s="64">
        <v>12.7</v>
      </c>
      <c r="D56" s="64">
        <v>7.09</v>
      </c>
      <c r="E56" s="64">
        <v>6.45</v>
      </c>
      <c r="F56" s="64">
        <v>6.73</v>
      </c>
      <c r="G56" s="64">
        <v>45.28</v>
      </c>
      <c r="H56" s="64">
        <v>16.25</v>
      </c>
      <c r="I56" s="64">
        <v>2.0099999999999998</v>
      </c>
      <c r="J56" s="64">
        <v>1.55</v>
      </c>
      <c r="K56" s="64">
        <v>329.51</v>
      </c>
      <c r="L56" s="64">
        <v>34.94</v>
      </c>
      <c r="M56" s="64">
        <v>55.02</v>
      </c>
      <c r="N56" s="64">
        <v>249</v>
      </c>
      <c r="O56" s="64">
        <v>0</v>
      </c>
      <c r="P56" s="64">
        <v>0.5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5" t="s">
        <v>582</v>
      </c>
      <c r="B57" s="64">
        <v>0.93</v>
      </c>
      <c r="C57" s="64">
        <v>12.27</v>
      </c>
      <c r="D57" s="64">
        <v>7.16</v>
      </c>
      <c r="E57" s="64">
        <v>6.36</v>
      </c>
      <c r="F57" s="64">
        <v>6.39</v>
      </c>
      <c r="G57" s="210" t="s">
        <v>40</v>
      </c>
      <c r="H57" s="210" t="s">
        <v>40</v>
      </c>
      <c r="I57" s="64">
        <v>2.04</v>
      </c>
      <c r="J57" s="64">
        <v>1.75</v>
      </c>
      <c r="K57" s="64">
        <v>326.70999999999998</v>
      </c>
      <c r="L57" s="64">
        <v>34.25</v>
      </c>
      <c r="M57" s="64">
        <v>55.09</v>
      </c>
      <c r="N57" s="64">
        <v>240.1</v>
      </c>
      <c r="O57" s="64">
        <v>0</v>
      </c>
      <c r="P57" s="64">
        <v>0.47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583</v>
      </c>
      <c r="B58" s="64">
        <v>1.1200000000000001</v>
      </c>
      <c r="C58" s="64">
        <v>13.27</v>
      </c>
      <c r="D58" s="64">
        <v>7.83</v>
      </c>
      <c r="E58" s="64">
        <v>6.58</v>
      </c>
      <c r="F58" s="64">
        <v>8.14</v>
      </c>
      <c r="G58" s="210" t="s">
        <v>40</v>
      </c>
      <c r="H58" s="210" t="s">
        <v>40</v>
      </c>
      <c r="I58" s="64">
        <v>2.12</v>
      </c>
      <c r="J58" s="64">
        <v>1.1499999999999999</v>
      </c>
      <c r="K58" s="64">
        <v>329.29</v>
      </c>
      <c r="L58" s="64">
        <v>34.19</v>
      </c>
      <c r="M58" s="64">
        <v>53.82</v>
      </c>
      <c r="N58" s="64">
        <v>239.7</v>
      </c>
      <c r="O58" s="64">
        <v>0</v>
      </c>
      <c r="P58" s="64">
        <v>0.47</v>
      </c>
      <c r="Q58" s="64">
        <v>9.59</v>
      </c>
      <c r="R58" s="198"/>
      <c r="S58" s="198"/>
      <c r="T58" s="198"/>
      <c r="U58" s="198"/>
    </row>
    <row r="59" spans="1:21" s="12" customFormat="1" x14ac:dyDescent="0.25">
      <c r="A59" s="215" t="s">
        <v>584</v>
      </c>
      <c r="B59" s="64">
        <v>1.1100000000000001</v>
      </c>
      <c r="C59" s="64">
        <v>13.19</v>
      </c>
      <c r="D59" s="64">
        <v>7.78</v>
      </c>
      <c r="E59" s="64">
        <v>6.55</v>
      </c>
      <c r="F59" s="64">
        <v>5</v>
      </c>
      <c r="G59" s="210" t="s">
        <v>40</v>
      </c>
      <c r="H59" s="210" t="s">
        <v>40</v>
      </c>
      <c r="I59" s="64">
        <v>1.94</v>
      </c>
      <c r="J59" s="64">
        <v>0.91</v>
      </c>
      <c r="K59" s="64">
        <v>329.59</v>
      </c>
      <c r="L59" s="64">
        <v>34.74</v>
      </c>
      <c r="M59" s="64">
        <v>51.39</v>
      </c>
      <c r="N59" s="64">
        <v>399.8</v>
      </c>
      <c r="O59" s="64">
        <v>0</v>
      </c>
      <c r="P59" s="64">
        <v>0.49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5" t="s">
        <v>585</v>
      </c>
      <c r="B60" s="64">
        <v>1.07</v>
      </c>
      <c r="C60" s="64">
        <v>11.82</v>
      </c>
      <c r="D60" s="64">
        <v>7.03</v>
      </c>
      <c r="E60" s="64">
        <v>6.07</v>
      </c>
      <c r="F60" s="64">
        <v>5.37</v>
      </c>
      <c r="G60" s="210" t="s">
        <v>40</v>
      </c>
      <c r="H60" s="210" t="s">
        <v>40</v>
      </c>
      <c r="I60" s="64">
        <v>1.9</v>
      </c>
      <c r="J60" s="64">
        <v>1.2</v>
      </c>
      <c r="K60" s="64">
        <v>324.57</v>
      </c>
      <c r="L60" s="64">
        <v>34.479999999999997</v>
      </c>
      <c r="M60" s="64">
        <v>54.46</v>
      </c>
      <c r="N60" s="64">
        <v>241.4</v>
      </c>
      <c r="O60" s="64">
        <v>0</v>
      </c>
      <c r="P60" s="64">
        <v>0.48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586</v>
      </c>
      <c r="B61" s="64">
        <v>0.99</v>
      </c>
      <c r="C61" s="64">
        <v>11.31</v>
      </c>
      <c r="D61" s="64">
        <v>6.7</v>
      </c>
      <c r="E61" s="64">
        <v>6.06</v>
      </c>
      <c r="F61" s="64">
        <v>6.22</v>
      </c>
      <c r="G61" s="64">
        <v>118.3</v>
      </c>
      <c r="H61" s="64">
        <v>7.09</v>
      </c>
      <c r="I61" s="64">
        <v>1.98</v>
      </c>
      <c r="J61" s="64">
        <v>0.82</v>
      </c>
      <c r="K61" s="64">
        <v>323.39</v>
      </c>
      <c r="L61" s="64">
        <v>34.07</v>
      </c>
      <c r="M61" s="64">
        <v>55.12</v>
      </c>
      <c r="N61" s="64">
        <v>400.3</v>
      </c>
      <c r="O61" s="64">
        <v>0</v>
      </c>
      <c r="P61" s="64">
        <v>0.43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587</v>
      </c>
      <c r="B62" s="64">
        <v>1.08</v>
      </c>
      <c r="C62" s="64">
        <v>10.56</v>
      </c>
      <c r="D62" s="64">
        <v>6.38</v>
      </c>
      <c r="E62" s="64">
        <v>5.9</v>
      </c>
      <c r="F62" s="64">
        <v>5.28</v>
      </c>
      <c r="G62" s="64">
        <v>118.3</v>
      </c>
      <c r="H62" s="64">
        <v>7.09</v>
      </c>
      <c r="I62" s="64">
        <v>1.9</v>
      </c>
      <c r="J62" s="64">
        <v>0.49</v>
      </c>
      <c r="K62" s="64">
        <v>333.2</v>
      </c>
      <c r="L62" s="64">
        <v>34.54</v>
      </c>
      <c r="M62" s="64">
        <v>51.38</v>
      </c>
      <c r="N62" s="64">
        <v>427</v>
      </c>
      <c r="O62" s="64">
        <v>0</v>
      </c>
      <c r="P62" s="64">
        <v>0.47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588</v>
      </c>
      <c r="B63" s="64">
        <v>1.27</v>
      </c>
      <c r="C63" s="64">
        <v>10.27</v>
      </c>
      <c r="D63" s="64">
        <v>6.39</v>
      </c>
      <c r="E63" s="64">
        <v>6.35</v>
      </c>
      <c r="F63" s="64">
        <v>5.54</v>
      </c>
      <c r="G63" s="64">
        <v>118.3</v>
      </c>
      <c r="H63" s="64">
        <v>7.09</v>
      </c>
      <c r="I63" s="64">
        <v>1.68</v>
      </c>
      <c r="J63" s="64">
        <v>0.82</v>
      </c>
      <c r="K63" s="64">
        <v>326.66000000000003</v>
      </c>
      <c r="L63" s="64">
        <v>34.51</v>
      </c>
      <c r="M63" s="64">
        <v>53.07</v>
      </c>
      <c r="N63" s="64">
        <v>245.8</v>
      </c>
      <c r="O63" s="64">
        <v>0</v>
      </c>
      <c r="P63" s="64">
        <v>0.47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589</v>
      </c>
      <c r="B64" s="64">
        <v>1.4</v>
      </c>
      <c r="C64" s="64">
        <v>9.81</v>
      </c>
      <c r="D64" s="64">
        <v>6.25</v>
      </c>
      <c r="E64" s="64">
        <v>5.75</v>
      </c>
      <c r="F64" s="64">
        <v>4.13</v>
      </c>
      <c r="G64" s="64">
        <v>118.3</v>
      </c>
      <c r="H64" s="64">
        <v>7.09</v>
      </c>
      <c r="I64" s="64">
        <v>1.72</v>
      </c>
      <c r="J64" s="64">
        <v>0.52</v>
      </c>
      <c r="K64" s="64">
        <v>333.58</v>
      </c>
      <c r="L64" s="64">
        <v>34.5</v>
      </c>
      <c r="M64" s="64">
        <v>47.45</v>
      </c>
      <c r="N64" s="64">
        <v>221.9</v>
      </c>
      <c r="O64" s="64">
        <v>0</v>
      </c>
      <c r="P64" s="64">
        <v>0.45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5" t="s">
        <v>590</v>
      </c>
      <c r="B65" s="64">
        <v>1.43</v>
      </c>
      <c r="C65" s="64">
        <v>9.07</v>
      </c>
      <c r="D65" s="64">
        <v>5.88</v>
      </c>
      <c r="E65" s="64">
        <v>6.04</v>
      </c>
      <c r="F65" s="64">
        <v>4.6500000000000004</v>
      </c>
      <c r="G65" s="64">
        <v>79.180000000000007</v>
      </c>
      <c r="H65" s="64">
        <v>9.5399999999999991</v>
      </c>
      <c r="I65" s="64">
        <v>1.71</v>
      </c>
      <c r="J65" s="64">
        <v>0.85</v>
      </c>
      <c r="K65" s="64">
        <v>328.13</v>
      </c>
      <c r="L65" s="64">
        <v>34.29</v>
      </c>
      <c r="M65" s="64">
        <v>48.54</v>
      </c>
      <c r="N65" s="64">
        <v>270.7</v>
      </c>
      <c r="O65" s="64">
        <v>0</v>
      </c>
      <c r="P65" s="64">
        <v>0.44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5" t="s">
        <v>591</v>
      </c>
      <c r="B66" s="64">
        <v>1.32</v>
      </c>
      <c r="C66" s="64">
        <v>9.41</v>
      </c>
      <c r="D66" s="64">
        <v>5.98</v>
      </c>
      <c r="E66" s="64">
        <v>5.44</v>
      </c>
      <c r="F66" s="64">
        <v>4.72</v>
      </c>
      <c r="G66" s="64">
        <v>79.180000000000007</v>
      </c>
      <c r="H66" s="64">
        <v>9.5399999999999991</v>
      </c>
      <c r="I66" s="64">
        <v>1.63</v>
      </c>
      <c r="J66" s="64">
        <v>1.33</v>
      </c>
      <c r="K66" s="64">
        <v>322.45</v>
      </c>
      <c r="L66" s="64">
        <v>34.51</v>
      </c>
      <c r="M66" s="64">
        <v>48.57</v>
      </c>
      <c r="N66" s="64">
        <v>177.5</v>
      </c>
      <c r="O66" s="64">
        <v>0</v>
      </c>
      <c r="P66" s="64">
        <v>0.45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592</v>
      </c>
      <c r="B67" s="64">
        <v>1.4</v>
      </c>
      <c r="C67" s="64">
        <v>9.3000000000000007</v>
      </c>
      <c r="D67" s="64">
        <v>5.98</v>
      </c>
      <c r="E67" s="64">
        <v>5.67</v>
      </c>
      <c r="F67" s="64">
        <v>4.5599999999999996</v>
      </c>
      <c r="G67" s="64">
        <v>79.180000000000007</v>
      </c>
      <c r="H67" s="64">
        <v>9.5399999999999991</v>
      </c>
      <c r="I67" s="64">
        <v>1.68</v>
      </c>
      <c r="J67" s="64">
        <v>0.63</v>
      </c>
      <c r="K67" s="64">
        <v>337.02</v>
      </c>
      <c r="L67" s="64">
        <v>33.93</v>
      </c>
      <c r="M67" s="64">
        <v>55.8</v>
      </c>
      <c r="N67" s="64">
        <v>195</v>
      </c>
      <c r="O67" s="64">
        <v>0</v>
      </c>
      <c r="P67" s="64">
        <v>0.45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593</v>
      </c>
      <c r="B68" s="64">
        <v>1.1200000000000001</v>
      </c>
      <c r="C68" s="64">
        <v>9.08</v>
      </c>
      <c r="D68" s="64">
        <v>5.64</v>
      </c>
      <c r="E68" s="64">
        <v>5.76</v>
      </c>
      <c r="F68" s="64">
        <v>11.02</v>
      </c>
      <c r="G68" s="64">
        <v>79.180000000000007</v>
      </c>
      <c r="H68" s="64">
        <v>9.5399999999999991</v>
      </c>
      <c r="I68" s="64">
        <v>1.75</v>
      </c>
      <c r="J68" s="64">
        <v>0.41</v>
      </c>
      <c r="K68" s="64">
        <v>348.66</v>
      </c>
      <c r="L68" s="64">
        <v>32.99</v>
      </c>
      <c r="M68" s="64">
        <v>56.57</v>
      </c>
      <c r="N68" s="64">
        <v>201.9</v>
      </c>
      <c r="O68" s="64">
        <v>0</v>
      </c>
      <c r="P68" s="64">
        <v>0.39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594</v>
      </c>
      <c r="B69" s="64">
        <v>-0.15</v>
      </c>
      <c r="C69" s="64">
        <v>10.28</v>
      </c>
      <c r="D69" s="64">
        <v>5.25</v>
      </c>
      <c r="E69" s="64">
        <v>6</v>
      </c>
      <c r="F69" s="64">
        <v>13.18</v>
      </c>
      <c r="G69" s="64">
        <v>76.63</v>
      </c>
      <c r="H69" s="64">
        <v>11.3</v>
      </c>
      <c r="I69" s="64">
        <v>1.5</v>
      </c>
      <c r="J69" s="64">
        <v>0.43</v>
      </c>
      <c r="K69" s="64">
        <v>344.43</v>
      </c>
      <c r="L69" s="64">
        <v>33.15</v>
      </c>
      <c r="M69" s="64">
        <v>54.16</v>
      </c>
      <c r="N69" s="64">
        <v>192.6</v>
      </c>
      <c r="O69" s="64">
        <v>0</v>
      </c>
      <c r="P69" s="64">
        <v>0.37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595</v>
      </c>
      <c r="B70" s="64">
        <v>-0.28999999999999998</v>
      </c>
      <c r="C70" s="64">
        <v>11.1</v>
      </c>
      <c r="D70" s="64">
        <v>5.57</v>
      </c>
      <c r="E70" s="64">
        <v>6.25</v>
      </c>
      <c r="F70" s="64">
        <v>11.56</v>
      </c>
      <c r="G70" s="64">
        <v>76.63</v>
      </c>
      <c r="H70" s="64">
        <v>11.3</v>
      </c>
      <c r="I70" s="64">
        <v>1.18</v>
      </c>
      <c r="J70" s="64">
        <v>0.33</v>
      </c>
      <c r="K70" s="64">
        <v>352.78</v>
      </c>
      <c r="L70" s="64">
        <v>33.369999999999997</v>
      </c>
      <c r="M70" s="64">
        <v>49.96</v>
      </c>
      <c r="N70" s="64">
        <v>183.5</v>
      </c>
      <c r="O70" s="64">
        <v>0</v>
      </c>
      <c r="P70" s="64">
        <v>0.36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596</v>
      </c>
      <c r="B71" s="64">
        <v>0.91</v>
      </c>
      <c r="C71" s="64">
        <v>15.77</v>
      </c>
      <c r="D71" s="64">
        <v>8.9700000000000006</v>
      </c>
      <c r="E71" s="64">
        <v>6.26</v>
      </c>
      <c r="F71" s="64">
        <v>11.39</v>
      </c>
      <c r="G71" s="64">
        <v>76.63</v>
      </c>
      <c r="H71" s="64">
        <v>11.3</v>
      </c>
      <c r="I71" s="64">
        <v>1.1299999999999999</v>
      </c>
      <c r="J71" s="64">
        <v>0.45</v>
      </c>
      <c r="K71" s="64">
        <v>337.58</v>
      </c>
      <c r="L71" s="64">
        <v>33.32</v>
      </c>
      <c r="M71" s="64">
        <v>48.44</v>
      </c>
      <c r="N71" s="64">
        <v>168</v>
      </c>
      <c r="O71" s="64">
        <v>0</v>
      </c>
      <c r="P71" s="64">
        <v>0.38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597</v>
      </c>
      <c r="B72" s="64">
        <v>1.01</v>
      </c>
      <c r="C72" s="64">
        <v>14.52</v>
      </c>
      <c r="D72" s="64">
        <v>8.4</v>
      </c>
      <c r="E72" s="64">
        <v>6.93</v>
      </c>
      <c r="F72" s="64">
        <v>7.96</v>
      </c>
      <c r="G72" s="64">
        <v>76.63</v>
      </c>
      <c r="H72" s="64">
        <v>11.3</v>
      </c>
      <c r="I72" s="64">
        <v>1.05</v>
      </c>
      <c r="J72" s="64">
        <v>0.45</v>
      </c>
      <c r="K72" s="64">
        <v>335.79</v>
      </c>
      <c r="L72" s="64">
        <v>33.31</v>
      </c>
      <c r="M72" s="64">
        <v>46.72</v>
      </c>
      <c r="N72" s="64">
        <v>151.19999999999999</v>
      </c>
      <c r="O72" s="64">
        <v>0</v>
      </c>
      <c r="P72" s="64">
        <v>0.38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598</v>
      </c>
      <c r="B73" s="64">
        <v>1.29</v>
      </c>
      <c r="C73" s="64">
        <v>12.86</v>
      </c>
      <c r="D73" s="64">
        <v>7.75</v>
      </c>
      <c r="E73" s="64">
        <v>5.95</v>
      </c>
      <c r="F73" s="64">
        <v>6.41</v>
      </c>
      <c r="G73" s="64">
        <v>63.67</v>
      </c>
      <c r="H73" s="64">
        <v>10.76</v>
      </c>
      <c r="I73" s="64">
        <v>1.05</v>
      </c>
      <c r="J73" s="64">
        <v>0.22</v>
      </c>
      <c r="K73" s="64">
        <v>347.27</v>
      </c>
      <c r="L73" s="64">
        <v>33.25</v>
      </c>
      <c r="M73" s="64">
        <v>52.35</v>
      </c>
      <c r="N73" s="64">
        <v>138.80000000000001</v>
      </c>
      <c r="O73" s="64">
        <v>0</v>
      </c>
      <c r="P73" s="64">
        <v>0.39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5" t="s">
        <v>599</v>
      </c>
      <c r="B74" s="64">
        <v>1.64</v>
      </c>
      <c r="C74" s="64">
        <v>11.41</v>
      </c>
      <c r="D74" s="64">
        <v>7.28</v>
      </c>
      <c r="E74" s="64">
        <v>5.64</v>
      </c>
      <c r="F74" s="64">
        <v>5.54</v>
      </c>
      <c r="G74" s="64">
        <v>63.67</v>
      </c>
      <c r="H74" s="64">
        <v>10.76</v>
      </c>
      <c r="I74" s="64">
        <v>1.0900000000000001</v>
      </c>
      <c r="J74" s="64">
        <v>1.61</v>
      </c>
      <c r="K74" s="64">
        <v>151.13</v>
      </c>
      <c r="L74" s="64">
        <v>30.81</v>
      </c>
      <c r="M74" s="64">
        <v>64.86</v>
      </c>
      <c r="N74" s="64">
        <v>136.80000000000001</v>
      </c>
      <c r="O74" s="64">
        <v>0</v>
      </c>
      <c r="P74" s="64">
        <v>0.35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600</v>
      </c>
      <c r="B75" s="64">
        <v>1.62</v>
      </c>
      <c r="C75" s="64">
        <v>10.94</v>
      </c>
      <c r="D75" s="64">
        <v>7.02</v>
      </c>
      <c r="E75" s="64">
        <v>5.54</v>
      </c>
      <c r="F75" s="64">
        <v>6.51</v>
      </c>
      <c r="G75" s="64">
        <v>63.67</v>
      </c>
      <c r="H75" s="64">
        <v>10.76</v>
      </c>
      <c r="I75" s="64">
        <v>1.1000000000000001</v>
      </c>
      <c r="J75" s="64">
        <v>1.2</v>
      </c>
      <c r="K75" s="64">
        <v>158.57</v>
      </c>
      <c r="L75" s="64">
        <v>29.86</v>
      </c>
      <c r="M75" s="64">
        <v>65.680000000000007</v>
      </c>
      <c r="N75" s="64">
        <v>106.7</v>
      </c>
      <c r="O75" s="64">
        <v>0</v>
      </c>
      <c r="P75" s="64">
        <v>0.34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5" t="s">
        <v>601</v>
      </c>
      <c r="B76" s="64">
        <v>1.1200000000000001</v>
      </c>
      <c r="C76" s="64">
        <v>11.74</v>
      </c>
      <c r="D76" s="64">
        <v>7.03</v>
      </c>
      <c r="E76" s="64">
        <v>6.3</v>
      </c>
      <c r="F76" s="64">
        <v>8.4</v>
      </c>
      <c r="G76" s="64">
        <v>63.67</v>
      </c>
      <c r="H76" s="64">
        <v>10.76</v>
      </c>
      <c r="I76" s="64">
        <v>1.74</v>
      </c>
      <c r="J76" s="64">
        <v>1.24</v>
      </c>
      <c r="K76" s="64">
        <v>147.07</v>
      </c>
      <c r="L76" s="64">
        <v>29.45</v>
      </c>
      <c r="M76" s="64">
        <v>67.86</v>
      </c>
      <c r="N76" s="64">
        <v>68</v>
      </c>
      <c r="O76" s="64">
        <v>0</v>
      </c>
      <c r="P76" s="64">
        <v>0.32</v>
      </c>
      <c r="Q76" s="64">
        <v>9.58</v>
      </c>
      <c r="R76" s="198"/>
      <c r="S76" s="198"/>
      <c r="T76" s="198"/>
      <c r="U76" s="198"/>
    </row>
    <row r="77" spans="1:21" s="12" customFormat="1" x14ac:dyDescent="0.25">
      <c r="A77" s="215" t="s">
        <v>602</v>
      </c>
      <c r="B77" s="64">
        <v>0.84</v>
      </c>
      <c r="C77" s="64">
        <v>11.18</v>
      </c>
      <c r="D77" s="64">
        <v>6.52</v>
      </c>
      <c r="E77" s="64">
        <v>5.92</v>
      </c>
      <c r="F77" s="64">
        <v>6.45</v>
      </c>
      <c r="G77" s="64">
        <v>42.04</v>
      </c>
      <c r="H77" s="64">
        <v>8.6</v>
      </c>
      <c r="I77" s="64">
        <v>1.93</v>
      </c>
      <c r="J77" s="64">
        <v>1.67</v>
      </c>
      <c r="K77" s="64">
        <v>141.01</v>
      </c>
      <c r="L77" s="64">
        <v>28.98</v>
      </c>
      <c r="M77" s="64">
        <v>66.430000000000007</v>
      </c>
      <c r="N77" s="64">
        <v>56.6</v>
      </c>
      <c r="O77" s="64">
        <v>0</v>
      </c>
      <c r="P77" s="64">
        <v>0.31</v>
      </c>
      <c r="Q77" s="64">
        <v>9.59</v>
      </c>
      <c r="R77" s="198"/>
      <c r="S77" s="198"/>
      <c r="T77" s="198"/>
      <c r="U77" s="198"/>
    </row>
    <row r="78" spans="1:21" s="12" customFormat="1" x14ac:dyDescent="0.25">
      <c r="A78" s="215" t="s">
        <v>603</v>
      </c>
      <c r="B78" s="64">
        <v>1.04</v>
      </c>
      <c r="C78" s="64">
        <v>10.69</v>
      </c>
      <c r="D78" s="64">
        <v>6.42</v>
      </c>
      <c r="E78" s="64">
        <v>5.9</v>
      </c>
      <c r="F78" s="64">
        <v>5.31</v>
      </c>
      <c r="G78" s="64">
        <v>42.04</v>
      </c>
      <c r="H78" s="64">
        <v>8.6</v>
      </c>
      <c r="I78" s="64">
        <v>1.95</v>
      </c>
      <c r="J78" s="64">
        <v>0.76</v>
      </c>
      <c r="K78" s="64">
        <v>130.69</v>
      </c>
      <c r="L78" s="64">
        <v>28.47</v>
      </c>
      <c r="M78" s="64">
        <v>67.790000000000006</v>
      </c>
      <c r="N78" s="64">
        <v>47.3</v>
      </c>
      <c r="O78" s="64">
        <v>0</v>
      </c>
      <c r="P78" s="64">
        <v>0.31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604</v>
      </c>
      <c r="B79" s="64">
        <v>1.33</v>
      </c>
      <c r="C79" s="64">
        <v>9.77</v>
      </c>
      <c r="D79" s="64">
        <v>6.17</v>
      </c>
      <c r="E79" s="64">
        <v>5.68</v>
      </c>
      <c r="F79" s="64">
        <v>4.84</v>
      </c>
      <c r="G79" s="64">
        <v>42.04</v>
      </c>
      <c r="H79" s="64">
        <v>8.6</v>
      </c>
      <c r="I79" s="64">
        <v>2.5</v>
      </c>
      <c r="J79" s="64">
        <v>0.32</v>
      </c>
      <c r="K79" s="64">
        <v>88.98</v>
      </c>
      <c r="L79" s="64">
        <v>27.99</v>
      </c>
      <c r="M79" s="64">
        <v>71.63</v>
      </c>
      <c r="N79" s="64">
        <v>36</v>
      </c>
      <c r="O79" s="64">
        <v>0</v>
      </c>
      <c r="P79" s="64">
        <v>0.31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605</v>
      </c>
      <c r="B80" s="64">
        <v>1.43</v>
      </c>
      <c r="C80" s="64">
        <v>9.35</v>
      </c>
      <c r="D80" s="64">
        <v>6.03</v>
      </c>
      <c r="E80" s="64">
        <v>5.55</v>
      </c>
      <c r="F80" s="64">
        <v>5.34</v>
      </c>
      <c r="G80" s="64">
        <v>42.04</v>
      </c>
      <c r="H80" s="64">
        <v>8.6</v>
      </c>
      <c r="I80" s="64">
        <v>2.0699999999999998</v>
      </c>
      <c r="J80" s="64">
        <v>0.34</v>
      </c>
      <c r="K80" s="64">
        <v>95.81</v>
      </c>
      <c r="L80" s="64">
        <v>27.44</v>
      </c>
      <c r="M80" s="64">
        <v>76.23</v>
      </c>
      <c r="N80" s="64">
        <v>29.2</v>
      </c>
      <c r="O80" s="64">
        <v>0</v>
      </c>
      <c r="P80" s="64">
        <v>0.32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606</v>
      </c>
      <c r="B81" s="64">
        <v>1.57</v>
      </c>
      <c r="C81" s="64">
        <v>9.6199999999999992</v>
      </c>
      <c r="D81" s="64">
        <v>6.29</v>
      </c>
      <c r="E81" s="64">
        <v>5.79</v>
      </c>
      <c r="F81" s="64">
        <v>4.05</v>
      </c>
      <c r="G81" s="64">
        <v>46.24</v>
      </c>
      <c r="H81" s="64">
        <v>12.06</v>
      </c>
      <c r="I81" s="64">
        <v>1.72</v>
      </c>
      <c r="J81" s="64">
        <v>0.33</v>
      </c>
      <c r="K81" s="64">
        <v>12.87</v>
      </c>
      <c r="L81" s="64">
        <v>26.91</v>
      </c>
      <c r="M81" s="64">
        <v>71.05</v>
      </c>
      <c r="N81" s="64">
        <v>26.4</v>
      </c>
      <c r="O81" s="64">
        <v>0</v>
      </c>
      <c r="P81" s="64">
        <v>0.35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607</v>
      </c>
      <c r="B82" s="64">
        <v>1.85</v>
      </c>
      <c r="C82" s="64">
        <v>9.0500000000000007</v>
      </c>
      <c r="D82" s="64">
        <v>6.21</v>
      </c>
      <c r="E82" s="64">
        <v>5.54</v>
      </c>
      <c r="F82" s="64">
        <v>4.51</v>
      </c>
      <c r="G82" s="64">
        <v>46.24</v>
      </c>
      <c r="H82" s="64">
        <v>12.06</v>
      </c>
      <c r="I82" s="64">
        <v>2.0499999999999998</v>
      </c>
      <c r="J82" s="64">
        <v>0.16</v>
      </c>
      <c r="K82" s="64">
        <v>21.72</v>
      </c>
      <c r="L82" s="64">
        <v>26.73</v>
      </c>
      <c r="M82" s="64">
        <v>69.349999999999994</v>
      </c>
      <c r="N82" s="64">
        <v>26.2</v>
      </c>
      <c r="O82" s="64">
        <v>0</v>
      </c>
      <c r="P82" s="64">
        <v>0.53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608</v>
      </c>
      <c r="B83" s="64">
        <v>2.21</v>
      </c>
      <c r="C83" s="64">
        <v>9.3699999999999992</v>
      </c>
      <c r="D83" s="64">
        <v>6.67</v>
      </c>
      <c r="E83" s="64">
        <v>5.42</v>
      </c>
      <c r="F83" s="64">
        <v>4.8600000000000003</v>
      </c>
      <c r="G83" s="64">
        <v>46.24</v>
      </c>
      <c r="H83" s="64">
        <v>12.06</v>
      </c>
      <c r="I83" s="64">
        <v>1.8</v>
      </c>
      <c r="J83" s="64">
        <v>0.38</v>
      </c>
      <c r="K83" s="64">
        <v>32.9</v>
      </c>
      <c r="L83" s="64">
        <v>27.07</v>
      </c>
      <c r="M83" s="64">
        <v>66.88</v>
      </c>
      <c r="N83" s="64">
        <v>26.1</v>
      </c>
      <c r="O83" s="64">
        <v>0</v>
      </c>
      <c r="P83" s="64">
        <v>0.64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609</v>
      </c>
      <c r="B84" s="64">
        <v>2.79</v>
      </c>
      <c r="C84" s="64">
        <v>9.69</v>
      </c>
      <c r="D84" s="64">
        <v>7.3</v>
      </c>
      <c r="E84" s="64">
        <v>5.6</v>
      </c>
      <c r="F84" s="64">
        <v>4.0199999999999996</v>
      </c>
      <c r="G84" s="64">
        <v>46.24</v>
      </c>
      <c r="H84" s="64">
        <v>12.06</v>
      </c>
      <c r="I84" s="64">
        <v>1.97</v>
      </c>
      <c r="J84" s="64">
        <v>0.3</v>
      </c>
      <c r="K84" s="64">
        <v>162.06</v>
      </c>
      <c r="L84" s="64">
        <v>27.07</v>
      </c>
      <c r="M84" s="64">
        <v>67.989999999999995</v>
      </c>
      <c r="N84" s="64">
        <v>26</v>
      </c>
      <c r="O84" s="64">
        <v>0</v>
      </c>
      <c r="P84" s="64">
        <v>0.67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610</v>
      </c>
      <c r="B85" s="64">
        <v>3.04</v>
      </c>
      <c r="C85" s="64">
        <v>9.27</v>
      </c>
      <c r="D85" s="64">
        <v>7.29</v>
      </c>
      <c r="E85" s="64">
        <v>5.33</v>
      </c>
      <c r="F85" s="64">
        <v>5.45</v>
      </c>
      <c r="G85" s="64">
        <v>48.03</v>
      </c>
      <c r="H85" s="64">
        <v>12.77</v>
      </c>
      <c r="I85" s="64">
        <v>2.94</v>
      </c>
      <c r="J85" s="64">
        <v>0.09</v>
      </c>
      <c r="K85" s="64">
        <v>8.69</v>
      </c>
      <c r="L85" s="64">
        <v>27.13</v>
      </c>
      <c r="M85" s="64">
        <v>68.55</v>
      </c>
      <c r="N85" s="64">
        <v>26</v>
      </c>
      <c r="O85" s="64">
        <v>0</v>
      </c>
      <c r="P85" s="64">
        <v>0.57999999999999996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611</v>
      </c>
      <c r="B86" s="64">
        <v>3.28</v>
      </c>
      <c r="C86" s="64">
        <v>9.58</v>
      </c>
      <c r="D86" s="64">
        <v>7.64</v>
      </c>
      <c r="E86" s="64">
        <v>5.41</v>
      </c>
      <c r="F86" s="64">
        <v>4.8499999999999996</v>
      </c>
      <c r="G86" s="64">
        <v>48.03</v>
      </c>
      <c r="H86" s="64">
        <v>12.77</v>
      </c>
      <c r="I86" s="64">
        <v>2.81</v>
      </c>
      <c r="J86" s="64">
        <v>0.26</v>
      </c>
      <c r="K86" s="64">
        <v>337.56</v>
      </c>
      <c r="L86" s="64">
        <v>26.91</v>
      </c>
      <c r="M86" s="64">
        <v>72.69</v>
      </c>
      <c r="N86" s="64">
        <v>26.1</v>
      </c>
      <c r="O86" s="64">
        <v>0</v>
      </c>
      <c r="P86" s="64">
        <v>0.66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612</v>
      </c>
      <c r="B87" s="64">
        <v>3.73</v>
      </c>
      <c r="C87" s="64">
        <v>9.83</v>
      </c>
      <c r="D87" s="64">
        <v>8.1300000000000008</v>
      </c>
      <c r="E87" s="64">
        <v>5.43</v>
      </c>
      <c r="F87" s="64">
        <v>5.05</v>
      </c>
      <c r="G87" s="64">
        <v>48.03</v>
      </c>
      <c r="H87" s="64">
        <v>12.77</v>
      </c>
      <c r="I87" s="64">
        <v>2.87</v>
      </c>
      <c r="J87" s="64">
        <v>0.16</v>
      </c>
      <c r="K87" s="64">
        <v>45.66</v>
      </c>
      <c r="L87" s="64">
        <v>26.92</v>
      </c>
      <c r="M87" s="64">
        <v>76.27</v>
      </c>
      <c r="N87" s="64">
        <v>25.9</v>
      </c>
      <c r="O87" s="64">
        <v>0</v>
      </c>
      <c r="P87" s="64">
        <v>1.1000000000000001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5" t="s">
        <v>613</v>
      </c>
      <c r="B88" s="64">
        <v>5.7</v>
      </c>
      <c r="C88" s="64">
        <v>10.3</v>
      </c>
      <c r="D88" s="64">
        <v>9.9499999999999993</v>
      </c>
      <c r="E88" s="64">
        <v>4.9800000000000004</v>
      </c>
      <c r="F88" s="64">
        <v>4.4400000000000004</v>
      </c>
      <c r="G88" s="64">
        <v>48.03</v>
      </c>
      <c r="H88" s="64">
        <v>12.77</v>
      </c>
      <c r="I88" s="64">
        <v>2.9</v>
      </c>
      <c r="J88" s="64">
        <v>0.49</v>
      </c>
      <c r="K88" s="64">
        <v>7.23</v>
      </c>
      <c r="L88" s="64">
        <v>26.82</v>
      </c>
      <c r="M88" s="64">
        <v>79.81</v>
      </c>
      <c r="N88" s="64">
        <v>25.9</v>
      </c>
      <c r="O88" s="64">
        <v>0</v>
      </c>
      <c r="P88" s="64">
        <v>1.24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5" t="s">
        <v>614</v>
      </c>
      <c r="B89" s="64">
        <v>7.34</v>
      </c>
      <c r="C89" s="64">
        <v>10.46</v>
      </c>
      <c r="D89" s="64">
        <v>11.35</v>
      </c>
      <c r="E89" s="64">
        <v>5.44</v>
      </c>
      <c r="F89" s="64">
        <v>3.89</v>
      </c>
      <c r="G89" s="64">
        <v>52.96</v>
      </c>
      <c r="H89" s="64">
        <v>15.88</v>
      </c>
      <c r="I89" s="64">
        <v>4.0599999999999996</v>
      </c>
      <c r="J89" s="64">
        <v>0.42</v>
      </c>
      <c r="K89" s="64">
        <v>357.69</v>
      </c>
      <c r="L89" s="64">
        <v>26.71</v>
      </c>
      <c r="M89" s="64">
        <v>81.790000000000006</v>
      </c>
      <c r="N89" s="64">
        <v>25.8</v>
      </c>
      <c r="O89" s="64">
        <v>0</v>
      </c>
      <c r="P89" s="64">
        <v>1.1200000000000001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615</v>
      </c>
      <c r="B90" s="64">
        <v>8.66</v>
      </c>
      <c r="C90" s="64">
        <v>10.53</v>
      </c>
      <c r="D90" s="64">
        <v>12.45</v>
      </c>
      <c r="E90" s="64">
        <v>5.44</v>
      </c>
      <c r="F90" s="64">
        <v>3.85</v>
      </c>
      <c r="G90" s="64">
        <v>52.96</v>
      </c>
      <c r="H90" s="64">
        <v>15.88</v>
      </c>
      <c r="I90" s="64">
        <v>4.13</v>
      </c>
      <c r="J90" s="64">
        <v>1.02</v>
      </c>
      <c r="K90" s="64">
        <v>338.65</v>
      </c>
      <c r="L90" s="64">
        <v>27</v>
      </c>
      <c r="M90" s="64">
        <v>79.150000000000006</v>
      </c>
      <c r="N90" s="64">
        <v>25.1</v>
      </c>
      <c r="O90" s="64">
        <v>0</v>
      </c>
      <c r="P90" s="64">
        <v>0.91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616</v>
      </c>
      <c r="B91" s="64">
        <v>9.7100000000000009</v>
      </c>
      <c r="C91" s="64">
        <v>10.91</v>
      </c>
      <c r="D91" s="64">
        <v>13.48</v>
      </c>
      <c r="E91" s="64">
        <v>5.51</v>
      </c>
      <c r="F91" s="64">
        <v>3.86</v>
      </c>
      <c r="G91" s="64">
        <v>52.96</v>
      </c>
      <c r="H91" s="64">
        <v>15.88</v>
      </c>
      <c r="I91" s="64">
        <v>3.66</v>
      </c>
      <c r="J91" s="64">
        <v>1.02</v>
      </c>
      <c r="K91" s="64">
        <v>336.97</v>
      </c>
      <c r="L91" s="64">
        <v>27.31</v>
      </c>
      <c r="M91" s="64">
        <v>72.900000000000006</v>
      </c>
      <c r="N91" s="64">
        <v>25.9</v>
      </c>
      <c r="O91" s="64">
        <v>0</v>
      </c>
      <c r="P91" s="64">
        <v>0.74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617</v>
      </c>
      <c r="B92" s="64">
        <v>10.7</v>
      </c>
      <c r="C92" s="64">
        <v>11.6</v>
      </c>
      <c r="D92" s="64">
        <v>14.64</v>
      </c>
      <c r="E92" s="64">
        <v>5.79</v>
      </c>
      <c r="F92" s="64">
        <v>4.1900000000000004</v>
      </c>
      <c r="G92" s="64">
        <v>52.96</v>
      </c>
      <c r="H92" s="64">
        <v>15.88</v>
      </c>
      <c r="I92" s="64">
        <v>4</v>
      </c>
      <c r="J92" s="64">
        <v>0.19</v>
      </c>
      <c r="K92" s="64">
        <v>109.27</v>
      </c>
      <c r="L92" s="64">
        <v>26.71</v>
      </c>
      <c r="M92" s="64">
        <v>74.25</v>
      </c>
      <c r="N92" s="64">
        <v>26.5</v>
      </c>
      <c r="O92" s="64">
        <v>0</v>
      </c>
      <c r="P92" s="64">
        <v>0.77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618</v>
      </c>
      <c r="B93" s="64">
        <v>11.13</v>
      </c>
      <c r="C93" s="64">
        <v>11.13</v>
      </c>
      <c r="D93" s="64">
        <v>14.74</v>
      </c>
      <c r="E93" s="64">
        <v>5.93</v>
      </c>
      <c r="F93" s="64">
        <v>4.3</v>
      </c>
      <c r="G93" s="64">
        <v>56.2</v>
      </c>
      <c r="H93" s="64">
        <v>19.53</v>
      </c>
      <c r="I93" s="64">
        <v>4.5</v>
      </c>
      <c r="J93" s="64">
        <v>0.14000000000000001</v>
      </c>
      <c r="K93" s="64">
        <v>104.87</v>
      </c>
      <c r="L93" s="64">
        <v>26.33</v>
      </c>
      <c r="M93" s="64">
        <v>76.599999999999994</v>
      </c>
      <c r="N93" s="64">
        <v>26.3</v>
      </c>
      <c r="O93" s="64">
        <v>0</v>
      </c>
      <c r="P93" s="64">
        <v>0.77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619</v>
      </c>
      <c r="B94" s="64">
        <v>10.88</v>
      </c>
      <c r="C94" s="64">
        <v>10.71</v>
      </c>
      <c r="D94" s="64">
        <v>14.32</v>
      </c>
      <c r="E94" s="64">
        <v>5.27</v>
      </c>
      <c r="F94" s="64">
        <v>3.88</v>
      </c>
      <c r="G94" s="64">
        <v>56.2</v>
      </c>
      <c r="H94" s="64">
        <v>19.53</v>
      </c>
      <c r="I94" s="64">
        <v>4.0999999999999996</v>
      </c>
      <c r="J94" s="64">
        <v>0.35</v>
      </c>
      <c r="K94" s="64">
        <v>66.11</v>
      </c>
      <c r="L94" s="64">
        <v>26.13</v>
      </c>
      <c r="M94" s="64">
        <v>77.510000000000005</v>
      </c>
      <c r="N94" s="64">
        <v>26.1</v>
      </c>
      <c r="O94" s="64">
        <v>0</v>
      </c>
      <c r="P94" s="64">
        <v>0.55000000000000004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620</v>
      </c>
      <c r="B95" s="64">
        <v>10.37</v>
      </c>
      <c r="C95" s="64">
        <v>10.27</v>
      </c>
      <c r="D95" s="64">
        <v>13.68</v>
      </c>
      <c r="E95" s="64">
        <v>5.36</v>
      </c>
      <c r="F95" s="64">
        <v>4.43</v>
      </c>
      <c r="G95" s="64">
        <v>56.2</v>
      </c>
      <c r="H95" s="64">
        <v>19.53</v>
      </c>
      <c r="I95" s="64">
        <v>3.88</v>
      </c>
      <c r="J95" s="64">
        <v>0.11</v>
      </c>
      <c r="K95" s="64">
        <v>319.58999999999997</v>
      </c>
      <c r="L95" s="64">
        <v>26.11</v>
      </c>
      <c r="M95" s="64">
        <v>78.64</v>
      </c>
      <c r="N95" s="64">
        <v>26.1</v>
      </c>
      <c r="O95" s="64">
        <v>0</v>
      </c>
      <c r="P95" s="64">
        <v>0.62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621</v>
      </c>
      <c r="B96" s="64">
        <v>9.9700000000000006</v>
      </c>
      <c r="C96" s="64">
        <v>10.19</v>
      </c>
      <c r="D96" s="64">
        <v>13.32</v>
      </c>
      <c r="E96" s="64">
        <v>5.6</v>
      </c>
      <c r="F96" s="64">
        <v>3.59</v>
      </c>
      <c r="G96" s="64">
        <v>56.2</v>
      </c>
      <c r="H96" s="64">
        <v>19.53</v>
      </c>
      <c r="I96" s="64">
        <v>2.81</v>
      </c>
      <c r="J96" s="64">
        <v>0.44</v>
      </c>
      <c r="K96" s="64">
        <v>303.66000000000003</v>
      </c>
      <c r="L96" s="64">
        <v>25.85</v>
      </c>
      <c r="M96" s="64">
        <v>82.92</v>
      </c>
      <c r="N96" s="64">
        <v>26.3</v>
      </c>
      <c r="O96" s="64">
        <v>0</v>
      </c>
      <c r="P96" s="64">
        <v>0.79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622</v>
      </c>
      <c r="B97" s="64">
        <v>10.59</v>
      </c>
      <c r="C97" s="64">
        <v>10.42</v>
      </c>
      <c r="D97" s="64">
        <v>13.94</v>
      </c>
      <c r="E97" s="64">
        <v>5.52</v>
      </c>
      <c r="F97" s="64">
        <v>3.62</v>
      </c>
      <c r="G97" s="64">
        <v>49.64</v>
      </c>
      <c r="H97" s="64">
        <v>16.27</v>
      </c>
      <c r="I97" s="64">
        <v>2.59</v>
      </c>
      <c r="J97" s="64">
        <v>0.39</v>
      </c>
      <c r="K97" s="64">
        <v>287.82</v>
      </c>
      <c r="L97" s="64">
        <v>25.66</v>
      </c>
      <c r="M97" s="64">
        <v>83.65</v>
      </c>
      <c r="N97" s="64">
        <v>26.2</v>
      </c>
      <c r="O97" s="64">
        <v>0</v>
      </c>
      <c r="P97" s="64">
        <v>0.72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623</v>
      </c>
      <c r="B98" s="64">
        <v>10.96</v>
      </c>
      <c r="C98" s="64">
        <v>10.039999999999999</v>
      </c>
      <c r="D98" s="64">
        <v>14.04</v>
      </c>
      <c r="E98" s="64">
        <v>5.73</v>
      </c>
      <c r="F98" s="64">
        <v>3.45</v>
      </c>
      <c r="G98" s="64">
        <v>49.64</v>
      </c>
      <c r="H98" s="64">
        <v>16.27</v>
      </c>
      <c r="I98" s="64">
        <v>3.71</v>
      </c>
      <c r="J98" s="64">
        <v>0.35</v>
      </c>
      <c r="K98" s="64">
        <v>147.19</v>
      </c>
      <c r="L98" s="64">
        <v>25.58</v>
      </c>
      <c r="M98" s="64">
        <v>85.78</v>
      </c>
      <c r="N98" s="64">
        <v>26.1</v>
      </c>
      <c r="O98" s="64">
        <v>0</v>
      </c>
      <c r="P98" s="64">
        <v>0.6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624</v>
      </c>
      <c r="B99" s="64">
        <v>10.76</v>
      </c>
      <c r="C99" s="64">
        <v>9.69</v>
      </c>
      <c r="D99" s="64">
        <v>13.69</v>
      </c>
      <c r="E99" s="64">
        <v>5.51</v>
      </c>
      <c r="F99" s="64">
        <v>3.89</v>
      </c>
      <c r="G99" s="64">
        <v>49.64</v>
      </c>
      <c r="H99" s="64">
        <v>16.27</v>
      </c>
      <c r="I99" s="64">
        <v>3.41</v>
      </c>
      <c r="J99" s="64">
        <v>0.63</v>
      </c>
      <c r="K99" s="64">
        <v>135.86000000000001</v>
      </c>
      <c r="L99" s="64">
        <v>25.31</v>
      </c>
      <c r="M99" s="64">
        <v>89.54</v>
      </c>
      <c r="N99" s="64">
        <v>26.1</v>
      </c>
      <c r="O99" s="64">
        <v>0</v>
      </c>
      <c r="P99" s="64">
        <v>0.56999999999999995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625</v>
      </c>
      <c r="B100" s="64">
        <v>10.87</v>
      </c>
      <c r="C100" s="64">
        <v>9.4</v>
      </c>
      <c r="D100" s="64">
        <v>13.63</v>
      </c>
      <c r="E100" s="64">
        <v>5.4</v>
      </c>
      <c r="F100" s="64">
        <v>4.1100000000000003</v>
      </c>
      <c r="G100" s="64">
        <v>49.64</v>
      </c>
      <c r="H100" s="64">
        <v>16.27</v>
      </c>
      <c r="I100" s="64">
        <v>3.68</v>
      </c>
      <c r="J100" s="64">
        <v>0.36</v>
      </c>
      <c r="K100" s="64">
        <v>140.44</v>
      </c>
      <c r="L100" s="64">
        <v>24.99</v>
      </c>
      <c r="M100" s="64">
        <v>92.03</v>
      </c>
      <c r="N100" s="64">
        <v>26.1</v>
      </c>
      <c r="O100" s="64">
        <v>0</v>
      </c>
      <c r="P100" s="64">
        <v>0.57999999999999996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626</v>
      </c>
      <c r="B101" s="64">
        <v>11.6</v>
      </c>
      <c r="C101" s="64">
        <v>9.2899999999999991</v>
      </c>
      <c r="D101" s="64">
        <v>14.15</v>
      </c>
      <c r="E101" s="64">
        <v>5.36</v>
      </c>
      <c r="F101" s="64">
        <v>3.22</v>
      </c>
      <c r="G101" s="64">
        <v>48.56</v>
      </c>
      <c r="H101" s="64">
        <v>16.760000000000002</v>
      </c>
      <c r="I101" s="64">
        <v>2.73</v>
      </c>
      <c r="J101" s="64">
        <v>0.56999999999999995</v>
      </c>
      <c r="K101" s="64">
        <v>109.77</v>
      </c>
      <c r="L101" s="64">
        <v>24.86</v>
      </c>
      <c r="M101" s="64">
        <v>94.24</v>
      </c>
      <c r="N101" s="64">
        <v>26.1</v>
      </c>
      <c r="O101" s="64">
        <v>0</v>
      </c>
      <c r="P101" s="64">
        <v>0.49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627</v>
      </c>
      <c r="B102" s="64">
        <v>12.97</v>
      </c>
      <c r="C102" s="64">
        <v>9.18</v>
      </c>
      <c r="D102" s="64">
        <v>15.2</v>
      </c>
      <c r="E102" s="64">
        <v>5.13</v>
      </c>
      <c r="F102" s="64">
        <v>3.93</v>
      </c>
      <c r="G102" s="64">
        <v>48.56</v>
      </c>
      <c r="H102" s="64">
        <v>16.760000000000002</v>
      </c>
      <c r="I102" s="64">
        <v>2.81</v>
      </c>
      <c r="J102" s="64">
        <v>0.13</v>
      </c>
      <c r="K102" s="64">
        <v>190.58</v>
      </c>
      <c r="L102" s="64">
        <v>24.83</v>
      </c>
      <c r="M102" s="64">
        <v>93.8</v>
      </c>
      <c r="N102" s="64">
        <v>26.1</v>
      </c>
      <c r="O102" s="64">
        <v>0</v>
      </c>
      <c r="P102" s="64">
        <v>0.49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628</v>
      </c>
      <c r="B103" s="64">
        <v>13.33</v>
      </c>
      <c r="C103" s="64">
        <v>8.9600000000000009</v>
      </c>
      <c r="D103" s="64">
        <v>15.37</v>
      </c>
      <c r="E103" s="64">
        <v>5.19</v>
      </c>
      <c r="F103" s="64">
        <v>4.07</v>
      </c>
      <c r="G103" s="64">
        <v>48.56</v>
      </c>
      <c r="H103" s="64">
        <v>16.760000000000002</v>
      </c>
      <c r="I103" s="64">
        <v>2.86</v>
      </c>
      <c r="J103" s="64">
        <v>0.14000000000000001</v>
      </c>
      <c r="K103" s="64">
        <v>119.45</v>
      </c>
      <c r="L103" s="64">
        <v>24.76</v>
      </c>
      <c r="M103" s="64">
        <v>94.04</v>
      </c>
      <c r="N103" s="64">
        <v>26</v>
      </c>
      <c r="O103" s="64">
        <v>0</v>
      </c>
      <c r="P103" s="64">
        <v>0.47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629</v>
      </c>
      <c r="B104" s="64">
        <v>13.24</v>
      </c>
      <c r="C104" s="64">
        <v>8.68</v>
      </c>
      <c r="D104" s="64">
        <v>15.15</v>
      </c>
      <c r="E104" s="64">
        <v>5.93</v>
      </c>
      <c r="F104" s="64">
        <v>3.87</v>
      </c>
      <c r="G104" s="64">
        <v>48.56</v>
      </c>
      <c r="H104" s="64">
        <v>16.760000000000002</v>
      </c>
      <c r="I104" s="64">
        <v>2.66</v>
      </c>
      <c r="J104" s="64">
        <v>7.0000000000000007E-2</v>
      </c>
      <c r="K104" s="64">
        <v>272.39</v>
      </c>
      <c r="L104" s="64">
        <v>24.76</v>
      </c>
      <c r="M104" s="64">
        <v>94.61</v>
      </c>
      <c r="N104" s="64">
        <v>26.1</v>
      </c>
      <c r="O104" s="64">
        <v>0</v>
      </c>
      <c r="P104" s="64">
        <v>0.43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-0.28999999999999998</v>
      </c>
      <c r="C106" s="67">
        <f>MIN(C9:C104)</f>
        <v>4.63</v>
      </c>
      <c r="D106" s="67">
        <f t="shared" ref="D106:Q106" si="0">MIN(D9:D104)</f>
        <v>5.25</v>
      </c>
      <c r="E106" s="67">
        <f t="shared" si="0"/>
        <v>4.0199999999999996</v>
      </c>
      <c r="F106" s="67">
        <f t="shared" si="0"/>
        <v>2.72</v>
      </c>
      <c r="G106" s="67">
        <f t="shared" si="0"/>
        <v>32.93</v>
      </c>
      <c r="H106" s="67">
        <f t="shared" si="0"/>
        <v>7.09</v>
      </c>
      <c r="I106" s="67">
        <f t="shared" si="0"/>
        <v>1.05</v>
      </c>
      <c r="J106" s="67">
        <f t="shared" si="0"/>
        <v>0.03</v>
      </c>
      <c r="K106" s="67">
        <f t="shared" si="0"/>
        <v>1.98</v>
      </c>
      <c r="L106" s="67">
        <f t="shared" si="0"/>
        <v>23.56</v>
      </c>
      <c r="M106" s="67">
        <f t="shared" si="0"/>
        <v>46.72</v>
      </c>
      <c r="N106" s="67">
        <f t="shared" si="0"/>
        <v>25.1</v>
      </c>
      <c r="O106" s="67">
        <f t="shared" si="0"/>
        <v>0</v>
      </c>
      <c r="P106" s="67">
        <f t="shared" si="0"/>
        <v>0.31</v>
      </c>
      <c r="Q106" s="67">
        <f t="shared" si="0"/>
        <v>9.58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14.36</v>
      </c>
      <c r="C107" s="66">
        <f t="shared" ref="C107:Q107" si="1">MAX(C9:C104)</f>
        <v>15.77</v>
      </c>
      <c r="D107" s="66">
        <f t="shared" si="1"/>
        <v>15.54</v>
      </c>
      <c r="E107" s="66">
        <f t="shared" si="1"/>
        <v>6.93</v>
      </c>
      <c r="F107" s="66">
        <f t="shared" si="1"/>
        <v>14.22</v>
      </c>
      <c r="G107" s="66">
        <f t="shared" si="1"/>
        <v>118.3</v>
      </c>
      <c r="H107" s="66">
        <f t="shared" si="1"/>
        <v>25.22</v>
      </c>
      <c r="I107" s="66">
        <f t="shared" si="1"/>
        <v>4.75</v>
      </c>
      <c r="J107" s="66">
        <f t="shared" si="1"/>
        <v>1.75</v>
      </c>
      <c r="K107" s="66">
        <f t="shared" si="1"/>
        <v>357.69</v>
      </c>
      <c r="L107" s="66">
        <f t="shared" si="1"/>
        <v>36.78</v>
      </c>
      <c r="M107" s="66">
        <f t="shared" si="1"/>
        <v>102.82</v>
      </c>
      <c r="N107" s="66">
        <f t="shared" si="1"/>
        <v>858.9</v>
      </c>
      <c r="O107" s="66">
        <f t="shared" si="1"/>
        <v>0</v>
      </c>
      <c r="P107" s="66">
        <f t="shared" si="1"/>
        <v>1.24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5.5895833333333336</v>
      </c>
      <c r="C108" s="67">
        <f t="shared" ref="C108:Q108" si="2">AVERAGE(C9:C104)</f>
        <v>8.8259375000000002</v>
      </c>
      <c r="D108" s="67">
        <f t="shared" si="2"/>
        <v>9.0941666666666645</v>
      </c>
      <c r="E108" s="67">
        <f t="shared" si="2"/>
        <v>5.3701041666666685</v>
      </c>
      <c r="F108" s="67">
        <f t="shared" si="2"/>
        <v>4.9439583333333328</v>
      </c>
      <c r="G108" s="67">
        <f t="shared" si="2"/>
        <v>52.931847826087001</v>
      </c>
      <c r="H108" s="67">
        <f t="shared" si="2"/>
        <v>14.680326086956521</v>
      </c>
      <c r="I108" s="67">
        <f t="shared" si="2"/>
        <v>2.9929166666666682</v>
      </c>
      <c r="J108" s="67">
        <f t="shared" si="2"/>
        <v>0.51281250000000023</v>
      </c>
      <c r="K108" s="67">
        <f t="shared" si="2"/>
        <v>241.23625000000004</v>
      </c>
      <c r="L108" s="67">
        <f t="shared" si="2"/>
        <v>28.794166666666658</v>
      </c>
      <c r="M108" s="67">
        <f t="shared" si="2"/>
        <v>76.848333333333315</v>
      </c>
      <c r="N108" s="67">
        <f t="shared" si="2"/>
        <v>184.35416666666652</v>
      </c>
      <c r="O108" s="67">
        <f t="shared" si="2"/>
        <v>0</v>
      </c>
      <c r="P108" s="67">
        <f t="shared" si="2"/>
        <v>0.55968750000000012</v>
      </c>
      <c r="Q108" s="67">
        <f t="shared" si="2"/>
        <v>9.6102083333333415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3.9175104652845585</v>
      </c>
      <c r="C109" s="67">
        <f t="shared" ref="C109:Q109" si="3">STDEV(C9:C104)</f>
        <v>2.7959758970894697</v>
      </c>
      <c r="D109" s="67">
        <f t="shared" si="3"/>
        <v>2.8478378378828459</v>
      </c>
      <c r="E109" s="67">
        <f t="shared" si="3"/>
        <v>0.57968683885381722</v>
      </c>
      <c r="F109" s="67">
        <f t="shared" si="3"/>
        <v>2.0829829214079507</v>
      </c>
      <c r="G109" s="67">
        <f t="shared" si="3"/>
        <v>18.235566620058844</v>
      </c>
      <c r="H109" s="67">
        <f t="shared" si="3"/>
        <v>3.8801561798993185</v>
      </c>
      <c r="I109" s="67">
        <f t="shared" si="3"/>
        <v>1.0561747429849315</v>
      </c>
      <c r="J109" s="67">
        <f t="shared" si="3"/>
        <v>0.37398762468971108</v>
      </c>
      <c r="K109" s="67">
        <f t="shared" si="3"/>
        <v>121.7823353645433</v>
      </c>
      <c r="L109" s="67">
        <f t="shared" si="3"/>
        <v>4.2638469575248168</v>
      </c>
      <c r="M109" s="67">
        <f t="shared" si="3"/>
        <v>19.516387158470213</v>
      </c>
      <c r="N109" s="67">
        <f t="shared" si="3"/>
        <v>241.23296445625135</v>
      </c>
      <c r="O109" s="67">
        <f t="shared" si="3"/>
        <v>0</v>
      </c>
      <c r="P109" s="67">
        <f t="shared" si="3"/>
        <v>0.16698221225785159</v>
      </c>
      <c r="Q109" s="67">
        <f t="shared" si="3"/>
        <v>9.4009144758611298E-3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0" sqref="H13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630</v>
      </c>
      <c r="B9" s="64">
        <v>13.1</v>
      </c>
      <c r="C9" s="64">
        <v>8.2899999999999991</v>
      </c>
      <c r="D9" s="64">
        <v>14.84</v>
      </c>
      <c r="E9" s="64">
        <v>5.88</v>
      </c>
      <c r="F9" s="64">
        <v>4.13</v>
      </c>
      <c r="G9" s="64">
        <v>44.56</v>
      </c>
      <c r="H9" s="64">
        <v>11.73</v>
      </c>
      <c r="I9" s="64">
        <v>2.73</v>
      </c>
      <c r="J9" s="64">
        <v>0.49</v>
      </c>
      <c r="K9" s="64">
        <v>127.23</v>
      </c>
      <c r="L9" s="64">
        <v>24.69</v>
      </c>
      <c r="M9" s="64">
        <v>95.76</v>
      </c>
      <c r="N9" s="64">
        <v>26</v>
      </c>
      <c r="O9" s="64">
        <v>0</v>
      </c>
      <c r="P9" s="64">
        <v>0.43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631</v>
      </c>
      <c r="B10" s="64">
        <v>12.85</v>
      </c>
      <c r="C10" s="64">
        <v>7.76</v>
      </c>
      <c r="D10" s="64">
        <v>14.36</v>
      </c>
      <c r="E10" s="64">
        <v>5.48</v>
      </c>
      <c r="F10" s="64">
        <v>3.89</v>
      </c>
      <c r="G10" s="64">
        <v>44.56</v>
      </c>
      <c r="H10" s="64">
        <v>11.73</v>
      </c>
      <c r="I10" s="64">
        <v>2.79</v>
      </c>
      <c r="J10" s="64">
        <v>0.34</v>
      </c>
      <c r="K10" s="64">
        <v>119.25</v>
      </c>
      <c r="L10" s="64">
        <v>24.56</v>
      </c>
      <c r="M10" s="64">
        <v>98.69</v>
      </c>
      <c r="N10" s="64">
        <v>25.9</v>
      </c>
      <c r="O10" s="64">
        <v>0</v>
      </c>
      <c r="P10" s="64">
        <v>0.44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632</v>
      </c>
      <c r="B11" s="64">
        <v>12.43</v>
      </c>
      <c r="C11" s="64">
        <v>7.28</v>
      </c>
      <c r="D11" s="64">
        <v>13.77</v>
      </c>
      <c r="E11" s="64">
        <v>6.16</v>
      </c>
      <c r="F11" s="64">
        <v>3.9</v>
      </c>
      <c r="G11" s="64">
        <v>44.56</v>
      </c>
      <c r="H11" s="64">
        <v>11.73</v>
      </c>
      <c r="I11" s="64">
        <v>2.31</v>
      </c>
      <c r="J11" s="64">
        <v>0.46</v>
      </c>
      <c r="K11" s="64">
        <v>118.02</v>
      </c>
      <c r="L11" s="64">
        <v>24.55</v>
      </c>
      <c r="M11" s="64">
        <v>99.06</v>
      </c>
      <c r="N11" s="64">
        <v>25.9</v>
      </c>
      <c r="O11" s="64">
        <v>0</v>
      </c>
      <c r="P11" s="64">
        <v>0.43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633</v>
      </c>
      <c r="B12" s="64">
        <v>12.04</v>
      </c>
      <c r="C12" s="64">
        <v>7.27</v>
      </c>
      <c r="D12" s="64">
        <v>13.46</v>
      </c>
      <c r="E12" s="64">
        <v>6.08</v>
      </c>
      <c r="F12" s="64">
        <v>3.81</v>
      </c>
      <c r="G12" s="64">
        <v>44.56</v>
      </c>
      <c r="H12" s="64">
        <v>11.73</v>
      </c>
      <c r="I12" s="64">
        <v>2.2799999999999998</v>
      </c>
      <c r="J12" s="64">
        <v>0.11</v>
      </c>
      <c r="K12" s="64">
        <v>4.29</v>
      </c>
      <c r="L12" s="64">
        <v>24.55</v>
      </c>
      <c r="M12" s="64">
        <v>100.22</v>
      </c>
      <c r="N12" s="64">
        <v>26</v>
      </c>
      <c r="O12" s="64">
        <v>0</v>
      </c>
      <c r="P12" s="64">
        <v>0.53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634</v>
      </c>
      <c r="B13" s="64">
        <v>11.65</v>
      </c>
      <c r="C13" s="64">
        <v>7.43</v>
      </c>
      <c r="D13" s="64">
        <v>13.22</v>
      </c>
      <c r="E13" s="64">
        <v>6.22</v>
      </c>
      <c r="F13" s="64">
        <v>3.95</v>
      </c>
      <c r="G13" s="64">
        <v>45.32</v>
      </c>
      <c r="H13" s="64">
        <v>9.91</v>
      </c>
      <c r="I13" s="64">
        <v>2.3199999999999998</v>
      </c>
      <c r="J13" s="64">
        <v>0.46</v>
      </c>
      <c r="K13" s="64">
        <v>96.49</v>
      </c>
      <c r="L13" s="64">
        <v>24.41</v>
      </c>
      <c r="M13" s="64">
        <v>102.25</v>
      </c>
      <c r="N13" s="64">
        <v>26</v>
      </c>
      <c r="O13" s="64">
        <v>0</v>
      </c>
      <c r="P13" s="64">
        <v>0.45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635</v>
      </c>
      <c r="B14" s="64">
        <v>11.2</v>
      </c>
      <c r="C14" s="64">
        <v>7.1</v>
      </c>
      <c r="D14" s="64">
        <v>12.69</v>
      </c>
      <c r="E14" s="64">
        <v>6.02</v>
      </c>
      <c r="F14" s="64">
        <v>3.69</v>
      </c>
      <c r="G14" s="64">
        <v>45.32</v>
      </c>
      <c r="H14" s="64">
        <v>9.91</v>
      </c>
      <c r="I14" s="64">
        <v>4.0199999999999996</v>
      </c>
      <c r="J14" s="64">
        <v>0.26</v>
      </c>
      <c r="K14" s="64">
        <v>92.93</v>
      </c>
      <c r="L14" s="64">
        <v>24.26</v>
      </c>
      <c r="M14" s="64">
        <v>102.7</v>
      </c>
      <c r="N14" s="64">
        <v>26</v>
      </c>
      <c r="O14" s="64">
        <v>0</v>
      </c>
      <c r="P14" s="64">
        <v>0.46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5" t="s">
        <v>636</v>
      </c>
      <c r="B15" s="64">
        <v>10.94</v>
      </c>
      <c r="C15" s="64">
        <v>7.07</v>
      </c>
      <c r="D15" s="64">
        <v>12.46</v>
      </c>
      <c r="E15" s="64">
        <v>6.33</v>
      </c>
      <c r="F15" s="64">
        <v>3.62</v>
      </c>
      <c r="G15" s="64">
        <v>45.32</v>
      </c>
      <c r="H15" s="64">
        <v>9.91</v>
      </c>
      <c r="I15" s="64">
        <v>3.96</v>
      </c>
      <c r="J15" s="64">
        <v>0.28999999999999998</v>
      </c>
      <c r="K15" s="64">
        <v>318.16000000000003</v>
      </c>
      <c r="L15" s="64">
        <v>24.11</v>
      </c>
      <c r="M15" s="64">
        <v>102.74</v>
      </c>
      <c r="N15" s="64">
        <v>26.1</v>
      </c>
      <c r="O15" s="64">
        <v>0</v>
      </c>
      <c r="P15" s="64">
        <v>0.48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637</v>
      </c>
      <c r="B16" s="64">
        <v>11.13</v>
      </c>
      <c r="C16" s="64">
        <v>6.96</v>
      </c>
      <c r="D16" s="64">
        <v>12.56</v>
      </c>
      <c r="E16" s="64">
        <v>6.2</v>
      </c>
      <c r="F16" s="64">
        <v>3.97</v>
      </c>
      <c r="G16" s="64">
        <v>45.32</v>
      </c>
      <c r="H16" s="64">
        <v>9.91</v>
      </c>
      <c r="I16" s="64">
        <v>3.25</v>
      </c>
      <c r="J16" s="64">
        <v>0.41</v>
      </c>
      <c r="K16" s="64">
        <v>332.4</v>
      </c>
      <c r="L16" s="64">
        <v>23.98</v>
      </c>
      <c r="M16" s="64">
        <v>101.42</v>
      </c>
      <c r="N16" s="64">
        <v>26.1</v>
      </c>
      <c r="O16" s="64">
        <v>0</v>
      </c>
      <c r="P16" s="64">
        <v>0.48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638</v>
      </c>
      <c r="B17" s="64">
        <v>11</v>
      </c>
      <c r="C17" s="64">
        <v>7.02</v>
      </c>
      <c r="D17" s="64">
        <v>12.48</v>
      </c>
      <c r="E17" s="64">
        <v>6.41</v>
      </c>
      <c r="F17" s="64">
        <v>3.92</v>
      </c>
      <c r="G17" s="64">
        <v>38.47</v>
      </c>
      <c r="H17" s="64">
        <v>11.13</v>
      </c>
      <c r="I17" s="64">
        <v>2.95</v>
      </c>
      <c r="J17" s="64">
        <v>0.26</v>
      </c>
      <c r="K17" s="64">
        <v>320.3</v>
      </c>
      <c r="L17" s="64">
        <v>23.89</v>
      </c>
      <c r="M17" s="64">
        <v>97.08</v>
      </c>
      <c r="N17" s="64">
        <v>26.1</v>
      </c>
      <c r="O17" s="64">
        <v>0</v>
      </c>
      <c r="P17" s="64">
        <v>0.47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639</v>
      </c>
      <c r="B18" s="64">
        <v>10.72</v>
      </c>
      <c r="C18" s="64">
        <v>6.84</v>
      </c>
      <c r="D18" s="64">
        <v>12.17</v>
      </c>
      <c r="E18" s="64">
        <v>5.95</v>
      </c>
      <c r="F18" s="64">
        <v>3.77</v>
      </c>
      <c r="G18" s="64">
        <v>38.39</v>
      </c>
      <c r="H18" s="64">
        <v>11.13</v>
      </c>
      <c r="I18" s="64">
        <v>3.12</v>
      </c>
      <c r="J18" s="64">
        <v>0.45</v>
      </c>
      <c r="K18" s="64">
        <v>349.14</v>
      </c>
      <c r="L18" s="64">
        <v>23.94</v>
      </c>
      <c r="M18" s="64">
        <v>96.13</v>
      </c>
      <c r="N18" s="64">
        <v>26.1</v>
      </c>
      <c r="O18" s="64">
        <v>0</v>
      </c>
      <c r="P18" s="64">
        <v>0.44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640</v>
      </c>
      <c r="B19" s="64">
        <v>10.63</v>
      </c>
      <c r="C19" s="64">
        <v>6.95</v>
      </c>
      <c r="D19" s="64">
        <v>12.15</v>
      </c>
      <c r="E19" s="64">
        <v>5.96</v>
      </c>
      <c r="F19" s="64">
        <v>3.45</v>
      </c>
      <c r="G19" s="64">
        <v>38.39</v>
      </c>
      <c r="H19" s="64">
        <v>11.13</v>
      </c>
      <c r="I19" s="64">
        <v>3.14</v>
      </c>
      <c r="J19" s="64">
        <v>0.26</v>
      </c>
      <c r="K19" s="64">
        <v>314.45999999999998</v>
      </c>
      <c r="L19" s="64">
        <v>23.9</v>
      </c>
      <c r="M19" s="64">
        <v>96.91</v>
      </c>
      <c r="N19" s="64">
        <v>26</v>
      </c>
      <c r="O19" s="64">
        <v>0</v>
      </c>
      <c r="P19" s="64">
        <v>0.44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641</v>
      </c>
      <c r="B20" s="64">
        <v>10.46</v>
      </c>
      <c r="C20" s="64">
        <v>6.72</v>
      </c>
      <c r="D20" s="64">
        <v>11.9</v>
      </c>
      <c r="E20" s="64">
        <v>6.16</v>
      </c>
      <c r="F20" s="64">
        <v>3.28</v>
      </c>
      <c r="G20" s="64">
        <v>38.39</v>
      </c>
      <c r="H20" s="64">
        <v>11.13</v>
      </c>
      <c r="I20" s="64">
        <v>3.85</v>
      </c>
      <c r="J20" s="64">
        <v>0.51</v>
      </c>
      <c r="K20" s="64">
        <v>334.83</v>
      </c>
      <c r="L20" s="64">
        <v>24.04</v>
      </c>
      <c r="M20" s="64">
        <v>93.12</v>
      </c>
      <c r="N20" s="64">
        <v>26</v>
      </c>
      <c r="O20" s="64">
        <v>0</v>
      </c>
      <c r="P20" s="64">
        <v>0.49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642</v>
      </c>
      <c r="B21" s="64">
        <v>10.02</v>
      </c>
      <c r="C21" s="64">
        <v>6.36</v>
      </c>
      <c r="D21" s="64">
        <v>11.36</v>
      </c>
      <c r="E21" s="64">
        <v>6.1</v>
      </c>
      <c r="F21" s="64">
        <v>3.85</v>
      </c>
      <c r="G21" s="64">
        <v>37.93</v>
      </c>
      <c r="H21" s="64">
        <v>11.82</v>
      </c>
      <c r="I21" s="64">
        <v>3.72</v>
      </c>
      <c r="J21" s="64">
        <v>0.25</v>
      </c>
      <c r="K21" s="64">
        <v>20.39</v>
      </c>
      <c r="L21" s="64">
        <v>24</v>
      </c>
      <c r="M21" s="64">
        <v>95.78</v>
      </c>
      <c r="N21" s="64">
        <v>26.1</v>
      </c>
      <c r="O21" s="64">
        <v>0</v>
      </c>
      <c r="P21" s="64">
        <v>0.44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5" t="s">
        <v>643</v>
      </c>
      <c r="B22" s="64">
        <v>9.68</v>
      </c>
      <c r="C22" s="64">
        <v>5.88</v>
      </c>
      <c r="D22" s="64">
        <v>10.83</v>
      </c>
      <c r="E22" s="64">
        <v>5.99</v>
      </c>
      <c r="F22" s="64">
        <v>4.2300000000000004</v>
      </c>
      <c r="G22" s="64">
        <v>37.93</v>
      </c>
      <c r="H22" s="64">
        <v>11.82</v>
      </c>
      <c r="I22" s="64">
        <v>3.13</v>
      </c>
      <c r="J22" s="64">
        <v>0.4</v>
      </c>
      <c r="K22" s="64">
        <v>292.52</v>
      </c>
      <c r="L22" s="64">
        <v>23.77</v>
      </c>
      <c r="M22" s="64">
        <v>98.28</v>
      </c>
      <c r="N22" s="64">
        <v>26</v>
      </c>
      <c r="O22" s="64">
        <v>0</v>
      </c>
      <c r="P22" s="64">
        <v>0.47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644</v>
      </c>
      <c r="B23" s="64">
        <v>9.49</v>
      </c>
      <c r="C23" s="64">
        <v>5.71</v>
      </c>
      <c r="D23" s="64">
        <v>10.59</v>
      </c>
      <c r="E23" s="64">
        <v>5.92</v>
      </c>
      <c r="F23" s="64">
        <v>3.96</v>
      </c>
      <c r="G23" s="64">
        <v>37.93</v>
      </c>
      <c r="H23" s="64">
        <v>11.82</v>
      </c>
      <c r="I23" s="64">
        <v>2.37</v>
      </c>
      <c r="J23" s="64">
        <v>0.33</v>
      </c>
      <c r="K23" s="64">
        <v>286.07</v>
      </c>
      <c r="L23" s="64">
        <v>23.63</v>
      </c>
      <c r="M23" s="64">
        <v>99.21</v>
      </c>
      <c r="N23" s="64">
        <v>26.1</v>
      </c>
      <c r="O23" s="64">
        <v>0</v>
      </c>
      <c r="P23" s="64">
        <v>0.47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645</v>
      </c>
      <c r="B24" s="64">
        <v>9.35</v>
      </c>
      <c r="C24" s="64">
        <v>5.73</v>
      </c>
      <c r="D24" s="64">
        <v>10.49</v>
      </c>
      <c r="E24" s="64">
        <v>5.01</v>
      </c>
      <c r="F24" s="64">
        <v>3.86</v>
      </c>
      <c r="G24" s="64">
        <v>37.93</v>
      </c>
      <c r="H24" s="64">
        <v>11.82</v>
      </c>
      <c r="I24" s="64">
        <v>2.44</v>
      </c>
      <c r="J24" s="64">
        <v>0.25</v>
      </c>
      <c r="K24" s="64">
        <v>269.83</v>
      </c>
      <c r="L24" s="64">
        <v>23.56</v>
      </c>
      <c r="M24" s="64">
        <v>99.48</v>
      </c>
      <c r="N24" s="64">
        <v>26.1</v>
      </c>
      <c r="O24" s="64">
        <v>0</v>
      </c>
      <c r="P24" s="64">
        <v>0.45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646</v>
      </c>
      <c r="B25" s="64">
        <v>9.31</v>
      </c>
      <c r="C25" s="64">
        <v>5.78</v>
      </c>
      <c r="D25" s="64">
        <v>10.48</v>
      </c>
      <c r="E25" s="64">
        <v>5.96</v>
      </c>
      <c r="F25" s="64">
        <v>4.1399999999999997</v>
      </c>
      <c r="G25" s="64">
        <v>40.46</v>
      </c>
      <c r="H25" s="64">
        <v>16.260000000000002</v>
      </c>
      <c r="I25" s="64">
        <v>3.06</v>
      </c>
      <c r="J25" s="64">
        <v>0.48</v>
      </c>
      <c r="K25" s="64">
        <v>9.07</v>
      </c>
      <c r="L25" s="64">
        <v>23.53</v>
      </c>
      <c r="M25" s="64">
        <v>100.51</v>
      </c>
      <c r="N25" s="64">
        <v>26.1</v>
      </c>
      <c r="O25" s="64">
        <v>0</v>
      </c>
      <c r="P25" s="64">
        <v>0.46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647</v>
      </c>
      <c r="B26" s="64">
        <v>9.27</v>
      </c>
      <c r="C26" s="64">
        <v>5.71</v>
      </c>
      <c r="D26" s="64">
        <v>10.42</v>
      </c>
      <c r="E26" s="64">
        <v>5.57</v>
      </c>
      <c r="F26" s="64">
        <v>3.8</v>
      </c>
      <c r="G26" s="64">
        <v>40.49</v>
      </c>
      <c r="H26" s="64">
        <v>16.260000000000002</v>
      </c>
      <c r="I26" s="64">
        <v>3.3</v>
      </c>
      <c r="J26" s="64">
        <v>0.08</v>
      </c>
      <c r="K26" s="64">
        <v>35.61</v>
      </c>
      <c r="L26" s="64">
        <v>23.52</v>
      </c>
      <c r="M26" s="64">
        <v>101.83</v>
      </c>
      <c r="N26" s="64">
        <v>26.1</v>
      </c>
      <c r="O26" s="64">
        <v>0</v>
      </c>
      <c r="P26" s="64">
        <v>0.46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648</v>
      </c>
      <c r="B27" s="64">
        <v>9.3000000000000007</v>
      </c>
      <c r="C27" s="64">
        <v>5.55</v>
      </c>
      <c r="D27" s="64">
        <v>10.36</v>
      </c>
      <c r="E27" s="64">
        <v>5.81</v>
      </c>
      <c r="F27" s="64">
        <v>3.6</v>
      </c>
      <c r="G27" s="64">
        <v>40.49</v>
      </c>
      <c r="H27" s="64">
        <v>16.260000000000002</v>
      </c>
      <c r="I27" s="64">
        <v>3.57</v>
      </c>
      <c r="J27" s="64">
        <v>0.49</v>
      </c>
      <c r="K27" s="64">
        <v>328.16</v>
      </c>
      <c r="L27" s="64">
        <v>23.47</v>
      </c>
      <c r="M27" s="64">
        <v>102.74</v>
      </c>
      <c r="N27" s="64">
        <v>26</v>
      </c>
      <c r="O27" s="64">
        <v>0</v>
      </c>
      <c r="P27" s="64">
        <v>0.46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649</v>
      </c>
      <c r="B28" s="64">
        <v>9.5399999999999991</v>
      </c>
      <c r="C28" s="64">
        <v>5.44</v>
      </c>
      <c r="D28" s="64">
        <v>10.49</v>
      </c>
      <c r="E28" s="64">
        <v>5.84</v>
      </c>
      <c r="F28" s="64">
        <v>3.48</v>
      </c>
      <c r="G28" s="64">
        <v>40.49</v>
      </c>
      <c r="H28" s="64">
        <v>16.260000000000002</v>
      </c>
      <c r="I28" s="64">
        <v>3.25</v>
      </c>
      <c r="J28" s="64">
        <v>0.22</v>
      </c>
      <c r="K28" s="64">
        <v>322.48</v>
      </c>
      <c r="L28" s="64">
        <v>23.38</v>
      </c>
      <c r="M28" s="64">
        <v>102.76</v>
      </c>
      <c r="N28" s="64">
        <v>26.1</v>
      </c>
      <c r="O28" s="64">
        <v>0</v>
      </c>
      <c r="P28" s="64">
        <v>0.45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650</v>
      </c>
      <c r="B29" s="64">
        <v>9.7200000000000006</v>
      </c>
      <c r="C29" s="64">
        <v>5.88</v>
      </c>
      <c r="D29" s="64">
        <v>10.86</v>
      </c>
      <c r="E29" s="64">
        <v>5.76</v>
      </c>
      <c r="F29" s="64">
        <v>3.7</v>
      </c>
      <c r="G29" s="64">
        <v>39.130000000000003</v>
      </c>
      <c r="H29" s="64">
        <v>17.16</v>
      </c>
      <c r="I29" s="64">
        <v>3.17</v>
      </c>
      <c r="J29" s="64">
        <v>0.47</v>
      </c>
      <c r="K29" s="64">
        <v>341.85</v>
      </c>
      <c r="L29" s="64">
        <v>23.31</v>
      </c>
      <c r="M29" s="64">
        <v>102.01</v>
      </c>
      <c r="N29" s="64">
        <v>25.8</v>
      </c>
      <c r="O29" s="64">
        <v>0</v>
      </c>
      <c r="P29" s="64">
        <v>0.48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5" t="s">
        <v>651</v>
      </c>
      <c r="B30" s="64">
        <v>9.69</v>
      </c>
      <c r="C30" s="64">
        <v>6.15</v>
      </c>
      <c r="D30" s="64">
        <v>10.98</v>
      </c>
      <c r="E30" s="64">
        <v>6.22</v>
      </c>
      <c r="F30" s="64">
        <v>4.0199999999999996</v>
      </c>
      <c r="G30" s="64">
        <v>39.130000000000003</v>
      </c>
      <c r="H30" s="64">
        <v>17.16</v>
      </c>
      <c r="I30" s="64">
        <v>3.56</v>
      </c>
      <c r="J30" s="64">
        <v>0.48</v>
      </c>
      <c r="K30" s="64">
        <v>343.71</v>
      </c>
      <c r="L30" s="64">
        <v>23.43</v>
      </c>
      <c r="M30" s="64">
        <v>100.46</v>
      </c>
      <c r="N30" s="64">
        <v>25.8</v>
      </c>
      <c r="O30" s="64">
        <v>0</v>
      </c>
      <c r="P30" s="64">
        <v>0.46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5" t="s">
        <v>652</v>
      </c>
      <c r="B31" s="64">
        <v>9.51</v>
      </c>
      <c r="C31" s="64">
        <v>6.28</v>
      </c>
      <c r="D31" s="64">
        <v>10.91</v>
      </c>
      <c r="E31" s="64">
        <v>6.08</v>
      </c>
      <c r="F31" s="64">
        <v>3.86</v>
      </c>
      <c r="G31" s="64">
        <v>39.130000000000003</v>
      </c>
      <c r="H31" s="64">
        <v>17.16</v>
      </c>
      <c r="I31" s="64">
        <v>4.6100000000000003</v>
      </c>
      <c r="J31" s="64">
        <v>0.37</v>
      </c>
      <c r="K31" s="64">
        <v>333.7</v>
      </c>
      <c r="L31" s="64">
        <v>23.37</v>
      </c>
      <c r="M31" s="64">
        <v>101.75</v>
      </c>
      <c r="N31" s="64">
        <v>25.9</v>
      </c>
      <c r="O31" s="64">
        <v>0</v>
      </c>
      <c r="P31" s="64">
        <v>0.46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15" t="s">
        <v>653</v>
      </c>
      <c r="B32" s="64">
        <v>9.42</v>
      </c>
      <c r="C32" s="64">
        <v>6.32</v>
      </c>
      <c r="D32" s="64">
        <v>10.86</v>
      </c>
      <c r="E32" s="64">
        <v>5.73</v>
      </c>
      <c r="F32" s="64">
        <v>3.41</v>
      </c>
      <c r="G32" s="64">
        <v>39.130000000000003</v>
      </c>
      <c r="H32" s="64">
        <v>17.16</v>
      </c>
      <c r="I32" s="64">
        <v>4.7699999999999996</v>
      </c>
      <c r="J32" s="64">
        <v>0.74</v>
      </c>
      <c r="K32" s="64">
        <v>314.93</v>
      </c>
      <c r="L32" s="64">
        <v>23.49</v>
      </c>
      <c r="M32" s="64">
        <v>100.64</v>
      </c>
      <c r="N32" s="64">
        <v>27.5</v>
      </c>
      <c r="O32" s="64">
        <v>0</v>
      </c>
      <c r="P32" s="64">
        <v>0.46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5" t="s">
        <v>654</v>
      </c>
      <c r="B33" s="64">
        <v>9.44</v>
      </c>
      <c r="C33" s="64">
        <v>6.66</v>
      </c>
      <c r="D33" s="64">
        <v>11.05</v>
      </c>
      <c r="E33" s="64">
        <v>5.91</v>
      </c>
      <c r="F33" s="64">
        <v>3.72</v>
      </c>
      <c r="G33" s="64">
        <v>38.159999999999997</v>
      </c>
      <c r="H33" s="64">
        <v>18.52</v>
      </c>
      <c r="I33" s="64">
        <v>4.78</v>
      </c>
      <c r="J33" s="64">
        <v>0.49</v>
      </c>
      <c r="K33" s="64">
        <v>312.94</v>
      </c>
      <c r="L33" s="64">
        <v>23.51</v>
      </c>
      <c r="M33" s="64">
        <v>101.21</v>
      </c>
      <c r="N33" s="64">
        <v>37.4</v>
      </c>
      <c r="O33" s="64">
        <v>0</v>
      </c>
      <c r="P33" s="64">
        <v>0.47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655</v>
      </c>
      <c r="B34" s="64">
        <v>10.11</v>
      </c>
      <c r="C34" s="64">
        <v>6.9</v>
      </c>
      <c r="D34" s="64">
        <v>11.71</v>
      </c>
      <c r="E34" s="64">
        <v>6.08</v>
      </c>
      <c r="F34" s="64">
        <v>3.33</v>
      </c>
      <c r="G34" s="64">
        <v>38.159999999999997</v>
      </c>
      <c r="H34" s="64">
        <v>18.52</v>
      </c>
      <c r="I34" s="64">
        <v>4.88</v>
      </c>
      <c r="J34" s="64">
        <v>0.43</v>
      </c>
      <c r="K34" s="64">
        <v>350.48</v>
      </c>
      <c r="L34" s="64">
        <v>23.76</v>
      </c>
      <c r="M34" s="64">
        <v>100.26</v>
      </c>
      <c r="N34" s="64">
        <v>57.4</v>
      </c>
      <c r="O34" s="64">
        <v>0</v>
      </c>
      <c r="P34" s="64">
        <v>0.48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656</v>
      </c>
      <c r="B35" s="64">
        <v>10.96</v>
      </c>
      <c r="C35" s="64">
        <v>7.08</v>
      </c>
      <c r="D35" s="64">
        <v>12.49</v>
      </c>
      <c r="E35" s="64">
        <v>6.06</v>
      </c>
      <c r="F35" s="64">
        <v>3.82</v>
      </c>
      <c r="G35" s="64">
        <v>38.159999999999997</v>
      </c>
      <c r="H35" s="64">
        <v>18.52</v>
      </c>
      <c r="I35" s="64">
        <v>4.68</v>
      </c>
      <c r="J35" s="64">
        <v>0.35</v>
      </c>
      <c r="K35" s="64">
        <v>347.73</v>
      </c>
      <c r="L35" s="64">
        <v>24.52</v>
      </c>
      <c r="M35" s="64">
        <v>96.81</v>
      </c>
      <c r="N35" s="64">
        <v>102.5</v>
      </c>
      <c r="O35" s="64">
        <v>0</v>
      </c>
      <c r="P35" s="64">
        <v>0.48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657</v>
      </c>
      <c r="B36" s="64">
        <v>12.66</v>
      </c>
      <c r="C36" s="64">
        <v>7.54</v>
      </c>
      <c r="D36" s="64">
        <v>14.09</v>
      </c>
      <c r="E36" s="64">
        <v>6.02</v>
      </c>
      <c r="F36" s="64">
        <v>3.54</v>
      </c>
      <c r="G36" s="64">
        <v>38.159999999999997</v>
      </c>
      <c r="H36" s="64">
        <v>18.52</v>
      </c>
      <c r="I36" s="64">
        <v>4.37</v>
      </c>
      <c r="J36" s="64">
        <v>0.57999999999999996</v>
      </c>
      <c r="K36" s="64">
        <v>344.77</v>
      </c>
      <c r="L36" s="64">
        <v>26.62</v>
      </c>
      <c r="M36" s="64">
        <v>86.09</v>
      </c>
      <c r="N36" s="64">
        <v>152.69999999999999</v>
      </c>
      <c r="O36" s="64">
        <v>0</v>
      </c>
      <c r="P36" s="64">
        <v>0.48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658</v>
      </c>
      <c r="B37" s="64">
        <v>13.6</v>
      </c>
      <c r="C37" s="64">
        <v>8.0299999999999994</v>
      </c>
      <c r="D37" s="64">
        <v>15.1</v>
      </c>
      <c r="E37" s="64">
        <v>6.14</v>
      </c>
      <c r="F37" s="64">
        <v>3.51</v>
      </c>
      <c r="G37" s="64">
        <v>49.51</v>
      </c>
      <c r="H37" s="64">
        <v>14.96</v>
      </c>
      <c r="I37" s="64">
        <v>4.4400000000000004</v>
      </c>
      <c r="J37" s="64">
        <v>0.59</v>
      </c>
      <c r="K37" s="64">
        <v>341.25</v>
      </c>
      <c r="L37" s="64">
        <v>28.42</v>
      </c>
      <c r="M37" s="64">
        <v>78.34</v>
      </c>
      <c r="N37" s="64">
        <v>206.9</v>
      </c>
      <c r="O37" s="64">
        <v>0</v>
      </c>
      <c r="P37" s="64">
        <v>0.49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659</v>
      </c>
      <c r="B38" s="64">
        <v>14.64</v>
      </c>
      <c r="C38" s="64">
        <v>7.87</v>
      </c>
      <c r="D38" s="64">
        <v>15.85</v>
      </c>
      <c r="E38" s="64">
        <v>6.14</v>
      </c>
      <c r="F38" s="64">
        <v>3.45</v>
      </c>
      <c r="G38" s="64">
        <v>49.51</v>
      </c>
      <c r="H38" s="64">
        <v>14.96</v>
      </c>
      <c r="I38" s="64">
        <v>4.67</v>
      </c>
      <c r="J38" s="64">
        <v>0.78</v>
      </c>
      <c r="K38" s="64">
        <v>333.26</v>
      </c>
      <c r="L38" s="64">
        <v>29.93</v>
      </c>
      <c r="M38" s="64">
        <v>72.73</v>
      </c>
      <c r="N38" s="64">
        <v>264.39999999999998</v>
      </c>
      <c r="O38" s="64">
        <v>0</v>
      </c>
      <c r="P38" s="64">
        <v>0.56999999999999995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660</v>
      </c>
      <c r="B39" s="64">
        <v>15.04</v>
      </c>
      <c r="C39" s="64">
        <v>7.77</v>
      </c>
      <c r="D39" s="64">
        <v>16.13</v>
      </c>
      <c r="E39" s="64">
        <v>6.09</v>
      </c>
      <c r="F39" s="64">
        <v>3.8</v>
      </c>
      <c r="G39" s="64">
        <v>49.51</v>
      </c>
      <c r="H39" s="64">
        <v>14.96</v>
      </c>
      <c r="I39" s="64">
        <v>4.63</v>
      </c>
      <c r="J39" s="64">
        <v>0.98</v>
      </c>
      <c r="K39" s="64">
        <v>328.19</v>
      </c>
      <c r="L39" s="64">
        <v>31.58</v>
      </c>
      <c r="M39" s="64">
        <v>66.02</v>
      </c>
      <c r="N39" s="64">
        <v>323.2</v>
      </c>
      <c r="O39" s="64">
        <v>0</v>
      </c>
      <c r="P39" s="64">
        <v>0.6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661</v>
      </c>
      <c r="B40" s="64">
        <v>15.29</v>
      </c>
      <c r="C40" s="64">
        <v>8.08</v>
      </c>
      <c r="D40" s="64">
        <v>16.48</v>
      </c>
      <c r="E40" s="64">
        <v>4.9800000000000004</v>
      </c>
      <c r="F40" s="64">
        <v>3.93</v>
      </c>
      <c r="G40" s="64">
        <v>49.51</v>
      </c>
      <c r="H40" s="64">
        <v>14.96</v>
      </c>
      <c r="I40" s="64">
        <v>4.17</v>
      </c>
      <c r="J40" s="64">
        <v>1.17</v>
      </c>
      <c r="K40" s="64">
        <v>325.95999999999998</v>
      </c>
      <c r="L40" s="64">
        <v>33.020000000000003</v>
      </c>
      <c r="M40" s="64">
        <v>59.6</v>
      </c>
      <c r="N40" s="64">
        <v>387.3</v>
      </c>
      <c r="O40" s="64">
        <v>0</v>
      </c>
      <c r="P40" s="64">
        <v>0.54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5" t="s">
        <v>662</v>
      </c>
      <c r="B41" s="64">
        <v>15.25</v>
      </c>
      <c r="C41" s="64">
        <v>8.6199999999999992</v>
      </c>
      <c r="D41" s="64">
        <v>16.73</v>
      </c>
      <c r="E41" s="64">
        <v>5.85</v>
      </c>
      <c r="F41" s="64">
        <v>3.93</v>
      </c>
      <c r="G41" s="64">
        <v>53.48</v>
      </c>
      <c r="H41" s="64">
        <v>19.45</v>
      </c>
      <c r="I41" s="64">
        <v>4.01</v>
      </c>
      <c r="J41" s="64">
        <v>1.32</v>
      </c>
      <c r="K41" s="64">
        <v>335.93</v>
      </c>
      <c r="L41" s="64">
        <v>34.04</v>
      </c>
      <c r="M41" s="64">
        <v>55.79</v>
      </c>
      <c r="N41" s="64">
        <v>448.6</v>
      </c>
      <c r="O41" s="64">
        <v>0</v>
      </c>
      <c r="P41" s="64">
        <v>0.54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663</v>
      </c>
      <c r="B42" s="64">
        <v>15.18</v>
      </c>
      <c r="C42" s="64">
        <v>8.83</v>
      </c>
      <c r="D42" s="64">
        <v>16.79</v>
      </c>
      <c r="E42" s="64">
        <v>6.02</v>
      </c>
      <c r="F42" s="64">
        <v>3.82</v>
      </c>
      <c r="G42" s="64">
        <v>53.48</v>
      </c>
      <c r="H42" s="64">
        <v>19.45</v>
      </c>
      <c r="I42" s="64">
        <v>3.91</v>
      </c>
      <c r="J42" s="64">
        <v>0.91</v>
      </c>
      <c r="K42" s="64">
        <v>328.05</v>
      </c>
      <c r="L42" s="64">
        <v>34.85</v>
      </c>
      <c r="M42" s="64">
        <v>53.96</v>
      </c>
      <c r="N42" s="64">
        <v>487.5</v>
      </c>
      <c r="O42" s="64">
        <v>0</v>
      </c>
      <c r="P42" s="64">
        <v>0.56000000000000005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664</v>
      </c>
      <c r="B43" s="64">
        <v>15.04</v>
      </c>
      <c r="C43" s="64">
        <v>9.08</v>
      </c>
      <c r="D43" s="64">
        <v>16.8</v>
      </c>
      <c r="E43" s="64">
        <v>5.75</v>
      </c>
      <c r="F43" s="64">
        <v>3.84</v>
      </c>
      <c r="G43" s="64">
        <v>53.48</v>
      </c>
      <c r="H43" s="64">
        <v>19.45</v>
      </c>
      <c r="I43" s="64">
        <v>3.33</v>
      </c>
      <c r="J43" s="64">
        <v>0.72</v>
      </c>
      <c r="K43" s="64">
        <v>332.67</v>
      </c>
      <c r="L43" s="64">
        <v>35.21</v>
      </c>
      <c r="M43" s="64">
        <v>53</v>
      </c>
      <c r="N43" s="64">
        <v>545.9</v>
      </c>
      <c r="O43" s="64">
        <v>0</v>
      </c>
      <c r="P43" s="64">
        <v>0.56000000000000005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665</v>
      </c>
      <c r="B44" s="64">
        <v>14.82</v>
      </c>
      <c r="C44" s="64">
        <v>9.35</v>
      </c>
      <c r="D44" s="64">
        <v>16.77</v>
      </c>
      <c r="E44" s="64">
        <v>5.61</v>
      </c>
      <c r="F44" s="64">
        <v>3.78</v>
      </c>
      <c r="G44" s="64">
        <v>53.48</v>
      </c>
      <c r="H44" s="64">
        <v>19.45</v>
      </c>
      <c r="I44" s="64">
        <v>3</v>
      </c>
      <c r="J44" s="64">
        <v>0.91</v>
      </c>
      <c r="K44" s="64">
        <v>327.33999999999997</v>
      </c>
      <c r="L44" s="64">
        <v>35.200000000000003</v>
      </c>
      <c r="M44" s="64">
        <v>54.25</v>
      </c>
      <c r="N44" s="64">
        <v>592</v>
      </c>
      <c r="O44" s="64">
        <v>0</v>
      </c>
      <c r="P44" s="64">
        <v>0.56999999999999995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666</v>
      </c>
      <c r="B45" s="64">
        <v>14.4</v>
      </c>
      <c r="C45" s="64">
        <v>9.69</v>
      </c>
      <c r="D45" s="64">
        <v>16.61</v>
      </c>
      <c r="E45" s="64">
        <v>5.56</v>
      </c>
      <c r="F45" s="64">
        <v>4.5999999999999996</v>
      </c>
      <c r="G45" s="64">
        <v>47.8</v>
      </c>
      <c r="H45" s="64">
        <v>15.19</v>
      </c>
      <c r="I45" s="64">
        <v>2.91</v>
      </c>
      <c r="J45" s="64">
        <v>1.44</v>
      </c>
      <c r="K45" s="64">
        <v>330.66</v>
      </c>
      <c r="L45" s="64">
        <v>36.32</v>
      </c>
      <c r="M45" s="64">
        <v>50.09</v>
      </c>
      <c r="N45" s="64">
        <v>631.5</v>
      </c>
      <c r="O45" s="64">
        <v>0</v>
      </c>
      <c r="P45" s="64">
        <v>0.57999999999999996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5" t="s">
        <v>667</v>
      </c>
      <c r="B46" s="64">
        <v>13.65</v>
      </c>
      <c r="C46" s="64">
        <v>10.61</v>
      </c>
      <c r="D46" s="64">
        <v>16.489999999999998</v>
      </c>
      <c r="E46" s="64">
        <v>5.93</v>
      </c>
      <c r="F46" s="64">
        <v>4.41</v>
      </c>
      <c r="G46" s="64">
        <v>47.8</v>
      </c>
      <c r="H46" s="64">
        <v>15.19</v>
      </c>
      <c r="I46" s="64">
        <v>2.98</v>
      </c>
      <c r="J46" s="64">
        <v>1.56</v>
      </c>
      <c r="K46" s="64">
        <v>334.53</v>
      </c>
      <c r="L46" s="64">
        <v>36.85</v>
      </c>
      <c r="M46" s="64">
        <v>48.07</v>
      </c>
      <c r="N46" s="64">
        <v>675.4</v>
      </c>
      <c r="O46" s="64">
        <v>0</v>
      </c>
      <c r="P46" s="64">
        <v>0.56000000000000005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668</v>
      </c>
      <c r="B47" s="64">
        <v>12.51</v>
      </c>
      <c r="C47" s="64">
        <v>11.19</v>
      </c>
      <c r="D47" s="64">
        <v>15.88</v>
      </c>
      <c r="E47" s="64">
        <v>5.76</v>
      </c>
      <c r="F47" s="64">
        <v>4.42</v>
      </c>
      <c r="G47" s="64">
        <v>47.8</v>
      </c>
      <c r="H47" s="64">
        <v>15.19</v>
      </c>
      <c r="I47" s="64">
        <v>3.91</v>
      </c>
      <c r="J47" s="64">
        <v>1.48</v>
      </c>
      <c r="K47" s="64">
        <v>328.35</v>
      </c>
      <c r="L47" s="64">
        <v>37.21</v>
      </c>
      <c r="M47" s="64">
        <v>47.1</v>
      </c>
      <c r="N47" s="64">
        <v>704.2</v>
      </c>
      <c r="O47" s="64">
        <v>0</v>
      </c>
      <c r="P47" s="64">
        <v>0.56999999999999995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669</v>
      </c>
      <c r="B48" s="64">
        <v>11.47</v>
      </c>
      <c r="C48" s="64">
        <v>11.53</v>
      </c>
      <c r="D48" s="64">
        <v>15.22</v>
      </c>
      <c r="E48" s="64">
        <v>6.24</v>
      </c>
      <c r="F48" s="64">
        <v>3.92</v>
      </c>
      <c r="G48" s="64">
        <v>47.8</v>
      </c>
      <c r="H48" s="64">
        <v>15.19</v>
      </c>
      <c r="I48" s="64">
        <v>4.26</v>
      </c>
      <c r="J48" s="64">
        <v>1.2</v>
      </c>
      <c r="K48" s="64">
        <v>329.06</v>
      </c>
      <c r="L48" s="64">
        <v>36.96</v>
      </c>
      <c r="M48" s="64">
        <v>48.11</v>
      </c>
      <c r="N48" s="64">
        <v>734.7</v>
      </c>
      <c r="O48" s="64">
        <v>0</v>
      </c>
      <c r="P48" s="64">
        <v>0.55000000000000004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670</v>
      </c>
      <c r="B49" s="64">
        <v>10.4</v>
      </c>
      <c r="C49" s="64">
        <v>12.24</v>
      </c>
      <c r="D49" s="64">
        <v>14.74</v>
      </c>
      <c r="E49" s="64">
        <v>5.69</v>
      </c>
      <c r="F49" s="64">
        <v>4.7</v>
      </c>
      <c r="G49" s="64">
        <v>50.6</v>
      </c>
      <c r="H49" s="64">
        <v>15.77</v>
      </c>
      <c r="I49" s="64">
        <v>4.01</v>
      </c>
      <c r="J49" s="64">
        <v>1.18</v>
      </c>
      <c r="K49" s="64">
        <v>330.8</v>
      </c>
      <c r="L49" s="64">
        <v>36.72</v>
      </c>
      <c r="M49" s="64">
        <v>48.98</v>
      </c>
      <c r="N49" s="64">
        <v>763.3</v>
      </c>
      <c r="O49" s="64">
        <v>0</v>
      </c>
      <c r="P49" s="64">
        <v>0.57999999999999996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5" t="s">
        <v>671</v>
      </c>
      <c r="B50" s="64">
        <v>9.6199999999999992</v>
      </c>
      <c r="C50" s="64">
        <v>12.72</v>
      </c>
      <c r="D50" s="64">
        <v>14.36</v>
      </c>
      <c r="E50" s="64">
        <v>6.32</v>
      </c>
      <c r="F50" s="64">
        <v>4</v>
      </c>
      <c r="G50" s="64">
        <v>50.6</v>
      </c>
      <c r="H50" s="64">
        <v>15.77</v>
      </c>
      <c r="I50" s="64">
        <v>3.8</v>
      </c>
      <c r="J50" s="64">
        <v>1.0900000000000001</v>
      </c>
      <c r="K50" s="64">
        <v>325.02999999999997</v>
      </c>
      <c r="L50" s="64">
        <v>37.130000000000003</v>
      </c>
      <c r="M50" s="64">
        <v>47.85</v>
      </c>
      <c r="N50" s="64">
        <v>777.7</v>
      </c>
      <c r="O50" s="64">
        <v>0</v>
      </c>
      <c r="P50" s="64">
        <v>0.59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672</v>
      </c>
      <c r="B51" s="64">
        <v>8.6999999999999993</v>
      </c>
      <c r="C51" s="64">
        <v>13.5</v>
      </c>
      <c r="D51" s="64">
        <v>14.03</v>
      </c>
      <c r="E51" s="64">
        <v>5.92</v>
      </c>
      <c r="F51" s="64">
        <v>4.62</v>
      </c>
      <c r="G51" s="64">
        <v>50.6</v>
      </c>
      <c r="H51" s="64">
        <v>15.77</v>
      </c>
      <c r="I51" s="64">
        <v>3.7</v>
      </c>
      <c r="J51" s="64">
        <v>1.1000000000000001</v>
      </c>
      <c r="K51" s="64">
        <v>328.45</v>
      </c>
      <c r="L51" s="64">
        <v>37.69</v>
      </c>
      <c r="M51" s="64">
        <v>46</v>
      </c>
      <c r="N51" s="64">
        <v>777.7</v>
      </c>
      <c r="O51" s="64">
        <v>0</v>
      </c>
      <c r="P51" s="64">
        <v>0.6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673</v>
      </c>
      <c r="B52" s="64">
        <v>7.74</v>
      </c>
      <c r="C52" s="64">
        <v>13.94</v>
      </c>
      <c r="D52" s="64">
        <v>13.49</v>
      </c>
      <c r="E52" s="64">
        <v>6.07</v>
      </c>
      <c r="F52" s="64">
        <v>3.25</v>
      </c>
      <c r="G52" s="64">
        <v>50.6</v>
      </c>
      <c r="H52" s="64">
        <v>15.77</v>
      </c>
      <c r="I52" s="64">
        <v>3.74</v>
      </c>
      <c r="J52" s="64">
        <v>1.1599999999999999</v>
      </c>
      <c r="K52" s="64">
        <v>333.19</v>
      </c>
      <c r="L52" s="64">
        <v>37.78</v>
      </c>
      <c r="M52" s="64">
        <v>45.17</v>
      </c>
      <c r="N52" s="64">
        <v>755.6</v>
      </c>
      <c r="O52" s="64">
        <v>0</v>
      </c>
      <c r="P52" s="64">
        <v>0.6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674</v>
      </c>
      <c r="B53" s="64">
        <v>6.73</v>
      </c>
      <c r="C53" s="64">
        <v>13.87</v>
      </c>
      <c r="D53" s="64">
        <v>12.64</v>
      </c>
      <c r="E53" s="64">
        <v>6.28</v>
      </c>
      <c r="F53" s="64">
        <v>4.59</v>
      </c>
      <c r="G53" s="64">
        <v>63.78</v>
      </c>
      <c r="H53" s="64">
        <v>20.16</v>
      </c>
      <c r="I53" s="64">
        <v>3.67</v>
      </c>
      <c r="J53" s="64">
        <v>0.81</v>
      </c>
      <c r="K53" s="64">
        <v>335.39</v>
      </c>
      <c r="L53" s="64">
        <v>36.93</v>
      </c>
      <c r="M53" s="64">
        <v>47.81</v>
      </c>
      <c r="N53" s="64">
        <v>771.7</v>
      </c>
      <c r="O53" s="64">
        <v>0</v>
      </c>
      <c r="P53" s="64">
        <v>0.61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5" t="s">
        <v>675</v>
      </c>
      <c r="B54" s="64">
        <v>5.93</v>
      </c>
      <c r="C54" s="64">
        <v>14.37</v>
      </c>
      <c r="D54" s="64">
        <v>12.27</v>
      </c>
      <c r="E54" s="64">
        <v>5.93</v>
      </c>
      <c r="F54" s="64">
        <v>4.24</v>
      </c>
      <c r="G54" s="64">
        <v>63.78</v>
      </c>
      <c r="H54" s="64">
        <v>20.16</v>
      </c>
      <c r="I54" s="64">
        <v>3.07</v>
      </c>
      <c r="J54" s="64">
        <v>1.53</v>
      </c>
      <c r="K54" s="64">
        <v>336.12</v>
      </c>
      <c r="L54" s="64">
        <v>36.630000000000003</v>
      </c>
      <c r="M54" s="64">
        <v>48.6</v>
      </c>
      <c r="N54" s="64">
        <v>622.70000000000005</v>
      </c>
      <c r="O54" s="64">
        <v>0</v>
      </c>
      <c r="P54" s="64">
        <v>0.62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676</v>
      </c>
      <c r="B55" s="64">
        <v>5.46</v>
      </c>
      <c r="C55" s="64">
        <v>14.29</v>
      </c>
      <c r="D55" s="64">
        <v>11.85</v>
      </c>
      <c r="E55" s="64">
        <v>6.42</v>
      </c>
      <c r="F55" s="64">
        <v>3.63</v>
      </c>
      <c r="G55" s="64">
        <v>63.78</v>
      </c>
      <c r="H55" s="64">
        <v>20.16</v>
      </c>
      <c r="I55" s="64">
        <v>3.1</v>
      </c>
      <c r="J55" s="64">
        <v>1.37</v>
      </c>
      <c r="K55" s="64">
        <v>331.07</v>
      </c>
      <c r="L55" s="64">
        <v>36.92</v>
      </c>
      <c r="M55" s="64">
        <v>46.98</v>
      </c>
      <c r="N55" s="64">
        <v>714.8</v>
      </c>
      <c r="O55" s="64">
        <v>0</v>
      </c>
      <c r="P55" s="64">
        <v>0.64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677</v>
      </c>
      <c r="B56" s="64">
        <v>5.05</v>
      </c>
      <c r="C56" s="64">
        <v>13.83</v>
      </c>
      <c r="D56" s="64">
        <v>11.28</v>
      </c>
      <c r="E56" s="64">
        <v>6.17</v>
      </c>
      <c r="F56" s="64">
        <v>4.3899999999999997</v>
      </c>
      <c r="G56" s="64">
        <v>63.78</v>
      </c>
      <c r="H56" s="64">
        <v>20.16</v>
      </c>
      <c r="I56" s="64">
        <v>3.2</v>
      </c>
      <c r="J56" s="64">
        <v>1.51</v>
      </c>
      <c r="K56" s="64">
        <v>334.46</v>
      </c>
      <c r="L56" s="64">
        <v>37.1</v>
      </c>
      <c r="M56" s="64">
        <v>44.23</v>
      </c>
      <c r="N56" s="64">
        <v>421</v>
      </c>
      <c r="O56" s="64">
        <v>0</v>
      </c>
      <c r="P56" s="64">
        <v>0.6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678</v>
      </c>
      <c r="B57" s="64">
        <v>4.72</v>
      </c>
      <c r="C57" s="64">
        <v>13.7</v>
      </c>
      <c r="D57" s="64">
        <v>10.94</v>
      </c>
      <c r="E57" s="64">
        <v>5.5</v>
      </c>
      <c r="F57" s="64">
        <v>4.97</v>
      </c>
      <c r="G57" s="64">
        <v>65.78</v>
      </c>
      <c r="H57" s="64">
        <v>29.64</v>
      </c>
      <c r="I57" s="64">
        <v>2.95</v>
      </c>
      <c r="J57" s="64">
        <v>0.86</v>
      </c>
      <c r="K57" s="64">
        <v>342.56</v>
      </c>
      <c r="L57" s="64">
        <v>35.46</v>
      </c>
      <c r="M57" s="64">
        <v>47.6</v>
      </c>
      <c r="N57" s="64">
        <v>429.3</v>
      </c>
      <c r="O57" s="64">
        <v>0</v>
      </c>
      <c r="P57" s="64">
        <v>0.56000000000000005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679</v>
      </c>
      <c r="B58" s="64">
        <v>4.41</v>
      </c>
      <c r="C58" s="64">
        <v>13.77</v>
      </c>
      <c r="D58" s="64">
        <v>10.73</v>
      </c>
      <c r="E58" s="64">
        <v>5.67</v>
      </c>
      <c r="F58" s="64">
        <v>5.03</v>
      </c>
      <c r="G58" s="64">
        <v>65.78</v>
      </c>
      <c r="H58" s="64">
        <v>29.64</v>
      </c>
      <c r="I58" s="64">
        <v>2.57</v>
      </c>
      <c r="J58" s="64">
        <v>2</v>
      </c>
      <c r="K58" s="64">
        <v>334.59</v>
      </c>
      <c r="L58" s="64">
        <v>36.36</v>
      </c>
      <c r="M58" s="64">
        <v>45.34</v>
      </c>
      <c r="N58" s="64">
        <v>397.2</v>
      </c>
      <c r="O58" s="64">
        <v>0</v>
      </c>
      <c r="P58" s="64">
        <v>0.61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680</v>
      </c>
      <c r="B59" s="64">
        <v>4.07</v>
      </c>
      <c r="C59" s="64">
        <v>13.9</v>
      </c>
      <c r="D59" s="64">
        <v>10.53</v>
      </c>
      <c r="E59" s="64">
        <v>5.91</v>
      </c>
      <c r="F59" s="64">
        <v>5.51</v>
      </c>
      <c r="G59" s="64">
        <v>65.78</v>
      </c>
      <c r="H59" s="64">
        <v>29.64</v>
      </c>
      <c r="I59" s="64">
        <v>2.78</v>
      </c>
      <c r="J59" s="64">
        <v>1.7</v>
      </c>
      <c r="K59" s="64">
        <v>331.7</v>
      </c>
      <c r="L59" s="64">
        <v>36.36</v>
      </c>
      <c r="M59" s="64">
        <v>44.7</v>
      </c>
      <c r="N59" s="64">
        <v>386.9</v>
      </c>
      <c r="O59" s="64">
        <v>0</v>
      </c>
      <c r="P59" s="64">
        <v>0.55000000000000004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681</v>
      </c>
      <c r="B60" s="64">
        <v>3.84</v>
      </c>
      <c r="C60" s="64">
        <v>13.71</v>
      </c>
      <c r="D60" s="64">
        <v>10.24</v>
      </c>
      <c r="E60" s="64">
        <v>5.55</v>
      </c>
      <c r="F60" s="64">
        <v>5.13</v>
      </c>
      <c r="G60" s="64">
        <v>65.78</v>
      </c>
      <c r="H60" s="64">
        <v>29.64</v>
      </c>
      <c r="I60" s="64">
        <v>2.95</v>
      </c>
      <c r="J60" s="64">
        <v>1.07</v>
      </c>
      <c r="K60" s="64">
        <v>327.20999999999998</v>
      </c>
      <c r="L60" s="64">
        <v>36.03</v>
      </c>
      <c r="M60" s="64">
        <v>44.92</v>
      </c>
      <c r="N60" s="64">
        <v>346.9</v>
      </c>
      <c r="O60" s="64">
        <v>0</v>
      </c>
      <c r="P60" s="64">
        <v>0.56000000000000005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682</v>
      </c>
      <c r="B61" s="64">
        <v>3.68</v>
      </c>
      <c r="C61" s="64">
        <v>13.44</v>
      </c>
      <c r="D61" s="64">
        <v>9.9700000000000006</v>
      </c>
      <c r="E61" s="64">
        <v>5.83</v>
      </c>
      <c r="F61" s="64">
        <v>6.63</v>
      </c>
      <c r="G61" s="64">
        <v>68.11</v>
      </c>
      <c r="H61" s="64">
        <v>26.27</v>
      </c>
      <c r="I61" s="64">
        <v>2.4900000000000002</v>
      </c>
      <c r="J61" s="64">
        <v>1.58</v>
      </c>
      <c r="K61" s="64">
        <v>326.56</v>
      </c>
      <c r="L61" s="64">
        <v>35.520000000000003</v>
      </c>
      <c r="M61" s="64">
        <v>44.8</v>
      </c>
      <c r="N61" s="64">
        <v>495.6</v>
      </c>
      <c r="O61" s="64">
        <v>0</v>
      </c>
      <c r="P61" s="64">
        <v>0.52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683</v>
      </c>
      <c r="B62" s="64">
        <v>3.55</v>
      </c>
      <c r="C62" s="64">
        <v>13.35</v>
      </c>
      <c r="D62" s="64">
        <v>9.82</v>
      </c>
      <c r="E62" s="64">
        <v>5.94</v>
      </c>
      <c r="F62" s="64">
        <v>5.56</v>
      </c>
      <c r="G62" s="64">
        <v>68.11</v>
      </c>
      <c r="H62" s="64">
        <v>26.27</v>
      </c>
      <c r="I62" s="64">
        <v>2.4500000000000002</v>
      </c>
      <c r="J62" s="64">
        <v>1.08</v>
      </c>
      <c r="K62" s="64">
        <v>343.52</v>
      </c>
      <c r="L62" s="64">
        <v>34.92</v>
      </c>
      <c r="M62" s="64">
        <v>46.02</v>
      </c>
      <c r="N62" s="64">
        <v>222.8</v>
      </c>
      <c r="O62" s="64">
        <v>0</v>
      </c>
      <c r="P62" s="64">
        <v>0.55000000000000004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684</v>
      </c>
      <c r="B63" s="64">
        <v>3.44</v>
      </c>
      <c r="C63" s="64">
        <v>13.21</v>
      </c>
      <c r="D63" s="64">
        <v>9.66</v>
      </c>
      <c r="E63" s="64">
        <v>5.94</v>
      </c>
      <c r="F63" s="64">
        <v>4.9000000000000004</v>
      </c>
      <c r="G63" s="64">
        <v>68.11</v>
      </c>
      <c r="H63" s="64">
        <v>26.27</v>
      </c>
      <c r="I63" s="64">
        <v>2.59</v>
      </c>
      <c r="J63" s="64">
        <v>0.69</v>
      </c>
      <c r="K63" s="64">
        <v>345.38</v>
      </c>
      <c r="L63" s="64">
        <v>32.630000000000003</v>
      </c>
      <c r="M63" s="64">
        <v>52.4</v>
      </c>
      <c r="N63" s="64">
        <v>188.5</v>
      </c>
      <c r="O63" s="64">
        <v>0</v>
      </c>
      <c r="P63" s="64">
        <v>0.55000000000000004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685</v>
      </c>
      <c r="B64" s="64">
        <v>3.51</v>
      </c>
      <c r="C64" s="64">
        <v>12.86</v>
      </c>
      <c r="D64" s="64">
        <v>9.5399999999999991</v>
      </c>
      <c r="E64" s="64">
        <v>5.33</v>
      </c>
      <c r="F64" s="64">
        <v>4.9400000000000004</v>
      </c>
      <c r="G64" s="64">
        <v>68.11</v>
      </c>
      <c r="H64" s="64">
        <v>26.27</v>
      </c>
      <c r="I64" s="64">
        <v>2.5499999999999998</v>
      </c>
      <c r="J64" s="64">
        <v>0.92</v>
      </c>
      <c r="K64" s="64">
        <v>330.4</v>
      </c>
      <c r="L64" s="64">
        <v>32.93</v>
      </c>
      <c r="M64" s="64">
        <v>49.25</v>
      </c>
      <c r="N64" s="64">
        <v>121.7</v>
      </c>
      <c r="O64" s="64">
        <v>0</v>
      </c>
      <c r="P64" s="64">
        <v>0.59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686</v>
      </c>
      <c r="B65" s="64">
        <v>3.94</v>
      </c>
      <c r="C65" s="64">
        <v>13.58</v>
      </c>
      <c r="D65" s="64">
        <v>10.26</v>
      </c>
      <c r="E65" s="64">
        <v>5.66</v>
      </c>
      <c r="F65" s="64">
        <v>4.7</v>
      </c>
      <c r="G65" s="64">
        <v>62.5</v>
      </c>
      <c r="H65" s="64">
        <v>21.9</v>
      </c>
      <c r="I65" s="64">
        <v>2.69</v>
      </c>
      <c r="J65" s="64">
        <v>0.96</v>
      </c>
      <c r="K65" s="64">
        <v>332.2</v>
      </c>
      <c r="L65" s="64">
        <v>32.36</v>
      </c>
      <c r="M65" s="64">
        <v>51.63</v>
      </c>
      <c r="N65" s="64">
        <v>112.9</v>
      </c>
      <c r="O65" s="64">
        <v>0</v>
      </c>
      <c r="P65" s="64">
        <v>0.62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687</v>
      </c>
      <c r="B66" s="64">
        <v>4.1500000000000004</v>
      </c>
      <c r="C66" s="64">
        <v>13.2</v>
      </c>
      <c r="D66" s="64">
        <v>10.220000000000001</v>
      </c>
      <c r="E66" s="64">
        <v>5.46</v>
      </c>
      <c r="F66" s="64">
        <v>4.5199999999999996</v>
      </c>
      <c r="G66" s="64">
        <v>62.5</v>
      </c>
      <c r="H66" s="64">
        <v>21.9</v>
      </c>
      <c r="I66" s="64">
        <v>2.75</v>
      </c>
      <c r="J66" s="64">
        <v>0.45</v>
      </c>
      <c r="K66" s="64">
        <v>74.39</v>
      </c>
      <c r="L66" s="64">
        <v>31.24</v>
      </c>
      <c r="M66" s="64">
        <v>54.92</v>
      </c>
      <c r="N66" s="64">
        <v>107.4</v>
      </c>
      <c r="O66" s="64">
        <v>0</v>
      </c>
      <c r="P66" s="64">
        <v>0.49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688</v>
      </c>
      <c r="B67" s="64">
        <v>3.97</v>
      </c>
      <c r="C67" s="64">
        <v>13.22</v>
      </c>
      <c r="D67" s="64">
        <v>10.09</v>
      </c>
      <c r="E67" s="64">
        <v>5.26</v>
      </c>
      <c r="F67" s="64">
        <v>5.14</v>
      </c>
      <c r="G67" s="64">
        <v>62.5</v>
      </c>
      <c r="H67" s="64">
        <v>21.9</v>
      </c>
      <c r="I67" s="64">
        <v>2.3199999999999998</v>
      </c>
      <c r="J67" s="64">
        <v>1</v>
      </c>
      <c r="K67" s="64">
        <v>118.19</v>
      </c>
      <c r="L67" s="64">
        <v>30.43</v>
      </c>
      <c r="M67" s="64">
        <v>57.95</v>
      </c>
      <c r="N67" s="64">
        <v>93.3</v>
      </c>
      <c r="O67" s="64">
        <v>0</v>
      </c>
      <c r="P67" s="64">
        <v>0.51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5" t="s">
        <v>689</v>
      </c>
      <c r="B68" s="64">
        <v>3.45</v>
      </c>
      <c r="C68" s="64">
        <v>12.61</v>
      </c>
      <c r="D68" s="64">
        <v>9.35</v>
      </c>
      <c r="E68" s="64">
        <v>5.23</v>
      </c>
      <c r="F68" s="64">
        <v>5.21</v>
      </c>
      <c r="G68" s="64">
        <v>62.5</v>
      </c>
      <c r="H68" s="64">
        <v>21.9</v>
      </c>
      <c r="I68" s="64">
        <v>2.5499999999999998</v>
      </c>
      <c r="J68" s="64">
        <v>0.27</v>
      </c>
      <c r="K68" s="64">
        <v>28.14</v>
      </c>
      <c r="L68" s="64">
        <v>30.32</v>
      </c>
      <c r="M68" s="64">
        <v>58.15</v>
      </c>
      <c r="N68" s="64">
        <v>86.1</v>
      </c>
      <c r="O68" s="64">
        <v>0</v>
      </c>
      <c r="P68" s="64">
        <v>0.5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690</v>
      </c>
      <c r="B69" s="64">
        <v>3.12</v>
      </c>
      <c r="C69" s="64">
        <v>12.25</v>
      </c>
      <c r="D69" s="64">
        <v>8.9</v>
      </c>
      <c r="E69" s="64">
        <v>4.87</v>
      </c>
      <c r="F69" s="64">
        <v>5.48</v>
      </c>
      <c r="G69" s="64">
        <v>59.6</v>
      </c>
      <c r="H69" s="64">
        <v>25.57</v>
      </c>
      <c r="I69" s="64">
        <v>2.25</v>
      </c>
      <c r="J69" s="64">
        <v>0.72</v>
      </c>
      <c r="K69" s="64">
        <v>104.53</v>
      </c>
      <c r="L69" s="64">
        <v>30.21</v>
      </c>
      <c r="M69" s="64">
        <v>56.61</v>
      </c>
      <c r="N69" s="64">
        <v>82.1</v>
      </c>
      <c r="O69" s="64">
        <v>0</v>
      </c>
      <c r="P69" s="64">
        <v>0.53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691</v>
      </c>
      <c r="B70" s="64">
        <v>2.75</v>
      </c>
      <c r="C70" s="64">
        <v>11.73</v>
      </c>
      <c r="D70" s="64">
        <v>8.34</v>
      </c>
      <c r="E70" s="64">
        <v>5.18</v>
      </c>
      <c r="F70" s="64">
        <v>4.8099999999999996</v>
      </c>
      <c r="G70" s="64">
        <v>59.6</v>
      </c>
      <c r="H70" s="64">
        <v>25.57</v>
      </c>
      <c r="I70" s="64">
        <v>2.23</v>
      </c>
      <c r="J70" s="64">
        <v>0.54</v>
      </c>
      <c r="K70" s="64">
        <v>103</v>
      </c>
      <c r="L70" s="64">
        <v>30.08</v>
      </c>
      <c r="M70" s="64">
        <v>57.59</v>
      </c>
      <c r="N70" s="64">
        <v>83.2</v>
      </c>
      <c r="O70" s="64">
        <v>0</v>
      </c>
      <c r="P70" s="64">
        <v>0.5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5" t="s">
        <v>692</v>
      </c>
      <c r="B71" s="64">
        <v>2.67</v>
      </c>
      <c r="C71" s="64">
        <v>11.23</v>
      </c>
      <c r="D71" s="64">
        <v>8.01</v>
      </c>
      <c r="E71" s="64">
        <v>5.14</v>
      </c>
      <c r="F71" s="64">
        <v>5.51</v>
      </c>
      <c r="G71" s="64">
        <v>59.6</v>
      </c>
      <c r="H71" s="64">
        <v>25.57</v>
      </c>
      <c r="I71" s="64">
        <v>2.4500000000000002</v>
      </c>
      <c r="J71" s="64">
        <v>0.53</v>
      </c>
      <c r="K71" s="64">
        <v>99.83</v>
      </c>
      <c r="L71" s="64">
        <v>29.93</v>
      </c>
      <c r="M71" s="64">
        <v>59.59</v>
      </c>
      <c r="N71" s="64">
        <v>77.3</v>
      </c>
      <c r="O71" s="64">
        <v>0</v>
      </c>
      <c r="P71" s="64">
        <v>0.5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5" t="s">
        <v>693</v>
      </c>
      <c r="B72" s="64">
        <v>2.52</v>
      </c>
      <c r="C72" s="64">
        <v>10.59</v>
      </c>
      <c r="D72" s="64">
        <v>7.56</v>
      </c>
      <c r="E72" s="64">
        <v>5.45</v>
      </c>
      <c r="F72" s="64">
        <v>7.24</v>
      </c>
      <c r="G72" s="64">
        <v>59.6</v>
      </c>
      <c r="H72" s="64">
        <v>25.57</v>
      </c>
      <c r="I72" s="64">
        <v>2.16</v>
      </c>
      <c r="J72" s="64">
        <v>0.33</v>
      </c>
      <c r="K72" s="64">
        <v>122.37</v>
      </c>
      <c r="L72" s="64">
        <v>29.57</v>
      </c>
      <c r="M72" s="64">
        <v>61.47</v>
      </c>
      <c r="N72" s="64">
        <v>71.3</v>
      </c>
      <c r="O72" s="64">
        <v>0</v>
      </c>
      <c r="P72" s="64">
        <v>0.44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5" t="s">
        <v>694</v>
      </c>
      <c r="B73" s="64">
        <v>2.2999999999999998</v>
      </c>
      <c r="C73" s="64">
        <v>9.89</v>
      </c>
      <c r="D73" s="64">
        <v>7.01</v>
      </c>
      <c r="E73" s="64">
        <v>5.0599999999999996</v>
      </c>
      <c r="F73" s="64">
        <v>7</v>
      </c>
      <c r="G73" s="64">
        <v>55.4</v>
      </c>
      <c r="H73" s="64">
        <v>21.63</v>
      </c>
      <c r="I73" s="64">
        <v>1.48</v>
      </c>
      <c r="J73" s="64">
        <v>1.03</v>
      </c>
      <c r="K73" s="64">
        <v>116.79</v>
      </c>
      <c r="L73" s="64">
        <v>29.73</v>
      </c>
      <c r="M73" s="64">
        <v>58.3</v>
      </c>
      <c r="N73" s="64">
        <v>65.400000000000006</v>
      </c>
      <c r="O73" s="64">
        <v>0</v>
      </c>
      <c r="P73" s="64">
        <v>0.42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5" t="s">
        <v>695</v>
      </c>
      <c r="B74" s="64">
        <v>2.12</v>
      </c>
      <c r="C74" s="64">
        <v>9.41</v>
      </c>
      <c r="D74" s="64">
        <v>6.62</v>
      </c>
      <c r="E74" s="64">
        <v>5.37</v>
      </c>
      <c r="F74" s="64">
        <v>7.22</v>
      </c>
      <c r="G74" s="64">
        <v>55.4</v>
      </c>
      <c r="H74" s="64">
        <v>21.63</v>
      </c>
      <c r="I74" s="64">
        <v>1.31</v>
      </c>
      <c r="J74" s="64">
        <v>0.83</v>
      </c>
      <c r="K74" s="64">
        <v>109.56</v>
      </c>
      <c r="L74" s="64">
        <v>29.84</v>
      </c>
      <c r="M74" s="64">
        <v>55.69</v>
      </c>
      <c r="N74" s="64">
        <v>62.3</v>
      </c>
      <c r="O74" s="64">
        <v>0</v>
      </c>
      <c r="P74" s="64">
        <v>0.42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696</v>
      </c>
      <c r="B75" s="64">
        <v>1.96</v>
      </c>
      <c r="C75" s="64">
        <v>9.15</v>
      </c>
      <c r="D75" s="64">
        <v>6.35</v>
      </c>
      <c r="E75" s="64">
        <v>5.27</v>
      </c>
      <c r="F75" s="64">
        <v>7.14</v>
      </c>
      <c r="G75" s="64">
        <v>55.4</v>
      </c>
      <c r="H75" s="64">
        <v>21.63</v>
      </c>
      <c r="I75" s="64">
        <v>1.1100000000000001</v>
      </c>
      <c r="J75" s="64">
        <v>0.85</v>
      </c>
      <c r="K75" s="64">
        <v>115.51</v>
      </c>
      <c r="L75" s="64">
        <v>29.87</v>
      </c>
      <c r="M75" s="64">
        <v>53.47</v>
      </c>
      <c r="N75" s="64">
        <v>58.3</v>
      </c>
      <c r="O75" s="64">
        <v>0</v>
      </c>
      <c r="P75" s="64">
        <v>0.41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5" t="s">
        <v>697</v>
      </c>
      <c r="B76" s="64">
        <v>1.81</v>
      </c>
      <c r="C76" s="64">
        <v>8.83</v>
      </c>
      <c r="D76" s="64">
        <v>6.06</v>
      </c>
      <c r="E76" s="64">
        <v>5.37</v>
      </c>
      <c r="F76" s="64">
        <v>7.64</v>
      </c>
      <c r="G76" s="64">
        <v>55.4</v>
      </c>
      <c r="H76" s="64">
        <v>21.63</v>
      </c>
      <c r="I76" s="64">
        <v>1.1599999999999999</v>
      </c>
      <c r="J76" s="64">
        <v>0.59</v>
      </c>
      <c r="K76" s="64">
        <v>101.11</v>
      </c>
      <c r="L76" s="64">
        <v>29.76</v>
      </c>
      <c r="M76" s="64">
        <v>53.41</v>
      </c>
      <c r="N76" s="64">
        <v>53.5</v>
      </c>
      <c r="O76" s="64">
        <v>0</v>
      </c>
      <c r="P76" s="64">
        <v>0.45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698</v>
      </c>
      <c r="B77" s="64">
        <v>1.67</v>
      </c>
      <c r="C77" s="64">
        <v>8.51</v>
      </c>
      <c r="D77" s="64">
        <v>5.78</v>
      </c>
      <c r="E77" s="64">
        <v>5.26</v>
      </c>
      <c r="F77" s="64">
        <v>7.45</v>
      </c>
      <c r="G77" s="64">
        <v>47.17</v>
      </c>
      <c r="H77" s="64">
        <v>19.91</v>
      </c>
      <c r="I77" s="64">
        <v>1.4</v>
      </c>
      <c r="J77" s="64">
        <v>0.86</v>
      </c>
      <c r="K77" s="64">
        <v>117.61</v>
      </c>
      <c r="L77" s="64">
        <v>29.65</v>
      </c>
      <c r="M77" s="64">
        <v>54.45</v>
      </c>
      <c r="N77" s="64">
        <v>47.9</v>
      </c>
      <c r="O77" s="64">
        <v>0</v>
      </c>
      <c r="P77" s="64">
        <v>0.4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699</v>
      </c>
      <c r="B78" s="64">
        <v>1.59</v>
      </c>
      <c r="C78" s="64">
        <v>8.26</v>
      </c>
      <c r="D78" s="64">
        <v>5.59</v>
      </c>
      <c r="E78" s="64">
        <v>5.29</v>
      </c>
      <c r="F78" s="64">
        <v>6.93</v>
      </c>
      <c r="G78" s="64">
        <v>47.17</v>
      </c>
      <c r="H78" s="64">
        <v>19.91</v>
      </c>
      <c r="I78" s="64">
        <v>1.47</v>
      </c>
      <c r="J78" s="64">
        <v>0.14000000000000001</v>
      </c>
      <c r="K78" s="64">
        <v>169.48</v>
      </c>
      <c r="L78" s="64">
        <v>29.44</v>
      </c>
      <c r="M78" s="64">
        <v>56.97</v>
      </c>
      <c r="N78" s="64">
        <v>40</v>
      </c>
      <c r="O78" s="64">
        <v>0</v>
      </c>
      <c r="P78" s="64">
        <v>0.45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5" t="s">
        <v>700</v>
      </c>
      <c r="B79" s="64">
        <v>1.6</v>
      </c>
      <c r="C79" s="64">
        <v>9.0500000000000007</v>
      </c>
      <c r="D79" s="64">
        <v>6.02</v>
      </c>
      <c r="E79" s="64">
        <v>5.24</v>
      </c>
      <c r="F79" s="64">
        <v>5.56</v>
      </c>
      <c r="G79" s="64">
        <v>47.17</v>
      </c>
      <c r="H79" s="64">
        <v>19.91</v>
      </c>
      <c r="I79" s="64">
        <v>1.37</v>
      </c>
      <c r="J79" s="64">
        <v>0.11</v>
      </c>
      <c r="K79" s="64">
        <v>54.82</v>
      </c>
      <c r="L79" s="64">
        <v>28.78</v>
      </c>
      <c r="M79" s="64">
        <v>63.66</v>
      </c>
      <c r="N79" s="64">
        <v>32</v>
      </c>
      <c r="O79" s="64">
        <v>0</v>
      </c>
      <c r="P79" s="64">
        <v>0.47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701</v>
      </c>
      <c r="B80" s="64">
        <v>1.59</v>
      </c>
      <c r="C80" s="64">
        <v>9.34</v>
      </c>
      <c r="D80" s="64">
        <v>6.16</v>
      </c>
      <c r="E80" s="64">
        <v>5.26</v>
      </c>
      <c r="F80" s="64">
        <v>6.1</v>
      </c>
      <c r="G80" s="64">
        <v>47.17</v>
      </c>
      <c r="H80" s="64">
        <v>19.91</v>
      </c>
      <c r="I80" s="64">
        <v>1.61</v>
      </c>
      <c r="J80" s="64">
        <v>0.31</v>
      </c>
      <c r="K80" s="64">
        <v>1.52</v>
      </c>
      <c r="L80" s="64">
        <v>28.29</v>
      </c>
      <c r="M80" s="64">
        <v>68</v>
      </c>
      <c r="N80" s="64">
        <v>27.7</v>
      </c>
      <c r="O80" s="64">
        <v>0</v>
      </c>
      <c r="P80" s="64">
        <v>0.42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702</v>
      </c>
      <c r="B81" s="64">
        <v>1.64</v>
      </c>
      <c r="C81" s="64">
        <v>9.9</v>
      </c>
      <c r="D81" s="64">
        <v>6.49</v>
      </c>
      <c r="E81" s="64">
        <v>5.44</v>
      </c>
      <c r="F81" s="64">
        <v>5.07</v>
      </c>
      <c r="G81" s="64">
        <v>49.14</v>
      </c>
      <c r="H81" s="64">
        <v>18.12</v>
      </c>
      <c r="I81" s="64">
        <v>1.47</v>
      </c>
      <c r="J81" s="64">
        <v>0.36</v>
      </c>
      <c r="K81" s="64">
        <v>258.44</v>
      </c>
      <c r="L81" s="64">
        <v>27.85</v>
      </c>
      <c r="M81" s="64">
        <v>72.67</v>
      </c>
      <c r="N81" s="64">
        <v>26.3</v>
      </c>
      <c r="O81" s="64">
        <v>0</v>
      </c>
      <c r="P81" s="64">
        <v>0.62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703</v>
      </c>
      <c r="B82" s="64">
        <v>2.68</v>
      </c>
      <c r="C82" s="64">
        <v>11.38</v>
      </c>
      <c r="D82" s="64">
        <v>8.09</v>
      </c>
      <c r="E82" s="64">
        <v>5.17</v>
      </c>
      <c r="F82" s="64">
        <v>4.66</v>
      </c>
      <c r="G82" s="64">
        <v>49.14</v>
      </c>
      <c r="H82" s="64">
        <v>18.12</v>
      </c>
      <c r="I82" s="64">
        <v>1.79</v>
      </c>
      <c r="J82" s="64">
        <v>0.38</v>
      </c>
      <c r="K82" s="64">
        <v>277.13</v>
      </c>
      <c r="L82" s="64">
        <v>27.46</v>
      </c>
      <c r="M82" s="64">
        <v>76.42</v>
      </c>
      <c r="N82" s="64">
        <v>26.3</v>
      </c>
      <c r="O82" s="64">
        <v>0</v>
      </c>
      <c r="P82" s="64">
        <v>0.86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704</v>
      </c>
      <c r="B83" s="64">
        <v>5.12</v>
      </c>
      <c r="C83" s="64">
        <v>12.88</v>
      </c>
      <c r="D83" s="64">
        <v>10.84</v>
      </c>
      <c r="E83" s="64">
        <v>5.59</v>
      </c>
      <c r="F83" s="64">
        <v>3.97</v>
      </c>
      <c r="G83" s="64">
        <v>49.14</v>
      </c>
      <c r="H83" s="64">
        <v>18.12</v>
      </c>
      <c r="I83" s="64">
        <v>2.6</v>
      </c>
      <c r="J83" s="64">
        <v>0.43</v>
      </c>
      <c r="K83" s="64">
        <v>287.57</v>
      </c>
      <c r="L83" s="64">
        <v>26.91</v>
      </c>
      <c r="M83" s="64">
        <v>80</v>
      </c>
      <c r="N83" s="64">
        <v>26.3</v>
      </c>
      <c r="O83" s="64">
        <v>0</v>
      </c>
      <c r="P83" s="64">
        <v>0.84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705</v>
      </c>
      <c r="B84" s="64">
        <v>8.58</v>
      </c>
      <c r="C84" s="64">
        <v>14.4</v>
      </c>
      <c r="D84" s="64">
        <v>14.41</v>
      </c>
      <c r="E84" s="64">
        <v>5.71</v>
      </c>
      <c r="F84" s="64">
        <v>4</v>
      </c>
      <c r="G84" s="64">
        <v>49.14</v>
      </c>
      <c r="H84" s="64">
        <v>18.12</v>
      </c>
      <c r="I84" s="64">
        <v>3.43</v>
      </c>
      <c r="J84" s="64">
        <v>0.49</v>
      </c>
      <c r="K84" s="64">
        <v>266.95</v>
      </c>
      <c r="L84" s="64">
        <v>26.61</v>
      </c>
      <c r="M84" s="64">
        <v>84.41</v>
      </c>
      <c r="N84" s="64">
        <v>26.1</v>
      </c>
      <c r="O84" s="64">
        <v>0</v>
      </c>
      <c r="P84" s="64">
        <v>1.23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5" t="s">
        <v>706</v>
      </c>
      <c r="B85" s="64">
        <v>13.02</v>
      </c>
      <c r="C85" s="64">
        <v>14.95</v>
      </c>
      <c r="D85" s="64">
        <v>18.260000000000002</v>
      </c>
      <c r="E85" s="64">
        <v>6.28</v>
      </c>
      <c r="F85" s="64">
        <v>3.96</v>
      </c>
      <c r="G85" s="64">
        <v>62.9</v>
      </c>
      <c r="H85" s="64">
        <v>25.81</v>
      </c>
      <c r="I85" s="64">
        <v>4.22</v>
      </c>
      <c r="J85" s="64">
        <v>0.46</v>
      </c>
      <c r="K85" s="64">
        <v>266.67</v>
      </c>
      <c r="L85" s="64">
        <v>26.42</v>
      </c>
      <c r="M85" s="64">
        <v>85.04</v>
      </c>
      <c r="N85" s="64">
        <v>26</v>
      </c>
      <c r="O85" s="64">
        <v>0</v>
      </c>
      <c r="P85" s="64">
        <v>1.0900000000000001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5" t="s">
        <v>707</v>
      </c>
      <c r="B86" s="64">
        <v>16.36</v>
      </c>
      <c r="C86" s="64">
        <v>15.72</v>
      </c>
      <c r="D86" s="64">
        <v>21.33</v>
      </c>
      <c r="E86" s="64">
        <v>6.13</v>
      </c>
      <c r="F86" s="64">
        <v>4.26</v>
      </c>
      <c r="G86" s="64">
        <v>62.9</v>
      </c>
      <c r="H86" s="64">
        <v>25.81</v>
      </c>
      <c r="I86" s="64">
        <v>5.35</v>
      </c>
      <c r="J86" s="64">
        <v>0.54</v>
      </c>
      <c r="K86" s="64">
        <v>307.76</v>
      </c>
      <c r="L86" s="64">
        <v>26.36</v>
      </c>
      <c r="M86" s="64">
        <v>87.11</v>
      </c>
      <c r="N86" s="64">
        <v>26</v>
      </c>
      <c r="O86" s="64">
        <v>0</v>
      </c>
      <c r="P86" s="64">
        <v>1.22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5" t="s">
        <v>708</v>
      </c>
      <c r="B87" s="64">
        <v>19.829999999999998</v>
      </c>
      <c r="C87" s="64">
        <v>16.309999999999999</v>
      </c>
      <c r="D87" s="64">
        <v>24.42</v>
      </c>
      <c r="E87" s="64">
        <v>6.25</v>
      </c>
      <c r="F87" s="64">
        <v>3.89</v>
      </c>
      <c r="G87" s="64">
        <v>62.9</v>
      </c>
      <c r="H87" s="64">
        <v>25.81</v>
      </c>
      <c r="I87" s="64">
        <v>5.41</v>
      </c>
      <c r="J87" s="64">
        <v>0.39</v>
      </c>
      <c r="K87" s="64">
        <v>307.47000000000003</v>
      </c>
      <c r="L87" s="64">
        <v>26.23</v>
      </c>
      <c r="M87" s="64">
        <v>88.69</v>
      </c>
      <c r="N87" s="64">
        <v>25.9</v>
      </c>
      <c r="O87" s="64">
        <v>0</v>
      </c>
      <c r="P87" s="64">
        <v>1.38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709</v>
      </c>
      <c r="B88" s="64">
        <v>21.94</v>
      </c>
      <c r="C88" s="64">
        <v>16.100000000000001</v>
      </c>
      <c r="D88" s="64">
        <v>26.01</v>
      </c>
      <c r="E88" s="64">
        <v>5.59</v>
      </c>
      <c r="F88" s="64">
        <v>3.79</v>
      </c>
      <c r="G88" s="64">
        <v>62.9</v>
      </c>
      <c r="H88" s="64">
        <v>25.81</v>
      </c>
      <c r="I88" s="64">
        <v>5.77</v>
      </c>
      <c r="J88" s="64">
        <v>0.11</v>
      </c>
      <c r="K88" s="64">
        <v>100.12</v>
      </c>
      <c r="L88" s="64">
        <v>26.35</v>
      </c>
      <c r="M88" s="64">
        <v>88.31</v>
      </c>
      <c r="N88" s="64">
        <v>25.6</v>
      </c>
      <c r="O88" s="64">
        <v>0</v>
      </c>
      <c r="P88" s="64">
        <v>1.07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5" t="s">
        <v>710</v>
      </c>
      <c r="B89" s="64">
        <v>22.8</v>
      </c>
      <c r="C89" s="64">
        <v>14.78</v>
      </c>
      <c r="D89" s="64">
        <v>26.01</v>
      </c>
      <c r="E89" s="64">
        <v>6.2</v>
      </c>
      <c r="F89" s="64">
        <v>4.41</v>
      </c>
      <c r="G89" s="64">
        <v>80.88</v>
      </c>
      <c r="H89" s="64">
        <v>21.27</v>
      </c>
      <c r="I89" s="64">
        <v>5.72</v>
      </c>
      <c r="J89" s="64">
        <v>0.75</v>
      </c>
      <c r="K89" s="64">
        <v>147.33000000000001</v>
      </c>
      <c r="L89" s="64">
        <v>27.03</v>
      </c>
      <c r="M89" s="64">
        <v>83.38</v>
      </c>
      <c r="N89" s="64">
        <v>25.1</v>
      </c>
      <c r="O89" s="64">
        <v>0</v>
      </c>
      <c r="P89" s="64">
        <v>0.79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711</v>
      </c>
      <c r="B90" s="64">
        <v>22.67</v>
      </c>
      <c r="C90" s="64">
        <v>14.19</v>
      </c>
      <c r="D90" s="64">
        <v>25.59</v>
      </c>
      <c r="E90" s="64">
        <v>6.04</v>
      </c>
      <c r="F90" s="64">
        <v>4.71</v>
      </c>
      <c r="G90" s="64">
        <v>80.88</v>
      </c>
      <c r="H90" s="64">
        <v>21.27</v>
      </c>
      <c r="I90" s="64">
        <v>4.88</v>
      </c>
      <c r="J90" s="64">
        <v>0.51</v>
      </c>
      <c r="K90" s="64">
        <v>201</v>
      </c>
      <c r="L90" s="64">
        <v>27.06</v>
      </c>
      <c r="M90" s="64">
        <v>82.62</v>
      </c>
      <c r="N90" s="64">
        <v>25.9</v>
      </c>
      <c r="O90" s="64">
        <v>0</v>
      </c>
      <c r="P90" s="64">
        <v>0.8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712</v>
      </c>
      <c r="B91" s="64">
        <v>23.13</v>
      </c>
      <c r="C91" s="64">
        <v>14.22</v>
      </c>
      <c r="D91" s="64">
        <v>25.98</v>
      </c>
      <c r="E91" s="64">
        <v>6.16</v>
      </c>
      <c r="F91" s="64">
        <v>4.55</v>
      </c>
      <c r="G91" s="64">
        <v>80.88</v>
      </c>
      <c r="H91" s="64">
        <v>21.27</v>
      </c>
      <c r="I91" s="64">
        <v>3.78</v>
      </c>
      <c r="J91" s="64">
        <v>0.49</v>
      </c>
      <c r="K91" s="64">
        <v>321.45</v>
      </c>
      <c r="L91" s="64">
        <v>26.44</v>
      </c>
      <c r="M91" s="64">
        <v>90.77</v>
      </c>
      <c r="N91" s="64">
        <v>26.3</v>
      </c>
      <c r="O91" s="64">
        <v>0</v>
      </c>
      <c r="P91" s="64">
        <v>1.6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713</v>
      </c>
      <c r="B92" s="64">
        <v>25.2</v>
      </c>
      <c r="C92" s="64">
        <v>14.26</v>
      </c>
      <c r="D92" s="64">
        <v>27.66</v>
      </c>
      <c r="E92" s="64">
        <v>5.86</v>
      </c>
      <c r="F92" s="64">
        <v>4.46</v>
      </c>
      <c r="G92" s="64">
        <v>80.88</v>
      </c>
      <c r="H92" s="64">
        <v>21.27</v>
      </c>
      <c r="I92" s="64">
        <v>3.74</v>
      </c>
      <c r="J92" s="64">
        <v>0.27</v>
      </c>
      <c r="K92" s="64">
        <v>317.08999999999997</v>
      </c>
      <c r="L92" s="64">
        <v>26.01</v>
      </c>
      <c r="M92" s="64">
        <v>90.66</v>
      </c>
      <c r="N92" s="64">
        <v>26.1</v>
      </c>
      <c r="O92" s="64">
        <v>0</v>
      </c>
      <c r="P92" s="64">
        <v>0.91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5" t="s">
        <v>714</v>
      </c>
      <c r="B93" s="64">
        <v>26.36</v>
      </c>
      <c r="C93" s="64">
        <v>14.02</v>
      </c>
      <c r="D93" s="64">
        <v>28.46</v>
      </c>
      <c r="E93" s="64">
        <v>5.85</v>
      </c>
      <c r="F93" s="64">
        <v>4.4400000000000004</v>
      </c>
      <c r="G93" s="64">
        <v>75.37</v>
      </c>
      <c r="H93" s="64">
        <v>22.09</v>
      </c>
      <c r="I93" s="64">
        <v>4.67</v>
      </c>
      <c r="J93" s="64">
        <v>0.53</v>
      </c>
      <c r="K93" s="64">
        <v>311.83</v>
      </c>
      <c r="L93" s="64">
        <v>25.75</v>
      </c>
      <c r="M93" s="64">
        <v>91.62</v>
      </c>
      <c r="N93" s="64">
        <v>26.2</v>
      </c>
      <c r="O93" s="64">
        <v>0</v>
      </c>
      <c r="P93" s="64">
        <v>1.5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715</v>
      </c>
      <c r="B94" s="64">
        <v>27.71</v>
      </c>
      <c r="C94" s="64">
        <v>13.74</v>
      </c>
      <c r="D94" s="64">
        <v>29.4</v>
      </c>
      <c r="E94" s="64">
        <v>5.77</v>
      </c>
      <c r="F94" s="64">
        <v>4.46</v>
      </c>
      <c r="G94" s="64">
        <v>75.37</v>
      </c>
      <c r="H94" s="64">
        <v>22.09</v>
      </c>
      <c r="I94" s="64">
        <v>3.99</v>
      </c>
      <c r="J94" s="64">
        <v>0.38</v>
      </c>
      <c r="K94" s="64">
        <v>341.56</v>
      </c>
      <c r="L94" s="64">
        <v>25.6</v>
      </c>
      <c r="M94" s="64">
        <v>90.84</v>
      </c>
      <c r="N94" s="64">
        <v>26.1</v>
      </c>
      <c r="O94" s="64">
        <v>0</v>
      </c>
      <c r="P94" s="64">
        <v>0.91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716</v>
      </c>
      <c r="B95" s="64">
        <v>27.64</v>
      </c>
      <c r="C95" s="64">
        <v>13.1</v>
      </c>
      <c r="D95" s="64">
        <v>29.01</v>
      </c>
      <c r="E95" s="64">
        <v>5.66</v>
      </c>
      <c r="F95" s="64">
        <v>4.6399999999999997</v>
      </c>
      <c r="G95" s="64">
        <v>75.37</v>
      </c>
      <c r="H95" s="64">
        <v>22.09</v>
      </c>
      <c r="I95" s="64">
        <v>4.34</v>
      </c>
      <c r="J95" s="64">
        <v>0.37</v>
      </c>
      <c r="K95" s="64">
        <v>9.07</v>
      </c>
      <c r="L95" s="64">
        <v>25.69</v>
      </c>
      <c r="M95" s="64">
        <v>91.91</v>
      </c>
      <c r="N95" s="64">
        <v>26.1</v>
      </c>
      <c r="O95" s="64">
        <v>0</v>
      </c>
      <c r="P95" s="64">
        <v>0.81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717</v>
      </c>
      <c r="B96" s="64">
        <v>26.72</v>
      </c>
      <c r="C96" s="64">
        <v>12.98</v>
      </c>
      <c r="D96" s="64">
        <v>28.21</v>
      </c>
      <c r="E96" s="64">
        <v>6.08</v>
      </c>
      <c r="F96" s="64">
        <v>4.17</v>
      </c>
      <c r="G96" s="64">
        <v>75.37</v>
      </c>
      <c r="H96" s="64">
        <v>22.09</v>
      </c>
      <c r="I96" s="64">
        <v>3.58</v>
      </c>
      <c r="J96" s="64">
        <v>0.15</v>
      </c>
      <c r="K96" s="64">
        <v>297.39999999999998</v>
      </c>
      <c r="L96" s="64">
        <v>25.66</v>
      </c>
      <c r="M96" s="64">
        <v>89.78</v>
      </c>
      <c r="N96" s="64">
        <v>25.9</v>
      </c>
      <c r="O96" s="64">
        <v>0</v>
      </c>
      <c r="P96" s="64">
        <v>0.75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718</v>
      </c>
      <c r="B97" s="64">
        <v>26.04</v>
      </c>
      <c r="C97" s="64">
        <v>12.99</v>
      </c>
      <c r="D97" s="64">
        <v>27.67</v>
      </c>
      <c r="E97" s="64">
        <v>5.93</v>
      </c>
      <c r="F97" s="64">
        <v>4.2</v>
      </c>
      <c r="G97" s="64">
        <v>69.89</v>
      </c>
      <c r="H97" s="64">
        <v>21.53</v>
      </c>
      <c r="I97" s="64">
        <v>3.22</v>
      </c>
      <c r="J97" s="64">
        <v>0.32</v>
      </c>
      <c r="K97" s="64">
        <v>328.81</v>
      </c>
      <c r="L97" s="64">
        <v>25.49</v>
      </c>
      <c r="M97" s="64">
        <v>96.94</v>
      </c>
      <c r="N97" s="64">
        <v>26.1</v>
      </c>
      <c r="O97" s="64">
        <v>0</v>
      </c>
      <c r="P97" s="64">
        <v>1.37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719</v>
      </c>
      <c r="B98" s="64">
        <v>28.06</v>
      </c>
      <c r="C98" s="64">
        <v>13.21</v>
      </c>
      <c r="D98" s="64">
        <v>29.41</v>
      </c>
      <c r="E98" s="64">
        <v>5.81</v>
      </c>
      <c r="F98" s="64">
        <v>4.2699999999999996</v>
      </c>
      <c r="G98" s="64">
        <v>69.89</v>
      </c>
      <c r="H98" s="64">
        <v>21.53</v>
      </c>
      <c r="I98" s="64">
        <v>3.7</v>
      </c>
      <c r="J98" s="64">
        <v>0.36</v>
      </c>
      <c r="K98" s="64">
        <v>266.33</v>
      </c>
      <c r="L98" s="64">
        <v>25.08</v>
      </c>
      <c r="M98" s="64">
        <v>97.77</v>
      </c>
      <c r="N98" s="64">
        <v>26.1</v>
      </c>
      <c r="O98" s="64">
        <v>0</v>
      </c>
      <c r="P98" s="64">
        <v>1.03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720</v>
      </c>
      <c r="B99" s="64">
        <v>28.88</v>
      </c>
      <c r="C99" s="64">
        <v>13.36</v>
      </c>
      <c r="D99" s="64">
        <v>30.14</v>
      </c>
      <c r="E99" s="64">
        <v>6.17</v>
      </c>
      <c r="F99" s="64">
        <v>3.97</v>
      </c>
      <c r="G99" s="64">
        <v>69.89</v>
      </c>
      <c r="H99" s="64">
        <v>21.53</v>
      </c>
      <c r="I99" s="64">
        <v>5.18</v>
      </c>
      <c r="J99" s="64">
        <v>0.44</v>
      </c>
      <c r="K99" s="64">
        <v>120.06</v>
      </c>
      <c r="L99" s="64">
        <v>25.22</v>
      </c>
      <c r="M99" s="64">
        <v>91.06</v>
      </c>
      <c r="N99" s="64">
        <v>25.8</v>
      </c>
      <c r="O99" s="64">
        <v>0</v>
      </c>
      <c r="P99" s="64">
        <v>0.72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5" t="s">
        <v>721</v>
      </c>
      <c r="B100" s="64">
        <v>27.85</v>
      </c>
      <c r="C100" s="64">
        <v>13.11</v>
      </c>
      <c r="D100" s="64">
        <v>29.18</v>
      </c>
      <c r="E100" s="64">
        <v>5.66</v>
      </c>
      <c r="F100" s="64">
        <v>4.49</v>
      </c>
      <c r="G100" s="64">
        <v>69.89</v>
      </c>
      <c r="H100" s="64">
        <v>21.53</v>
      </c>
      <c r="I100" s="64">
        <v>4.95</v>
      </c>
      <c r="J100" s="64">
        <v>0.41</v>
      </c>
      <c r="K100" s="64">
        <v>350.2</v>
      </c>
      <c r="L100" s="64">
        <v>25.25</v>
      </c>
      <c r="M100" s="64">
        <v>91.7</v>
      </c>
      <c r="N100" s="64">
        <v>26.1</v>
      </c>
      <c r="O100" s="64">
        <v>0</v>
      </c>
      <c r="P100" s="64">
        <v>0.73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722</v>
      </c>
      <c r="B101" s="64">
        <v>26.25</v>
      </c>
      <c r="C101" s="64">
        <v>12.83</v>
      </c>
      <c r="D101" s="64">
        <v>27.76</v>
      </c>
      <c r="E101" s="64">
        <v>5.79</v>
      </c>
      <c r="F101" s="64">
        <v>4.29</v>
      </c>
      <c r="G101" s="64">
        <v>68.540000000000006</v>
      </c>
      <c r="H101" s="64">
        <v>24.18</v>
      </c>
      <c r="I101" s="64">
        <v>3.32</v>
      </c>
      <c r="J101" s="64">
        <v>0.28000000000000003</v>
      </c>
      <c r="K101" s="64">
        <v>344.62</v>
      </c>
      <c r="L101" s="64">
        <v>25.19</v>
      </c>
      <c r="M101" s="64">
        <v>92.52</v>
      </c>
      <c r="N101" s="64">
        <v>26.1</v>
      </c>
      <c r="O101" s="64">
        <v>0</v>
      </c>
      <c r="P101" s="64">
        <v>0.72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723</v>
      </c>
      <c r="B102" s="64">
        <v>24.68</v>
      </c>
      <c r="C102" s="64">
        <v>12.38</v>
      </c>
      <c r="D102" s="64">
        <v>26.26</v>
      </c>
      <c r="E102" s="64">
        <v>5.58</v>
      </c>
      <c r="F102" s="64">
        <v>4.1900000000000004</v>
      </c>
      <c r="G102" s="64">
        <v>68.540000000000006</v>
      </c>
      <c r="H102" s="64">
        <v>24.18</v>
      </c>
      <c r="I102" s="64">
        <v>3.33</v>
      </c>
      <c r="J102" s="64">
        <v>0.26</v>
      </c>
      <c r="K102" s="64">
        <v>347.72</v>
      </c>
      <c r="L102" s="64">
        <v>25.23</v>
      </c>
      <c r="M102" s="64">
        <v>91.47</v>
      </c>
      <c r="N102" s="64">
        <v>26.1</v>
      </c>
      <c r="O102" s="64">
        <v>0</v>
      </c>
      <c r="P102" s="64">
        <v>0.7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724</v>
      </c>
      <c r="B103" s="64">
        <v>23.13</v>
      </c>
      <c r="C103" s="64">
        <v>11.84</v>
      </c>
      <c r="D103" s="64">
        <v>24.74</v>
      </c>
      <c r="E103" s="64">
        <v>5.55</v>
      </c>
      <c r="F103" s="64">
        <v>4.22</v>
      </c>
      <c r="G103" s="64">
        <v>68.540000000000006</v>
      </c>
      <c r="H103" s="64">
        <v>24.18</v>
      </c>
      <c r="I103" s="64">
        <v>3.43</v>
      </c>
      <c r="J103" s="64">
        <v>0.38</v>
      </c>
      <c r="K103" s="64">
        <v>141.26</v>
      </c>
      <c r="L103" s="64">
        <v>25.03</v>
      </c>
      <c r="M103" s="64">
        <v>93.66</v>
      </c>
      <c r="N103" s="64">
        <v>26</v>
      </c>
      <c r="O103" s="64">
        <v>0</v>
      </c>
      <c r="P103" s="64">
        <v>0.73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725</v>
      </c>
      <c r="B104" s="64">
        <v>21.93</v>
      </c>
      <c r="C104" s="64">
        <v>11.62</v>
      </c>
      <c r="D104" s="64">
        <v>23.66</v>
      </c>
      <c r="E104" s="64">
        <v>4.43</v>
      </c>
      <c r="F104" s="64">
        <v>4.01</v>
      </c>
      <c r="G104" s="64">
        <v>68.540000000000006</v>
      </c>
      <c r="H104" s="64">
        <v>24.18</v>
      </c>
      <c r="I104" s="64">
        <v>2.57</v>
      </c>
      <c r="J104" s="64">
        <v>0.28999999999999998</v>
      </c>
      <c r="K104" s="64">
        <v>333.45</v>
      </c>
      <c r="L104" s="64">
        <v>24.92</v>
      </c>
      <c r="M104" s="64">
        <v>96.29</v>
      </c>
      <c r="N104" s="64">
        <v>26.1</v>
      </c>
      <c r="O104" s="64">
        <v>0</v>
      </c>
      <c r="P104" s="64">
        <v>0.68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1.59</v>
      </c>
      <c r="C106" s="67">
        <f>MIN(C9:C104)</f>
        <v>5.44</v>
      </c>
      <c r="D106" s="67">
        <f t="shared" ref="D106:Q106" si="0">MIN(D9:D104)</f>
        <v>5.59</v>
      </c>
      <c r="E106" s="67">
        <f t="shared" si="0"/>
        <v>4.43</v>
      </c>
      <c r="F106" s="67">
        <f t="shared" si="0"/>
        <v>3.25</v>
      </c>
      <c r="G106" s="67">
        <f t="shared" si="0"/>
        <v>37.93</v>
      </c>
      <c r="H106" s="67">
        <f t="shared" si="0"/>
        <v>9.91</v>
      </c>
      <c r="I106" s="67">
        <f t="shared" si="0"/>
        <v>1.1100000000000001</v>
      </c>
      <c r="J106" s="67">
        <f t="shared" si="0"/>
        <v>0.08</v>
      </c>
      <c r="K106" s="67">
        <f t="shared" si="0"/>
        <v>1.52</v>
      </c>
      <c r="L106" s="67">
        <f t="shared" si="0"/>
        <v>23.31</v>
      </c>
      <c r="M106" s="67">
        <f t="shared" si="0"/>
        <v>44.23</v>
      </c>
      <c r="N106" s="67">
        <f t="shared" si="0"/>
        <v>25.1</v>
      </c>
      <c r="O106" s="67">
        <f t="shared" si="0"/>
        <v>0</v>
      </c>
      <c r="P106" s="67">
        <f t="shared" si="0"/>
        <v>0.4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28.88</v>
      </c>
      <c r="C107" s="66">
        <f t="shared" ref="C107:Q107" si="1">MAX(C9:C104)</f>
        <v>16.309999999999999</v>
      </c>
      <c r="D107" s="66">
        <f t="shared" si="1"/>
        <v>30.14</v>
      </c>
      <c r="E107" s="66">
        <f t="shared" si="1"/>
        <v>6.42</v>
      </c>
      <c r="F107" s="66">
        <f t="shared" si="1"/>
        <v>7.64</v>
      </c>
      <c r="G107" s="66">
        <f t="shared" si="1"/>
        <v>80.88</v>
      </c>
      <c r="H107" s="66">
        <f t="shared" si="1"/>
        <v>29.64</v>
      </c>
      <c r="I107" s="66">
        <f t="shared" si="1"/>
        <v>5.77</v>
      </c>
      <c r="J107" s="66">
        <f t="shared" si="1"/>
        <v>2</v>
      </c>
      <c r="K107" s="66">
        <f t="shared" si="1"/>
        <v>350.48</v>
      </c>
      <c r="L107" s="66">
        <f t="shared" si="1"/>
        <v>37.78</v>
      </c>
      <c r="M107" s="66">
        <f t="shared" si="1"/>
        <v>102.76</v>
      </c>
      <c r="N107" s="66">
        <f t="shared" si="1"/>
        <v>777.7</v>
      </c>
      <c r="O107" s="66">
        <f t="shared" si="1"/>
        <v>0</v>
      </c>
      <c r="P107" s="66">
        <f t="shared" si="1"/>
        <v>1.6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11.424895833333338</v>
      </c>
      <c r="C108" s="67">
        <f t="shared" ref="C108:Q108" si="2">AVERAGE(C9:C104)</f>
        <v>10.501354166666671</v>
      </c>
      <c r="D108" s="67">
        <f t="shared" si="2"/>
        <v>14.648750000000009</v>
      </c>
      <c r="E108" s="67">
        <f t="shared" si="2"/>
        <v>5.7762499999999974</v>
      </c>
      <c r="F108" s="67">
        <f t="shared" si="2"/>
        <v>4.4784375000000001</v>
      </c>
      <c r="G108" s="67">
        <f t="shared" si="2"/>
        <v>54.768437500000026</v>
      </c>
      <c r="H108" s="67">
        <f t="shared" si="2"/>
        <v>19.165833333333328</v>
      </c>
      <c r="I108" s="67">
        <f t="shared" si="2"/>
        <v>3.301770833333332</v>
      </c>
      <c r="J108" s="67">
        <f t="shared" si="2"/>
        <v>0.64885416666666673</v>
      </c>
      <c r="K108" s="67">
        <f t="shared" si="2"/>
        <v>251.18500000000006</v>
      </c>
      <c r="L108" s="67">
        <f t="shared" si="2"/>
        <v>28.779062500000006</v>
      </c>
      <c r="M108" s="67">
        <f t="shared" si="2"/>
        <v>75.636562500000011</v>
      </c>
      <c r="N108" s="67">
        <f t="shared" si="2"/>
        <v>176.00104166666651</v>
      </c>
      <c r="O108" s="67">
        <f t="shared" si="2"/>
        <v>0</v>
      </c>
      <c r="P108" s="67">
        <f t="shared" si="2"/>
        <v>0.62062499999999987</v>
      </c>
      <c r="Q108" s="67">
        <f t="shared" si="2"/>
        <v>9.6097916666666752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7.7787558191717316</v>
      </c>
      <c r="C109" s="67">
        <f t="shared" ref="C109:Q109" si="3">STDEV(C9:C104)</f>
        <v>3.1591376637476127</v>
      </c>
      <c r="D109" s="67">
        <f t="shared" si="3"/>
        <v>6.7969155930427094</v>
      </c>
      <c r="E109" s="67">
        <f t="shared" si="3"/>
        <v>0.38948076095988965</v>
      </c>
      <c r="F109" s="67">
        <f t="shared" si="3"/>
        <v>0.99684272963771803</v>
      </c>
      <c r="G109" s="67">
        <f t="shared" si="3"/>
        <v>12.495770512088827</v>
      </c>
      <c r="H109" s="67">
        <f t="shared" si="3"/>
        <v>5.1205253979330525</v>
      </c>
      <c r="I109" s="67">
        <f t="shared" si="3"/>
        <v>1.0729261462705102</v>
      </c>
      <c r="J109" s="67">
        <f t="shared" si="3"/>
        <v>0.42002724170216571</v>
      </c>
      <c r="K109" s="67">
        <f t="shared" si="3"/>
        <v>112.61938565479352</v>
      </c>
      <c r="L109" s="67">
        <f t="shared" si="3"/>
        <v>4.8168541990597404</v>
      </c>
      <c r="M109" s="67">
        <f t="shared" si="3"/>
        <v>21.674007466044603</v>
      </c>
      <c r="N109" s="67">
        <f t="shared" si="3"/>
        <v>241.05296316688421</v>
      </c>
      <c r="O109" s="67">
        <f t="shared" si="3"/>
        <v>0</v>
      </c>
      <c r="P109" s="67">
        <f t="shared" si="3"/>
        <v>0.24791684726515598</v>
      </c>
      <c r="Q109" s="67">
        <f t="shared" si="3"/>
        <v>7.8108112209823782E-3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726</v>
      </c>
      <c r="B9" s="64">
        <v>21.62</v>
      </c>
      <c r="C9" s="64">
        <v>10.86</v>
      </c>
      <c r="D9" s="64">
        <v>23.01</v>
      </c>
      <c r="E9" s="64">
        <v>4.6399999999999997</v>
      </c>
      <c r="F9" s="64">
        <v>3.67</v>
      </c>
      <c r="G9" s="64">
        <v>63.25</v>
      </c>
      <c r="H9" s="64">
        <v>21.3</v>
      </c>
      <c r="I9" s="64">
        <v>3.12</v>
      </c>
      <c r="J9" s="64">
        <v>0.2</v>
      </c>
      <c r="K9" s="64">
        <v>278.45999999999998</v>
      </c>
      <c r="L9" s="64">
        <v>24.57</v>
      </c>
      <c r="M9" s="64">
        <v>98.28</v>
      </c>
      <c r="N9" s="64">
        <v>26.1</v>
      </c>
      <c r="O9" s="64">
        <v>0</v>
      </c>
      <c r="P9" s="64">
        <v>0.78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727</v>
      </c>
      <c r="B10" s="64">
        <v>21.62</v>
      </c>
      <c r="C10" s="64">
        <v>10.19</v>
      </c>
      <c r="D10" s="64">
        <v>22.66</v>
      </c>
      <c r="E10" s="64">
        <v>4.63</v>
      </c>
      <c r="F10" s="64">
        <v>4.18</v>
      </c>
      <c r="G10" s="64">
        <v>63.25</v>
      </c>
      <c r="H10" s="64">
        <v>21.3</v>
      </c>
      <c r="I10" s="64">
        <v>3.16</v>
      </c>
      <c r="J10" s="64">
        <v>0.51</v>
      </c>
      <c r="K10" s="64">
        <v>289.60000000000002</v>
      </c>
      <c r="L10" s="64">
        <v>24.47</v>
      </c>
      <c r="M10" s="64">
        <v>98.46</v>
      </c>
      <c r="N10" s="64">
        <v>26.1</v>
      </c>
      <c r="O10" s="64">
        <v>0</v>
      </c>
      <c r="P10" s="64">
        <v>0.83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728</v>
      </c>
      <c r="B11" s="64">
        <v>21.18</v>
      </c>
      <c r="C11" s="64">
        <v>9.77</v>
      </c>
      <c r="D11" s="64">
        <v>22.09</v>
      </c>
      <c r="E11" s="64">
        <v>4.7</v>
      </c>
      <c r="F11" s="64">
        <v>4.5599999999999996</v>
      </c>
      <c r="G11" s="64">
        <v>63.25</v>
      </c>
      <c r="H11" s="64">
        <v>21.3</v>
      </c>
      <c r="I11" s="64">
        <v>2.4700000000000002</v>
      </c>
      <c r="J11" s="64">
        <v>0.49</v>
      </c>
      <c r="K11" s="64">
        <v>297.05</v>
      </c>
      <c r="L11" s="64">
        <v>24.48</v>
      </c>
      <c r="M11" s="64">
        <v>98.16</v>
      </c>
      <c r="N11" s="64">
        <v>26.1</v>
      </c>
      <c r="O11" s="64">
        <v>0</v>
      </c>
      <c r="P11" s="64">
        <v>0.7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729</v>
      </c>
      <c r="B12" s="64">
        <v>20.71</v>
      </c>
      <c r="C12" s="64">
        <v>9.48</v>
      </c>
      <c r="D12" s="64">
        <v>21.56</v>
      </c>
      <c r="E12" s="64">
        <v>4.66</v>
      </c>
      <c r="F12" s="64">
        <v>4.41</v>
      </c>
      <c r="G12" s="64">
        <v>63.25</v>
      </c>
      <c r="H12" s="64">
        <v>21.3</v>
      </c>
      <c r="I12" s="64">
        <v>1.96</v>
      </c>
      <c r="J12" s="64">
        <v>0.51</v>
      </c>
      <c r="K12" s="64">
        <v>292.14999999999998</v>
      </c>
      <c r="L12" s="64">
        <v>24.43</v>
      </c>
      <c r="M12" s="64">
        <v>99.55</v>
      </c>
      <c r="N12" s="64">
        <v>26.1</v>
      </c>
      <c r="O12" s="64">
        <v>0</v>
      </c>
      <c r="P12" s="64">
        <v>0.7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730</v>
      </c>
      <c r="B13" s="64">
        <v>20.260000000000002</v>
      </c>
      <c r="C13" s="64">
        <v>9.18</v>
      </c>
      <c r="D13" s="64">
        <v>21.04</v>
      </c>
      <c r="E13" s="64">
        <v>4.7699999999999996</v>
      </c>
      <c r="F13" s="64">
        <v>5.61</v>
      </c>
      <c r="G13" s="64">
        <v>54.93</v>
      </c>
      <c r="H13" s="64">
        <v>21.98</v>
      </c>
      <c r="I13" s="64">
        <v>2.02</v>
      </c>
      <c r="J13" s="64">
        <v>0.49</v>
      </c>
      <c r="K13" s="64">
        <v>297.52999999999997</v>
      </c>
      <c r="L13" s="64">
        <v>24.36</v>
      </c>
      <c r="M13" s="64">
        <v>100.6</v>
      </c>
      <c r="N13" s="64">
        <v>26.1</v>
      </c>
      <c r="O13" s="64">
        <v>0</v>
      </c>
      <c r="P13" s="64">
        <v>0.66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731</v>
      </c>
      <c r="B14" s="64">
        <v>19.61</v>
      </c>
      <c r="C14" s="64">
        <v>8.81</v>
      </c>
      <c r="D14" s="64">
        <v>20.329999999999998</v>
      </c>
      <c r="E14" s="64">
        <v>4.8</v>
      </c>
      <c r="F14" s="64">
        <v>3.73</v>
      </c>
      <c r="G14" s="64">
        <v>54.93</v>
      </c>
      <c r="H14" s="64">
        <v>21.98</v>
      </c>
      <c r="I14" s="64">
        <v>2.0699999999999998</v>
      </c>
      <c r="J14" s="64">
        <v>0.49</v>
      </c>
      <c r="K14" s="64">
        <v>299.77</v>
      </c>
      <c r="L14" s="64">
        <v>24.41</v>
      </c>
      <c r="M14" s="64">
        <v>99.98</v>
      </c>
      <c r="N14" s="64">
        <v>26.1</v>
      </c>
      <c r="O14" s="64">
        <v>0</v>
      </c>
      <c r="P14" s="64">
        <v>0.63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5" t="s">
        <v>732</v>
      </c>
      <c r="B15" s="64">
        <v>19.11</v>
      </c>
      <c r="C15" s="64">
        <v>8.3699999999999992</v>
      </c>
      <c r="D15" s="64">
        <v>19.7</v>
      </c>
      <c r="E15" s="64">
        <v>4.82</v>
      </c>
      <c r="F15" s="64">
        <v>4.0199999999999996</v>
      </c>
      <c r="G15" s="64">
        <v>54.93</v>
      </c>
      <c r="H15" s="64">
        <v>21.98</v>
      </c>
      <c r="I15" s="64">
        <v>1.99</v>
      </c>
      <c r="J15" s="64">
        <v>0.18</v>
      </c>
      <c r="K15" s="64">
        <v>70.680000000000007</v>
      </c>
      <c r="L15" s="64">
        <v>24.42</v>
      </c>
      <c r="M15" s="64">
        <v>99.72</v>
      </c>
      <c r="N15" s="64">
        <v>26.1</v>
      </c>
      <c r="O15" s="64">
        <v>0</v>
      </c>
      <c r="P15" s="64">
        <v>0.61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5" t="s">
        <v>733</v>
      </c>
      <c r="B16" s="64">
        <v>18.350000000000001</v>
      </c>
      <c r="C16" s="64">
        <v>8.24</v>
      </c>
      <c r="D16" s="64">
        <v>19.02</v>
      </c>
      <c r="E16" s="64">
        <v>4.88</v>
      </c>
      <c r="F16" s="64">
        <v>3.94</v>
      </c>
      <c r="G16" s="64">
        <v>54.93</v>
      </c>
      <c r="H16" s="64">
        <v>21.98</v>
      </c>
      <c r="I16" s="64">
        <v>2.2999999999999998</v>
      </c>
      <c r="J16" s="64">
        <v>0.34</v>
      </c>
      <c r="K16" s="64">
        <v>130.37</v>
      </c>
      <c r="L16" s="64">
        <v>24.37</v>
      </c>
      <c r="M16" s="64">
        <v>99.36</v>
      </c>
      <c r="N16" s="64">
        <v>26.1</v>
      </c>
      <c r="O16" s="64">
        <v>0</v>
      </c>
      <c r="P16" s="64">
        <v>0.56999999999999995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734</v>
      </c>
      <c r="B17" s="64">
        <v>17.47</v>
      </c>
      <c r="C17" s="64">
        <v>8.36</v>
      </c>
      <c r="D17" s="64">
        <v>18.38</v>
      </c>
      <c r="E17" s="64">
        <v>4.68</v>
      </c>
      <c r="F17" s="64">
        <v>3.91</v>
      </c>
      <c r="G17" s="64">
        <v>54.6</v>
      </c>
      <c r="H17" s="64">
        <v>14.57</v>
      </c>
      <c r="I17" s="64">
        <v>2.02</v>
      </c>
      <c r="J17" s="64">
        <v>0.49</v>
      </c>
      <c r="K17" s="64">
        <v>273.77</v>
      </c>
      <c r="L17" s="64">
        <v>24.31</v>
      </c>
      <c r="M17" s="64">
        <v>99.96</v>
      </c>
      <c r="N17" s="64">
        <v>26.1</v>
      </c>
      <c r="O17" s="64">
        <v>0</v>
      </c>
      <c r="P17" s="64">
        <v>0.66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735</v>
      </c>
      <c r="B18" s="64">
        <v>16.47</v>
      </c>
      <c r="C18" s="64">
        <v>8.26</v>
      </c>
      <c r="D18" s="64">
        <v>17.52</v>
      </c>
      <c r="E18" s="64">
        <v>4.8099999999999996</v>
      </c>
      <c r="F18" s="64">
        <v>3.95</v>
      </c>
      <c r="G18" s="64">
        <v>54.6</v>
      </c>
      <c r="H18" s="64">
        <v>14.57</v>
      </c>
      <c r="I18" s="64">
        <v>2.93</v>
      </c>
      <c r="J18" s="64">
        <v>0.33</v>
      </c>
      <c r="K18" s="64">
        <v>213.97</v>
      </c>
      <c r="L18" s="64">
        <v>24.28</v>
      </c>
      <c r="M18" s="64">
        <v>101.1</v>
      </c>
      <c r="N18" s="64">
        <v>26</v>
      </c>
      <c r="O18" s="64">
        <v>0</v>
      </c>
      <c r="P18" s="64">
        <v>0.6</v>
      </c>
      <c r="Q18" s="64">
        <v>9.59</v>
      </c>
      <c r="R18" s="198"/>
      <c r="S18" s="198"/>
      <c r="T18" s="198"/>
      <c r="U18" s="198"/>
    </row>
    <row r="19" spans="1:21" s="12" customFormat="1" x14ac:dyDescent="0.25">
      <c r="A19" s="215" t="s">
        <v>736</v>
      </c>
      <c r="B19" s="64">
        <v>15.45</v>
      </c>
      <c r="C19" s="64">
        <v>8.15</v>
      </c>
      <c r="D19" s="64">
        <v>16.649999999999999</v>
      </c>
      <c r="E19" s="64">
        <v>4.5599999999999996</v>
      </c>
      <c r="F19" s="64">
        <v>3.81</v>
      </c>
      <c r="G19" s="64">
        <v>54.6</v>
      </c>
      <c r="H19" s="64">
        <v>14.57</v>
      </c>
      <c r="I19" s="64">
        <v>3.99</v>
      </c>
      <c r="J19" s="64">
        <v>0.33</v>
      </c>
      <c r="K19" s="64">
        <v>225.71</v>
      </c>
      <c r="L19" s="64">
        <v>24.25</v>
      </c>
      <c r="M19" s="64">
        <v>101.76</v>
      </c>
      <c r="N19" s="64">
        <v>26</v>
      </c>
      <c r="O19" s="64">
        <v>0</v>
      </c>
      <c r="P19" s="64">
        <v>0.6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737</v>
      </c>
      <c r="B20" s="64">
        <v>14.9</v>
      </c>
      <c r="C20" s="64">
        <v>8.0299999999999994</v>
      </c>
      <c r="D20" s="64">
        <v>16.14</v>
      </c>
      <c r="E20" s="64">
        <v>4.9800000000000004</v>
      </c>
      <c r="F20" s="64">
        <v>3.92</v>
      </c>
      <c r="G20" s="64">
        <v>54.6</v>
      </c>
      <c r="H20" s="64">
        <v>14.57</v>
      </c>
      <c r="I20" s="64">
        <v>3.93</v>
      </c>
      <c r="J20" s="64">
        <v>0.19</v>
      </c>
      <c r="K20" s="64">
        <v>280.57</v>
      </c>
      <c r="L20" s="64">
        <v>24.3</v>
      </c>
      <c r="M20" s="64">
        <v>102.73</v>
      </c>
      <c r="N20" s="64">
        <v>26.1</v>
      </c>
      <c r="O20" s="64">
        <v>0</v>
      </c>
      <c r="P20" s="64">
        <v>0.61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738</v>
      </c>
      <c r="B21" s="64">
        <v>14.71</v>
      </c>
      <c r="C21" s="64">
        <v>7.91</v>
      </c>
      <c r="D21" s="64">
        <v>15.93</v>
      </c>
      <c r="E21" s="64">
        <v>4.75</v>
      </c>
      <c r="F21" s="64">
        <v>4.43</v>
      </c>
      <c r="G21" s="64">
        <v>49.78</v>
      </c>
      <c r="H21" s="64">
        <v>9.76</v>
      </c>
      <c r="I21" s="64">
        <v>3.5</v>
      </c>
      <c r="J21" s="64">
        <v>0.3</v>
      </c>
      <c r="K21" s="64">
        <v>300.77</v>
      </c>
      <c r="L21" s="64">
        <v>24.06</v>
      </c>
      <c r="M21" s="64">
        <v>102.73</v>
      </c>
      <c r="N21" s="64">
        <v>26.1</v>
      </c>
      <c r="O21" s="64">
        <v>0</v>
      </c>
      <c r="P21" s="64">
        <v>0.59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5" t="s">
        <v>739</v>
      </c>
      <c r="B22" s="64">
        <v>14.38</v>
      </c>
      <c r="C22" s="64">
        <v>7.72</v>
      </c>
      <c r="D22" s="64">
        <v>15.56</v>
      </c>
      <c r="E22" s="64">
        <v>4.62</v>
      </c>
      <c r="F22" s="64">
        <v>4.04</v>
      </c>
      <c r="G22" s="64">
        <v>49.72</v>
      </c>
      <c r="H22" s="64">
        <v>9.76</v>
      </c>
      <c r="I22" s="64">
        <v>3.42</v>
      </c>
      <c r="J22" s="64">
        <v>0.47</v>
      </c>
      <c r="K22" s="64">
        <v>231.42</v>
      </c>
      <c r="L22" s="64">
        <v>23.86</v>
      </c>
      <c r="M22" s="64">
        <v>102.75</v>
      </c>
      <c r="N22" s="64">
        <v>26.1</v>
      </c>
      <c r="O22" s="64">
        <v>0</v>
      </c>
      <c r="P22" s="64">
        <v>0.59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740</v>
      </c>
      <c r="B23" s="64">
        <v>14.03</v>
      </c>
      <c r="C23" s="64">
        <v>7.2</v>
      </c>
      <c r="D23" s="64">
        <v>15.01</v>
      </c>
      <c r="E23" s="64">
        <v>4.47</v>
      </c>
      <c r="F23" s="64">
        <v>4.03</v>
      </c>
      <c r="G23" s="64">
        <v>49.72</v>
      </c>
      <c r="H23" s="64">
        <v>9.76</v>
      </c>
      <c r="I23" s="64">
        <v>3.52</v>
      </c>
      <c r="J23" s="64">
        <v>0.35</v>
      </c>
      <c r="K23" s="64">
        <v>326.39</v>
      </c>
      <c r="L23" s="64">
        <v>23.69</v>
      </c>
      <c r="M23" s="64">
        <v>102.78</v>
      </c>
      <c r="N23" s="64">
        <v>26.1</v>
      </c>
      <c r="O23" s="64">
        <v>0</v>
      </c>
      <c r="P23" s="64">
        <v>0.57999999999999996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741</v>
      </c>
      <c r="B24" s="64">
        <v>13.73</v>
      </c>
      <c r="C24" s="64">
        <v>7.29</v>
      </c>
      <c r="D24" s="64">
        <v>14.82</v>
      </c>
      <c r="E24" s="64">
        <v>5.27</v>
      </c>
      <c r="F24" s="64">
        <v>3.35</v>
      </c>
      <c r="G24" s="64">
        <v>49.72</v>
      </c>
      <c r="H24" s="64">
        <v>9.76</v>
      </c>
      <c r="I24" s="64">
        <v>3.21</v>
      </c>
      <c r="J24" s="64">
        <v>0.44</v>
      </c>
      <c r="K24" s="64">
        <v>250.74</v>
      </c>
      <c r="L24" s="64">
        <v>23.6</v>
      </c>
      <c r="M24" s="64">
        <v>102.77</v>
      </c>
      <c r="N24" s="64">
        <v>26</v>
      </c>
      <c r="O24" s="64">
        <v>0</v>
      </c>
      <c r="P24" s="64">
        <v>0.52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742</v>
      </c>
      <c r="B25" s="64">
        <v>13.9</v>
      </c>
      <c r="C25" s="64">
        <v>6.79</v>
      </c>
      <c r="D25" s="64">
        <v>14.69</v>
      </c>
      <c r="E25" s="64">
        <v>4.8899999999999997</v>
      </c>
      <c r="F25" s="64">
        <v>4.29</v>
      </c>
      <c r="G25" s="64">
        <v>49.58</v>
      </c>
      <c r="H25" s="64">
        <v>25.92</v>
      </c>
      <c r="I25" s="64">
        <v>4.2</v>
      </c>
      <c r="J25" s="64">
        <v>0.51</v>
      </c>
      <c r="K25" s="64">
        <v>276.63</v>
      </c>
      <c r="L25" s="64">
        <v>23.49</v>
      </c>
      <c r="M25" s="64">
        <v>102.75</v>
      </c>
      <c r="N25" s="64">
        <v>26.1</v>
      </c>
      <c r="O25" s="64">
        <v>0</v>
      </c>
      <c r="P25" s="64">
        <v>0.61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5" t="s">
        <v>743</v>
      </c>
      <c r="B26" s="64">
        <v>14.68</v>
      </c>
      <c r="C26" s="64">
        <v>6.58</v>
      </c>
      <c r="D26" s="64">
        <v>15.21</v>
      </c>
      <c r="E26" s="64">
        <v>5.26</v>
      </c>
      <c r="F26" s="64">
        <v>5.26</v>
      </c>
      <c r="G26" s="64">
        <v>49.58</v>
      </c>
      <c r="H26" s="64">
        <v>25.92</v>
      </c>
      <c r="I26" s="64">
        <v>3.56</v>
      </c>
      <c r="J26" s="64">
        <v>0.37</v>
      </c>
      <c r="K26" s="64">
        <v>282.27999999999997</v>
      </c>
      <c r="L26" s="64">
        <v>23.5</v>
      </c>
      <c r="M26" s="64">
        <v>102.75</v>
      </c>
      <c r="N26" s="64">
        <v>26</v>
      </c>
      <c r="O26" s="64">
        <v>0</v>
      </c>
      <c r="P26" s="64">
        <v>0.49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744</v>
      </c>
      <c r="B27" s="64">
        <v>14.94</v>
      </c>
      <c r="C27" s="64">
        <v>6.2</v>
      </c>
      <c r="D27" s="64">
        <v>15.22</v>
      </c>
      <c r="E27" s="64">
        <v>5.22</v>
      </c>
      <c r="F27" s="64">
        <v>4.21</v>
      </c>
      <c r="G27" s="64">
        <v>49.58</v>
      </c>
      <c r="H27" s="64">
        <v>25.92</v>
      </c>
      <c r="I27" s="64">
        <v>3.14</v>
      </c>
      <c r="J27" s="64">
        <v>0.21</v>
      </c>
      <c r="K27" s="64">
        <v>151.78</v>
      </c>
      <c r="L27" s="64">
        <v>23.5</v>
      </c>
      <c r="M27" s="64">
        <v>102.73</v>
      </c>
      <c r="N27" s="64">
        <v>26.1</v>
      </c>
      <c r="O27" s="64">
        <v>0</v>
      </c>
      <c r="P27" s="64">
        <v>0.49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745</v>
      </c>
      <c r="B28" s="64">
        <v>14.82</v>
      </c>
      <c r="C28" s="64">
        <v>6.27</v>
      </c>
      <c r="D28" s="64">
        <v>15.16</v>
      </c>
      <c r="E28" s="64">
        <v>5.12</v>
      </c>
      <c r="F28" s="64">
        <v>3.86</v>
      </c>
      <c r="G28" s="64">
        <v>49.58</v>
      </c>
      <c r="H28" s="64">
        <v>25.92</v>
      </c>
      <c r="I28" s="64">
        <v>2.7</v>
      </c>
      <c r="J28" s="64">
        <v>0.44</v>
      </c>
      <c r="K28" s="64">
        <v>181.03</v>
      </c>
      <c r="L28" s="64">
        <v>23.68</v>
      </c>
      <c r="M28" s="64">
        <v>102.77</v>
      </c>
      <c r="N28" s="64">
        <v>25.8</v>
      </c>
      <c r="O28" s="64">
        <v>0</v>
      </c>
      <c r="P28" s="64">
        <v>0.48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5" t="s">
        <v>746</v>
      </c>
      <c r="B29" s="64">
        <v>14.76</v>
      </c>
      <c r="C29" s="64">
        <v>6.18</v>
      </c>
      <c r="D29" s="64">
        <v>15.06</v>
      </c>
      <c r="E29" s="64">
        <v>5.28</v>
      </c>
      <c r="F29" s="64">
        <v>3.85</v>
      </c>
      <c r="G29" s="64">
        <v>46.79</v>
      </c>
      <c r="H29" s="64">
        <v>37.39</v>
      </c>
      <c r="I29" s="64">
        <v>2.6</v>
      </c>
      <c r="J29" s="64">
        <v>0.46</v>
      </c>
      <c r="K29" s="64">
        <v>223.21</v>
      </c>
      <c r="L29" s="64">
        <v>23.52</v>
      </c>
      <c r="M29" s="64">
        <v>102.78</v>
      </c>
      <c r="N29" s="64">
        <v>26.1</v>
      </c>
      <c r="O29" s="64">
        <v>0</v>
      </c>
      <c r="P29" s="64">
        <v>0.47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5" t="s">
        <v>747</v>
      </c>
      <c r="B30" s="64">
        <v>14.71</v>
      </c>
      <c r="C30" s="64">
        <v>6.06</v>
      </c>
      <c r="D30" s="64">
        <v>14.96</v>
      </c>
      <c r="E30" s="64">
        <v>5.1100000000000003</v>
      </c>
      <c r="F30" s="64">
        <v>3.8</v>
      </c>
      <c r="G30" s="64">
        <v>46.76</v>
      </c>
      <c r="H30" s="64">
        <v>37.39</v>
      </c>
      <c r="I30" s="64">
        <v>2.35</v>
      </c>
      <c r="J30" s="64">
        <v>0.24</v>
      </c>
      <c r="K30" s="64">
        <v>194</v>
      </c>
      <c r="L30" s="64">
        <v>23.37</v>
      </c>
      <c r="M30" s="64">
        <v>102.78</v>
      </c>
      <c r="N30" s="64">
        <v>26</v>
      </c>
      <c r="O30" s="64">
        <v>0</v>
      </c>
      <c r="P30" s="64">
        <v>0.49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748</v>
      </c>
      <c r="B31" s="64">
        <v>14.62</v>
      </c>
      <c r="C31" s="64">
        <v>5.87</v>
      </c>
      <c r="D31" s="64">
        <v>14.79</v>
      </c>
      <c r="E31" s="64">
        <v>5.13</v>
      </c>
      <c r="F31" s="64">
        <v>4.08</v>
      </c>
      <c r="G31" s="64">
        <v>46.76</v>
      </c>
      <c r="H31" s="64">
        <v>37.39</v>
      </c>
      <c r="I31" s="64">
        <v>2.0699999999999998</v>
      </c>
      <c r="J31" s="64">
        <v>0.35</v>
      </c>
      <c r="K31" s="64">
        <v>173.44</v>
      </c>
      <c r="L31" s="64">
        <v>23.18</v>
      </c>
      <c r="M31" s="64">
        <v>102.79</v>
      </c>
      <c r="N31" s="64">
        <v>26.1</v>
      </c>
      <c r="O31" s="64">
        <v>0</v>
      </c>
      <c r="P31" s="64">
        <v>0.48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749</v>
      </c>
      <c r="B32" s="64">
        <v>14.52</v>
      </c>
      <c r="C32" s="64">
        <v>5.71</v>
      </c>
      <c r="D32" s="64">
        <v>14.63</v>
      </c>
      <c r="E32" s="64">
        <v>5.46</v>
      </c>
      <c r="F32" s="64">
        <v>4.03</v>
      </c>
      <c r="G32" s="64">
        <v>46.76</v>
      </c>
      <c r="H32" s="64">
        <v>37.39</v>
      </c>
      <c r="I32" s="64">
        <v>2.2000000000000002</v>
      </c>
      <c r="J32" s="64">
        <v>0.38</v>
      </c>
      <c r="K32" s="64">
        <v>133.08000000000001</v>
      </c>
      <c r="L32" s="64">
        <v>23.2</v>
      </c>
      <c r="M32" s="64">
        <v>102.8</v>
      </c>
      <c r="N32" s="64">
        <v>27.3</v>
      </c>
      <c r="O32" s="64">
        <v>0</v>
      </c>
      <c r="P32" s="64">
        <v>0.5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750</v>
      </c>
      <c r="B33" s="64">
        <v>14.66</v>
      </c>
      <c r="C33" s="64">
        <v>5.87</v>
      </c>
      <c r="D33" s="64">
        <v>14.82</v>
      </c>
      <c r="E33" s="64">
        <v>5.15</v>
      </c>
      <c r="F33" s="64">
        <v>3.8</v>
      </c>
      <c r="G33" s="64">
        <v>41.89</v>
      </c>
      <c r="H33" s="64">
        <v>20.57</v>
      </c>
      <c r="I33" s="64">
        <v>2.2999999999999998</v>
      </c>
      <c r="J33" s="64">
        <v>0.19</v>
      </c>
      <c r="K33" s="64">
        <v>269.83</v>
      </c>
      <c r="L33" s="64">
        <v>23.46</v>
      </c>
      <c r="M33" s="64">
        <v>102.79</v>
      </c>
      <c r="N33" s="64">
        <v>35.1</v>
      </c>
      <c r="O33" s="64">
        <v>0</v>
      </c>
      <c r="P33" s="64">
        <v>0.56000000000000005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751</v>
      </c>
      <c r="B34" s="64">
        <v>15.49</v>
      </c>
      <c r="C34" s="64">
        <v>6.22</v>
      </c>
      <c r="D34" s="64">
        <v>15.68</v>
      </c>
      <c r="E34" s="64">
        <v>5.34</v>
      </c>
      <c r="F34" s="64">
        <v>3.62</v>
      </c>
      <c r="G34" s="64">
        <v>41.89</v>
      </c>
      <c r="H34" s="64">
        <v>20.57</v>
      </c>
      <c r="I34" s="64">
        <v>2.68</v>
      </c>
      <c r="J34" s="64">
        <v>0.37</v>
      </c>
      <c r="K34" s="64">
        <v>357.61</v>
      </c>
      <c r="L34" s="64">
        <v>23.65</v>
      </c>
      <c r="M34" s="64">
        <v>102.78</v>
      </c>
      <c r="N34" s="64">
        <v>51.6</v>
      </c>
      <c r="O34" s="64">
        <v>0</v>
      </c>
      <c r="P34" s="64">
        <v>0.59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752</v>
      </c>
      <c r="B35" s="64">
        <v>16.53</v>
      </c>
      <c r="C35" s="64">
        <v>6.27</v>
      </c>
      <c r="D35" s="64">
        <v>16.53</v>
      </c>
      <c r="E35" s="64">
        <v>5.64</v>
      </c>
      <c r="F35" s="64">
        <v>3.46</v>
      </c>
      <c r="G35" s="64">
        <v>41.89</v>
      </c>
      <c r="H35" s="64">
        <v>20.57</v>
      </c>
      <c r="I35" s="64">
        <v>4.62</v>
      </c>
      <c r="J35" s="64">
        <v>0.69</v>
      </c>
      <c r="K35" s="64">
        <v>342.62</v>
      </c>
      <c r="L35" s="64">
        <v>24.19</v>
      </c>
      <c r="M35" s="64">
        <v>102.7</v>
      </c>
      <c r="N35" s="64">
        <v>84.9</v>
      </c>
      <c r="O35" s="64">
        <v>0</v>
      </c>
      <c r="P35" s="64">
        <v>0.63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5" t="s">
        <v>753</v>
      </c>
      <c r="B36" s="64">
        <v>17.86</v>
      </c>
      <c r="C36" s="64">
        <v>6.66</v>
      </c>
      <c r="D36" s="64">
        <v>17.8</v>
      </c>
      <c r="E36" s="64">
        <v>5.85</v>
      </c>
      <c r="F36" s="64">
        <v>3.36</v>
      </c>
      <c r="G36" s="64">
        <v>41.89</v>
      </c>
      <c r="H36" s="64">
        <v>20.57</v>
      </c>
      <c r="I36" s="64">
        <v>5.19</v>
      </c>
      <c r="J36" s="64">
        <v>1.1299999999999999</v>
      </c>
      <c r="K36" s="64">
        <v>333.76</v>
      </c>
      <c r="L36" s="64">
        <v>25.78</v>
      </c>
      <c r="M36" s="64">
        <v>97.01</v>
      </c>
      <c r="N36" s="64">
        <v>127.9</v>
      </c>
      <c r="O36" s="64">
        <v>0</v>
      </c>
      <c r="P36" s="64">
        <v>0.61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754</v>
      </c>
      <c r="B37" s="64">
        <v>18.809999999999999</v>
      </c>
      <c r="C37" s="64">
        <v>6.97</v>
      </c>
      <c r="D37" s="64">
        <v>18.72</v>
      </c>
      <c r="E37" s="64">
        <v>6.08</v>
      </c>
      <c r="F37" s="64">
        <v>4.01</v>
      </c>
      <c r="G37" s="64">
        <v>44.57</v>
      </c>
      <c r="H37" s="64">
        <v>23.19</v>
      </c>
      <c r="I37" s="64">
        <v>5.43</v>
      </c>
      <c r="J37" s="64">
        <v>1.08</v>
      </c>
      <c r="K37" s="64">
        <v>343.77</v>
      </c>
      <c r="L37" s="64">
        <v>27.51</v>
      </c>
      <c r="M37" s="64">
        <v>87.69</v>
      </c>
      <c r="N37" s="64">
        <v>179.7</v>
      </c>
      <c r="O37" s="64">
        <v>0</v>
      </c>
      <c r="P37" s="64">
        <v>0.61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755</v>
      </c>
      <c r="B38" s="64">
        <v>19.57</v>
      </c>
      <c r="C38" s="64">
        <v>7.35</v>
      </c>
      <c r="D38" s="64">
        <v>19.54</v>
      </c>
      <c r="E38" s="64">
        <v>6.51</v>
      </c>
      <c r="F38" s="64">
        <v>3.9</v>
      </c>
      <c r="G38" s="64">
        <v>44.6</v>
      </c>
      <c r="H38" s="64">
        <v>23.19</v>
      </c>
      <c r="I38" s="64">
        <v>5.53</v>
      </c>
      <c r="J38" s="64">
        <v>1.1299999999999999</v>
      </c>
      <c r="K38" s="64">
        <v>340.39</v>
      </c>
      <c r="L38" s="64">
        <v>29.15</v>
      </c>
      <c r="M38" s="64">
        <v>79.34</v>
      </c>
      <c r="N38" s="64">
        <v>235.7</v>
      </c>
      <c r="O38" s="64">
        <v>0</v>
      </c>
      <c r="P38" s="64">
        <v>0.64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756</v>
      </c>
      <c r="B39" s="64">
        <v>19.98</v>
      </c>
      <c r="C39" s="64">
        <v>7.62</v>
      </c>
      <c r="D39" s="64">
        <v>20.010000000000002</v>
      </c>
      <c r="E39" s="64">
        <v>6.34</v>
      </c>
      <c r="F39" s="64">
        <v>3.01</v>
      </c>
      <c r="G39" s="64">
        <v>44.6</v>
      </c>
      <c r="H39" s="64">
        <v>23.19</v>
      </c>
      <c r="I39" s="64">
        <v>5.09</v>
      </c>
      <c r="J39" s="64">
        <v>1.25</v>
      </c>
      <c r="K39" s="64">
        <v>335.58</v>
      </c>
      <c r="L39" s="64">
        <v>30.61</v>
      </c>
      <c r="M39" s="64">
        <v>72.92</v>
      </c>
      <c r="N39" s="64">
        <v>283.10000000000002</v>
      </c>
      <c r="O39" s="64">
        <v>0</v>
      </c>
      <c r="P39" s="64">
        <v>0.66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757</v>
      </c>
      <c r="B40" s="64">
        <v>20.329999999999998</v>
      </c>
      <c r="C40" s="64">
        <v>8.25</v>
      </c>
      <c r="D40" s="64">
        <v>20.61</v>
      </c>
      <c r="E40" s="64">
        <v>5.98</v>
      </c>
      <c r="F40" s="64">
        <v>4.33</v>
      </c>
      <c r="G40" s="64">
        <v>44.6</v>
      </c>
      <c r="H40" s="64">
        <v>23.19</v>
      </c>
      <c r="I40" s="64">
        <v>5.38</v>
      </c>
      <c r="J40" s="64">
        <v>1.05</v>
      </c>
      <c r="K40" s="64">
        <v>340.43</v>
      </c>
      <c r="L40" s="64">
        <v>31.73</v>
      </c>
      <c r="M40" s="64">
        <v>67.78</v>
      </c>
      <c r="N40" s="64">
        <v>318.89999999999998</v>
      </c>
      <c r="O40" s="64">
        <v>0</v>
      </c>
      <c r="P40" s="64">
        <v>0.72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758</v>
      </c>
      <c r="B41" s="64">
        <v>21.48</v>
      </c>
      <c r="C41" s="64">
        <v>8.77</v>
      </c>
      <c r="D41" s="64">
        <v>21.81</v>
      </c>
      <c r="E41" s="64">
        <v>6.47</v>
      </c>
      <c r="F41" s="64">
        <v>4.6399999999999997</v>
      </c>
      <c r="G41" s="64">
        <v>63.55</v>
      </c>
      <c r="H41" s="64">
        <v>13.68</v>
      </c>
      <c r="I41" s="64">
        <v>5.34</v>
      </c>
      <c r="J41" s="64">
        <v>1.1200000000000001</v>
      </c>
      <c r="K41" s="64">
        <v>338.03</v>
      </c>
      <c r="L41" s="64">
        <v>32.31</v>
      </c>
      <c r="M41" s="64">
        <v>65.930000000000007</v>
      </c>
      <c r="N41" s="64">
        <v>359.7</v>
      </c>
      <c r="O41" s="64">
        <v>0</v>
      </c>
      <c r="P41" s="64">
        <v>0.7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759</v>
      </c>
      <c r="B42" s="64">
        <v>22.12</v>
      </c>
      <c r="C42" s="64">
        <v>9.7200000000000006</v>
      </c>
      <c r="D42" s="64">
        <v>22.81</v>
      </c>
      <c r="E42" s="64">
        <v>6.45</v>
      </c>
      <c r="F42" s="64">
        <v>3.98</v>
      </c>
      <c r="G42" s="64">
        <v>63.55</v>
      </c>
      <c r="H42" s="64">
        <v>13.68</v>
      </c>
      <c r="I42" s="64">
        <v>4.08</v>
      </c>
      <c r="J42" s="64">
        <v>0.43</v>
      </c>
      <c r="K42" s="64">
        <v>350.45</v>
      </c>
      <c r="L42" s="64">
        <v>32.43</v>
      </c>
      <c r="M42" s="64">
        <v>66.849999999999994</v>
      </c>
      <c r="N42" s="64">
        <v>384.7</v>
      </c>
      <c r="O42" s="64">
        <v>0</v>
      </c>
      <c r="P42" s="64">
        <v>0.98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760</v>
      </c>
      <c r="B43" s="64">
        <v>22.87</v>
      </c>
      <c r="C43" s="64">
        <v>9.92</v>
      </c>
      <c r="D43" s="64">
        <v>23.52</v>
      </c>
      <c r="E43" s="64">
        <v>6.93</v>
      </c>
      <c r="F43" s="64">
        <v>4.57</v>
      </c>
      <c r="G43" s="64">
        <v>63.55</v>
      </c>
      <c r="H43" s="64">
        <v>13.68</v>
      </c>
      <c r="I43" s="64">
        <v>4.74</v>
      </c>
      <c r="J43" s="64">
        <v>1.29</v>
      </c>
      <c r="K43" s="64">
        <v>338.59</v>
      </c>
      <c r="L43" s="64">
        <v>33.08</v>
      </c>
      <c r="M43" s="64">
        <v>63.99</v>
      </c>
      <c r="N43" s="64">
        <v>429.3</v>
      </c>
      <c r="O43" s="64">
        <v>0</v>
      </c>
      <c r="P43" s="64">
        <v>1.06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761</v>
      </c>
      <c r="B44" s="64">
        <v>24.13</v>
      </c>
      <c r="C44" s="64">
        <v>10.89</v>
      </c>
      <c r="D44" s="64">
        <v>25.04</v>
      </c>
      <c r="E44" s="64">
        <v>6.42</v>
      </c>
      <c r="F44" s="64">
        <v>4.72</v>
      </c>
      <c r="G44" s="64">
        <v>63.55</v>
      </c>
      <c r="H44" s="64">
        <v>13.68</v>
      </c>
      <c r="I44" s="64">
        <v>4.8099999999999996</v>
      </c>
      <c r="J44" s="64">
        <v>1.37</v>
      </c>
      <c r="K44" s="64">
        <v>337.96</v>
      </c>
      <c r="L44" s="64">
        <v>33.79</v>
      </c>
      <c r="M44" s="64">
        <v>59.62</v>
      </c>
      <c r="N44" s="64">
        <v>507</v>
      </c>
      <c r="O44" s="64">
        <v>0</v>
      </c>
      <c r="P44" s="64">
        <v>0.85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5" t="s">
        <v>762</v>
      </c>
      <c r="B45" s="64">
        <v>24.78</v>
      </c>
      <c r="C45" s="64">
        <v>11.76</v>
      </c>
      <c r="D45" s="64">
        <v>26.01</v>
      </c>
      <c r="E45" s="64">
        <v>6.12</v>
      </c>
      <c r="F45" s="64">
        <v>4.6500000000000004</v>
      </c>
      <c r="G45" s="64">
        <v>107.47</v>
      </c>
      <c r="H45" s="64">
        <v>155.80000000000001</v>
      </c>
      <c r="I45" s="64">
        <v>4.95</v>
      </c>
      <c r="J45" s="64">
        <v>1.28</v>
      </c>
      <c r="K45" s="64">
        <v>330.7</v>
      </c>
      <c r="L45" s="64">
        <v>34.68</v>
      </c>
      <c r="M45" s="64">
        <v>55.61</v>
      </c>
      <c r="N45" s="64">
        <v>568.4</v>
      </c>
      <c r="O45" s="64">
        <v>0</v>
      </c>
      <c r="P45" s="64">
        <v>0.81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763</v>
      </c>
      <c r="B46" s="64">
        <v>24.78</v>
      </c>
      <c r="C46" s="64">
        <v>12.29</v>
      </c>
      <c r="D46" s="64">
        <v>26.29</v>
      </c>
      <c r="E46" s="64">
        <v>6.5</v>
      </c>
      <c r="F46" s="64">
        <v>4.2699999999999996</v>
      </c>
      <c r="G46" s="64">
        <v>107.96</v>
      </c>
      <c r="H46" s="64">
        <v>155.80000000000001</v>
      </c>
      <c r="I46" s="64">
        <v>4.84</v>
      </c>
      <c r="J46" s="64">
        <v>0.96</v>
      </c>
      <c r="K46" s="64">
        <v>332.92</v>
      </c>
      <c r="L46" s="64">
        <v>35.6</v>
      </c>
      <c r="M46" s="64">
        <v>52.22</v>
      </c>
      <c r="N46" s="64">
        <v>599</v>
      </c>
      <c r="O46" s="64">
        <v>0</v>
      </c>
      <c r="P46" s="64">
        <v>0.86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764</v>
      </c>
      <c r="B47" s="64">
        <v>24.44</v>
      </c>
      <c r="C47" s="64">
        <v>12.7</v>
      </c>
      <c r="D47" s="64">
        <v>26.23</v>
      </c>
      <c r="E47" s="64">
        <v>6.28</v>
      </c>
      <c r="F47" s="64">
        <v>4.96</v>
      </c>
      <c r="G47" s="64">
        <v>107.96</v>
      </c>
      <c r="H47" s="64">
        <v>155.80000000000001</v>
      </c>
      <c r="I47" s="64">
        <v>4.6900000000000004</v>
      </c>
      <c r="J47" s="64">
        <v>0.66</v>
      </c>
      <c r="K47" s="64">
        <v>350</v>
      </c>
      <c r="L47" s="64">
        <v>35.14</v>
      </c>
      <c r="M47" s="64">
        <v>53.66</v>
      </c>
      <c r="N47" s="64">
        <v>582.6</v>
      </c>
      <c r="O47" s="64">
        <v>0</v>
      </c>
      <c r="P47" s="64">
        <v>0.85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765</v>
      </c>
      <c r="B48" s="64">
        <v>23.79</v>
      </c>
      <c r="C48" s="64">
        <v>13.04</v>
      </c>
      <c r="D48" s="64">
        <v>25.89</v>
      </c>
      <c r="E48" s="64">
        <v>6.33</v>
      </c>
      <c r="F48" s="64">
        <v>4.6399999999999997</v>
      </c>
      <c r="G48" s="64">
        <v>107.96</v>
      </c>
      <c r="H48" s="64">
        <v>155.80000000000001</v>
      </c>
      <c r="I48" s="64">
        <v>4.3499999999999996</v>
      </c>
      <c r="J48" s="64">
        <v>0.57999999999999996</v>
      </c>
      <c r="K48" s="64">
        <v>326.52</v>
      </c>
      <c r="L48" s="64">
        <v>34.9</v>
      </c>
      <c r="M48" s="64">
        <v>51.94</v>
      </c>
      <c r="N48" s="64">
        <v>665.5</v>
      </c>
      <c r="O48" s="64">
        <v>0</v>
      </c>
      <c r="P48" s="64">
        <v>0.96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5" t="s">
        <v>766</v>
      </c>
      <c r="B49" s="64">
        <v>23.38</v>
      </c>
      <c r="C49" s="64">
        <v>13.28</v>
      </c>
      <c r="D49" s="64">
        <v>25.69</v>
      </c>
      <c r="E49" s="64">
        <v>6.31</v>
      </c>
      <c r="F49" s="64">
        <v>4.1900000000000004</v>
      </c>
      <c r="G49" s="64">
        <v>112.38</v>
      </c>
      <c r="H49" s="64">
        <v>6.9</v>
      </c>
      <c r="I49" s="64">
        <v>4.24</v>
      </c>
      <c r="J49" s="64">
        <v>1.54</v>
      </c>
      <c r="K49" s="64">
        <v>332.45</v>
      </c>
      <c r="L49" s="64">
        <v>36.24</v>
      </c>
      <c r="M49" s="64">
        <v>45.83</v>
      </c>
      <c r="N49" s="64">
        <v>692.1</v>
      </c>
      <c r="O49" s="64">
        <v>0</v>
      </c>
      <c r="P49" s="64">
        <v>0.8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5" t="s">
        <v>767</v>
      </c>
      <c r="B50" s="64">
        <v>22.52</v>
      </c>
      <c r="C50" s="64">
        <v>14</v>
      </c>
      <c r="D50" s="64">
        <v>25.37</v>
      </c>
      <c r="E50" s="64">
        <v>6.33</v>
      </c>
      <c r="F50" s="64">
        <v>4.12</v>
      </c>
      <c r="G50" s="64">
        <v>112.38</v>
      </c>
      <c r="H50" s="64">
        <v>6.9</v>
      </c>
      <c r="I50" s="64">
        <v>4.88</v>
      </c>
      <c r="J50" s="64">
        <v>1.52</v>
      </c>
      <c r="K50" s="64">
        <v>334.44</v>
      </c>
      <c r="L50" s="64">
        <v>36.799999999999997</v>
      </c>
      <c r="M50" s="64">
        <v>44.82</v>
      </c>
      <c r="N50" s="64">
        <v>425</v>
      </c>
      <c r="O50" s="64">
        <v>0</v>
      </c>
      <c r="P50" s="64">
        <v>0.8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768</v>
      </c>
      <c r="B51" s="64">
        <v>21.55</v>
      </c>
      <c r="C51" s="64">
        <v>14.71</v>
      </c>
      <c r="D51" s="64">
        <v>24.97</v>
      </c>
      <c r="E51" s="64">
        <v>6.14</v>
      </c>
      <c r="F51" s="64">
        <v>4.49</v>
      </c>
      <c r="G51" s="64">
        <v>112.38</v>
      </c>
      <c r="H51" s="64">
        <v>6.9</v>
      </c>
      <c r="I51" s="64">
        <v>5.59</v>
      </c>
      <c r="J51" s="64">
        <v>0.77</v>
      </c>
      <c r="K51" s="64">
        <v>351.44</v>
      </c>
      <c r="L51" s="64">
        <v>34.19</v>
      </c>
      <c r="M51" s="64">
        <v>52.48</v>
      </c>
      <c r="N51" s="64">
        <v>708.3</v>
      </c>
      <c r="O51" s="64">
        <v>0</v>
      </c>
      <c r="P51" s="64">
        <v>0.8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5" t="s">
        <v>769</v>
      </c>
      <c r="B52" s="64">
        <v>20.2</v>
      </c>
      <c r="C52" s="64">
        <v>14.99</v>
      </c>
      <c r="D52" s="64">
        <v>24.03</v>
      </c>
      <c r="E52" s="64">
        <v>5.8</v>
      </c>
      <c r="F52" s="64">
        <v>4.53</v>
      </c>
      <c r="G52" s="64">
        <v>112.38</v>
      </c>
      <c r="H52" s="64">
        <v>6.9</v>
      </c>
      <c r="I52" s="64">
        <v>5.56</v>
      </c>
      <c r="J52" s="64">
        <v>0.77</v>
      </c>
      <c r="K52" s="64">
        <v>328.13</v>
      </c>
      <c r="L52" s="64">
        <v>34.380000000000003</v>
      </c>
      <c r="M52" s="64">
        <v>50.95</v>
      </c>
      <c r="N52" s="64">
        <v>713.1</v>
      </c>
      <c r="O52" s="64">
        <v>0</v>
      </c>
      <c r="P52" s="64">
        <v>0.81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770</v>
      </c>
      <c r="B53" s="64">
        <v>18.47</v>
      </c>
      <c r="C53" s="64">
        <v>15.06</v>
      </c>
      <c r="D53" s="64">
        <v>22.68</v>
      </c>
      <c r="E53" s="64">
        <v>6.2</v>
      </c>
      <c r="F53" s="64">
        <v>4.18</v>
      </c>
      <c r="G53" s="64">
        <v>106.76</v>
      </c>
      <c r="H53" s="64">
        <v>32.99</v>
      </c>
      <c r="I53" s="64">
        <v>5.26</v>
      </c>
      <c r="J53" s="64">
        <v>0.38</v>
      </c>
      <c r="K53" s="64">
        <v>43.85</v>
      </c>
      <c r="L53" s="64">
        <v>33.880000000000003</v>
      </c>
      <c r="M53" s="64">
        <v>50.58</v>
      </c>
      <c r="N53" s="64">
        <v>788.3</v>
      </c>
      <c r="O53" s="64">
        <v>0</v>
      </c>
      <c r="P53" s="64">
        <v>0.77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771</v>
      </c>
      <c r="B54" s="64">
        <v>16.46</v>
      </c>
      <c r="C54" s="64">
        <v>14.88</v>
      </c>
      <c r="D54" s="64">
        <v>20.97</v>
      </c>
      <c r="E54" s="64">
        <v>5.77</v>
      </c>
      <c r="F54" s="64">
        <v>4.1900000000000004</v>
      </c>
      <c r="G54" s="64">
        <v>106.7</v>
      </c>
      <c r="H54" s="64">
        <v>32.99</v>
      </c>
      <c r="I54" s="64">
        <v>5.0999999999999996</v>
      </c>
      <c r="J54" s="64">
        <v>0.96</v>
      </c>
      <c r="K54" s="64">
        <v>336.69</v>
      </c>
      <c r="L54" s="64">
        <v>33.67</v>
      </c>
      <c r="M54" s="64">
        <v>49.26</v>
      </c>
      <c r="N54" s="64">
        <v>558</v>
      </c>
      <c r="O54" s="64">
        <v>0</v>
      </c>
      <c r="P54" s="64">
        <v>0.76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5" t="s">
        <v>772</v>
      </c>
      <c r="B55" s="64">
        <v>14.89</v>
      </c>
      <c r="C55" s="64">
        <v>15.18</v>
      </c>
      <c r="D55" s="64">
        <v>19.87</v>
      </c>
      <c r="E55" s="64">
        <v>5.48</v>
      </c>
      <c r="F55" s="64">
        <v>3.74</v>
      </c>
      <c r="G55" s="64">
        <v>106.7</v>
      </c>
      <c r="H55" s="64">
        <v>32.99</v>
      </c>
      <c r="I55" s="64">
        <v>5.17</v>
      </c>
      <c r="J55" s="64">
        <v>1.07</v>
      </c>
      <c r="K55" s="64">
        <v>108.72</v>
      </c>
      <c r="L55" s="64">
        <v>32.61</v>
      </c>
      <c r="M55" s="64">
        <v>50.51</v>
      </c>
      <c r="N55" s="64">
        <v>785.8</v>
      </c>
      <c r="O55" s="64">
        <v>0</v>
      </c>
      <c r="P55" s="64">
        <v>0.71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5" t="s">
        <v>773</v>
      </c>
      <c r="B56" s="64">
        <v>13.07</v>
      </c>
      <c r="C56" s="64">
        <v>14.52</v>
      </c>
      <c r="D56" s="64">
        <v>18.07</v>
      </c>
      <c r="E56" s="64">
        <v>5.13</v>
      </c>
      <c r="F56" s="64">
        <v>4.42</v>
      </c>
      <c r="G56" s="64">
        <v>106.7</v>
      </c>
      <c r="H56" s="64">
        <v>32.99</v>
      </c>
      <c r="I56" s="64">
        <v>5.0999999999999996</v>
      </c>
      <c r="J56" s="64">
        <v>0.25</v>
      </c>
      <c r="K56" s="64">
        <v>10.66</v>
      </c>
      <c r="L56" s="64">
        <v>33.01</v>
      </c>
      <c r="M56" s="64">
        <v>50.04</v>
      </c>
      <c r="N56" s="64">
        <v>409.7</v>
      </c>
      <c r="O56" s="64">
        <v>0</v>
      </c>
      <c r="P56" s="64">
        <v>0.71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5" t="s">
        <v>774</v>
      </c>
      <c r="B57" s="64">
        <v>11.41</v>
      </c>
      <c r="C57" s="64">
        <v>14.79</v>
      </c>
      <c r="D57" s="64">
        <v>16.88</v>
      </c>
      <c r="E57" s="64">
        <v>5.61</v>
      </c>
      <c r="F57" s="64">
        <v>4.18</v>
      </c>
      <c r="G57" s="64">
        <v>90.05</v>
      </c>
      <c r="H57" s="64">
        <v>1.32</v>
      </c>
      <c r="I57" s="64">
        <v>5.29</v>
      </c>
      <c r="J57" s="64">
        <v>0.83</v>
      </c>
      <c r="K57" s="64">
        <v>338.92</v>
      </c>
      <c r="L57" s="64">
        <v>32.159999999999997</v>
      </c>
      <c r="M57" s="64">
        <v>50.67</v>
      </c>
      <c r="N57" s="64">
        <v>397.6</v>
      </c>
      <c r="O57" s="64">
        <v>0</v>
      </c>
      <c r="P57" s="64">
        <v>0.65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775</v>
      </c>
      <c r="B58" s="64">
        <v>9.98</v>
      </c>
      <c r="C58" s="64">
        <v>14.61</v>
      </c>
      <c r="D58" s="64">
        <v>15.64</v>
      </c>
      <c r="E58" s="64">
        <v>6.01</v>
      </c>
      <c r="F58" s="64">
        <v>4.38</v>
      </c>
      <c r="G58" s="64">
        <v>90.05</v>
      </c>
      <c r="H58" s="64">
        <v>1.32</v>
      </c>
      <c r="I58" s="64">
        <v>5.18</v>
      </c>
      <c r="J58" s="64">
        <v>1.36</v>
      </c>
      <c r="K58" s="64">
        <v>335.78</v>
      </c>
      <c r="L58" s="64">
        <v>33.880000000000003</v>
      </c>
      <c r="M58" s="64">
        <v>47.11</v>
      </c>
      <c r="N58" s="64">
        <v>394.5</v>
      </c>
      <c r="O58" s="64">
        <v>0</v>
      </c>
      <c r="P58" s="64">
        <v>0.7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776</v>
      </c>
      <c r="B59" s="64">
        <v>8.7200000000000006</v>
      </c>
      <c r="C59" s="64">
        <v>15.08</v>
      </c>
      <c r="D59" s="64">
        <v>14.87</v>
      </c>
      <c r="E59" s="64">
        <v>5.77</v>
      </c>
      <c r="F59" s="64">
        <v>3.94</v>
      </c>
      <c r="G59" s="64">
        <v>90.05</v>
      </c>
      <c r="H59" s="64">
        <v>1.32</v>
      </c>
      <c r="I59" s="64">
        <v>5.01</v>
      </c>
      <c r="J59" s="64">
        <v>1.0900000000000001</v>
      </c>
      <c r="K59" s="64">
        <v>339.72</v>
      </c>
      <c r="L59" s="64">
        <v>33.53</v>
      </c>
      <c r="M59" s="64">
        <v>47.47</v>
      </c>
      <c r="N59" s="64">
        <v>249.1</v>
      </c>
      <c r="O59" s="64">
        <v>0</v>
      </c>
      <c r="P59" s="64">
        <v>0.65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777</v>
      </c>
      <c r="B60" s="64">
        <v>7.83</v>
      </c>
      <c r="C60" s="64">
        <v>14.42</v>
      </c>
      <c r="D60" s="64">
        <v>13.81</v>
      </c>
      <c r="E60" s="64">
        <v>5.81</v>
      </c>
      <c r="F60" s="64">
        <v>4.66</v>
      </c>
      <c r="G60" s="64">
        <v>90.05</v>
      </c>
      <c r="H60" s="64">
        <v>1.32</v>
      </c>
      <c r="I60" s="64">
        <v>5.39</v>
      </c>
      <c r="J60" s="64">
        <v>1.21</v>
      </c>
      <c r="K60" s="64">
        <v>333.5</v>
      </c>
      <c r="L60" s="64">
        <v>32.11</v>
      </c>
      <c r="M60" s="64">
        <v>51.06</v>
      </c>
      <c r="N60" s="64">
        <v>210.5</v>
      </c>
      <c r="O60" s="64">
        <v>0</v>
      </c>
      <c r="P60" s="64">
        <v>0.64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778</v>
      </c>
      <c r="B61" s="64">
        <v>7.15</v>
      </c>
      <c r="C61" s="64">
        <v>14.3</v>
      </c>
      <c r="D61" s="64">
        <v>13.2</v>
      </c>
      <c r="E61" s="64">
        <v>5.55</v>
      </c>
      <c r="F61" s="64">
        <v>6.28</v>
      </c>
      <c r="G61" s="64">
        <v>84.41</v>
      </c>
      <c r="H61" s="64">
        <v>0.08</v>
      </c>
      <c r="I61" s="64">
        <v>4.4000000000000004</v>
      </c>
      <c r="J61" s="64">
        <v>1.3</v>
      </c>
      <c r="K61" s="64">
        <v>331.51</v>
      </c>
      <c r="L61" s="64">
        <v>31.93</v>
      </c>
      <c r="M61" s="64">
        <v>51.32</v>
      </c>
      <c r="N61" s="64">
        <v>158.80000000000001</v>
      </c>
      <c r="O61" s="64">
        <v>0</v>
      </c>
      <c r="P61" s="64">
        <v>0.65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779</v>
      </c>
      <c r="B62" s="64">
        <v>6.76</v>
      </c>
      <c r="C62" s="64">
        <v>14.41</v>
      </c>
      <c r="D62" s="64">
        <v>12.95</v>
      </c>
      <c r="E62" s="64">
        <v>6.07</v>
      </c>
      <c r="F62" s="64">
        <v>4.51</v>
      </c>
      <c r="G62" s="64">
        <v>84.41</v>
      </c>
      <c r="H62" s="64">
        <v>0.08</v>
      </c>
      <c r="I62" s="64">
        <v>3.48</v>
      </c>
      <c r="J62" s="64">
        <v>1.52</v>
      </c>
      <c r="K62" s="64">
        <v>339.05</v>
      </c>
      <c r="L62" s="64">
        <v>31.56</v>
      </c>
      <c r="M62" s="64">
        <v>52.83</v>
      </c>
      <c r="N62" s="64">
        <v>170.6</v>
      </c>
      <c r="O62" s="64">
        <v>0</v>
      </c>
      <c r="P62" s="64">
        <v>0.67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780</v>
      </c>
      <c r="B63" s="64">
        <v>6.61</v>
      </c>
      <c r="C63" s="64">
        <v>14.32</v>
      </c>
      <c r="D63" s="64">
        <v>12.79</v>
      </c>
      <c r="E63" s="64">
        <v>5.37</v>
      </c>
      <c r="F63" s="64">
        <v>4.68</v>
      </c>
      <c r="G63" s="64">
        <v>84.41</v>
      </c>
      <c r="H63" s="64">
        <v>0.08</v>
      </c>
      <c r="I63" s="64">
        <v>3.62</v>
      </c>
      <c r="J63" s="64">
        <v>0.22</v>
      </c>
      <c r="K63" s="64">
        <v>77.989999999999995</v>
      </c>
      <c r="L63" s="64">
        <v>30.7</v>
      </c>
      <c r="M63" s="64">
        <v>54.35</v>
      </c>
      <c r="N63" s="64">
        <v>189.2</v>
      </c>
      <c r="O63" s="64">
        <v>0</v>
      </c>
      <c r="P63" s="64">
        <v>0.55000000000000004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5" t="s">
        <v>781</v>
      </c>
      <c r="B64" s="64">
        <v>6.33</v>
      </c>
      <c r="C64" s="64">
        <v>14.04</v>
      </c>
      <c r="D64" s="64">
        <v>12.41</v>
      </c>
      <c r="E64" s="64">
        <v>5.3</v>
      </c>
      <c r="F64" s="64">
        <v>4.78</v>
      </c>
      <c r="G64" s="64">
        <v>84.41</v>
      </c>
      <c r="H64" s="64">
        <v>0.08</v>
      </c>
      <c r="I64" s="64">
        <v>3.61</v>
      </c>
      <c r="J64" s="64">
        <v>1.49</v>
      </c>
      <c r="K64" s="64">
        <v>334.69</v>
      </c>
      <c r="L64" s="64">
        <v>31.34</v>
      </c>
      <c r="M64" s="64">
        <v>49.85</v>
      </c>
      <c r="N64" s="64">
        <v>210.7</v>
      </c>
      <c r="O64" s="64">
        <v>0</v>
      </c>
      <c r="P64" s="64">
        <v>0.66</v>
      </c>
      <c r="Q64" s="64">
        <v>9.59</v>
      </c>
      <c r="R64" s="198"/>
      <c r="S64" s="198"/>
      <c r="T64" s="198"/>
      <c r="U64" s="198"/>
    </row>
    <row r="65" spans="1:21" s="12" customFormat="1" x14ac:dyDescent="0.25">
      <c r="A65" s="215" t="s">
        <v>782</v>
      </c>
      <c r="B65" s="64">
        <v>6.06</v>
      </c>
      <c r="C65" s="64">
        <v>13.88</v>
      </c>
      <c r="D65" s="64">
        <v>12.11</v>
      </c>
      <c r="E65" s="64">
        <v>5.46</v>
      </c>
      <c r="F65" s="64">
        <v>5.09</v>
      </c>
      <c r="G65" s="64">
        <v>68.400000000000006</v>
      </c>
      <c r="H65" s="64">
        <v>23.19</v>
      </c>
      <c r="I65" s="64">
        <v>2.79</v>
      </c>
      <c r="J65" s="64">
        <v>0.45</v>
      </c>
      <c r="K65" s="64">
        <v>358.1</v>
      </c>
      <c r="L65" s="64">
        <v>31.54</v>
      </c>
      <c r="M65" s="64">
        <v>48.58</v>
      </c>
      <c r="N65" s="64">
        <v>220.1</v>
      </c>
      <c r="O65" s="64">
        <v>0</v>
      </c>
      <c r="P65" s="64">
        <v>0.53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783</v>
      </c>
      <c r="B66" s="64">
        <v>5.69</v>
      </c>
      <c r="C66" s="64">
        <v>13.44</v>
      </c>
      <c r="D66" s="64">
        <v>11.58</v>
      </c>
      <c r="E66" s="64">
        <v>5.33</v>
      </c>
      <c r="F66" s="64">
        <v>4.72</v>
      </c>
      <c r="G66" s="64">
        <v>68.400000000000006</v>
      </c>
      <c r="H66" s="64">
        <v>23.19</v>
      </c>
      <c r="I66" s="64">
        <v>2.59</v>
      </c>
      <c r="J66" s="64">
        <v>0.87</v>
      </c>
      <c r="K66" s="64">
        <v>338.77</v>
      </c>
      <c r="L66" s="64">
        <v>31.71</v>
      </c>
      <c r="M66" s="64">
        <v>49.55</v>
      </c>
      <c r="N66" s="64">
        <v>205.5</v>
      </c>
      <c r="O66" s="64">
        <v>0</v>
      </c>
      <c r="P66" s="64">
        <v>0.61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784</v>
      </c>
      <c r="B67" s="64">
        <v>5.17</v>
      </c>
      <c r="C67" s="64">
        <v>13.4</v>
      </c>
      <c r="D67" s="64">
        <v>11.15</v>
      </c>
      <c r="E67" s="64">
        <v>5.7</v>
      </c>
      <c r="F67" s="64">
        <v>4.8600000000000003</v>
      </c>
      <c r="G67" s="64">
        <v>68.400000000000006</v>
      </c>
      <c r="H67" s="64">
        <v>23.19</v>
      </c>
      <c r="I67" s="64">
        <v>2.89</v>
      </c>
      <c r="J67" s="64">
        <v>0.97</v>
      </c>
      <c r="K67" s="64">
        <v>337.71</v>
      </c>
      <c r="L67" s="64">
        <v>31.72</v>
      </c>
      <c r="M67" s="64">
        <v>50.77</v>
      </c>
      <c r="N67" s="64">
        <v>152.9</v>
      </c>
      <c r="O67" s="64">
        <v>0</v>
      </c>
      <c r="P67" s="64">
        <v>0.56000000000000005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5" t="s">
        <v>785</v>
      </c>
      <c r="B68" s="64">
        <v>4.78</v>
      </c>
      <c r="C68" s="64">
        <v>13.48</v>
      </c>
      <c r="D68" s="64">
        <v>10.88</v>
      </c>
      <c r="E68" s="64">
        <v>5.75</v>
      </c>
      <c r="F68" s="64">
        <v>5.46</v>
      </c>
      <c r="G68" s="64">
        <v>68.400000000000006</v>
      </c>
      <c r="H68" s="64">
        <v>23.19</v>
      </c>
      <c r="I68" s="64">
        <v>3.8</v>
      </c>
      <c r="J68" s="64">
        <v>1.02</v>
      </c>
      <c r="K68" s="64">
        <v>329.96</v>
      </c>
      <c r="L68" s="64">
        <v>31.62</v>
      </c>
      <c r="M68" s="64">
        <v>49.11</v>
      </c>
      <c r="N68" s="64">
        <v>122.4</v>
      </c>
      <c r="O68" s="64">
        <v>0</v>
      </c>
      <c r="P68" s="64">
        <v>0.54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786</v>
      </c>
      <c r="B69" s="64">
        <v>4.17</v>
      </c>
      <c r="C69" s="64">
        <v>13.57</v>
      </c>
      <c r="D69" s="64">
        <v>10.44</v>
      </c>
      <c r="E69" s="64">
        <v>5.96</v>
      </c>
      <c r="F69" s="64">
        <v>5.03</v>
      </c>
      <c r="G69" s="64">
        <v>59.57</v>
      </c>
      <c r="H69" s="64">
        <v>14.98</v>
      </c>
      <c r="I69" s="64">
        <v>3.59</v>
      </c>
      <c r="J69" s="64">
        <v>0.64</v>
      </c>
      <c r="K69" s="64">
        <v>359.12</v>
      </c>
      <c r="L69" s="64">
        <v>31.3</v>
      </c>
      <c r="M69" s="64">
        <v>49.33</v>
      </c>
      <c r="N69" s="64">
        <v>114.8</v>
      </c>
      <c r="O69" s="64">
        <v>0</v>
      </c>
      <c r="P69" s="64">
        <v>0.56999999999999995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5" t="s">
        <v>787</v>
      </c>
      <c r="B70" s="64">
        <v>3.77</v>
      </c>
      <c r="C70" s="64">
        <v>13.66</v>
      </c>
      <c r="D70" s="64">
        <v>10.16</v>
      </c>
      <c r="E70" s="64">
        <v>5.65</v>
      </c>
      <c r="F70" s="64">
        <v>4.88</v>
      </c>
      <c r="G70" s="64">
        <v>59.57</v>
      </c>
      <c r="H70" s="64">
        <v>14.98</v>
      </c>
      <c r="I70" s="64">
        <v>3.41</v>
      </c>
      <c r="J70" s="64">
        <v>0.24</v>
      </c>
      <c r="K70" s="64">
        <v>110.49</v>
      </c>
      <c r="L70" s="64">
        <v>30.75</v>
      </c>
      <c r="M70" s="64">
        <v>51.72</v>
      </c>
      <c r="N70" s="64">
        <v>100.7</v>
      </c>
      <c r="O70" s="64">
        <v>0</v>
      </c>
      <c r="P70" s="64">
        <v>0.53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788</v>
      </c>
      <c r="B71" s="64">
        <v>3.34</v>
      </c>
      <c r="C71" s="64">
        <v>13.29</v>
      </c>
      <c r="D71" s="64">
        <v>9.6199999999999992</v>
      </c>
      <c r="E71" s="64">
        <v>6.05</v>
      </c>
      <c r="F71" s="64">
        <v>4.9000000000000004</v>
      </c>
      <c r="G71" s="64">
        <v>59.57</v>
      </c>
      <c r="H71" s="64">
        <v>14.98</v>
      </c>
      <c r="I71" s="64">
        <v>3.38</v>
      </c>
      <c r="J71" s="64">
        <v>0.31</v>
      </c>
      <c r="K71" s="64">
        <v>45.8</v>
      </c>
      <c r="L71" s="64">
        <v>30.53</v>
      </c>
      <c r="M71" s="64">
        <v>51.28</v>
      </c>
      <c r="N71" s="64">
        <v>92.6</v>
      </c>
      <c r="O71" s="64">
        <v>0</v>
      </c>
      <c r="P71" s="64">
        <v>0.54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789</v>
      </c>
      <c r="B72" s="64">
        <v>3.05</v>
      </c>
      <c r="C72" s="64">
        <v>12.93</v>
      </c>
      <c r="D72" s="64">
        <v>9.1999999999999993</v>
      </c>
      <c r="E72" s="64">
        <v>4.0199999999999996</v>
      </c>
      <c r="F72" s="64">
        <v>4.5999999999999996</v>
      </c>
      <c r="G72" s="64">
        <v>59.57</v>
      </c>
      <c r="H72" s="64">
        <v>14.98</v>
      </c>
      <c r="I72" s="64">
        <v>2.62</v>
      </c>
      <c r="J72" s="64">
        <v>1.19</v>
      </c>
      <c r="K72" s="64">
        <v>335.94</v>
      </c>
      <c r="L72" s="64">
        <v>30.74</v>
      </c>
      <c r="M72" s="64">
        <v>50.97</v>
      </c>
      <c r="N72" s="64">
        <v>83.9</v>
      </c>
      <c r="O72" s="64">
        <v>0</v>
      </c>
      <c r="P72" s="64">
        <v>0.56000000000000005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5" t="s">
        <v>790</v>
      </c>
      <c r="B73" s="64">
        <v>2.78</v>
      </c>
      <c r="C73" s="64">
        <v>13</v>
      </c>
      <c r="D73" s="64">
        <v>9.02</v>
      </c>
      <c r="E73" s="64">
        <v>4.1100000000000003</v>
      </c>
      <c r="F73" s="64">
        <v>4.41</v>
      </c>
      <c r="G73" s="64">
        <v>56.01</v>
      </c>
      <c r="H73" s="64">
        <v>24.24</v>
      </c>
      <c r="I73" s="64">
        <v>2.84</v>
      </c>
      <c r="J73" s="64">
        <v>1.19</v>
      </c>
      <c r="K73" s="64">
        <v>339.41</v>
      </c>
      <c r="L73" s="64">
        <v>30.6</v>
      </c>
      <c r="M73" s="64">
        <v>50.43</v>
      </c>
      <c r="N73" s="64">
        <v>75.7</v>
      </c>
      <c r="O73" s="64">
        <v>0</v>
      </c>
      <c r="P73" s="64">
        <v>0.56999999999999995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791</v>
      </c>
      <c r="B74" s="64">
        <v>2.74</v>
      </c>
      <c r="C74" s="64">
        <v>13.01</v>
      </c>
      <c r="D74" s="64">
        <v>9</v>
      </c>
      <c r="E74" s="64">
        <v>4.33</v>
      </c>
      <c r="F74" s="64">
        <v>4.53</v>
      </c>
      <c r="G74" s="64">
        <v>56.01</v>
      </c>
      <c r="H74" s="64">
        <v>24.24</v>
      </c>
      <c r="I74" s="64">
        <v>3.54</v>
      </c>
      <c r="J74" s="64">
        <v>1.02</v>
      </c>
      <c r="K74" s="64">
        <v>337.94</v>
      </c>
      <c r="L74" s="64">
        <v>30.34</v>
      </c>
      <c r="M74" s="64">
        <v>51.99</v>
      </c>
      <c r="N74" s="64">
        <v>67.900000000000006</v>
      </c>
      <c r="O74" s="64">
        <v>0</v>
      </c>
      <c r="P74" s="64">
        <v>0.56000000000000005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792</v>
      </c>
      <c r="B75" s="64">
        <v>2.69</v>
      </c>
      <c r="C75" s="64">
        <v>12.77</v>
      </c>
      <c r="D75" s="64">
        <v>8.83</v>
      </c>
      <c r="E75" s="64">
        <v>4.3099999999999996</v>
      </c>
      <c r="F75" s="64">
        <v>4.83</v>
      </c>
      <c r="G75" s="64">
        <v>56.01</v>
      </c>
      <c r="H75" s="64">
        <v>24.24</v>
      </c>
      <c r="I75" s="64">
        <v>3.55</v>
      </c>
      <c r="J75" s="64">
        <v>0.48</v>
      </c>
      <c r="K75" s="64">
        <v>33.11</v>
      </c>
      <c r="L75" s="64">
        <v>29.79</v>
      </c>
      <c r="M75" s="64">
        <v>53.56</v>
      </c>
      <c r="N75" s="64">
        <v>61.3</v>
      </c>
      <c r="O75" s="64">
        <v>0</v>
      </c>
      <c r="P75" s="64">
        <v>0.55000000000000004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5" t="s">
        <v>793</v>
      </c>
      <c r="B76" s="64">
        <v>2.74</v>
      </c>
      <c r="C76" s="64">
        <v>12.25</v>
      </c>
      <c r="D76" s="64">
        <v>8.6</v>
      </c>
      <c r="E76" s="64">
        <v>4.53</v>
      </c>
      <c r="F76" s="64">
        <v>4.7</v>
      </c>
      <c r="G76" s="64">
        <v>56.01</v>
      </c>
      <c r="H76" s="64">
        <v>24.24</v>
      </c>
      <c r="I76" s="64">
        <v>3.29</v>
      </c>
      <c r="J76" s="64">
        <v>1.4</v>
      </c>
      <c r="K76" s="64">
        <v>336.48</v>
      </c>
      <c r="L76" s="64">
        <v>29.85</v>
      </c>
      <c r="M76" s="64">
        <v>53.54</v>
      </c>
      <c r="N76" s="64">
        <v>54.8</v>
      </c>
      <c r="O76" s="64">
        <v>0</v>
      </c>
      <c r="P76" s="64">
        <v>0.57999999999999996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5" t="s">
        <v>794</v>
      </c>
      <c r="B77" s="64">
        <v>2.93</v>
      </c>
      <c r="C77" s="64">
        <v>12.05</v>
      </c>
      <c r="D77" s="64">
        <v>8.65</v>
      </c>
      <c r="E77" s="64">
        <v>4.4400000000000004</v>
      </c>
      <c r="F77" s="64">
        <v>5.25</v>
      </c>
      <c r="G77" s="64">
        <v>48.36</v>
      </c>
      <c r="H77" s="64">
        <v>16.37</v>
      </c>
      <c r="I77" s="64">
        <v>3.19</v>
      </c>
      <c r="J77" s="64">
        <v>1.23</v>
      </c>
      <c r="K77" s="64">
        <v>335.49</v>
      </c>
      <c r="L77" s="64">
        <v>29.68</v>
      </c>
      <c r="M77" s="64">
        <v>55.59</v>
      </c>
      <c r="N77" s="64">
        <v>47.8</v>
      </c>
      <c r="O77" s="64">
        <v>0</v>
      </c>
      <c r="P77" s="64">
        <v>0.65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795</v>
      </c>
      <c r="B78" s="64">
        <v>3.31</v>
      </c>
      <c r="C78" s="64">
        <v>12.34</v>
      </c>
      <c r="D78" s="64">
        <v>9.11</v>
      </c>
      <c r="E78" s="64">
        <v>4.45</v>
      </c>
      <c r="F78" s="64">
        <v>5.68</v>
      </c>
      <c r="G78" s="64">
        <v>48.36</v>
      </c>
      <c r="H78" s="64">
        <v>16.37</v>
      </c>
      <c r="I78" s="64">
        <v>2.74</v>
      </c>
      <c r="J78" s="64">
        <v>0.21</v>
      </c>
      <c r="K78" s="64">
        <v>340.44</v>
      </c>
      <c r="L78" s="64">
        <v>29.17</v>
      </c>
      <c r="M78" s="64">
        <v>57.16</v>
      </c>
      <c r="N78" s="64">
        <v>40.6</v>
      </c>
      <c r="O78" s="64">
        <v>0</v>
      </c>
      <c r="P78" s="64">
        <v>0.66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796</v>
      </c>
      <c r="B79" s="64">
        <v>3.55</v>
      </c>
      <c r="C79" s="64">
        <v>12.7</v>
      </c>
      <c r="D79" s="64">
        <v>9.48</v>
      </c>
      <c r="E79" s="64">
        <v>4.17</v>
      </c>
      <c r="F79" s="64">
        <v>5.41</v>
      </c>
      <c r="G79" s="64">
        <v>48.36</v>
      </c>
      <c r="H79" s="64">
        <v>16.37</v>
      </c>
      <c r="I79" s="64">
        <v>2.59</v>
      </c>
      <c r="J79" s="64">
        <v>0.61</v>
      </c>
      <c r="K79" s="64">
        <v>346.43</v>
      </c>
      <c r="L79" s="64">
        <v>28.65</v>
      </c>
      <c r="M79" s="64">
        <v>60.08</v>
      </c>
      <c r="N79" s="64">
        <v>31.9</v>
      </c>
      <c r="O79" s="64">
        <v>0</v>
      </c>
      <c r="P79" s="64">
        <v>0.92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797</v>
      </c>
      <c r="B80" s="64">
        <v>4.32</v>
      </c>
      <c r="C80" s="64">
        <v>13.14</v>
      </c>
      <c r="D80" s="64">
        <v>10.33</v>
      </c>
      <c r="E80" s="64">
        <v>4.5</v>
      </c>
      <c r="F80" s="64">
        <v>5.07</v>
      </c>
      <c r="G80" s="64">
        <v>48.36</v>
      </c>
      <c r="H80" s="64">
        <v>16.37</v>
      </c>
      <c r="I80" s="64">
        <v>2.57</v>
      </c>
      <c r="J80" s="64">
        <v>0.79</v>
      </c>
      <c r="K80" s="64">
        <v>325.35000000000002</v>
      </c>
      <c r="L80" s="64">
        <v>28.24</v>
      </c>
      <c r="M80" s="64">
        <v>64.78</v>
      </c>
      <c r="N80" s="64">
        <v>27.1</v>
      </c>
      <c r="O80" s="64">
        <v>0</v>
      </c>
      <c r="P80" s="64">
        <v>1.08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798</v>
      </c>
      <c r="B81" s="64">
        <v>5.18</v>
      </c>
      <c r="C81" s="64">
        <v>13.42</v>
      </c>
      <c r="D81" s="64">
        <v>11.17</v>
      </c>
      <c r="E81" s="64">
        <v>4.66</v>
      </c>
      <c r="F81" s="64">
        <v>5.48</v>
      </c>
      <c r="G81" s="64">
        <v>56.2</v>
      </c>
      <c r="H81" s="64">
        <v>21.68</v>
      </c>
      <c r="I81" s="64">
        <v>3.1</v>
      </c>
      <c r="J81" s="64">
        <v>0.54</v>
      </c>
      <c r="K81" s="64">
        <v>319.39</v>
      </c>
      <c r="L81" s="64">
        <v>27.53</v>
      </c>
      <c r="M81" s="64">
        <v>70.45</v>
      </c>
      <c r="N81" s="64">
        <v>26.2</v>
      </c>
      <c r="O81" s="64">
        <v>0</v>
      </c>
      <c r="P81" s="64">
        <v>1.23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799</v>
      </c>
      <c r="B82" s="64">
        <v>6</v>
      </c>
      <c r="C82" s="64">
        <v>13.74</v>
      </c>
      <c r="D82" s="64">
        <v>11.99</v>
      </c>
      <c r="E82" s="64">
        <v>4.7699999999999996</v>
      </c>
      <c r="F82" s="64">
        <v>4.49</v>
      </c>
      <c r="G82" s="64">
        <v>56.2</v>
      </c>
      <c r="H82" s="64">
        <v>21.68</v>
      </c>
      <c r="I82" s="64">
        <v>3.59</v>
      </c>
      <c r="J82" s="64">
        <v>0.57999999999999996</v>
      </c>
      <c r="K82" s="64">
        <v>335.46</v>
      </c>
      <c r="L82" s="64">
        <v>27.19</v>
      </c>
      <c r="M82" s="64">
        <v>73.540000000000006</v>
      </c>
      <c r="N82" s="64">
        <v>26.1</v>
      </c>
      <c r="O82" s="64">
        <v>0</v>
      </c>
      <c r="P82" s="64">
        <v>1.32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5" t="s">
        <v>800</v>
      </c>
      <c r="B83" s="64">
        <v>7.05</v>
      </c>
      <c r="C83" s="64">
        <v>14.55</v>
      </c>
      <c r="D83" s="64">
        <v>13.26</v>
      </c>
      <c r="E83" s="64">
        <v>4.8499999999999996</v>
      </c>
      <c r="F83" s="64">
        <v>4.55</v>
      </c>
      <c r="G83" s="64">
        <v>56.2</v>
      </c>
      <c r="H83" s="64">
        <v>21.68</v>
      </c>
      <c r="I83" s="64">
        <v>3.98</v>
      </c>
      <c r="J83" s="64">
        <v>0.25</v>
      </c>
      <c r="K83" s="64">
        <v>348.77</v>
      </c>
      <c r="L83" s="64">
        <v>26.99</v>
      </c>
      <c r="M83" s="64">
        <v>72.63</v>
      </c>
      <c r="N83" s="64">
        <v>26.5</v>
      </c>
      <c r="O83" s="64">
        <v>0</v>
      </c>
      <c r="P83" s="64">
        <v>1.34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801</v>
      </c>
      <c r="B84" s="64">
        <v>7.39</v>
      </c>
      <c r="C84" s="64">
        <v>15.3</v>
      </c>
      <c r="D84" s="64">
        <v>13.92</v>
      </c>
      <c r="E84" s="64">
        <v>5.24</v>
      </c>
      <c r="F84" s="64">
        <v>4.7300000000000004</v>
      </c>
      <c r="G84" s="64">
        <v>56.2</v>
      </c>
      <c r="H84" s="64">
        <v>21.68</v>
      </c>
      <c r="I84" s="64">
        <v>4.84</v>
      </c>
      <c r="J84" s="64">
        <v>0.19</v>
      </c>
      <c r="K84" s="64">
        <v>205.28</v>
      </c>
      <c r="L84" s="64">
        <v>27.04</v>
      </c>
      <c r="M84" s="64">
        <v>70.59</v>
      </c>
      <c r="N84" s="64">
        <v>26.2</v>
      </c>
      <c r="O84" s="64">
        <v>0</v>
      </c>
      <c r="P84" s="64">
        <v>1.1000000000000001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5" t="s">
        <v>802</v>
      </c>
      <c r="B85" s="64">
        <v>8.07</v>
      </c>
      <c r="C85" s="64">
        <v>15.58</v>
      </c>
      <c r="D85" s="64">
        <v>14.61</v>
      </c>
      <c r="E85" s="64">
        <v>5.5</v>
      </c>
      <c r="F85" s="64">
        <v>4.21</v>
      </c>
      <c r="G85" s="64">
        <v>63.6</v>
      </c>
      <c r="H85" s="64">
        <v>25.41</v>
      </c>
      <c r="I85" s="64">
        <v>5.84</v>
      </c>
      <c r="J85" s="64">
        <v>0.53</v>
      </c>
      <c r="K85" s="64">
        <v>331.88</v>
      </c>
      <c r="L85" s="64">
        <v>26.86</v>
      </c>
      <c r="M85" s="64">
        <v>76.52</v>
      </c>
      <c r="N85" s="64">
        <v>26.2</v>
      </c>
      <c r="O85" s="64">
        <v>0</v>
      </c>
      <c r="P85" s="64">
        <v>1.93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5" t="s">
        <v>803</v>
      </c>
      <c r="B86" s="64">
        <v>11.11</v>
      </c>
      <c r="C86" s="64">
        <v>16.32</v>
      </c>
      <c r="D86" s="64">
        <v>17.43</v>
      </c>
      <c r="E86" s="64">
        <v>5.99</v>
      </c>
      <c r="F86" s="64">
        <v>4.4800000000000004</v>
      </c>
      <c r="G86" s="64">
        <v>63.6</v>
      </c>
      <c r="H86" s="64">
        <v>25.41</v>
      </c>
      <c r="I86" s="64">
        <v>5.37</v>
      </c>
      <c r="J86" s="64">
        <v>0.49</v>
      </c>
      <c r="K86" s="64">
        <v>0.02</v>
      </c>
      <c r="L86" s="64">
        <v>26.59</v>
      </c>
      <c r="M86" s="64">
        <v>77.709999999999994</v>
      </c>
      <c r="N86" s="64">
        <v>26.1</v>
      </c>
      <c r="O86" s="64">
        <v>0</v>
      </c>
      <c r="P86" s="64">
        <v>1.86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804</v>
      </c>
      <c r="B87" s="64">
        <v>13.55</v>
      </c>
      <c r="C87" s="64">
        <v>16.73</v>
      </c>
      <c r="D87" s="64">
        <v>19.600000000000001</v>
      </c>
      <c r="E87" s="64">
        <v>5.98</v>
      </c>
      <c r="F87" s="64">
        <v>4.41</v>
      </c>
      <c r="G87" s="64">
        <v>63.6</v>
      </c>
      <c r="H87" s="64">
        <v>25.41</v>
      </c>
      <c r="I87" s="64">
        <v>6.86</v>
      </c>
      <c r="J87" s="64">
        <v>0.47</v>
      </c>
      <c r="K87" s="64">
        <v>315.64</v>
      </c>
      <c r="L87" s="64">
        <v>26.37</v>
      </c>
      <c r="M87" s="64">
        <v>81.44</v>
      </c>
      <c r="N87" s="64">
        <v>26.2</v>
      </c>
      <c r="O87" s="64">
        <v>0</v>
      </c>
      <c r="P87" s="64">
        <v>1.64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805</v>
      </c>
      <c r="B88" s="64">
        <v>15.95</v>
      </c>
      <c r="C88" s="64">
        <v>16.82</v>
      </c>
      <c r="D88" s="64">
        <v>21.58</v>
      </c>
      <c r="E88" s="64">
        <v>7.05</v>
      </c>
      <c r="F88" s="64">
        <v>4.16</v>
      </c>
      <c r="G88" s="64">
        <v>63.6</v>
      </c>
      <c r="H88" s="64">
        <v>25.41</v>
      </c>
      <c r="I88" s="64">
        <v>7.16</v>
      </c>
      <c r="J88" s="64">
        <v>0.43</v>
      </c>
      <c r="K88" s="64">
        <v>214.85</v>
      </c>
      <c r="L88" s="64">
        <v>26.46</v>
      </c>
      <c r="M88" s="64">
        <v>78.319999999999993</v>
      </c>
      <c r="N88" s="64">
        <v>25.9</v>
      </c>
      <c r="O88" s="64">
        <v>0</v>
      </c>
      <c r="P88" s="64">
        <v>1.24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806</v>
      </c>
      <c r="B89" s="64">
        <v>17.399999999999999</v>
      </c>
      <c r="C89" s="64">
        <v>16.86</v>
      </c>
      <c r="D89" s="64">
        <v>22.76</v>
      </c>
      <c r="E89" s="64">
        <v>7.81</v>
      </c>
      <c r="F89" s="64">
        <v>4.08</v>
      </c>
      <c r="G89" s="64">
        <v>68.39</v>
      </c>
      <c r="H89" s="64">
        <v>40.35</v>
      </c>
      <c r="I89" s="64">
        <v>7.07</v>
      </c>
      <c r="J89" s="64">
        <v>0.41</v>
      </c>
      <c r="K89" s="64">
        <v>357.64</v>
      </c>
      <c r="L89" s="64">
        <v>26.42</v>
      </c>
      <c r="M89" s="64">
        <v>79.86</v>
      </c>
      <c r="N89" s="64">
        <v>26.1</v>
      </c>
      <c r="O89" s="64">
        <v>0</v>
      </c>
      <c r="P89" s="64">
        <v>1.57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5" t="s">
        <v>807</v>
      </c>
      <c r="B90" s="64">
        <v>19.36</v>
      </c>
      <c r="C90" s="64">
        <v>16.940000000000001</v>
      </c>
      <c r="D90" s="64">
        <v>24.37</v>
      </c>
      <c r="E90" s="64">
        <v>7.64</v>
      </c>
      <c r="F90" s="64">
        <v>3.9</v>
      </c>
      <c r="G90" s="64">
        <v>68.39</v>
      </c>
      <c r="H90" s="64">
        <v>40.35</v>
      </c>
      <c r="I90" s="64">
        <v>6.33</v>
      </c>
      <c r="J90" s="64">
        <v>0.52</v>
      </c>
      <c r="K90" s="64">
        <v>296.57</v>
      </c>
      <c r="L90" s="64">
        <v>26.32</v>
      </c>
      <c r="M90" s="64">
        <v>81</v>
      </c>
      <c r="N90" s="64">
        <v>26.1</v>
      </c>
      <c r="O90" s="64">
        <v>0</v>
      </c>
      <c r="P90" s="64">
        <v>1.68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5" t="s">
        <v>808</v>
      </c>
      <c r="B91" s="64">
        <v>22.24</v>
      </c>
      <c r="C91" s="64">
        <v>16.98</v>
      </c>
      <c r="D91" s="64">
        <v>26.7</v>
      </c>
      <c r="E91" s="64">
        <v>7.74</v>
      </c>
      <c r="F91" s="64">
        <v>4.13</v>
      </c>
      <c r="G91" s="64">
        <v>68.39</v>
      </c>
      <c r="H91" s="64">
        <v>40.35</v>
      </c>
      <c r="I91" s="64">
        <v>6.25</v>
      </c>
      <c r="J91" s="64">
        <v>0.48</v>
      </c>
      <c r="K91" s="64">
        <v>312.05</v>
      </c>
      <c r="L91" s="64">
        <v>26.17</v>
      </c>
      <c r="M91" s="64">
        <v>82.21</v>
      </c>
      <c r="N91" s="64">
        <v>26.1</v>
      </c>
      <c r="O91" s="64">
        <v>0</v>
      </c>
      <c r="P91" s="64">
        <v>1.85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809</v>
      </c>
      <c r="B92" s="64">
        <v>25.76</v>
      </c>
      <c r="C92" s="64">
        <v>16.739999999999998</v>
      </c>
      <c r="D92" s="64">
        <v>29.4</v>
      </c>
      <c r="E92" s="64">
        <v>7.89</v>
      </c>
      <c r="F92" s="64">
        <v>3.89</v>
      </c>
      <c r="G92" s="64">
        <v>68.39</v>
      </c>
      <c r="H92" s="64">
        <v>40.35</v>
      </c>
      <c r="I92" s="64">
        <v>6.99</v>
      </c>
      <c r="J92" s="64">
        <v>0.55000000000000004</v>
      </c>
      <c r="K92" s="64">
        <v>297.43</v>
      </c>
      <c r="L92" s="64">
        <v>26.03</v>
      </c>
      <c r="M92" s="64">
        <v>84.03</v>
      </c>
      <c r="N92" s="64">
        <v>26.1</v>
      </c>
      <c r="O92" s="64">
        <v>0</v>
      </c>
      <c r="P92" s="64">
        <v>2.11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810</v>
      </c>
      <c r="B93" s="64">
        <v>28.64</v>
      </c>
      <c r="C93" s="64">
        <v>16.010000000000002</v>
      </c>
      <c r="D93" s="64">
        <v>31.33</v>
      </c>
      <c r="E93" s="64">
        <v>7.43</v>
      </c>
      <c r="F93" s="64">
        <v>4.16</v>
      </c>
      <c r="G93" s="64">
        <v>81.33</v>
      </c>
      <c r="H93" s="64">
        <v>25.7</v>
      </c>
      <c r="I93" s="64">
        <v>8.07</v>
      </c>
      <c r="J93" s="64">
        <v>0.52</v>
      </c>
      <c r="K93" s="64">
        <v>283.41000000000003</v>
      </c>
      <c r="L93" s="64">
        <v>25.95</v>
      </c>
      <c r="M93" s="64">
        <v>84.02</v>
      </c>
      <c r="N93" s="64">
        <v>26</v>
      </c>
      <c r="O93" s="64">
        <v>0</v>
      </c>
      <c r="P93" s="64">
        <v>1.69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811</v>
      </c>
      <c r="B94" s="64">
        <v>31.19</v>
      </c>
      <c r="C94" s="64">
        <v>15.79</v>
      </c>
      <c r="D94" s="64">
        <v>33.26</v>
      </c>
      <c r="E94" s="64">
        <v>7.33</v>
      </c>
      <c r="F94" s="64">
        <v>4.2699999999999996</v>
      </c>
      <c r="G94" s="64">
        <v>81.33</v>
      </c>
      <c r="H94" s="64">
        <v>25.7</v>
      </c>
      <c r="I94" s="64">
        <v>9.36</v>
      </c>
      <c r="J94" s="64">
        <v>0.48</v>
      </c>
      <c r="K94" s="64">
        <v>305.73</v>
      </c>
      <c r="L94" s="64">
        <v>25.89</v>
      </c>
      <c r="M94" s="64">
        <v>87.99</v>
      </c>
      <c r="N94" s="64">
        <v>26.2</v>
      </c>
      <c r="O94" s="64">
        <v>0</v>
      </c>
      <c r="P94" s="64">
        <v>2.42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812</v>
      </c>
      <c r="B95" s="64">
        <v>36.32</v>
      </c>
      <c r="C95" s="64">
        <v>15.59</v>
      </c>
      <c r="D95" s="64">
        <v>37.270000000000003</v>
      </c>
      <c r="E95" s="64">
        <v>7.42</v>
      </c>
      <c r="F95" s="64">
        <v>3.98</v>
      </c>
      <c r="G95" s="64">
        <v>81.33</v>
      </c>
      <c r="H95" s="64">
        <v>25.7</v>
      </c>
      <c r="I95" s="64">
        <v>7.63</v>
      </c>
      <c r="J95" s="64">
        <v>0.24</v>
      </c>
      <c r="K95" s="64">
        <v>248.94</v>
      </c>
      <c r="L95" s="64">
        <v>25.72</v>
      </c>
      <c r="M95" s="64">
        <v>86.47</v>
      </c>
      <c r="N95" s="64">
        <v>26</v>
      </c>
      <c r="O95" s="64">
        <v>0</v>
      </c>
      <c r="P95" s="64">
        <v>1.38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813</v>
      </c>
      <c r="B96" s="64">
        <v>39.76</v>
      </c>
      <c r="C96" s="64">
        <v>15.33</v>
      </c>
      <c r="D96" s="64">
        <v>39.89</v>
      </c>
      <c r="E96" s="64">
        <v>7.01</v>
      </c>
      <c r="F96" s="64">
        <v>4.1399999999999997</v>
      </c>
      <c r="G96" s="64">
        <v>81.33</v>
      </c>
      <c r="H96" s="64">
        <v>25.7</v>
      </c>
      <c r="I96" s="64">
        <v>7.99</v>
      </c>
      <c r="J96" s="64">
        <v>0.42</v>
      </c>
      <c r="K96" s="64">
        <v>310.83999999999997</v>
      </c>
      <c r="L96" s="64">
        <v>25.73</v>
      </c>
      <c r="M96" s="64">
        <v>87.59</v>
      </c>
      <c r="N96" s="64">
        <v>26.1</v>
      </c>
      <c r="O96" s="64">
        <v>0</v>
      </c>
      <c r="P96" s="64">
        <v>1.78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814</v>
      </c>
      <c r="B97" s="64">
        <v>41.45</v>
      </c>
      <c r="C97" s="64">
        <v>14.85</v>
      </c>
      <c r="D97" s="64">
        <v>41</v>
      </c>
      <c r="E97" s="64">
        <v>7.4</v>
      </c>
      <c r="F97" s="64">
        <v>4.5</v>
      </c>
      <c r="G97" s="64">
        <v>85.24</v>
      </c>
      <c r="H97" s="64">
        <v>41.98</v>
      </c>
      <c r="I97" s="64">
        <v>7.14</v>
      </c>
      <c r="J97" s="64">
        <v>0.25</v>
      </c>
      <c r="K97" s="64">
        <v>299.04000000000002</v>
      </c>
      <c r="L97" s="64">
        <v>25.65</v>
      </c>
      <c r="M97" s="64">
        <v>86.24</v>
      </c>
      <c r="N97" s="64">
        <v>26</v>
      </c>
      <c r="O97" s="64">
        <v>0</v>
      </c>
      <c r="P97" s="64">
        <v>1.51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5" t="s">
        <v>815</v>
      </c>
      <c r="B98" s="64">
        <v>42.91</v>
      </c>
      <c r="C98" s="64">
        <v>14.49</v>
      </c>
      <c r="D98" s="64">
        <v>41.98</v>
      </c>
      <c r="E98" s="64">
        <v>7.56</v>
      </c>
      <c r="F98" s="64">
        <v>4.07</v>
      </c>
      <c r="G98" s="64">
        <v>85.24</v>
      </c>
      <c r="H98" s="64">
        <v>41.98</v>
      </c>
      <c r="I98" s="64">
        <v>6.28</v>
      </c>
      <c r="J98" s="64">
        <v>0.54</v>
      </c>
      <c r="K98" s="64">
        <v>301.17</v>
      </c>
      <c r="L98" s="64">
        <v>25.6</v>
      </c>
      <c r="M98" s="64">
        <v>88.94</v>
      </c>
      <c r="N98" s="64">
        <v>26.1</v>
      </c>
      <c r="O98" s="64">
        <v>0</v>
      </c>
      <c r="P98" s="64">
        <v>1.57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816</v>
      </c>
      <c r="B99" s="64">
        <v>44.64</v>
      </c>
      <c r="C99" s="64">
        <v>14.18</v>
      </c>
      <c r="D99" s="64">
        <v>43.2</v>
      </c>
      <c r="E99" s="64">
        <v>7.57</v>
      </c>
      <c r="F99" s="64">
        <v>3.91</v>
      </c>
      <c r="G99" s="64">
        <v>85.24</v>
      </c>
      <c r="H99" s="64">
        <v>41.98</v>
      </c>
      <c r="I99" s="64">
        <v>6.31</v>
      </c>
      <c r="J99" s="64">
        <v>0.56000000000000005</v>
      </c>
      <c r="K99" s="64">
        <v>303.08999999999997</v>
      </c>
      <c r="L99" s="64">
        <v>25.44</v>
      </c>
      <c r="M99" s="64">
        <v>89.14</v>
      </c>
      <c r="N99" s="64">
        <v>26.1</v>
      </c>
      <c r="O99" s="64">
        <v>0</v>
      </c>
      <c r="P99" s="64">
        <v>1.58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817</v>
      </c>
      <c r="B100" s="64">
        <v>46.77</v>
      </c>
      <c r="C100" s="64">
        <v>14.45</v>
      </c>
      <c r="D100" s="64">
        <v>45.05</v>
      </c>
      <c r="E100" s="64">
        <v>7.45</v>
      </c>
      <c r="F100" s="64">
        <v>4.57</v>
      </c>
      <c r="G100" s="64">
        <v>85.24</v>
      </c>
      <c r="H100" s="64">
        <v>41.98</v>
      </c>
      <c r="I100" s="64">
        <v>5.61</v>
      </c>
      <c r="J100" s="64">
        <v>0.45</v>
      </c>
      <c r="K100" s="64">
        <v>294.58</v>
      </c>
      <c r="L100" s="64">
        <v>25.29</v>
      </c>
      <c r="M100" s="64">
        <v>93.48</v>
      </c>
      <c r="N100" s="64">
        <v>26.1</v>
      </c>
      <c r="O100" s="64">
        <v>0</v>
      </c>
      <c r="P100" s="64">
        <v>1.6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818</v>
      </c>
      <c r="B101" s="64">
        <v>48.68</v>
      </c>
      <c r="C101" s="64">
        <v>14.38</v>
      </c>
      <c r="D101" s="64">
        <v>46.55</v>
      </c>
      <c r="E101" s="64">
        <v>7.75</v>
      </c>
      <c r="F101" s="64">
        <v>4.21</v>
      </c>
      <c r="G101" s="64">
        <v>85.8</v>
      </c>
      <c r="H101" s="64">
        <v>36.880000000000003</v>
      </c>
      <c r="I101" s="64">
        <v>5.75</v>
      </c>
      <c r="J101" s="64">
        <v>0.55000000000000004</v>
      </c>
      <c r="K101" s="64">
        <v>343.56</v>
      </c>
      <c r="L101" s="64">
        <v>25.14</v>
      </c>
      <c r="M101" s="64">
        <v>95.48</v>
      </c>
      <c r="N101" s="64">
        <v>26.3</v>
      </c>
      <c r="O101" s="64">
        <v>0</v>
      </c>
      <c r="P101" s="64">
        <v>1.62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5" t="s">
        <v>819</v>
      </c>
      <c r="B102" s="64">
        <v>50.45</v>
      </c>
      <c r="C102" s="64">
        <v>14.33</v>
      </c>
      <c r="D102" s="64">
        <v>47.94</v>
      </c>
      <c r="E102" s="64">
        <v>7.56</v>
      </c>
      <c r="F102" s="64">
        <v>3.98</v>
      </c>
      <c r="G102" s="64">
        <v>85.8</v>
      </c>
      <c r="H102" s="64">
        <v>36.880000000000003</v>
      </c>
      <c r="I102" s="64">
        <v>6.16</v>
      </c>
      <c r="J102" s="64">
        <v>0.53</v>
      </c>
      <c r="K102" s="64">
        <v>344.33</v>
      </c>
      <c r="L102" s="64">
        <v>24.96</v>
      </c>
      <c r="M102" s="64">
        <v>95.73</v>
      </c>
      <c r="N102" s="64">
        <v>26.1</v>
      </c>
      <c r="O102" s="64">
        <v>0</v>
      </c>
      <c r="P102" s="64">
        <v>1.72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5" t="s">
        <v>820</v>
      </c>
      <c r="B103" s="64">
        <v>52.59</v>
      </c>
      <c r="C103" s="64">
        <v>14.13</v>
      </c>
      <c r="D103" s="64">
        <v>49.56</v>
      </c>
      <c r="E103" s="64">
        <v>7.96</v>
      </c>
      <c r="F103" s="64">
        <v>4.22</v>
      </c>
      <c r="G103" s="64">
        <v>85.8</v>
      </c>
      <c r="H103" s="64">
        <v>36.880000000000003</v>
      </c>
      <c r="I103" s="64">
        <v>6.83</v>
      </c>
      <c r="J103" s="64">
        <v>0.46</v>
      </c>
      <c r="K103" s="64">
        <v>338.89</v>
      </c>
      <c r="L103" s="64">
        <v>24.88</v>
      </c>
      <c r="M103" s="64">
        <v>97.51</v>
      </c>
      <c r="N103" s="64">
        <v>26.1</v>
      </c>
      <c r="O103" s="64">
        <v>0</v>
      </c>
      <c r="P103" s="64">
        <v>1.37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5" t="s">
        <v>821</v>
      </c>
      <c r="B104" s="64">
        <v>54.13</v>
      </c>
      <c r="C104" s="64">
        <v>13.69</v>
      </c>
      <c r="D104" s="64">
        <v>50.56</v>
      </c>
      <c r="E104" s="64">
        <v>6.3</v>
      </c>
      <c r="F104" s="64">
        <v>4.08</v>
      </c>
      <c r="G104" s="64">
        <v>85.8</v>
      </c>
      <c r="H104" s="64">
        <v>36.880000000000003</v>
      </c>
      <c r="I104" s="64">
        <v>6.43</v>
      </c>
      <c r="J104" s="64">
        <v>0.48</v>
      </c>
      <c r="K104" s="64">
        <v>313.14</v>
      </c>
      <c r="L104" s="64">
        <v>24.84</v>
      </c>
      <c r="M104" s="64">
        <v>96.55</v>
      </c>
      <c r="N104" s="64">
        <v>26.1</v>
      </c>
      <c r="O104" s="64">
        <v>0</v>
      </c>
      <c r="P104" s="64">
        <v>1.44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2.69</v>
      </c>
      <c r="C106" s="67">
        <f>MIN(C9:C104)</f>
        <v>5.71</v>
      </c>
      <c r="D106" s="67">
        <f t="shared" ref="D106:Q106" si="0">MIN(D9:D104)</f>
        <v>8.6</v>
      </c>
      <c r="E106" s="67">
        <f t="shared" si="0"/>
        <v>4.0199999999999996</v>
      </c>
      <c r="F106" s="67">
        <f t="shared" si="0"/>
        <v>3.01</v>
      </c>
      <c r="G106" s="67">
        <f t="shared" si="0"/>
        <v>41.89</v>
      </c>
      <c r="H106" s="67">
        <f t="shared" si="0"/>
        <v>0.08</v>
      </c>
      <c r="I106" s="67">
        <f t="shared" si="0"/>
        <v>1.96</v>
      </c>
      <c r="J106" s="67">
        <f t="shared" si="0"/>
        <v>0.18</v>
      </c>
      <c r="K106" s="67">
        <f t="shared" si="0"/>
        <v>0.02</v>
      </c>
      <c r="L106" s="67">
        <f t="shared" si="0"/>
        <v>23.18</v>
      </c>
      <c r="M106" s="67">
        <f t="shared" si="0"/>
        <v>44.82</v>
      </c>
      <c r="N106" s="67">
        <f t="shared" si="0"/>
        <v>25.8</v>
      </c>
      <c r="O106" s="67">
        <f t="shared" si="0"/>
        <v>0</v>
      </c>
      <c r="P106" s="67">
        <f t="shared" si="0"/>
        <v>0.47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54.13</v>
      </c>
      <c r="C107" s="66">
        <f t="shared" ref="C107:Q107" si="1">MAX(C9:C104)</f>
        <v>16.98</v>
      </c>
      <c r="D107" s="66">
        <f t="shared" si="1"/>
        <v>50.56</v>
      </c>
      <c r="E107" s="66">
        <f t="shared" si="1"/>
        <v>7.96</v>
      </c>
      <c r="F107" s="66">
        <f t="shared" si="1"/>
        <v>6.28</v>
      </c>
      <c r="G107" s="66">
        <f t="shared" si="1"/>
        <v>112.38</v>
      </c>
      <c r="H107" s="66">
        <f t="shared" si="1"/>
        <v>155.80000000000001</v>
      </c>
      <c r="I107" s="66">
        <f t="shared" si="1"/>
        <v>9.36</v>
      </c>
      <c r="J107" s="66">
        <f t="shared" si="1"/>
        <v>1.54</v>
      </c>
      <c r="K107" s="66">
        <f t="shared" si="1"/>
        <v>359.12</v>
      </c>
      <c r="L107" s="66">
        <f t="shared" si="1"/>
        <v>36.799999999999997</v>
      </c>
      <c r="M107" s="66">
        <f t="shared" si="1"/>
        <v>102.8</v>
      </c>
      <c r="N107" s="66">
        <f t="shared" si="1"/>
        <v>788.3</v>
      </c>
      <c r="O107" s="66">
        <f t="shared" si="1"/>
        <v>0</v>
      </c>
      <c r="P107" s="66">
        <f t="shared" si="1"/>
        <v>2.42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17.553958333333338</v>
      </c>
      <c r="C108" s="67">
        <f t="shared" ref="C108:Q108" si="2">AVERAGE(C9:C104)</f>
        <v>11.880000000000003</v>
      </c>
      <c r="D108" s="67">
        <f t="shared" si="2"/>
        <v>20.283229166666661</v>
      </c>
      <c r="E108" s="67">
        <f t="shared" si="2"/>
        <v>5.7413541666666665</v>
      </c>
      <c r="F108" s="67">
        <f t="shared" si="2"/>
        <v>4.3557291666666673</v>
      </c>
      <c r="G108" s="67">
        <f t="shared" si="2"/>
        <v>68.466145833333329</v>
      </c>
      <c r="H108" s="67">
        <f t="shared" si="2"/>
        <v>27.342916666666667</v>
      </c>
      <c r="I108" s="67">
        <f t="shared" si="2"/>
        <v>4.3713541666666655</v>
      </c>
      <c r="J108" s="67">
        <f t="shared" si="2"/>
        <v>0.66114583333333332</v>
      </c>
      <c r="K108" s="67">
        <f t="shared" si="2"/>
        <v>280.76395833333328</v>
      </c>
      <c r="L108" s="67">
        <f t="shared" si="2"/>
        <v>28.193645833333335</v>
      </c>
      <c r="M108" s="67">
        <f t="shared" si="2"/>
        <v>75.840416666666684</v>
      </c>
      <c r="N108" s="67">
        <f t="shared" si="2"/>
        <v>158.62708333333342</v>
      </c>
      <c r="O108" s="67">
        <f t="shared" si="2"/>
        <v>0</v>
      </c>
      <c r="P108" s="67">
        <f t="shared" si="2"/>
        <v>0.89812499999999984</v>
      </c>
      <c r="Q108" s="67">
        <f t="shared" si="2"/>
        <v>9.6131250000000072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12.022063005304403</v>
      </c>
      <c r="C109" s="67">
        <f t="shared" ref="C109:Q109" si="3">STDEV(C9:C104)</f>
        <v>3.440105261547425</v>
      </c>
      <c r="D109" s="67">
        <f t="shared" si="3"/>
        <v>9.9886142018422994</v>
      </c>
      <c r="E109" s="67">
        <f t="shared" si="3"/>
        <v>1.0360487895356363</v>
      </c>
      <c r="F109" s="67">
        <f t="shared" si="3"/>
        <v>0.54309007645173657</v>
      </c>
      <c r="G109" s="67">
        <f t="shared" si="3"/>
        <v>20.625090768274514</v>
      </c>
      <c r="H109" s="67">
        <f t="shared" si="3"/>
        <v>29.073294163351555</v>
      </c>
      <c r="I109" s="67">
        <f t="shared" si="3"/>
        <v>1.6422959665257268</v>
      </c>
      <c r="J109" s="67">
        <f t="shared" si="3"/>
        <v>0.38498358076175238</v>
      </c>
      <c r="K109" s="67">
        <f t="shared" si="3"/>
        <v>89.494533622882372</v>
      </c>
      <c r="L109" s="67">
        <f t="shared" si="3"/>
        <v>3.9313115850195022</v>
      </c>
      <c r="M109" s="67">
        <f t="shared" si="3"/>
        <v>21.470725377723344</v>
      </c>
      <c r="N109" s="67">
        <f t="shared" si="3"/>
        <v>211.02519604074553</v>
      </c>
      <c r="O109" s="67">
        <f t="shared" si="3"/>
        <v>0</v>
      </c>
      <c r="P109" s="67">
        <f t="shared" si="3"/>
        <v>0.45199979622724828</v>
      </c>
      <c r="Q109" s="67">
        <f t="shared" si="3"/>
        <v>1.2675089535653973E-2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822</v>
      </c>
      <c r="B9" s="64">
        <v>54.36</v>
      </c>
      <c r="C9" s="64">
        <v>13.88</v>
      </c>
      <c r="D9" s="64">
        <v>50.84</v>
      </c>
      <c r="E9" s="64">
        <v>6.2</v>
      </c>
      <c r="F9" s="64">
        <v>3.44</v>
      </c>
      <c r="G9" s="64">
        <v>90.13</v>
      </c>
      <c r="H9" s="64">
        <v>29.72</v>
      </c>
      <c r="I9" s="64">
        <v>5.0999999999999996</v>
      </c>
      <c r="J9" s="64">
        <v>0.51</v>
      </c>
      <c r="K9" s="64">
        <v>319.24</v>
      </c>
      <c r="L9" s="64">
        <v>24.72</v>
      </c>
      <c r="M9" s="64">
        <v>97.06</v>
      </c>
      <c r="N9" s="64">
        <v>26.1</v>
      </c>
      <c r="O9" s="64">
        <v>0</v>
      </c>
      <c r="P9" s="64">
        <v>1.4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5" t="s">
        <v>823</v>
      </c>
      <c r="B10" s="64">
        <v>54.03</v>
      </c>
      <c r="C10" s="64">
        <v>13.45</v>
      </c>
      <c r="D10" s="64">
        <v>50.36</v>
      </c>
      <c r="E10" s="64">
        <v>6.09</v>
      </c>
      <c r="F10" s="64">
        <v>4.16</v>
      </c>
      <c r="G10" s="64">
        <v>90.13</v>
      </c>
      <c r="H10" s="64">
        <v>29.72</v>
      </c>
      <c r="I10" s="64">
        <v>5.73</v>
      </c>
      <c r="J10" s="64">
        <v>0.51</v>
      </c>
      <c r="K10" s="64">
        <v>297.36</v>
      </c>
      <c r="L10" s="64">
        <v>24.69</v>
      </c>
      <c r="M10" s="64">
        <v>97.96</v>
      </c>
      <c r="N10" s="64">
        <v>26.1</v>
      </c>
      <c r="O10" s="64">
        <v>0</v>
      </c>
      <c r="P10" s="64">
        <v>1.45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5" t="s">
        <v>824</v>
      </c>
      <c r="B11" s="64">
        <v>52.92</v>
      </c>
      <c r="C11" s="64">
        <v>13.19</v>
      </c>
      <c r="D11" s="64">
        <v>49.33</v>
      </c>
      <c r="E11" s="64">
        <v>5.94</v>
      </c>
      <c r="F11" s="64">
        <v>3.17</v>
      </c>
      <c r="G11" s="64">
        <v>90.13</v>
      </c>
      <c r="H11" s="64">
        <v>29.72</v>
      </c>
      <c r="I11" s="64">
        <v>5.42</v>
      </c>
      <c r="J11" s="64">
        <v>0.49</v>
      </c>
      <c r="K11" s="64">
        <v>284.77999999999997</v>
      </c>
      <c r="L11" s="64">
        <v>24.65</v>
      </c>
      <c r="M11" s="64">
        <v>98.75</v>
      </c>
      <c r="N11" s="64">
        <v>26.1</v>
      </c>
      <c r="O11" s="64">
        <v>0</v>
      </c>
      <c r="P11" s="64">
        <v>1.1499999999999999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5" t="s">
        <v>825</v>
      </c>
      <c r="B12" s="64">
        <v>51.11</v>
      </c>
      <c r="C12" s="64">
        <v>12.58</v>
      </c>
      <c r="D12" s="64">
        <v>47.56</v>
      </c>
      <c r="E12" s="64">
        <v>6.3</v>
      </c>
      <c r="F12" s="64">
        <v>4.05</v>
      </c>
      <c r="G12" s="64">
        <v>90.13</v>
      </c>
      <c r="H12" s="64">
        <v>29.72</v>
      </c>
      <c r="I12" s="64">
        <v>5.57</v>
      </c>
      <c r="J12" s="64">
        <v>0.45</v>
      </c>
      <c r="K12" s="64">
        <v>319.08999999999997</v>
      </c>
      <c r="L12" s="64">
        <v>24.67</v>
      </c>
      <c r="M12" s="64">
        <v>100.76</v>
      </c>
      <c r="N12" s="64">
        <v>26.1</v>
      </c>
      <c r="O12" s="64">
        <v>0</v>
      </c>
      <c r="P12" s="64">
        <v>1.33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5" t="s">
        <v>826</v>
      </c>
      <c r="B13" s="64">
        <v>50.36</v>
      </c>
      <c r="C13" s="64">
        <v>11.97</v>
      </c>
      <c r="D13" s="64">
        <v>46.64</v>
      </c>
      <c r="E13" s="64">
        <v>5.95</v>
      </c>
      <c r="F13" s="64">
        <v>4.04</v>
      </c>
      <c r="G13" s="64">
        <v>89.02</v>
      </c>
      <c r="H13" s="64">
        <v>19.13</v>
      </c>
      <c r="I13" s="64">
        <v>5.67</v>
      </c>
      <c r="J13" s="64">
        <v>0.49</v>
      </c>
      <c r="K13" s="64">
        <v>314.07</v>
      </c>
      <c r="L13" s="64">
        <v>24.62</v>
      </c>
      <c r="M13" s="64">
        <v>101.65</v>
      </c>
      <c r="N13" s="64">
        <v>26.1</v>
      </c>
      <c r="O13" s="64">
        <v>0</v>
      </c>
      <c r="P13" s="64">
        <v>1.01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5" t="s">
        <v>827</v>
      </c>
      <c r="B14" s="64">
        <v>49.76</v>
      </c>
      <c r="C14" s="64">
        <v>10.74</v>
      </c>
      <c r="D14" s="64">
        <v>45.52</v>
      </c>
      <c r="E14" s="64">
        <v>6</v>
      </c>
      <c r="F14" s="64">
        <v>4.2300000000000004</v>
      </c>
      <c r="G14" s="64">
        <v>89.02</v>
      </c>
      <c r="H14" s="64">
        <v>19.13</v>
      </c>
      <c r="I14" s="64">
        <v>5.36</v>
      </c>
      <c r="J14" s="64">
        <v>0.77</v>
      </c>
      <c r="K14" s="64">
        <v>327.25</v>
      </c>
      <c r="L14" s="64">
        <v>24.53</v>
      </c>
      <c r="M14" s="64">
        <v>101.17</v>
      </c>
      <c r="N14" s="64">
        <v>25.7</v>
      </c>
      <c r="O14" s="64">
        <v>0</v>
      </c>
      <c r="P14" s="64">
        <v>1.2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828</v>
      </c>
      <c r="B15" s="64">
        <v>48.45</v>
      </c>
      <c r="C15" s="64">
        <v>10.26</v>
      </c>
      <c r="D15" s="64">
        <v>44.22</v>
      </c>
      <c r="E15" s="64">
        <v>5.96</v>
      </c>
      <c r="F15" s="64">
        <v>4.12</v>
      </c>
      <c r="G15" s="64">
        <v>89.02</v>
      </c>
      <c r="H15" s="64">
        <v>19.13</v>
      </c>
      <c r="I15" s="64">
        <v>5.01</v>
      </c>
      <c r="J15" s="64">
        <v>1.52</v>
      </c>
      <c r="K15" s="64">
        <v>338.87</v>
      </c>
      <c r="L15" s="64">
        <v>25.07</v>
      </c>
      <c r="M15" s="64">
        <v>96.63</v>
      </c>
      <c r="N15" s="64">
        <v>25.2</v>
      </c>
      <c r="O15" s="64">
        <v>0</v>
      </c>
      <c r="P15" s="64">
        <v>1.19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5" t="s">
        <v>829</v>
      </c>
      <c r="B16" s="64">
        <v>46.46</v>
      </c>
      <c r="C16" s="64">
        <v>10.44</v>
      </c>
      <c r="D16" s="64">
        <v>42.71</v>
      </c>
      <c r="E16" s="64">
        <v>5.96</v>
      </c>
      <c r="F16" s="64">
        <v>4</v>
      </c>
      <c r="G16" s="64">
        <v>89.02</v>
      </c>
      <c r="H16" s="64">
        <v>19.13</v>
      </c>
      <c r="I16" s="64">
        <v>5.58</v>
      </c>
      <c r="J16" s="64">
        <v>1.22</v>
      </c>
      <c r="K16" s="64">
        <v>335.03</v>
      </c>
      <c r="L16" s="64">
        <v>25.23</v>
      </c>
      <c r="M16" s="64">
        <v>95.8</v>
      </c>
      <c r="N16" s="64">
        <v>26.2</v>
      </c>
      <c r="O16" s="64">
        <v>0</v>
      </c>
      <c r="P16" s="64">
        <v>1.04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5" t="s">
        <v>830</v>
      </c>
      <c r="B17" s="64">
        <v>44.55</v>
      </c>
      <c r="C17" s="64">
        <v>10.1</v>
      </c>
      <c r="D17" s="64">
        <v>41</v>
      </c>
      <c r="E17" s="64">
        <v>5.65</v>
      </c>
      <c r="F17" s="64">
        <v>4.13</v>
      </c>
      <c r="G17" s="64">
        <v>86.16</v>
      </c>
      <c r="H17" s="64">
        <v>25.13</v>
      </c>
      <c r="I17" s="64">
        <v>6.05</v>
      </c>
      <c r="J17" s="64">
        <v>0.77</v>
      </c>
      <c r="K17" s="64">
        <v>333.31</v>
      </c>
      <c r="L17" s="64">
        <v>25.17</v>
      </c>
      <c r="M17" s="64">
        <v>96.32</v>
      </c>
      <c r="N17" s="64">
        <v>26.2</v>
      </c>
      <c r="O17" s="64">
        <v>0</v>
      </c>
      <c r="P17" s="64">
        <v>0.87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5" t="s">
        <v>831</v>
      </c>
      <c r="B18" s="64">
        <v>42.68</v>
      </c>
      <c r="C18" s="64">
        <v>9.6999999999999993</v>
      </c>
      <c r="D18" s="64">
        <v>39.29</v>
      </c>
      <c r="E18" s="64">
        <v>5.94</v>
      </c>
      <c r="F18" s="64">
        <v>4.2</v>
      </c>
      <c r="G18" s="64">
        <v>86.16</v>
      </c>
      <c r="H18" s="64">
        <v>25.13</v>
      </c>
      <c r="I18" s="64">
        <v>4.97</v>
      </c>
      <c r="J18" s="64">
        <v>0.49</v>
      </c>
      <c r="K18" s="64">
        <v>308.04000000000002</v>
      </c>
      <c r="L18" s="64">
        <v>24.89</v>
      </c>
      <c r="M18" s="64">
        <v>97.94</v>
      </c>
      <c r="N18" s="64">
        <v>26.4</v>
      </c>
      <c r="O18" s="64">
        <v>0</v>
      </c>
      <c r="P18" s="64">
        <v>0.75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5" t="s">
        <v>832</v>
      </c>
      <c r="B19" s="64">
        <v>41.06</v>
      </c>
      <c r="C19" s="64">
        <v>9.59</v>
      </c>
      <c r="D19" s="64">
        <v>37.93</v>
      </c>
      <c r="E19" s="64">
        <v>5.96</v>
      </c>
      <c r="F19" s="64">
        <v>4.2</v>
      </c>
      <c r="G19" s="64">
        <v>86.16</v>
      </c>
      <c r="H19" s="64">
        <v>25.13</v>
      </c>
      <c r="I19" s="64">
        <v>3.88</v>
      </c>
      <c r="J19" s="64">
        <v>0.6</v>
      </c>
      <c r="K19" s="64">
        <v>329.44</v>
      </c>
      <c r="L19" s="64">
        <v>24.69</v>
      </c>
      <c r="M19" s="64">
        <v>98.31</v>
      </c>
      <c r="N19" s="64">
        <v>26</v>
      </c>
      <c r="O19" s="64">
        <v>0</v>
      </c>
      <c r="P19" s="64">
        <v>0.78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5" t="s">
        <v>833</v>
      </c>
      <c r="B20" s="64">
        <v>39.5</v>
      </c>
      <c r="C20" s="64">
        <v>9.5399999999999991</v>
      </c>
      <c r="D20" s="64">
        <v>36.659999999999997</v>
      </c>
      <c r="E20" s="64">
        <v>6.11</v>
      </c>
      <c r="F20" s="64">
        <v>4.3099999999999996</v>
      </c>
      <c r="G20" s="64">
        <v>86.16</v>
      </c>
      <c r="H20" s="64">
        <v>25.13</v>
      </c>
      <c r="I20" s="64">
        <v>3.15</v>
      </c>
      <c r="J20" s="64">
        <v>0.5</v>
      </c>
      <c r="K20" s="64">
        <v>305.66000000000003</v>
      </c>
      <c r="L20" s="64">
        <v>24.73</v>
      </c>
      <c r="M20" s="64">
        <v>95.76</v>
      </c>
      <c r="N20" s="64">
        <v>26.2</v>
      </c>
      <c r="O20" s="64">
        <v>0</v>
      </c>
      <c r="P20" s="64">
        <v>0.64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5" t="s">
        <v>834</v>
      </c>
      <c r="B21" s="64">
        <v>37.520000000000003</v>
      </c>
      <c r="C21" s="64">
        <v>10.02</v>
      </c>
      <c r="D21" s="64">
        <v>35.32</v>
      </c>
      <c r="E21" s="64">
        <v>5.88</v>
      </c>
      <c r="F21" s="64">
        <v>4.3499999999999996</v>
      </c>
      <c r="G21" s="64">
        <v>87.04</v>
      </c>
      <c r="H21" s="64">
        <v>42.76</v>
      </c>
      <c r="I21" s="64">
        <v>2.71</v>
      </c>
      <c r="J21" s="64">
        <v>0.59</v>
      </c>
      <c r="K21" s="64">
        <v>323.58</v>
      </c>
      <c r="L21" s="64">
        <v>24.56</v>
      </c>
      <c r="M21" s="64">
        <v>97.3</v>
      </c>
      <c r="N21" s="64">
        <v>26</v>
      </c>
      <c r="O21" s="64">
        <v>0</v>
      </c>
      <c r="P21" s="64">
        <v>0.91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5" t="s">
        <v>835</v>
      </c>
      <c r="B22" s="64">
        <v>35.39</v>
      </c>
      <c r="C22" s="64">
        <v>10.02</v>
      </c>
      <c r="D22" s="64">
        <v>33.619999999999997</v>
      </c>
      <c r="E22" s="64">
        <v>5.6</v>
      </c>
      <c r="F22" s="64">
        <v>4.41</v>
      </c>
      <c r="G22" s="64">
        <v>87.04</v>
      </c>
      <c r="H22" s="64">
        <v>42.76</v>
      </c>
      <c r="I22" s="64">
        <v>2.98</v>
      </c>
      <c r="J22" s="64">
        <v>0.53</v>
      </c>
      <c r="K22" s="64">
        <v>320.88</v>
      </c>
      <c r="L22" s="64">
        <v>24.53</v>
      </c>
      <c r="M22" s="64">
        <v>96.2</v>
      </c>
      <c r="N22" s="64">
        <v>26</v>
      </c>
      <c r="O22" s="64">
        <v>0</v>
      </c>
      <c r="P22" s="64">
        <v>0.88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836</v>
      </c>
      <c r="B23" s="64">
        <v>33.28</v>
      </c>
      <c r="C23" s="64">
        <v>10</v>
      </c>
      <c r="D23" s="64">
        <v>31.92</v>
      </c>
      <c r="E23" s="64">
        <v>5.94</v>
      </c>
      <c r="F23" s="64">
        <v>4.07</v>
      </c>
      <c r="G23" s="64">
        <v>87.04</v>
      </c>
      <c r="H23" s="64">
        <v>42.76</v>
      </c>
      <c r="I23" s="64">
        <v>4.18</v>
      </c>
      <c r="J23" s="64">
        <v>0.59</v>
      </c>
      <c r="K23" s="64">
        <v>338.69</v>
      </c>
      <c r="L23" s="64">
        <v>24.45</v>
      </c>
      <c r="M23" s="64">
        <v>93.99</v>
      </c>
      <c r="N23" s="64">
        <v>26.1</v>
      </c>
      <c r="O23" s="64">
        <v>0</v>
      </c>
      <c r="P23" s="64">
        <v>0.88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5" t="s">
        <v>837</v>
      </c>
      <c r="B24" s="64">
        <v>31.48</v>
      </c>
      <c r="C24" s="64">
        <v>10.08</v>
      </c>
      <c r="D24" s="64">
        <v>30.51</v>
      </c>
      <c r="E24" s="64">
        <v>5.99</v>
      </c>
      <c r="F24" s="64">
        <v>2.9</v>
      </c>
      <c r="G24" s="64">
        <v>87.04</v>
      </c>
      <c r="H24" s="64">
        <v>42.76</v>
      </c>
      <c r="I24" s="64">
        <v>4.16</v>
      </c>
      <c r="J24" s="64">
        <v>0.39</v>
      </c>
      <c r="K24" s="64">
        <v>55.9</v>
      </c>
      <c r="L24" s="64">
        <v>24.36</v>
      </c>
      <c r="M24" s="64">
        <v>93.62</v>
      </c>
      <c r="N24" s="64">
        <v>26.2</v>
      </c>
      <c r="O24" s="64">
        <v>0</v>
      </c>
      <c r="P24" s="64">
        <v>0.72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838</v>
      </c>
      <c r="B25" s="64">
        <v>30.24</v>
      </c>
      <c r="C25" s="64">
        <v>9.9499999999999993</v>
      </c>
      <c r="D25" s="64">
        <v>29.44</v>
      </c>
      <c r="E25" s="64">
        <v>5.08</v>
      </c>
      <c r="F25" s="64">
        <v>4.28</v>
      </c>
      <c r="G25" s="64">
        <v>87.08</v>
      </c>
      <c r="H25" s="64">
        <v>16.04</v>
      </c>
      <c r="I25" s="64">
        <v>4.96</v>
      </c>
      <c r="J25" s="64">
        <v>0.46</v>
      </c>
      <c r="K25" s="64">
        <v>330.33</v>
      </c>
      <c r="L25" s="64">
        <v>24.25</v>
      </c>
      <c r="M25" s="64">
        <v>96.9</v>
      </c>
      <c r="N25" s="64">
        <v>26.3</v>
      </c>
      <c r="O25" s="64">
        <v>0</v>
      </c>
      <c r="P25" s="64">
        <v>0.88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839</v>
      </c>
      <c r="B26" s="64">
        <v>29.83</v>
      </c>
      <c r="C26" s="64">
        <v>10</v>
      </c>
      <c r="D26" s="64">
        <v>29.14</v>
      </c>
      <c r="E26" s="64">
        <v>4.74</v>
      </c>
      <c r="F26" s="64">
        <v>4.0999999999999996</v>
      </c>
      <c r="G26" s="64">
        <v>87.08</v>
      </c>
      <c r="H26" s="64">
        <v>16.04</v>
      </c>
      <c r="I26" s="64">
        <v>4.0599999999999996</v>
      </c>
      <c r="J26" s="64">
        <v>0.28999999999999998</v>
      </c>
      <c r="K26" s="64">
        <v>295.81</v>
      </c>
      <c r="L26" s="64">
        <v>23.97</v>
      </c>
      <c r="M26" s="64">
        <v>99.5</v>
      </c>
      <c r="N26" s="64">
        <v>26.1</v>
      </c>
      <c r="O26" s="64">
        <v>0</v>
      </c>
      <c r="P26" s="64">
        <v>0.88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840</v>
      </c>
      <c r="B27" s="64">
        <v>29.25</v>
      </c>
      <c r="C27" s="64">
        <v>10.06</v>
      </c>
      <c r="D27" s="64">
        <v>28.71</v>
      </c>
      <c r="E27" s="64">
        <v>5.22</v>
      </c>
      <c r="F27" s="64">
        <v>3.18</v>
      </c>
      <c r="G27" s="64">
        <v>87.08</v>
      </c>
      <c r="H27" s="64">
        <v>16.04</v>
      </c>
      <c r="I27" s="64">
        <v>4.2300000000000004</v>
      </c>
      <c r="J27" s="64">
        <v>0.35</v>
      </c>
      <c r="K27" s="64">
        <v>6.89</v>
      </c>
      <c r="L27" s="64">
        <v>24</v>
      </c>
      <c r="M27" s="64">
        <v>98.77</v>
      </c>
      <c r="N27" s="64">
        <v>26</v>
      </c>
      <c r="O27" s="64">
        <v>0</v>
      </c>
      <c r="P27" s="64">
        <v>0.82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841</v>
      </c>
      <c r="B28" s="64">
        <v>28.38</v>
      </c>
      <c r="C28" s="64">
        <v>9.89</v>
      </c>
      <c r="D28" s="64">
        <v>27.92</v>
      </c>
      <c r="E28" s="64">
        <v>4.95</v>
      </c>
      <c r="F28" s="64">
        <v>4.2300000000000004</v>
      </c>
      <c r="G28" s="64">
        <v>87.08</v>
      </c>
      <c r="H28" s="64">
        <v>16.04</v>
      </c>
      <c r="I28" s="64">
        <v>5.56</v>
      </c>
      <c r="J28" s="64">
        <v>0.33</v>
      </c>
      <c r="K28" s="64">
        <v>105.67</v>
      </c>
      <c r="L28" s="64">
        <v>24.24</v>
      </c>
      <c r="M28" s="64">
        <v>96.69</v>
      </c>
      <c r="N28" s="64">
        <v>26</v>
      </c>
      <c r="O28" s="64">
        <v>0</v>
      </c>
      <c r="P28" s="64">
        <v>0.88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842</v>
      </c>
      <c r="B29" s="64">
        <v>27.18</v>
      </c>
      <c r="C29" s="64">
        <v>10.029999999999999</v>
      </c>
      <c r="D29" s="64">
        <v>27.04</v>
      </c>
      <c r="E29" s="64">
        <v>4.9400000000000004</v>
      </c>
      <c r="F29" s="64">
        <v>4.0199999999999996</v>
      </c>
      <c r="G29" s="64">
        <v>89.31</v>
      </c>
      <c r="H29" s="64">
        <v>22.31</v>
      </c>
      <c r="I29" s="64">
        <v>4.7699999999999996</v>
      </c>
      <c r="J29" s="64">
        <v>0.14000000000000001</v>
      </c>
      <c r="K29" s="64">
        <v>359.1</v>
      </c>
      <c r="L29" s="64">
        <v>24.32</v>
      </c>
      <c r="M29" s="64">
        <v>96.78</v>
      </c>
      <c r="N29" s="64">
        <v>26.1</v>
      </c>
      <c r="O29" s="64">
        <v>0</v>
      </c>
      <c r="P29" s="64">
        <v>0.83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5" t="s">
        <v>843</v>
      </c>
      <c r="B30" s="64">
        <v>26.5</v>
      </c>
      <c r="C30" s="64">
        <v>9.5</v>
      </c>
      <c r="D30" s="64">
        <v>26.22</v>
      </c>
      <c r="E30" s="64">
        <v>4.9800000000000004</v>
      </c>
      <c r="F30" s="64">
        <v>3.67</v>
      </c>
      <c r="G30" s="64">
        <v>89.34</v>
      </c>
      <c r="H30" s="64">
        <v>22.31</v>
      </c>
      <c r="I30" s="64">
        <v>4.4800000000000004</v>
      </c>
      <c r="J30" s="64">
        <v>0.53</v>
      </c>
      <c r="K30" s="64">
        <v>330.83</v>
      </c>
      <c r="L30" s="64">
        <v>24.1</v>
      </c>
      <c r="M30" s="64">
        <v>99.26</v>
      </c>
      <c r="N30" s="64">
        <v>26.1</v>
      </c>
      <c r="O30" s="64">
        <v>0</v>
      </c>
      <c r="P30" s="64">
        <v>0.84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5" t="s">
        <v>844</v>
      </c>
      <c r="B31" s="64">
        <v>26.27</v>
      </c>
      <c r="C31" s="64">
        <v>9.06</v>
      </c>
      <c r="D31" s="64">
        <v>25.8</v>
      </c>
      <c r="E31" s="64">
        <v>4.88</v>
      </c>
      <c r="F31" s="64">
        <v>4.4000000000000004</v>
      </c>
      <c r="G31" s="64">
        <v>89.34</v>
      </c>
      <c r="H31" s="64">
        <v>22.31</v>
      </c>
      <c r="I31" s="64">
        <v>4.66</v>
      </c>
      <c r="J31" s="64">
        <v>0.14000000000000001</v>
      </c>
      <c r="K31" s="64">
        <v>46.29</v>
      </c>
      <c r="L31" s="64">
        <v>23.93</v>
      </c>
      <c r="M31" s="64">
        <v>99.38</v>
      </c>
      <c r="N31" s="64">
        <v>26.1</v>
      </c>
      <c r="O31" s="64">
        <v>0</v>
      </c>
      <c r="P31" s="64">
        <v>0.86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845</v>
      </c>
      <c r="B32" s="64">
        <v>25.74</v>
      </c>
      <c r="C32" s="64">
        <v>8.91</v>
      </c>
      <c r="D32" s="64">
        <v>25.29</v>
      </c>
      <c r="E32" s="64">
        <v>5.13</v>
      </c>
      <c r="F32" s="64">
        <v>4.3099999999999996</v>
      </c>
      <c r="G32" s="64">
        <v>89.34</v>
      </c>
      <c r="H32" s="64">
        <v>22.31</v>
      </c>
      <c r="I32" s="64">
        <v>3.78</v>
      </c>
      <c r="J32" s="64">
        <v>0.44</v>
      </c>
      <c r="K32" s="64">
        <v>349.88</v>
      </c>
      <c r="L32" s="64">
        <v>23.96</v>
      </c>
      <c r="M32" s="64">
        <v>99.44</v>
      </c>
      <c r="N32" s="64">
        <v>27.4</v>
      </c>
      <c r="O32" s="64">
        <v>0</v>
      </c>
      <c r="P32" s="64">
        <v>0.84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846</v>
      </c>
      <c r="B33" s="64">
        <v>25.24</v>
      </c>
      <c r="C33" s="64">
        <v>8.91</v>
      </c>
      <c r="D33" s="64">
        <v>24.9</v>
      </c>
      <c r="E33" s="64">
        <v>5.22</v>
      </c>
      <c r="F33" s="64">
        <v>3.99</v>
      </c>
      <c r="G33" s="64">
        <v>88.16</v>
      </c>
      <c r="H33" s="64">
        <v>38.479999999999997</v>
      </c>
      <c r="I33" s="64">
        <v>2.96</v>
      </c>
      <c r="J33" s="64">
        <v>0.97</v>
      </c>
      <c r="K33" s="64">
        <v>346.09</v>
      </c>
      <c r="L33" s="64">
        <v>24.08</v>
      </c>
      <c r="M33" s="64">
        <v>98.37</v>
      </c>
      <c r="N33" s="64">
        <v>33.4</v>
      </c>
      <c r="O33" s="64">
        <v>0</v>
      </c>
      <c r="P33" s="64">
        <v>0.76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847</v>
      </c>
      <c r="B34" s="64">
        <v>24.5</v>
      </c>
      <c r="C34" s="64">
        <v>8.9700000000000006</v>
      </c>
      <c r="D34" s="64">
        <v>24.33</v>
      </c>
      <c r="E34" s="64">
        <v>4.74</v>
      </c>
      <c r="F34" s="64">
        <v>4.0999999999999996</v>
      </c>
      <c r="G34" s="64">
        <v>88.16</v>
      </c>
      <c r="H34" s="64">
        <v>38.479999999999997</v>
      </c>
      <c r="I34" s="64">
        <v>3.04</v>
      </c>
      <c r="J34" s="64">
        <v>1.27</v>
      </c>
      <c r="K34" s="64">
        <v>340.46</v>
      </c>
      <c r="L34" s="64">
        <v>24.45</v>
      </c>
      <c r="M34" s="64">
        <v>95.7</v>
      </c>
      <c r="N34" s="64">
        <v>47.6</v>
      </c>
      <c r="O34" s="64">
        <v>0</v>
      </c>
      <c r="P34" s="64">
        <v>0.77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848</v>
      </c>
      <c r="B35" s="64">
        <v>23.73</v>
      </c>
      <c r="C35" s="64">
        <v>9.02</v>
      </c>
      <c r="D35" s="64">
        <v>23.74</v>
      </c>
      <c r="E35" s="64">
        <v>4.91</v>
      </c>
      <c r="F35" s="64">
        <v>4.0999999999999996</v>
      </c>
      <c r="G35" s="64">
        <v>88.16</v>
      </c>
      <c r="H35" s="64">
        <v>38.479999999999997</v>
      </c>
      <c r="I35" s="64">
        <v>4.5199999999999996</v>
      </c>
      <c r="J35" s="64">
        <v>0.61</v>
      </c>
      <c r="K35" s="64">
        <v>345.98</v>
      </c>
      <c r="L35" s="64">
        <v>24.77</v>
      </c>
      <c r="M35" s="64">
        <v>94.81</v>
      </c>
      <c r="N35" s="64">
        <v>72.900000000000006</v>
      </c>
      <c r="O35" s="64">
        <v>0</v>
      </c>
      <c r="P35" s="64">
        <v>0.75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5" t="s">
        <v>849</v>
      </c>
      <c r="B36" s="64">
        <v>23.86</v>
      </c>
      <c r="C36" s="64">
        <v>9.1199999999999992</v>
      </c>
      <c r="D36" s="64">
        <v>23.9</v>
      </c>
      <c r="E36" s="64">
        <v>5.09</v>
      </c>
      <c r="F36" s="64">
        <v>3.96</v>
      </c>
      <c r="G36" s="64">
        <v>88.16</v>
      </c>
      <c r="H36" s="64">
        <v>38.479999999999997</v>
      </c>
      <c r="I36" s="64">
        <v>4.71</v>
      </c>
      <c r="J36" s="64">
        <v>0.69</v>
      </c>
      <c r="K36" s="64">
        <v>336.16</v>
      </c>
      <c r="L36" s="64">
        <v>25.45</v>
      </c>
      <c r="M36" s="64">
        <v>91.33</v>
      </c>
      <c r="N36" s="64">
        <v>106.9</v>
      </c>
      <c r="O36" s="64">
        <v>0</v>
      </c>
      <c r="P36" s="64">
        <v>0.8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850</v>
      </c>
      <c r="B37" s="64">
        <v>23.92</v>
      </c>
      <c r="C37" s="64">
        <v>9.43</v>
      </c>
      <c r="D37" s="64">
        <v>24.11</v>
      </c>
      <c r="E37" s="64">
        <v>5.17</v>
      </c>
      <c r="F37" s="64">
        <v>4.33</v>
      </c>
      <c r="G37" s="64">
        <v>73.209999999999994</v>
      </c>
      <c r="H37" s="64">
        <v>29.17</v>
      </c>
      <c r="I37" s="64">
        <v>4.03</v>
      </c>
      <c r="J37" s="64">
        <v>1.07</v>
      </c>
      <c r="K37" s="64">
        <v>336.49</v>
      </c>
      <c r="L37" s="64">
        <v>26.27</v>
      </c>
      <c r="M37" s="64">
        <v>86.84</v>
      </c>
      <c r="N37" s="64">
        <v>150.9</v>
      </c>
      <c r="O37" s="64">
        <v>0</v>
      </c>
      <c r="P37" s="64">
        <v>0.87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851</v>
      </c>
      <c r="B38" s="64">
        <v>23.75</v>
      </c>
      <c r="C38" s="64">
        <v>10.31</v>
      </c>
      <c r="D38" s="64">
        <v>24.43</v>
      </c>
      <c r="E38" s="64">
        <v>5.28</v>
      </c>
      <c r="F38" s="64">
        <v>4.26</v>
      </c>
      <c r="G38" s="64">
        <v>73.209999999999994</v>
      </c>
      <c r="H38" s="64">
        <v>29.17</v>
      </c>
      <c r="I38" s="64">
        <v>4.0199999999999996</v>
      </c>
      <c r="J38" s="64">
        <v>1.17</v>
      </c>
      <c r="K38" s="64">
        <v>329.01</v>
      </c>
      <c r="L38" s="64">
        <v>27.02</v>
      </c>
      <c r="M38" s="64">
        <v>81.56</v>
      </c>
      <c r="N38" s="64">
        <v>195.9</v>
      </c>
      <c r="O38" s="64">
        <v>0</v>
      </c>
      <c r="P38" s="64">
        <v>0.88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5" t="s">
        <v>852</v>
      </c>
      <c r="B39" s="64">
        <v>24.4</v>
      </c>
      <c r="C39" s="64">
        <v>10.91</v>
      </c>
      <c r="D39" s="64">
        <v>25.26</v>
      </c>
      <c r="E39" s="64">
        <v>5.0999999999999996</v>
      </c>
      <c r="F39" s="64">
        <v>4.3</v>
      </c>
      <c r="G39" s="64">
        <v>73.209999999999994</v>
      </c>
      <c r="H39" s="64">
        <v>29.17</v>
      </c>
      <c r="I39" s="64">
        <v>5.87</v>
      </c>
      <c r="J39" s="64">
        <v>1.39</v>
      </c>
      <c r="K39" s="64">
        <v>336.01</v>
      </c>
      <c r="L39" s="64">
        <v>28.14</v>
      </c>
      <c r="M39" s="64">
        <v>77.540000000000006</v>
      </c>
      <c r="N39" s="64">
        <v>240.7</v>
      </c>
      <c r="O39" s="64">
        <v>0</v>
      </c>
      <c r="P39" s="64">
        <v>0.9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853</v>
      </c>
      <c r="B40" s="64">
        <v>24.25</v>
      </c>
      <c r="C40" s="64">
        <v>11.33</v>
      </c>
      <c r="D40" s="64">
        <v>25.36</v>
      </c>
      <c r="E40" s="64">
        <v>5.13</v>
      </c>
      <c r="F40" s="64">
        <v>4.22</v>
      </c>
      <c r="G40" s="64">
        <v>73.209999999999994</v>
      </c>
      <c r="H40" s="64">
        <v>29.17</v>
      </c>
      <c r="I40" s="64">
        <v>6.23</v>
      </c>
      <c r="J40" s="64">
        <v>0.95</v>
      </c>
      <c r="K40" s="64">
        <v>329.63</v>
      </c>
      <c r="L40" s="64">
        <v>29.13</v>
      </c>
      <c r="M40" s="64">
        <v>73.650000000000006</v>
      </c>
      <c r="N40" s="64">
        <v>284.89999999999998</v>
      </c>
      <c r="O40" s="64">
        <v>0</v>
      </c>
      <c r="P40" s="64">
        <v>0.9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854</v>
      </c>
      <c r="B41" s="64">
        <v>24.01</v>
      </c>
      <c r="C41" s="64">
        <v>11.75</v>
      </c>
      <c r="D41" s="64">
        <v>25.39</v>
      </c>
      <c r="E41" s="64">
        <v>5.31</v>
      </c>
      <c r="F41" s="64">
        <v>4.16</v>
      </c>
      <c r="G41" s="64">
        <v>82.46</v>
      </c>
      <c r="H41" s="64">
        <v>31.48</v>
      </c>
      <c r="I41" s="64">
        <v>6.28</v>
      </c>
      <c r="J41" s="64">
        <v>1.48</v>
      </c>
      <c r="K41" s="64">
        <v>338.27</v>
      </c>
      <c r="L41" s="64">
        <v>30.27</v>
      </c>
      <c r="M41" s="64">
        <v>68.739999999999995</v>
      </c>
      <c r="N41" s="64">
        <v>336.9</v>
      </c>
      <c r="O41" s="64">
        <v>0</v>
      </c>
      <c r="P41" s="64">
        <v>0.89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855</v>
      </c>
      <c r="B42" s="64">
        <v>23.7</v>
      </c>
      <c r="C42" s="64">
        <v>11.99</v>
      </c>
      <c r="D42" s="64">
        <v>25.27</v>
      </c>
      <c r="E42" s="64">
        <v>5.16</v>
      </c>
      <c r="F42" s="64">
        <v>4.16</v>
      </c>
      <c r="G42" s="64">
        <v>82.46</v>
      </c>
      <c r="H42" s="64">
        <v>31.48</v>
      </c>
      <c r="I42" s="64">
        <v>5.74</v>
      </c>
      <c r="J42" s="64">
        <v>1.33</v>
      </c>
      <c r="K42" s="64">
        <v>337.75</v>
      </c>
      <c r="L42" s="64">
        <v>31.34</v>
      </c>
      <c r="M42" s="64">
        <v>64.94</v>
      </c>
      <c r="N42" s="64">
        <v>382.1</v>
      </c>
      <c r="O42" s="64">
        <v>0</v>
      </c>
      <c r="P42" s="64">
        <v>0.88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856</v>
      </c>
      <c r="B43" s="64">
        <v>23.11</v>
      </c>
      <c r="C43" s="64">
        <v>12.32</v>
      </c>
      <c r="D43" s="64">
        <v>24.97</v>
      </c>
      <c r="E43" s="64">
        <v>5.21</v>
      </c>
      <c r="F43" s="64">
        <v>3.43</v>
      </c>
      <c r="G43" s="64">
        <v>82.46</v>
      </c>
      <c r="H43" s="64">
        <v>31.48</v>
      </c>
      <c r="I43" s="64">
        <v>5.93</v>
      </c>
      <c r="J43" s="64">
        <v>0.31</v>
      </c>
      <c r="K43" s="64">
        <v>346.65</v>
      </c>
      <c r="L43" s="64">
        <v>30.58</v>
      </c>
      <c r="M43" s="64">
        <v>68.459999999999994</v>
      </c>
      <c r="N43" s="64">
        <v>430.3</v>
      </c>
      <c r="O43" s="64">
        <v>0</v>
      </c>
      <c r="P43" s="64">
        <v>0.85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857</v>
      </c>
      <c r="B44" s="64">
        <v>22.28</v>
      </c>
      <c r="C44" s="64">
        <v>12.6</v>
      </c>
      <c r="D44" s="64">
        <v>24.45</v>
      </c>
      <c r="E44" s="64">
        <v>5.32</v>
      </c>
      <c r="F44" s="64">
        <v>4.09</v>
      </c>
      <c r="G44" s="64">
        <v>82.46</v>
      </c>
      <c r="H44" s="64">
        <v>31.48</v>
      </c>
      <c r="I44" s="64">
        <v>6.04</v>
      </c>
      <c r="J44" s="64">
        <v>0.61</v>
      </c>
      <c r="K44" s="64">
        <v>115.98</v>
      </c>
      <c r="L44" s="64">
        <v>30.03</v>
      </c>
      <c r="M44" s="64">
        <v>72.06</v>
      </c>
      <c r="N44" s="64">
        <v>485.2</v>
      </c>
      <c r="O44" s="64">
        <v>0</v>
      </c>
      <c r="P44" s="64">
        <v>0.82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858</v>
      </c>
      <c r="B45" s="64">
        <v>21.07</v>
      </c>
      <c r="C45" s="64">
        <v>12.44</v>
      </c>
      <c r="D45" s="64">
        <v>23.39</v>
      </c>
      <c r="E45" s="64">
        <v>5.04</v>
      </c>
      <c r="F45" s="64">
        <v>4.37</v>
      </c>
      <c r="G45" s="64">
        <v>86.45</v>
      </c>
      <c r="H45" s="64">
        <v>29.39</v>
      </c>
      <c r="I45" s="64">
        <v>5.4</v>
      </c>
      <c r="J45" s="64">
        <v>0.44</v>
      </c>
      <c r="K45" s="64">
        <v>336.76</v>
      </c>
      <c r="L45" s="64">
        <v>30.28</v>
      </c>
      <c r="M45" s="64">
        <v>70.98</v>
      </c>
      <c r="N45" s="64">
        <v>529.70000000000005</v>
      </c>
      <c r="O45" s="64">
        <v>0</v>
      </c>
      <c r="P45" s="64">
        <v>0.8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859</v>
      </c>
      <c r="B46" s="64">
        <v>19.75</v>
      </c>
      <c r="C46" s="64">
        <v>12.78</v>
      </c>
      <c r="D46" s="64">
        <v>22.52</v>
      </c>
      <c r="E46" s="64">
        <v>5.66</v>
      </c>
      <c r="F46" s="64">
        <v>3.5</v>
      </c>
      <c r="G46" s="64">
        <v>86.45</v>
      </c>
      <c r="H46" s="64">
        <v>29.39</v>
      </c>
      <c r="I46" s="64">
        <v>5.29</v>
      </c>
      <c r="J46" s="64">
        <v>0.83</v>
      </c>
      <c r="K46" s="64">
        <v>119.62</v>
      </c>
      <c r="L46" s="64">
        <v>30.59</v>
      </c>
      <c r="M46" s="64">
        <v>68.72</v>
      </c>
      <c r="N46" s="64">
        <v>566.6</v>
      </c>
      <c r="O46" s="64">
        <v>0</v>
      </c>
      <c r="P46" s="64">
        <v>0.73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860</v>
      </c>
      <c r="B47" s="64">
        <v>18.3</v>
      </c>
      <c r="C47" s="64">
        <v>12.22</v>
      </c>
      <c r="D47" s="64">
        <v>21.06</v>
      </c>
      <c r="E47" s="64">
        <v>5.46</v>
      </c>
      <c r="F47" s="64">
        <v>4.01</v>
      </c>
      <c r="G47" s="64">
        <v>86.45</v>
      </c>
      <c r="H47" s="64">
        <v>29.39</v>
      </c>
      <c r="I47" s="64">
        <v>5.6</v>
      </c>
      <c r="J47" s="64">
        <v>1</v>
      </c>
      <c r="K47" s="64">
        <v>107.03</v>
      </c>
      <c r="L47" s="64">
        <v>29.63</v>
      </c>
      <c r="M47" s="64">
        <v>71.48</v>
      </c>
      <c r="N47" s="64">
        <v>613.20000000000005</v>
      </c>
      <c r="O47" s="64">
        <v>0</v>
      </c>
      <c r="P47" s="64">
        <v>0.71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861</v>
      </c>
      <c r="B48" s="64">
        <v>16.89</v>
      </c>
      <c r="C48" s="64">
        <v>12.22</v>
      </c>
      <c r="D48" s="64">
        <v>19.920000000000002</v>
      </c>
      <c r="E48" s="64">
        <v>5</v>
      </c>
      <c r="F48" s="64">
        <v>4.41</v>
      </c>
      <c r="G48" s="64">
        <v>86.45</v>
      </c>
      <c r="H48" s="64">
        <v>29.39</v>
      </c>
      <c r="I48" s="64">
        <v>5.27</v>
      </c>
      <c r="J48" s="64">
        <v>0.25</v>
      </c>
      <c r="K48" s="64">
        <v>34.04</v>
      </c>
      <c r="L48" s="64">
        <v>31.45</v>
      </c>
      <c r="M48" s="64">
        <v>64.75</v>
      </c>
      <c r="N48" s="64">
        <v>618</v>
      </c>
      <c r="O48" s="64">
        <v>0</v>
      </c>
      <c r="P48" s="64">
        <v>0.77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5" t="s">
        <v>862</v>
      </c>
      <c r="B49" s="64">
        <v>15.65</v>
      </c>
      <c r="C49" s="64">
        <v>12.29</v>
      </c>
      <c r="D49" s="64">
        <v>18.98</v>
      </c>
      <c r="E49" s="64">
        <v>5.17</v>
      </c>
      <c r="F49" s="64">
        <v>4.4800000000000004</v>
      </c>
      <c r="G49" s="64">
        <v>73.92</v>
      </c>
      <c r="H49" s="64">
        <v>23.82</v>
      </c>
      <c r="I49" s="64">
        <v>4.7</v>
      </c>
      <c r="J49" s="64">
        <v>1</v>
      </c>
      <c r="K49" s="64">
        <v>117.91</v>
      </c>
      <c r="L49" s="64">
        <v>30.4</v>
      </c>
      <c r="M49" s="64">
        <v>68.02</v>
      </c>
      <c r="N49" s="64">
        <v>644.6</v>
      </c>
      <c r="O49" s="64">
        <v>0</v>
      </c>
      <c r="P49" s="64">
        <v>0.68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5" t="s">
        <v>863</v>
      </c>
      <c r="B50" s="64">
        <v>14.17</v>
      </c>
      <c r="C50" s="64">
        <v>12.3</v>
      </c>
      <c r="D50" s="64">
        <v>17.79</v>
      </c>
      <c r="E50" s="64">
        <v>4.74</v>
      </c>
      <c r="F50" s="64">
        <v>4.04</v>
      </c>
      <c r="G50" s="64">
        <v>73.78</v>
      </c>
      <c r="H50" s="64">
        <v>23.82</v>
      </c>
      <c r="I50" s="64">
        <v>5.47</v>
      </c>
      <c r="J50" s="64">
        <v>0.37</v>
      </c>
      <c r="K50" s="64">
        <v>46.68</v>
      </c>
      <c r="L50" s="64">
        <v>31.89</v>
      </c>
      <c r="M50" s="64">
        <v>62.34</v>
      </c>
      <c r="N50" s="64">
        <v>558.20000000000005</v>
      </c>
      <c r="O50" s="64">
        <v>0</v>
      </c>
      <c r="P50" s="64">
        <v>0.71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864</v>
      </c>
      <c r="B51" s="64">
        <v>11.33</v>
      </c>
      <c r="C51" s="64">
        <v>16.73</v>
      </c>
      <c r="D51" s="64">
        <v>17.82</v>
      </c>
      <c r="E51" s="64">
        <v>5.92</v>
      </c>
      <c r="F51" s="64">
        <v>7.15</v>
      </c>
      <c r="G51" s="64">
        <v>73.78</v>
      </c>
      <c r="H51" s="64">
        <v>23.82</v>
      </c>
      <c r="I51" s="64">
        <v>5.16</v>
      </c>
      <c r="J51" s="64">
        <v>0.55000000000000004</v>
      </c>
      <c r="K51" s="64">
        <v>327.61</v>
      </c>
      <c r="L51" s="64">
        <v>32.71</v>
      </c>
      <c r="M51" s="64">
        <v>60.5</v>
      </c>
      <c r="N51" s="64">
        <v>543.29999999999995</v>
      </c>
      <c r="O51" s="64">
        <v>0</v>
      </c>
      <c r="P51" s="64">
        <v>0.74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5" t="s">
        <v>865</v>
      </c>
      <c r="B52" s="64">
        <v>5.37</v>
      </c>
      <c r="C52" s="64">
        <v>25.22</v>
      </c>
      <c r="D52" s="64">
        <v>17.48</v>
      </c>
      <c r="E52" s="64">
        <v>6.72</v>
      </c>
      <c r="F52" s="64">
        <v>8.5</v>
      </c>
      <c r="G52" s="64">
        <v>73.78</v>
      </c>
      <c r="H52" s="64">
        <v>23.82</v>
      </c>
      <c r="I52" s="64">
        <v>5.22</v>
      </c>
      <c r="J52" s="64">
        <v>1.08</v>
      </c>
      <c r="K52" s="64">
        <v>114.55</v>
      </c>
      <c r="L52" s="64">
        <v>31.58</v>
      </c>
      <c r="M52" s="64">
        <v>62.37</v>
      </c>
      <c r="N52" s="64">
        <v>715.5</v>
      </c>
      <c r="O52" s="64">
        <v>0</v>
      </c>
      <c r="P52" s="64">
        <v>0.65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866</v>
      </c>
      <c r="B53" s="64">
        <v>2.5499999999999998</v>
      </c>
      <c r="C53" s="64">
        <v>24.01</v>
      </c>
      <c r="D53" s="64">
        <v>14.59</v>
      </c>
      <c r="E53" s="64">
        <v>6.51</v>
      </c>
      <c r="F53" s="64">
        <v>7.46</v>
      </c>
      <c r="G53" s="64">
        <v>48.47</v>
      </c>
      <c r="H53" s="64">
        <v>27.55</v>
      </c>
      <c r="I53" s="64">
        <v>4.95</v>
      </c>
      <c r="J53" s="64">
        <v>0.95</v>
      </c>
      <c r="K53" s="64">
        <v>125.32</v>
      </c>
      <c r="L53" s="64">
        <v>31.4</v>
      </c>
      <c r="M53" s="64">
        <v>61.17</v>
      </c>
      <c r="N53" s="64">
        <v>754.5</v>
      </c>
      <c r="O53" s="64">
        <v>0</v>
      </c>
      <c r="P53" s="64">
        <v>0.56999999999999995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867</v>
      </c>
      <c r="B54" s="64">
        <v>1.56</v>
      </c>
      <c r="C54" s="64">
        <v>20.85</v>
      </c>
      <c r="D54" s="64">
        <v>12.14</v>
      </c>
      <c r="E54" s="64">
        <v>5.85</v>
      </c>
      <c r="F54" s="64">
        <v>6.17</v>
      </c>
      <c r="G54" s="64">
        <v>48.47</v>
      </c>
      <c r="H54" s="64">
        <v>27.55</v>
      </c>
      <c r="I54" s="64">
        <v>4.6399999999999997</v>
      </c>
      <c r="J54" s="64">
        <v>0.7</v>
      </c>
      <c r="K54" s="64">
        <v>112.42</v>
      </c>
      <c r="L54" s="64">
        <v>31.21</v>
      </c>
      <c r="M54" s="64">
        <v>61.68</v>
      </c>
      <c r="N54" s="64">
        <v>473.4</v>
      </c>
      <c r="O54" s="64">
        <v>0</v>
      </c>
      <c r="P54" s="64">
        <v>0.64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868</v>
      </c>
      <c r="B55" s="64">
        <v>1.48</v>
      </c>
      <c r="C55" s="64">
        <v>17.14</v>
      </c>
      <c r="D55" s="64">
        <v>10.15</v>
      </c>
      <c r="E55" s="64">
        <v>5.54</v>
      </c>
      <c r="F55" s="64">
        <v>5.43</v>
      </c>
      <c r="G55" s="64">
        <v>48.47</v>
      </c>
      <c r="H55" s="64">
        <v>27.55</v>
      </c>
      <c r="I55" s="64">
        <v>4.92</v>
      </c>
      <c r="J55" s="64">
        <v>0.28000000000000003</v>
      </c>
      <c r="K55" s="64">
        <v>76.09</v>
      </c>
      <c r="L55" s="64">
        <v>31.44</v>
      </c>
      <c r="M55" s="64">
        <v>59.97</v>
      </c>
      <c r="N55" s="64">
        <v>518.6</v>
      </c>
      <c r="O55" s="64">
        <v>0</v>
      </c>
      <c r="P55" s="64">
        <v>0.64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5" t="s">
        <v>869</v>
      </c>
      <c r="B56" s="64">
        <v>1.59</v>
      </c>
      <c r="C56" s="64">
        <v>16.23</v>
      </c>
      <c r="D56" s="64">
        <v>9.76</v>
      </c>
      <c r="E56" s="64">
        <v>5.03</v>
      </c>
      <c r="F56" s="64">
        <v>7.4</v>
      </c>
      <c r="G56" s="64">
        <v>48.47</v>
      </c>
      <c r="H56" s="64">
        <v>27.55</v>
      </c>
      <c r="I56" s="64">
        <v>5.62</v>
      </c>
      <c r="J56" s="64">
        <v>1.23</v>
      </c>
      <c r="K56" s="64">
        <v>327.54000000000002</v>
      </c>
      <c r="L56" s="64">
        <v>32.93</v>
      </c>
      <c r="M56" s="64">
        <v>55.79</v>
      </c>
      <c r="N56" s="64">
        <v>312.89999999999998</v>
      </c>
      <c r="O56" s="64">
        <v>0</v>
      </c>
      <c r="P56" s="64">
        <v>0.64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870</v>
      </c>
      <c r="B57" s="64">
        <v>1.33</v>
      </c>
      <c r="C57" s="64">
        <v>21.9</v>
      </c>
      <c r="D57" s="64">
        <v>12.51</v>
      </c>
      <c r="E57" s="64">
        <v>6.5</v>
      </c>
      <c r="F57" s="64">
        <v>12.71</v>
      </c>
      <c r="G57" s="64">
        <v>75.209999999999994</v>
      </c>
      <c r="H57" s="64">
        <v>26.96</v>
      </c>
      <c r="I57" s="64">
        <v>5.91</v>
      </c>
      <c r="J57" s="64">
        <v>0.89</v>
      </c>
      <c r="K57" s="64">
        <v>333.42</v>
      </c>
      <c r="L57" s="64">
        <v>34.47</v>
      </c>
      <c r="M57" s="64">
        <v>50.94</v>
      </c>
      <c r="N57" s="64">
        <v>397.3</v>
      </c>
      <c r="O57" s="64">
        <v>0</v>
      </c>
      <c r="P57" s="64">
        <v>0.66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5" t="s">
        <v>871</v>
      </c>
      <c r="B58" s="64">
        <v>0.87</v>
      </c>
      <c r="C58" s="64">
        <v>25</v>
      </c>
      <c r="D58" s="64">
        <v>13.76</v>
      </c>
      <c r="E58" s="64">
        <v>6.29</v>
      </c>
      <c r="F58" s="64">
        <v>11.03</v>
      </c>
      <c r="G58" s="64">
        <v>75.209999999999994</v>
      </c>
      <c r="H58" s="64">
        <v>26.96</v>
      </c>
      <c r="I58" s="64">
        <v>5.04</v>
      </c>
      <c r="J58" s="64">
        <v>0.78</v>
      </c>
      <c r="K58" s="64">
        <v>122.87</v>
      </c>
      <c r="L58" s="64">
        <v>32.42</v>
      </c>
      <c r="M58" s="64">
        <v>52.12</v>
      </c>
      <c r="N58" s="64">
        <v>347.5</v>
      </c>
      <c r="O58" s="64">
        <v>0</v>
      </c>
      <c r="P58" s="64">
        <v>0.63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872</v>
      </c>
      <c r="B59" s="64">
        <v>0.5</v>
      </c>
      <c r="C59" s="64">
        <v>21.99</v>
      </c>
      <c r="D59" s="64">
        <v>11.89</v>
      </c>
      <c r="E59" s="64">
        <v>6.25</v>
      </c>
      <c r="F59" s="64">
        <v>8.01</v>
      </c>
      <c r="G59" s="64">
        <v>75.209999999999994</v>
      </c>
      <c r="H59" s="64">
        <v>26.96</v>
      </c>
      <c r="I59" s="64">
        <v>4.05</v>
      </c>
      <c r="J59" s="64">
        <v>0.91</v>
      </c>
      <c r="K59" s="64">
        <v>137.75</v>
      </c>
      <c r="L59" s="64">
        <v>31.1</v>
      </c>
      <c r="M59" s="64">
        <v>58.14</v>
      </c>
      <c r="N59" s="64">
        <v>285.60000000000002</v>
      </c>
      <c r="O59" s="64">
        <v>0</v>
      </c>
      <c r="P59" s="64">
        <v>0.57999999999999996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873</v>
      </c>
      <c r="B60" s="64">
        <v>0.41</v>
      </c>
      <c r="C60" s="64">
        <v>17.16</v>
      </c>
      <c r="D60" s="64">
        <v>9.3000000000000007</v>
      </c>
      <c r="E60" s="64">
        <v>5.7</v>
      </c>
      <c r="F60" s="64">
        <v>6.58</v>
      </c>
      <c r="G60" s="64">
        <v>75.209999999999994</v>
      </c>
      <c r="H60" s="64">
        <v>26.96</v>
      </c>
      <c r="I60" s="64">
        <v>4.16</v>
      </c>
      <c r="J60" s="64">
        <v>1.21</v>
      </c>
      <c r="K60" s="64">
        <v>115.69</v>
      </c>
      <c r="L60" s="64">
        <v>31.03</v>
      </c>
      <c r="M60" s="64">
        <v>57.74</v>
      </c>
      <c r="N60" s="64">
        <v>293.2</v>
      </c>
      <c r="O60" s="64">
        <v>0</v>
      </c>
      <c r="P60" s="64">
        <v>0.53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874</v>
      </c>
      <c r="B61" s="64">
        <v>0.5</v>
      </c>
      <c r="C61" s="64">
        <v>14.36</v>
      </c>
      <c r="D61" s="64">
        <v>7.91</v>
      </c>
      <c r="E61" s="64">
        <v>5.58</v>
      </c>
      <c r="F61" s="64">
        <v>12.63</v>
      </c>
      <c r="G61" s="64">
        <v>101.92</v>
      </c>
      <c r="H61" s="64">
        <v>25.56</v>
      </c>
      <c r="I61" s="64">
        <v>3.73</v>
      </c>
      <c r="J61" s="64">
        <v>1.1399999999999999</v>
      </c>
      <c r="K61" s="64">
        <v>105.15</v>
      </c>
      <c r="L61" s="64">
        <v>30.27</v>
      </c>
      <c r="M61" s="64">
        <v>60.11</v>
      </c>
      <c r="N61" s="64">
        <v>267</v>
      </c>
      <c r="O61" s="64">
        <v>0</v>
      </c>
      <c r="P61" s="64">
        <v>0.55000000000000004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875</v>
      </c>
      <c r="B62" s="64">
        <v>0.51</v>
      </c>
      <c r="C62" s="64">
        <v>12.73</v>
      </c>
      <c r="D62" s="64">
        <v>7.06</v>
      </c>
      <c r="E62" s="64">
        <v>4.88</v>
      </c>
      <c r="F62" s="64">
        <v>6.27</v>
      </c>
      <c r="G62" s="64">
        <v>101.92</v>
      </c>
      <c r="H62" s="64">
        <v>25.56</v>
      </c>
      <c r="I62" s="64">
        <v>3.46</v>
      </c>
      <c r="J62" s="64">
        <v>0.97</v>
      </c>
      <c r="K62" s="64">
        <v>113.28</v>
      </c>
      <c r="L62" s="64">
        <v>30.78</v>
      </c>
      <c r="M62" s="64">
        <v>60.16</v>
      </c>
      <c r="N62" s="64">
        <v>330.2</v>
      </c>
      <c r="O62" s="64">
        <v>0</v>
      </c>
      <c r="P62" s="64">
        <v>0.47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876</v>
      </c>
      <c r="B63" s="64">
        <v>0.25</v>
      </c>
      <c r="C63" s="64">
        <v>10.76</v>
      </c>
      <c r="D63" s="64">
        <v>5.83</v>
      </c>
      <c r="E63" s="64">
        <v>5.7</v>
      </c>
      <c r="F63" s="64">
        <v>10.18</v>
      </c>
      <c r="G63" s="64">
        <v>101.92</v>
      </c>
      <c r="H63" s="64">
        <v>25.56</v>
      </c>
      <c r="I63" s="64">
        <v>3.87</v>
      </c>
      <c r="J63" s="64">
        <v>1.29</v>
      </c>
      <c r="K63" s="64">
        <v>111.56</v>
      </c>
      <c r="L63" s="64">
        <v>30.43</v>
      </c>
      <c r="M63" s="64">
        <v>61.58</v>
      </c>
      <c r="N63" s="64">
        <v>200.4</v>
      </c>
      <c r="O63" s="64">
        <v>0</v>
      </c>
      <c r="P63" s="64">
        <v>0.43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877</v>
      </c>
      <c r="B64" s="64">
        <v>0.18</v>
      </c>
      <c r="C64" s="64">
        <v>9.49</v>
      </c>
      <c r="D64" s="64">
        <v>5.0999999999999996</v>
      </c>
      <c r="E64" s="64">
        <v>5.68</v>
      </c>
      <c r="F64" s="64">
        <v>11.57</v>
      </c>
      <c r="G64" s="64">
        <v>101.92</v>
      </c>
      <c r="H64" s="64">
        <v>25.56</v>
      </c>
      <c r="I64" s="64">
        <v>3.92</v>
      </c>
      <c r="J64" s="64">
        <v>0.73</v>
      </c>
      <c r="K64" s="64">
        <v>134.83000000000001</v>
      </c>
      <c r="L64" s="64">
        <v>30.3</v>
      </c>
      <c r="M64" s="64">
        <v>60.58</v>
      </c>
      <c r="N64" s="64">
        <v>198.2</v>
      </c>
      <c r="O64" s="64">
        <v>0</v>
      </c>
      <c r="P64" s="64">
        <v>0.43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5" t="s">
        <v>878</v>
      </c>
      <c r="B65" s="64">
        <v>0.24</v>
      </c>
      <c r="C65" s="64">
        <v>8.89</v>
      </c>
      <c r="D65" s="64">
        <v>4.83</v>
      </c>
      <c r="E65" s="64">
        <v>5.69</v>
      </c>
      <c r="F65" s="64">
        <v>9.6999999999999993</v>
      </c>
      <c r="G65" s="64">
        <v>74.55</v>
      </c>
      <c r="H65" s="64">
        <v>25.24</v>
      </c>
      <c r="I65" s="64">
        <v>2.69</v>
      </c>
      <c r="J65" s="64">
        <v>0.76</v>
      </c>
      <c r="K65" s="64">
        <v>126.44</v>
      </c>
      <c r="L65" s="64">
        <v>30.87</v>
      </c>
      <c r="M65" s="64">
        <v>58.43</v>
      </c>
      <c r="N65" s="64">
        <v>231.1</v>
      </c>
      <c r="O65" s="64">
        <v>0</v>
      </c>
      <c r="P65" s="64">
        <v>0.41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879</v>
      </c>
      <c r="B66" s="64">
        <v>0.44</v>
      </c>
      <c r="C66" s="64">
        <v>8.5</v>
      </c>
      <c r="D66" s="64">
        <v>4.79</v>
      </c>
      <c r="E66" s="64">
        <v>5.47</v>
      </c>
      <c r="F66" s="64">
        <v>8.35</v>
      </c>
      <c r="G66" s="64">
        <v>74.55</v>
      </c>
      <c r="H66" s="64">
        <v>25.24</v>
      </c>
      <c r="I66" s="64">
        <v>2.42</v>
      </c>
      <c r="J66" s="64">
        <v>0.46</v>
      </c>
      <c r="K66" s="64">
        <v>136.47</v>
      </c>
      <c r="L66" s="64">
        <v>30.98</v>
      </c>
      <c r="M66" s="64">
        <v>57.72</v>
      </c>
      <c r="N66" s="64">
        <v>162.9</v>
      </c>
      <c r="O66" s="64">
        <v>0</v>
      </c>
      <c r="P66" s="64">
        <v>0.4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880</v>
      </c>
      <c r="B67" s="64">
        <v>0.7</v>
      </c>
      <c r="C67" s="64">
        <v>8.1300000000000008</v>
      </c>
      <c r="D67" s="64">
        <v>4.8099999999999996</v>
      </c>
      <c r="E67" s="64">
        <v>5.09</v>
      </c>
      <c r="F67" s="64">
        <v>7.12</v>
      </c>
      <c r="G67" s="64">
        <v>74.55</v>
      </c>
      <c r="H67" s="64">
        <v>25.24</v>
      </c>
      <c r="I67" s="64">
        <v>2.06</v>
      </c>
      <c r="J67" s="64">
        <v>0.28000000000000003</v>
      </c>
      <c r="K67" s="64">
        <v>120.82</v>
      </c>
      <c r="L67" s="64">
        <v>30.15</v>
      </c>
      <c r="M67" s="64">
        <v>63.57</v>
      </c>
      <c r="N67" s="64">
        <v>118.8</v>
      </c>
      <c r="O67" s="64">
        <v>0</v>
      </c>
      <c r="P67" s="64">
        <v>0.44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881</v>
      </c>
      <c r="B68" s="64">
        <v>1</v>
      </c>
      <c r="C68" s="64">
        <v>8.23</v>
      </c>
      <c r="D68" s="64">
        <v>5.1100000000000003</v>
      </c>
      <c r="E68" s="64">
        <v>5.0199999999999996</v>
      </c>
      <c r="F68" s="64">
        <v>6.68</v>
      </c>
      <c r="G68" s="64">
        <v>74.55</v>
      </c>
      <c r="H68" s="64">
        <v>25.24</v>
      </c>
      <c r="I68" s="64">
        <v>1.5</v>
      </c>
      <c r="J68" s="64">
        <v>0.46</v>
      </c>
      <c r="K68" s="64">
        <v>338.71</v>
      </c>
      <c r="L68" s="64">
        <v>30.85</v>
      </c>
      <c r="M68" s="64">
        <v>65.180000000000007</v>
      </c>
      <c r="N68" s="64">
        <v>172.5</v>
      </c>
      <c r="O68" s="64">
        <v>0</v>
      </c>
      <c r="P68" s="64">
        <v>0.54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882</v>
      </c>
      <c r="B69" s="64">
        <v>0.97</v>
      </c>
      <c r="C69" s="64">
        <v>10.88</v>
      </c>
      <c r="D69" s="64">
        <v>6.46</v>
      </c>
      <c r="E69" s="64">
        <v>5.7</v>
      </c>
      <c r="F69" s="64">
        <v>11.2</v>
      </c>
      <c r="G69" s="64">
        <v>58.97</v>
      </c>
      <c r="H69" s="64">
        <v>33.08</v>
      </c>
      <c r="I69" s="64">
        <v>1.51</v>
      </c>
      <c r="J69" s="64">
        <v>0.46</v>
      </c>
      <c r="K69" s="64">
        <v>339.31</v>
      </c>
      <c r="L69" s="64">
        <v>31.24</v>
      </c>
      <c r="M69" s="64">
        <v>64.77</v>
      </c>
      <c r="N69" s="64">
        <v>129.19999999999999</v>
      </c>
      <c r="O69" s="64">
        <v>0</v>
      </c>
      <c r="P69" s="64">
        <v>0.55000000000000004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883</v>
      </c>
      <c r="B70" s="64">
        <v>0.72</v>
      </c>
      <c r="C70" s="64">
        <v>12.48</v>
      </c>
      <c r="D70" s="64">
        <v>7.1</v>
      </c>
      <c r="E70" s="64">
        <v>5.75</v>
      </c>
      <c r="F70" s="64">
        <v>7.3</v>
      </c>
      <c r="G70" s="64">
        <v>58.97</v>
      </c>
      <c r="H70" s="64">
        <v>33.08</v>
      </c>
      <c r="I70" s="64">
        <v>2.25</v>
      </c>
      <c r="J70" s="64">
        <v>0.54</v>
      </c>
      <c r="K70" s="64">
        <v>332.59</v>
      </c>
      <c r="L70" s="64">
        <v>30.91</v>
      </c>
      <c r="M70" s="64">
        <v>66.180000000000007</v>
      </c>
      <c r="N70" s="64">
        <v>93.5</v>
      </c>
      <c r="O70" s="64">
        <v>0</v>
      </c>
      <c r="P70" s="64">
        <v>0.57999999999999996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884</v>
      </c>
      <c r="B71" s="64">
        <v>1.04</v>
      </c>
      <c r="C71" s="64">
        <v>13.96</v>
      </c>
      <c r="D71" s="64">
        <v>8.1300000000000008</v>
      </c>
      <c r="E71" s="64">
        <v>5.55</v>
      </c>
      <c r="F71" s="64">
        <v>6.06</v>
      </c>
      <c r="G71" s="64">
        <v>58.97</v>
      </c>
      <c r="H71" s="64">
        <v>33.08</v>
      </c>
      <c r="I71" s="64">
        <v>2.34</v>
      </c>
      <c r="J71" s="64">
        <v>0.69</v>
      </c>
      <c r="K71" s="64">
        <v>325.26</v>
      </c>
      <c r="L71" s="64">
        <v>30.77</v>
      </c>
      <c r="M71" s="64">
        <v>68.209999999999994</v>
      </c>
      <c r="N71" s="64">
        <v>113.8</v>
      </c>
      <c r="O71" s="64">
        <v>0</v>
      </c>
      <c r="P71" s="64">
        <v>0.54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885</v>
      </c>
      <c r="B72" s="64">
        <v>1.24</v>
      </c>
      <c r="C72" s="64">
        <v>13.5</v>
      </c>
      <c r="D72" s="64">
        <v>8.0500000000000007</v>
      </c>
      <c r="E72" s="64">
        <v>6.6</v>
      </c>
      <c r="F72" s="64">
        <v>5.61</v>
      </c>
      <c r="G72" s="64">
        <v>58.97</v>
      </c>
      <c r="H72" s="64">
        <v>33.08</v>
      </c>
      <c r="I72" s="64">
        <v>3</v>
      </c>
      <c r="J72" s="64">
        <v>1.49</v>
      </c>
      <c r="K72" s="64">
        <v>327.69</v>
      </c>
      <c r="L72" s="64">
        <v>30.27</v>
      </c>
      <c r="M72" s="64">
        <v>73.17</v>
      </c>
      <c r="N72" s="64">
        <v>114</v>
      </c>
      <c r="O72" s="64">
        <v>0</v>
      </c>
      <c r="P72" s="64">
        <v>0.52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886</v>
      </c>
      <c r="B73" s="64">
        <v>1.37</v>
      </c>
      <c r="C73" s="64">
        <v>13.51</v>
      </c>
      <c r="D73" s="64">
        <v>8.15</v>
      </c>
      <c r="E73" s="64">
        <v>6.04</v>
      </c>
      <c r="F73" s="64">
        <v>6.88</v>
      </c>
      <c r="G73" s="64">
        <v>80.959999999999994</v>
      </c>
      <c r="H73" s="64">
        <v>35.369999999999997</v>
      </c>
      <c r="I73" s="64">
        <v>3.57</v>
      </c>
      <c r="J73" s="64">
        <v>1.56</v>
      </c>
      <c r="K73" s="64">
        <v>319.79000000000002</v>
      </c>
      <c r="L73" s="64">
        <v>29.56</v>
      </c>
      <c r="M73" s="64">
        <v>74.27</v>
      </c>
      <c r="N73" s="64">
        <v>135</v>
      </c>
      <c r="O73" s="64">
        <v>0</v>
      </c>
      <c r="P73" s="64">
        <v>0.53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5" t="s">
        <v>887</v>
      </c>
      <c r="B74" s="64">
        <v>1.6</v>
      </c>
      <c r="C74" s="64">
        <v>15.26</v>
      </c>
      <c r="D74" s="64">
        <v>9.25</v>
      </c>
      <c r="E74" s="64">
        <v>6.29</v>
      </c>
      <c r="F74" s="64">
        <v>5.39</v>
      </c>
      <c r="G74" s="64">
        <v>80.959999999999994</v>
      </c>
      <c r="H74" s="64">
        <v>35.369999999999997</v>
      </c>
      <c r="I74" s="64">
        <v>3.56</v>
      </c>
      <c r="J74" s="64">
        <v>1.45</v>
      </c>
      <c r="K74" s="64">
        <v>328.25</v>
      </c>
      <c r="L74" s="64">
        <v>28.83</v>
      </c>
      <c r="M74" s="64">
        <v>74.47</v>
      </c>
      <c r="N74" s="64">
        <v>113.8</v>
      </c>
      <c r="O74" s="64">
        <v>0</v>
      </c>
      <c r="P74" s="64">
        <v>0.54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5" t="s">
        <v>888</v>
      </c>
      <c r="B75" s="64">
        <v>1.78</v>
      </c>
      <c r="C75" s="64">
        <v>14.82</v>
      </c>
      <c r="D75" s="64">
        <v>9.17</v>
      </c>
      <c r="E75" s="64">
        <v>5.68</v>
      </c>
      <c r="F75" s="64">
        <v>5.29</v>
      </c>
      <c r="G75" s="64">
        <v>80.959999999999994</v>
      </c>
      <c r="H75" s="64">
        <v>35.369999999999997</v>
      </c>
      <c r="I75" s="64">
        <v>3.59</v>
      </c>
      <c r="J75" s="64">
        <v>1.45</v>
      </c>
      <c r="K75" s="64">
        <v>332.73</v>
      </c>
      <c r="L75" s="64">
        <v>28.94</v>
      </c>
      <c r="M75" s="64">
        <v>71.81</v>
      </c>
      <c r="N75" s="64">
        <v>109.4</v>
      </c>
      <c r="O75" s="64">
        <v>0</v>
      </c>
      <c r="P75" s="64">
        <v>0.54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5" t="s">
        <v>889</v>
      </c>
      <c r="B76" s="64">
        <v>1.92</v>
      </c>
      <c r="C76" s="64">
        <v>15</v>
      </c>
      <c r="D76" s="64">
        <v>9.3800000000000008</v>
      </c>
      <c r="E76" s="64">
        <v>6.01</v>
      </c>
      <c r="F76" s="64">
        <v>4.75</v>
      </c>
      <c r="G76" s="64">
        <v>80.959999999999994</v>
      </c>
      <c r="H76" s="64">
        <v>35.369999999999997</v>
      </c>
      <c r="I76" s="64">
        <v>3.44</v>
      </c>
      <c r="J76" s="64">
        <v>1.28</v>
      </c>
      <c r="K76" s="64">
        <v>331.66</v>
      </c>
      <c r="L76" s="64">
        <v>29.06</v>
      </c>
      <c r="M76" s="64">
        <v>72.930000000000007</v>
      </c>
      <c r="N76" s="64">
        <v>117.6</v>
      </c>
      <c r="O76" s="64">
        <v>0</v>
      </c>
      <c r="P76" s="64">
        <v>0.56999999999999995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890</v>
      </c>
      <c r="B77" s="64">
        <v>2.7</v>
      </c>
      <c r="C77" s="64">
        <v>14.7</v>
      </c>
      <c r="D77" s="64">
        <v>9.85</v>
      </c>
      <c r="E77" s="64">
        <v>6.08</v>
      </c>
      <c r="F77" s="64">
        <v>4.3</v>
      </c>
      <c r="G77" s="64">
        <v>74.41</v>
      </c>
      <c r="H77" s="64">
        <v>30.21</v>
      </c>
      <c r="I77" s="64">
        <v>3.12</v>
      </c>
      <c r="J77" s="64">
        <v>0.52</v>
      </c>
      <c r="K77" s="64">
        <v>347.5</v>
      </c>
      <c r="L77" s="64">
        <v>29.24</v>
      </c>
      <c r="M77" s="64">
        <v>73.09</v>
      </c>
      <c r="N77" s="64">
        <v>102.7</v>
      </c>
      <c r="O77" s="64">
        <v>0</v>
      </c>
      <c r="P77" s="64">
        <v>0.7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891</v>
      </c>
      <c r="B78" s="64">
        <v>3.49</v>
      </c>
      <c r="C78" s="64">
        <v>15.63</v>
      </c>
      <c r="D78" s="64">
        <v>10.97</v>
      </c>
      <c r="E78" s="64">
        <v>5.92</v>
      </c>
      <c r="F78" s="64">
        <v>5.53</v>
      </c>
      <c r="G78" s="64">
        <v>74.41</v>
      </c>
      <c r="H78" s="64">
        <v>30.21</v>
      </c>
      <c r="I78" s="64">
        <v>2.73</v>
      </c>
      <c r="J78" s="64">
        <v>0.4</v>
      </c>
      <c r="K78" s="64">
        <v>357.93</v>
      </c>
      <c r="L78" s="64">
        <v>28.5</v>
      </c>
      <c r="M78" s="64">
        <v>77.78</v>
      </c>
      <c r="N78" s="64">
        <v>81.599999999999994</v>
      </c>
      <c r="O78" s="64">
        <v>0</v>
      </c>
      <c r="P78" s="64">
        <v>0.7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5" t="s">
        <v>892</v>
      </c>
      <c r="B79" s="64">
        <v>3.56</v>
      </c>
      <c r="C79" s="64">
        <v>21.92</v>
      </c>
      <c r="D79" s="64">
        <v>14.3</v>
      </c>
      <c r="E79" s="64">
        <v>6.93</v>
      </c>
      <c r="F79" s="64">
        <v>5.51</v>
      </c>
      <c r="G79" s="64">
        <v>74.41</v>
      </c>
      <c r="H79" s="64">
        <v>30.21</v>
      </c>
      <c r="I79" s="64">
        <v>2.58</v>
      </c>
      <c r="J79" s="64">
        <v>2.0299999999999998</v>
      </c>
      <c r="K79" s="64">
        <v>120.4</v>
      </c>
      <c r="L79" s="64">
        <v>27.99</v>
      </c>
      <c r="M79" s="64">
        <v>76.98</v>
      </c>
      <c r="N79" s="64">
        <v>37.4</v>
      </c>
      <c r="O79" s="64">
        <v>0</v>
      </c>
      <c r="P79" s="64">
        <v>0.61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5" t="s">
        <v>893</v>
      </c>
      <c r="B80" s="64">
        <v>2.2400000000000002</v>
      </c>
      <c r="C80" s="64">
        <v>22.42</v>
      </c>
      <c r="D80" s="64">
        <v>13.51</v>
      </c>
      <c r="E80" s="64">
        <v>6.72</v>
      </c>
      <c r="F80" s="64">
        <v>4.9800000000000004</v>
      </c>
      <c r="G80" s="64">
        <v>74.41</v>
      </c>
      <c r="H80" s="64">
        <v>30.21</v>
      </c>
      <c r="I80" s="64">
        <v>2.84</v>
      </c>
      <c r="J80" s="64">
        <v>1.69</v>
      </c>
      <c r="K80" s="64">
        <v>125.96</v>
      </c>
      <c r="L80" s="64">
        <v>27.45</v>
      </c>
      <c r="M80" s="64">
        <v>78.27</v>
      </c>
      <c r="N80" s="64">
        <v>30.3</v>
      </c>
      <c r="O80" s="64">
        <v>0</v>
      </c>
      <c r="P80" s="64">
        <v>0.56999999999999995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894</v>
      </c>
      <c r="B81" s="64">
        <v>1.79</v>
      </c>
      <c r="C81" s="64">
        <v>19.37</v>
      </c>
      <c r="D81" s="64">
        <v>11.55</v>
      </c>
      <c r="E81" s="64">
        <v>5.68</v>
      </c>
      <c r="F81" s="64">
        <v>5.41</v>
      </c>
      <c r="G81" s="64">
        <v>69.36</v>
      </c>
      <c r="H81" s="64">
        <v>28.83</v>
      </c>
      <c r="I81" s="64">
        <v>3.43</v>
      </c>
      <c r="J81" s="64">
        <v>1</v>
      </c>
      <c r="K81" s="64">
        <v>149.11000000000001</v>
      </c>
      <c r="L81" s="64">
        <v>25.8</v>
      </c>
      <c r="M81" s="64">
        <v>81.78</v>
      </c>
      <c r="N81" s="64">
        <v>28.9</v>
      </c>
      <c r="O81" s="64">
        <v>0</v>
      </c>
      <c r="P81" s="64">
        <v>0.53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895</v>
      </c>
      <c r="B82" s="64">
        <v>1.71</v>
      </c>
      <c r="C82" s="64">
        <v>16.45</v>
      </c>
      <c r="D82" s="64">
        <v>9.9600000000000009</v>
      </c>
      <c r="E82" s="64">
        <v>5.79</v>
      </c>
      <c r="F82" s="64">
        <v>5.08</v>
      </c>
      <c r="G82" s="64">
        <v>69.36</v>
      </c>
      <c r="H82" s="64">
        <v>28.83</v>
      </c>
      <c r="I82" s="64">
        <v>3.53</v>
      </c>
      <c r="J82" s="64">
        <v>0.66</v>
      </c>
      <c r="K82" s="64">
        <v>131.93</v>
      </c>
      <c r="L82" s="64">
        <v>24.94</v>
      </c>
      <c r="M82" s="64">
        <v>85.7</v>
      </c>
      <c r="N82" s="64">
        <v>27.3</v>
      </c>
      <c r="O82" s="64">
        <v>0</v>
      </c>
      <c r="P82" s="64">
        <v>0.52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896</v>
      </c>
      <c r="B83" s="64">
        <v>1.71</v>
      </c>
      <c r="C83" s="64">
        <v>14.27</v>
      </c>
      <c r="D83" s="64">
        <v>8.83</v>
      </c>
      <c r="E83" s="64">
        <v>5.45</v>
      </c>
      <c r="F83" s="64">
        <v>4.82</v>
      </c>
      <c r="G83" s="64">
        <v>69.36</v>
      </c>
      <c r="H83" s="64">
        <v>28.83</v>
      </c>
      <c r="I83" s="64">
        <v>3.86</v>
      </c>
      <c r="J83" s="64">
        <v>0.87</v>
      </c>
      <c r="K83" s="64">
        <v>163.31</v>
      </c>
      <c r="L83" s="64">
        <v>24.67</v>
      </c>
      <c r="M83" s="64">
        <v>86.93</v>
      </c>
      <c r="N83" s="64">
        <v>26.8</v>
      </c>
      <c r="O83" s="64">
        <v>0</v>
      </c>
      <c r="P83" s="64">
        <v>0.5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897</v>
      </c>
      <c r="B84" s="64">
        <v>1.69</v>
      </c>
      <c r="C84" s="64">
        <v>12.57</v>
      </c>
      <c r="D84" s="64">
        <v>7.92</v>
      </c>
      <c r="E84" s="64">
        <v>5.22</v>
      </c>
      <c r="F84" s="64">
        <v>4.54</v>
      </c>
      <c r="G84" s="64">
        <v>69.36</v>
      </c>
      <c r="H84" s="64">
        <v>28.83</v>
      </c>
      <c r="I84" s="64">
        <v>3.39</v>
      </c>
      <c r="J84" s="64">
        <v>1.41</v>
      </c>
      <c r="K84" s="64">
        <v>149.27000000000001</v>
      </c>
      <c r="L84" s="64">
        <v>24.46</v>
      </c>
      <c r="M84" s="64">
        <v>86.94</v>
      </c>
      <c r="N84" s="64">
        <v>26.6</v>
      </c>
      <c r="O84" s="64">
        <v>0</v>
      </c>
      <c r="P84" s="64">
        <v>0.51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898</v>
      </c>
      <c r="B85" s="64">
        <v>1.67</v>
      </c>
      <c r="C85" s="64">
        <v>11.23</v>
      </c>
      <c r="D85" s="64">
        <v>7.21</v>
      </c>
      <c r="E85" s="64">
        <v>5.3</v>
      </c>
      <c r="F85" s="64">
        <v>4.71</v>
      </c>
      <c r="G85" s="64">
        <v>53.18</v>
      </c>
      <c r="H85" s="64">
        <v>28.06</v>
      </c>
      <c r="I85" s="64">
        <v>3.3</v>
      </c>
      <c r="J85" s="64">
        <v>0.97</v>
      </c>
      <c r="K85" s="64">
        <v>148.72</v>
      </c>
      <c r="L85" s="64">
        <v>24.43</v>
      </c>
      <c r="M85" s="64">
        <v>88.28</v>
      </c>
      <c r="N85" s="64">
        <v>26.2</v>
      </c>
      <c r="O85" s="64">
        <v>0</v>
      </c>
      <c r="P85" s="64">
        <v>0.46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5" t="s">
        <v>899</v>
      </c>
      <c r="B86" s="64">
        <v>1.68</v>
      </c>
      <c r="C86" s="64">
        <v>10.220000000000001</v>
      </c>
      <c r="D86" s="64">
        <v>6.69</v>
      </c>
      <c r="E86" s="64">
        <v>5.28</v>
      </c>
      <c r="F86" s="64">
        <v>5.05</v>
      </c>
      <c r="G86" s="64">
        <v>53.18</v>
      </c>
      <c r="H86" s="64">
        <v>28.06</v>
      </c>
      <c r="I86" s="64">
        <v>3.82</v>
      </c>
      <c r="J86" s="64">
        <v>0.66</v>
      </c>
      <c r="K86" s="64">
        <v>147.02000000000001</v>
      </c>
      <c r="L86" s="64">
        <v>24.49</v>
      </c>
      <c r="M86" s="64">
        <v>88.22</v>
      </c>
      <c r="N86" s="64">
        <v>26.2</v>
      </c>
      <c r="O86" s="64">
        <v>0</v>
      </c>
      <c r="P86" s="64">
        <v>0.44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900</v>
      </c>
      <c r="B87" s="64">
        <v>1.77</v>
      </c>
      <c r="C87" s="64">
        <v>9.76</v>
      </c>
      <c r="D87" s="64">
        <v>6.52</v>
      </c>
      <c r="E87" s="64">
        <v>5.19</v>
      </c>
      <c r="F87" s="64">
        <v>5.94</v>
      </c>
      <c r="G87" s="64">
        <v>53.18</v>
      </c>
      <c r="H87" s="64">
        <v>28.06</v>
      </c>
      <c r="I87" s="64">
        <v>3.48</v>
      </c>
      <c r="J87" s="64">
        <v>0.31</v>
      </c>
      <c r="K87" s="64">
        <v>158.79</v>
      </c>
      <c r="L87" s="64">
        <v>24.52</v>
      </c>
      <c r="M87" s="64">
        <v>88.57</v>
      </c>
      <c r="N87" s="64">
        <v>25.4</v>
      </c>
      <c r="O87" s="64">
        <v>0</v>
      </c>
      <c r="P87" s="64">
        <v>0.5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901</v>
      </c>
      <c r="B88" s="64">
        <v>1.87</v>
      </c>
      <c r="C88" s="64">
        <v>10.81</v>
      </c>
      <c r="D88" s="64">
        <v>7.15</v>
      </c>
      <c r="E88" s="64">
        <v>4.63</v>
      </c>
      <c r="F88" s="64">
        <v>3.97</v>
      </c>
      <c r="G88" s="64">
        <v>53.18</v>
      </c>
      <c r="H88" s="64">
        <v>28.06</v>
      </c>
      <c r="I88" s="64">
        <v>2.2799999999999998</v>
      </c>
      <c r="J88" s="64">
        <v>0.5</v>
      </c>
      <c r="K88" s="64">
        <v>123.64</v>
      </c>
      <c r="L88" s="64">
        <v>24.58</v>
      </c>
      <c r="M88" s="64">
        <v>89.91</v>
      </c>
      <c r="N88" s="64">
        <v>25.5</v>
      </c>
      <c r="O88" s="64">
        <v>0</v>
      </c>
      <c r="P88" s="64">
        <v>0.52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902</v>
      </c>
      <c r="B89" s="64">
        <v>1.72</v>
      </c>
      <c r="C89" s="64">
        <v>10.1</v>
      </c>
      <c r="D89" s="64">
        <v>6.65</v>
      </c>
      <c r="E89" s="64">
        <v>4.59</v>
      </c>
      <c r="F89" s="64">
        <v>4.8899999999999997</v>
      </c>
      <c r="G89" s="64">
        <v>50.84</v>
      </c>
      <c r="H89" s="64">
        <v>26.67</v>
      </c>
      <c r="I89" s="64">
        <v>3.39</v>
      </c>
      <c r="J89" s="64">
        <v>0.25</v>
      </c>
      <c r="K89" s="64">
        <v>148.87</v>
      </c>
      <c r="L89" s="64">
        <v>24.7</v>
      </c>
      <c r="M89" s="64">
        <v>89.88</v>
      </c>
      <c r="N89" s="64">
        <v>26.1</v>
      </c>
      <c r="O89" s="64">
        <v>0</v>
      </c>
      <c r="P89" s="64">
        <v>0.53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903</v>
      </c>
      <c r="B90" s="64">
        <v>1.57</v>
      </c>
      <c r="C90" s="64">
        <v>10.19</v>
      </c>
      <c r="D90" s="64">
        <v>6.58</v>
      </c>
      <c r="E90" s="64">
        <v>4.59</v>
      </c>
      <c r="F90" s="64">
        <v>3.81</v>
      </c>
      <c r="G90" s="64">
        <v>50.84</v>
      </c>
      <c r="H90" s="64">
        <v>26.67</v>
      </c>
      <c r="I90" s="64">
        <v>2.78</v>
      </c>
      <c r="J90" s="64">
        <v>0.11</v>
      </c>
      <c r="K90" s="64">
        <v>6.96</v>
      </c>
      <c r="L90" s="64">
        <v>24.7</v>
      </c>
      <c r="M90" s="64">
        <v>90.32</v>
      </c>
      <c r="N90" s="64">
        <v>26.2</v>
      </c>
      <c r="O90" s="64">
        <v>0</v>
      </c>
      <c r="P90" s="64">
        <v>0.51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904</v>
      </c>
      <c r="B91" s="64">
        <v>1.5</v>
      </c>
      <c r="C91" s="64">
        <v>9.66</v>
      </c>
      <c r="D91" s="64">
        <v>6.25</v>
      </c>
      <c r="E91" s="64">
        <v>4.83</v>
      </c>
      <c r="F91" s="64">
        <v>5.81</v>
      </c>
      <c r="G91" s="64">
        <v>50.84</v>
      </c>
      <c r="H91" s="64">
        <v>26.67</v>
      </c>
      <c r="I91" s="64">
        <v>3.23</v>
      </c>
      <c r="J91" s="64">
        <v>0.57999999999999996</v>
      </c>
      <c r="K91" s="64">
        <v>159.34</v>
      </c>
      <c r="L91" s="64">
        <v>24.68</v>
      </c>
      <c r="M91" s="64">
        <v>90.97</v>
      </c>
      <c r="N91" s="64">
        <v>26.1</v>
      </c>
      <c r="O91" s="64">
        <v>0</v>
      </c>
      <c r="P91" s="64">
        <v>0.51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905</v>
      </c>
      <c r="B92" s="64">
        <v>1.67</v>
      </c>
      <c r="C92" s="64">
        <v>10.46</v>
      </c>
      <c r="D92" s="64">
        <v>6.8</v>
      </c>
      <c r="E92" s="64">
        <v>4.4800000000000004</v>
      </c>
      <c r="F92" s="64">
        <v>3.33</v>
      </c>
      <c r="G92" s="64">
        <v>50.84</v>
      </c>
      <c r="H92" s="64">
        <v>26.67</v>
      </c>
      <c r="I92" s="64">
        <v>2.6</v>
      </c>
      <c r="J92" s="64">
        <v>0.48</v>
      </c>
      <c r="K92" s="64">
        <v>196.49</v>
      </c>
      <c r="L92" s="64">
        <v>24.85</v>
      </c>
      <c r="M92" s="64">
        <v>89.95</v>
      </c>
      <c r="N92" s="64">
        <v>26.1</v>
      </c>
      <c r="O92" s="64">
        <v>0</v>
      </c>
      <c r="P92" s="64">
        <v>0.56000000000000005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906</v>
      </c>
      <c r="B93" s="64">
        <v>1.62</v>
      </c>
      <c r="C93" s="64">
        <v>10.18</v>
      </c>
      <c r="D93" s="64">
        <v>6.62</v>
      </c>
      <c r="E93" s="64">
        <v>4.43</v>
      </c>
      <c r="F93" s="64">
        <v>5.16</v>
      </c>
      <c r="G93" s="64">
        <v>45.28</v>
      </c>
      <c r="H93" s="64">
        <v>16.8</v>
      </c>
      <c r="I93" s="64">
        <v>3.08</v>
      </c>
      <c r="J93" s="64">
        <v>0.48</v>
      </c>
      <c r="K93" s="64">
        <v>171.04</v>
      </c>
      <c r="L93" s="64">
        <v>24.79</v>
      </c>
      <c r="M93" s="64">
        <v>90.45</v>
      </c>
      <c r="N93" s="64">
        <v>26.2</v>
      </c>
      <c r="O93" s="64">
        <v>0</v>
      </c>
      <c r="P93" s="64">
        <v>0.53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907</v>
      </c>
      <c r="B94" s="64">
        <v>1.65</v>
      </c>
      <c r="C94" s="64">
        <v>10.26</v>
      </c>
      <c r="D94" s="64">
        <v>6.69</v>
      </c>
      <c r="E94" s="64">
        <v>4.4800000000000004</v>
      </c>
      <c r="F94" s="64">
        <v>2.96</v>
      </c>
      <c r="G94" s="64">
        <v>45.28</v>
      </c>
      <c r="H94" s="64">
        <v>16.8</v>
      </c>
      <c r="I94" s="64">
        <v>2.75</v>
      </c>
      <c r="J94" s="64">
        <v>0.21</v>
      </c>
      <c r="K94" s="64">
        <v>48.7</v>
      </c>
      <c r="L94" s="64">
        <v>24.46</v>
      </c>
      <c r="M94" s="64">
        <v>92.44</v>
      </c>
      <c r="N94" s="64">
        <v>26.4</v>
      </c>
      <c r="O94" s="64">
        <v>0</v>
      </c>
      <c r="P94" s="64">
        <v>0.5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908</v>
      </c>
      <c r="B95" s="64">
        <v>1.85</v>
      </c>
      <c r="C95" s="64">
        <v>9.89</v>
      </c>
      <c r="D95" s="64">
        <v>6.65</v>
      </c>
      <c r="E95" s="64">
        <v>4.46</v>
      </c>
      <c r="F95" s="64">
        <v>4.82</v>
      </c>
      <c r="G95" s="64">
        <v>45.28</v>
      </c>
      <c r="H95" s="64">
        <v>16.8</v>
      </c>
      <c r="I95" s="64">
        <v>3.22</v>
      </c>
      <c r="J95" s="64">
        <v>0.52</v>
      </c>
      <c r="K95" s="64">
        <v>136.72</v>
      </c>
      <c r="L95" s="64">
        <v>24.42</v>
      </c>
      <c r="M95" s="64">
        <v>93.98</v>
      </c>
      <c r="N95" s="64">
        <v>26</v>
      </c>
      <c r="O95" s="64">
        <v>0</v>
      </c>
      <c r="P95" s="64">
        <v>0.53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909</v>
      </c>
      <c r="B96" s="64">
        <v>1.97</v>
      </c>
      <c r="C96" s="64">
        <v>10.27</v>
      </c>
      <c r="D96" s="64">
        <v>6.95</v>
      </c>
      <c r="E96" s="64">
        <v>4.63</v>
      </c>
      <c r="F96" s="64">
        <v>3.36</v>
      </c>
      <c r="G96" s="64">
        <v>45.28</v>
      </c>
      <c r="H96" s="64">
        <v>16.8</v>
      </c>
      <c r="I96" s="64">
        <v>2.99</v>
      </c>
      <c r="J96" s="64">
        <v>0.27</v>
      </c>
      <c r="K96" s="64">
        <v>16.37</v>
      </c>
      <c r="L96" s="64">
        <v>24.41</v>
      </c>
      <c r="M96" s="64">
        <v>94.6</v>
      </c>
      <c r="N96" s="64">
        <v>26.1</v>
      </c>
      <c r="O96" s="64">
        <v>0</v>
      </c>
      <c r="P96" s="64">
        <v>0.5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910</v>
      </c>
      <c r="B97" s="64">
        <v>1.96</v>
      </c>
      <c r="C97" s="64">
        <v>9.3000000000000007</v>
      </c>
      <c r="D97" s="64">
        <v>6.43</v>
      </c>
      <c r="E97" s="64">
        <v>4.17</v>
      </c>
      <c r="F97" s="64">
        <v>4.28</v>
      </c>
      <c r="G97" s="64">
        <v>49.66</v>
      </c>
      <c r="H97" s="64">
        <v>28.08</v>
      </c>
      <c r="I97" s="64">
        <v>3.1</v>
      </c>
      <c r="J97" s="64">
        <v>0.4</v>
      </c>
      <c r="K97" s="64">
        <v>133.82</v>
      </c>
      <c r="L97" s="64">
        <v>24.16</v>
      </c>
      <c r="M97" s="64">
        <v>96.01</v>
      </c>
      <c r="N97" s="64">
        <v>26.1</v>
      </c>
      <c r="O97" s="64">
        <v>0</v>
      </c>
      <c r="P97" s="64">
        <v>0.44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911</v>
      </c>
      <c r="B98" s="64">
        <v>2.23</v>
      </c>
      <c r="C98" s="64">
        <v>9.0500000000000007</v>
      </c>
      <c r="D98" s="64">
        <v>6.51</v>
      </c>
      <c r="E98" s="64">
        <v>3.62</v>
      </c>
      <c r="F98" s="64">
        <v>4.3099999999999996</v>
      </c>
      <c r="G98" s="64">
        <v>49.66</v>
      </c>
      <c r="H98" s="64">
        <v>28.08</v>
      </c>
      <c r="I98" s="64">
        <v>2.4300000000000002</v>
      </c>
      <c r="J98" s="64">
        <v>0.59</v>
      </c>
      <c r="K98" s="64">
        <v>147.41999999999999</v>
      </c>
      <c r="L98" s="64">
        <v>24.24</v>
      </c>
      <c r="M98" s="64">
        <v>94.99</v>
      </c>
      <c r="N98" s="64">
        <v>25.9</v>
      </c>
      <c r="O98" s="64">
        <v>0</v>
      </c>
      <c r="P98" s="64">
        <v>0.42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912</v>
      </c>
      <c r="B99" s="64">
        <v>2.4500000000000002</v>
      </c>
      <c r="C99" s="64">
        <v>9.09</v>
      </c>
      <c r="D99" s="64">
        <v>6.72</v>
      </c>
      <c r="E99" s="64">
        <v>3.9</v>
      </c>
      <c r="F99" s="64">
        <v>4.5</v>
      </c>
      <c r="G99" s="64">
        <v>49.66</v>
      </c>
      <c r="H99" s="64">
        <v>28.08</v>
      </c>
      <c r="I99" s="64">
        <v>1.55</v>
      </c>
      <c r="J99" s="64">
        <v>0.53</v>
      </c>
      <c r="K99" s="64">
        <v>165.33</v>
      </c>
      <c r="L99" s="64">
        <v>24.49</v>
      </c>
      <c r="M99" s="64">
        <v>93.61</v>
      </c>
      <c r="N99" s="64">
        <v>25.7</v>
      </c>
      <c r="O99" s="64">
        <v>0</v>
      </c>
      <c r="P99" s="64">
        <v>0.47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913</v>
      </c>
      <c r="B100" s="64">
        <v>2.54</v>
      </c>
      <c r="C100" s="64">
        <v>8.93</v>
      </c>
      <c r="D100" s="64">
        <v>6.71</v>
      </c>
      <c r="E100" s="64">
        <v>3.96</v>
      </c>
      <c r="F100" s="64">
        <v>4.7699999999999996</v>
      </c>
      <c r="G100" s="64">
        <v>49.66</v>
      </c>
      <c r="H100" s="64">
        <v>28.08</v>
      </c>
      <c r="I100" s="64">
        <v>1.63</v>
      </c>
      <c r="J100" s="64">
        <v>0.65</v>
      </c>
      <c r="K100" s="64">
        <v>182.35</v>
      </c>
      <c r="L100" s="64">
        <v>24.53</v>
      </c>
      <c r="M100" s="64">
        <v>93.54</v>
      </c>
      <c r="N100" s="64">
        <v>26</v>
      </c>
      <c r="O100" s="64">
        <v>0</v>
      </c>
      <c r="P100" s="64">
        <v>0.44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914</v>
      </c>
      <c r="B101" s="64">
        <v>2.5099999999999998</v>
      </c>
      <c r="C101" s="64">
        <v>8.44</v>
      </c>
      <c r="D101" s="64">
        <v>6.42</v>
      </c>
      <c r="E101" s="64">
        <v>4.32</v>
      </c>
      <c r="F101" s="64">
        <v>4.88</v>
      </c>
      <c r="G101" s="64">
        <v>44.58</v>
      </c>
      <c r="H101" s="64">
        <v>25.42</v>
      </c>
      <c r="I101" s="64">
        <v>1.83</v>
      </c>
      <c r="J101" s="64">
        <v>0.38</v>
      </c>
      <c r="K101" s="64">
        <v>105.35</v>
      </c>
      <c r="L101" s="64">
        <v>24.46</v>
      </c>
      <c r="M101" s="64">
        <v>94.33</v>
      </c>
      <c r="N101" s="64">
        <v>26.1</v>
      </c>
      <c r="O101" s="64">
        <v>0</v>
      </c>
      <c r="P101" s="64">
        <v>0.41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915</v>
      </c>
      <c r="B102" s="64">
        <v>2.36</v>
      </c>
      <c r="C102" s="64">
        <v>8.19</v>
      </c>
      <c r="D102" s="64">
        <v>6.17</v>
      </c>
      <c r="E102" s="64">
        <v>4.2699999999999996</v>
      </c>
      <c r="F102" s="64">
        <v>5.26</v>
      </c>
      <c r="G102" s="64">
        <v>44.58</v>
      </c>
      <c r="H102" s="64">
        <v>25.42</v>
      </c>
      <c r="I102" s="64">
        <v>1.74</v>
      </c>
      <c r="J102" s="64">
        <v>0.19</v>
      </c>
      <c r="K102" s="64">
        <v>315.14</v>
      </c>
      <c r="L102" s="64">
        <v>24.45</v>
      </c>
      <c r="M102" s="64">
        <v>94.74</v>
      </c>
      <c r="N102" s="64">
        <v>26.1</v>
      </c>
      <c r="O102" s="64">
        <v>0</v>
      </c>
      <c r="P102" s="64">
        <v>0.42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916</v>
      </c>
      <c r="B103" s="64">
        <v>2.54</v>
      </c>
      <c r="C103" s="64">
        <v>8.23</v>
      </c>
      <c r="D103" s="64">
        <v>6.34</v>
      </c>
      <c r="E103" s="64">
        <v>4.4000000000000004</v>
      </c>
      <c r="F103" s="64">
        <v>4.43</v>
      </c>
      <c r="G103" s="64">
        <v>44.58</v>
      </c>
      <c r="H103" s="64">
        <v>25.42</v>
      </c>
      <c r="I103" s="64">
        <v>1.43</v>
      </c>
      <c r="J103" s="64">
        <v>0.56999999999999995</v>
      </c>
      <c r="K103" s="64">
        <v>330.62</v>
      </c>
      <c r="L103" s="64">
        <v>24.23</v>
      </c>
      <c r="M103" s="64">
        <v>99.1</v>
      </c>
      <c r="N103" s="64">
        <v>26.1</v>
      </c>
      <c r="O103" s="64">
        <v>0</v>
      </c>
      <c r="P103" s="64">
        <v>0.69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917</v>
      </c>
      <c r="B104" s="64">
        <v>3.43</v>
      </c>
      <c r="C104" s="64">
        <v>8.8699999999999992</v>
      </c>
      <c r="D104" s="64">
        <v>7.38</v>
      </c>
      <c r="E104" s="64">
        <v>4.5199999999999996</v>
      </c>
      <c r="F104" s="64">
        <v>4.37</v>
      </c>
      <c r="G104" s="64">
        <v>44.58</v>
      </c>
      <c r="H104" s="64">
        <v>25.42</v>
      </c>
      <c r="I104" s="64">
        <v>1.49</v>
      </c>
      <c r="J104" s="64">
        <v>0.4</v>
      </c>
      <c r="K104" s="64">
        <v>1.67</v>
      </c>
      <c r="L104" s="64">
        <v>24.14</v>
      </c>
      <c r="M104" s="64">
        <v>97.66</v>
      </c>
      <c r="N104" s="64">
        <v>26.1</v>
      </c>
      <c r="O104" s="64">
        <v>0</v>
      </c>
      <c r="P104" s="64">
        <v>0.5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0.18</v>
      </c>
      <c r="C106" s="67">
        <f>MIN(C9:C104)</f>
        <v>8.1300000000000008</v>
      </c>
      <c r="D106" s="67">
        <f t="shared" ref="D106:Q106" si="0">MIN(D9:D104)</f>
        <v>4.79</v>
      </c>
      <c r="E106" s="67">
        <f t="shared" si="0"/>
        <v>3.62</v>
      </c>
      <c r="F106" s="67">
        <f t="shared" si="0"/>
        <v>2.9</v>
      </c>
      <c r="G106" s="67">
        <f t="shared" si="0"/>
        <v>44.58</v>
      </c>
      <c r="H106" s="67">
        <f t="shared" si="0"/>
        <v>16.04</v>
      </c>
      <c r="I106" s="67">
        <f t="shared" si="0"/>
        <v>1.43</v>
      </c>
      <c r="J106" s="67">
        <f t="shared" si="0"/>
        <v>0.11</v>
      </c>
      <c r="K106" s="67">
        <f t="shared" si="0"/>
        <v>1.67</v>
      </c>
      <c r="L106" s="67">
        <f t="shared" si="0"/>
        <v>23.93</v>
      </c>
      <c r="M106" s="67">
        <f t="shared" si="0"/>
        <v>50.94</v>
      </c>
      <c r="N106" s="67">
        <f t="shared" si="0"/>
        <v>25.2</v>
      </c>
      <c r="O106" s="67">
        <f t="shared" si="0"/>
        <v>0</v>
      </c>
      <c r="P106" s="67">
        <f t="shared" si="0"/>
        <v>0.4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54.36</v>
      </c>
      <c r="C107" s="66">
        <f t="shared" ref="C107:Q107" si="1">MAX(C9:C104)</f>
        <v>25.22</v>
      </c>
      <c r="D107" s="66">
        <f t="shared" si="1"/>
        <v>50.84</v>
      </c>
      <c r="E107" s="66">
        <f t="shared" si="1"/>
        <v>6.93</v>
      </c>
      <c r="F107" s="66">
        <f t="shared" si="1"/>
        <v>12.71</v>
      </c>
      <c r="G107" s="66">
        <f t="shared" si="1"/>
        <v>101.92</v>
      </c>
      <c r="H107" s="66">
        <f t="shared" si="1"/>
        <v>42.76</v>
      </c>
      <c r="I107" s="66">
        <f t="shared" si="1"/>
        <v>6.28</v>
      </c>
      <c r="J107" s="66">
        <f t="shared" si="1"/>
        <v>2.0299999999999998</v>
      </c>
      <c r="K107" s="66">
        <f t="shared" si="1"/>
        <v>359.1</v>
      </c>
      <c r="L107" s="66">
        <f t="shared" si="1"/>
        <v>34.47</v>
      </c>
      <c r="M107" s="66">
        <f t="shared" si="1"/>
        <v>101.65</v>
      </c>
      <c r="N107" s="66">
        <f t="shared" si="1"/>
        <v>754.5</v>
      </c>
      <c r="O107" s="66">
        <f t="shared" si="1"/>
        <v>0</v>
      </c>
      <c r="P107" s="66">
        <f t="shared" si="1"/>
        <v>1.45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14.893541666666664</v>
      </c>
      <c r="C108" s="67">
        <f t="shared" ref="C108:Q108" si="2">AVERAGE(C9:C104)</f>
        <v>12.302708333333337</v>
      </c>
      <c r="D108" s="67">
        <f t="shared" si="2"/>
        <v>18.371041666666674</v>
      </c>
      <c r="E108" s="67">
        <f t="shared" si="2"/>
        <v>5.385208333333332</v>
      </c>
      <c r="F108" s="67">
        <f t="shared" si="2"/>
        <v>5.2716666666666674</v>
      </c>
      <c r="G108" s="67">
        <f t="shared" si="2"/>
        <v>73.343645833333312</v>
      </c>
      <c r="H108" s="67">
        <f t="shared" si="2"/>
        <v>27.719166666666663</v>
      </c>
      <c r="I108" s="67">
        <f t="shared" si="2"/>
        <v>3.9302083333333324</v>
      </c>
      <c r="J108" s="67">
        <f t="shared" si="2"/>
        <v>0.72979166666666651</v>
      </c>
      <c r="K108" s="67">
        <f t="shared" si="2"/>
        <v>221.70916666666673</v>
      </c>
      <c r="L108" s="67">
        <f t="shared" si="2"/>
        <v>27.201874999999987</v>
      </c>
      <c r="M108" s="67">
        <f t="shared" si="2"/>
        <v>81.862604166666657</v>
      </c>
      <c r="N108" s="67">
        <f t="shared" si="2"/>
        <v>156.8354166666667</v>
      </c>
      <c r="O108" s="67">
        <f t="shared" si="2"/>
        <v>0</v>
      </c>
      <c r="P108" s="67">
        <f t="shared" si="2"/>
        <v>0.69104166666666655</v>
      </c>
      <c r="Q108" s="67">
        <f t="shared" si="2"/>
        <v>9.614583333333341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16.753940682036365</v>
      </c>
      <c r="C109" s="67">
        <f t="shared" ref="C109:Q109" si="3">STDEV(C9:C104)</f>
        <v>4.0079601004334666</v>
      </c>
      <c r="D109" s="67">
        <f t="shared" si="3"/>
        <v>13.036028090534042</v>
      </c>
      <c r="E109" s="67">
        <f t="shared" si="3"/>
        <v>0.68305502462589518</v>
      </c>
      <c r="F109" s="67">
        <f t="shared" si="3"/>
        <v>2.0802811888207318</v>
      </c>
      <c r="G109" s="67">
        <f t="shared" si="3"/>
        <v>16.681589733645449</v>
      </c>
      <c r="H109" s="67">
        <f t="shared" si="3"/>
        <v>6.0119032220152118</v>
      </c>
      <c r="I109" s="67">
        <f t="shared" si="3"/>
        <v>1.3175503419257926</v>
      </c>
      <c r="J109" s="67">
        <f t="shared" si="3"/>
        <v>0.40940773439501149</v>
      </c>
      <c r="K109" s="67">
        <f t="shared" si="3"/>
        <v>114.19166834449094</v>
      </c>
      <c r="L109" s="67">
        <f t="shared" si="3"/>
        <v>3.0948583208793821</v>
      </c>
      <c r="M109" s="67">
        <f t="shared" si="3"/>
        <v>15.262244316219938</v>
      </c>
      <c r="N109" s="67">
        <f t="shared" si="3"/>
        <v>194.22262645529483</v>
      </c>
      <c r="O109" s="67">
        <f t="shared" si="3"/>
        <v>0</v>
      </c>
      <c r="P109" s="67">
        <f t="shared" si="3"/>
        <v>0.22533474124962583</v>
      </c>
      <c r="Q109" s="67">
        <f t="shared" si="3"/>
        <v>1.0946440581463631E-2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918</v>
      </c>
      <c r="B9" s="64">
        <v>3.65</v>
      </c>
      <c r="C9" s="64">
        <v>9.66</v>
      </c>
      <c r="D9" s="64">
        <v>7.98</v>
      </c>
      <c r="E9" s="64">
        <v>4.8899999999999997</v>
      </c>
      <c r="F9" s="64">
        <v>3.89</v>
      </c>
      <c r="G9" s="64">
        <v>50.33</v>
      </c>
      <c r="H9" s="64">
        <v>25.32</v>
      </c>
      <c r="I9" s="64">
        <v>1.98</v>
      </c>
      <c r="J9" s="64">
        <v>0.16</v>
      </c>
      <c r="K9" s="64">
        <v>98.83</v>
      </c>
      <c r="L9" s="64">
        <v>24.25</v>
      </c>
      <c r="M9" s="64">
        <v>95.78</v>
      </c>
      <c r="N9" s="64">
        <v>26.1</v>
      </c>
      <c r="O9" s="64">
        <v>0</v>
      </c>
      <c r="P9" s="64">
        <v>0.46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5" t="s">
        <v>919</v>
      </c>
      <c r="B10" s="64">
        <v>3.43</v>
      </c>
      <c r="C10" s="64">
        <v>8.94</v>
      </c>
      <c r="D10" s="64">
        <v>7.42</v>
      </c>
      <c r="E10" s="64">
        <v>5.14</v>
      </c>
      <c r="F10" s="64">
        <v>4.76</v>
      </c>
      <c r="G10" s="64">
        <v>50.33</v>
      </c>
      <c r="H10" s="64">
        <v>25.32</v>
      </c>
      <c r="I10" s="64">
        <v>3.4</v>
      </c>
      <c r="J10" s="64">
        <v>0.53</v>
      </c>
      <c r="K10" s="64">
        <v>165.69</v>
      </c>
      <c r="L10" s="64">
        <v>24.03</v>
      </c>
      <c r="M10" s="64">
        <v>99.78</v>
      </c>
      <c r="N10" s="64">
        <v>26.1</v>
      </c>
      <c r="O10" s="64">
        <v>0</v>
      </c>
      <c r="P10" s="64">
        <v>0.47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920</v>
      </c>
      <c r="B11" s="64">
        <v>3.16</v>
      </c>
      <c r="C11" s="64">
        <v>9.16</v>
      </c>
      <c r="D11" s="64">
        <v>7.32</v>
      </c>
      <c r="E11" s="64">
        <v>4.87</v>
      </c>
      <c r="F11" s="64">
        <v>3.9</v>
      </c>
      <c r="G11" s="64">
        <v>50.33</v>
      </c>
      <c r="H11" s="64">
        <v>25.32</v>
      </c>
      <c r="I11" s="64">
        <v>2.1</v>
      </c>
      <c r="J11" s="64">
        <v>0.72</v>
      </c>
      <c r="K11" s="64">
        <v>132.83000000000001</v>
      </c>
      <c r="L11" s="64">
        <v>23.84</v>
      </c>
      <c r="M11" s="64">
        <v>100.24</v>
      </c>
      <c r="N11" s="64">
        <v>26.1</v>
      </c>
      <c r="O11" s="64">
        <v>0</v>
      </c>
      <c r="P11" s="64">
        <v>0.41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5" t="s">
        <v>921</v>
      </c>
      <c r="B12" s="64">
        <v>3.06</v>
      </c>
      <c r="C12" s="64">
        <v>8.83</v>
      </c>
      <c r="D12" s="64">
        <v>7.07</v>
      </c>
      <c r="E12" s="64">
        <v>5.19</v>
      </c>
      <c r="F12" s="64">
        <v>4.6500000000000004</v>
      </c>
      <c r="G12" s="64">
        <v>50.33</v>
      </c>
      <c r="H12" s="64">
        <v>25.32</v>
      </c>
      <c r="I12" s="64">
        <v>3.06</v>
      </c>
      <c r="J12" s="64">
        <v>0.44</v>
      </c>
      <c r="K12" s="64">
        <v>108.85</v>
      </c>
      <c r="L12" s="64">
        <v>23.76</v>
      </c>
      <c r="M12" s="64">
        <v>101.46</v>
      </c>
      <c r="N12" s="64">
        <v>26.1</v>
      </c>
      <c r="O12" s="64">
        <v>0</v>
      </c>
      <c r="P12" s="64">
        <v>0.47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922</v>
      </c>
      <c r="B13" s="64">
        <v>3.1</v>
      </c>
      <c r="C13" s="64">
        <v>9.07</v>
      </c>
      <c r="D13" s="64">
        <v>7.23</v>
      </c>
      <c r="E13" s="64">
        <v>5.08</v>
      </c>
      <c r="F13" s="64">
        <v>3.19</v>
      </c>
      <c r="G13" s="64">
        <v>52.52</v>
      </c>
      <c r="H13" s="64">
        <v>21.58</v>
      </c>
      <c r="I13" s="64">
        <v>2.63</v>
      </c>
      <c r="J13" s="64">
        <v>0.46</v>
      </c>
      <c r="K13" s="64">
        <v>171.39</v>
      </c>
      <c r="L13" s="64">
        <v>23.73</v>
      </c>
      <c r="M13" s="64">
        <v>101.33</v>
      </c>
      <c r="N13" s="64">
        <v>26.1</v>
      </c>
      <c r="O13" s="64">
        <v>0</v>
      </c>
      <c r="P13" s="64">
        <v>0.36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5" t="s">
        <v>923</v>
      </c>
      <c r="B14" s="64">
        <v>3.15</v>
      </c>
      <c r="C14" s="64">
        <v>9.1199999999999992</v>
      </c>
      <c r="D14" s="64">
        <v>7.29</v>
      </c>
      <c r="E14" s="64">
        <v>4.7699999999999996</v>
      </c>
      <c r="F14" s="64">
        <v>4.21</v>
      </c>
      <c r="G14" s="64">
        <v>52.52</v>
      </c>
      <c r="H14" s="64">
        <v>21.58</v>
      </c>
      <c r="I14" s="64">
        <v>2.69</v>
      </c>
      <c r="J14" s="64">
        <v>0.47</v>
      </c>
      <c r="K14" s="64">
        <v>217.52</v>
      </c>
      <c r="L14" s="64">
        <v>23.76</v>
      </c>
      <c r="M14" s="64">
        <v>100.85</v>
      </c>
      <c r="N14" s="64">
        <v>26.1</v>
      </c>
      <c r="O14" s="64">
        <v>0</v>
      </c>
      <c r="P14" s="64">
        <v>0.45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924</v>
      </c>
      <c r="B15" s="64">
        <v>3.03</v>
      </c>
      <c r="C15" s="64">
        <v>8.7799999999999994</v>
      </c>
      <c r="D15" s="64">
        <v>7.02</v>
      </c>
      <c r="E15" s="64">
        <v>4.62</v>
      </c>
      <c r="F15" s="64">
        <v>3.47</v>
      </c>
      <c r="G15" s="64">
        <v>52.52</v>
      </c>
      <c r="H15" s="64">
        <v>21.58</v>
      </c>
      <c r="I15" s="64">
        <v>2.59</v>
      </c>
      <c r="J15" s="64">
        <v>0.26</v>
      </c>
      <c r="K15" s="64">
        <v>264.97000000000003</v>
      </c>
      <c r="L15" s="64">
        <v>23.77</v>
      </c>
      <c r="M15" s="64">
        <v>101.29</v>
      </c>
      <c r="N15" s="64">
        <v>26.1</v>
      </c>
      <c r="O15" s="64">
        <v>0</v>
      </c>
      <c r="P15" s="64">
        <v>0.38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925</v>
      </c>
      <c r="B16" s="64">
        <v>2.95</v>
      </c>
      <c r="C16" s="64">
        <v>8.58</v>
      </c>
      <c r="D16" s="64">
        <v>6.85</v>
      </c>
      <c r="E16" s="64">
        <v>4.46</v>
      </c>
      <c r="F16" s="64">
        <v>3.53</v>
      </c>
      <c r="G16" s="64">
        <v>52.52</v>
      </c>
      <c r="H16" s="64">
        <v>21.58</v>
      </c>
      <c r="I16" s="64">
        <v>2.39</v>
      </c>
      <c r="J16" s="64">
        <v>0.48</v>
      </c>
      <c r="K16" s="64">
        <v>355.81</v>
      </c>
      <c r="L16" s="64">
        <v>23.7</v>
      </c>
      <c r="M16" s="64">
        <v>102.67</v>
      </c>
      <c r="N16" s="64">
        <v>26.1</v>
      </c>
      <c r="O16" s="64">
        <v>0</v>
      </c>
      <c r="P16" s="64">
        <v>0.44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926</v>
      </c>
      <c r="B17" s="64">
        <v>3.04</v>
      </c>
      <c r="C17" s="64">
        <v>8.26</v>
      </c>
      <c r="D17" s="64">
        <v>6.75</v>
      </c>
      <c r="E17" s="64">
        <v>4.87</v>
      </c>
      <c r="F17" s="64">
        <v>3.96</v>
      </c>
      <c r="G17" s="64">
        <v>46.99</v>
      </c>
      <c r="H17" s="64">
        <v>23.08</v>
      </c>
      <c r="I17" s="64">
        <v>2.7</v>
      </c>
      <c r="J17" s="64">
        <v>0.28000000000000003</v>
      </c>
      <c r="K17" s="64">
        <v>255.35</v>
      </c>
      <c r="L17" s="64">
        <v>23.49</v>
      </c>
      <c r="M17" s="64">
        <v>102.68</v>
      </c>
      <c r="N17" s="64">
        <v>26.1</v>
      </c>
      <c r="O17" s="64">
        <v>0</v>
      </c>
      <c r="P17" s="64">
        <v>0.42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927</v>
      </c>
      <c r="B18" s="64">
        <v>3.17</v>
      </c>
      <c r="C18" s="64">
        <v>7.68</v>
      </c>
      <c r="D18" s="64">
        <v>6.55</v>
      </c>
      <c r="E18" s="64">
        <v>4.4400000000000004</v>
      </c>
      <c r="F18" s="64">
        <v>4.57</v>
      </c>
      <c r="G18" s="64">
        <v>46.92</v>
      </c>
      <c r="H18" s="64">
        <v>23.08</v>
      </c>
      <c r="I18" s="64">
        <v>1.84</v>
      </c>
      <c r="J18" s="64">
        <v>0.47</v>
      </c>
      <c r="K18" s="64">
        <v>277.14999999999998</v>
      </c>
      <c r="L18" s="64">
        <v>23.37</v>
      </c>
      <c r="M18" s="64">
        <v>102.68</v>
      </c>
      <c r="N18" s="64">
        <v>26.1</v>
      </c>
      <c r="O18" s="64">
        <v>0</v>
      </c>
      <c r="P18" s="64">
        <v>0.5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928</v>
      </c>
      <c r="B19" s="64">
        <v>3.33</v>
      </c>
      <c r="C19" s="64">
        <v>7.35</v>
      </c>
      <c r="D19" s="64">
        <v>6.52</v>
      </c>
      <c r="E19" s="64">
        <v>4.4800000000000004</v>
      </c>
      <c r="F19" s="64">
        <v>4.6399999999999997</v>
      </c>
      <c r="G19" s="64">
        <v>46.92</v>
      </c>
      <c r="H19" s="64">
        <v>23.08</v>
      </c>
      <c r="I19" s="64">
        <v>1.37</v>
      </c>
      <c r="J19" s="64">
        <v>0.48</v>
      </c>
      <c r="K19" s="64">
        <v>243.55</v>
      </c>
      <c r="L19" s="64">
        <v>23.42</v>
      </c>
      <c r="M19" s="64">
        <v>102.36</v>
      </c>
      <c r="N19" s="64">
        <v>26</v>
      </c>
      <c r="O19" s="64">
        <v>0</v>
      </c>
      <c r="P19" s="64">
        <v>0.39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929</v>
      </c>
      <c r="B20" s="64">
        <v>3.37</v>
      </c>
      <c r="C20" s="64">
        <v>7.01</v>
      </c>
      <c r="D20" s="64">
        <v>6.37</v>
      </c>
      <c r="E20" s="64">
        <v>4.62</v>
      </c>
      <c r="F20" s="64">
        <v>4.4000000000000004</v>
      </c>
      <c r="G20" s="64">
        <v>46.92</v>
      </c>
      <c r="H20" s="64">
        <v>23.08</v>
      </c>
      <c r="I20" s="64">
        <v>1.39</v>
      </c>
      <c r="J20" s="64">
        <v>0.27</v>
      </c>
      <c r="K20" s="64">
        <v>339.44</v>
      </c>
      <c r="L20" s="64">
        <v>23.62</v>
      </c>
      <c r="M20" s="64">
        <v>102.35</v>
      </c>
      <c r="N20" s="64">
        <v>26.1</v>
      </c>
      <c r="O20" s="64">
        <v>0</v>
      </c>
      <c r="P20" s="64">
        <v>0.39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930</v>
      </c>
      <c r="B21" s="64">
        <v>3.39</v>
      </c>
      <c r="C21" s="64">
        <v>6.73</v>
      </c>
      <c r="D21" s="64">
        <v>6.23</v>
      </c>
      <c r="E21" s="64">
        <v>4.68</v>
      </c>
      <c r="F21" s="64">
        <v>4.67</v>
      </c>
      <c r="G21" s="64">
        <v>45.18</v>
      </c>
      <c r="H21" s="64">
        <v>23.3</v>
      </c>
      <c r="I21" s="64">
        <v>1.2</v>
      </c>
      <c r="J21" s="64">
        <v>0.38</v>
      </c>
      <c r="K21" s="64">
        <v>331.93</v>
      </c>
      <c r="L21" s="64">
        <v>23.52</v>
      </c>
      <c r="M21" s="64">
        <v>102.56</v>
      </c>
      <c r="N21" s="64">
        <v>26.1</v>
      </c>
      <c r="O21" s="64">
        <v>0</v>
      </c>
      <c r="P21" s="64">
        <v>0.37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931</v>
      </c>
      <c r="B22" s="64">
        <v>3.35</v>
      </c>
      <c r="C22" s="64">
        <v>6.49</v>
      </c>
      <c r="D22" s="64">
        <v>6.08</v>
      </c>
      <c r="E22" s="64">
        <v>4.3499999999999996</v>
      </c>
      <c r="F22" s="64">
        <v>4.3099999999999996</v>
      </c>
      <c r="G22" s="64">
        <v>45.16</v>
      </c>
      <c r="H22" s="64">
        <v>23.3</v>
      </c>
      <c r="I22" s="64">
        <v>1.1000000000000001</v>
      </c>
      <c r="J22" s="64">
        <v>0.47</v>
      </c>
      <c r="K22" s="64">
        <v>336.35</v>
      </c>
      <c r="L22" s="64">
        <v>23.5</v>
      </c>
      <c r="M22" s="64">
        <v>102.68</v>
      </c>
      <c r="N22" s="64">
        <v>26.1</v>
      </c>
      <c r="O22" s="64">
        <v>0</v>
      </c>
      <c r="P22" s="64">
        <v>0.36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5" t="s">
        <v>932</v>
      </c>
      <c r="B23" s="64">
        <v>3.39</v>
      </c>
      <c r="C23" s="64">
        <v>6.2</v>
      </c>
      <c r="D23" s="64">
        <v>5.96</v>
      </c>
      <c r="E23" s="64">
        <v>4.74</v>
      </c>
      <c r="F23" s="64">
        <v>4.12</v>
      </c>
      <c r="G23" s="64">
        <v>45.16</v>
      </c>
      <c r="H23" s="64">
        <v>23.3</v>
      </c>
      <c r="I23" s="64">
        <v>1.08</v>
      </c>
      <c r="J23" s="64">
        <v>0.35</v>
      </c>
      <c r="K23" s="64">
        <v>320.57</v>
      </c>
      <c r="L23" s="64">
        <v>23.47</v>
      </c>
      <c r="M23" s="64">
        <v>102.68</v>
      </c>
      <c r="N23" s="64">
        <v>26.1</v>
      </c>
      <c r="O23" s="64">
        <v>0</v>
      </c>
      <c r="P23" s="64">
        <v>0.35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933</v>
      </c>
      <c r="B24" s="64">
        <v>3.39</v>
      </c>
      <c r="C24" s="64">
        <v>6.08</v>
      </c>
      <c r="D24" s="64">
        <v>5.9</v>
      </c>
      <c r="E24" s="64">
        <v>4.17</v>
      </c>
      <c r="F24" s="64">
        <v>4.4000000000000004</v>
      </c>
      <c r="G24" s="64">
        <v>45.16</v>
      </c>
      <c r="H24" s="64">
        <v>23.3</v>
      </c>
      <c r="I24" s="64">
        <v>1.19</v>
      </c>
      <c r="J24" s="64">
        <v>0.38</v>
      </c>
      <c r="K24" s="64">
        <v>316.31</v>
      </c>
      <c r="L24" s="64">
        <v>23.36</v>
      </c>
      <c r="M24" s="64">
        <v>102.68</v>
      </c>
      <c r="N24" s="64">
        <v>26.1</v>
      </c>
      <c r="O24" s="64">
        <v>0</v>
      </c>
      <c r="P24" s="64">
        <v>0.35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934</v>
      </c>
      <c r="B25" s="64">
        <v>3.6</v>
      </c>
      <c r="C25" s="64">
        <v>6.79</v>
      </c>
      <c r="D25" s="64">
        <v>6.43</v>
      </c>
      <c r="E25" s="64">
        <v>4.5599999999999996</v>
      </c>
      <c r="F25" s="64">
        <v>4.59</v>
      </c>
      <c r="G25" s="64">
        <v>43.96</v>
      </c>
      <c r="H25" s="64">
        <v>22.42</v>
      </c>
      <c r="I25" s="64">
        <v>1.28</v>
      </c>
      <c r="J25" s="64">
        <v>0.44</v>
      </c>
      <c r="K25" s="64">
        <v>328.83</v>
      </c>
      <c r="L25" s="64">
        <v>23.17</v>
      </c>
      <c r="M25" s="64">
        <v>102.68</v>
      </c>
      <c r="N25" s="64">
        <v>26.1</v>
      </c>
      <c r="O25" s="64">
        <v>0</v>
      </c>
      <c r="P25" s="64">
        <v>0.42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935</v>
      </c>
      <c r="B26" s="64">
        <v>3.89</v>
      </c>
      <c r="C26" s="64">
        <v>7.16</v>
      </c>
      <c r="D26" s="64">
        <v>6.86</v>
      </c>
      <c r="E26" s="64">
        <v>5.26</v>
      </c>
      <c r="F26" s="64">
        <v>3.72</v>
      </c>
      <c r="G26" s="64">
        <v>43.95</v>
      </c>
      <c r="H26" s="64">
        <v>22.42</v>
      </c>
      <c r="I26" s="64">
        <v>1.69</v>
      </c>
      <c r="J26" s="64">
        <v>0.21</v>
      </c>
      <c r="K26" s="64">
        <v>298.32</v>
      </c>
      <c r="L26" s="64">
        <v>23.12</v>
      </c>
      <c r="M26" s="64">
        <v>102.68</v>
      </c>
      <c r="N26" s="64">
        <v>26.1</v>
      </c>
      <c r="O26" s="64">
        <v>0</v>
      </c>
      <c r="P26" s="64">
        <v>0.42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5" t="s">
        <v>936</v>
      </c>
      <c r="B27" s="64">
        <v>4.4400000000000004</v>
      </c>
      <c r="C27" s="64">
        <v>7.2</v>
      </c>
      <c r="D27" s="64">
        <v>7.33</v>
      </c>
      <c r="E27" s="64">
        <v>5.22</v>
      </c>
      <c r="F27" s="64">
        <v>3.85</v>
      </c>
      <c r="G27" s="64">
        <v>43.95</v>
      </c>
      <c r="H27" s="64">
        <v>22.42</v>
      </c>
      <c r="I27" s="64">
        <v>3.2</v>
      </c>
      <c r="J27" s="64">
        <v>0.44</v>
      </c>
      <c r="K27" s="64">
        <v>329.52</v>
      </c>
      <c r="L27" s="64">
        <v>23.06</v>
      </c>
      <c r="M27" s="64">
        <v>102.68</v>
      </c>
      <c r="N27" s="64">
        <v>26.1</v>
      </c>
      <c r="O27" s="64">
        <v>0</v>
      </c>
      <c r="P27" s="64">
        <v>0.43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5" t="s">
        <v>937</v>
      </c>
      <c r="B28" s="64">
        <v>5.19</v>
      </c>
      <c r="C28" s="64">
        <v>7.12</v>
      </c>
      <c r="D28" s="64">
        <v>7.88</v>
      </c>
      <c r="E28" s="64">
        <v>5.35</v>
      </c>
      <c r="F28" s="64">
        <v>3.13</v>
      </c>
      <c r="G28" s="64">
        <v>43.95</v>
      </c>
      <c r="H28" s="64">
        <v>22.42</v>
      </c>
      <c r="I28" s="64">
        <v>3.19</v>
      </c>
      <c r="J28" s="64">
        <v>0.3</v>
      </c>
      <c r="K28" s="64">
        <v>81.12</v>
      </c>
      <c r="L28" s="64">
        <v>22.99</v>
      </c>
      <c r="M28" s="64">
        <v>102.69</v>
      </c>
      <c r="N28" s="64">
        <v>26.1</v>
      </c>
      <c r="O28" s="64">
        <v>0</v>
      </c>
      <c r="P28" s="64">
        <v>0.46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5" t="s">
        <v>938</v>
      </c>
      <c r="B29" s="64">
        <v>5.58</v>
      </c>
      <c r="C29" s="64">
        <v>7.4</v>
      </c>
      <c r="D29" s="64">
        <v>8.34</v>
      </c>
      <c r="E29" s="64">
        <v>5.37</v>
      </c>
      <c r="F29" s="64">
        <v>4.0199999999999996</v>
      </c>
      <c r="G29" s="64">
        <v>50.01</v>
      </c>
      <c r="H29" s="64">
        <v>20.91</v>
      </c>
      <c r="I29" s="64">
        <v>2.82</v>
      </c>
      <c r="J29" s="64">
        <v>0.36</v>
      </c>
      <c r="K29" s="64">
        <v>356.39</v>
      </c>
      <c r="L29" s="64">
        <v>22.98</v>
      </c>
      <c r="M29" s="64">
        <v>102.68</v>
      </c>
      <c r="N29" s="64">
        <v>26.1</v>
      </c>
      <c r="O29" s="64">
        <v>0</v>
      </c>
      <c r="P29" s="64">
        <v>0.47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5" t="s">
        <v>939</v>
      </c>
      <c r="B30" s="64">
        <v>5.8</v>
      </c>
      <c r="C30" s="64">
        <v>7.46</v>
      </c>
      <c r="D30" s="64">
        <v>8.5500000000000007</v>
      </c>
      <c r="E30" s="64">
        <v>5.15</v>
      </c>
      <c r="F30" s="64">
        <v>4.01</v>
      </c>
      <c r="G30" s="64">
        <v>50.08</v>
      </c>
      <c r="H30" s="64">
        <v>20.91</v>
      </c>
      <c r="I30" s="64">
        <v>3.16</v>
      </c>
      <c r="J30" s="64">
        <v>0.43</v>
      </c>
      <c r="K30" s="64">
        <v>255.01</v>
      </c>
      <c r="L30" s="64">
        <v>22.98</v>
      </c>
      <c r="M30" s="64">
        <v>102.68</v>
      </c>
      <c r="N30" s="64">
        <v>26</v>
      </c>
      <c r="O30" s="64">
        <v>0</v>
      </c>
      <c r="P30" s="64">
        <v>0.47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940</v>
      </c>
      <c r="B31" s="64">
        <v>5.85</v>
      </c>
      <c r="C31" s="64">
        <v>7.38</v>
      </c>
      <c r="D31" s="64">
        <v>8.5500000000000007</v>
      </c>
      <c r="E31" s="64">
        <v>5.58</v>
      </c>
      <c r="F31" s="64">
        <v>2.99</v>
      </c>
      <c r="G31" s="64">
        <v>50.08</v>
      </c>
      <c r="H31" s="64">
        <v>20.91</v>
      </c>
      <c r="I31" s="64">
        <v>2.96</v>
      </c>
      <c r="J31" s="64">
        <v>0.32</v>
      </c>
      <c r="K31" s="64">
        <v>274.10000000000002</v>
      </c>
      <c r="L31" s="64">
        <v>22.94</v>
      </c>
      <c r="M31" s="64">
        <v>102.68</v>
      </c>
      <c r="N31" s="64">
        <v>26.1</v>
      </c>
      <c r="O31" s="64">
        <v>0</v>
      </c>
      <c r="P31" s="64">
        <v>0.52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941</v>
      </c>
      <c r="B32" s="64">
        <v>6.14</v>
      </c>
      <c r="C32" s="64">
        <v>7.49</v>
      </c>
      <c r="D32" s="64">
        <v>8.83</v>
      </c>
      <c r="E32" s="64">
        <v>5.35</v>
      </c>
      <c r="F32" s="64">
        <v>3.55</v>
      </c>
      <c r="G32" s="64">
        <v>50.08</v>
      </c>
      <c r="H32" s="64">
        <v>20.91</v>
      </c>
      <c r="I32" s="64">
        <v>3.01</v>
      </c>
      <c r="J32" s="64">
        <v>0.52</v>
      </c>
      <c r="K32" s="64">
        <v>145.09</v>
      </c>
      <c r="L32" s="64">
        <v>23.13</v>
      </c>
      <c r="M32" s="64">
        <v>102.69</v>
      </c>
      <c r="N32" s="64">
        <v>27.3</v>
      </c>
      <c r="O32" s="64">
        <v>0</v>
      </c>
      <c r="P32" s="64">
        <v>0.45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942</v>
      </c>
      <c r="B33" s="64">
        <v>6.69</v>
      </c>
      <c r="C33" s="64">
        <v>7.26</v>
      </c>
      <c r="D33" s="64">
        <v>9.16</v>
      </c>
      <c r="E33" s="64">
        <v>5.65</v>
      </c>
      <c r="F33" s="64">
        <v>3.8</v>
      </c>
      <c r="G33" s="64">
        <v>55.92</v>
      </c>
      <c r="H33" s="64">
        <v>25.49</v>
      </c>
      <c r="I33" s="64">
        <v>3.24</v>
      </c>
      <c r="J33" s="64">
        <v>0.32</v>
      </c>
      <c r="K33" s="64">
        <v>81.430000000000007</v>
      </c>
      <c r="L33" s="64">
        <v>23.15</v>
      </c>
      <c r="M33" s="64">
        <v>102.7</v>
      </c>
      <c r="N33" s="64">
        <v>34.200000000000003</v>
      </c>
      <c r="O33" s="64">
        <v>0</v>
      </c>
      <c r="P33" s="64">
        <v>0.45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943</v>
      </c>
      <c r="B34" s="64">
        <v>7.59</v>
      </c>
      <c r="C34" s="64">
        <v>6.89</v>
      </c>
      <c r="D34" s="64">
        <v>9.68</v>
      </c>
      <c r="E34" s="64">
        <v>5.39</v>
      </c>
      <c r="F34" s="64">
        <v>3.43</v>
      </c>
      <c r="G34" s="64">
        <v>55.99</v>
      </c>
      <c r="H34" s="64">
        <v>25.49</v>
      </c>
      <c r="I34" s="64">
        <v>2.42</v>
      </c>
      <c r="J34" s="64">
        <v>0.4</v>
      </c>
      <c r="K34" s="64">
        <v>296.44</v>
      </c>
      <c r="L34" s="64">
        <v>23.42</v>
      </c>
      <c r="M34" s="64">
        <v>102.69</v>
      </c>
      <c r="N34" s="64">
        <v>49.3</v>
      </c>
      <c r="O34" s="64">
        <v>0</v>
      </c>
      <c r="P34" s="64">
        <v>0.64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944</v>
      </c>
      <c r="B35" s="64">
        <v>9.7200000000000006</v>
      </c>
      <c r="C35" s="64">
        <v>6.7</v>
      </c>
      <c r="D35" s="64">
        <v>11.3</v>
      </c>
      <c r="E35" s="64">
        <v>5.12</v>
      </c>
      <c r="F35" s="64">
        <v>3.95</v>
      </c>
      <c r="G35" s="64">
        <v>55.99</v>
      </c>
      <c r="H35" s="64">
        <v>25.49</v>
      </c>
      <c r="I35" s="64">
        <v>2.83</v>
      </c>
      <c r="J35" s="64">
        <v>0.37</v>
      </c>
      <c r="K35" s="64">
        <v>117.87</v>
      </c>
      <c r="L35" s="64">
        <v>23.98</v>
      </c>
      <c r="M35" s="64">
        <v>101.76</v>
      </c>
      <c r="N35" s="64">
        <v>76.7</v>
      </c>
      <c r="O35" s="64">
        <v>0</v>
      </c>
      <c r="P35" s="64">
        <v>0.48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5" t="s">
        <v>945</v>
      </c>
      <c r="B36" s="64">
        <v>10.82</v>
      </c>
      <c r="C36" s="64">
        <v>6.83</v>
      </c>
      <c r="D36" s="64">
        <v>12.24</v>
      </c>
      <c r="E36" s="64">
        <v>5.35</v>
      </c>
      <c r="F36" s="64">
        <v>4.0199999999999996</v>
      </c>
      <c r="G36" s="64">
        <v>55.99</v>
      </c>
      <c r="H36" s="64">
        <v>25.49</v>
      </c>
      <c r="I36" s="64">
        <v>2.8</v>
      </c>
      <c r="J36" s="64">
        <v>0.59</v>
      </c>
      <c r="K36" s="64">
        <v>125.34</v>
      </c>
      <c r="L36" s="64">
        <v>24.75</v>
      </c>
      <c r="M36" s="64">
        <v>97.44</v>
      </c>
      <c r="N36" s="64">
        <v>113.4</v>
      </c>
      <c r="O36" s="64">
        <v>0</v>
      </c>
      <c r="P36" s="64">
        <v>0.43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946</v>
      </c>
      <c r="B37" s="64">
        <v>11.04</v>
      </c>
      <c r="C37" s="64">
        <v>6.92</v>
      </c>
      <c r="D37" s="64">
        <v>12.47</v>
      </c>
      <c r="E37" s="64">
        <v>5.16</v>
      </c>
      <c r="F37" s="64">
        <v>4.6399999999999997</v>
      </c>
      <c r="G37" s="64">
        <v>55.5</v>
      </c>
      <c r="H37" s="64">
        <v>27.37</v>
      </c>
      <c r="I37" s="64">
        <v>2.19</v>
      </c>
      <c r="J37" s="64">
        <v>0.81</v>
      </c>
      <c r="K37" s="64">
        <v>120.9</v>
      </c>
      <c r="L37" s="64">
        <v>25.36</v>
      </c>
      <c r="M37" s="64">
        <v>92.97</v>
      </c>
      <c r="N37" s="64">
        <v>163.1</v>
      </c>
      <c r="O37" s="64">
        <v>0</v>
      </c>
      <c r="P37" s="64">
        <v>0.41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947</v>
      </c>
      <c r="B38" s="64">
        <v>10.88</v>
      </c>
      <c r="C38" s="64">
        <v>7.02</v>
      </c>
      <c r="D38" s="64">
        <v>12.39</v>
      </c>
      <c r="E38" s="64">
        <v>5.25</v>
      </c>
      <c r="F38" s="64">
        <v>3.76</v>
      </c>
      <c r="G38" s="64">
        <v>55.5</v>
      </c>
      <c r="H38" s="64">
        <v>27.37</v>
      </c>
      <c r="I38" s="64">
        <v>1.95</v>
      </c>
      <c r="J38" s="64">
        <v>1.1499999999999999</v>
      </c>
      <c r="K38" s="64">
        <v>113.32</v>
      </c>
      <c r="L38" s="64">
        <v>25.13</v>
      </c>
      <c r="M38" s="64">
        <v>93.7</v>
      </c>
      <c r="N38" s="64">
        <v>127</v>
      </c>
      <c r="O38" s="64">
        <v>0</v>
      </c>
      <c r="P38" s="64">
        <v>0.42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948</v>
      </c>
      <c r="B39" s="64">
        <v>10.220000000000001</v>
      </c>
      <c r="C39" s="64">
        <v>7.26</v>
      </c>
      <c r="D39" s="64">
        <v>11.99</v>
      </c>
      <c r="E39" s="64">
        <v>5.46</v>
      </c>
      <c r="F39" s="64">
        <v>4.41</v>
      </c>
      <c r="G39" s="64">
        <v>55.5</v>
      </c>
      <c r="H39" s="64">
        <v>27.37</v>
      </c>
      <c r="I39" s="64">
        <v>2.81</v>
      </c>
      <c r="J39" s="64">
        <v>1.32</v>
      </c>
      <c r="K39" s="64">
        <v>114.28</v>
      </c>
      <c r="L39" s="64">
        <v>25.18</v>
      </c>
      <c r="M39" s="64">
        <v>94.28</v>
      </c>
      <c r="N39" s="64">
        <v>217.6</v>
      </c>
      <c r="O39" s="64">
        <v>0</v>
      </c>
      <c r="P39" s="64">
        <v>0.41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949</v>
      </c>
      <c r="B40" s="64">
        <v>9.43</v>
      </c>
      <c r="C40" s="64">
        <v>7.41</v>
      </c>
      <c r="D40" s="64">
        <v>11.43</v>
      </c>
      <c r="E40" s="64">
        <v>5.58</v>
      </c>
      <c r="F40" s="64">
        <v>4.5199999999999996</v>
      </c>
      <c r="G40" s="64">
        <v>55.5</v>
      </c>
      <c r="H40" s="64">
        <v>27.37</v>
      </c>
      <c r="I40" s="64">
        <v>3.63</v>
      </c>
      <c r="J40" s="64">
        <v>0.81</v>
      </c>
      <c r="K40" s="64">
        <v>110.55</v>
      </c>
      <c r="L40" s="64">
        <v>26.3</v>
      </c>
      <c r="M40" s="64">
        <v>90.31</v>
      </c>
      <c r="N40" s="64">
        <v>298.89999999999998</v>
      </c>
      <c r="O40" s="64">
        <v>0</v>
      </c>
      <c r="P40" s="64">
        <v>0.41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950</v>
      </c>
      <c r="B41" s="64">
        <v>8.9499999999999993</v>
      </c>
      <c r="C41" s="64">
        <v>7.73</v>
      </c>
      <c r="D41" s="64">
        <v>11.22</v>
      </c>
      <c r="E41" s="64">
        <v>6.21</v>
      </c>
      <c r="F41" s="64">
        <v>4.24</v>
      </c>
      <c r="G41" s="64">
        <v>56.35</v>
      </c>
      <c r="H41" s="64">
        <v>29.04</v>
      </c>
      <c r="I41" s="64">
        <v>3.43</v>
      </c>
      <c r="J41" s="64">
        <v>0.9</v>
      </c>
      <c r="K41" s="64">
        <v>118.51</v>
      </c>
      <c r="L41" s="64">
        <v>26.97</v>
      </c>
      <c r="M41" s="64">
        <v>87.59</v>
      </c>
      <c r="N41" s="64">
        <v>354</v>
      </c>
      <c r="O41" s="64">
        <v>0</v>
      </c>
      <c r="P41" s="64">
        <v>0.42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5" t="s">
        <v>951</v>
      </c>
      <c r="B42" s="64">
        <v>8.32</v>
      </c>
      <c r="C42" s="64">
        <v>8.35</v>
      </c>
      <c r="D42" s="64">
        <v>11.03</v>
      </c>
      <c r="E42" s="64">
        <v>6.07</v>
      </c>
      <c r="F42" s="64">
        <v>3.86</v>
      </c>
      <c r="G42" s="64">
        <v>56.35</v>
      </c>
      <c r="H42" s="64">
        <v>29.04</v>
      </c>
      <c r="I42" s="64">
        <v>2.86</v>
      </c>
      <c r="J42" s="64">
        <v>0.97</v>
      </c>
      <c r="K42" s="64">
        <v>111.16</v>
      </c>
      <c r="L42" s="64">
        <v>27.72</v>
      </c>
      <c r="M42" s="64">
        <v>83.5</v>
      </c>
      <c r="N42" s="64">
        <v>402.6</v>
      </c>
      <c r="O42" s="64">
        <v>0</v>
      </c>
      <c r="P42" s="64">
        <v>0.43</v>
      </c>
      <c r="Q42" s="64">
        <v>9.59</v>
      </c>
      <c r="R42" s="198"/>
      <c r="S42" s="198"/>
      <c r="T42" s="198"/>
      <c r="U42" s="198"/>
    </row>
    <row r="43" spans="1:21" s="12" customFormat="1" x14ac:dyDescent="0.25">
      <c r="A43" s="215" t="s">
        <v>952</v>
      </c>
      <c r="B43" s="64">
        <v>7.29</v>
      </c>
      <c r="C43" s="64">
        <v>8.5</v>
      </c>
      <c r="D43" s="64">
        <v>10.28</v>
      </c>
      <c r="E43" s="64">
        <v>5.99</v>
      </c>
      <c r="F43" s="64">
        <v>4.0199999999999996</v>
      </c>
      <c r="G43" s="64">
        <v>56.35</v>
      </c>
      <c r="H43" s="64">
        <v>29.04</v>
      </c>
      <c r="I43" s="64">
        <v>5</v>
      </c>
      <c r="J43" s="64">
        <v>0.42</v>
      </c>
      <c r="K43" s="64">
        <v>87.99</v>
      </c>
      <c r="L43" s="64">
        <v>28.39</v>
      </c>
      <c r="M43" s="64">
        <v>81.88</v>
      </c>
      <c r="N43" s="64">
        <v>446.5</v>
      </c>
      <c r="O43" s="64">
        <v>0</v>
      </c>
      <c r="P43" s="64">
        <v>0.43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953</v>
      </c>
      <c r="B44" s="64">
        <v>6.53</v>
      </c>
      <c r="C44" s="64">
        <v>8.52</v>
      </c>
      <c r="D44" s="64">
        <v>9.69</v>
      </c>
      <c r="E44" s="64">
        <v>5.73</v>
      </c>
      <c r="F44" s="64">
        <v>4.53</v>
      </c>
      <c r="G44" s="64">
        <v>56.35</v>
      </c>
      <c r="H44" s="64">
        <v>29.04</v>
      </c>
      <c r="I44" s="64">
        <v>5.7</v>
      </c>
      <c r="J44" s="64">
        <v>0.59</v>
      </c>
      <c r="K44" s="64">
        <v>93.46</v>
      </c>
      <c r="L44" s="64">
        <v>29.68</v>
      </c>
      <c r="M44" s="64">
        <v>75.17</v>
      </c>
      <c r="N44" s="64">
        <v>479.7</v>
      </c>
      <c r="O44" s="64">
        <v>0</v>
      </c>
      <c r="P44" s="64">
        <v>0.45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5" t="s">
        <v>954</v>
      </c>
      <c r="B45" s="64">
        <v>5.91</v>
      </c>
      <c r="C45" s="64">
        <v>9.15</v>
      </c>
      <c r="D45" s="64">
        <v>9.52</v>
      </c>
      <c r="E45" s="64">
        <v>5.94</v>
      </c>
      <c r="F45" s="64">
        <v>3.77</v>
      </c>
      <c r="G45" s="64">
        <v>61.46</v>
      </c>
      <c r="H45" s="64">
        <v>25.48</v>
      </c>
      <c r="I45" s="64">
        <v>4.32</v>
      </c>
      <c r="J45" s="64">
        <v>0.86</v>
      </c>
      <c r="K45" s="64">
        <v>122.98</v>
      </c>
      <c r="L45" s="64">
        <v>29.24</v>
      </c>
      <c r="M45" s="64">
        <v>76.209999999999994</v>
      </c>
      <c r="N45" s="64">
        <v>521.70000000000005</v>
      </c>
      <c r="O45" s="64">
        <v>0</v>
      </c>
      <c r="P45" s="64">
        <v>0.43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5" t="s">
        <v>955</v>
      </c>
      <c r="B46" s="64">
        <v>5.0999999999999996</v>
      </c>
      <c r="C46" s="64">
        <v>8.6</v>
      </c>
      <c r="D46" s="64">
        <v>8.59</v>
      </c>
      <c r="E46" s="64">
        <v>5.99</v>
      </c>
      <c r="F46" s="64">
        <v>4.28</v>
      </c>
      <c r="G46" s="64">
        <v>61.46</v>
      </c>
      <c r="H46" s="64">
        <v>25.48</v>
      </c>
      <c r="I46" s="64">
        <v>5.21</v>
      </c>
      <c r="J46" s="64">
        <v>0.81</v>
      </c>
      <c r="K46" s="64">
        <v>116.19</v>
      </c>
      <c r="L46" s="64">
        <v>29.31</v>
      </c>
      <c r="M46" s="64">
        <v>77.349999999999994</v>
      </c>
      <c r="N46" s="64">
        <v>575.4</v>
      </c>
      <c r="O46" s="64">
        <v>0</v>
      </c>
      <c r="P46" s="64">
        <v>0.41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956</v>
      </c>
      <c r="B47" s="64">
        <v>4.5</v>
      </c>
      <c r="C47" s="64">
        <v>9.3000000000000007</v>
      </c>
      <c r="D47" s="64">
        <v>8.4700000000000006</v>
      </c>
      <c r="E47" s="64">
        <v>5.98</v>
      </c>
      <c r="F47" s="64">
        <v>3.82</v>
      </c>
      <c r="G47" s="64">
        <v>61.46</v>
      </c>
      <c r="H47" s="64">
        <v>25.48</v>
      </c>
      <c r="I47" s="64">
        <v>5.09</v>
      </c>
      <c r="J47" s="64">
        <v>0.69</v>
      </c>
      <c r="K47" s="64">
        <v>120.88</v>
      </c>
      <c r="L47" s="64">
        <v>30.2</v>
      </c>
      <c r="M47" s="64">
        <v>73.61</v>
      </c>
      <c r="N47" s="64">
        <v>602.29999999999995</v>
      </c>
      <c r="O47" s="64">
        <v>0</v>
      </c>
      <c r="P47" s="64">
        <v>0.43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957</v>
      </c>
      <c r="B48" s="64">
        <v>4.08</v>
      </c>
      <c r="C48" s="64">
        <v>9.2200000000000006</v>
      </c>
      <c r="D48" s="64">
        <v>8.09</v>
      </c>
      <c r="E48" s="64">
        <v>5.92</v>
      </c>
      <c r="F48" s="64">
        <v>4.22</v>
      </c>
      <c r="G48" s="64">
        <v>61.46</v>
      </c>
      <c r="H48" s="64">
        <v>25.48</v>
      </c>
      <c r="I48" s="64">
        <v>5.42</v>
      </c>
      <c r="J48" s="64">
        <v>0.18</v>
      </c>
      <c r="K48" s="64">
        <v>154.59</v>
      </c>
      <c r="L48" s="64">
        <v>30.28</v>
      </c>
      <c r="M48" s="64">
        <v>72.81</v>
      </c>
      <c r="N48" s="64">
        <v>418.7</v>
      </c>
      <c r="O48" s="64">
        <v>0</v>
      </c>
      <c r="P48" s="64">
        <v>0.42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958</v>
      </c>
      <c r="B49" s="64">
        <v>3.58</v>
      </c>
      <c r="C49" s="64">
        <v>9.83</v>
      </c>
      <c r="D49" s="64">
        <v>8.01</v>
      </c>
      <c r="E49" s="64">
        <v>5.81</v>
      </c>
      <c r="F49" s="64">
        <v>3.99</v>
      </c>
      <c r="G49" s="64">
        <v>50.1</v>
      </c>
      <c r="H49" s="64">
        <v>20.52</v>
      </c>
      <c r="I49" s="64">
        <v>5.36</v>
      </c>
      <c r="J49" s="64">
        <v>0.55000000000000004</v>
      </c>
      <c r="K49" s="64">
        <v>126.95</v>
      </c>
      <c r="L49" s="64">
        <v>30.7</v>
      </c>
      <c r="M49" s="64">
        <v>69.5</v>
      </c>
      <c r="N49" s="64">
        <v>616.1</v>
      </c>
      <c r="O49" s="64">
        <v>0</v>
      </c>
      <c r="P49" s="64">
        <v>0.43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5" t="s">
        <v>959</v>
      </c>
      <c r="B50" s="64">
        <v>2.98</v>
      </c>
      <c r="C50" s="64">
        <v>9.27</v>
      </c>
      <c r="D50" s="64">
        <v>7.23</v>
      </c>
      <c r="E50" s="64">
        <v>5.86</v>
      </c>
      <c r="F50" s="64">
        <v>4.43</v>
      </c>
      <c r="G50" s="64">
        <v>49.97</v>
      </c>
      <c r="H50" s="64">
        <v>20.52</v>
      </c>
      <c r="I50" s="64">
        <v>5.5</v>
      </c>
      <c r="J50" s="64">
        <v>0.74</v>
      </c>
      <c r="K50" s="64">
        <v>123.5</v>
      </c>
      <c r="L50" s="64">
        <v>30.82</v>
      </c>
      <c r="M50" s="64">
        <v>70.03</v>
      </c>
      <c r="N50" s="64">
        <v>719.8</v>
      </c>
      <c r="O50" s="64">
        <v>0</v>
      </c>
      <c r="P50" s="64">
        <v>0.41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960</v>
      </c>
      <c r="B51" s="64">
        <v>2.77</v>
      </c>
      <c r="C51" s="64">
        <v>8.89</v>
      </c>
      <c r="D51" s="64">
        <v>6.86</v>
      </c>
      <c r="E51" s="64">
        <v>6.01</v>
      </c>
      <c r="F51" s="64">
        <v>4.6399999999999997</v>
      </c>
      <c r="G51" s="64">
        <v>49.97</v>
      </c>
      <c r="H51" s="64">
        <v>20.52</v>
      </c>
      <c r="I51" s="64">
        <v>5.36</v>
      </c>
      <c r="J51" s="64">
        <v>1.04</v>
      </c>
      <c r="K51" s="64">
        <v>347.58</v>
      </c>
      <c r="L51" s="64">
        <v>32.75</v>
      </c>
      <c r="M51" s="64">
        <v>63.17</v>
      </c>
      <c r="N51" s="64">
        <v>384.9</v>
      </c>
      <c r="O51" s="64">
        <v>0</v>
      </c>
      <c r="P51" s="64">
        <v>0.46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961</v>
      </c>
      <c r="B52" s="64">
        <v>3.09</v>
      </c>
      <c r="C52" s="64">
        <v>9.18</v>
      </c>
      <c r="D52" s="64">
        <v>7.27</v>
      </c>
      <c r="E52" s="64">
        <v>6.04</v>
      </c>
      <c r="F52" s="64">
        <v>4.34</v>
      </c>
      <c r="G52" s="64">
        <v>49.97</v>
      </c>
      <c r="H52" s="64">
        <v>20.52</v>
      </c>
      <c r="I52" s="64">
        <v>4.57</v>
      </c>
      <c r="J52" s="64">
        <v>0.55000000000000004</v>
      </c>
      <c r="K52" s="64">
        <v>338.16</v>
      </c>
      <c r="L52" s="64">
        <v>32.58</v>
      </c>
      <c r="M52" s="64">
        <v>63.25</v>
      </c>
      <c r="N52" s="64">
        <v>275.2</v>
      </c>
      <c r="O52" s="64">
        <v>0</v>
      </c>
      <c r="P52" s="64">
        <v>0.59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962</v>
      </c>
      <c r="B53" s="64">
        <v>3.23</v>
      </c>
      <c r="C53" s="64">
        <v>9.33</v>
      </c>
      <c r="D53" s="64">
        <v>7.47</v>
      </c>
      <c r="E53" s="64">
        <v>5.8</v>
      </c>
      <c r="F53" s="64">
        <v>4.8600000000000003</v>
      </c>
      <c r="G53" s="64">
        <v>51.19</v>
      </c>
      <c r="H53" s="64">
        <v>27.78</v>
      </c>
      <c r="I53" s="64">
        <v>3.86</v>
      </c>
      <c r="J53" s="64">
        <v>0.57999999999999996</v>
      </c>
      <c r="K53" s="64">
        <v>129.54</v>
      </c>
      <c r="L53" s="64">
        <v>30.6</v>
      </c>
      <c r="M53" s="64">
        <v>69.28</v>
      </c>
      <c r="N53" s="64">
        <v>309.2</v>
      </c>
      <c r="O53" s="64">
        <v>0</v>
      </c>
      <c r="P53" s="64">
        <v>0.41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5" t="s">
        <v>963</v>
      </c>
      <c r="B54" s="64">
        <v>3.01</v>
      </c>
      <c r="C54" s="64">
        <v>8.9600000000000009</v>
      </c>
      <c r="D54" s="64">
        <v>7.09</v>
      </c>
      <c r="E54" s="64">
        <v>5.98</v>
      </c>
      <c r="F54" s="64">
        <v>5.07</v>
      </c>
      <c r="G54" s="64">
        <v>51.19</v>
      </c>
      <c r="H54" s="64">
        <v>27.78</v>
      </c>
      <c r="I54" s="64">
        <v>3.56</v>
      </c>
      <c r="J54" s="64">
        <v>0.6</v>
      </c>
      <c r="K54" s="64">
        <v>130.86000000000001</v>
      </c>
      <c r="L54" s="64">
        <v>29.83</v>
      </c>
      <c r="M54" s="64">
        <v>71.319999999999993</v>
      </c>
      <c r="N54" s="64">
        <v>524.5</v>
      </c>
      <c r="O54" s="64">
        <v>0</v>
      </c>
      <c r="P54" s="64">
        <v>0.46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964</v>
      </c>
      <c r="B55" s="64">
        <v>2.82</v>
      </c>
      <c r="C55" s="64">
        <v>8.89</v>
      </c>
      <c r="D55" s="64">
        <v>6.9</v>
      </c>
      <c r="E55" s="64">
        <v>5.64</v>
      </c>
      <c r="F55" s="64">
        <v>4.6500000000000004</v>
      </c>
      <c r="G55" s="64">
        <v>51.19</v>
      </c>
      <c r="H55" s="64">
        <v>27.78</v>
      </c>
      <c r="I55" s="64">
        <v>3.53</v>
      </c>
      <c r="J55" s="64">
        <v>0.24</v>
      </c>
      <c r="K55" s="64">
        <v>65.89</v>
      </c>
      <c r="L55" s="64">
        <v>31.22</v>
      </c>
      <c r="M55" s="64">
        <v>67.55</v>
      </c>
      <c r="N55" s="64">
        <v>564.9</v>
      </c>
      <c r="O55" s="64">
        <v>0</v>
      </c>
      <c r="P55" s="64">
        <v>0.5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965</v>
      </c>
      <c r="B56" s="64">
        <v>2.89</v>
      </c>
      <c r="C56" s="64">
        <v>9.0399999999999991</v>
      </c>
      <c r="D56" s="64">
        <v>7.04</v>
      </c>
      <c r="E56" s="64">
        <v>5.19</v>
      </c>
      <c r="F56" s="64">
        <v>4.7300000000000004</v>
      </c>
      <c r="G56" s="64">
        <v>51.19</v>
      </c>
      <c r="H56" s="64">
        <v>27.78</v>
      </c>
      <c r="I56" s="64">
        <v>3.55</v>
      </c>
      <c r="J56" s="64">
        <v>0.8</v>
      </c>
      <c r="K56" s="64">
        <v>123.7</v>
      </c>
      <c r="L56" s="64">
        <v>30.94</v>
      </c>
      <c r="M56" s="64">
        <v>67.94</v>
      </c>
      <c r="N56" s="64">
        <v>316.89999999999998</v>
      </c>
      <c r="O56" s="64">
        <v>0</v>
      </c>
      <c r="P56" s="64">
        <v>0.39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15" t="s">
        <v>966</v>
      </c>
      <c r="B57" s="64">
        <v>2.74</v>
      </c>
      <c r="C57" s="64">
        <v>8.77</v>
      </c>
      <c r="D57" s="64">
        <v>6.78</v>
      </c>
      <c r="E57" s="64">
        <v>4.17</v>
      </c>
      <c r="F57" s="64">
        <v>4.83</v>
      </c>
      <c r="G57" s="64">
        <v>54.97</v>
      </c>
      <c r="H57" s="64">
        <v>25.93</v>
      </c>
      <c r="I57" s="64">
        <v>3.44</v>
      </c>
      <c r="J57" s="64">
        <v>0.32</v>
      </c>
      <c r="K57" s="64">
        <v>302.74</v>
      </c>
      <c r="L57" s="64">
        <v>30.14</v>
      </c>
      <c r="M57" s="64">
        <v>72.42</v>
      </c>
      <c r="N57" s="64">
        <v>249.2</v>
      </c>
      <c r="O57" s="64">
        <v>0</v>
      </c>
      <c r="P57" s="64">
        <v>0.42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967</v>
      </c>
      <c r="B58" s="64">
        <v>2.83</v>
      </c>
      <c r="C58" s="64">
        <v>9.6</v>
      </c>
      <c r="D58" s="64">
        <v>7.29</v>
      </c>
      <c r="E58" s="64">
        <v>4.2</v>
      </c>
      <c r="F58" s="64">
        <v>4.78</v>
      </c>
      <c r="G58" s="64">
        <v>54.97</v>
      </c>
      <c r="H58" s="64">
        <v>25.93</v>
      </c>
      <c r="I58" s="64">
        <v>2.65</v>
      </c>
      <c r="J58" s="64">
        <v>2.13</v>
      </c>
      <c r="K58" s="64">
        <v>337.17</v>
      </c>
      <c r="L58" s="64">
        <v>31.04</v>
      </c>
      <c r="M58" s="64">
        <v>68.28</v>
      </c>
      <c r="N58" s="64">
        <v>135.9</v>
      </c>
      <c r="O58" s="64">
        <v>0</v>
      </c>
      <c r="P58" s="64">
        <v>0.48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968</v>
      </c>
      <c r="B59" s="64">
        <v>2.93</v>
      </c>
      <c r="C59" s="64">
        <v>11.43</v>
      </c>
      <c r="D59" s="64">
        <v>8.32</v>
      </c>
      <c r="E59" s="64">
        <v>4.4000000000000004</v>
      </c>
      <c r="F59" s="64">
        <v>4.08</v>
      </c>
      <c r="G59" s="64">
        <v>54.97</v>
      </c>
      <c r="H59" s="64">
        <v>25.93</v>
      </c>
      <c r="I59" s="64">
        <v>3.4</v>
      </c>
      <c r="J59" s="64">
        <v>2.58</v>
      </c>
      <c r="K59" s="64">
        <v>338.74</v>
      </c>
      <c r="L59" s="64">
        <v>28.88</v>
      </c>
      <c r="M59" s="64">
        <v>75.78</v>
      </c>
      <c r="N59" s="64">
        <v>68.7</v>
      </c>
      <c r="O59" s="64">
        <v>0</v>
      </c>
      <c r="P59" s="64">
        <v>0.49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5" t="s">
        <v>969</v>
      </c>
      <c r="B60" s="64">
        <v>3.03</v>
      </c>
      <c r="C60" s="64">
        <v>12.79</v>
      </c>
      <c r="D60" s="64">
        <v>9.11</v>
      </c>
      <c r="E60" s="64">
        <v>4.8099999999999996</v>
      </c>
      <c r="F60" s="64">
        <v>5.05</v>
      </c>
      <c r="G60" s="64">
        <v>54.97</v>
      </c>
      <c r="H60" s="64">
        <v>25.93</v>
      </c>
      <c r="I60" s="64">
        <v>4.82</v>
      </c>
      <c r="J60" s="64">
        <v>2.36</v>
      </c>
      <c r="K60" s="64">
        <v>339.86</v>
      </c>
      <c r="L60" s="64">
        <v>27.39</v>
      </c>
      <c r="M60" s="64">
        <v>79.64</v>
      </c>
      <c r="N60" s="64">
        <v>52.9</v>
      </c>
      <c r="O60" s="64">
        <v>0</v>
      </c>
      <c r="P60" s="64">
        <v>0.51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970</v>
      </c>
      <c r="B61" s="64">
        <v>2.87</v>
      </c>
      <c r="C61" s="64">
        <v>13.26</v>
      </c>
      <c r="D61" s="64">
        <v>9.23</v>
      </c>
      <c r="E61" s="64">
        <v>4.76</v>
      </c>
      <c r="F61" s="64">
        <v>4.5999999999999996</v>
      </c>
      <c r="G61" s="64">
        <v>60.17</v>
      </c>
      <c r="H61" s="64">
        <v>21.11</v>
      </c>
      <c r="I61" s="64">
        <v>5.05</v>
      </c>
      <c r="J61" s="64">
        <v>1.88</v>
      </c>
      <c r="K61" s="64">
        <v>337.42</v>
      </c>
      <c r="L61" s="64">
        <v>26.06</v>
      </c>
      <c r="M61" s="64">
        <v>82.16</v>
      </c>
      <c r="N61" s="64">
        <v>58.8</v>
      </c>
      <c r="O61" s="64">
        <v>0</v>
      </c>
      <c r="P61" s="64">
        <v>0.47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971</v>
      </c>
      <c r="B62" s="64">
        <v>2.79</v>
      </c>
      <c r="C62" s="64">
        <v>13.1</v>
      </c>
      <c r="D62" s="64">
        <v>9.08</v>
      </c>
      <c r="E62" s="64">
        <v>5.05</v>
      </c>
      <c r="F62" s="64">
        <v>4.43</v>
      </c>
      <c r="G62" s="64">
        <v>60.17</v>
      </c>
      <c r="H62" s="64">
        <v>21.11</v>
      </c>
      <c r="I62" s="64">
        <v>4.5999999999999996</v>
      </c>
      <c r="J62" s="64">
        <v>1.3</v>
      </c>
      <c r="K62" s="64">
        <v>344.79</v>
      </c>
      <c r="L62" s="64">
        <v>26.01</v>
      </c>
      <c r="M62" s="64">
        <v>78.05</v>
      </c>
      <c r="N62" s="64">
        <v>58.8</v>
      </c>
      <c r="O62" s="64">
        <v>0</v>
      </c>
      <c r="P62" s="64">
        <v>0.49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5" t="s">
        <v>972</v>
      </c>
      <c r="B63" s="64">
        <v>3.04</v>
      </c>
      <c r="C63" s="64">
        <v>12.55</v>
      </c>
      <c r="D63" s="64">
        <v>9</v>
      </c>
      <c r="E63" s="64">
        <v>4.18</v>
      </c>
      <c r="F63" s="64">
        <v>4.32</v>
      </c>
      <c r="G63" s="64">
        <v>60.17</v>
      </c>
      <c r="H63" s="64">
        <v>21.11</v>
      </c>
      <c r="I63" s="64">
        <v>4.3099999999999996</v>
      </c>
      <c r="J63" s="64">
        <v>0.96</v>
      </c>
      <c r="K63" s="64">
        <v>331.01</v>
      </c>
      <c r="L63" s="64">
        <v>25.88</v>
      </c>
      <c r="M63" s="64">
        <v>87.91</v>
      </c>
      <c r="N63" s="64">
        <v>100.2</v>
      </c>
      <c r="O63" s="64">
        <v>0</v>
      </c>
      <c r="P63" s="64">
        <v>0.51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973</v>
      </c>
      <c r="B64" s="64">
        <v>3.83</v>
      </c>
      <c r="C64" s="64">
        <v>12.34</v>
      </c>
      <c r="D64" s="64">
        <v>9.52</v>
      </c>
      <c r="E64" s="64">
        <v>3.89</v>
      </c>
      <c r="F64" s="64">
        <v>3.22</v>
      </c>
      <c r="G64" s="64">
        <v>60.17</v>
      </c>
      <c r="H64" s="64">
        <v>21.11</v>
      </c>
      <c r="I64" s="64">
        <v>3.34</v>
      </c>
      <c r="J64" s="64">
        <v>0.27</v>
      </c>
      <c r="K64" s="64">
        <v>86.17</v>
      </c>
      <c r="L64" s="64">
        <v>25.41</v>
      </c>
      <c r="M64" s="64">
        <v>92.57</v>
      </c>
      <c r="N64" s="64">
        <v>166.8</v>
      </c>
      <c r="O64" s="64">
        <v>0</v>
      </c>
      <c r="P64" s="64">
        <v>0.54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5" t="s">
        <v>974</v>
      </c>
      <c r="B65" s="64">
        <v>4.28</v>
      </c>
      <c r="C65" s="64">
        <v>12.01</v>
      </c>
      <c r="D65" s="64">
        <v>9.6999999999999993</v>
      </c>
      <c r="E65" s="64">
        <v>4.43</v>
      </c>
      <c r="F65" s="64">
        <v>4.3</v>
      </c>
      <c r="G65" s="64">
        <v>54.95</v>
      </c>
      <c r="H65" s="64">
        <v>18.72</v>
      </c>
      <c r="I65" s="64">
        <v>3.49</v>
      </c>
      <c r="J65" s="64">
        <v>0.9</v>
      </c>
      <c r="K65" s="64">
        <v>343.45</v>
      </c>
      <c r="L65" s="64">
        <v>26.45</v>
      </c>
      <c r="M65" s="64">
        <v>91.48</v>
      </c>
      <c r="N65" s="64">
        <v>165.5</v>
      </c>
      <c r="O65" s="64">
        <v>0</v>
      </c>
      <c r="P65" s="64">
        <v>0.6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975</v>
      </c>
      <c r="B66" s="64">
        <v>4.72</v>
      </c>
      <c r="C66" s="64">
        <v>12.02</v>
      </c>
      <c r="D66" s="64">
        <v>10.06</v>
      </c>
      <c r="E66" s="64">
        <v>4.62</v>
      </c>
      <c r="F66" s="64">
        <v>3.73</v>
      </c>
      <c r="G66" s="64">
        <v>54.89</v>
      </c>
      <c r="H66" s="64">
        <v>18.72</v>
      </c>
      <c r="I66" s="64">
        <v>3.53</v>
      </c>
      <c r="J66" s="64">
        <v>0.65</v>
      </c>
      <c r="K66" s="64">
        <v>109.29</v>
      </c>
      <c r="L66" s="64">
        <v>26.97</v>
      </c>
      <c r="M66" s="64">
        <v>87.66</v>
      </c>
      <c r="N66" s="64">
        <v>179.8</v>
      </c>
      <c r="O66" s="64">
        <v>0</v>
      </c>
      <c r="P66" s="64">
        <v>0.64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976</v>
      </c>
      <c r="B67" s="64">
        <v>4.62</v>
      </c>
      <c r="C67" s="64">
        <v>11.24</v>
      </c>
      <c r="D67" s="64">
        <v>9.58</v>
      </c>
      <c r="E67" s="64">
        <v>4.25</v>
      </c>
      <c r="F67" s="64">
        <v>4.58</v>
      </c>
      <c r="G67" s="64">
        <v>54.89</v>
      </c>
      <c r="H67" s="64">
        <v>18.72</v>
      </c>
      <c r="I67" s="64">
        <v>3.2</v>
      </c>
      <c r="J67" s="64">
        <v>0.19</v>
      </c>
      <c r="K67" s="64">
        <v>332.11</v>
      </c>
      <c r="L67" s="64">
        <v>27.79</v>
      </c>
      <c r="M67" s="64">
        <v>85.08</v>
      </c>
      <c r="N67" s="64">
        <v>186.8</v>
      </c>
      <c r="O67" s="64">
        <v>0</v>
      </c>
      <c r="P67" s="64">
        <v>0.74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5" t="s">
        <v>977</v>
      </c>
      <c r="B68" s="64">
        <v>5.17</v>
      </c>
      <c r="C68" s="64">
        <v>11.21</v>
      </c>
      <c r="D68" s="64">
        <v>10</v>
      </c>
      <c r="E68" s="64">
        <v>4.34</v>
      </c>
      <c r="F68" s="64">
        <v>4.5599999999999996</v>
      </c>
      <c r="G68" s="64">
        <v>54.89</v>
      </c>
      <c r="H68" s="64">
        <v>18.72</v>
      </c>
      <c r="I68" s="64">
        <v>2.48</v>
      </c>
      <c r="J68" s="64">
        <v>0.99</v>
      </c>
      <c r="K68" s="64">
        <v>339.16</v>
      </c>
      <c r="L68" s="64">
        <v>28.24</v>
      </c>
      <c r="M68" s="64">
        <v>81.209999999999994</v>
      </c>
      <c r="N68" s="64">
        <v>138.80000000000001</v>
      </c>
      <c r="O68" s="64">
        <v>0</v>
      </c>
      <c r="P68" s="64">
        <v>0.82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978</v>
      </c>
      <c r="B69" s="64">
        <v>5.86</v>
      </c>
      <c r="C69" s="64">
        <v>11.48</v>
      </c>
      <c r="D69" s="64">
        <v>10.7</v>
      </c>
      <c r="E69" s="64">
        <v>3.96</v>
      </c>
      <c r="F69" s="64">
        <v>4.49</v>
      </c>
      <c r="G69" s="64">
        <v>48.88</v>
      </c>
      <c r="H69" s="64">
        <v>21.65</v>
      </c>
      <c r="I69" s="64">
        <v>2.75</v>
      </c>
      <c r="J69" s="64">
        <v>1.07</v>
      </c>
      <c r="K69" s="64">
        <v>341.85</v>
      </c>
      <c r="L69" s="64">
        <v>28.03</v>
      </c>
      <c r="M69" s="64">
        <v>78.63</v>
      </c>
      <c r="N69" s="64">
        <v>119.6</v>
      </c>
      <c r="O69" s="64">
        <v>0</v>
      </c>
      <c r="P69" s="64">
        <v>0.73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5" t="s">
        <v>979</v>
      </c>
      <c r="B70" s="64">
        <v>6.8</v>
      </c>
      <c r="C70" s="64">
        <v>11.72</v>
      </c>
      <c r="D70" s="64">
        <v>11.58</v>
      </c>
      <c r="E70" s="64">
        <v>4.01</v>
      </c>
      <c r="F70" s="64">
        <v>4.3499999999999996</v>
      </c>
      <c r="G70" s="64">
        <v>48.88</v>
      </c>
      <c r="H70" s="64">
        <v>21.65</v>
      </c>
      <c r="I70" s="64">
        <v>3.02</v>
      </c>
      <c r="J70" s="64">
        <v>1.01</v>
      </c>
      <c r="K70" s="64">
        <v>340.41</v>
      </c>
      <c r="L70" s="64">
        <v>28.17</v>
      </c>
      <c r="M70" s="64">
        <v>77.81</v>
      </c>
      <c r="N70" s="64">
        <v>112.6</v>
      </c>
      <c r="O70" s="64">
        <v>0</v>
      </c>
      <c r="P70" s="64">
        <v>0.76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980</v>
      </c>
      <c r="B71" s="64">
        <v>7.76</v>
      </c>
      <c r="C71" s="64">
        <v>12.02</v>
      </c>
      <c r="D71" s="64">
        <v>12.5</v>
      </c>
      <c r="E71" s="64">
        <v>4.1900000000000004</v>
      </c>
      <c r="F71" s="64">
        <v>4.71</v>
      </c>
      <c r="G71" s="64">
        <v>48.88</v>
      </c>
      <c r="H71" s="64">
        <v>21.65</v>
      </c>
      <c r="I71" s="64">
        <v>2.96</v>
      </c>
      <c r="J71" s="64">
        <v>0.2</v>
      </c>
      <c r="K71" s="64">
        <v>77.64</v>
      </c>
      <c r="L71" s="64">
        <v>28.1</v>
      </c>
      <c r="M71" s="64">
        <v>77.98</v>
      </c>
      <c r="N71" s="64">
        <v>112</v>
      </c>
      <c r="O71" s="64">
        <v>0</v>
      </c>
      <c r="P71" s="64">
        <v>0.79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981</v>
      </c>
      <c r="B72" s="64">
        <v>7.98</v>
      </c>
      <c r="C72" s="64">
        <v>12.16</v>
      </c>
      <c r="D72" s="64">
        <v>12.76</v>
      </c>
      <c r="E72" s="64">
        <v>5.64</v>
      </c>
      <c r="F72" s="64">
        <v>4.87</v>
      </c>
      <c r="G72" s="64">
        <v>48.88</v>
      </c>
      <c r="H72" s="64">
        <v>21.65</v>
      </c>
      <c r="I72" s="64">
        <v>3.26</v>
      </c>
      <c r="J72" s="64">
        <v>0.57999999999999996</v>
      </c>
      <c r="K72" s="64">
        <v>350.56</v>
      </c>
      <c r="L72" s="64">
        <v>27.84</v>
      </c>
      <c r="M72" s="64">
        <v>80.16</v>
      </c>
      <c r="N72" s="64">
        <v>100.8</v>
      </c>
      <c r="O72" s="64">
        <v>0</v>
      </c>
      <c r="P72" s="64">
        <v>0.68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5" t="s">
        <v>982</v>
      </c>
      <c r="B73" s="64">
        <v>7.97</v>
      </c>
      <c r="C73" s="64">
        <v>12.11</v>
      </c>
      <c r="D73" s="64">
        <v>12.72</v>
      </c>
      <c r="E73" s="64">
        <v>5.25</v>
      </c>
      <c r="F73" s="64">
        <v>5.33</v>
      </c>
      <c r="G73" s="64">
        <v>55.16</v>
      </c>
      <c r="H73" s="64">
        <v>22.14</v>
      </c>
      <c r="I73" s="64">
        <v>2.69</v>
      </c>
      <c r="J73" s="64">
        <v>0.47</v>
      </c>
      <c r="K73" s="64">
        <v>117.75</v>
      </c>
      <c r="L73" s="64">
        <v>28.02</v>
      </c>
      <c r="M73" s="64">
        <v>77.400000000000006</v>
      </c>
      <c r="N73" s="64">
        <v>85.5</v>
      </c>
      <c r="O73" s="64">
        <v>0</v>
      </c>
      <c r="P73" s="64">
        <v>0.66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5" t="s">
        <v>983</v>
      </c>
      <c r="B74" s="64">
        <v>7.43</v>
      </c>
      <c r="C74" s="64">
        <v>11.75</v>
      </c>
      <c r="D74" s="64">
        <v>12.1</v>
      </c>
      <c r="E74" s="64">
        <v>5.26</v>
      </c>
      <c r="F74" s="64">
        <v>5.28</v>
      </c>
      <c r="G74" s="64">
        <v>55.16</v>
      </c>
      <c r="H74" s="64">
        <v>22.14</v>
      </c>
      <c r="I74" s="64">
        <v>2.59</v>
      </c>
      <c r="J74" s="64">
        <v>0.79</v>
      </c>
      <c r="K74" s="64">
        <v>108.75</v>
      </c>
      <c r="L74" s="64">
        <v>27.63</v>
      </c>
      <c r="M74" s="64">
        <v>78.2</v>
      </c>
      <c r="N74" s="64">
        <v>79.2</v>
      </c>
      <c r="O74" s="64">
        <v>0</v>
      </c>
      <c r="P74" s="64">
        <v>0.52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984</v>
      </c>
      <c r="B75" s="64">
        <v>6.83</v>
      </c>
      <c r="C75" s="64">
        <v>12.17</v>
      </c>
      <c r="D75" s="64">
        <v>11.84</v>
      </c>
      <c r="E75" s="64">
        <v>5.61</v>
      </c>
      <c r="F75" s="64">
        <v>5.15</v>
      </c>
      <c r="G75" s="64">
        <v>55.16</v>
      </c>
      <c r="H75" s="64">
        <v>22.14</v>
      </c>
      <c r="I75" s="64">
        <v>2.21</v>
      </c>
      <c r="J75" s="64">
        <v>0.76</v>
      </c>
      <c r="K75" s="64">
        <v>330.32</v>
      </c>
      <c r="L75" s="64">
        <v>27.84</v>
      </c>
      <c r="M75" s="64">
        <v>80.7</v>
      </c>
      <c r="N75" s="64">
        <v>74</v>
      </c>
      <c r="O75" s="64">
        <v>0</v>
      </c>
      <c r="P75" s="64">
        <v>0.75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985</v>
      </c>
      <c r="B76" s="64">
        <v>7</v>
      </c>
      <c r="C76" s="64">
        <v>12.94</v>
      </c>
      <c r="D76" s="64">
        <v>12.38</v>
      </c>
      <c r="E76" s="64">
        <v>5.55</v>
      </c>
      <c r="F76" s="64">
        <v>3.46</v>
      </c>
      <c r="G76" s="64">
        <v>55.16</v>
      </c>
      <c r="H76" s="64">
        <v>22.14</v>
      </c>
      <c r="I76" s="64">
        <v>2.39</v>
      </c>
      <c r="J76" s="64">
        <v>1.06</v>
      </c>
      <c r="K76" s="64">
        <v>337.96</v>
      </c>
      <c r="L76" s="64">
        <v>28.2</v>
      </c>
      <c r="M76" s="64">
        <v>80.92</v>
      </c>
      <c r="N76" s="64">
        <v>64.5</v>
      </c>
      <c r="O76" s="64">
        <v>0</v>
      </c>
      <c r="P76" s="64">
        <v>1.01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986</v>
      </c>
      <c r="B77" s="64">
        <v>7.23</v>
      </c>
      <c r="C77" s="64">
        <v>13.88</v>
      </c>
      <c r="D77" s="64">
        <v>13.05</v>
      </c>
      <c r="E77" s="64">
        <v>5.71</v>
      </c>
      <c r="F77" s="64">
        <v>4.4400000000000004</v>
      </c>
      <c r="G77" s="64">
        <v>58.25</v>
      </c>
      <c r="H77" s="64">
        <v>14.39</v>
      </c>
      <c r="I77" s="64">
        <v>4.17</v>
      </c>
      <c r="J77" s="64">
        <v>0.95</v>
      </c>
      <c r="K77" s="64">
        <v>344.11</v>
      </c>
      <c r="L77" s="64">
        <v>28.15</v>
      </c>
      <c r="M77" s="64">
        <v>78.88</v>
      </c>
      <c r="N77" s="64">
        <v>52.7</v>
      </c>
      <c r="O77" s="64">
        <v>0</v>
      </c>
      <c r="P77" s="64">
        <v>0.81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987</v>
      </c>
      <c r="B78" s="64">
        <v>8.16</v>
      </c>
      <c r="C78" s="64">
        <v>14.46</v>
      </c>
      <c r="D78" s="64">
        <v>14.1</v>
      </c>
      <c r="E78" s="64">
        <v>5.71</v>
      </c>
      <c r="F78" s="64">
        <v>2.91</v>
      </c>
      <c r="G78" s="64">
        <v>58.28</v>
      </c>
      <c r="H78" s="64">
        <v>14.39</v>
      </c>
      <c r="I78" s="64">
        <v>4.84</v>
      </c>
      <c r="J78" s="64">
        <v>0.97</v>
      </c>
      <c r="K78" s="64">
        <v>340.57</v>
      </c>
      <c r="L78" s="64">
        <v>27.08</v>
      </c>
      <c r="M78" s="64">
        <v>89.74</v>
      </c>
      <c r="N78" s="64">
        <v>37.5</v>
      </c>
      <c r="O78" s="64">
        <v>0</v>
      </c>
      <c r="P78" s="64">
        <v>0.93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5" t="s">
        <v>988</v>
      </c>
      <c r="B79" s="64">
        <v>9.9</v>
      </c>
      <c r="C79" s="64">
        <v>15.05</v>
      </c>
      <c r="D79" s="64">
        <v>15.8</v>
      </c>
      <c r="E79" s="64">
        <v>5.8</v>
      </c>
      <c r="F79" s="64">
        <v>4.33</v>
      </c>
      <c r="G79" s="64">
        <v>58.28</v>
      </c>
      <c r="H79" s="64">
        <v>14.39</v>
      </c>
      <c r="I79" s="64">
        <v>4.26</v>
      </c>
      <c r="J79" s="64">
        <v>0.68</v>
      </c>
      <c r="K79" s="64">
        <v>334.79</v>
      </c>
      <c r="L79" s="64">
        <v>26.36</v>
      </c>
      <c r="M79" s="64">
        <v>92.13</v>
      </c>
      <c r="N79" s="64">
        <v>30.7</v>
      </c>
      <c r="O79" s="64">
        <v>0</v>
      </c>
      <c r="P79" s="64">
        <v>0.92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989</v>
      </c>
      <c r="B80" s="64">
        <v>11.82</v>
      </c>
      <c r="C80" s="64">
        <v>15.65</v>
      </c>
      <c r="D80" s="64">
        <v>17.66</v>
      </c>
      <c r="E80" s="64">
        <v>5.93</v>
      </c>
      <c r="F80" s="64">
        <v>2.63</v>
      </c>
      <c r="G80" s="64">
        <v>58.28</v>
      </c>
      <c r="H80" s="64">
        <v>14.39</v>
      </c>
      <c r="I80" s="64">
        <v>4.13</v>
      </c>
      <c r="J80" s="64">
        <v>0.48</v>
      </c>
      <c r="K80" s="64">
        <v>48.11</v>
      </c>
      <c r="L80" s="64">
        <v>26.01</v>
      </c>
      <c r="M80" s="64">
        <v>92.35</v>
      </c>
      <c r="N80" s="64">
        <v>27.1</v>
      </c>
      <c r="O80" s="64">
        <v>0</v>
      </c>
      <c r="P80" s="64">
        <v>0.99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990</v>
      </c>
      <c r="B81" s="64">
        <v>12.78</v>
      </c>
      <c r="C81" s="64">
        <v>15.64</v>
      </c>
      <c r="D81" s="64">
        <v>18.420000000000002</v>
      </c>
      <c r="E81" s="64">
        <v>5.75</v>
      </c>
      <c r="F81" s="64">
        <v>4.4800000000000004</v>
      </c>
      <c r="G81" s="64">
        <v>62.11</v>
      </c>
      <c r="H81" s="64">
        <v>9.64</v>
      </c>
      <c r="I81" s="64">
        <v>4.21</v>
      </c>
      <c r="J81" s="64">
        <v>0.57999999999999996</v>
      </c>
      <c r="K81" s="64">
        <v>345.06</v>
      </c>
      <c r="L81" s="64">
        <v>25.81</v>
      </c>
      <c r="M81" s="64">
        <v>96.22</v>
      </c>
      <c r="N81" s="64">
        <v>26.5</v>
      </c>
      <c r="O81" s="64">
        <v>0</v>
      </c>
      <c r="P81" s="64">
        <v>1.04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991</v>
      </c>
      <c r="B82" s="64">
        <v>15.8</v>
      </c>
      <c r="C82" s="64">
        <v>15.74</v>
      </c>
      <c r="D82" s="64">
        <v>20.89</v>
      </c>
      <c r="E82" s="64">
        <v>6.09</v>
      </c>
      <c r="F82" s="64">
        <v>2.62</v>
      </c>
      <c r="G82" s="64">
        <v>62.15</v>
      </c>
      <c r="H82" s="64">
        <v>9.64</v>
      </c>
      <c r="I82" s="64">
        <v>3.87</v>
      </c>
      <c r="J82" s="64">
        <v>0.31</v>
      </c>
      <c r="K82" s="64">
        <v>341.76</v>
      </c>
      <c r="L82" s="64">
        <v>25.77</v>
      </c>
      <c r="M82" s="64">
        <v>94.66</v>
      </c>
      <c r="N82" s="64">
        <v>26.3</v>
      </c>
      <c r="O82" s="64">
        <v>0</v>
      </c>
      <c r="P82" s="64">
        <v>1.55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992</v>
      </c>
      <c r="B83" s="64">
        <v>19.32</v>
      </c>
      <c r="C83" s="64">
        <v>15.28</v>
      </c>
      <c r="D83" s="64">
        <v>23.47</v>
      </c>
      <c r="E83" s="64">
        <v>6.46</v>
      </c>
      <c r="F83" s="64">
        <v>3.94</v>
      </c>
      <c r="G83" s="64">
        <v>62.15</v>
      </c>
      <c r="H83" s="64">
        <v>9.64</v>
      </c>
      <c r="I83" s="64">
        <v>5.22</v>
      </c>
      <c r="J83" s="64">
        <v>1.31</v>
      </c>
      <c r="K83" s="64">
        <v>341.68</v>
      </c>
      <c r="L83" s="64">
        <v>25.96</v>
      </c>
      <c r="M83" s="64">
        <v>90.68</v>
      </c>
      <c r="N83" s="64">
        <v>25.9</v>
      </c>
      <c r="O83" s="64">
        <v>0</v>
      </c>
      <c r="P83" s="64">
        <v>1.21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993</v>
      </c>
      <c r="B84" s="64">
        <v>21.04</v>
      </c>
      <c r="C84" s="64">
        <v>14.87</v>
      </c>
      <c r="D84" s="64">
        <v>24.64</v>
      </c>
      <c r="E84" s="64">
        <v>6.72</v>
      </c>
      <c r="F84" s="64">
        <v>3.83</v>
      </c>
      <c r="G84" s="64">
        <v>62.15</v>
      </c>
      <c r="H84" s="64">
        <v>9.64</v>
      </c>
      <c r="I84" s="64">
        <v>5.95</v>
      </c>
      <c r="J84" s="64">
        <v>0.95</v>
      </c>
      <c r="K84" s="64">
        <v>342.76</v>
      </c>
      <c r="L84" s="64">
        <v>25.99</v>
      </c>
      <c r="M84" s="64">
        <v>87.74</v>
      </c>
      <c r="N84" s="64">
        <v>26.1</v>
      </c>
      <c r="O84" s="64">
        <v>0</v>
      </c>
      <c r="P84" s="64">
        <v>1.29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994</v>
      </c>
      <c r="B85" s="64">
        <v>22.2</v>
      </c>
      <c r="C85" s="64">
        <v>14.04</v>
      </c>
      <c r="D85" s="64">
        <v>25.14</v>
      </c>
      <c r="E85" s="64">
        <v>6.22</v>
      </c>
      <c r="F85" s="64">
        <v>4.55</v>
      </c>
      <c r="G85" s="64">
        <v>69.88</v>
      </c>
      <c r="H85" s="64">
        <v>6.65</v>
      </c>
      <c r="I85" s="64">
        <v>5.64</v>
      </c>
      <c r="J85" s="64">
        <v>0.34</v>
      </c>
      <c r="K85" s="64">
        <v>350.54</v>
      </c>
      <c r="L85" s="64">
        <v>25.88</v>
      </c>
      <c r="M85" s="64">
        <v>89.35</v>
      </c>
      <c r="N85" s="64">
        <v>26.1</v>
      </c>
      <c r="O85" s="64">
        <v>0</v>
      </c>
      <c r="P85" s="64">
        <v>1.18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5" t="s">
        <v>995</v>
      </c>
      <c r="B86" s="64">
        <v>22.81</v>
      </c>
      <c r="C86" s="64">
        <v>13.58</v>
      </c>
      <c r="D86" s="64">
        <v>25.39</v>
      </c>
      <c r="E86" s="64">
        <v>6.69</v>
      </c>
      <c r="F86" s="64">
        <v>4.42</v>
      </c>
      <c r="G86" s="64">
        <v>69.88</v>
      </c>
      <c r="H86" s="64">
        <v>6.65</v>
      </c>
      <c r="I86" s="64">
        <v>4.8899999999999997</v>
      </c>
      <c r="J86" s="64">
        <v>0.22</v>
      </c>
      <c r="K86" s="64">
        <v>46.2</v>
      </c>
      <c r="L86" s="64">
        <v>26.02</v>
      </c>
      <c r="M86" s="64">
        <v>89.02</v>
      </c>
      <c r="N86" s="64">
        <v>26.1</v>
      </c>
      <c r="O86" s="64">
        <v>0</v>
      </c>
      <c r="P86" s="64">
        <v>0.93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996</v>
      </c>
      <c r="B87" s="64">
        <v>22.85</v>
      </c>
      <c r="C87" s="64">
        <v>13.59</v>
      </c>
      <c r="D87" s="64">
        <v>25.43</v>
      </c>
      <c r="E87" s="64">
        <v>6.39</v>
      </c>
      <c r="F87" s="64">
        <v>4.2300000000000004</v>
      </c>
      <c r="G87" s="64">
        <v>69.88</v>
      </c>
      <c r="H87" s="64">
        <v>6.65</v>
      </c>
      <c r="I87" s="64">
        <v>4.63</v>
      </c>
      <c r="J87" s="64">
        <v>1.47</v>
      </c>
      <c r="K87" s="64">
        <v>338.34</v>
      </c>
      <c r="L87" s="64">
        <v>25.91</v>
      </c>
      <c r="M87" s="64">
        <v>94.22</v>
      </c>
      <c r="N87" s="64">
        <v>26.3</v>
      </c>
      <c r="O87" s="64">
        <v>0</v>
      </c>
      <c r="P87" s="64">
        <v>1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997</v>
      </c>
      <c r="B88" s="64">
        <v>22.84</v>
      </c>
      <c r="C88" s="64">
        <v>13.44</v>
      </c>
      <c r="D88" s="64">
        <v>25.34</v>
      </c>
      <c r="E88" s="64">
        <v>5.33</v>
      </c>
      <c r="F88" s="64">
        <v>3.84</v>
      </c>
      <c r="G88" s="64">
        <v>69.88</v>
      </c>
      <c r="H88" s="64">
        <v>6.65</v>
      </c>
      <c r="I88" s="64">
        <v>3.99</v>
      </c>
      <c r="J88" s="64">
        <v>1.17</v>
      </c>
      <c r="K88" s="64">
        <v>338.95</v>
      </c>
      <c r="L88" s="64">
        <v>25.74</v>
      </c>
      <c r="M88" s="64">
        <v>96.72</v>
      </c>
      <c r="N88" s="64">
        <v>26.2</v>
      </c>
      <c r="O88" s="64">
        <v>0</v>
      </c>
      <c r="P88" s="64">
        <v>1.05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998</v>
      </c>
      <c r="B89" s="64">
        <v>22.69</v>
      </c>
      <c r="C89" s="64">
        <v>12.93</v>
      </c>
      <c r="D89" s="64">
        <v>24.95</v>
      </c>
      <c r="E89" s="64">
        <v>6.24</v>
      </c>
      <c r="F89" s="64">
        <v>3.77</v>
      </c>
      <c r="G89" s="64">
        <v>71.930000000000007</v>
      </c>
      <c r="H89" s="64">
        <v>4.66</v>
      </c>
      <c r="I89" s="64">
        <v>5.21</v>
      </c>
      <c r="J89" s="64">
        <v>1.07</v>
      </c>
      <c r="K89" s="64">
        <v>345.04</v>
      </c>
      <c r="L89" s="64">
        <v>25.71</v>
      </c>
      <c r="M89" s="64">
        <v>96.42</v>
      </c>
      <c r="N89" s="64">
        <v>26.1</v>
      </c>
      <c r="O89" s="64">
        <v>0</v>
      </c>
      <c r="P89" s="64">
        <v>1.21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5" t="s">
        <v>999</v>
      </c>
      <c r="B90" s="64">
        <v>23.02</v>
      </c>
      <c r="C90" s="64">
        <v>12.47</v>
      </c>
      <c r="D90" s="64">
        <v>24.97</v>
      </c>
      <c r="E90" s="64">
        <v>6.07</v>
      </c>
      <c r="F90" s="64">
        <v>4.1900000000000004</v>
      </c>
      <c r="G90" s="64">
        <v>71.95</v>
      </c>
      <c r="H90" s="64">
        <v>4.66</v>
      </c>
      <c r="I90" s="64">
        <v>4.8899999999999997</v>
      </c>
      <c r="J90" s="64">
        <v>0.41</v>
      </c>
      <c r="K90" s="64">
        <v>111.78</v>
      </c>
      <c r="L90" s="64">
        <v>25.38</v>
      </c>
      <c r="M90" s="64">
        <v>99.33</v>
      </c>
      <c r="N90" s="64">
        <v>26.2</v>
      </c>
      <c r="O90" s="64">
        <v>0</v>
      </c>
      <c r="P90" s="64">
        <v>1.34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5" t="s">
        <v>1000</v>
      </c>
      <c r="B91" s="64">
        <v>23.44</v>
      </c>
      <c r="C91" s="64">
        <v>12.35</v>
      </c>
      <c r="D91" s="64">
        <v>25.25</v>
      </c>
      <c r="E91" s="64">
        <v>6.11</v>
      </c>
      <c r="F91" s="64">
        <v>4.38</v>
      </c>
      <c r="G91" s="64">
        <v>71.95</v>
      </c>
      <c r="H91" s="64">
        <v>4.66</v>
      </c>
      <c r="I91" s="64">
        <v>4.6100000000000003</v>
      </c>
      <c r="J91" s="64">
        <v>0.19</v>
      </c>
      <c r="K91" s="64">
        <v>256.32</v>
      </c>
      <c r="L91" s="64">
        <v>25.13</v>
      </c>
      <c r="M91" s="64">
        <v>101.62</v>
      </c>
      <c r="N91" s="64">
        <v>26.1</v>
      </c>
      <c r="O91" s="64">
        <v>0</v>
      </c>
      <c r="P91" s="64">
        <v>1.25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1001</v>
      </c>
      <c r="B92" s="64">
        <v>23.55</v>
      </c>
      <c r="C92" s="64">
        <v>13.05</v>
      </c>
      <c r="D92" s="64">
        <v>25.7</v>
      </c>
      <c r="E92" s="64">
        <v>6.15</v>
      </c>
      <c r="F92" s="64">
        <v>4.3600000000000003</v>
      </c>
      <c r="G92" s="64">
        <v>71.95</v>
      </c>
      <c r="H92" s="64">
        <v>4.66</v>
      </c>
      <c r="I92" s="64">
        <v>5.0599999999999996</v>
      </c>
      <c r="J92" s="64">
        <v>0.25</v>
      </c>
      <c r="K92" s="64">
        <v>52.15</v>
      </c>
      <c r="L92" s="64">
        <v>25</v>
      </c>
      <c r="M92" s="64">
        <v>102.59</v>
      </c>
      <c r="N92" s="64">
        <v>26.1</v>
      </c>
      <c r="O92" s="64">
        <v>0</v>
      </c>
      <c r="P92" s="64">
        <v>1.31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1002</v>
      </c>
      <c r="B93" s="64">
        <v>23.91</v>
      </c>
      <c r="C93" s="64">
        <v>12.55</v>
      </c>
      <c r="D93" s="64">
        <v>25.73</v>
      </c>
      <c r="E93" s="64">
        <v>6.35</v>
      </c>
      <c r="F93" s="64">
        <v>4.4000000000000004</v>
      </c>
      <c r="G93" s="64">
        <v>76.930000000000007</v>
      </c>
      <c r="H93" s="64">
        <v>3.33</v>
      </c>
      <c r="I93" s="64">
        <v>5.46</v>
      </c>
      <c r="J93" s="64">
        <v>0.44</v>
      </c>
      <c r="K93" s="64">
        <v>87.8</v>
      </c>
      <c r="L93" s="64">
        <v>24.92</v>
      </c>
      <c r="M93" s="64">
        <v>102.65</v>
      </c>
      <c r="N93" s="64">
        <v>26.1</v>
      </c>
      <c r="O93" s="64">
        <v>0</v>
      </c>
      <c r="P93" s="64">
        <v>1.27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1003</v>
      </c>
      <c r="B94" s="64">
        <v>24.26</v>
      </c>
      <c r="C94" s="64">
        <v>12.93</v>
      </c>
      <c r="D94" s="64">
        <v>26.21</v>
      </c>
      <c r="E94" s="64">
        <v>6.71</v>
      </c>
      <c r="F94" s="64">
        <v>3.92</v>
      </c>
      <c r="G94" s="64">
        <v>76.930000000000007</v>
      </c>
      <c r="H94" s="64">
        <v>3.33</v>
      </c>
      <c r="I94" s="64">
        <v>5.46</v>
      </c>
      <c r="J94" s="64">
        <v>0.18</v>
      </c>
      <c r="K94" s="64">
        <v>332.77</v>
      </c>
      <c r="L94" s="64">
        <v>25.1</v>
      </c>
      <c r="M94" s="64">
        <v>102.62</v>
      </c>
      <c r="N94" s="64">
        <v>25.9</v>
      </c>
      <c r="O94" s="64">
        <v>0</v>
      </c>
      <c r="P94" s="64">
        <v>1.41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1004</v>
      </c>
      <c r="B95" s="64">
        <v>26.42</v>
      </c>
      <c r="C95" s="64">
        <v>12.52</v>
      </c>
      <c r="D95" s="64">
        <v>27.73</v>
      </c>
      <c r="E95" s="64">
        <v>6.27</v>
      </c>
      <c r="F95" s="64">
        <v>4.41</v>
      </c>
      <c r="G95" s="64">
        <v>76.930000000000007</v>
      </c>
      <c r="H95" s="64">
        <v>3.33</v>
      </c>
      <c r="I95" s="64">
        <v>5.86</v>
      </c>
      <c r="J95" s="64">
        <v>0.1</v>
      </c>
      <c r="K95" s="64">
        <v>347.52</v>
      </c>
      <c r="L95" s="64">
        <v>25.06</v>
      </c>
      <c r="M95" s="64">
        <v>102.52</v>
      </c>
      <c r="N95" s="64">
        <v>26.1</v>
      </c>
      <c r="O95" s="64">
        <v>0</v>
      </c>
      <c r="P95" s="64">
        <v>1.25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1005</v>
      </c>
      <c r="B96" s="64">
        <v>27.87</v>
      </c>
      <c r="C96" s="64">
        <v>12.82</v>
      </c>
      <c r="D96" s="64">
        <v>29.05</v>
      </c>
      <c r="E96" s="64">
        <v>6.64</v>
      </c>
      <c r="F96" s="64">
        <v>3.77</v>
      </c>
      <c r="G96" s="64">
        <v>76.930000000000007</v>
      </c>
      <c r="H96" s="64">
        <v>3.33</v>
      </c>
      <c r="I96" s="64">
        <v>5.99</v>
      </c>
      <c r="J96" s="64">
        <v>0.59</v>
      </c>
      <c r="K96" s="64">
        <v>342.83</v>
      </c>
      <c r="L96" s="64">
        <v>24.96</v>
      </c>
      <c r="M96" s="64">
        <v>102.67</v>
      </c>
      <c r="N96" s="64">
        <v>26.1</v>
      </c>
      <c r="O96" s="64">
        <v>0</v>
      </c>
      <c r="P96" s="64">
        <v>1.71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1006</v>
      </c>
      <c r="B97" s="64">
        <v>29.75</v>
      </c>
      <c r="C97" s="64">
        <v>12.17</v>
      </c>
      <c r="D97" s="64">
        <v>30.22</v>
      </c>
      <c r="E97" s="64">
        <v>6.74</v>
      </c>
      <c r="F97" s="64">
        <v>4.68</v>
      </c>
      <c r="G97" s="64">
        <v>85.25</v>
      </c>
      <c r="H97" s="64">
        <v>3.22</v>
      </c>
      <c r="I97" s="64">
        <v>5.91</v>
      </c>
      <c r="J97" s="64">
        <v>0.23</v>
      </c>
      <c r="K97" s="64">
        <v>152.78</v>
      </c>
      <c r="L97" s="64">
        <v>24.93</v>
      </c>
      <c r="M97" s="64">
        <v>102.65</v>
      </c>
      <c r="N97" s="64">
        <v>26.1</v>
      </c>
      <c r="O97" s="64">
        <v>0</v>
      </c>
      <c r="P97" s="64">
        <v>1.3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1007</v>
      </c>
      <c r="B98" s="64">
        <v>29.44</v>
      </c>
      <c r="C98" s="64">
        <v>12.04</v>
      </c>
      <c r="D98" s="64">
        <v>29.9</v>
      </c>
      <c r="E98" s="64">
        <v>6.68</v>
      </c>
      <c r="F98" s="64">
        <v>3.06</v>
      </c>
      <c r="G98" s="64">
        <v>85.25</v>
      </c>
      <c r="H98" s="64">
        <v>3.22</v>
      </c>
      <c r="I98" s="64">
        <v>6.26</v>
      </c>
      <c r="J98" s="64">
        <v>0.5</v>
      </c>
      <c r="K98" s="64">
        <v>157.59</v>
      </c>
      <c r="L98" s="64">
        <v>24.88</v>
      </c>
      <c r="M98" s="64">
        <v>102.2</v>
      </c>
      <c r="N98" s="64">
        <v>26.1</v>
      </c>
      <c r="O98" s="64">
        <v>0</v>
      </c>
      <c r="P98" s="64">
        <v>0.96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1008</v>
      </c>
      <c r="B99" s="64">
        <v>27.98</v>
      </c>
      <c r="C99" s="64">
        <v>11.14</v>
      </c>
      <c r="D99" s="64">
        <v>28.26</v>
      </c>
      <c r="E99" s="64">
        <v>6.08</v>
      </c>
      <c r="F99" s="64">
        <v>3.94</v>
      </c>
      <c r="G99" s="64">
        <v>85.25</v>
      </c>
      <c r="H99" s="64">
        <v>3.22</v>
      </c>
      <c r="I99" s="64">
        <v>5.67</v>
      </c>
      <c r="J99" s="64">
        <v>0.25</v>
      </c>
      <c r="K99" s="64">
        <v>154.85</v>
      </c>
      <c r="L99" s="64">
        <v>24.8</v>
      </c>
      <c r="M99" s="64">
        <v>100.71</v>
      </c>
      <c r="N99" s="64">
        <v>26.2</v>
      </c>
      <c r="O99" s="64">
        <v>0</v>
      </c>
      <c r="P99" s="64">
        <v>1.01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1009</v>
      </c>
      <c r="B100" s="64">
        <v>26.61</v>
      </c>
      <c r="C100" s="64">
        <v>10.07</v>
      </c>
      <c r="D100" s="64">
        <v>26.6</v>
      </c>
      <c r="E100" s="64">
        <v>5.59</v>
      </c>
      <c r="F100" s="64">
        <v>3.18</v>
      </c>
      <c r="G100" s="64">
        <v>85.25</v>
      </c>
      <c r="H100" s="64">
        <v>3.22</v>
      </c>
      <c r="I100" s="64">
        <v>4.67</v>
      </c>
      <c r="J100" s="64">
        <v>0.48</v>
      </c>
      <c r="K100" s="64">
        <v>150.54</v>
      </c>
      <c r="L100" s="64">
        <v>24.7</v>
      </c>
      <c r="M100" s="64">
        <v>101.05</v>
      </c>
      <c r="N100" s="64">
        <v>26.2</v>
      </c>
      <c r="O100" s="64">
        <v>0</v>
      </c>
      <c r="P100" s="64">
        <v>0.65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1010</v>
      </c>
      <c r="B101" s="64">
        <v>25.48</v>
      </c>
      <c r="C101" s="64">
        <v>8.92</v>
      </c>
      <c r="D101" s="64">
        <v>25.09</v>
      </c>
      <c r="E101" s="64">
        <v>5.53</v>
      </c>
      <c r="F101" s="64">
        <v>4.12</v>
      </c>
      <c r="G101" s="64">
        <v>77.2</v>
      </c>
      <c r="H101" s="64">
        <v>2.25</v>
      </c>
      <c r="I101" s="64">
        <v>3.51</v>
      </c>
      <c r="J101" s="64">
        <v>0.28000000000000003</v>
      </c>
      <c r="K101" s="64">
        <v>211.08</v>
      </c>
      <c r="L101" s="64">
        <v>24.55</v>
      </c>
      <c r="M101" s="64">
        <v>102.5</v>
      </c>
      <c r="N101" s="64">
        <v>26.2</v>
      </c>
      <c r="O101" s="64">
        <v>0</v>
      </c>
      <c r="P101" s="64">
        <v>0.63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5" t="s">
        <v>1011</v>
      </c>
      <c r="B102" s="64">
        <v>24.71</v>
      </c>
      <c r="C102" s="64">
        <v>8.19</v>
      </c>
      <c r="D102" s="64">
        <v>24.09</v>
      </c>
      <c r="E102" s="64">
        <v>5.39</v>
      </c>
      <c r="F102" s="64">
        <v>4</v>
      </c>
      <c r="G102" s="64">
        <v>77.2</v>
      </c>
      <c r="H102" s="64">
        <v>2.25</v>
      </c>
      <c r="I102" s="64">
        <v>2.2400000000000002</v>
      </c>
      <c r="J102" s="64">
        <v>0.52</v>
      </c>
      <c r="K102" s="64">
        <v>146.4</v>
      </c>
      <c r="L102" s="64">
        <v>24.48</v>
      </c>
      <c r="M102" s="64">
        <v>101.75</v>
      </c>
      <c r="N102" s="64">
        <v>26.1</v>
      </c>
      <c r="O102" s="64">
        <v>0</v>
      </c>
      <c r="P102" s="64">
        <v>0.56999999999999995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5" t="s">
        <v>1012</v>
      </c>
      <c r="B103" s="64">
        <v>23.84</v>
      </c>
      <c r="C103" s="64">
        <v>7.64</v>
      </c>
      <c r="D103" s="64">
        <v>23.11</v>
      </c>
      <c r="E103" s="64">
        <v>5.34</v>
      </c>
      <c r="F103" s="64">
        <v>4.09</v>
      </c>
      <c r="G103" s="64">
        <v>77.2</v>
      </c>
      <c r="H103" s="64">
        <v>2.25</v>
      </c>
      <c r="I103" s="64">
        <v>1.93</v>
      </c>
      <c r="J103" s="64">
        <v>0.5</v>
      </c>
      <c r="K103" s="64">
        <v>151.55000000000001</v>
      </c>
      <c r="L103" s="64">
        <v>24.33</v>
      </c>
      <c r="M103" s="64">
        <v>101.01</v>
      </c>
      <c r="N103" s="64">
        <v>26.1</v>
      </c>
      <c r="O103" s="64">
        <v>0</v>
      </c>
      <c r="P103" s="64">
        <v>0.54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1013</v>
      </c>
      <c r="B104" s="64">
        <v>23.01</v>
      </c>
      <c r="C104" s="64">
        <v>7.29</v>
      </c>
      <c r="D104" s="64">
        <v>22.26</v>
      </c>
      <c r="E104" s="64">
        <v>4.01</v>
      </c>
      <c r="F104" s="64">
        <v>3.95</v>
      </c>
      <c r="G104" s="64">
        <v>77.2</v>
      </c>
      <c r="H104" s="64">
        <v>2.25</v>
      </c>
      <c r="I104" s="64">
        <v>1.86</v>
      </c>
      <c r="J104" s="64">
        <v>0.42</v>
      </c>
      <c r="K104" s="64">
        <v>263.39999999999998</v>
      </c>
      <c r="L104" s="64">
        <v>24.21</v>
      </c>
      <c r="M104" s="64">
        <v>101.76</v>
      </c>
      <c r="N104" s="64">
        <v>26.2</v>
      </c>
      <c r="O104" s="64">
        <v>0</v>
      </c>
      <c r="P104" s="64">
        <v>0.53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2.74</v>
      </c>
      <c r="C106" s="67">
        <f>MIN(C9:C104)</f>
        <v>6.08</v>
      </c>
      <c r="D106" s="67">
        <f t="shared" ref="D106:Q106" si="0">MIN(D9:D104)</f>
        <v>5.9</v>
      </c>
      <c r="E106" s="67">
        <f t="shared" si="0"/>
        <v>3.89</v>
      </c>
      <c r="F106" s="67">
        <f t="shared" si="0"/>
        <v>2.62</v>
      </c>
      <c r="G106" s="67">
        <f t="shared" si="0"/>
        <v>43.95</v>
      </c>
      <c r="H106" s="67">
        <f t="shared" si="0"/>
        <v>2.25</v>
      </c>
      <c r="I106" s="67">
        <f t="shared" si="0"/>
        <v>1.08</v>
      </c>
      <c r="J106" s="67">
        <f t="shared" si="0"/>
        <v>0.1</v>
      </c>
      <c r="K106" s="67">
        <f t="shared" si="0"/>
        <v>46.2</v>
      </c>
      <c r="L106" s="67">
        <f t="shared" si="0"/>
        <v>22.94</v>
      </c>
      <c r="M106" s="67">
        <f t="shared" si="0"/>
        <v>63.17</v>
      </c>
      <c r="N106" s="67">
        <f t="shared" si="0"/>
        <v>25.9</v>
      </c>
      <c r="O106" s="67">
        <f t="shared" si="0"/>
        <v>0</v>
      </c>
      <c r="P106" s="67">
        <f t="shared" si="0"/>
        <v>0.35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29.75</v>
      </c>
      <c r="C107" s="66">
        <f t="shared" ref="C107:Q107" si="1">MAX(C9:C104)</f>
        <v>15.74</v>
      </c>
      <c r="D107" s="66">
        <f t="shared" si="1"/>
        <v>30.22</v>
      </c>
      <c r="E107" s="66">
        <f t="shared" si="1"/>
        <v>6.74</v>
      </c>
      <c r="F107" s="66">
        <f t="shared" si="1"/>
        <v>5.33</v>
      </c>
      <c r="G107" s="66">
        <f t="shared" si="1"/>
        <v>85.25</v>
      </c>
      <c r="H107" s="66">
        <f t="shared" si="1"/>
        <v>29.04</v>
      </c>
      <c r="I107" s="66">
        <f t="shared" si="1"/>
        <v>6.26</v>
      </c>
      <c r="J107" s="66">
        <f t="shared" si="1"/>
        <v>2.58</v>
      </c>
      <c r="K107" s="66">
        <f t="shared" si="1"/>
        <v>356.39</v>
      </c>
      <c r="L107" s="66">
        <f t="shared" si="1"/>
        <v>32.75</v>
      </c>
      <c r="M107" s="66">
        <f t="shared" si="1"/>
        <v>102.7</v>
      </c>
      <c r="N107" s="66">
        <f t="shared" si="1"/>
        <v>719.8</v>
      </c>
      <c r="O107" s="66">
        <f t="shared" si="1"/>
        <v>0</v>
      </c>
      <c r="P107" s="66">
        <f t="shared" si="1"/>
        <v>1.71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9.8656250000000032</v>
      </c>
      <c r="C108" s="67">
        <f t="shared" ref="C108:Q108" si="2">AVERAGE(C9:C104)</f>
        <v>10.166249999999998</v>
      </c>
      <c r="D108" s="67">
        <f t="shared" si="2"/>
        <v>13.223229166666664</v>
      </c>
      <c r="E108" s="67">
        <f t="shared" si="2"/>
        <v>5.3708333333333309</v>
      </c>
      <c r="F108" s="67">
        <f t="shared" si="2"/>
        <v>4.1569791666666669</v>
      </c>
      <c r="G108" s="67">
        <f t="shared" si="2"/>
        <v>58.131041666666654</v>
      </c>
      <c r="H108" s="67">
        <f t="shared" si="2"/>
        <v>18.582500000000021</v>
      </c>
      <c r="I108" s="67">
        <f t="shared" si="2"/>
        <v>3.5914583333333336</v>
      </c>
      <c r="J108" s="67">
        <f t="shared" si="2"/>
        <v>0.64812499999999995</v>
      </c>
      <c r="K108" s="67">
        <f t="shared" si="2"/>
        <v>226.26468750000006</v>
      </c>
      <c r="L108" s="67">
        <f t="shared" si="2"/>
        <v>26.12885416666667</v>
      </c>
      <c r="M108" s="67">
        <f t="shared" si="2"/>
        <v>90.847291666666649</v>
      </c>
      <c r="N108" s="67">
        <f t="shared" si="2"/>
        <v>128.18541666666673</v>
      </c>
      <c r="O108" s="67">
        <f t="shared" si="2"/>
        <v>0</v>
      </c>
      <c r="P108" s="67">
        <f t="shared" si="2"/>
        <v>0.6602083333333334</v>
      </c>
      <c r="Q108" s="67">
        <f t="shared" si="2"/>
        <v>9.6107291666666743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8.4663436229641196</v>
      </c>
      <c r="C109" s="67">
        <f t="shared" ref="C109:Q109" si="3">STDEV(C9:C104)</f>
        <v>2.6664426331330455</v>
      </c>
      <c r="D109" s="67">
        <f t="shared" si="3"/>
        <v>7.4663739518614438</v>
      </c>
      <c r="E109" s="67">
        <f t="shared" si="3"/>
        <v>0.74795674891375874</v>
      </c>
      <c r="F109" s="67">
        <f t="shared" si="3"/>
        <v>0.55541946176630319</v>
      </c>
      <c r="G109" s="67">
        <f t="shared" si="3"/>
        <v>10.678784030834057</v>
      </c>
      <c r="H109" s="67">
        <f t="shared" si="3"/>
        <v>8.5565395120371246</v>
      </c>
      <c r="I109" s="67">
        <f t="shared" si="3"/>
        <v>1.3613808618006902</v>
      </c>
      <c r="J109" s="67">
        <f t="shared" si="3"/>
        <v>0.45729942396409679</v>
      </c>
      <c r="K109" s="67">
        <f t="shared" si="3"/>
        <v>108.08927916021537</v>
      </c>
      <c r="L109" s="67">
        <f t="shared" si="3"/>
        <v>2.5204243042086416</v>
      </c>
      <c r="M109" s="67">
        <f t="shared" si="3"/>
        <v>12.154902972542796</v>
      </c>
      <c r="N109" s="67">
        <f t="shared" si="3"/>
        <v>170.22211927464329</v>
      </c>
      <c r="O109" s="67">
        <f t="shared" si="3"/>
        <v>0</v>
      </c>
      <c r="P109" s="67">
        <f t="shared" si="3"/>
        <v>0.32619328840966161</v>
      </c>
      <c r="Q109" s="67">
        <f t="shared" si="3"/>
        <v>9.2046660554842129E-3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S23" sqref="S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1014</v>
      </c>
      <c r="B9" s="64">
        <v>22.22</v>
      </c>
      <c r="C9" s="64">
        <v>7.09</v>
      </c>
      <c r="D9" s="64">
        <v>21.52</v>
      </c>
      <c r="E9" s="64">
        <v>4.6900000000000004</v>
      </c>
      <c r="F9" s="64">
        <v>3.85</v>
      </c>
      <c r="G9" s="64">
        <v>52.8</v>
      </c>
      <c r="H9" s="64">
        <v>1.58</v>
      </c>
      <c r="I9" s="64">
        <v>2.16</v>
      </c>
      <c r="J9" s="64">
        <v>0.39</v>
      </c>
      <c r="K9" s="64">
        <v>306.77</v>
      </c>
      <c r="L9" s="64">
        <v>24.07</v>
      </c>
      <c r="M9" s="64">
        <v>101.75</v>
      </c>
      <c r="N9" s="64">
        <v>26.1</v>
      </c>
      <c r="O9" s="64">
        <v>0</v>
      </c>
      <c r="P9" s="64">
        <v>0.55000000000000004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1015</v>
      </c>
      <c r="B10" s="64">
        <v>21.73</v>
      </c>
      <c r="C10" s="64">
        <v>7</v>
      </c>
      <c r="D10" s="64">
        <v>20.8</v>
      </c>
      <c r="E10" s="64">
        <v>5.19</v>
      </c>
      <c r="F10" s="64">
        <v>3.77</v>
      </c>
      <c r="G10" s="64">
        <v>52.8</v>
      </c>
      <c r="H10" s="64">
        <v>1.58</v>
      </c>
      <c r="I10" s="64">
        <v>1.79</v>
      </c>
      <c r="J10" s="64">
        <v>0.46</v>
      </c>
      <c r="K10" s="64">
        <v>336.92</v>
      </c>
      <c r="L10" s="64">
        <v>23.74</v>
      </c>
      <c r="M10" s="64">
        <v>102.65</v>
      </c>
      <c r="N10" s="64">
        <v>26.2</v>
      </c>
      <c r="O10" s="64">
        <v>0</v>
      </c>
      <c r="P10" s="64">
        <v>0.71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1016</v>
      </c>
      <c r="B11" s="64">
        <v>21.24</v>
      </c>
      <c r="C11" s="64">
        <v>6.54</v>
      </c>
      <c r="D11" s="64">
        <v>20.440000000000001</v>
      </c>
      <c r="E11" s="64">
        <v>4.79</v>
      </c>
      <c r="F11" s="64">
        <v>3.72</v>
      </c>
      <c r="G11" s="64">
        <v>52.8</v>
      </c>
      <c r="H11" s="64">
        <v>1.58</v>
      </c>
      <c r="I11" s="64">
        <v>1.89</v>
      </c>
      <c r="J11" s="64">
        <v>0.42</v>
      </c>
      <c r="K11" s="64">
        <v>130.25</v>
      </c>
      <c r="L11" s="64">
        <v>23.7</v>
      </c>
      <c r="M11" s="64">
        <v>102.39</v>
      </c>
      <c r="N11" s="64">
        <v>26.2</v>
      </c>
      <c r="O11" s="64">
        <v>0</v>
      </c>
      <c r="P11" s="64">
        <v>0.51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1017</v>
      </c>
      <c r="B12" s="64">
        <v>20.61</v>
      </c>
      <c r="C12" s="64">
        <v>6.82</v>
      </c>
      <c r="D12" s="64">
        <v>20.09</v>
      </c>
      <c r="E12" s="64">
        <v>4.53</v>
      </c>
      <c r="F12" s="64">
        <v>3.87</v>
      </c>
      <c r="G12" s="64">
        <v>52.8</v>
      </c>
      <c r="H12" s="64">
        <v>1.58</v>
      </c>
      <c r="I12" s="64">
        <v>1.9</v>
      </c>
      <c r="J12" s="64">
        <v>0.4</v>
      </c>
      <c r="K12" s="64">
        <v>19.2</v>
      </c>
      <c r="L12" s="64">
        <v>23.73</v>
      </c>
      <c r="M12" s="64">
        <v>102.66</v>
      </c>
      <c r="N12" s="64">
        <v>26.1</v>
      </c>
      <c r="O12" s="64">
        <v>0</v>
      </c>
      <c r="P12" s="64">
        <v>0.81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1018</v>
      </c>
      <c r="B13" s="64">
        <v>20.29</v>
      </c>
      <c r="C13" s="64">
        <v>7.61</v>
      </c>
      <c r="D13" s="64">
        <v>20.25</v>
      </c>
      <c r="E13" s="64">
        <v>4.8499999999999996</v>
      </c>
      <c r="F13" s="64">
        <v>3.5</v>
      </c>
      <c r="G13" s="64">
        <v>43.81</v>
      </c>
      <c r="H13" s="64">
        <v>4.34</v>
      </c>
      <c r="I13" s="64">
        <v>1.95</v>
      </c>
      <c r="J13" s="64">
        <v>0.08</v>
      </c>
      <c r="K13" s="64">
        <v>114.61</v>
      </c>
      <c r="L13" s="64">
        <v>23.73</v>
      </c>
      <c r="M13" s="64">
        <v>102.66</v>
      </c>
      <c r="N13" s="64">
        <v>26.1</v>
      </c>
      <c r="O13" s="64">
        <v>0</v>
      </c>
      <c r="P13" s="64">
        <v>0.69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5" t="s">
        <v>1019</v>
      </c>
      <c r="B14" s="64">
        <v>19.73</v>
      </c>
      <c r="C14" s="64">
        <v>7.28</v>
      </c>
      <c r="D14" s="64">
        <v>19.63</v>
      </c>
      <c r="E14" s="64">
        <v>4.68</v>
      </c>
      <c r="F14" s="64">
        <v>4.41</v>
      </c>
      <c r="G14" s="64">
        <v>43.71</v>
      </c>
      <c r="H14" s="64">
        <v>4.34</v>
      </c>
      <c r="I14" s="64">
        <v>4.6900000000000004</v>
      </c>
      <c r="J14" s="64">
        <v>0.49</v>
      </c>
      <c r="K14" s="64">
        <v>309.36</v>
      </c>
      <c r="L14" s="64">
        <v>23.69</v>
      </c>
      <c r="M14" s="64">
        <v>102.69</v>
      </c>
      <c r="N14" s="64">
        <v>26.1</v>
      </c>
      <c r="O14" s="64">
        <v>0</v>
      </c>
      <c r="P14" s="64">
        <v>0.88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1020</v>
      </c>
      <c r="B15" s="64">
        <v>19.18</v>
      </c>
      <c r="C15" s="64">
        <v>7.39</v>
      </c>
      <c r="D15" s="64">
        <v>19.239999999999998</v>
      </c>
      <c r="E15" s="64">
        <v>4.47</v>
      </c>
      <c r="F15" s="64">
        <v>2.42</v>
      </c>
      <c r="G15" s="64">
        <v>43.71</v>
      </c>
      <c r="H15" s="64">
        <v>4.34</v>
      </c>
      <c r="I15" s="64">
        <v>4.1500000000000004</v>
      </c>
      <c r="J15" s="64">
        <v>0.3</v>
      </c>
      <c r="K15" s="64">
        <v>235.9</v>
      </c>
      <c r="L15" s="64">
        <v>23.65</v>
      </c>
      <c r="M15" s="64">
        <v>102.7</v>
      </c>
      <c r="N15" s="64">
        <v>25.9</v>
      </c>
      <c r="O15" s="64">
        <v>0</v>
      </c>
      <c r="P15" s="64">
        <v>0.74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1021</v>
      </c>
      <c r="B16" s="64">
        <v>18.41</v>
      </c>
      <c r="C16" s="64">
        <v>7.27</v>
      </c>
      <c r="D16" s="64">
        <v>18.559999999999999</v>
      </c>
      <c r="E16" s="64">
        <v>4.83</v>
      </c>
      <c r="F16" s="64">
        <v>3.82</v>
      </c>
      <c r="G16" s="64">
        <v>43.71</v>
      </c>
      <c r="H16" s="64">
        <v>4.34</v>
      </c>
      <c r="I16" s="64">
        <v>4.41</v>
      </c>
      <c r="J16" s="64">
        <v>0.13</v>
      </c>
      <c r="K16" s="64">
        <v>71.83</v>
      </c>
      <c r="L16" s="64">
        <v>23.8</v>
      </c>
      <c r="M16" s="64">
        <v>102.68</v>
      </c>
      <c r="N16" s="64">
        <v>26.1</v>
      </c>
      <c r="O16" s="64">
        <v>0</v>
      </c>
      <c r="P16" s="64">
        <v>0.76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1022</v>
      </c>
      <c r="B17" s="64">
        <v>17.809999999999999</v>
      </c>
      <c r="C17" s="64">
        <v>6.89</v>
      </c>
      <c r="D17" s="64">
        <v>17.88</v>
      </c>
      <c r="E17" s="64">
        <v>4.51</v>
      </c>
      <c r="F17" s="64">
        <v>3.26</v>
      </c>
      <c r="G17" s="64">
        <v>45.99</v>
      </c>
      <c r="H17" s="64">
        <v>5.44</v>
      </c>
      <c r="I17" s="64">
        <v>4.3499999999999996</v>
      </c>
      <c r="J17" s="64">
        <v>0.13</v>
      </c>
      <c r="K17" s="64">
        <v>1.27</v>
      </c>
      <c r="L17" s="64">
        <v>23.78</v>
      </c>
      <c r="M17" s="64">
        <v>102.68</v>
      </c>
      <c r="N17" s="64">
        <v>26.1</v>
      </c>
      <c r="O17" s="64">
        <v>0</v>
      </c>
      <c r="P17" s="64">
        <v>0.71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1023</v>
      </c>
      <c r="B18" s="64">
        <v>17.13</v>
      </c>
      <c r="C18" s="64">
        <v>6.89</v>
      </c>
      <c r="D18" s="64">
        <v>17.34</v>
      </c>
      <c r="E18" s="64">
        <v>4.53</v>
      </c>
      <c r="F18" s="64">
        <v>3.67</v>
      </c>
      <c r="G18" s="64">
        <v>45.99</v>
      </c>
      <c r="H18" s="64">
        <v>5.44</v>
      </c>
      <c r="I18" s="64">
        <v>3.16</v>
      </c>
      <c r="J18" s="64">
        <v>0.18</v>
      </c>
      <c r="K18" s="64">
        <v>184.19</v>
      </c>
      <c r="L18" s="64">
        <v>23.52</v>
      </c>
      <c r="M18" s="64">
        <v>102.7</v>
      </c>
      <c r="N18" s="64">
        <v>26.1</v>
      </c>
      <c r="O18" s="64">
        <v>0</v>
      </c>
      <c r="P18" s="64">
        <v>0.69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5" t="s">
        <v>1024</v>
      </c>
      <c r="B19" s="64">
        <v>16.46</v>
      </c>
      <c r="C19" s="64">
        <v>6.41</v>
      </c>
      <c r="D19" s="64">
        <v>16.55</v>
      </c>
      <c r="E19" s="64">
        <v>4.58</v>
      </c>
      <c r="F19" s="64">
        <v>3.65</v>
      </c>
      <c r="G19" s="64">
        <v>45.99</v>
      </c>
      <c r="H19" s="64">
        <v>5.44</v>
      </c>
      <c r="I19" s="64">
        <v>4.3099999999999996</v>
      </c>
      <c r="J19" s="64">
        <v>0.2</v>
      </c>
      <c r="K19" s="64">
        <v>307.14</v>
      </c>
      <c r="L19" s="64">
        <v>23.52</v>
      </c>
      <c r="M19" s="64">
        <v>102.68</v>
      </c>
      <c r="N19" s="64">
        <v>26.1</v>
      </c>
      <c r="O19" s="64">
        <v>0</v>
      </c>
      <c r="P19" s="64">
        <v>0.65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1025</v>
      </c>
      <c r="B20" s="64">
        <v>15.61</v>
      </c>
      <c r="C20" s="64">
        <v>6.72</v>
      </c>
      <c r="D20" s="64">
        <v>16.03</v>
      </c>
      <c r="E20" s="64">
        <v>4.5999999999999996</v>
      </c>
      <c r="F20" s="64">
        <v>3.19</v>
      </c>
      <c r="G20" s="64">
        <v>45.99</v>
      </c>
      <c r="H20" s="64">
        <v>5.44</v>
      </c>
      <c r="I20" s="64">
        <v>2.98</v>
      </c>
      <c r="J20" s="64">
        <v>0.47</v>
      </c>
      <c r="K20" s="64">
        <v>203.1</v>
      </c>
      <c r="L20" s="64">
        <v>23.65</v>
      </c>
      <c r="M20" s="64">
        <v>102.67</v>
      </c>
      <c r="N20" s="64">
        <v>26.1</v>
      </c>
      <c r="O20" s="64">
        <v>0</v>
      </c>
      <c r="P20" s="64">
        <v>0.6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1026</v>
      </c>
      <c r="B21" s="64">
        <v>14.99</v>
      </c>
      <c r="C21" s="64">
        <v>6.28</v>
      </c>
      <c r="D21" s="64">
        <v>15.3</v>
      </c>
      <c r="E21" s="64">
        <v>4.6399999999999997</v>
      </c>
      <c r="F21" s="64">
        <v>2.95</v>
      </c>
      <c r="G21" s="64">
        <v>47.32</v>
      </c>
      <c r="H21" s="64">
        <v>3.88</v>
      </c>
      <c r="I21" s="64">
        <v>4.18</v>
      </c>
      <c r="J21" s="64">
        <v>0.55000000000000004</v>
      </c>
      <c r="K21" s="64">
        <v>158.22</v>
      </c>
      <c r="L21" s="64">
        <v>23.59</v>
      </c>
      <c r="M21" s="64">
        <v>102.68</v>
      </c>
      <c r="N21" s="64">
        <v>26</v>
      </c>
      <c r="O21" s="64">
        <v>0</v>
      </c>
      <c r="P21" s="64">
        <v>0.53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1027</v>
      </c>
      <c r="B22" s="64">
        <v>14.76</v>
      </c>
      <c r="C22" s="64">
        <v>5.95</v>
      </c>
      <c r="D22" s="64">
        <v>14.94</v>
      </c>
      <c r="E22" s="64">
        <v>4.5999999999999996</v>
      </c>
      <c r="F22" s="64">
        <v>3.56</v>
      </c>
      <c r="G22" s="64">
        <v>47.34</v>
      </c>
      <c r="H22" s="64">
        <v>3.88</v>
      </c>
      <c r="I22" s="64">
        <v>3.14</v>
      </c>
      <c r="J22" s="64">
        <v>0.19</v>
      </c>
      <c r="K22" s="64">
        <v>249.48</v>
      </c>
      <c r="L22" s="64">
        <v>23.33</v>
      </c>
      <c r="M22" s="64">
        <v>102.7</v>
      </c>
      <c r="N22" s="64">
        <v>26.1</v>
      </c>
      <c r="O22" s="64">
        <v>0</v>
      </c>
      <c r="P22" s="64">
        <v>0.55000000000000004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1028</v>
      </c>
      <c r="B23" s="64">
        <v>14.94</v>
      </c>
      <c r="C23" s="64">
        <v>5.89</v>
      </c>
      <c r="D23" s="64">
        <v>15.06</v>
      </c>
      <c r="E23" s="64">
        <v>4.17</v>
      </c>
      <c r="F23" s="64">
        <v>3.5</v>
      </c>
      <c r="G23" s="64">
        <v>47.34</v>
      </c>
      <c r="H23" s="64">
        <v>3.88</v>
      </c>
      <c r="I23" s="64">
        <v>2.3199999999999998</v>
      </c>
      <c r="J23" s="64">
        <v>0.44</v>
      </c>
      <c r="K23" s="64">
        <v>120.55</v>
      </c>
      <c r="L23" s="64">
        <v>23.18</v>
      </c>
      <c r="M23" s="64">
        <v>102.72</v>
      </c>
      <c r="N23" s="64">
        <v>26.1</v>
      </c>
      <c r="O23" s="64">
        <v>0</v>
      </c>
      <c r="P23" s="64">
        <v>0.52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1029</v>
      </c>
      <c r="B24" s="64">
        <v>14.88</v>
      </c>
      <c r="C24" s="64">
        <v>5.82</v>
      </c>
      <c r="D24" s="64">
        <v>14.97</v>
      </c>
      <c r="E24" s="64">
        <v>4.6399999999999997</v>
      </c>
      <c r="F24" s="64">
        <v>3.71</v>
      </c>
      <c r="G24" s="64">
        <v>47.34</v>
      </c>
      <c r="H24" s="64">
        <v>3.88</v>
      </c>
      <c r="I24" s="64">
        <v>2.16</v>
      </c>
      <c r="J24" s="64">
        <v>0.51</v>
      </c>
      <c r="K24" s="64">
        <v>334.41</v>
      </c>
      <c r="L24" s="64">
        <v>23.12</v>
      </c>
      <c r="M24" s="64">
        <v>102.73</v>
      </c>
      <c r="N24" s="64">
        <v>26.1</v>
      </c>
      <c r="O24" s="64">
        <v>0</v>
      </c>
      <c r="P24" s="64">
        <v>0.55000000000000004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1030</v>
      </c>
      <c r="B25" s="64">
        <v>14.94</v>
      </c>
      <c r="C25" s="64">
        <v>5.67</v>
      </c>
      <c r="D25" s="64">
        <v>14.94</v>
      </c>
      <c r="E25" s="64">
        <v>5.63</v>
      </c>
      <c r="F25" s="64">
        <v>3.61</v>
      </c>
      <c r="G25" s="64">
        <v>44.2</v>
      </c>
      <c r="H25" s="64">
        <v>2.78</v>
      </c>
      <c r="I25" s="64">
        <v>2.2000000000000002</v>
      </c>
      <c r="J25" s="64">
        <v>0.3</v>
      </c>
      <c r="K25" s="64">
        <v>52.97</v>
      </c>
      <c r="L25" s="64">
        <v>23.06</v>
      </c>
      <c r="M25" s="64">
        <v>102.73</v>
      </c>
      <c r="N25" s="64">
        <v>26.1</v>
      </c>
      <c r="O25" s="64">
        <v>0</v>
      </c>
      <c r="P25" s="64">
        <v>0.51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1031</v>
      </c>
      <c r="B26" s="64">
        <v>15.21</v>
      </c>
      <c r="C26" s="64">
        <v>5.51</v>
      </c>
      <c r="D26" s="64">
        <v>15.07</v>
      </c>
      <c r="E26" s="64">
        <v>6.16</v>
      </c>
      <c r="F26" s="64">
        <v>3.68</v>
      </c>
      <c r="G26" s="64">
        <v>44.2</v>
      </c>
      <c r="H26" s="64">
        <v>2.78</v>
      </c>
      <c r="I26" s="64">
        <v>2.3199999999999998</v>
      </c>
      <c r="J26" s="64">
        <v>0.05</v>
      </c>
      <c r="K26" s="64">
        <v>39.729999999999997</v>
      </c>
      <c r="L26" s="64">
        <v>23.09</v>
      </c>
      <c r="M26" s="64">
        <v>102.73</v>
      </c>
      <c r="N26" s="64">
        <v>26</v>
      </c>
      <c r="O26" s="64">
        <v>0</v>
      </c>
      <c r="P26" s="64">
        <v>0.5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1032</v>
      </c>
      <c r="B27" s="64">
        <v>15.73</v>
      </c>
      <c r="C27" s="64">
        <v>5.36</v>
      </c>
      <c r="D27" s="64">
        <v>15.42</v>
      </c>
      <c r="E27" s="64">
        <v>5.45</v>
      </c>
      <c r="F27" s="64">
        <v>3.95</v>
      </c>
      <c r="G27" s="64">
        <v>44.2</v>
      </c>
      <c r="H27" s="64">
        <v>2.78</v>
      </c>
      <c r="I27" s="64">
        <v>2.08</v>
      </c>
      <c r="J27" s="64">
        <v>0.18</v>
      </c>
      <c r="K27" s="64">
        <v>332.43</v>
      </c>
      <c r="L27" s="64">
        <v>23.13</v>
      </c>
      <c r="M27" s="64">
        <v>102.73</v>
      </c>
      <c r="N27" s="64">
        <v>26.1</v>
      </c>
      <c r="O27" s="64">
        <v>0</v>
      </c>
      <c r="P27" s="64">
        <v>0.55000000000000004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1033</v>
      </c>
      <c r="B28" s="64">
        <v>15.85</v>
      </c>
      <c r="C28" s="64">
        <v>5.36</v>
      </c>
      <c r="D28" s="64">
        <v>15.51</v>
      </c>
      <c r="E28" s="64">
        <v>5.69</v>
      </c>
      <c r="F28" s="64">
        <v>3.27</v>
      </c>
      <c r="G28" s="64">
        <v>44.2</v>
      </c>
      <c r="H28" s="64">
        <v>2.78</v>
      </c>
      <c r="I28" s="64">
        <v>2.15</v>
      </c>
      <c r="J28" s="64">
        <v>0.41</v>
      </c>
      <c r="K28" s="64">
        <v>154.88</v>
      </c>
      <c r="L28" s="64">
        <v>23</v>
      </c>
      <c r="M28" s="64">
        <v>102.72</v>
      </c>
      <c r="N28" s="64">
        <v>26.1</v>
      </c>
      <c r="O28" s="64">
        <v>0</v>
      </c>
      <c r="P28" s="64">
        <v>0.44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5" t="s">
        <v>1034</v>
      </c>
      <c r="B29" s="64">
        <v>15.56</v>
      </c>
      <c r="C29" s="64">
        <v>5.72</v>
      </c>
      <c r="D29" s="64">
        <v>15.46</v>
      </c>
      <c r="E29" s="64">
        <v>5.48</v>
      </c>
      <c r="F29" s="64">
        <v>4.41</v>
      </c>
      <c r="G29" s="64">
        <v>42.9</v>
      </c>
      <c r="H29" s="64">
        <v>4.43</v>
      </c>
      <c r="I29" s="64">
        <v>2.1</v>
      </c>
      <c r="J29" s="64">
        <v>0.21</v>
      </c>
      <c r="K29" s="64">
        <v>54.11</v>
      </c>
      <c r="L29" s="64">
        <v>23.06</v>
      </c>
      <c r="M29" s="64">
        <v>102.71</v>
      </c>
      <c r="N29" s="64">
        <v>25.7</v>
      </c>
      <c r="O29" s="64">
        <v>0</v>
      </c>
      <c r="P29" s="64">
        <v>0.66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1035</v>
      </c>
      <c r="B30" s="64">
        <v>15.6</v>
      </c>
      <c r="C30" s="64">
        <v>5.92</v>
      </c>
      <c r="D30" s="64">
        <v>15.6</v>
      </c>
      <c r="E30" s="64">
        <v>5.64</v>
      </c>
      <c r="F30" s="64">
        <v>3.37</v>
      </c>
      <c r="G30" s="64">
        <v>42.9</v>
      </c>
      <c r="H30" s="64">
        <v>4.43</v>
      </c>
      <c r="I30" s="64">
        <v>2.82</v>
      </c>
      <c r="J30" s="64">
        <v>0.28999999999999998</v>
      </c>
      <c r="K30" s="64">
        <v>14.14</v>
      </c>
      <c r="L30" s="64">
        <v>23.05</v>
      </c>
      <c r="M30" s="64">
        <v>102.73</v>
      </c>
      <c r="N30" s="64">
        <v>26</v>
      </c>
      <c r="O30" s="64">
        <v>0</v>
      </c>
      <c r="P30" s="64">
        <v>0.57999999999999996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1036</v>
      </c>
      <c r="B31" s="64">
        <v>15.7</v>
      </c>
      <c r="C31" s="64">
        <v>5.43</v>
      </c>
      <c r="D31" s="64">
        <v>15.43</v>
      </c>
      <c r="E31" s="64">
        <v>5.72</v>
      </c>
      <c r="F31" s="64">
        <v>3.94</v>
      </c>
      <c r="G31" s="64">
        <v>42.9</v>
      </c>
      <c r="H31" s="64">
        <v>4.43</v>
      </c>
      <c r="I31" s="64">
        <v>4.7699999999999996</v>
      </c>
      <c r="J31" s="64">
        <v>0.62</v>
      </c>
      <c r="K31" s="64">
        <v>143.88</v>
      </c>
      <c r="L31" s="64">
        <v>22.89</v>
      </c>
      <c r="M31" s="64">
        <v>102.73</v>
      </c>
      <c r="N31" s="64">
        <v>26.1</v>
      </c>
      <c r="O31" s="64">
        <v>0</v>
      </c>
      <c r="P31" s="64">
        <v>0.56000000000000005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1037</v>
      </c>
      <c r="B32" s="64">
        <v>15.48</v>
      </c>
      <c r="C32" s="64">
        <v>5.08</v>
      </c>
      <c r="D32" s="64">
        <v>15.06</v>
      </c>
      <c r="E32" s="64">
        <v>5.53</v>
      </c>
      <c r="F32" s="64">
        <v>3.13</v>
      </c>
      <c r="G32" s="64">
        <v>42.9</v>
      </c>
      <c r="H32" s="64">
        <v>4.43</v>
      </c>
      <c r="I32" s="64">
        <v>4.5599999999999996</v>
      </c>
      <c r="J32" s="64">
        <v>0.13</v>
      </c>
      <c r="K32" s="64">
        <v>19.579999999999998</v>
      </c>
      <c r="L32" s="64">
        <v>22.81</v>
      </c>
      <c r="M32" s="64">
        <v>102.73</v>
      </c>
      <c r="N32" s="64">
        <v>28.1</v>
      </c>
      <c r="O32" s="64">
        <v>0</v>
      </c>
      <c r="P32" s="64">
        <v>0.46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1038</v>
      </c>
      <c r="B33" s="64">
        <v>15.64</v>
      </c>
      <c r="C33" s="64">
        <v>5.22</v>
      </c>
      <c r="D33" s="64">
        <v>15.27</v>
      </c>
      <c r="E33" s="64">
        <v>5.68</v>
      </c>
      <c r="F33" s="64">
        <v>3.12</v>
      </c>
      <c r="G33" s="64">
        <v>42.28</v>
      </c>
      <c r="H33" s="64">
        <v>4.3600000000000003</v>
      </c>
      <c r="I33" s="64">
        <v>3.21</v>
      </c>
      <c r="J33" s="64">
        <v>0.14000000000000001</v>
      </c>
      <c r="K33" s="64">
        <v>68.16</v>
      </c>
      <c r="L33" s="64">
        <v>22.87</v>
      </c>
      <c r="M33" s="64">
        <v>102.73</v>
      </c>
      <c r="N33" s="64">
        <v>36.200000000000003</v>
      </c>
      <c r="O33" s="64">
        <v>0</v>
      </c>
      <c r="P33" s="64">
        <v>0.5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1039</v>
      </c>
      <c r="B34" s="64">
        <v>16.48</v>
      </c>
      <c r="C34" s="64">
        <v>5.01</v>
      </c>
      <c r="D34" s="64">
        <v>15.84</v>
      </c>
      <c r="E34" s="64">
        <v>7.07</v>
      </c>
      <c r="F34" s="64">
        <v>4.12</v>
      </c>
      <c r="G34" s="64">
        <v>42.27</v>
      </c>
      <c r="H34" s="64">
        <v>4.3600000000000003</v>
      </c>
      <c r="I34" s="64">
        <v>3.72</v>
      </c>
      <c r="J34" s="64">
        <v>0.33</v>
      </c>
      <c r="K34" s="64">
        <v>67.290000000000006</v>
      </c>
      <c r="L34" s="64">
        <v>23.12</v>
      </c>
      <c r="M34" s="64">
        <v>102.73</v>
      </c>
      <c r="N34" s="64">
        <v>51.7</v>
      </c>
      <c r="O34" s="64">
        <v>0</v>
      </c>
      <c r="P34" s="64">
        <v>0.56000000000000005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1040</v>
      </c>
      <c r="B35" s="64">
        <v>16.420000000000002</v>
      </c>
      <c r="C35" s="64">
        <v>5.07</v>
      </c>
      <c r="D35" s="64">
        <v>15.82</v>
      </c>
      <c r="E35" s="64">
        <v>6.47</v>
      </c>
      <c r="F35" s="64">
        <v>2.4700000000000002</v>
      </c>
      <c r="G35" s="64">
        <v>42.27</v>
      </c>
      <c r="H35" s="64">
        <v>4.3600000000000003</v>
      </c>
      <c r="I35" s="64">
        <v>2.78</v>
      </c>
      <c r="J35" s="64">
        <v>0.21</v>
      </c>
      <c r="K35" s="64">
        <v>88.18</v>
      </c>
      <c r="L35" s="64">
        <v>23.36</v>
      </c>
      <c r="M35" s="64">
        <v>102.73</v>
      </c>
      <c r="N35" s="64">
        <v>75.599999999999994</v>
      </c>
      <c r="O35" s="64">
        <v>0</v>
      </c>
      <c r="P35" s="64">
        <v>0.49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1041</v>
      </c>
      <c r="B36" s="64">
        <v>16.13</v>
      </c>
      <c r="C36" s="64">
        <v>4.84</v>
      </c>
      <c r="D36" s="64">
        <v>15.46</v>
      </c>
      <c r="E36" s="64">
        <v>6.03</v>
      </c>
      <c r="F36" s="64">
        <v>3.88</v>
      </c>
      <c r="G36" s="64">
        <v>42.27</v>
      </c>
      <c r="H36" s="64">
        <v>4.3600000000000003</v>
      </c>
      <c r="I36" s="64">
        <v>3.98</v>
      </c>
      <c r="J36" s="64">
        <v>0.23</v>
      </c>
      <c r="K36" s="64">
        <v>34.08</v>
      </c>
      <c r="L36" s="64">
        <v>23.92</v>
      </c>
      <c r="M36" s="64">
        <v>102.71</v>
      </c>
      <c r="N36" s="64">
        <v>107.2</v>
      </c>
      <c r="O36" s="64">
        <v>0</v>
      </c>
      <c r="P36" s="64">
        <v>0.57999999999999996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1042</v>
      </c>
      <c r="B37" s="64">
        <v>17.149999999999999</v>
      </c>
      <c r="C37" s="64">
        <v>4.88</v>
      </c>
      <c r="D37" s="64">
        <v>16.3</v>
      </c>
      <c r="E37" s="64">
        <v>6.8</v>
      </c>
      <c r="F37" s="64">
        <v>3.49</v>
      </c>
      <c r="G37" s="64">
        <v>40.700000000000003</v>
      </c>
      <c r="H37" s="64">
        <v>3.96</v>
      </c>
      <c r="I37" s="64">
        <v>4.04</v>
      </c>
      <c r="J37" s="64">
        <v>0.85</v>
      </c>
      <c r="K37" s="64">
        <v>350.3</v>
      </c>
      <c r="L37" s="64">
        <v>25.49</v>
      </c>
      <c r="M37" s="64">
        <v>101.92</v>
      </c>
      <c r="N37" s="64">
        <v>162.9</v>
      </c>
      <c r="O37" s="64">
        <v>0</v>
      </c>
      <c r="P37" s="64">
        <v>0.57999999999999996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1043</v>
      </c>
      <c r="B38" s="64">
        <v>18.309999999999999</v>
      </c>
      <c r="C38" s="64">
        <v>4.7300000000000004</v>
      </c>
      <c r="D38" s="64">
        <v>17.149999999999999</v>
      </c>
      <c r="E38" s="64">
        <v>6.48</v>
      </c>
      <c r="F38" s="64">
        <v>3.07</v>
      </c>
      <c r="G38" s="64">
        <v>40.700000000000003</v>
      </c>
      <c r="H38" s="64">
        <v>3.96</v>
      </c>
      <c r="I38" s="64">
        <v>3.89</v>
      </c>
      <c r="J38" s="64">
        <v>1.03</v>
      </c>
      <c r="K38" s="64">
        <v>336.82</v>
      </c>
      <c r="L38" s="64">
        <v>27.28</v>
      </c>
      <c r="M38" s="64">
        <v>93.51</v>
      </c>
      <c r="N38" s="64">
        <v>187.5</v>
      </c>
      <c r="O38" s="64">
        <v>0</v>
      </c>
      <c r="P38" s="64">
        <v>0.65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5" t="s">
        <v>1044</v>
      </c>
      <c r="B39" s="64">
        <v>18.88</v>
      </c>
      <c r="C39" s="64">
        <v>4.97</v>
      </c>
      <c r="D39" s="64">
        <v>17.739999999999998</v>
      </c>
      <c r="E39" s="64">
        <v>6.73</v>
      </c>
      <c r="F39" s="64">
        <v>3.75</v>
      </c>
      <c r="G39" s="64">
        <v>40.700000000000003</v>
      </c>
      <c r="H39" s="64">
        <v>3.96</v>
      </c>
      <c r="I39" s="64">
        <v>3.65</v>
      </c>
      <c r="J39" s="64">
        <v>1.31</v>
      </c>
      <c r="K39" s="64">
        <v>338.25</v>
      </c>
      <c r="L39" s="64">
        <v>28.46</v>
      </c>
      <c r="M39" s="64">
        <v>85.71</v>
      </c>
      <c r="N39" s="64">
        <v>236.1</v>
      </c>
      <c r="O39" s="64">
        <v>0</v>
      </c>
      <c r="P39" s="64">
        <v>0.72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1045</v>
      </c>
      <c r="B40" s="64">
        <v>19.28</v>
      </c>
      <c r="C40" s="64">
        <v>5.8</v>
      </c>
      <c r="D40" s="64">
        <v>18.489999999999998</v>
      </c>
      <c r="E40" s="64">
        <v>6.24</v>
      </c>
      <c r="F40" s="64">
        <v>3.9</v>
      </c>
      <c r="G40" s="64">
        <v>40.700000000000003</v>
      </c>
      <c r="H40" s="64">
        <v>3.96</v>
      </c>
      <c r="I40" s="64">
        <v>3.92</v>
      </c>
      <c r="J40" s="64">
        <v>1.1299999999999999</v>
      </c>
      <c r="K40" s="64">
        <v>335.72</v>
      </c>
      <c r="L40" s="64">
        <v>29.21</v>
      </c>
      <c r="M40" s="64">
        <v>82.07</v>
      </c>
      <c r="N40" s="64">
        <v>245.3</v>
      </c>
      <c r="O40" s="64">
        <v>0</v>
      </c>
      <c r="P40" s="64">
        <v>0.92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1046</v>
      </c>
      <c r="B41" s="64">
        <v>20.010000000000002</v>
      </c>
      <c r="C41" s="64">
        <v>6.88</v>
      </c>
      <c r="D41" s="64">
        <v>19.649999999999999</v>
      </c>
      <c r="E41" s="64">
        <v>5.94</v>
      </c>
      <c r="F41" s="64">
        <v>3.96</v>
      </c>
      <c r="G41" s="64">
        <v>59.77</v>
      </c>
      <c r="H41" s="64">
        <v>2.77</v>
      </c>
      <c r="I41" s="64">
        <v>4.41</v>
      </c>
      <c r="J41" s="64">
        <v>1.33</v>
      </c>
      <c r="K41" s="64">
        <v>331.97</v>
      </c>
      <c r="L41" s="64">
        <v>29.79</v>
      </c>
      <c r="M41" s="64">
        <v>77.88</v>
      </c>
      <c r="N41" s="64">
        <v>289.8</v>
      </c>
      <c r="O41" s="64">
        <v>0</v>
      </c>
      <c r="P41" s="64">
        <v>0.84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1047</v>
      </c>
      <c r="B42" s="64">
        <v>20.6</v>
      </c>
      <c r="C42" s="64">
        <v>7.89</v>
      </c>
      <c r="D42" s="64">
        <v>20.64</v>
      </c>
      <c r="E42" s="64">
        <v>6.3</v>
      </c>
      <c r="F42" s="64">
        <v>3.8</v>
      </c>
      <c r="G42" s="64">
        <v>59.77</v>
      </c>
      <c r="H42" s="64">
        <v>2.77</v>
      </c>
      <c r="I42" s="64">
        <v>5.07</v>
      </c>
      <c r="J42" s="64">
        <v>1.21</v>
      </c>
      <c r="K42" s="64">
        <v>333.41</v>
      </c>
      <c r="L42" s="64">
        <v>30.82</v>
      </c>
      <c r="M42" s="64">
        <v>72.260000000000005</v>
      </c>
      <c r="N42" s="64">
        <v>343.3</v>
      </c>
      <c r="O42" s="64">
        <v>0</v>
      </c>
      <c r="P42" s="64">
        <v>0.88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1048</v>
      </c>
      <c r="B43" s="64">
        <v>20.8</v>
      </c>
      <c r="C43" s="64">
        <v>8.69</v>
      </c>
      <c r="D43" s="64">
        <v>21.22</v>
      </c>
      <c r="E43" s="64">
        <v>6.4</v>
      </c>
      <c r="F43" s="64">
        <v>4.17</v>
      </c>
      <c r="G43" s="64">
        <v>59.77</v>
      </c>
      <c r="H43" s="64">
        <v>2.77</v>
      </c>
      <c r="I43" s="64">
        <v>5.2</v>
      </c>
      <c r="J43" s="64">
        <v>0.9</v>
      </c>
      <c r="K43" s="64">
        <v>340.85</v>
      </c>
      <c r="L43" s="64">
        <v>31.56</v>
      </c>
      <c r="M43" s="64">
        <v>69.12</v>
      </c>
      <c r="N43" s="64">
        <v>393.9</v>
      </c>
      <c r="O43" s="64">
        <v>0</v>
      </c>
      <c r="P43" s="64">
        <v>0.95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1049</v>
      </c>
      <c r="B44" s="64">
        <v>20.97</v>
      </c>
      <c r="C44" s="64">
        <v>9.3699999999999992</v>
      </c>
      <c r="D44" s="64">
        <v>21.71</v>
      </c>
      <c r="E44" s="64">
        <v>6.42</v>
      </c>
      <c r="F44" s="64">
        <v>4.57</v>
      </c>
      <c r="G44" s="64">
        <v>59.77</v>
      </c>
      <c r="H44" s="64">
        <v>2.77</v>
      </c>
      <c r="I44" s="64">
        <v>4.9400000000000004</v>
      </c>
      <c r="J44" s="64">
        <v>0.7</v>
      </c>
      <c r="K44" s="64">
        <v>337.33</v>
      </c>
      <c r="L44" s="64">
        <v>32.130000000000003</v>
      </c>
      <c r="M44" s="64">
        <v>67.319999999999993</v>
      </c>
      <c r="N44" s="64">
        <v>423</v>
      </c>
      <c r="O44" s="64">
        <v>0</v>
      </c>
      <c r="P44" s="64">
        <v>0.86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1050</v>
      </c>
      <c r="B45" s="64">
        <v>20.82</v>
      </c>
      <c r="C45" s="64">
        <v>9.74</v>
      </c>
      <c r="D45" s="64">
        <v>21.79</v>
      </c>
      <c r="E45" s="64">
        <v>6.32</v>
      </c>
      <c r="F45" s="64">
        <v>4.4800000000000004</v>
      </c>
      <c r="G45" s="64">
        <v>94.86</v>
      </c>
      <c r="H45" s="64">
        <v>3.3</v>
      </c>
      <c r="I45" s="64">
        <v>4.72</v>
      </c>
      <c r="J45" s="64">
        <v>1.1200000000000001</v>
      </c>
      <c r="K45" s="64">
        <v>335.93</v>
      </c>
      <c r="L45" s="64">
        <v>30.41</v>
      </c>
      <c r="M45" s="64">
        <v>79.2</v>
      </c>
      <c r="N45" s="64">
        <v>460.1</v>
      </c>
      <c r="O45" s="64">
        <v>0</v>
      </c>
      <c r="P45" s="64">
        <v>0.8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1051</v>
      </c>
      <c r="B46" s="64">
        <v>19.95</v>
      </c>
      <c r="C46" s="64">
        <v>10.97</v>
      </c>
      <c r="D46" s="64">
        <v>21.73</v>
      </c>
      <c r="E46" s="64">
        <v>6.43</v>
      </c>
      <c r="F46" s="64">
        <v>4.8600000000000003</v>
      </c>
      <c r="G46" s="64">
        <v>94.86</v>
      </c>
      <c r="H46" s="64">
        <v>3.3</v>
      </c>
      <c r="I46" s="64">
        <v>4.8600000000000003</v>
      </c>
      <c r="J46" s="64">
        <v>0.22</v>
      </c>
      <c r="K46" s="64">
        <v>45.54</v>
      </c>
      <c r="L46" s="64">
        <v>29.04</v>
      </c>
      <c r="M46" s="64">
        <v>81.819999999999993</v>
      </c>
      <c r="N46" s="64">
        <v>306.8</v>
      </c>
      <c r="O46" s="64">
        <v>0</v>
      </c>
      <c r="P46" s="64">
        <v>0.78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1052</v>
      </c>
      <c r="B47" s="64">
        <v>18.28</v>
      </c>
      <c r="C47" s="64">
        <v>11.22</v>
      </c>
      <c r="D47" s="64">
        <v>20.52</v>
      </c>
      <c r="E47" s="64">
        <v>6.1</v>
      </c>
      <c r="F47" s="64">
        <v>5</v>
      </c>
      <c r="G47" s="64">
        <v>94.86</v>
      </c>
      <c r="H47" s="64">
        <v>3.3</v>
      </c>
      <c r="I47" s="64">
        <v>5.5</v>
      </c>
      <c r="J47" s="64">
        <v>0.14000000000000001</v>
      </c>
      <c r="K47" s="64">
        <v>140.63</v>
      </c>
      <c r="L47" s="64">
        <v>28.16</v>
      </c>
      <c r="M47" s="64">
        <v>85.43</v>
      </c>
      <c r="N47" s="64">
        <v>393.9</v>
      </c>
      <c r="O47" s="64">
        <v>0</v>
      </c>
      <c r="P47" s="64">
        <v>0.79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5" t="s">
        <v>1053</v>
      </c>
      <c r="B48" s="64">
        <v>16.63</v>
      </c>
      <c r="C48" s="64">
        <v>12.31</v>
      </c>
      <c r="D48" s="64">
        <v>19.77</v>
      </c>
      <c r="E48" s="64">
        <v>6.19</v>
      </c>
      <c r="F48" s="64">
        <v>3.96</v>
      </c>
      <c r="G48" s="64">
        <v>94.86</v>
      </c>
      <c r="H48" s="64">
        <v>3.3</v>
      </c>
      <c r="I48" s="64">
        <v>4.71</v>
      </c>
      <c r="J48" s="64">
        <v>0.48</v>
      </c>
      <c r="K48" s="64">
        <v>348.01</v>
      </c>
      <c r="L48" s="64">
        <v>28.58</v>
      </c>
      <c r="M48" s="64">
        <v>84.89</v>
      </c>
      <c r="N48" s="64">
        <v>382.9</v>
      </c>
      <c r="O48" s="64">
        <v>0</v>
      </c>
      <c r="P48" s="64">
        <v>0.82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1054</v>
      </c>
      <c r="B49" s="64">
        <v>15.26</v>
      </c>
      <c r="C49" s="64">
        <v>12.95</v>
      </c>
      <c r="D49" s="64">
        <v>19</v>
      </c>
      <c r="E49" s="64">
        <v>6.52</v>
      </c>
      <c r="F49" s="64">
        <v>4.38</v>
      </c>
      <c r="G49" s="64">
        <v>102.03</v>
      </c>
      <c r="H49" s="64">
        <v>3.77</v>
      </c>
      <c r="I49" s="64">
        <v>5.22</v>
      </c>
      <c r="J49" s="64">
        <v>1.31</v>
      </c>
      <c r="K49" s="64">
        <v>337.98</v>
      </c>
      <c r="L49" s="64">
        <v>29.14</v>
      </c>
      <c r="M49" s="64">
        <v>84.36</v>
      </c>
      <c r="N49" s="64">
        <v>490.5</v>
      </c>
      <c r="O49" s="64">
        <v>0</v>
      </c>
      <c r="P49" s="64">
        <v>0.83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1055</v>
      </c>
      <c r="B50" s="64">
        <v>14.17</v>
      </c>
      <c r="C50" s="64">
        <v>14.55</v>
      </c>
      <c r="D50" s="64">
        <v>18.97</v>
      </c>
      <c r="E50" s="64">
        <v>6.63</v>
      </c>
      <c r="F50" s="64">
        <v>4.16</v>
      </c>
      <c r="G50" s="64">
        <v>102.03</v>
      </c>
      <c r="H50" s="64">
        <v>3.77</v>
      </c>
      <c r="I50" s="64">
        <v>5.84</v>
      </c>
      <c r="J50" s="64">
        <v>0.87</v>
      </c>
      <c r="K50" s="64">
        <v>340.67</v>
      </c>
      <c r="L50" s="64">
        <v>30.62</v>
      </c>
      <c r="M50" s="64">
        <v>72.790000000000006</v>
      </c>
      <c r="N50" s="64">
        <v>210.1</v>
      </c>
      <c r="O50" s="64">
        <v>0</v>
      </c>
      <c r="P50" s="64">
        <v>0.91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1056</v>
      </c>
      <c r="B51" s="64">
        <v>13.47</v>
      </c>
      <c r="C51" s="64">
        <v>15.06</v>
      </c>
      <c r="D51" s="64">
        <v>18.670000000000002</v>
      </c>
      <c r="E51" s="64">
        <v>6.4</v>
      </c>
      <c r="F51" s="64">
        <v>4.6900000000000004</v>
      </c>
      <c r="G51" s="64">
        <v>102.03</v>
      </c>
      <c r="H51" s="64">
        <v>3.77</v>
      </c>
      <c r="I51" s="64">
        <v>6.38</v>
      </c>
      <c r="J51" s="64">
        <v>0.62</v>
      </c>
      <c r="K51" s="64">
        <v>128.30000000000001</v>
      </c>
      <c r="L51" s="64">
        <v>30.39</v>
      </c>
      <c r="M51" s="64">
        <v>72.36</v>
      </c>
      <c r="N51" s="64">
        <v>567.1</v>
      </c>
      <c r="O51" s="64">
        <v>0</v>
      </c>
      <c r="P51" s="64">
        <v>0.95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1057</v>
      </c>
      <c r="B52" s="64">
        <v>10.050000000000001</v>
      </c>
      <c r="C52" s="64">
        <v>16.739999999999998</v>
      </c>
      <c r="D52" s="64">
        <v>16.8</v>
      </c>
      <c r="E52" s="64">
        <v>6.95</v>
      </c>
      <c r="F52" s="64">
        <v>10.61</v>
      </c>
      <c r="G52" s="64">
        <v>102.03</v>
      </c>
      <c r="H52" s="64">
        <v>3.77</v>
      </c>
      <c r="I52" s="64">
        <v>5.23</v>
      </c>
      <c r="J52" s="64">
        <v>1.08</v>
      </c>
      <c r="K52" s="64">
        <v>135.88</v>
      </c>
      <c r="L52" s="64">
        <v>30.84</v>
      </c>
      <c r="M52" s="64">
        <v>71.42</v>
      </c>
      <c r="N52" s="64">
        <v>806.2</v>
      </c>
      <c r="O52" s="64">
        <v>0</v>
      </c>
      <c r="P52" s="64">
        <v>0.77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1058</v>
      </c>
      <c r="B53" s="64">
        <v>2.61</v>
      </c>
      <c r="C53" s="64">
        <v>19.18</v>
      </c>
      <c r="D53" s="64">
        <v>12.11</v>
      </c>
      <c r="E53" s="64">
        <v>7.4</v>
      </c>
      <c r="F53" s="64">
        <v>9.6</v>
      </c>
      <c r="G53" s="211" t="s">
        <v>42</v>
      </c>
      <c r="H53" s="211" t="s">
        <v>42</v>
      </c>
      <c r="I53" s="64">
        <v>5.57</v>
      </c>
      <c r="J53" s="64">
        <v>1.73</v>
      </c>
      <c r="K53" s="64">
        <v>137.36000000000001</v>
      </c>
      <c r="L53" s="64">
        <v>30.72</v>
      </c>
      <c r="M53" s="64">
        <v>72.010000000000005</v>
      </c>
      <c r="N53" s="64">
        <v>872.2</v>
      </c>
      <c r="O53" s="64">
        <v>0</v>
      </c>
      <c r="P53" s="64">
        <v>0.65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1059</v>
      </c>
      <c r="B54" s="64">
        <v>0.76</v>
      </c>
      <c r="C54" s="64">
        <v>16.04</v>
      </c>
      <c r="D54" s="64">
        <v>8.99</v>
      </c>
      <c r="E54" s="64">
        <v>6.96</v>
      </c>
      <c r="F54" s="64">
        <v>7.66</v>
      </c>
      <c r="G54" s="211" t="s">
        <v>42</v>
      </c>
      <c r="H54" s="211" t="s">
        <v>42</v>
      </c>
      <c r="I54" s="64">
        <v>5.18</v>
      </c>
      <c r="J54" s="64">
        <v>0.47</v>
      </c>
      <c r="K54" s="64">
        <v>138.12</v>
      </c>
      <c r="L54" s="64">
        <v>31.51</v>
      </c>
      <c r="M54" s="64">
        <v>67.459999999999994</v>
      </c>
      <c r="N54" s="64">
        <v>812.9</v>
      </c>
      <c r="O54" s="64">
        <v>0</v>
      </c>
      <c r="P54" s="64">
        <v>0.6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1060</v>
      </c>
      <c r="B55" s="64">
        <v>0.57999999999999996</v>
      </c>
      <c r="C55" s="64">
        <v>12.87</v>
      </c>
      <c r="D55" s="64">
        <v>7.18</v>
      </c>
      <c r="E55" s="64">
        <v>6.19</v>
      </c>
      <c r="F55" s="64">
        <v>4.5</v>
      </c>
      <c r="G55" s="211" t="s">
        <v>42</v>
      </c>
      <c r="H55" s="211" t="s">
        <v>42</v>
      </c>
      <c r="I55" s="64">
        <v>4.8</v>
      </c>
      <c r="J55" s="64">
        <v>0.87</v>
      </c>
      <c r="K55" s="64">
        <v>137.82</v>
      </c>
      <c r="L55" s="64">
        <v>31.33</v>
      </c>
      <c r="M55" s="64">
        <v>68</v>
      </c>
      <c r="N55" s="64">
        <v>693.9</v>
      </c>
      <c r="O55" s="64">
        <v>0</v>
      </c>
      <c r="P55" s="64">
        <v>0.54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1061</v>
      </c>
      <c r="B56" s="64">
        <v>0.81</v>
      </c>
      <c r="C56" s="64">
        <v>10.48</v>
      </c>
      <c r="D56" s="64">
        <v>6.13</v>
      </c>
      <c r="E56" s="64">
        <v>3.49</v>
      </c>
      <c r="F56" s="64">
        <v>4.99</v>
      </c>
      <c r="G56" s="211" t="s">
        <v>42</v>
      </c>
      <c r="H56" s="211" t="s">
        <v>42</v>
      </c>
      <c r="I56" s="64">
        <v>4.2699999999999996</v>
      </c>
      <c r="J56" s="64">
        <v>0.82</v>
      </c>
      <c r="K56" s="64">
        <v>126.98</v>
      </c>
      <c r="L56" s="64">
        <v>31.31</v>
      </c>
      <c r="M56" s="64">
        <v>69.52</v>
      </c>
      <c r="N56" s="64">
        <v>589.20000000000005</v>
      </c>
      <c r="O56" s="64">
        <v>0</v>
      </c>
      <c r="P56" s="64">
        <v>0.49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1062</v>
      </c>
      <c r="B57" s="64">
        <v>1.1200000000000001</v>
      </c>
      <c r="C57" s="64">
        <v>9.0399999999999991</v>
      </c>
      <c r="D57" s="64">
        <v>5.62</v>
      </c>
      <c r="E57" s="64">
        <v>4.51</v>
      </c>
      <c r="F57" s="64">
        <v>5.07</v>
      </c>
      <c r="G57" s="64">
        <v>17.68</v>
      </c>
      <c r="H57" s="211" t="s">
        <v>42</v>
      </c>
      <c r="I57" s="64">
        <v>3.48</v>
      </c>
      <c r="J57" s="64">
        <v>0.24</v>
      </c>
      <c r="K57" s="64">
        <v>107.08</v>
      </c>
      <c r="L57" s="64">
        <v>32.020000000000003</v>
      </c>
      <c r="M57" s="64">
        <v>66.150000000000006</v>
      </c>
      <c r="N57" s="64">
        <v>431.7</v>
      </c>
      <c r="O57" s="64">
        <v>0</v>
      </c>
      <c r="P57" s="64">
        <v>0.53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1063</v>
      </c>
      <c r="B58" s="64">
        <v>1.02</v>
      </c>
      <c r="C58" s="64">
        <v>8.61</v>
      </c>
      <c r="D58" s="64">
        <v>5.32</v>
      </c>
      <c r="E58" s="64">
        <v>4.62</v>
      </c>
      <c r="F58" s="64">
        <v>5.94</v>
      </c>
      <c r="G58" s="64">
        <v>18.940000000000001</v>
      </c>
      <c r="H58" s="211" t="s">
        <v>42</v>
      </c>
      <c r="I58" s="64">
        <v>4.08</v>
      </c>
      <c r="J58" s="64">
        <v>0.92</v>
      </c>
      <c r="K58" s="64">
        <v>138.27000000000001</v>
      </c>
      <c r="L58" s="64">
        <v>31.08</v>
      </c>
      <c r="M58" s="64">
        <v>69.58</v>
      </c>
      <c r="N58" s="64">
        <v>517.79999999999995</v>
      </c>
      <c r="O58" s="64">
        <v>0</v>
      </c>
      <c r="P58" s="64">
        <v>0.51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1064</v>
      </c>
      <c r="B59" s="64">
        <v>0.87</v>
      </c>
      <c r="C59" s="64">
        <v>8.16</v>
      </c>
      <c r="D59" s="64">
        <v>4.96</v>
      </c>
      <c r="E59" s="64">
        <v>4.09</v>
      </c>
      <c r="F59" s="64">
        <v>5.36</v>
      </c>
      <c r="G59" s="64">
        <v>18.940000000000001</v>
      </c>
      <c r="H59" s="211" t="s">
        <v>42</v>
      </c>
      <c r="I59" s="64">
        <v>3.94</v>
      </c>
      <c r="J59" s="64">
        <v>0.7</v>
      </c>
      <c r="K59" s="64">
        <v>141.87</v>
      </c>
      <c r="L59" s="64">
        <v>31.02</v>
      </c>
      <c r="M59" s="64">
        <v>70.03</v>
      </c>
      <c r="N59" s="64">
        <v>572.9</v>
      </c>
      <c r="O59" s="64">
        <v>0</v>
      </c>
      <c r="P59" s="64">
        <v>0.47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5" t="s">
        <v>1065</v>
      </c>
      <c r="B60" s="64">
        <v>0.95</v>
      </c>
      <c r="C60" s="64">
        <v>7.49</v>
      </c>
      <c r="D60" s="64">
        <v>4.68</v>
      </c>
      <c r="E60" s="64">
        <v>4.26</v>
      </c>
      <c r="F60" s="64">
        <v>5.22</v>
      </c>
      <c r="G60" s="64">
        <v>18.940000000000001</v>
      </c>
      <c r="H60" s="211" t="s">
        <v>42</v>
      </c>
      <c r="I60" s="64">
        <v>3.98</v>
      </c>
      <c r="J60" s="64">
        <v>0.57999999999999996</v>
      </c>
      <c r="K60" s="64">
        <v>137.05000000000001</v>
      </c>
      <c r="L60" s="64">
        <v>30.98</v>
      </c>
      <c r="M60" s="64">
        <v>69.72</v>
      </c>
      <c r="N60" s="64">
        <v>507.3</v>
      </c>
      <c r="O60" s="64">
        <v>0</v>
      </c>
      <c r="P60" s="64">
        <v>0.42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1066</v>
      </c>
      <c r="B61" s="64">
        <v>1.1100000000000001</v>
      </c>
      <c r="C61" s="64">
        <v>7.14</v>
      </c>
      <c r="D61" s="64">
        <v>4.62</v>
      </c>
      <c r="E61" s="64">
        <v>4.76</v>
      </c>
      <c r="F61" s="64">
        <v>6.13</v>
      </c>
      <c r="G61" s="64">
        <v>4.03</v>
      </c>
      <c r="H61" s="211" t="s">
        <v>42</v>
      </c>
      <c r="I61" s="64">
        <v>3.72</v>
      </c>
      <c r="J61" s="64">
        <v>0.73</v>
      </c>
      <c r="K61" s="64">
        <v>131.41</v>
      </c>
      <c r="L61" s="64">
        <v>31.18</v>
      </c>
      <c r="M61" s="64">
        <v>68.290000000000006</v>
      </c>
      <c r="N61" s="64">
        <v>435</v>
      </c>
      <c r="O61" s="64">
        <v>0</v>
      </c>
      <c r="P61" s="64">
        <v>0.48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1067</v>
      </c>
      <c r="B62" s="64">
        <v>1.0900000000000001</v>
      </c>
      <c r="C62" s="64">
        <v>7.45</v>
      </c>
      <c r="D62" s="64">
        <v>4.7699999999999996</v>
      </c>
      <c r="E62" s="64">
        <v>5.0599999999999996</v>
      </c>
      <c r="F62" s="64">
        <v>5.82</v>
      </c>
      <c r="G62" s="211" t="s">
        <v>42</v>
      </c>
      <c r="H62" s="211" t="s">
        <v>42</v>
      </c>
      <c r="I62" s="64">
        <v>3.43</v>
      </c>
      <c r="J62" s="64">
        <v>0.22</v>
      </c>
      <c r="K62" s="64">
        <v>91.12</v>
      </c>
      <c r="L62" s="64">
        <v>31.76</v>
      </c>
      <c r="M62" s="64">
        <v>63.75</v>
      </c>
      <c r="N62" s="64">
        <v>297.5</v>
      </c>
      <c r="O62" s="64">
        <v>0</v>
      </c>
      <c r="P62" s="64">
        <v>0.5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1068</v>
      </c>
      <c r="B63" s="64">
        <v>1.5</v>
      </c>
      <c r="C63" s="64">
        <v>8.2799999999999994</v>
      </c>
      <c r="D63" s="64">
        <v>5.53</v>
      </c>
      <c r="E63" s="64">
        <v>5.12</v>
      </c>
      <c r="F63" s="64">
        <v>4.34</v>
      </c>
      <c r="G63" s="211" t="s">
        <v>42</v>
      </c>
      <c r="H63" s="211" t="s">
        <v>42</v>
      </c>
      <c r="I63" s="64">
        <v>3.49</v>
      </c>
      <c r="J63" s="64">
        <v>0.47</v>
      </c>
      <c r="K63" s="64">
        <v>351.55</v>
      </c>
      <c r="L63" s="64">
        <v>32.520000000000003</v>
      </c>
      <c r="M63" s="64">
        <v>62.03</v>
      </c>
      <c r="N63" s="64">
        <v>252.3</v>
      </c>
      <c r="O63" s="64">
        <v>0</v>
      </c>
      <c r="P63" s="64">
        <v>0.48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1069</v>
      </c>
      <c r="B64" s="64">
        <v>1.8</v>
      </c>
      <c r="C64" s="64">
        <v>9.82</v>
      </c>
      <c r="D64" s="64">
        <v>6.57</v>
      </c>
      <c r="E64" s="64">
        <v>4.75</v>
      </c>
      <c r="F64" s="64">
        <v>5.9</v>
      </c>
      <c r="G64" s="211" t="s">
        <v>42</v>
      </c>
      <c r="H64" s="211" t="s">
        <v>42</v>
      </c>
      <c r="I64" s="64">
        <v>4.34</v>
      </c>
      <c r="J64" s="64">
        <v>1.49</v>
      </c>
      <c r="K64" s="64">
        <v>336.77</v>
      </c>
      <c r="L64" s="64">
        <v>32.19</v>
      </c>
      <c r="M64" s="64">
        <v>62.91</v>
      </c>
      <c r="N64" s="64">
        <v>278.39999999999998</v>
      </c>
      <c r="O64" s="64">
        <v>0</v>
      </c>
      <c r="P64" s="64">
        <v>0.48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1070</v>
      </c>
      <c r="B65" s="64">
        <v>1.73</v>
      </c>
      <c r="C65" s="64">
        <v>11.58</v>
      </c>
      <c r="D65" s="64">
        <v>7.44</v>
      </c>
      <c r="E65" s="64">
        <v>4.47</v>
      </c>
      <c r="F65" s="64">
        <v>5.43</v>
      </c>
      <c r="G65" s="64">
        <v>15.27</v>
      </c>
      <c r="H65" s="211" t="s">
        <v>42</v>
      </c>
      <c r="I65" s="64">
        <v>4.01</v>
      </c>
      <c r="J65" s="64">
        <v>1.31</v>
      </c>
      <c r="K65" s="64">
        <v>330.69</v>
      </c>
      <c r="L65" s="64">
        <v>30.04</v>
      </c>
      <c r="M65" s="64">
        <v>67.69</v>
      </c>
      <c r="N65" s="64">
        <v>231.8</v>
      </c>
      <c r="O65" s="64">
        <v>0</v>
      </c>
      <c r="P65" s="64">
        <v>0.53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5" t="s">
        <v>1071</v>
      </c>
      <c r="B66" s="64">
        <v>1.98</v>
      </c>
      <c r="C66" s="64">
        <v>12.25</v>
      </c>
      <c r="D66" s="64">
        <v>7.98</v>
      </c>
      <c r="E66" s="64">
        <v>4.3899999999999997</v>
      </c>
      <c r="F66" s="64">
        <v>5.23</v>
      </c>
      <c r="G66" s="64">
        <v>18.579999999999998</v>
      </c>
      <c r="H66" s="211" t="s">
        <v>42</v>
      </c>
      <c r="I66" s="64">
        <v>3.49</v>
      </c>
      <c r="J66" s="64">
        <v>1.54</v>
      </c>
      <c r="K66" s="64">
        <v>333.62</v>
      </c>
      <c r="L66" s="64">
        <v>29.77</v>
      </c>
      <c r="M66" s="64">
        <v>64.11</v>
      </c>
      <c r="N66" s="64">
        <v>177.1</v>
      </c>
      <c r="O66" s="64">
        <v>0</v>
      </c>
      <c r="P66" s="64">
        <v>0.53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1072</v>
      </c>
      <c r="B67" s="64">
        <v>2.65</v>
      </c>
      <c r="C67" s="64">
        <v>12.38</v>
      </c>
      <c r="D67" s="64">
        <v>8.59</v>
      </c>
      <c r="E67" s="64">
        <v>4.3099999999999996</v>
      </c>
      <c r="F67" s="64">
        <v>3.34</v>
      </c>
      <c r="G67" s="64">
        <v>18.579999999999998</v>
      </c>
      <c r="H67" s="211" t="s">
        <v>42</v>
      </c>
      <c r="I67" s="64">
        <v>3.55</v>
      </c>
      <c r="J67" s="64">
        <v>1.47</v>
      </c>
      <c r="K67" s="64">
        <v>334.51</v>
      </c>
      <c r="L67" s="64">
        <v>29.81</v>
      </c>
      <c r="M67" s="64">
        <v>62.67</v>
      </c>
      <c r="N67" s="64">
        <v>133</v>
      </c>
      <c r="O67" s="64">
        <v>0</v>
      </c>
      <c r="P67" s="64">
        <v>0.54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1073</v>
      </c>
      <c r="B68" s="64">
        <v>3.73</v>
      </c>
      <c r="C68" s="64">
        <v>15.27</v>
      </c>
      <c r="D68" s="64">
        <v>10.97</v>
      </c>
      <c r="E68" s="64">
        <v>5.45</v>
      </c>
      <c r="F68" s="64">
        <v>5.83</v>
      </c>
      <c r="G68" s="64">
        <v>18.579999999999998</v>
      </c>
      <c r="H68" s="211" t="s">
        <v>42</v>
      </c>
      <c r="I68" s="64">
        <v>3.63</v>
      </c>
      <c r="J68" s="64">
        <v>1.4</v>
      </c>
      <c r="K68" s="64">
        <v>336.95</v>
      </c>
      <c r="L68" s="64">
        <v>30.26</v>
      </c>
      <c r="M68" s="64">
        <v>64.53</v>
      </c>
      <c r="N68" s="64">
        <v>127.2</v>
      </c>
      <c r="O68" s="64">
        <v>0</v>
      </c>
      <c r="P68" s="64">
        <v>0.62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1074</v>
      </c>
      <c r="B69" s="64">
        <v>4.01</v>
      </c>
      <c r="C69" s="64">
        <v>21.53</v>
      </c>
      <c r="D69" s="64">
        <v>14.46</v>
      </c>
      <c r="E69" s="64">
        <v>5.38</v>
      </c>
      <c r="F69" s="64">
        <v>6.45</v>
      </c>
      <c r="G69" s="64">
        <v>24.69</v>
      </c>
      <c r="H69" s="211" t="s">
        <v>42</v>
      </c>
      <c r="I69" s="64">
        <v>3.57</v>
      </c>
      <c r="J69" s="64">
        <v>0.97</v>
      </c>
      <c r="K69" s="64">
        <v>324.79000000000002</v>
      </c>
      <c r="L69" s="64">
        <v>29.54</v>
      </c>
      <c r="M69" s="64">
        <v>69.98</v>
      </c>
      <c r="N69" s="64">
        <v>114</v>
      </c>
      <c r="O69" s="64">
        <v>0</v>
      </c>
      <c r="P69" s="64">
        <v>0.67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1075</v>
      </c>
      <c r="B70" s="64">
        <v>3.44</v>
      </c>
      <c r="C70" s="64">
        <v>27.11</v>
      </c>
      <c r="D70" s="64">
        <v>16.920000000000002</v>
      </c>
      <c r="E70" s="64">
        <v>5.92</v>
      </c>
      <c r="F70" s="64">
        <v>10.94</v>
      </c>
      <c r="G70" s="64">
        <v>26.01</v>
      </c>
      <c r="H70" s="211" t="s">
        <v>42</v>
      </c>
      <c r="I70" s="64">
        <v>3.05</v>
      </c>
      <c r="J70" s="64">
        <v>1.28</v>
      </c>
      <c r="K70" s="64">
        <v>335.44</v>
      </c>
      <c r="L70" s="64">
        <v>30.28</v>
      </c>
      <c r="M70" s="64">
        <v>66.010000000000005</v>
      </c>
      <c r="N70" s="64">
        <v>104.1</v>
      </c>
      <c r="O70" s="64">
        <v>0</v>
      </c>
      <c r="P70" s="64">
        <v>0.66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1076</v>
      </c>
      <c r="B71" s="64">
        <v>2.23</v>
      </c>
      <c r="C71" s="64">
        <v>34.54</v>
      </c>
      <c r="D71" s="64">
        <v>19.84</v>
      </c>
      <c r="E71" s="64">
        <v>5.57</v>
      </c>
      <c r="F71" s="64">
        <v>9.0399999999999991</v>
      </c>
      <c r="G71" s="64">
        <v>26.01</v>
      </c>
      <c r="H71" s="211" t="s">
        <v>42</v>
      </c>
      <c r="I71" s="64">
        <v>2.75</v>
      </c>
      <c r="J71" s="64">
        <v>0.8</v>
      </c>
      <c r="K71" s="64">
        <v>333.12</v>
      </c>
      <c r="L71" s="64">
        <v>30.42</v>
      </c>
      <c r="M71" s="64">
        <v>64.62</v>
      </c>
      <c r="N71" s="64">
        <v>94.6</v>
      </c>
      <c r="O71" s="64">
        <v>0</v>
      </c>
      <c r="P71" s="64">
        <v>0.64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1077</v>
      </c>
      <c r="B72" s="64">
        <v>1.58</v>
      </c>
      <c r="C72" s="64">
        <v>30.76</v>
      </c>
      <c r="D72" s="64">
        <v>17.34</v>
      </c>
      <c r="E72" s="64">
        <v>5.67</v>
      </c>
      <c r="F72" s="64">
        <v>6.85</v>
      </c>
      <c r="G72" s="64">
        <v>26.01</v>
      </c>
      <c r="H72" s="211" t="s">
        <v>42</v>
      </c>
      <c r="I72" s="64">
        <v>2.58</v>
      </c>
      <c r="J72" s="64">
        <v>0.52</v>
      </c>
      <c r="K72" s="64">
        <v>350.35</v>
      </c>
      <c r="L72" s="64">
        <v>29.99</v>
      </c>
      <c r="M72" s="64">
        <v>68.209999999999994</v>
      </c>
      <c r="N72" s="64">
        <v>89.9</v>
      </c>
      <c r="O72" s="64">
        <v>0</v>
      </c>
      <c r="P72" s="64">
        <v>0.62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5" t="s">
        <v>1078</v>
      </c>
      <c r="B73" s="64">
        <v>1.85</v>
      </c>
      <c r="C73" s="64">
        <v>25.45</v>
      </c>
      <c r="D73" s="64">
        <v>14.78</v>
      </c>
      <c r="E73" s="64">
        <v>5.59</v>
      </c>
      <c r="F73" s="64">
        <v>5.3</v>
      </c>
      <c r="G73" s="64">
        <v>41.99</v>
      </c>
      <c r="H73" s="211" t="s">
        <v>42</v>
      </c>
      <c r="I73" s="64">
        <v>1.97</v>
      </c>
      <c r="J73" s="64">
        <v>1.4</v>
      </c>
      <c r="K73" s="64">
        <v>340.02</v>
      </c>
      <c r="L73" s="64">
        <v>30.2</v>
      </c>
      <c r="M73" s="64">
        <v>66.5</v>
      </c>
      <c r="N73" s="64">
        <v>82.7</v>
      </c>
      <c r="O73" s="64">
        <v>0</v>
      </c>
      <c r="P73" s="64">
        <v>0.66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5" t="s">
        <v>1079</v>
      </c>
      <c r="B74" s="64">
        <v>2.2599999999999998</v>
      </c>
      <c r="C74" s="64">
        <v>21.67</v>
      </c>
      <c r="D74" s="64">
        <v>13.13</v>
      </c>
      <c r="E74" s="64">
        <v>5.46</v>
      </c>
      <c r="F74" s="64">
        <v>5.41</v>
      </c>
      <c r="G74" s="64">
        <v>45.71</v>
      </c>
      <c r="H74" s="211" t="s">
        <v>42</v>
      </c>
      <c r="I74" s="64">
        <v>2.2000000000000002</v>
      </c>
      <c r="J74" s="64">
        <v>0.86</v>
      </c>
      <c r="K74" s="64">
        <v>341.59</v>
      </c>
      <c r="L74" s="64">
        <v>30</v>
      </c>
      <c r="M74" s="64">
        <v>66.31</v>
      </c>
      <c r="N74" s="64">
        <v>73.5</v>
      </c>
      <c r="O74" s="64">
        <v>0</v>
      </c>
      <c r="P74" s="64">
        <v>0.71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1080</v>
      </c>
      <c r="B75" s="64">
        <v>2.75</v>
      </c>
      <c r="C75" s="64">
        <v>19.47</v>
      </c>
      <c r="D75" s="64">
        <v>12.38</v>
      </c>
      <c r="E75" s="64">
        <v>6.21</v>
      </c>
      <c r="F75" s="64">
        <v>5.28</v>
      </c>
      <c r="G75" s="64">
        <v>45.71</v>
      </c>
      <c r="H75" s="211" t="s">
        <v>42</v>
      </c>
      <c r="I75" s="64">
        <v>2.68</v>
      </c>
      <c r="J75" s="64">
        <v>1.27</v>
      </c>
      <c r="K75" s="64">
        <v>339.15</v>
      </c>
      <c r="L75" s="64">
        <v>29.78</v>
      </c>
      <c r="M75" s="64">
        <v>67.14</v>
      </c>
      <c r="N75" s="64">
        <v>65.7</v>
      </c>
      <c r="O75" s="64">
        <v>0</v>
      </c>
      <c r="P75" s="64">
        <v>0.77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1081</v>
      </c>
      <c r="B76" s="64">
        <v>3.64</v>
      </c>
      <c r="C76" s="64">
        <v>19.600000000000001</v>
      </c>
      <c r="D76" s="64">
        <v>13.16</v>
      </c>
      <c r="E76" s="64">
        <v>5.59</v>
      </c>
      <c r="F76" s="64">
        <v>4.3</v>
      </c>
      <c r="G76" s="64">
        <v>45.71</v>
      </c>
      <c r="H76" s="211" t="s">
        <v>42</v>
      </c>
      <c r="I76" s="64">
        <v>2.63</v>
      </c>
      <c r="J76" s="64">
        <v>1.1100000000000001</v>
      </c>
      <c r="K76" s="64">
        <v>330.95</v>
      </c>
      <c r="L76" s="64">
        <v>29.08</v>
      </c>
      <c r="M76" s="64">
        <v>72.31</v>
      </c>
      <c r="N76" s="64">
        <v>54.2</v>
      </c>
      <c r="O76" s="64">
        <v>0</v>
      </c>
      <c r="P76" s="64">
        <v>0.79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1082</v>
      </c>
      <c r="B77" s="64">
        <v>3.98</v>
      </c>
      <c r="C77" s="64">
        <v>19.57</v>
      </c>
      <c r="D77" s="64">
        <v>13.41</v>
      </c>
      <c r="E77" s="64">
        <v>6.06</v>
      </c>
      <c r="F77" s="64">
        <v>5.62</v>
      </c>
      <c r="G77" s="64">
        <v>40.22</v>
      </c>
      <c r="H77" s="211" t="s">
        <v>42</v>
      </c>
      <c r="I77" s="64">
        <v>3.01</v>
      </c>
      <c r="J77" s="64">
        <v>0.57999999999999996</v>
      </c>
      <c r="K77" s="64">
        <v>309.77</v>
      </c>
      <c r="L77" s="64">
        <v>27.81</v>
      </c>
      <c r="M77" s="64">
        <v>76.59</v>
      </c>
      <c r="N77" s="64">
        <v>44.6</v>
      </c>
      <c r="O77" s="64">
        <v>0</v>
      </c>
      <c r="P77" s="64">
        <v>0.75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1083</v>
      </c>
      <c r="B78" s="64">
        <v>4.03</v>
      </c>
      <c r="C78" s="64">
        <v>18.39</v>
      </c>
      <c r="D78" s="64">
        <v>12.84</v>
      </c>
      <c r="E78" s="64">
        <v>5.68</v>
      </c>
      <c r="F78" s="64">
        <v>5.83</v>
      </c>
      <c r="G78" s="64">
        <v>38.94</v>
      </c>
      <c r="H78" s="211" t="s">
        <v>42</v>
      </c>
      <c r="I78" s="64">
        <v>3.29</v>
      </c>
      <c r="J78" s="64">
        <v>0.26</v>
      </c>
      <c r="K78" s="64">
        <v>288.52999999999997</v>
      </c>
      <c r="L78" s="64">
        <v>27.5</v>
      </c>
      <c r="M78" s="64">
        <v>76.28</v>
      </c>
      <c r="N78" s="64">
        <v>35.799999999999997</v>
      </c>
      <c r="O78" s="64">
        <v>0</v>
      </c>
      <c r="P78" s="64">
        <v>0.73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5" t="s">
        <v>1084</v>
      </c>
      <c r="B79" s="64">
        <v>3.84</v>
      </c>
      <c r="C79" s="64">
        <v>17</v>
      </c>
      <c r="D79" s="64">
        <v>11.96</v>
      </c>
      <c r="E79" s="64">
        <v>5.78</v>
      </c>
      <c r="F79" s="64">
        <v>5.9</v>
      </c>
      <c r="G79" s="64">
        <v>38.94</v>
      </c>
      <c r="H79" s="211" t="s">
        <v>42</v>
      </c>
      <c r="I79" s="64">
        <v>2.79</v>
      </c>
      <c r="J79" s="64">
        <v>0.2</v>
      </c>
      <c r="K79" s="64">
        <v>319.8</v>
      </c>
      <c r="L79" s="64">
        <v>27.22</v>
      </c>
      <c r="M79" s="64">
        <v>77.790000000000006</v>
      </c>
      <c r="N79" s="64">
        <v>30.2</v>
      </c>
      <c r="O79" s="64">
        <v>0</v>
      </c>
      <c r="P79" s="64">
        <v>0.71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1085</v>
      </c>
      <c r="B80" s="64">
        <v>3.53</v>
      </c>
      <c r="C80" s="64">
        <v>15.1</v>
      </c>
      <c r="D80" s="64">
        <v>10.72</v>
      </c>
      <c r="E80" s="64">
        <v>5.44</v>
      </c>
      <c r="F80" s="64">
        <v>2.96</v>
      </c>
      <c r="G80" s="64">
        <v>38.94</v>
      </c>
      <c r="H80" s="211" t="s">
        <v>42</v>
      </c>
      <c r="I80" s="64">
        <v>2.88</v>
      </c>
      <c r="J80" s="64">
        <v>0.18</v>
      </c>
      <c r="K80" s="64">
        <v>293.14</v>
      </c>
      <c r="L80" s="64">
        <v>26.95</v>
      </c>
      <c r="M80" s="64">
        <v>78.28</v>
      </c>
      <c r="N80" s="64">
        <v>26.9</v>
      </c>
      <c r="O80" s="64">
        <v>0</v>
      </c>
      <c r="P80" s="64">
        <v>0.75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1086</v>
      </c>
      <c r="B81" s="64">
        <v>3.43</v>
      </c>
      <c r="C81" s="64">
        <v>13.73</v>
      </c>
      <c r="D81" s="64">
        <v>9.92</v>
      </c>
      <c r="E81" s="64">
        <v>5.69</v>
      </c>
      <c r="F81" s="64">
        <v>4.91</v>
      </c>
      <c r="G81" s="64">
        <v>50.66</v>
      </c>
      <c r="H81" s="211" t="s">
        <v>42</v>
      </c>
      <c r="I81" s="64">
        <v>3.39</v>
      </c>
      <c r="J81" s="64">
        <v>0.33</v>
      </c>
      <c r="K81" s="64">
        <v>61.54</v>
      </c>
      <c r="L81" s="64">
        <v>26.74</v>
      </c>
      <c r="M81" s="64">
        <v>80.069999999999993</v>
      </c>
      <c r="N81" s="64">
        <v>26.3</v>
      </c>
      <c r="O81" s="64">
        <v>0</v>
      </c>
      <c r="P81" s="64">
        <v>0.78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1087</v>
      </c>
      <c r="B82" s="64">
        <v>4</v>
      </c>
      <c r="C82" s="64">
        <v>13.66</v>
      </c>
      <c r="D82" s="64">
        <v>10.34</v>
      </c>
      <c r="E82" s="64">
        <v>5.92</v>
      </c>
      <c r="F82" s="64">
        <v>3.35</v>
      </c>
      <c r="G82" s="64">
        <v>53.19</v>
      </c>
      <c r="H82" s="211" t="s">
        <v>42</v>
      </c>
      <c r="I82" s="64">
        <v>3.03</v>
      </c>
      <c r="J82" s="64">
        <v>0.2</v>
      </c>
      <c r="K82" s="64">
        <v>75.459999999999994</v>
      </c>
      <c r="L82" s="64">
        <v>26.95</v>
      </c>
      <c r="M82" s="64">
        <v>76.52</v>
      </c>
      <c r="N82" s="64">
        <v>26.1</v>
      </c>
      <c r="O82" s="64">
        <v>0</v>
      </c>
      <c r="P82" s="64">
        <v>1.03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5" t="s">
        <v>1088</v>
      </c>
      <c r="B83" s="64">
        <v>4.18</v>
      </c>
      <c r="C83" s="64">
        <v>12.79</v>
      </c>
      <c r="D83" s="64">
        <v>10.039999999999999</v>
      </c>
      <c r="E83" s="64">
        <v>6.15</v>
      </c>
      <c r="F83" s="64">
        <v>4.43</v>
      </c>
      <c r="G83" s="64">
        <v>53.19</v>
      </c>
      <c r="H83" s="211" t="s">
        <v>42</v>
      </c>
      <c r="I83" s="64">
        <v>3.94</v>
      </c>
      <c r="J83" s="64">
        <v>0.41</v>
      </c>
      <c r="K83" s="64">
        <v>108.14</v>
      </c>
      <c r="L83" s="64">
        <v>27.03</v>
      </c>
      <c r="M83" s="64">
        <v>77.28</v>
      </c>
      <c r="N83" s="64">
        <v>26.1</v>
      </c>
      <c r="O83" s="64">
        <v>0</v>
      </c>
      <c r="P83" s="64">
        <v>0.75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1089</v>
      </c>
      <c r="B84" s="64">
        <v>3.87</v>
      </c>
      <c r="C84" s="64">
        <v>12.76</v>
      </c>
      <c r="D84" s="64">
        <v>9.77</v>
      </c>
      <c r="E84" s="64">
        <v>5.81</v>
      </c>
      <c r="F84" s="64">
        <v>4.4400000000000004</v>
      </c>
      <c r="G84" s="64">
        <v>53.19</v>
      </c>
      <c r="H84" s="211" t="s">
        <v>42</v>
      </c>
      <c r="I84" s="64">
        <v>3.15</v>
      </c>
      <c r="J84" s="64">
        <v>0.39</v>
      </c>
      <c r="K84" s="64">
        <v>117.54</v>
      </c>
      <c r="L84" s="64">
        <v>26.98</v>
      </c>
      <c r="M84" s="64">
        <v>77.22</v>
      </c>
      <c r="N84" s="64">
        <v>26.1</v>
      </c>
      <c r="O84" s="64">
        <v>0</v>
      </c>
      <c r="P84" s="64">
        <v>0.87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1090</v>
      </c>
      <c r="B85" s="64">
        <v>3.68</v>
      </c>
      <c r="C85" s="64">
        <v>12.28</v>
      </c>
      <c r="D85" s="64">
        <v>9.36</v>
      </c>
      <c r="E85" s="64">
        <v>5.88</v>
      </c>
      <c r="F85" s="64">
        <v>4.33</v>
      </c>
      <c r="G85" s="64">
        <v>54.77</v>
      </c>
      <c r="H85" s="64">
        <v>7.53</v>
      </c>
      <c r="I85" s="64">
        <v>2.67</v>
      </c>
      <c r="J85" s="64">
        <v>0.62</v>
      </c>
      <c r="K85" s="64">
        <v>106.32</v>
      </c>
      <c r="L85" s="64">
        <v>27.05</v>
      </c>
      <c r="M85" s="64">
        <v>76.25</v>
      </c>
      <c r="N85" s="64">
        <v>25.9</v>
      </c>
      <c r="O85" s="64">
        <v>0</v>
      </c>
      <c r="P85" s="64">
        <v>0.71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1091</v>
      </c>
      <c r="B86" s="64">
        <v>3.54</v>
      </c>
      <c r="C86" s="64">
        <v>12.2</v>
      </c>
      <c r="D86" s="64">
        <v>9.2100000000000009</v>
      </c>
      <c r="E86" s="64">
        <v>5.85</v>
      </c>
      <c r="F86" s="64">
        <v>4.74</v>
      </c>
      <c r="G86" s="64">
        <v>55.11</v>
      </c>
      <c r="H86" s="64">
        <v>7.53</v>
      </c>
      <c r="I86" s="64">
        <v>3.27</v>
      </c>
      <c r="J86" s="64">
        <v>0.68</v>
      </c>
      <c r="K86" s="64">
        <v>116.42</v>
      </c>
      <c r="L86" s="64">
        <v>27.12</v>
      </c>
      <c r="M86" s="64">
        <v>76</v>
      </c>
      <c r="N86" s="64">
        <v>25.9</v>
      </c>
      <c r="O86" s="64">
        <v>0</v>
      </c>
      <c r="P86" s="64">
        <v>0.8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1092</v>
      </c>
      <c r="B87" s="64">
        <v>3.44</v>
      </c>
      <c r="C87" s="64">
        <v>12.06</v>
      </c>
      <c r="D87" s="64">
        <v>9.06</v>
      </c>
      <c r="E87" s="64">
        <v>5.73</v>
      </c>
      <c r="F87" s="64">
        <v>3.11</v>
      </c>
      <c r="G87" s="64">
        <v>55.11</v>
      </c>
      <c r="H87" s="64">
        <v>7.53</v>
      </c>
      <c r="I87" s="64">
        <v>3.32</v>
      </c>
      <c r="J87" s="64">
        <v>0.56999999999999995</v>
      </c>
      <c r="K87" s="64">
        <v>106.07</v>
      </c>
      <c r="L87" s="64">
        <v>27.1</v>
      </c>
      <c r="M87" s="64">
        <v>75.42</v>
      </c>
      <c r="N87" s="64">
        <v>26.1</v>
      </c>
      <c r="O87" s="64">
        <v>0</v>
      </c>
      <c r="P87" s="64">
        <v>0.76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1093</v>
      </c>
      <c r="B88" s="64">
        <v>3.49</v>
      </c>
      <c r="C88" s="64">
        <v>11.45</v>
      </c>
      <c r="D88" s="64">
        <v>8.7799999999999994</v>
      </c>
      <c r="E88" s="64">
        <v>6.22</v>
      </c>
      <c r="F88" s="64">
        <v>4.37</v>
      </c>
      <c r="G88" s="64">
        <v>55.11</v>
      </c>
      <c r="H88" s="64">
        <v>7.53</v>
      </c>
      <c r="I88" s="64">
        <v>3.44</v>
      </c>
      <c r="J88" s="64">
        <v>0.51</v>
      </c>
      <c r="K88" s="64">
        <v>93.29</v>
      </c>
      <c r="L88" s="64">
        <v>26.93</v>
      </c>
      <c r="M88" s="64">
        <v>77.92</v>
      </c>
      <c r="N88" s="64">
        <v>26.1</v>
      </c>
      <c r="O88" s="64">
        <v>0</v>
      </c>
      <c r="P88" s="64">
        <v>0.82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5" t="s">
        <v>1094</v>
      </c>
      <c r="B89" s="64">
        <v>3.44</v>
      </c>
      <c r="C89" s="64">
        <v>11.06</v>
      </c>
      <c r="D89" s="64">
        <v>8.5299999999999994</v>
      </c>
      <c r="E89" s="64">
        <v>5.45</v>
      </c>
      <c r="F89" s="64">
        <v>3.99</v>
      </c>
      <c r="G89" s="64">
        <v>54.25</v>
      </c>
      <c r="H89" s="64">
        <v>17.53</v>
      </c>
      <c r="I89" s="64">
        <v>3.5</v>
      </c>
      <c r="J89" s="64">
        <v>0.44</v>
      </c>
      <c r="K89" s="64">
        <v>107.62</v>
      </c>
      <c r="L89" s="64">
        <v>26.85</v>
      </c>
      <c r="M89" s="64">
        <v>80.959999999999994</v>
      </c>
      <c r="N89" s="64">
        <v>26.1</v>
      </c>
      <c r="O89" s="64">
        <v>0</v>
      </c>
      <c r="P89" s="64">
        <v>0.84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1095</v>
      </c>
      <c r="B90" s="64">
        <v>3.5</v>
      </c>
      <c r="C90" s="64">
        <v>10.73</v>
      </c>
      <c r="D90" s="64">
        <v>8.42</v>
      </c>
      <c r="E90" s="64">
        <v>5.09</v>
      </c>
      <c r="F90" s="64">
        <v>4.6900000000000004</v>
      </c>
      <c r="G90" s="64">
        <v>54.07</v>
      </c>
      <c r="H90" s="64">
        <v>17.53</v>
      </c>
      <c r="I90" s="64">
        <v>3.46</v>
      </c>
      <c r="J90" s="64">
        <v>0.13</v>
      </c>
      <c r="K90" s="64">
        <v>22.47</v>
      </c>
      <c r="L90" s="64">
        <v>26.73</v>
      </c>
      <c r="M90" s="64">
        <v>84.52</v>
      </c>
      <c r="N90" s="64">
        <v>26.1</v>
      </c>
      <c r="O90" s="64">
        <v>0</v>
      </c>
      <c r="P90" s="64">
        <v>1.03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1096</v>
      </c>
      <c r="B91" s="64">
        <v>3.86</v>
      </c>
      <c r="C91" s="64">
        <v>10.7</v>
      </c>
      <c r="D91" s="64">
        <v>8.69</v>
      </c>
      <c r="E91" s="64">
        <v>5.31</v>
      </c>
      <c r="F91" s="64">
        <v>4.7699999999999996</v>
      </c>
      <c r="G91" s="64">
        <v>54.07</v>
      </c>
      <c r="H91" s="64">
        <v>7.53</v>
      </c>
      <c r="I91" s="64">
        <v>3.3</v>
      </c>
      <c r="J91" s="64">
        <v>0.57999999999999996</v>
      </c>
      <c r="K91" s="64">
        <v>99.09</v>
      </c>
      <c r="L91" s="64">
        <v>26.71</v>
      </c>
      <c r="M91" s="64">
        <v>86.18</v>
      </c>
      <c r="N91" s="64">
        <v>26</v>
      </c>
      <c r="O91" s="64">
        <v>0</v>
      </c>
      <c r="P91" s="64">
        <v>0.76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1097</v>
      </c>
      <c r="B92" s="64">
        <v>3.84</v>
      </c>
      <c r="C92" s="64">
        <v>10.57</v>
      </c>
      <c r="D92" s="64">
        <v>8.6</v>
      </c>
      <c r="E92" s="64">
        <v>5.01</v>
      </c>
      <c r="F92" s="64">
        <v>4.2300000000000004</v>
      </c>
      <c r="G92" s="64">
        <v>54.07</v>
      </c>
      <c r="H92" s="64">
        <v>7.53</v>
      </c>
      <c r="I92" s="64">
        <v>3.6</v>
      </c>
      <c r="J92" s="64">
        <v>1.1299999999999999</v>
      </c>
      <c r="K92" s="64">
        <v>102.3</v>
      </c>
      <c r="L92" s="64">
        <v>26.76</v>
      </c>
      <c r="M92" s="64">
        <v>88.63</v>
      </c>
      <c r="N92" s="64">
        <v>25.9</v>
      </c>
      <c r="O92" s="64">
        <v>0</v>
      </c>
      <c r="P92" s="64">
        <v>0.64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1098</v>
      </c>
      <c r="B93" s="64">
        <v>3.63</v>
      </c>
      <c r="C93" s="64">
        <v>10.1</v>
      </c>
      <c r="D93" s="64">
        <v>8.19</v>
      </c>
      <c r="E93" s="64">
        <v>5.07</v>
      </c>
      <c r="F93" s="64">
        <v>4.07</v>
      </c>
      <c r="G93" s="64">
        <v>54.28</v>
      </c>
      <c r="H93" s="64">
        <v>7.74</v>
      </c>
      <c r="I93" s="64">
        <v>3.27</v>
      </c>
      <c r="J93" s="64">
        <v>0.59</v>
      </c>
      <c r="K93" s="64">
        <v>133.38999999999999</v>
      </c>
      <c r="L93" s="64">
        <v>26.45</v>
      </c>
      <c r="M93" s="64">
        <v>93.83</v>
      </c>
      <c r="N93" s="64">
        <v>26.3</v>
      </c>
      <c r="O93" s="64">
        <v>0</v>
      </c>
      <c r="P93" s="64">
        <v>0.56000000000000005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5" t="s">
        <v>1099</v>
      </c>
      <c r="B94" s="64">
        <v>3.46</v>
      </c>
      <c r="C94" s="64">
        <v>9.6999999999999993</v>
      </c>
      <c r="D94" s="64">
        <v>7.84</v>
      </c>
      <c r="E94" s="64">
        <v>5.51</v>
      </c>
      <c r="F94" s="64">
        <v>4.17</v>
      </c>
      <c r="G94" s="64">
        <v>54.33</v>
      </c>
      <c r="H94" s="64">
        <v>7.74</v>
      </c>
      <c r="I94" s="64">
        <v>3.11</v>
      </c>
      <c r="J94" s="64">
        <v>0.39</v>
      </c>
      <c r="K94" s="64">
        <v>158.84</v>
      </c>
      <c r="L94" s="64">
        <v>26.16</v>
      </c>
      <c r="M94" s="64">
        <v>96.82</v>
      </c>
      <c r="N94" s="64">
        <v>26.3</v>
      </c>
      <c r="O94" s="64">
        <v>0</v>
      </c>
      <c r="P94" s="64">
        <v>0.56000000000000005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5" t="s">
        <v>1100</v>
      </c>
      <c r="B95" s="64">
        <v>3.47</v>
      </c>
      <c r="C95" s="64">
        <v>9.17</v>
      </c>
      <c r="D95" s="64">
        <v>7.58</v>
      </c>
      <c r="E95" s="64">
        <v>4.8899999999999997</v>
      </c>
      <c r="F95" s="64">
        <v>4.0999999999999996</v>
      </c>
      <c r="G95" s="64">
        <v>54.33</v>
      </c>
      <c r="H95" s="64">
        <v>7.74</v>
      </c>
      <c r="I95" s="64">
        <v>2.48</v>
      </c>
      <c r="J95" s="64">
        <v>0.32</v>
      </c>
      <c r="K95" s="64">
        <v>120</v>
      </c>
      <c r="L95" s="64">
        <v>25.94</v>
      </c>
      <c r="M95" s="64">
        <v>99.03</v>
      </c>
      <c r="N95" s="64">
        <v>26.2</v>
      </c>
      <c r="O95" s="64">
        <v>0</v>
      </c>
      <c r="P95" s="64">
        <v>0.57999999999999996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1101</v>
      </c>
      <c r="B96" s="64">
        <v>4</v>
      </c>
      <c r="C96" s="64">
        <v>9.52</v>
      </c>
      <c r="D96" s="64">
        <v>8.18</v>
      </c>
      <c r="E96" s="64">
        <v>5.29</v>
      </c>
      <c r="F96" s="64">
        <v>4.46</v>
      </c>
      <c r="G96" s="64">
        <v>54.33</v>
      </c>
      <c r="H96" s="64">
        <v>7.74</v>
      </c>
      <c r="I96" s="64">
        <v>2.1</v>
      </c>
      <c r="J96" s="64">
        <v>0.67</v>
      </c>
      <c r="K96" s="64">
        <v>153.69999999999999</v>
      </c>
      <c r="L96" s="64">
        <v>25.69</v>
      </c>
      <c r="M96" s="64">
        <v>100.56</v>
      </c>
      <c r="N96" s="64">
        <v>26.1</v>
      </c>
      <c r="O96" s="64">
        <v>0</v>
      </c>
      <c r="P96" s="64">
        <v>0.68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1102</v>
      </c>
      <c r="B97" s="64">
        <v>4.22</v>
      </c>
      <c r="C97" s="64">
        <v>9.07</v>
      </c>
      <c r="D97" s="64">
        <v>8.1199999999999992</v>
      </c>
      <c r="E97" s="64">
        <v>5.27</v>
      </c>
      <c r="F97" s="64">
        <v>3.59</v>
      </c>
      <c r="G97" s="64">
        <v>53.14</v>
      </c>
      <c r="H97" s="64">
        <v>1.08</v>
      </c>
      <c r="I97" s="64">
        <v>3.57</v>
      </c>
      <c r="J97" s="64">
        <v>0.43</v>
      </c>
      <c r="K97" s="64">
        <v>137.65</v>
      </c>
      <c r="L97" s="64">
        <v>25.65</v>
      </c>
      <c r="M97" s="64">
        <v>99.99</v>
      </c>
      <c r="N97" s="64">
        <v>26.1</v>
      </c>
      <c r="O97" s="64">
        <v>0</v>
      </c>
      <c r="P97" s="64">
        <v>0.56999999999999995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1103</v>
      </c>
      <c r="B98" s="64">
        <v>4.54</v>
      </c>
      <c r="C98" s="64">
        <v>8.57</v>
      </c>
      <c r="D98" s="64">
        <v>8.1199999999999992</v>
      </c>
      <c r="E98" s="64">
        <v>5.3</v>
      </c>
      <c r="F98" s="64">
        <v>3.09</v>
      </c>
      <c r="G98" s="64">
        <v>52.89</v>
      </c>
      <c r="H98" s="64">
        <v>1.08</v>
      </c>
      <c r="I98" s="64">
        <v>4.13</v>
      </c>
      <c r="J98" s="64">
        <v>0.28999999999999998</v>
      </c>
      <c r="K98" s="64">
        <v>40.76</v>
      </c>
      <c r="L98" s="64">
        <v>25.49</v>
      </c>
      <c r="M98" s="64">
        <v>100.66</v>
      </c>
      <c r="N98" s="64">
        <v>26.2</v>
      </c>
      <c r="O98" s="64">
        <v>0</v>
      </c>
      <c r="P98" s="64">
        <v>0.59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1104</v>
      </c>
      <c r="B99" s="64">
        <v>5.34</v>
      </c>
      <c r="C99" s="64">
        <v>8.15</v>
      </c>
      <c r="D99" s="64">
        <v>8.5399999999999991</v>
      </c>
      <c r="E99" s="64">
        <v>5.29</v>
      </c>
      <c r="F99" s="64">
        <v>4.28</v>
      </c>
      <c r="G99" s="64">
        <v>52.89</v>
      </c>
      <c r="H99" s="64">
        <v>1.08</v>
      </c>
      <c r="I99" s="64">
        <v>4.08</v>
      </c>
      <c r="J99" s="64">
        <v>0.24</v>
      </c>
      <c r="K99" s="64">
        <v>330.5</v>
      </c>
      <c r="L99" s="64">
        <v>25.29</v>
      </c>
      <c r="M99" s="64">
        <v>102.47</v>
      </c>
      <c r="N99" s="64">
        <v>26.2</v>
      </c>
      <c r="O99" s="64">
        <v>0</v>
      </c>
      <c r="P99" s="64">
        <v>0.66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5" t="s">
        <v>1105</v>
      </c>
      <c r="B100" s="64">
        <v>5.88</v>
      </c>
      <c r="C100" s="64">
        <v>8.0299999999999994</v>
      </c>
      <c r="D100" s="64">
        <v>8.91</v>
      </c>
      <c r="E100" s="64">
        <v>5.27</v>
      </c>
      <c r="F100" s="64">
        <v>2.39</v>
      </c>
      <c r="G100" s="64">
        <v>52.89</v>
      </c>
      <c r="H100" s="64">
        <v>1.08</v>
      </c>
      <c r="I100" s="64">
        <v>2.64</v>
      </c>
      <c r="J100" s="64">
        <v>0.47</v>
      </c>
      <c r="K100" s="64">
        <v>154.32</v>
      </c>
      <c r="L100" s="64">
        <v>25.18</v>
      </c>
      <c r="M100" s="64">
        <v>102.49</v>
      </c>
      <c r="N100" s="64">
        <v>26</v>
      </c>
      <c r="O100" s="64">
        <v>0</v>
      </c>
      <c r="P100" s="64">
        <v>0.54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1106</v>
      </c>
      <c r="B101" s="64">
        <v>5.76</v>
      </c>
      <c r="C101" s="64">
        <v>7.41</v>
      </c>
      <c r="D101" s="64">
        <v>8.49</v>
      </c>
      <c r="E101" s="64">
        <v>5.14</v>
      </c>
      <c r="F101" s="64">
        <v>3.76</v>
      </c>
      <c r="G101" s="64">
        <v>45.35</v>
      </c>
      <c r="H101" s="64">
        <v>0.17</v>
      </c>
      <c r="I101" s="64">
        <v>3.5</v>
      </c>
      <c r="J101" s="64">
        <v>0.1</v>
      </c>
      <c r="K101" s="64">
        <v>19.13</v>
      </c>
      <c r="L101" s="64">
        <v>25.05</v>
      </c>
      <c r="M101" s="64">
        <v>101.83</v>
      </c>
      <c r="N101" s="64">
        <v>26.1</v>
      </c>
      <c r="O101" s="64">
        <v>0</v>
      </c>
      <c r="P101" s="64">
        <v>0.6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5" t="s">
        <v>1107</v>
      </c>
      <c r="B102" s="64">
        <v>5.62</v>
      </c>
      <c r="C102" s="64">
        <v>6.9</v>
      </c>
      <c r="D102" s="64">
        <v>8.11</v>
      </c>
      <c r="E102" s="64">
        <v>4.84</v>
      </c>
      <c r="F102" s="64">
        <v>2.91</v>
      </c>
      <c r="G102" s="64">
        <v>43.72</v>
      </c>
      <c r="H102" s="64">
        <v>0.17</v>
      </c>
      <c r="I102" s="64">
        <v>3.23</v>
      </c>
      <c r="J102" s="64">
        <v>0.73</v>
      </c>
      <c r="K102" s="64">
        <v>133.59</v>
      </c>
      <c r="L102" s="64">
        <v>24.86</v>
      </c>
      <c r="M102" s="64">
        <v>101.7</v>
      </c>
      <c r="N102" s="64">
        <v>26.1</v>
      </c>
      <c r="O102" s="64">
        <v>0</v>
      </c>
      <c r="P102" s="64">
        <v>0.49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5" t="s">
        <v>1108</v>
      </c>
      <c r="B103" s="64">
        <v>5.52</v>
      </c>
      <c r="C103" s="64">
        <v>6.53</v>
      </c>
      <c r="D103" s="64">
        <v>7.83</v>
      </c>
      <c r="E103" s="64">
        <v>5.25</v>
      </c>
      <c r="F103" s="64">
        <v>3.53</v>
      </c>
      <c r="G103" s="64">
        <v>43.72</v>
      </c>
      <c r="H103" s="64">
        <v>0.17</v>
      </c>
      <c r="I103" s="64">
        <v>2.77</v>
      </c>
      <c r="J103" s="64">
        <v>0.3</v>
      </c>
      <c r="K103" s="64">
        <v>126.21</v>
      </c>
      <c r="L103" s="64">
        <v>24.74</v>
      </c>
      <c r="M103" s="64">
        <v>102.67</v>
      </c>
      <c r="N103" s="64">
        <v>26.1</v>
      </c>
      <c r="O103" s="64">
        <v>0</v>
      </c>
      <c r="P103" s="64">
        <v>0.53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1109</v>
      </c>
      <c r="B104" s="64">
        <v>5.41</v>
      </c>
      <c r="C104" s="64">
        <v>6.09</v>
      </c>
      <c r="D104" s="64">
        <v>7.52</v>
      </c>
      <c r="E104" s="64">
        <v>4.1399999999999997</v>
      </c>
      <c r="F104" s="64">
        <v>4.09</v>
      </c>
      <c r="G104" s="64">
        <v>43.72</v>
      </c>
      <c r="H104" s="64">
        <v>0.17</v>
      </c>
      <c r="I104" s="64">
        <v>3.37</v>
      </c>
      <c r="J104" s="64">
        <v>0.16</v>
      </c>
      <c r="K104" s="64">
        <v>18.32</v>
      </c>
      <c r="L104" s="64">
        <v>24.58</v>
      </c>
      <c r="M104" s="64">
        <v>102.68</v>
      </c>
      <c r="N104" s="64">
        <v>26.1</v>
      </c>
      <c r="O104" s="64">
        <v>0</v>
      </c>
      <c r="P104" s="64">
        <v>0.54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0.57999999999999996</v>
      </c>
      <c r="C106" s="67">
        <f>MIN(C9:C104)</f>
        <v>4.7300000000000004</v>
      </c>
      <c r="D106" s="67">
        <f t="shared" ref="D106:Q106" si="0">MIN(D9:D104)</f>
        <v>4.62</v>
      </c>
      <c r="E106" s="67">
        <f t="shared" si="0"/>
        <v>3.49</v>
      </c>
      <c r="F106" s="67">
        <f t="shared" si="0"/>
        <v>2.39</v>
      </c>
      <c r="G106" s="67">
        <f t="shared" si="0"/>
        <v>4.03</v>
      </c>
      <c r="H106" s="67">
        <f t="shared" si="0"/>
        <v>0.17</v>
      </c>
      <c r="I106" s="67">
        <f t="shared" si="0"/>
        <v>1.79</v>
      </c>
      <c r="J106" s="67">
        <f t="shared" si="0"/>
        <v>0.05</v>
      </c>
      <c r="K106" s="67">
        <f t="shared" si="0"/>
        <v>1.27</v>
      </c>
      <c r="L106" s="67">
        <f t="shared" si="0"/>
        <v>22.81</v>
      </c>
      <c r="M106" s="67">
        <f t="shared" si="0"/>
        <v>62.03</v>
      </c>
      <c r="N106" s="67">
        <f t="shared" si="0"/>
        <v>25.7</v>
      </c>
      <c r="O106" s="67">
        <f t="shared" si="0"/>
        <v>0</v>
      </c>
      <c r="P106" s="67">
        <f t="shared" si="0"/>
        <v>0.42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22.22</v>
      </c>
      <c r="C107" s="66">
        <f t="shared" ref="C107:Q107" si="1">MAX(C9:C104)</f>
        <v>34.54</v>
      </c>
      <c r="D107" s="66">
        <f t="shared" si="1"/>
        <v>21.79</v>
      </c>
      <c r="E107" s="66">
        <f t="shared" si="1"/>
        <v>7.4</v>
      </c>
      <c r="F107" s="66">
        <f t="shared" si="1"/>
        <v>10.94</v>
      </c>
      <c r="G107" s="66">
        <f t="shared" si="1"/>
        <v>102.03</v>
      </c>
      <c r="H107" s="66">
        <f t="shared" si="1"/>
        <v>17.53</v>
      </c>
      <c r="I107" s="66">
        <f t="shared" si="1"/>
        <v>6.38</v>
      </c>
      <c r="J107" s="66">
        <f t="shared" si="1"/>
        <v>1.73</v>
      </c>
      <c r="K107" s="66">
        <f t="shared" si="1"/>
        <v>351.55</v>
      </c>
      <c r="L107" s="66">
        <f t="shared" si="1"/>
        <v>32.520000000000003</v>
      </c>
      <c r="M107" s="66">
        <f t="shared" si="1"/>
        <v>102.73</v>
      </c>
      <c r="N107" s="66">
        <f t="shared" si="1"/>
        <v>872.2</v>
      </c>
      <c r="O107" s="66">
        <f t="shared" si="1"/>
        <v>0</v>
      </c>
      <c r="P107" s="66">
        <f t="shared" si="1"/>
        <v>1.03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9.6451041666666679</v>
      </c>
      <c r="C108" s="67">
        <f t="shared" ref="C108:Q108" si="2">AVERAGE(C9:C104)</f>
        <v>10.606770833333334</v>
      </c>
      <c r="D108" s="67">
        <f t="shared" si="2"/>
        <v>13.272708333333327</v>
      </c>
      <c r="E108" s="67">
        <f t="shared" si="2"/>
        <v>5.4713541666666652</v>
      </c>
      <c r="F108" s="67">
        <f t="shared" si="2"/>
        <v>4.5071874999999988</v>
      </c>
      <c r="G108" s="67">
        <f t="shared" si="2"/>
        <v>48.395168539325873</v>
      </c>
      <c r="H108" s="67">
        <f t="shared" si="2"/>
        <v>4.3537500000000025</v>
      </c>
      <c r="I108" s="67">
        <f t="shared" si="2"/>
        <v>3.5467708333333334</v>
      </c>
      <c r="J108" s="67">
        <f t="shared" si="2"/>
        <v>0.60218749999999988</v>
      </c>
      <c r="K108" s="67">
        <f t="shared" si="2"/>
        <v>193.02822916666673</v>
      </c>
      <c r="L108" s="67">
        <f t="shared" si="2"/>
        <v>27.097708333333326</v>
      </c>
      <c r="M108" s="67">
        <f t="shared" si="2"/>
        <v>85.798749999999998</v>
      </c>
      <c r="N108" s="67">
        <f t="shared" si="2"/>
        <v>158.02812500000005</v>
      </c>
      <c r="O108" s="67">
        <f t="shared" si="2"/>
        <v>0</v>
      </c>
      <c r="P108" s="67">
        <f t="shared" si="2"/>
        <v>0.66052083333333311</v>
      </c>
      <c r="Q108" s="67">
        <f t="shared" si="2"/>
        <v>9.6137500000000085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7.4200449700427082</v>
      </c>
      <c r="C109" s="67">
        <f t="shared" ref="C109:Q109" si="3">STDEV(C9:C104)</f>
        <v>5.7955123282527712</v>
      </c>
      <c r="D109" s="67">
        <f t="shared" si="3"/>
        <v>5.09651056666622</v>
      </c>
      <c r="E109" s="67">
        <f t="shared" si="3"/>
        <v>0.78538575140423184</v>
      </c>
      <c r="F109" s="67">
        <f t="shared" si="3"/>
        <v>1.5262425158228545</v>
      </c>
      <c r="G109" s="67">
        <f t="shared" si="3"/>
        <v>19.613035965928763</v>
      </c>
      <c r="H109" s="67">
        <f t="shared" si="3"/>
        <v>3.1604980017471314</v>
      </c>
      <c r="I109" s="67">
        <f t="shared" si="3"/>
        <v>1.0093400603642662</v>
      </c>
      <c r="J109" s="67">
        <f t="shared" si="3"/>
        <v>0.41517074008298432</v>
      </c>
      <c r="K109" s="67">
        <f t="shared" si="3"/>
        <v>118.15231936155685</v>
      </c>
      <c r="L109" s="67">
        <f t="shared" si="3"/>
        <v>3.0615924577241325</v>
      </c>
      <c r="M109" s="67">
        <f t="shared" si="3"/>
        <v>15.211016523697866</v>
      </c>
      <c r="N109" s="67">
        <f t="shared" si="3"/>
        <v>208.436517006283</v>
      </c>
      <c r="O109" s="67">
        <f t="shared" si="3"/>
        <v>0</v>
      </c>
      <c r="P109" s="67">
        <f t="shared" si="3"/>
        <v>0.14306693164328613</v>
      </c>
      <c r="Q109" s="67">
        <f t="shared" si="3"/>
        <v>7.7119183223454905E-3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COUNT(H9:H104)+32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: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1110</v>
      </c>
      <c r="B9" s="64">
        <v>5.37</v>
      </c>
      <c r="C9" s="64">
        <v>5.67</v>
      </c>
      <c r="D9" s="64">
        <v>7.27</v>
      </c>
      <c r="E9" s="64">
        <v>4.7300000000000004</v>
      </c>
      <c r="F9" s="64">
        <v>3.88</v>
      </c>
      <c r="G9" s="64">
        <v>37.29</v>
      </c>
      <c r="H9" s="64">
        <v>28.65</v>
      </c>
      <c r="I9" s="64">
        <v>2.2799999999999998</v>
      </c>
      <c r="J9" s="64">
        <v>0.13</v>
      </c>
      <c r="K9" s="64">
        <v>152.94</v>
      </c>
      <c r="L9" s="64">
        <v>24.44</v>
      </c>
      <c r="M9" s="64">
        <v>102.66</v>
      </c>
      <c r="N9" s="64">
        <v>26.1</v>
      </c>
      <c r="O9" s="64">
        <v>0</v>
      </c>
      <c r="P9" s="64">
        <v>0.48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1111</v>
      </c>
      <c r="B10" s="64">
        <v>5.39</v>
      </c>
      <c r="C10" s="64">
        <v>5.33</v>
      </c>
      <c r="D10" s="64">
        <v>7.11</v>
      </c>
      <c r="E10" s="64">
        <v>4.83</v>
      </c>
      <c r="F10" s="64">
        <v>3.27</v>
      </c>
      <c r="G10" s="64">
        <v>35.9</v>
      </c>
      <c r="H10" s="64">
        <v>28.65</v>
      </c>
      <c r="I10" s="64">
        <v>2.17</v>
      </c>
      <c r="J10" s="64">
        <v>0.37</v>
      </c>
      <c r="K10" s="64">
        <v>253.7</v>
      </c>
      <c r="L10" s="64">
        <v>24.31</v>
      </c>
      <c r="M10" s="64">
        <v>102.68</v>
      </c>
      <c r="N10" s="64">
        <v>26.1</v>
      </c>
      <c r="O10" s="64">
        <v>0</v>
      </c>
      <c r="P10" s="64">
        <v>0.42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1112</v>
      </c>
      <c r="B11" s="64">
        <v>5.36</v>
      </c>
      <c r="C11" s="64">
        <v>5.28</v>
      </c>
      <c r="D11" s="64">
        <v>7.05</v>
      </c>
      <c r="E11" s="64">
        <v>4.91</v>
      </c>
      <c r="F11" s="64">
        <v>3.76</v>
      </c>
      <c r="G11" s="64">
        <v>35.9</v>
      </c>
      <c r="H11" s="64">
        <v>28.65</v>
      </c>
      <c r="I11" s="64">
        <v>1.8</v>
      </c>
      <c r="J11" s="64">
        <v>0.17</v>
      </c>
      <c r="K11" s="64">
        <v>318.20999999999998</v>
      </c>
      <c r="L11" s="64">
        <v>24.32</v>
      </c>
      <c r="M11" s="64">
        <v>102.69</v>
      </c>
      <c r="N11" s="64">
        <v>26.1</v>
      </c>
      <c r="O11" s="64">
        <v>0</v>
      </c>
      <c r="P11" s="64">
        <v>0.43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1113</v>
      </c>
      <c r="B12" s="64">
        <v>5.33</v>
      </c>
      <c r="C12" s="64">
        <v>5.29</v>
      </c>
      <c r="D12" s="64">
        <v>7.03</v>
      </c>
      <c r="E12" s="64">
        <v>4.74</v>
      </c>
      <c r="F12" s="64">
        <v>3.48</v>
      </c>
      <c r="G12" s="64">
        <v>35.9</v>
      </c>
      <c r="H12" s="64">
        <v>28.65</v>
      </c>
      <c r="I12" s="64">
        <v>1.4</v>
      </c>
      <c r="J12" s="64">
        <v>0.38</v>
      </c>
      <c r="K12" s="64">
        <v>0.03</v>
      </c>
      <c r="L12" s="64">
        <v>24.5</v>
      </c>
      <c r="M12" s="64">
        <v>102.47</v>
      </c>
      <c r="N12" s="64">
        <v>26.1</v>
      </c>
      <c r="O12" s="64">
        <v>0</v>
      </c>
      <c r="P12" s="64">
        <v>0.38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1114</v>
      </c>
      <c r="B13" s="64">
        <v>5.29</v>
      </c>
      <c r="C13" s="64">
        <v>5.15</v>
      </c>
      <c r="D13" s="64">
        <v>6.93</v>
      </c>
      <c r="E13" s="64">
        <v>4.88</v>
      </c>
      <c r="F13" s="64">
        <v>5.25</v>
      </c>
      <c r="G13" s="64">
        <v>35.04</v>
      </c>
      <c r="H13" s="64">
        <v>23.25</v>
      </c>
      <c r="I13" s="64">
        <v>1.49</v>
      </c>
      <c r="J13" s="64">
        <v>0.04</v>
      </c>
      <c r="K13" s="64">
        <v>334.65</v>
      </c>
      <c r="L13" s="64">
        <v>24.54</v>
      </c>
      <c r="M13" s="64">
        <v>100.92</v>
      </c>
      <c r="N13" s="64">
        <v>26</v>
      </c>
      <c r="O13" s="64">
        <v>0</v>
      </c>
      <c r="P13" s="64">
        <v>0.46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1115</v>
      </c>
      <c r="B14" s="64">
        <v>5.28</v>
      </c>
      <c r="C14" s="64">
        <v>4.92</v>
      </c>
      <c r="D14" s="64">
        <v>6.8</v>
      </c>
      <c r="E14" s="64">
        <v>5.0599999999999996</v>
      </c>
      <c r="F14" s="64">
        <v>4.0199999999999996</v>
      </c>
      <c r="G14" s="64">
        <v>34.86</v>
      </c>
      <c r="H14" s="64">
        <v>23.25</v>
      </c>
      <c r="I14" s="64">
        <v>1.28</v>
      </c>
      <c r="J14" s="64">
        <v>0.36</v>
      </c>
      <c r="K14" s="64">
        <v>221.58</v>
      </c>
      <c r="L14" s="64">
        <v>24.47</v>
      </c>
      <c r="M14" s="64">
        <v>99.95</v>
      </c>
      <c r="N14" s="64">
        <v>26</v>
      </c>
      <c r="O14" s="64">
        <v>0</v>
      </c>
      <c r="P14" s="64">
        <v>0.34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1116</v>
      </c>
      <c r="B15" s="64">
        <v>5.16</v>
      </c>
      <c r="C15" s="64">
        <v>4.75</v>
      </c>
      <c r="D15" s="64">
        <v>6.62</v>
      </c>
      <c r="E15" s="64">
        <v>4.75</v>
      </c>
      <c r="F15" s="64">
        <v>4.21</v>
      </c>
      <c r="G15" s="64">
        <v>34.86</v>
      </c>
      <c r="H15" s="64">
        <v>23.25</v>
      </c>
      <c r="I15" s="64">
        <v>1.1299999999999999</v>
      </c>
      <c r="J15" s="64">
        <v>0.46</v>
      </c>
      <c r="K15" s="64">
        <v>134.16999999999999</v>
      </c>
      <c r="L15" s="64">
        <v>24.34</v>
      </c>
      <c r="M15" s="64">
        <v>99.3</v>
      </c>
      <c r="N15" s="64">
        <v>25.8</v>
      </c>
      <c r="O15" s="64">
        <v>0</v>
      </c>
      <c r="P15" s="64">
        <v>0.32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5" t="s">
        <v>1117</v>
      </c>
      <c r="B16" s="64">
        <v>5.01</v>
      </c>
      <c r="C16" s="64">
        <v>4.9400000000000004</v>
      </c>
      <c r="D16" s="64">
        <v>6.59</v>
      </c>
      <c r="E16" s="64">
        <v>4.51</v>
      </c>
      <c r="F16" s="64">
        <v>4.45</v>
      </c>
      <c r="G16" s="64">
        <v>34.86</v>
      </c>
      <c r="H16" s="64">
        <v>23.25</v>
      </c>
      <c r="I16" s="64">
        <v>1.04</v>
      </c>
      <c r="J16" s="64">
        <v>0.56999999999999995</v>
      </c>
      <c r="K16" s="64">
        <v>141.13999999999999</v>
      </c>
      <c r="L16" s="64">
        <v>24.29</v>
      </c>
      <c r="M16" s="64">
        <v>98.13</v>
      </c>
      <c r="N16" s="64">
        <v>26</v>
      </c>
      <c r="O16" s="64">
        <v>0</v>
      </c>
      <c r="P16" s="64">
        <v>0.47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1118</v>
      </c>
      <c r="B17" s="64">
        <v>4.82</v>
      </c>
      <c r="C17" s="64">
        <v>5.48</v>
      </c>
      <c r="D17" s="64">
        <v>6.73</v>
      </c>
      <c r="E17" s="64">
        <v>4.6900000000000004</v>
      </c>
      <c r="F17" s="64">
        <v>3.76</v>
      </c>
      <c r="G17" s="64">
        <v>30.08</v>
      </c>
      <c r="H17" s="64">
        <v>15.76</v>
      </c>
      <c r="I17" s="64">
        <v>1.23</v>
      </c>
      <c r="J17" s="64">
        <v>0.27</v>
      </c>
      <c r="K17" s="64">
        <v>6.96</v>
      </c>
      <c r="L17" s="64">
        <v>24.12</v>
      </c>
      <c r="M17" s="64">
        <v>99.92</v>
      </c>
      <c r="N17" s="64">
        <v>26.1</v>
      </c>
      <c r="O17" s="64">
        <v>0</v>
      </c>
      <c r="P17" s="64">
        <v>0.41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5" t="s">
        <v>1119</v>
      </c>
      <c r="B18" s="64">
        <v>4.58</v>
      </c>
      <c r="C18" s="64">
        <v>5.36</v>
      </c>
      <c r="D18" s="64">
        <v>6.47</v>
      </c>
      <c r="E18" s="64">
        <v>4.7699999999999996</v>
      </c>
      <c r="F18" s="64">
        <v>3.61</v>
      </c>
      <c r="G18" s="64">
        <v>28.96</v>
      </c>
      <c r="H18" s="64">
        <v>15.76</v>
      </c>
      <c r="I18" s="64">
        <v>3.78</v>
      </c>
      <c r="J18" s="64">
        <v>0.5</v>
      </c>
      <c r="K18" s="64">
        <v>332.01</v>
      </c>
      <c r="L18" s="64">
        <v>23.8</v>
      </c>
      <c r="M18" s="64">
        <v>101.88</v>
      </c>
      <c r="N18" s="64">
        <v>26.2</v>
      </c>
      <c r="O18" s="64">
        <v>0</v>
      </c>
      <c r="P18" s="64">
        <v>0.46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1120</v>
      </c>
      <c r="B19" s="64">
        <v>4.49</v>
      </c>
      <c r="C19" s="64">
        <v>5.15</v>
      </c>
      <c r="D19" s="64">
        <v>6.29</v>
      </c>
      <c r="E19" s="64">
        <v>4.66</v>
      </c>
      <c r="F19" s="64">
        <v>4.12</v>
      </c>
      <c r="G19" s="64">
        <v>28.96</v>
      </c>
      <c r="H19" s="64">
        <v>15.76</v>
      </c>
      <c r="I19" s="64">
        <v>3.59</v>
      </c>
      <c r="J19" s="64">
        <v>0.46</v>
      </c>
      <c r="K19" s="64">
        <v>326.16000000000003</v>
      </c>
      <c r="L19" s="64">
        <v>23.61</v>
      </c>
      <c r="M19" s="64">
        <v>102.09</v>
      </c>
      <c r="N19" s="64">
        <v>26.1</v>
      </c>
      <c r="O19" s="64">
        <v>0</v>
      </c>
      <c r="P19" s="64">
        <v>0.44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1121</v>
      </c>
      <c r="B20" s="64">
        <v>4.59</v>
      </c>
      <c r="C20" s="64">
        <v>5.01</v>
      </c>
      <c r="D20" s="64">
        <v>6.3</v>
      </c>
      <c r="E20" s="64">
        <v>4.7699999999999996</v>
      </c>
      <c r="F20" s="64">
        <v>3.17</v>
      </c>
      <c r="G20" s="64">
        <v>28.96</v>
      </c>
      <c r="H20" s="64">
        <v>15.76</v>
      </c>
      <c r="I20" s="64">
        <v>2.39</v>
      </c>
      <c r="J20" s="64">
        <v>0.41</v>
      </c>
      <c r="K20" s="64">
        <v>259.41000000000003</v>
      </c>
      <c r="L20" s="64">
        <v>23.51</v>
      </c>
      <c r="M20" s="64">
        <v>102.09</v>
      </c>
      <c r="N20" s="64">
        <v>26.1</v>
      </c>
      <c r="O20" s="64">
        <v>0</v>
      </c>
      <c r="P20" s="64">
        <v>0.41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1122</v>
      </c>
      <c r="B21" s="64">
        <v>4.5599999999999996</v>
      </c>
      <c r="C21" s="64">
        <v>5.13</v>
      </c>
      <c r="D21" s="64">
        <v>6.34</v>
      </c>
      <c r="E21" s="64">
        <v>4.6500000000000004</v>
      </c>
      <c r="F21" s="64">
        <v>2.93</v>
      </c>
      <c r="G21" s="64">
        <v>27.28</v>
      </c>
      <c r="H21" s="64">
        <v>6.84</v>
      </c>
      <c r="I21" s="64">
        <v>2.0299999999999998</v>
      </c>
      <c r="J21" s="64">
        <v>0.25</v>
      </c>
      <c r="K21" s="64">
        <v>358.7</v>
      </c>
      <c r="L21" s="64">
        <v>23.44</v>
      </c>
      <c r="M21" s="64">
        <v>102.62</v>
      </c>
      <c r="N21" s="64">
        <v>26.1</v>
      </c>
      <c r="O21" s="64">
        <v>0</v>
      </c>
      <c r="P21" s="64">
        <v>0.42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5" t="s">
        <v>1123</v>
      </c>
      <c r="B22" s="64">
        <v>4.5599999999999996</v>
      </c>
      <c r="C22" s="64">
        <v>4.8899999999999997</v>
      </c>
      <c r="D22" s="64">
        <v>6.21</v>
      </c>
      <c r="E22" s="64">
        <v>4.5599999999999996</v>
      </c>
      <c r="F22" s="64">
        <v>3.54</v>
      </c>
      <c r="G22" s="64">
        <v>26.89</v>
      </c>
      <c r="H22" s="64">
        <v>6.84</v>
      </c>
      <c r="I22" s="64">
        <v>3.12</v>
      </c>
      <c r="J22" s="64">
        <v>0.49</v>
      </c>
      <c r="K22" s="64">
        <v>100.65</v>
      </c>
      <c r="L22" s="64">
        <v>23.34</v>
      </c>
      <c r="M22" s="64">
        <v>101.89</v>
      </c>
      <c r="N22" s="64">
        <v>26.1</v>
      </c>
      <c r="O22" s="64">
        <v>0</v>
      </c>
      <c r="P22" s="64">
        <v>0.39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1124</v>
      </c>
      <c r="B23" s="64">
        <v>4.4800000000000004</v>
      </c>
      <c r="C23" s="64">
        <v>4.72</v>
      </c>
      <c r="D23" s="64">
        <v>6.06</v>
      </c>
      <c r="E23" s="64">
        <v>4.8</v>
      </c>
      <c r="F23" s="64">
        <v>3.26</v>
      </c>
      <c r="G23" s="64">
        <v>26.89</v>
      </c>
      <c r="H23" s="64">
        <v>6.84</v>
      </c>
      <c r="I23" s="64">
        <v>3.28</v>
      </c>
      <c r="J23" s="64">
        <v>0.46</v>
      </c>
      <c r="K23" s="64">
        <v>97.87</v>
      </c>
      <c r="L23" s="64">
        <v>23.52</v>
      </c>
      <c r="M23" s="64">
        <v>101.19</v>
      </c>
      <c r="N23" s="64">
        <v>26.1</v>
      </c>
      <c r="O23" s="64">
        <v>0</v>
      </c>
      <c r="P23" s="64">
        <v>0.34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5" t="s">
        <v>1125</v>
      </c>
      <c r="B24" s="64">
        <v>4.29</v>
      </c>
      <c r="C24" s="64">
        <v>5.0599999999999996</v>
      </c>
      <c r="D24" s="64">
        <v>6.08</v>
      </c>
      <c r="E24" s="64">
        <v>5.82</v>
      </c>
      <c r="F24" s="64">
        <v>2.95</v>
      </c>
      <c r="G24" s="64">
        <v>26.89</v>
      </c>
      <c r="H24" s="64">
        <v>6.84</v>
      </c>
      <c r="I24" s="64">
        <v>1.92</v>
      </c>
      <c r="J24" s="64">
        <v>0.09</v>
      </c>
      <c r="K24" s="64">
        <v>356.13</v>
      </c>
      <c r="L24" s="64">
        <v>23.47</v>
      </c>
      <c r="M24" s="64">
        <v>101.94</v>
      </c>
      <c r="N24" s="64">
        <v>26.1</v>
      </c>
      <c r="O24" s="64">
        <v>0</v>
      </c>
      <c r="P24" s="64">
        <v>0.35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1126</v>
      </c>
      <c r="B25" s="64">
        <v>4.3099999999999996</v>
      </c>
      <c r="C25" s="64">
        <v>4.83</v>
      </c>
      <c r="D25" s="64">
        <v>5.98</v>
      </c>
      <c r="E25" s="64">
        <v>5.37</v>
      </c>
      <c r="F25" s="64">
        <v>3.32</v>
      </c>
      <c r="G25" s="64">
        <v>22.49</v>
      </c>
      <c r="H25" s="64">
        <v>1.78</v>
      </c>
      <c r="I25" s="64">
        <v>2.79</v>
      </c>
      <c r="J25" s="64">
        <v>0.32</v>
      </c>
      <c r="K25" s="64">
        <v>297.98</v>
      </c>
      <c r="L25" s="64">
        <v>23.35</v>
      </c>
      <c r="M25" s="64">
        <v>102.63</v>
      </c>
      <c r="N25" s="64">
        <v>26.1</v>
      </c>
      <c r="O25" s="64">
        <v>0</v>
      </c>
      <c r="P25" s="64">
        <v>0.41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1127</v>
      </c>
      <c r="B26" s="64">
        <v>4.71</v>
      </c>
      <c r="C26" s="64">
        <v>4.6500000000000004</v>
      </c>
      <c r="D26" s="64">
        <v>6.21</v>
      </c>
      <c r="E26" s="64">
        <v>5.19</v>
      </c>
      <c r="F26" s="64">
        <v>3.74</v>
      </c>
      <c r="G26" s="64">
        <v>21.46</v>
      </c>
      <c r="H26" s="64">
        <v>1.78</v>
      </c>
      <c r="I26" s="64">
        <v>2.06</v>
      </c>
      <c r="J26" s="64">
        <v>0.25</v>
      </c>
      <c r="K26" s="64">
        <v>105.92</v>
      </c>
      <c r="L26" s="64">
        <v>23.18</v>
      </c>
      <c r="M26" s="64">
        <v>102.09</v>
      </c>
      <c r="N26" s="64">
        <v>26.1</v>
      </c>
      <c r="O26" s="64">
        <v>0</v>
      </c>
      <c r="P26" s="64">
        <v>0.42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5" t="s">
        <v>1128</v>
      </c>
      <c r="B27" s="64">
        <v>5.19</v>
      </c>
      <c r="C27" s="64">
        <v>4.66</v>
      </c>
      <c r="D27" s="64">
        <v>6.6</v>
      </c>
      <c r="E27" s="64">
        <v>5.15</v>
      </c>
      <c r="F27" s="64">
        <v>3.81</v>
      </c>
      <c r="G27" s="64">
        <v>21.46</v>
      </c>
      <c r="H27" s="64">
        <v>1.78</v>
      </c>
      <c r="I27" s="64">
        <v>1.45</v>
      </c>
      <c r="J27" s="64">
        <v>0.25</v>
      </c>
      <c r="K27" s="64">
        <v>145.75</v>
      </c>
      <c r="L27" s="64">
        <v>23.16</v>
      </c>
      <c r="M27" s="64">
        <v>102.1</v>
      </c>
      <c r="N27" s="64">
        <v>26</v>
      </c>
      <c r="O27" s="64">
        <v>0</v>
      </c>
      <c r="P27" s="64">
        <v>0.43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1129</v>
      </c>
      <c r="B28" s="64">
        <v>5.48</v>
      </c>
      <c r="C28" s="64">
        <v>4.71</v>
      </c>
      <c r="D28" s="64">
        <v>6.85</v>
      </c>
      <c r="E28" s="64">
        <v>5.23</v>
      </c>
      <c r="F28" s="64">
        <v>3.48</v>
      </c>
      <c r="G28" s="64">
        <v>21.46</v>
      </c>
      <c r="H28" s="64">
        <v>1.78</v>
      </c>
      <c r="I28" s="64">
        <v>1.66</v>
      </c>
      <c r="J28" s="64">
        <v>0.06</v>
      </c>
      <c r="K28" s="64">
        <v>50.9</v>
      </c>
      <c r="L28" s="64">
        <v>23.18</v>
      </c>
      <c r="M28" s="64">
        <v>102.13</v>
      </c>
      <c r="N28" s="64">
        <v>26.1</v>
      </c>
      <c r="O28" s="64">
        <v>0</v>
      </c>
      <c r="P28" s="64">
        <v>0.33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1130</v>
      </c>
      <c r="B29" s="64">
        <v>5.92</v>
      </c>
      <c r="C29" s="64">
        <v>4.8</v>
      </c>
      <c r="D29" s="64">
        <v>7.25</v>
      </c>
      <c r="E29" s="64">
        <v>5.39</v>
      </c>
      <c r="F29" s="64">
        <v>3.43</v>
      </c>
      <c r="G29" s="64">
        <v>24.53</v>
      </c>
      <c r="H29" s="64">
        <v>25.42</v>
      </c>
      <c r="I29" s="64">
        <v>1.75</v>
      </c>
      <c r="J29" s="64">
        <v>0.2</v>
      </c>
      <c r="K29" s="64">
        <v>65.88</v>
      </c>
      <c r="L29" s="64">
        <v>23.12</v>
      </c>
      <c r="M29" s="64">
        <v>102.64</v>
      </c>
      <c r="N29" s="64">
        <v>26</v>
      </c>
      <c r="O29" s="64">
        <v>0</v>
      </c>
      <c r="P29" s="64">
        <v>0.54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1131</v>
      </c>
      <c r="B30" s="64">
        <v>6.53</v>
      </c>
      <c r="C30" s="64">
        <v>4.74</v>
      </c>
      <c r="D30" s="64">
        <v>7.71</v>
      </c>
      <c r="E30" s="64">
        <v>5.32</v>
      </c>
      <c r="F30" s="64">
        <v>3.46</v>
      </c>
      <c r="G30" s="64">
        <v>25.25</v>
      </c>
      <c r="H30" s="64">
        <v>25.42</v>
      </c>
      <c r="I30" s="64">
        <v>1.68</v>
      </c>
      <c r="J30" s="64">
        <v>0.11</v>
      </c>
      <c r="K30" s="64">
        <v>297.49</v>
      </c>
      <c r="L30" s="64">
        <v>23.08</v>
      </c>
      <c r="M30" s="64">
        <v>102.1</v>
      </c>
      <c r="N30" s="64">
        <v>26.1</v>
      </c>
      <c r="O30" s="64">
        <v>0</v>
      </c>
      <c r="P30" s="64">
        <v>0.64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5" t="s">
        <v>1132</v>
      </c>
      <c r="B31" s="64">
        <v>7.33</v>
      </c>
      <c r="C31" s="64">
        <v>4.72</v>
      </c>
      <c r="D31" s="64">
        <v>8.34</v>
      </c>
      <c r="E31" s="64">
        <v>5.86</v>
      </c>
      <c r="F31" s="64">
        <v>3.25</v>
      </c>
      <c r="G31" s="64">
        <v>25.25</v>
      </c>
      <c r="H31" s="64">
        <v>25.42</v>
      </c>
      <c r="I31" s="64">
        <v>2.76</v>
      </c>
      <c r="J31" s="64">
        <v>0.28000000000000003</v>
      </c>
      <c r="K31" s="64">
        <v>354.99</v>
      </c>
      <c r="L31" s="64">
        <v>23.09</v>
      </c>
      <c r="M31" s="64">
        <v>102.09</v>
      </c>
      <c r="N31" s="64">
        <v>26.2</v>
      </c>
      <c r="O31" s="64">
        <v>0</v>
      </c>
      <c r="P31" s="64">
        <v>0.57999999999999996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1133</v>
      </c>
      <c r="B32" s="64">
        <v>7.99</v>
      </c>
      <c r="C32" s="64">
        <v>5.04</v>
      </c>
      <c r="D32" s="64">
        <v>9.0399999999999991</v>
      </c>
      <c r="E32" s="64">
        <v>6.1</v>
      </c>
      <c r="F32" s="64">
        <v>3.37</v>
      </c>
      <c r="G32" s="64">
        <v>25.25</v>
      </c>
      <c r="H32" s="64">
        <v>25.42</v>
      </c>
      <c r="I32" s="64">
        <v>3.41</v>
      </c>
      <c r="J32" s="64">
        <v>7.0000000000000007E-2</v>
      </c>
      <c r="K32" s="64">
        <v>102.4</v>
      </c>
      <c r="L32" s="64">
        <v>23.05</v>
      </c>
      <c r="M32" s="64">
        <v>102.13</v>
      </c>
      <c r="N32" s="64">
        <v>27.9</v>
      </c>
      <c r="O32" s="64">
        <v>0</v>
      </c>
      <c r="P32" s="64">
        <v>0.6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1134</v>
      </c>
      <c r="B33" s="64">
        <v>8.4499999999999993</v>
      </c>
      <c r="C33" s="64">
        <v>5.76</v>
      </c>
      <c r="D33" s="64">
        <v>9.7899999999999991</v>
      </c>
      <c r="E33" s="64">
        <v>6.07</v>
      </c>
      <c r="F33" s="64">
        <v>3.74</v>
      </c>
      <c r="G33" s="64">
        <v>41.2</v>
      </c>
      <c r="H33" s="64">
        <v>7.63</v>
      </c>
      <c r="I33" s="64">
        <v>3.4</v>
      </c>
      <c r="J33" s="64">
        <v>0.28000000000000003</v>
      </c>
      <c r="K33" s="64">
        <v>128.03</v>
      </c>
      <c r="L33" s="64">
        <v>23.06</v>
      </c>
      <c r="M33" s="64">
        <v>102.63</v>
      </c>
      <c r="N33" s="64">
        <v>36</v>
      </c>
      <c r="O33" s="64">
        <v>0</v>
      </c>
      <c r="P33" s="64">
        <v>0.51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1135</v>
      </c>
      <c r="B34" s="64">
        <v>8.99</v>
      </c>
      <c r="C34" s="64">
        <v>6.3</v>
      </c>
      <c r="D34" s="64">
        <v>10.5</v>
      </c>
      <c r="E34" s="64">
        <v>6.1</v>
      </c>
      <c r="F34" s="64">
        <v>4.03</v>
      </c>
      <c r="G34" s="64">
        <v>44.92</v>
      </c>
      <c r="H34" s="64">
        <v>7.63</v>
      </c>
      <c r="I34" s="64">
        <v>3.58</v>
      </c>
      <c r="J34" s="64">
        <v>0.41</v>
      </c>
      <c r="K34" s="64">
        <v>355.52</v>
      </c>
      <c r="L34" s="64">
        <v>23.38</v>
      </c>
      <c r="M34" s="64">
        <v>102.66</v>
      </c>
      <c r="N34" s="64">
        <v>51.6</v>
      </c>
      <c r="O34" s="64">
        <v>0</v>
      </c>
      <c r="P34" s="64">
        <v>0.7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1136</v>
      </c>
      <c r="B35" s="64">
        <v>10.66</v>
      </c>
      <c r="C35" s="64">
        <v>6.25</v>
      </c>
      <c r="D35" s="64">
        <v>11.81</v>
      </c>
      <c r="E35" s="64">
        <v>6.18</v>
      </c>
      <c r="F35" s="64">
        <v>4.1500000000000004</v>
      </c>
      <c r="G35" s="64">
        <v>44.92</v>
      </c>
      <c r="H35" s="64">
        <v>7.63</v>
      </c>
      <c r="I35" s="64">
        <v>4.47</v>
      </c>
      <c r="J35" s="64">
        <v>0.59</v>
      </c>
      <c r="K35" s="64">
        <v>341.89</v>
      </c>
      <c r="L35" s="64">
        <v>24.01</v>
      </c>
      <c r="M35" s="64">
        <v>102.65</v>
      </c>
      <c r="N35" s="64">
        <v>83.2</v>
      </c>
      <c r="O35" s="64">
        <v>0</v>
      </c>
      <c r="P35" s="64">
        <v>0.77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1137</v>
      </c>
      <c r="B36" s="64">
        <v>12.62</v>
      </c>
      <c r="C36" s="64">
        <v>6.36</v>
      </c>
      <c r="D36" s="64">
        <v>13.44</v>
      </c>
      <c r="E36" s="64">
        <v>5.92</v>
      </c>
      <c r="F36" s="64">
        <v>3.5</v>
      </c>
      <c r="G36" s="64">
        <v>44.92</v>
      </c>
      <c r="H36" s="64">
        <v>7.63</v>
      </c>
      <c r="I36" s="64">
        <v>4.97</v>
      </c>
      <c r="J36" s="64">
        <v>0.54</v>
      </c>
      <c r="K36" s="64">
        <v>342.8</v>
      </c>
      <c r="L36" s="64">
        <v>25.32</v>
      </c>
      <c r="M36" s="64">
        <v>99.31</v>
      </c>
      <c r="N36" s="64">
        <v>112</v>
      </c>
      <c r="O36" s="64">
        <v>0</v>
      </c>
      <c r="P36" s="64">
        <v>0.87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1138</v>
      </c>
      <c r="B37" s="64">
        <v>14.39</v>
      </c>
      <c r="C37" s="64">
        <v>6.54</v>
      </c>
      <c r="D37" s="64">
        <v>14.96</v>
      </c>
      <c r="E37" s="64">
        <v>6.2</v>
      </c>
      <c r="F37" s="64">
        <v>4.09</v>
      </c>
      <c r="G37" s="64">
        <v>53.69</v>
      </c>
      <c r="H37" s="64">
        <v>17.63</v>
      </c>
      <c r="I37" s="64">
        <v>4.96</v>
      </c>
      <c r="J37" s="64">
        <v>1.3</v>
      </c>
      <c r="K37" s="64">
        <v>115.56</v>
      </c>
      <c r="L37" s="64">
        <v>25.22</v>
      </c>
      <c r="M37" s="64">
        <v>99.18</v>
      </c>
      <c r="N37" s="64">
        <v>159.4</v>
      </c>
      <c r="O37" s="64">
        <v>0</v>
      </c>
      <c r="P37" s="64">
        <v>0.66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5" t="s">
        <v>1139</v>
      </c>
      <c r="B38" s="64">
        <v>14.82</v>
      </c>
      <c r="C38" s="64">
        <v>6.48</v>
      </c>
      <c r="D38" s="64">
        <v>15.27</v>
      </c>
      <c r="E38" s="64">
        <v>6.12</v>
      </c>
      <c r="F38" s="64">
        <v>4.3499999999999996</v>
      </c>
      <c r="G38" s="64">
        <v>55.73</v>
      </c>
      <c r="H38" s="64">
        <v>17.63</v>
      </c>
      <c r="I38" s="64">
        <v>4.66</v>
      </c>
      <c r="J38" s="64">
        <v>1.21</v>
      </c>
      <c r="K38" s="64">
        <v>123.01</v>
      </c>
      <c r="L38" s="64">
        <v>25.71</v>
      </c>
      <c r="M38" s="64">
        <v>96.85</v>
      </c>
      <c r="N38" s="64">
        <v>230.9</v>
      </c>
      <c r="O38" s="64">
        <v>0</v>
      </c>
      <c r="P38" s="64">
        <v>0.7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5" t="s">
        <v>1140</v>
      </c>
      <c r="B39" s="64">
        <v>14.69</v>
      </c>
      <c r="C39" s="64">
        <v>6.99</v>
      </c>
      <c r="D39" s="64">
        <v>15.43</v>
      </c>
      <c r="E39" s="64">
        <v>6.59</v>
      </c>
      <c r="F39" s="64">
        <v>3.38</v>
      </c>
      <c r="G39" s="64">
        <v>55.73</v>
      </c>
      <c r="H39" s="64">
        <v>17.63</v>
      </c>
      <c r="I39" s="64">
        <v>4.53</v>
      </c>
      <c r="J39" s="64">
        <v>1.29</v>
      </c>
      <c r="K39" s="64">
        <v>108.39</v>
      </c>
      <c r="L39" s="64">
        <v>5.23</v>
      </c>
      <c r="M39" s="64">
        <v>91.42</v>
      </c>
      <c r="N39" s="64">
        <v>266.89999999999998</v>
      </c>
      <c r="O39" s="64">
        <v>0</v>
      </c>
      <c r="P39" s="64">
        <v>0.76</v>
      </c>
      <c r="Q39" s="64">
        <v>0</v>
      </c>
      <c r="R39" s="198"/>
      <c r="S39" s="198"/>
      <c r="T39" s="198"/>
      <c r="U39" s="198"/>
    </row>
    <row r="40" spans="1:21" s="12" customFormat="1" x14ac:dyDescent="0.25">
      <c r="A40" s="215" t="s">
        <v>1141</v>
      </c>
      <c r="B40" s="64">
        <v>15.03</v>
      </c>
      <c r="C40" s="64">
        <v>7.42</v>
      </c>
      <c r="D40" s="64">
        <v>15.93</v>
      </c>
      <c r="E40" s="64">
        <v>4.72</v>
      </c>
      <c r="F40" s="64">
        <v>2.86</v>
      </c>
      <c r="G40" s="64">
        <v>55.73</v>
      </c>
      <c r="H40" s="64">
        <v>17.63</v>
      </c>
      <c r="I40" s="64">
        <v>5</v>
      </c>
      <c r="J40" s="64">
        <v>1.1200000000000001</v>
      </c>
      <c r="K40" s="64">
        <v>115.94</v>
      </c>
      <c r="L40" s="64">
        <v>27.72</v>
      </c>
      <c r="M40" s="64">
        <v>84.57</v>
      </c>
      <c r="N40" s="64">
        <v>371</v>
      </c>
      <c r="O40" s="64">
        <v>0</v>
      </c>
      <c r="P40" s="64">
        <v>0.68</v>
      </c>
      <c r="Q40" s="64">
        <v>0</v>
      </c>
      <c r="R40" s="198"/>
      <c r="S40" s="198"/>
      <c r="T40" s="198"/>
      <c r="U40" s="198"/>
    </row>
    <row r="41" spans="1:21" s="12" customFormat="1" x14ac:dyDescent="0.25">
      <c r="A41" s="215" t="s">
        <v>1142</v>
      </c>
      <c r="B41" s="64">
        <v>15.14</v>
      </c>
      <c r="C41" s="64">
        <v>7.38</v>
      </c>
      <c r="D41" s="64">
        <v>16</v>
      </c>
      <c r="E41" s="64">
        <v>4.7699999999999996</v>
      </c>
      <c r="F41" s="64">
        <v>3.9</v>
      </c>
      <c r="G41" s="64">
        <v>67.16</v>
      </c>
      <c r="H41" s="64">
        <v>40.94</v>
      </c>
      <c r="I41" s="64">
        <v>4.8899999999999997</v>
      </c>
      <c r="J41" s="64">
        <v>0.28000000000000003</v>
      </c>
      <c r="K41" s="64">
        <v>107.07</v>
      </c>
      <c r="L41" s="64">
        <v>28.68</v>
      </c>
      <c r="M41" s="64">
        <v>79.97</v>
      </c>
      <c r="N41" s="64">
        <v>388</v>
      </c>
      <c r="O41" s="64">
        <v>0</v>
      </c>
      <c r="P41" s="64">
        <v>0.67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1143</v>
      </c>
      <c r="B42" s="64">
        <v>15.51</v>
      </c>
      <c r="C42" s="64">
        <v>7.87</v>
      </c>
      <c r="D42" s="64">
        <v>16.55</v>
      </c>
      <c r="E42" s="64">
        <v>4.91</v>
      </c>
      <c r="F42" s="64">
        <v>3.17</v>
      </c>
      <c r="G42" s="64">
        <v>69.819999999999993</v>
      </c>
      <c r="H42" s="64">
        <v>40.94</v>
      </c>
      <c r="I42" s="64">
        <v>4.62</v>
      </c>
      <c r="J42" s="64">
        <v>0.97</v>
      </c>
      <c r="K42" s="64">
        <v>349.61</v>
      </c>
      <c r="L42" s="64">
        <v>31.5</v>
      </c>
      <c r="M42" s="64">
        <v>68.010000000000005</v>
      </c>
      <c r="N42" s="64">
        <v>436.4</v>
      </c>
      <c r="O42" s="64">
        <v>0</v>
      </c>
      <c r="P42" s="64">
        <v>0.65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15" t="s">
        <v>1144</v>
      </c>
      <c r="B43" s="64">
        <v>15.93</v>
      </c>
      <c r="C43" s="64">
        <v>8</v>
      </c>
      <c r="D43" s="64">
        <v>16.95</v>
      </c>
      <c r="E43" s="64">
        <v>4.3</v>
      </c>
      <c r="F43" s="64">
        <v>3.91</v>
      </c>
      <c r="G43" s="64">
        <v>69.819999999999993</v>
      </c>
      <c r="H43" s="64">
        <v>40.94</v>
      </c>
      <c r="I43" s="64">
        <v>5.23</v>
      </c>
      <c r="J43" s="64">
        <v>0.34</v>
      </c>
      <c r="K43" s="64">
        <v>55.72</v>
      </c>
      <c r="L43" s="64">
        <v>32.619999999999997</v>
      </c>
      <c r="M43" s="64">
        <v>64.06</v>
      </c>
      <c r="N43" s="64">
        <v>471.4</v>
      </c>
      <c r="O43" s="64">
        <v>0</v>
      </c>
      <c r="P43" s="64">
        <v>0.67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1145</v>
      </c>
      <c r="B44" s="64">
        <v>15.84</v>
      </c>
      <c r="C44" s="64">
        <v>7.95</v>
      </c>
      <c r="D44" s="64">
        <v>16.86</v>
      </c>
      <c r="E44" s="64">
        <v>4.62</v>
      </c>
      <c r="F44" s="64">
        <v>4.0999999999999996</v>
      </c>
      <c r="G44" s="64">
        <v>69.819999999999993</v>
      </c>
      <c r="H44" s="64">
        <v>40.94</v>
      </c>
      <c r="I44" s="64">
        <v>3.86</v>
      </c>
      <c r="J44" s="64">
        <v>0.46</v>
      </c>
      <c r="K44" s="64">
        <v>116.81</v>
      </c>
      <c r="L44" s="64">
        <v>30.75</v>
      </c>
      <c r="M44" s="64">
        <v>72.150000000000006</v>
      </c>
      <c r="N44" s="64">
        <v>497.2</v>
      </c>
      <c r="O44" s="64">
        <v>0</v>
      </c>
      <c r="P44" s="64">
        <v>0.54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1146</v>
      </c>
      <c r="B45" s="64">
        <v>15.22</v>
      </c>
      <c r="C45" s="64">
        <v>8.08</v>
      </c>
      <c r="D45" s="64">
        <v>16.43</v>
      </c>
      <c r="E45" s="64">
        <v>4.37</v>
      </c>
      <c r="F45" s="64">
        <v>4.2300000000000004</v>
      </c>
      <c r="G45" s="64">
        <v>63.94</v>
      </c>
      <c r="H45" s="64">
        <v>0.82</v>
      </c>
      <c r="I45" s="64">
        <v>3.44</v>
      </c>
      <c r="J45" s="64">
        <v>0.32</v>
      </c>
      <c r="K45" s="64">
        <v>24.43</v>
      </c>
      <c r="L45" s="64">
        <v>30.82</v>
      </c>
      <c r="M45" s="64">
        <v>73.72</v>
      </c>
      <c r="N45" s="64">
        <v>552.29999999999995</v>
      </c>
      <c r="O45" s="64">
        <v>0</v>
      </c>
      <c r="P45" s="64">
        <v>0.6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1147</v>
      </c>
      <c r="B46" s="64">
        <v>14.7</v>
      </c>
      <c r="C46" s="64">
        <v>8.17</v>
      </c>
      <c r="D46" s="64">
        <v>16.059999999999999</v>
      </c>
      <c r="E46" s="64">
        <v>4.29</v>
      </c>
      <c r="F46" s="64">
        <v>3.93</v>
      </c>
      <c r="G46" s="64">
        <v>62.57</v>
      </c>
      <c r="H46" s="64">
        <v>0.82</v>
      </c>
      <c r="I46" s="64">
        <v>3.72</v>
      </c>
      <c r="J46" s="64">
        <v>0.28999999999999998</v>
      </c>
      <c r="K46" s="64">
        <v>5.91</v>
      </c>
      <c r="L46" s="64">
        <v>31.59</v>
      </c>
      <c r="M46" s="64">
        <v>70.180000000000007</v>
      </c>
      <c r="N46" s="64">
        <v>598.70000000000005</v>
      </c>
      <c r="O46" s="64">
        <v>0</v>
      </c>
      <c r="P46" s="64">
        <v>0.6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1148</v>
      </c>
      <c r="B47" s="64">
        <v>14.06</v>
      </c>
      <c r="C47" s="64">
        <v>8.4</v>
      </c>
      <c r="D47" s="64">
        <v>15.66</v>
      </c>
      <c r="E47" s="64">
        <v>3.99</v>
      </c>
      <c r="F47" s="64">
        <v>3.97</v>
      </c>
      <c r="G47" s="64">
        <v>62.57</v>
      </c>
      <c r="H47" s="64">
        <v>0.82</v>
      </c>
      <c r="I47" s="64">
        <v>3.87</v>
      </c>
      <c r="J47" s="64">
        <v>0.5</v>
      </c>
      <c r="K47" s="64">
        <v>351.2</v>
      </c>
      <c r="L47" s="64">
        <v>32.17</v>
      </c>
      <c r="M47" s="64">
        <v>68.06</v>
      </c>
      <c r="N47" s="64">
        <v>581.29999999999995</v>
      </c>
      <c r="O47" s="64">
        <v>0</v>
      </c>
      <c r="P47" s="64">
        <v>0.62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5" t="s">
        <v>1149</v>
      </c>
      <c r="B48" s="64">
        <v>13.52</v>
      </c>
      <c r="C48" s="64">
        <v>8.6300000000000008</v>
      </c>
      <c r="D48" s="64">
        <v>15.35</v>
      </c>
      <c r="E48" s="64">
        <v>3.99</v>
      </c>
      <c r="F48" s="64">
        <v>3.89</v>
      </c>
      <c r="G48" s="64">
        <v>62.57</v>
      </c>
      <c r="H48" s="64">
        <v>0.82</v>
      </c>
      <c r="I48" s="64">
        <v>4.05</v>
      </c>
      <c r="J48" s="64">
        <v>0.42</v>
      </c>
      <c r="K48" s="64">
        <v>349.53</v>
      </c>
      <c r="L48" s="64">
        <v>31.81</v>
      </c>
      <c r="M48" s="64">
        <v>69.38</v>
      </c>
      <c r="N48" s="64">
        <v>535.20000000000005</v>
      </c>
      <c r="O48" s="64">
        <v>0</v>
      </c>
      <c r="P48" s="64">
        <v>0.59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5" t="s">
        <v>1150</v>
      </c>
      <c r="B49" s="64">
        <v>12.66</v>
      </c>
      <c r="C49" s="64">
        <v>8.67</v>
      </c>
      <c r="D49" s="64">
        <v>14.68</v>
      </c>
      <c r="E49" s="64">
        <v>4.4800000000000004</v>
      </c>
      <c r="F49" s="64">
        <v>3.84</v>
      </c>
      <c r="G49" s="64">
        <v>58.79</v>
      </c>
      <c r="H49" s="64">
        <v>16.59</v>
      </c>
      <c r="I49" s="64">
        <v>4.24</v>
      </c>
      <c r="J49" s="64">
        <v>0.55000000000000004</v>
      </c>
      <c r="K49" s="64">
        <v>138.74</v>
      </c>
      <c r="L49" s="64">
        <v>31.28</v>
      </c>
      <c r="M49" s="64">
        <v>69.33</v>
      </c>
      <c r="N49" s="64">
        <v>443</v>
      </c>
      <c r="O49" s="64">
        <v>0</v>
      </c>
      <c r="P49" s="64">
        <v>0.6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1151</v>
      </c>
      <c r="B50" s="64">
        <v>11.59</v>
      </c>
      <c r="C50" s="64">
        <v>9.09</v>
      </c>
      <c r="D50" s="64">
        <v>14.04</v>
      </c>
      <c r="E50" s="64">
        <v>4.3499999999999996</v>
      </c>
      <c r="F50" s="64">
        <v>3.68</v>
      </c>
      <c r="G50" s="64">
        <v>57.91</v>
      </c>
      <c r="H50" s="64">
        <v>16.59</v>
      </c>
      <c r="I50" s="64">
        <v>4.21</v>
      </c>
      <c r="J50" s="64">
        <v>0.28000000000000003</v>
      </c>
      <c r="K50" s="64">
        <v>126.69</v>
      </c>
      <c r="L50" s="64">
        <v>31.31</v>
      </c>
      <c r="M50" s="64">
        <v>68.790000000000006</v>
      </c>
      <c r="N50" s="64">
        <v>573.1</v>
      </c>
      <c r="O50" s="64">
        <v>0</v>
      </c>
      <c r="P50" s="64">
        <v>0.63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1152</v>
      </c>
      <c r="B51" s="64">
        <v>10.4</v>
      </c>
      <c r="C51" s="64">
        <v>9.5299999999999994</v>
      </c>
      <c r="D51" s="64">
        <v>13.32</v>
      </c>
      <c r="E51" s="64">
        <v>4.24</v>
      </c>
      <c r="F51" s="64">
        <v>4.46</v>
      </c>
      <c r="G51" s="64">
        <v>57.91</v>
      </c>
      <c r="H51" s="64">
        <v>16.59</v>
      </c>
      <c r="I51" s="64">
        <v>5.64</v>
      </c>
      <c r="J51" s="64">
        <v>0.51</v>
      </c>
      <c r="K51" s="64">
        <v>347.2</v>
      </c>
      <c r="L51" s="64">
        <v>32.56</v>
      </c>
      <c r="M51" s="64">
        <v>64.41</v>
      </c>
      <c r="N51" s="64">
        <v>450.4</v>
      </c>
      <c r="O51" s="64">
        <v>0</v>
      </c>
      <c r="P51" s="64">
        <v>0.62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1153</v>
      </c>
      <c r="B52" s="64">
        <v>9.4600000000000009</v>
      </c>
      <c r="C52" s="64">
        <v>9.5500000000000007</v>
      </c>
      <c r="D52" s="64">
        <v>12.58</v>
      </c>
      <c r="E52" s="64">
        <v>4.24</v>
      </c>
      <c r="F52" s="64">
        <v>4.05</v>
      </c>
      <c r="G52" s="64">
        <v>57.91</v>
      </c>
      <c r="H52" s="64">
        <v>16.59</v>
      </c>
      <c r="I52" s="64">
        <v>6.01</v>
      </c>
      <c r="J52" s="64">
        <v>0.4</v>
      </c>
      <c r="K52" s="64">
        <v>340.54</v>
      </c>
      <c r="L52" s="64">
        <v>32.369999999999997</v>
      </c>
      <c r="M52" s="64">
        <v>65.989999999999995</v>
      </c>
      <c r="N52" s="64">
        <v>437.7</v>
      </c>
      <c r="O52" s="64">
        <v>0</v>
      </c>
      <c r="P52" s="64">
        <v>0.62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5" t="s">
        <v>1154</v>
      </c>
      <c r="B53" s="64">
        <v>8.93</v>
      </c>
      <c r="C53" s="64">
        <v>10.130000000000001</v>
      </c>
      <c r="D53" s="64">
        <v>12.45</v>
      </c>
      <c r="E53" s="64">
        <v>4.12</v>
      </c>
      <c r="F53" s="64">
        <v>3.45</v>
      </c>
      <c r="G53" s="64">
        <v>52.38</v>
      </c>
      <c r="H53" s="64">
        <v>19.09</v>
      </c>
      <c r="I53" s="64">
        <v>5.69</v>
      </c>
      <c r="J53" s="64">
        <v>0.76</v>
      </c>
      <c r="K53" s="64">
        <v>326</v>
      </c>
      <c r="L53" s="64">
        <v>32.72</v>
      </c>
      <c r="M53" s="64">
        <v>64.760000000000005</v>
      </c>
      <c r="N53" s="64">
        <v>221.4</v>
      </c>
      <c r="O53" s="64">
        <v>0</v>
      </c>
      <c r="P53" s="64">
        <v>0.63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1155</v>
      </c>
      <c r="B54" s="64">
        <v>8.76</v>
      </c>
      <c r="C54" s="64">
        <v>10.49</v>
      </c>
      <c r="D54" s="64">
        <v>12.51</v>
      </c>
      <c r="E54" s="64">
        <v>3.92</v>
      </c>
      <c r="F54" s="64">
        <v>4.04</v>
      </c>
      <c r="G54" s="64">
        <v>51.09</v>
      </c>
      <c r="H54" s="64">
        <v>19.09</v>
      </c>
      <c r="I54" s="64">
        <v>5.76</v>
      </c>
      <c r="J54" s="64">
        <v>0.69</v>
      </c>
      <c r="K54" s="64">
        <v>321.67</v>
      </c>
      <c r="L54" s="64">
        <v>32.090000000000003</v>
      </c>
      <c r="M54" s="64">
        <v>66.489999999999995</v>
      </c>
      <c r="N54" s="64">
        <v>192.9</v>
      </c>
      <c r="O54" s="64">
        <v>0</v>
      </c>
      <c r="P54" s="64">
        <v>0.63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5" t="s">
        <v>1156</v>
      </c>
      <c r="B55" s="64">
        <v>8.5399999999999991</v>
      </c>
      <c r="C55" s="64">
        <v>10.3</v>
      </c>
      <c r="D55" s="64">
        <v>12.23</v>
      </c>
      <c r="E55" s="64">
        <v>4.18</v>
      </c>
      <c r="F55" s="64">
        <v>3.62</v>
      </c>
      <c r="G55" s="64">
        <v>51.09</v>
      </c>
      <c r="H55" s="64">
        <v>19.09</v>
      </c>
      <c r="I55" s="64">
        <v>5.39</v>
      </c>
      <c r="J55" s="64">
        <v>0.65</v>
      </c>
      <c r="K55" s="64">
        <v>348.66</v>
      </c>
      <c r="L55" s="64">
        <v>31.22</v>
      </c>
      <c r="M55" s="64">
        <v>68.67</v>
      </c>
      <c r="N55" s="64">
        <v>197.1</v>
      </c>
      <c r="O55" s="64">
        <v>0</v>
      </c>
      <c r="P55" s="64">
        <v>0.56000000000000005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1157</v>
      </c>
      <c r="B56" s="64">
        <v>8.91</v>
      </c>
      <c r="C56" s="64">
        <v>10.5</v>
      </c>
      <c r="D56" s="64">
        <v>12.63</v>
      </c>
      <c r="E56" s="64">
        <v>3.61</v>
      </c>
      <c r="F56" s="64">
        <v>4.1500000000000004</v>
      </c>
      <c r="G56" s="64">
        <v>51.09</v>
      </c>
      <c r="H56" s="64">
        <v>19.09</v>
      </c>
      <c r="I56" s="64">
        <v>4.49</v>
      </c>
      <c r="J56" s="64">
        <v>0.49</v>
      </c>
      <c r="K56" s="64">
        <v>337.93</v>
      </c>
      <c r="L56" s="64">
        <v>31.08</v>
      </c>
      <c r="M56" s="64">
        <v>68.72</v>
      </c>
      <c r="N56" s="64">
        <v>176.5</v>
      </c>
      <c r="O56" s="64">
        <v>0</v>
      </c>
      <c r="P56" s="64">
        <v>0.59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1158</v>
      </c>
      <c r="B57" s="64">
        <v>9.2100000000000009</v>
      </c>
      <c r="C57" s="64">
        <v>10.18</v>
      </c>
      <c r="D57" s="64">
        <v>12.7</v>
      </c>
      <c r="E57" s="64">
        <v>4.43</v>
      </c>
      <c r="F57" s="64">
        <v>3.68</v>
      </c>
      <c r="G57" s="64">
        <v>45.04</v>
      </c>
      <c r="H57" s="64">
        <v>1.53</v>
      </c>
      <c r="I57" s="64">
        <v>3.76</v>
      </c>
      <c r="J57" s="64">
        <v>0.93</v>
      </c>
      <c r="K57" s="64">
        <v>328.63</v>
      </c>
      <c r="L57" s="64">
        <v>30.99</v>
      </c>
      <c r="M57" s="64">
        <v>69.959999999999994</v>
      </c>
      <c r="N57" s="64">
        <v>206.7</v>
      </c>
      <c r="O57" s="64">
        <v>0</v>
      </c>
      <c r="P57" s="64">
        <v>0.67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5" t="s">
        <v>1159</v>
      </c>
      <c r="B58" s="64">
        <v>9.92</v>
      </c>
      <c r="C58" s="64">
        <v>10.64</v>
      </c>
      <c r="D58" s="64">
        <v>13.52</v>
      </c>
      <c r="E58" s="64">
        <v>4.5</v>
      </c>
      <c r="F58" s="64">
        <v>4.17</v>
      </c>
      <c r="G58" s="64">
        <v>43.63</v>
      </c>
      <c r="H58" s="64">
        <v>1.53</v>
      </c>
      <c r="I58" s="64">
        <v>2.89</v>
      </c>
      <c r="J58" s="64">
        <v>1</v>
      </c>
      <c r="K58" s="64">
        <v>336.75</v>
      </c>
      <c r="L58" s="64">
        <v>30.69</v>
      </c>
      <c r="M58" s="64">
        <v>71.08</v>
      </c>
      <c r="N58" s="64">
        <v>138.30000000000001</v>
      </c>
      <c r="O58" s="64">
        <v>0</v>
      </c>
      <c r="P58" s="64">
        <v>0.66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1160</v>
      </c>
      <c r="B59" s="64">
        <v>10.45</v>
      </c>
      <c r="C59" s="64">
        <v>10.57</v>
      </c>
      <c r="D59" s="64">
        <v>13.91</v>
      </c>
      <c r="E59" s="64">
        <v>4.42</v>
      </c>
      <c r="F59" s="64">
        <v>2.9</v>
      </c>
      <c r="G59" s="64">
        <v>43.63</v>
      </c>
      <c r="H59" s="64">
        <v>1.53</v>
      </c>
      <c r="I59" s="64">
        <v>3.88</v>
      </c>
      <c r="J59" s="64">
        <v>1.1100000000000001</v>
      </c>
      <c r="K59" s="64">
        <v>340.38</v>
      </c>
      <c r="L59" s="64">
        <v>30.7</v>
      </c>
      <c r="M59" s="64">
        <v>70.27</v>
      </c>
      <c r="N59" s="64">
        <v>97.8</v>
      </c>
      <c r="O59" s="64">
        <v>0</v>
      </c>
      <c r="P59" s="64">
        <v>0.66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1161</v>
      </c>
      <c r="B60" s="64">
        <v>10.78</v>
      </c>
      <c r="C60" s="64">
        <v>10.34</v>
      </c>
      <c r="D60" s="64">
        <v>14.05</v>
      </c>
      <c r="E60" s="64">
        <v>4.78</v>
      </c>
      <c r="F60" s="64">
        <v>4.24</v>
      </c>
      <c r="G60" s="64">
        <v>43.63</v>
      </c>
      <c r="H60" s="64">
        <v>1.53</v>
      </c>
      <c r="I60" s="64">
        <v>4.1500000000000004</v>
      </c>
      <c r="J60" s="64">
        <v>1.95</v>
      </c>
      <c r="K60" s="64">
        <v>334.82</v>
      </c>
      <c r="L60" s="64">
        <v>29.99</v>
      </c>
      <c r="M60" s="64">
        <v>75.69</v>
      </c>
      <c r="N60" s="64">
        <v>106</v>
      </c>
      <c r="O60" s="64">
        <v>0</v>
      </c>
      <c r="P60" s="64">
        <v>0.65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1162</v>
      </c>
      <c r="B61" s="64">
        <v>10.46</v>
      </c>
      <c r="C61" s="64">
        <v>11.1</v>
      </c>
      <c r="D61" s="64">
        <v>14.19</v>
      </c>
      <c r="E61" s="64">
        <v>4.6100000000000003</v>
      </c>
      <c r="F61" s="64">
        <v>4.21</v>
      </c>
      <c r="G61" s="64">
        <v>44.04</v>
      </c>
      <c r="H61" s="64">
        <v>0.15</v>
      </c>
      <c r="I61" s="64">
        <v>3.4</v>
      </c>
      <c r="J61" s="64">
        <v>1.93</v>
      </c>
      <c r="K61" s="64">
        <v>332.77</v>
      </c>
      <c r="L61" s="64">
        <v>28.67</v>
      </c>
      <c r="M61" s="64">
        <v>86.23</v>
      </c>
      <c r="N61" s="64">
        <v>105.2</v>
      </c>
      <c r="O61" s="64">
        <v>0</v>
      </c>
      <c r="P61" s="64">
        <v>0.64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1163</v>
      </c>
      <c r="B62" s="64">
        <v>9.7100000000000009</v>
      </c>
      <c r="C62" s="64">
        <v>11.96</v>
      </c>
      <c r="D62" s="64">
        <v>14.04</v>
      </c>
      <c r="E62" s="64">
        <v>4.7300000000000004</v>
      </c>
      <c r="F62" s="64">
        <v>4.25</v>
      </c>
      <c r="G62" s="64">
        <v>44.14</v>
      </c>
      <c r="H62" s="64">
        <v>0.15</v>
      </c>
      <c r="I62" s="64">
        <v>3.89</v>
      </c>
      <c r="J62" s="64">
        <v>1.21</v>
      </c>
      <c r="K62" s="64">
        <v>349.79</v>
      </c>
      <c r="L62" s="64">
        <v>26.94</v>
      </c>
      <c r="M62" s="64">
        <v>94.34</v>
      </c>
      <c r="N62" s="64">
        <v>119.8</v>
      </c>
      <c r="O62" s="64">
        <v>5.2</v>
      </c>
      <c r="P62" s="64">
        <v>0.65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1164</v>
      </c>
      <c r="B63" s="64">
        <v>8.91</v>
      </c>
      <c r="C63" s="64">
        <v>12.29</v>
      </c>
      <c r="D63" s="64">
        <v>13.57</v>
      </c>
      <c r="E63" s="64">
        <v>4.45</v>
      </c>
      <c r="F63" s="64">
        <v>3.77</v>
      </c>
      <c r="G63" s="64">
        <v>44.14</v>
      </c>
      <c r="H63" s="64">
        <v>9.15</v>
      </c>
      <c r="I63" s="64">
        <v>4.3</v>
      </c>
      <c r="J63" s="64">
        <v>0.79</v>
      </c>
      <c r="K63" s="64">
        <v>315.04000000000002</v>
      </c>
      <c r="L63" s="64">
        <v>23.07</v>
      </c>
      <c r="M63" s="64">
        <v>102.7</v>
      </c>
      <c r="N63" s="64">
        <v>161.1</v>
      </c>
      <c r="O63" s="64">
        <v>0.4</v>
      </c>
      <c r="P63" s="64">
        <v>0.56999999999999995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1165</v>
      </c>
      <c r="B64" s="64">
        <v>8.41</v>
      </c>
      <c r="C64" s="64">
        <v>11.87</v>
      </c>
      <c r="D64" s="64">
        <v>12.95</v>
      </c>
      <c r="E64" s="64">
        <v>4.57</v>
      </c>
      <c r="F64" s="64">
        <v>3.96</v>
      </c>
      <c r="G64" s="64">
        <v>44.14</v>
      </c>
      <c r="H64" s="64">
        <v>10.15</v>
      </c>
      <c r="I64" s="64">
        <v>3.92</v>
      </c>
      <c r="J64" s="64">
        <v>0.57999999999999996</v>
      </c>
      <c r="K64" s="64">
        <v>1.1100000000000001</v>
      </c>
      <c r="L64" s="64">
        <v>23.27</v>
      </c>
      <c r="M64" s="64">
        <v>102.7</v>
      </c>
      <c r="N64" s="64">
        <v>181.4</v>
      </c>
      <c r="O64" s="64">
        <v>1.8</v>
      </c>
      <c r="P64" s="64">
        <v>0.63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1166</v>
      </c>
      <c r="B65" s="64">
        <v>8.42</v>
      </c>
      <c r="C65" s="64">
        <v>11.21</v>
      </c>
      <c r="D65" s="64">
        <v>12.61</v>
      </c>
      <c r="E65" s="64">
        <v>4.3499999999999996</v>
      </c>
      <c r="F65" s="64">
        <v>3.5</v>
      </c>
      <c r="G65" s="64">
        <v>35.68</v>
      </c>
      <c r="H65" s="64">
        <v>10.15</v>
      </c>
      <c r="I65" s="64">
        <v>3.38</v>
      </c>
      <c r="J65" s="64">
        <v>0.12</v>
      </c>
      <c r="K65" s="64">
        <v>224.76</v>
      </c>
      <c r="L65" s="64">
        <v>23.84</v>
      </c>
      <c r="M65" s="64">
        <v>102.68</v>
      </c>
      <c r="N65" s="64">
        <v>170.8</v>
      </c>
      <c r="O65" s="64">
        <v>0.2</v>
      </c>
      <c r="P65" s="64">
        <v>0.81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5" t="s">
        <v>1167</v>
      </c>
      <c r="B66" s="64">
        <v>8.52</v>
      </c>
      <c r="C66" s="64">
        <v>10.8</v>
      </c>
      <c r="D66" s="64">
        <v>12.48</v>
      </c>
      <c r="E66" s="64">
        <v>4</v>
      </c>
      <c r="F66" s="64">
        <v>3.62</v>
      </c>
      <c r="G66" s="64">
        <v>33.71</v>
      </c>
      <c r="H66" s="64">
        <v>10.15</v>
      </c>
      <c r="I66" s="64">
        <v>2.97</v>
      </c>
      <c r="J66" s="64">
        <v>0.2</v>
      </c>
      <c r="K66" s="64">
        <v>134.76</v>
      </c>
      <c r="L66" s="64">
        <v>25.09</v>
      </c>
      <c r="M66" s="64">
        <v>102.6</v>
      </c>
      <c r="N66" s="64">
        <v>188.6</v>
      </c>
      <c r="O66" s="64">
        <v>0</v>
      </c>
      <c r="P66" s="64">
        <v>0.69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1168</v>
      </c>
      <c r="B67" s="64">
        <v>7.11</v>
      </c>
      <c r="C67" s="64">
        <v>11.71</v>
      </c>
      <c r="D67" s="64">
        <v>11.82</v>
      </c>
      <c r="E67" s="64">
        <v>4.96</v>
      </c>
      <c r="F67" s="64">
        <v>5.27</v>
      </c>
      <c r="G67" s="64">
        <v>10.6</v>
      </c>
      <c r="H67" s="64">
        <v>9.15</v>
      </c>
      <c r="I67" s="64">
        <v>3.14</v>
      </c>
      <c r="J67" s="64">
        <v>0.69</v>
      </c>
      <c r="K67" s="64">
        <v>102.38</v>
      </c>
      <c r="L67" s="64">
        <v>26.58</v>
      </c>
      <c r="M67" s="64">
        <v>93.17</v>
      </c>
      <c r="N67" s="64">
        <v>144.19999999999999</v>
      </c>
      <c r="O67" s="64">
        <v>0</v>
      </c>
      <c r="P67" s="64">
        <v>0.46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5" t="s">
        <v>1169</v>
      </c>
      <c r="B68" s="64">
        <v>3.45</v>
      </c>
      <c r="C68" s="64">
        <v>13.76</v>
      </c>
      <c r="D68" s="64">
        <v>9.9600000000000009</v>
      </c>
      <c r="E68" s="64">
        <v>5</v>
      </c>
      <c r="F68" s="64">
        <v>7</v>
      </c>
      <c r="G68" s="64">
        <v>10.6</v>
      </c>
      <c r="H68" s="64">
        <v>9.15</v>
      </c>
      <c r="I68" s="64">
        <v>3.84</v>
      </c>
      <c r="J68" s="64">
        <v>0.44</v>
      </c>
      <c r="K68" s="64">
        <v>320.04000000000002</v>
      </c>
      <c r="L68" s="64">
        <v>27.32</v>
      </c>
      <c r="M68" s="64">
        <v>94.99</v>
      </c>
      <c r="N68" s="64">
        <v>121.2</v>
      </c>
      <c r="O68" s="64">
        <v>0</v>
      </c>
      <c r="P68" s="64">
        <v>0.63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1170</v>
      </c>
      <c r="B69" s="64">
        <v>2.41</v>
      </c>
      <c r="C69" s="64">
        <v>13.54</v>
      </c>
      <c r="D69" s="64">
        <v>9.01</v>
      </c>
      <c r="E69" s="64">
        <v>5</v>
      </c>
      <c r="F69" s="64">
        <v>4.37</v>
      </c>
      <c r="G69" s="64">
        <v>10.6</v>
      </c>
      <c r="H69" s="64">
        <v>9.15</v>
      </c>
      <c r="I69" s="64">
        <v>2.2799999999999998</v>
      </c>
      <c r="J69" s="64">
        <v>0.74</v>
      </c>
      <c r="K69" s="64">
        <v>123.37</v>
      </c>
      <c r="L69" s="64">
        <v>28.27</v>
      </c>
      <c r="M69" s="64">
        <v>80.22</v>
      </c>
      <c r="N69" s="64">
        <v>116.4</v>
      </c>
      <c r="O69" s="64">
        <v>0</v>
      </c>
      <c r="P69" s="64">
        <v>0.43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1171</v>
      </c>
      <c r="B70" s="64">
        <v>2.48</v>
      </c>
      <c r="C70" s="64">
        <v>12.27</v>
      </c>
      <c r="D70" s="64">
        <v>8.4</v>
      </c>
      <c r="E70" s="64">
        <v>4.7699999999999996</v>
      </c>
      <c r="F70" s="64">
        <v>4.04</v>
      </c>
      <c r="G70" s="64">
        <v>10.6</v>
      </c>
      <c r="H70" s="64">
        <v>9.15</v>
      </c>
      <c r="I70" s="64">
        <v>1.91</v>
      </c>
      <c r="J70" s="64">
        <v>0.93</v>
      </c>
      <c r="K70" s="64">
        <v>330.41</v>
      </c>
      <c r="L70" s="64">
        <v>28.49</v>
      </c>
      <c r="M70" s="64">
        <v>83.23</v>
      </c>
      <c r="N70" s="64">
        <v>104.1</v>
      </c>
      <c r="O70" s="64">
        <v>0</v>
      </c>
      <c r="P70" s="64">
        <v>0.62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5" t="s">
        <v>1172</v>
      </c>
      <c r="B71" s="64">
        <v>3.4</v>
      </c>
      <c r="C71" s="64">
        <v>11.65</v>
      </c>
      <c r="D71" s="64">
        <v>8.81</v>
      </c>
      <c r="E71" s="64">
        <v>4.88</v>
      </c>
      <c r="F71" s="64">
        <v>4.29</v>
      </c>
      <c r="G71" s="64">
        <v>46.22</v>
      </c>
      <c r="H71" s="64">
        <v>10.15</v>
      </c>
      <c r="I71" s="64">
        <v>2.46</v>
      </c>
      <c r="J71" s="64">
        <v>0.83</v>
      </c>
      <c r="K71" s="64">
        <v>329.35</v>
      </c>
      <c r="L71" s="64">
        <v>28.9</v>
      </c>
      <c r="M71" s="64">
        <v>80.38</v>
      </c>
      <c r="N71" s="64">
        <v>94.6</v>
      </c>
      <c r="O71" s="64">
        <v>0</v>
      </c>
      <c r="P71" s="64">
        <v>0.55000000000000004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5" t="s">
        <v>1173</v>
      </c>
      <c r="B72" s="64">
        <v>4.3499999999999996</v>
      </c>
      <c r="C72" s="64">
        <v>12.75</v>
      </c>
      <c r="D72" s="64">
        <v>10.15</v>
      </c>
      <c r="E72" s="64">
        <v>4.9800000000000004</v>
      </c>
      <c r="F72" s="64">
        <v>6.31</v>
      </c>
      <c r="G72" s="64">
        <v>66.03</v>
      </c>
      <c r="H72" s="64">
        <v>10.15</v>
      </c>
      <c r="I72" s="64">
        <v>2.46</v>
      </c>
      <c r="J72" s="64">
        <v>0.8</v>
      </c>
      <c r="K72" s="64">
        <v>327.98</v>
      </c>
      <c r="L72" s="64">
        <v>28.95</v>
      </c>
      <c r="M72" s="64">
        <v>78.67</v>
      </c>
      <c r="N72" s="64">
        <v>83.3</v>
      </c>
      <c r="O72" s="64">
        <v>0</v>
      </c>
      <c r="P72" s="64">
        <v>0.55000000000000004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5" t="s">
        <v>1174</v>
      </c>
      <c r="B73" s="64">
        <v>5.5</v>
      </c>
      <c r="C73" s="64">
        <v>15.63</v>
      </c>
      <c r="D73" s="64">
        <v>12.58</v>
      </c>
      <c r="E73" s="64">
        <v>5.31</v>
      </c>
      <c r="F73" s="64">
        <v>4.4400000000000004</v>
      </c>
      <c r="G73" s="64">
        <v>66.03</v>
      </c>
      <c r="H73" s="64">
        <v>10.15</v>
      </c>
      <c r="I73" s="64">
        <v>1.8</v>
      </c>
      <c r="J73" s="64">
        <v>0.95</v>
      </c>
      <c r="K73" s="64">
        <v>334.12</v>
      </c>
      <c r="L73" s="64">
        <v>28.94</v>
      </c>
      <c r="M73" s="64">
        <v>79.13</v>
      </c>
      <c r="N73" s="64">
        <v>75.2</v>
      </c>
      <c r="O73" s="64">
        <v>0</v>
      </c>
      <c r="P73" s="64">
        <v>0.62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5" t="s">
        <v>1175</v>
      </c>
      <c r="B74" s="64">
        <v>6.08</v>
      </c>
      <c r="C74" s="64">
        <v>16.16</v>
      </c>
      <c r="D74" s="64">
        <v>13.32</v>
      </c>
      <c r="E74" s="64">
        <v>5.0599999999999996</v>
      </c>
      <c r="F74" s="64">
        <v>3.97</v>
      </c>
      <c r="G74" s="64">
        <v>66.03</v>
      </c>
      <c r="H74" s="64">
        <v>10.15</v>
      </c>
      <c r="I74" s="64">
        <v>2.23</v>
      </c>
      <c r="J74" s="64">
        <v>0.73</v>
      </c>
      <c r="K74" s="64">
        <v>334.51</v>
      </c>
      <c r="L74" s="64">
        <v>29.1</v>
      </c>
      <c r="M74" s="64">
        <v>77.3</v>
      </c>
      <c r="N74" s="64">
        <v>68.900000000000006</v>
      </c>
      <c r="O74" s="64">
        <v>0</v>
      </c>
      <c r="P74" s="64">
        <v>0.76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5" t="s">
        <v>1176</v>
      </c>
      <c r="B75" s="64">
        <v>7.4</v>
      </c>
      <c r="C75" s="64">
        <v>19.260000000000002</v>
      </c>
      <c r="D75" s="64">
        <v>16</v>
      </c>
      <c r="E75" s="64">
        <v>5.8</v>
      </c>
      <c r="F75" s="64">
        <v>4.5</v>
      </c>
      <c r="G75" s="64">
        <v>55.83</v>
      </c>
      <c r="H75" s="64">
        <v>4.6900000000000004</v>
      </c>
      <c r="I75" s="64">
        <v>2.09</v>
      </c>
      <c r="J75" s="64">
        <v>0.47</v>
      </c>
      <c r="K75" s="64">
        <v>347.33</v>
      </c>
      <c r="L75" s="64">
        <v>28.99</v>
      </c>
      <c r="M75" s="64">
        <v>75.34</v>
      </c>
      <c r="N75" s="64">
        <v>59.8</v>
      </c>
      <c r="O75" s="64">
        <v>0</v>
      </c>
      <c r="P75" s="64">
        <v>0.8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5" t="s">
        <v>1177</v>
      </c>
      <c r="B76" s="64">
        <v>6.7</v>
      </c>
      <c r="C76" s="64">
        <v>22.02</v>
      </c>
      <c r="D76" s="64">
        <v>16.88</v>
      </c>
      <c r="E76" s="64">
        <v>6.01</v>
      </c>
      <c r="F76" s="64">
        <v>5.72</v>
      </c>
      <c r="G76" s="64">
        <v>51.46</v>
      </c>
      <c r="H76" s="64">
        <v>5.07</v>
      </c>
      <c r="I76" s="64">
        <v>2.08</v>
      </c>
      <c r="J76" s="64">
        <v>0.62</v>
      </c>
      <c r="K76" s="64">
        <v>106.4</v>
      </c>
      <c r="L76" s="64">
        <v>28.56</v>
      </c>
      <c r="M76" s="64">
        <v>73.88</v>
      </c>
      <c r="N76" s="64">
        <v>45.9</v>
      </c>
      <c r="O76" s="64">
        <v>0</v>
      </c>
      <c r="P76" s="64">
        <v>0.38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1178</v>
      </c>
      <c r="B77" s="64">
        <v>5.76</v>
      </c>
      <c r="C77" s="64">
        <v>19.84</v>
      </c>
      <c r="D77" s="64">
        <v>14.99</v>
      </c>
      <c r="E77" s="64">
        <v>5.7</v>
      </c>
      <c r="F77" s="64">
        <v>5.37</v>
      </c>
      <c r="G77" s="64">
        <v>51.46</v>
      </c>
      <c r="H77" s="64">
        <v>5.07</v>
      </c>
      <c r="I77" s="64">
        <v>1.78</v>
      </c>
      <c r="J77" s="64">
        <v>0.41</v>
      </c>
      <c r="K77" s="64">
        <v>95.78</v>
      </c>
      <c r="L77" s="64">
        <v>28.27</v>
      </c>
      <c r="M77" s="64">
        <v>76.08</v>
      </c>
      <c r="N77" s="64">
        <v>38.6</v>
      </c>
      <c r="O77" s="64">
        <v>0</v>
      </c>
      <c r="P77" s="64">
        <v>0.38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1179</v>
      </c>
      <c r="B78" s="64">
        <v>5.4</v>
      </c>
      <c r="C78" s="64">
        <v>17.29</v>
      </c>
      <c r="D78" s="64">
        <v>13.36</v>
      </c>
      <c r="E78" s="64">
        <v>5.12</v>
      </c>
      <c r="F78" s="64">
        <v>4.6399999999999997</v>
      </c>
      <c r="G78" s="64">
        <v>51.46</v>
      </c>
      <c r="H78" s="64">
        <v>5.07</v>
      </c>
      <c r="I78" s="64">
        <v>1.1299999999999999</v>
      </c>
      <c r="J78" s="64">
        <v>0.31</v>
      </c>
      <c r="K78" s="64">
        <v>13.68</v>
      </c>
      <c r="L78" s="64">
        <v>27.93</v>
      </c>
      <c r="M78" s="64">
        <v>82.16</v>
      </c>
      <c r="N78" s="64">
        <v>34.799999999999997</v>
      </c>
      <c r="O78" s="64">
        <v>0</v>
      </c>
      <c r="P78" s="64">
        <v>0.99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1180</v>
      </c>
      <c r="B79" s="64">
        <v>6.84</v>
      </c>
      <c r="C79" s="64">
        <v>15.85</v>
      </c>
      <c r="D79" s="64">
        <v>13.76</v>
      </c>
      <c r="E79" s="64">
        <v>5.29</v>
      </c>
      <c r="F79" s="64">
        <v>3.97</v>
      </c>
      <c r="G79" s="64">
        <v>56.07</v>
      </c>
      <c r="H79" s="64">
        <v>3.85</v>
      </c>
      <c r="I79" s="64">
        <v>1.34</v>
      </c>
      <c r="J79" s="64">
        <v>0.53</v>
      </c>
      <c r="K79" s="64">
        <v>341.95</v>
      </c>
      <c r="L79" s="64">
        <v>27.52</v>
      </c>
      <c r="M79" s="64">
        <v>89.92</v>
      </c>
      <c r="N79" s="64">
        <v>29.4</v>
      </c>
      <c r="O79" s="64">
        <v>0</v>
      </c>
      <c r="P79" s="64">
        <v>1.64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1181</v>
      </c>
      <c r="B80" s="64">
        <v>11.56</v>
      </c>
      <c r="C80" s="64">
        <v>14.64</v>
      </c>
      <c r="D80" s="64">
        <v>16.920000000000002</v>
      </c>
      <c r="E80" s="64">
        <v>5.45</v>
      </c>
      <c r="F80" s="64">
        <v>3.57</v>
      </c>
      <c r="G80" s="64">
        <v>58.05</v>
      </c>
      <c r="H80" s="64">
        <v>3.75</v>
      </c>
      <c r="I80" s="64">
        <v>3.51</v>
      </c>
      <c r="J80" s="64">
        <v>0.34</v>
      </c>
      <c r="K80" s="64">
        <v>19.14</v>
      </c>
      <c r="L80" s="64">
        <v>26.81</v>
      </c>
      <c r="M80" s="64">
        <v>97.86</v>
      </c>
      <c r="N80" s="64">
        <v>27</v>
      </c>
      <c r="O80" s="64">
        <v>0</v>
      </c>
      <c r="P80" s="64">
        <v>1.3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5" t="s">
        <v>1182</v>
      </c>
      <c r="B81" s="64">
        <v>15.39</v>
      </c>
      <c r="C81" s="64">
        <v>13.58</v>
      </c>
      <c r="D81" s="64">
        <v>19.440000000000001</v>
      </c>
      <c r="E81" s="64">
        <v>5.17</v>
      </c>
      <c r="F81" s="64">
        <v>3.45</v>
      </c>
      <c r="G81" s="64">
        <v>58.05</v>
      </c>
      <c r="H81" s="64">
        <v>3.75</v>
      </c>
      <c r="I81" s="64">
        <v>5.32</v>
      </c>
      <c r="J81" s="64">
        <v>0.03</v>
      </c>
      <c r="K81" s="64">
        <v>213.33</v>
      </c>
      <c r="L81" s="64">
        <v>26.32</v>
      </c>
      <c r="M81" s="64">
        <v>99.83</v>
      </c>
      <c r="N81" s="64">
        <v>26.4</v>
      </c>
      <c r="O81" s="64">
        <v>0</v>
      </c>
      <c r="P81" s="64">
        <v>1.07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5" t="s">
        <v>1183</v>
      </c>
      <c r="B82" s="64">
        <v>19.36</v>
      </c>
      <c r="C82" s="64">
        <v>12.88</v>
      </c>
      <c r="D82" s="64">
        <v>22.25</v>
      </c>
      <c r="E82" s="64">
        <v>5.34</v>
      </c>
      <c r="F82" s="64">
        <v>3.56</v>
      </c>
      <c r="G82" s="64">
        <v>58.05</v>
      </c>
      <c r="H82" s="64">
        <v>3.75</v>
      </c>
      <c r="I82" s="64">
        <v>5.18</v>
      </c>
      <c r="J82" s="64">
        <v>0.53</v>
      </c>
      <c r="K82" s="64">
        <v>309.38</v>
      </c>
      <c r="L82" s="64">
        <v>25.9</v>
      </c>
      <c r="M82" s="64">
        <v>102.63</v>
      </c>
      <c r="N82" s="64">
        <v>26.5</v>
      </c>
      <c r="O82" s="64">
        <v>0</v>
      </c>
      <c r="P82" s="64">
        <v>2.2000000000000002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1184</v>
      </c>
      <c r="B83" s="64">
        <v>22.71</v>
      </c>
      <c r="C83" s="64">
        <v>12.73</v>
      </c>
      <c r="D83" s="64">
        <v>24.86</v>
      </c>
      <c r="E83" s="64">
        <v>5.81</v>
      </c>
      <c r="F83" s="64">
        <v>4.38</v>
      </c>
      <c r="G83" s="64">
        <v>61.14</v>
      </c>
      <c r="H83" s="64">
        <v>2.7</v>
      </c>
      <c r="I83" s="64">
        <v>5.38</v>
      </c>
      <c r="J83" s="64">
        <v>0.19</v>
      </c>
      <c r="K83" s="64">
        <v>25.97</v>
      </c>
      <c r="L83" s="64">
        <v>25.83</v>
      </c>
      <c r="M83" s="64">
        <v>102.33</v>
      </c>
      <c r="N83" s="64">
        <v>26.1</v>
      </c>
      <c r="O83" s="64">
        <v>0</v>
      </c>
      <c r="P83" s="64">
        <v>1.57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1185</v>
      </c>
      <c r="B84" s="64">
        <v>27.36</v>
      </c>
      <c r="C84" s="64">
        <v>13.12</v>
      </c>
      <c r="D84" s="64">
        <v>28.79</v>
      </c>
      <c r="E84" s="64">
        <v>5.96</v>
      </c>
      <c r="F84" s="64">
        <v>3.98</v>
      </c>
      <c r="G84" s="64">
        <v>62.46</v>
      </c>
      <c r="H84" s="64">
        <v>2.59</v>
      </c>
      <c r="I84" s="64">
        <v>6.82</v>
      </c>
      <c r="J84" s="64">
        <v>0.5</v>
      </c>
      <c r="K84" s="64">
        <v>344.51</v>
      </c>
      <c r="L84" s="64">
        <v>25.77</v>
      </c>
      <c r="M84" s="64">
        <v>102.63</v>
      </c>
      <c r="N84" s="64">
        <v>26.1</v>
      </c>
      <c r="O84" s="64">
        <v>0</v>
      </c>
      <c r="P84" s="64">
        <v>2.2999999999999998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1186</v>
      </c>
      <c r="B85" s="64">
        <v>32.21</v>
      </c>
      <c r="C85" s="64">
        <v>11.99</v>
      </c>
      <c r="D85" s="64">
        <v>32.090000000000003</v>
      </c>
      <c r="E85" s="64">
        <v>6.62</v>
      </c>
      <c r="F85" s="64">
        <v>6.47</v>
      </c>
      <c r="G85" s="64">
        <v>62.46</v>
      </c>
      <c r="H85" s="64">
        <v>2.59</v>
      </c>
      <c r="I85" s="64">
        <v>7.21</v>
      </c>
      <c r="J85" s="64">
        <v>0.37</v>
      </c>
      <c r="K85" s="64">
        <v>258.69</v>
      </c>
      <c r="L85" s="64">
        <v>25.68</v>
      </c>
      <c r="M85" s="64">
        <v>102.63</v>
      </c>
      <c r="N85" s="64">
        <v>26.1</v>
      </c>
      <c r="O85" s="64">
        <v>0</v>
      </c>
      <c r="P85" s="64">
        <v>2.2200000000000002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1187</v>
      </c>
      <c r="B86" s="64">
        <v>36.19</v>
      </c>
      <c r="C86" s="64">
        <v>12.02</v>
      </c>
      <c r="D86" s="64">
        <v>35.299999999999997</v>
      </c>
      <c r="E86" s="64">
        <v>7.14</v>
      </c>
      <c r="F86" s="64">
        <v>3.22</v>
      </c>
      <c r="G86" s="64">
        <v>62.46</v>
      </c>
      <c r="H86" s="64">
        <v>2.59</v>
      </c>
      <c r="I86" s="64">
        <v>9.14</v>
      </c>
      <c r="J86" s="64">
        <v>0.34</v>
      </c>
      <c r="K86" s="64">
        <v>292.64999999999998</v>
      </c>
      <c r="L86" s="64">
        <v>25.7</v>
      </c>
      <c r="M86" s="64">
        <v>102.64</v>
      </c>
      <c r="N86" s="64">
        <v>26.1</v>
      </c>
      <c r="O86" s="64">
        <v>0</v>
      </c>
      <c r="P86" s="64">
        <v>2.67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1188</v>
      </c>
      <c r="B87" s="64">
        <v>41.03</v>
      </c>
      <c r="C87" s="64">
        <v>11.27</v>
      </c>
      <c r="D87" s="64">
        <v>38.79</v>
      </c>
      <c r="E87" s="64">
        <v>7.32</v>
      </c>
      <c r="F87" s="64">
        <v>4.28</v>
      </c>
      <c r="G87" s="64">
        <v>70.36</v>
      </c>
      <c r="H87" s="64">
        <v>1.87</v>
      </c>
      <c r="I87" s="64">
        <v>10.87</v>
      </c>
      <c r="J87" s="64">
        <v>0.3</v>
      </c>
      <c r="K87" s="64">
        <v>218.48</v>
      </c>
      <c r="L87" s="64">
        <v>25.59</v>
      </c>
      <c r="M87" s="64">
        <v>102.59</v>
      </c>
      <c r="N87" s="64">
        <v>26</v>
      </c>
      <c r="O87" s="64">
        <v>0</v>
      </c>
      <c r="P87" s="64">
        <v>2.2599999999999998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1189</v>
      </c>
      <c r="B88" s="64">
        <v>44.5</v>
      </c>
      <c r="C88" s="64">
        <v>11.83</v>
      </c>
      <c r="D88" s="64">
        <v>41.87</v>
      </c>
      <c r="E88" s="64">
        <v>7.03</v>
      </c>
      <c r="F88" s="64">
        <v>3.34</v>
      </c>
      <c r="G88" s="64">
        <v>73.75</v>
      </c>
      <c r="H88" s="64">
        <v>1.81</v>
      </c>
      <c r="I88" s="64">
        <v>12.24</v>
      </c>
      <c r="J88" s="64">
        <v>0.15</v>
      </c>
      <c r="K88" s="64">
        <v>346.81</v>
      </c>
      <c r="L88" s="64">
        <v>25.84</v>
      </c>
      <c r="M88" s="64">
        <v>101.83</v>
      </c>
      <c r="N88" s="64">
        <v>25.9</v>
      </c>
      <c r="O88" s="64">
        <v>0</v>
      </c>
      <c r="P88" s="64">
        <v>2.41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1190</v>
      </c>
      <c r="B89" s="64">
        <v>48.26</v>
      </c>
      <c r="C89" s="64">
        <v>11.39</v>
      </c>
      <c r="D89" s="64">
        <v>44.65</v>
      </c>
      <c r="E89" s="64">
        <v>7.9</v>
      </c>
      <c r="F89" s="64">
        <v>4.21</v>
      </c>
      <c r="G89" s="64">
        <v>73.75</v>
      </c>
      <c r="H89" s="64">
        <v>1.81</v>
      </c>
      <c r="I89" s="64">
        <v>10.84</v>
      </c>
      <c r="J89" s="64">
        <v>0.55000000000000004</v>
      </c>
      <c r="K89" s="64">
        <v>336.77</v>
      </c>
      <c r="L89" s="64">
        <v>25.72</v>
      </c>
      <c r="M89" s="64">
        <v>102.63</v>
      </c>
      <c r="N89" s="64">
        <v>26.1</v>
      </c>
      <c r="O89" s="64">
        <v>0</v>
      </c>
      <c r="P89" s="64">
        <v>2.9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5" t="s">
        <v>1191</v>
      </c>
      <c r="B90" s="64">
        <v>51.03</v>
      </c>
      <c r="C90" s="64">
        <v>11.48</v>
      </c>
      <c r="D90" s="64">
        <v>46.92</v>
      </c>
      <c r="E90" s="64">
        <v>8.59</v>
      </c>
      <c r="F90" s="64">
        <v>4.1100000000000003</v>
      </c>
      <c r="G90" s="64">
        <v>73.75</v>
      </c>
      <c r="H90" s="64">
        <v>1.81</v>
      </c>
      <c r="I90" s="64">
        <v>11.96</v>
      </c>
      <c r="J90" s="64">
        <v>0.47</v>
      </c>
      <c r="K90" s="64">
        <v>309.67</v>
      </c>
      <c r="L90" s="64">
        <v>25.46</v>
      </c>
      <c r="M90" s="64">
        <v>102.62</v>
      </c>
      <c r="N90" s="64">
        <v>26.1</v>
      </c>
      <c r="O90" s="64">
        <v>0</v>
      </c>
      <c r="P90" s="64">
        <v>2.74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5" t="s">
        <v>1192</v>
      </c>
      <c r="B91" s="64">
        <v>54.55</v>
      </c>
      <c r="C91" s="64">
        <v>11.07</v>
      </c>
      <c r="D91" s="64">
        <v>49.53</v>
      </c>
      <c r="E91" s="64">
        <v>8.7100000000000009</v>
      </c>
      <c r="F91" s="64">
        <v>3.87</v>
      </c>
      <c r="G91" s="64">
        <v>78.680000000000007</v>
      </c>
      <c r="H91" s="64">
        <v>18.52</v>
      </c>
      <c r="I91" s="64">
        <v>11.89</v>
      </c>
      <c r="J91" s="64">
        <v>0.51</v>
      </c>
      <c r="K91" s="64">
        <v>341.9</v>
      </c>
      <c r="L91" s="64">
        <v>25.39</v>
      </c>
      <c r="M91" s="64">
        <v>102.63</v>
      </c>
      <c r="N91" s="64">
        <v>26.1</v>
      </c>
      <c r="O91" s="64">
        <v>0</v>
      </c>
      <c r="P91" s="64">
        <v>2.85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5" t="s">
        <v>1193</v>
      </c>
      <c r="B92" s="64">
        <v>58.36</v>
      </c>
      <c r="C92" s="64">
        <v>10.73</v>
      </c>
      <c r="D92" s="64">
        <v>52.41</v>
      </c>
      <c r="E92" s="64">
        <v>8.84</v>
      </c>
      <c r="F92" s="64">
        <v>4.07</v>
      </c>
      <c r="G92" s="64">
        <v>80.8</v>
      </c>
      <c r="H92" s="64">
        <v>19.86</v>
      </c>
      <c r="I92" s="64">
        <v>11.99</v>
      </c>
      <c r="J92" s="64">
        <v>0.46</v>
      </c>
      <c r="K92" s="64">
        <v>318.16000000000003</v>
      </c>
      <c r="L92" s="64">
        <v>25.26</v>
      </c>
      <c r="M92" s="64">
        <v>102.64</v>
      </c>
      <c r="N92" s="64">
        <v>26.1</v>
      </c>
      <c r="O92" s="64">
        <v>0</v>
      </c>
      <c r="P92" s="64">
        <v>2.99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5" t="s">
        <v>1194</v>
      </c>
      <c r="B93" s="64">
        <v>62.84</v>
      </c>
      <c r="C93" s="64">
        <v>10.039999999999999</v>
      </c>
      <c r="D93" s="64">
        <v>55.64</v>
      </c>
      <c r="E93" s="64">
        <v>8.77</v>
      </c>
      <c r="F93" s="64">
        <v>4.4400000000000004</v>
      </c>
      <c r="G93" s="64">
        <v>80.8</v>
      </c>
      <c r="H93" s="64">
        <v>19.86</v>
      </c>
      <c r="I93" s="64">
        <v>12.41</v>
      </c>
      <c r="J93" s="64">
        <v>0.44</v>
      </c>
      <c r="K93" s="64">
        <v>281.12</v>
      </c>
      <c r="L93" s="64">
        <v>25.09</v>
      </c>
      <c r="M93" s="64">
        <v>102.68</v>
      </c>
      <c r="N93" s="64">
        <v>26.1</v>
      </c>
      <c r="O93" s="64">
        <v>0</v>
      </c>
      <c r="P93" s="64">
        <v>3.66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5" t="s">
        <v>1195</v>
      </c>
      <c r="B94" s="64">
        <v>68.239999999999995</v>
      </c>
      <c r="C94" s="64">
        <v>9.92</v>
      </c>
      <c r="D94" s="64">
        <v>59.9</v>
      </c>
      <c r="E94" s="64">
        <v>8.8000000000000007</v>
      </c>
      <c r="F94" s="64">
        <v>4.25</v>
      </c>
      <c r="G94" s="64">
        <v>80.8</v>
      </c>
      <c r="H94" s="64">
        <v>19.86</v>
      </c>
      <c r="I94" s="64">
        <v>12.75</v>
      </c>
      <c r="J94" s="64">
        <v>0.4</v>
      </c>
      <c r="K94" s="64">
        <v>305.02</v>
      </c>
      <c r="L94" s="64">
        <v>24.94</v>
      </c>
      <c r="M94" s="64">
        <v>102.68</v>
      </c>
      <c r="N94" s="64">
        <v>26.1</v>
      </c>
      <c r="O94" s="64">
        <v>0</v>
      </c>
      <c r="P94" s="64">
        <v>3.77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5" t="s">
        <v>1196</v>
      </c>
      <c r="B95" s="64">
        <v>72.260000000000005</v>
      </c>
      <c r="C95" s="64">
        <v>9.77</v>
      </c>
      <c r="D95" s="64">
        <v>63.05</v>
      </c>
      <c r="E95" s="64">
        <v>9.11</v>
      </c>
      <c r="F95" s="64">
        <v>3.97</v>
      </c>
      <c r="G95" s="64">
        <v>86.14</v>
      </c>
      <c r="H95" s="64">
        <v>11.14</v>
      </c>
      <c r="I95" s="64">
        <v>13.74</v>
      </c>
      <c r="J95" s="64">
        <v>0.52</v>
      </c>
      <c r="K95" s="64">
        <v>279.08999999999997</v>
      </c>
      <c r="L95" s="64">
        <v>24.91</v>
      </c>
      <c r="M95" s="64">
        <v>102.68</v>
      </c>
      <c r="N95" s="64">
        <v>26.1</v>
      </c>
      <c r="O95" s="64">
        <v>0</v>
      </c>
      <c r="P95" s="64">
        <v>3.15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5" t="s">
        <v>1197</v>
      </c>
      <c r="B96" s="64">
        <v>74.52</v>
      </c>
      <c r="C96" s="64">
        <v>9.66</v>
      </c>
      <c r="D96" s="64">
        <v>64.8</v>
      </c>
      <c r="E96" s="64">
        <v>9.31</v>
      </c>
      <c r="F96" s="64">
        <v>3.72</v>
      </c>
      <c r="G96" s="64">
        <v>88.43</v>
      </c>
      <c r="H96" s="64">
        <v>11.14</v>
      </c>
      <c r="I96" s="64">
        <v>14.46</v>
      </c>
      <c r="J96" s="64">
        <v>0.56000000000000005</v>
      </c>
      <c r="K96" s="64">
        <v>325.45999999999998</v>
      </c>
      <c r="L96" s="64">
        <v>24.83</v>
      </c>
      <c r="M96" s="64">
        <v>102.68</v>
      </c>
      <c r="N96" s="64">
        <v>26.1</v>
      </c>
      <c r="O96" s="64">
        <v>0</v>
      </c>
      <c r="P96" s="64">
        <v>3.94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1198</v>
      </c>
      <c r="B97" s="64">
        <v>78.81</v>
      </c>
      <c r="C97" s="64">
        <v>9.32</v>
      </c>
      <c r="D97" s="64">
        <v>68.069999999999993</v>
      </c>
      <c r="E97" s="64">
        <v>9.5299999999999994</v>
      </c>
      <c r="F97" s="64">
        <v>3.97</v>
      </c>
      <c r="G97" s="64">
        <v>88.43</v>
      </c>
      <c r="H97" s="64">
        <v>11.14</v>
      </c>
      <c r="I97" s="64">
        <v>14.29</v>
      </c>
      <c r="J97" s="64">
        <v>0.53</v>
      </c>
      <c r="K97" s="64">
        <v>324.49</v>
      </c>
      <c r="L97" s="64">
        <v>24.67</v>
      </c>
      <c r="M97" s="64">
        <v>102.68</v>
      </c>
      <c r="N97" s="64">
        <v>26</v>
      </c>
      <c r="O97" s="64">
        <v>0</v>
      </c>
      <c r="P97" s="64">
        <v>4.41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5" t="s">
        <v>1199</v>
      </c>
      <c r="B98" s="64">
        <v>83.35</v>
      </c>
      <c r="C98" s="64">
        <v>9.17</v>
      </c>
      <c r="D98" s="64">
        <v>71.64</v>
      </c>
      <c r="E98" s="64">
        <v>9.32</v>
      </c>
      <c r="F98" s="64">
        <v>3.94</v>
      </c>
      <c r="G98" s="64">
        <v>88.43</v>
      </c>
      <c r="H98" s="64">
        <v>11.14</v>
      </c>
      <c r="I98" s="64">
        <v>15.33</v>
      </c>
      <c r="J98" s="64">
        <v>0.18</v>
      </c>
      <c r="K98" s="64">
        <v>305.42</v>
      </c>
      <c r="L98" s="64">
        <v>24.64</v>
      </c>
      <c r="M98" s="64">
        <v>102.68</v>
      </c>
      <c r="N98" s="64">
        <v>26</v>
      </c>
      <c r="O98" s="64">
        <v>0</v>
      </c>
      <c r="P98" s="64">
        <v>3.53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5" t="s">
        <v>1200</v>
      </c>
      <c r="B99" s="64">
        <v>85.97</v>
      </c>
      <c r="C99" s="64">
        <v>9.18</v>
      </c>
      <c r="D99" s="64">
        <v>73.739999999999995</v>
      </c>
      <c r="E99" s="64">
        <v>9.14</v>
      </c>
      <c r="F99" s="64">
        <v>3.92</v>
      </c>
      <c r="G99" s="64">
        <v>90.95</v>
      </c>
      <c r="H99" s="64">
        <v>13.47</v>
      </c>
      <c r="I99" s="64">
        <v>15.93</v>
      </c>
      <c r="J99" s="64">
        <v>0.52</v>
      </c>
      <c r="K99" s="64">
        <v>297.52999999999997</v>
      </c>
      <c r="L99" s="64">
        <v>24.77</v>
      </c>
      <c r="M99" s="64">
        <v>102.65</v>
      </c>
      <c r="N99" s="64">
        <v>26.1</v>
      </c>
      <c r="O99" s="64">
        <v>0</v>
      </c>
      <c r="P99" s="64">
        <v>3.12</v>
      </c>
      <c r="Q99" s="64">
        <v>9.65</v>
      </c>
      <c r="R99" s="198"/>
      <c r="S99" s="198"/>
      <c r="T99" s="198"/>
      <c r="U99" s="198"/>
    </row>
    <row r="100" spans="1:33" s="12" customFormat="1" x14ac:dyDescent="0.25">
      <c r="A100" s="215" t="s">
        <v>1201</v>
      </c>
      <c r="B100" s="64">
        <v>86.4</v>
      </c>
      <c r="C100" s="64">
        <v>10.07</v>
      </c>
      <c r="D100" s="64">
        <v>74.540000000000006</v>
      </c>
      <c r="E100" s="64">
        <v>9.01</v>
      </c>
      <c r="F100" s="64">
        <v>4.5</v>
      </c>
      <c r="G100" s="64">
        <v>92.09</v>
      </c>
      <c r="H100" s="211" t="s">
        <v>42</v>
      </c>
      <c r="I100" s="64">
        <v>12.89</v>
      </c>
      <c r="J100" s="64">
        <v>0.12</v>
      </c>
      <c r="K100" s="64">
        <v>315.42</v>
      </c>
      <c r="L100" s="64">
        <v>24.66</v>
      </c>
      <c r="M100" s="64">
        <v>102.63</v>
      </c>
      <c r="N100" s="64">
        <v>26.1</v>
      </c>
      <c r="O100" s="64">
        <v>0</v>
      </c>
      <c r="P100" s="64">
        <v>2.29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1202</v>
      </c>
      <c r="B101" s="64">
        <v>86.21</v>
      </c>
      <c r="C101" s="64">
        <v>10.27</v>
      </c>
      <c r="D101" s="64">
        <v>74.5</v>
      </c>
      <c r="E101" s="64">
        <v>8.56</v>
      </c>
      <c r="F101" s="64">
        <v>4.32</v>
      </c>
      <c r="G101" s="64">
        <v>92.09</v>
      </c>
      <c r="H101" s="211" t="s">
        <v>42</v>
      </c>
      <c r="I101" s="64">
        <v>10.85</v>
      </c>
      <c r="J101" s="64">
        <v>0.46</v>
      </c>
      <c r="K101" s="64">
        <v>323.93</v>
      </c>
      <c r="L101" s="64">
        <v>24.7</v>
      </c>
      <c r="M101" s="64">
        <v>102.63</v>
      </c>
      <c r="N101" s="64">
        <v>26.1</v>
      </c>
      <c r="O101" s="64">
        <v>0</v>
      </c>
      <c r="P101" s="64">
        <v>2.39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5" t="s">
        <v>1203</v>
      </c>
      <c r="B102" s="64">
        <v>85.97</v>
      </c>
      <c r="C102" s="64">
        <v>10.19</v>
      </c>
      <c r="D102" s="64">
        <v>74.27</v>
      </c>
      <c r="E102" s="64">
        <v>8.34</v>
      </c>
      <c r="F102" s="64">
        <v>3.78</v>
      </c>
      <c r="G102" s="64">
        <v>92.09</v>
      </c>
      <c r="H102" s="211" t="s">
        <v>42</v>
      </c>
      <c r="I102" s="64">
        <v>9.2100000000000009</v>
      </c>
      <c r="J102" s="64">
        <v>0.46</v>
      </c>
      <c r="K102" s="64">
        <v>322.2</v>
      </c>
      <c r="L102" s="64">
        <v>24.6</v>
      </c>
      <c r="M102" s="64">
        <v>102.67</v>
      </c>
      <c r="N102" s="64">
        <v>26.1</v>
      </c>
      <c r="O102" s="64">
        <v>0</v>
      </c>
      <c r="P102" s="64">
        <v>2.48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15" t="s">
        <v>1204</v>
      </c>
      <c r="B103" s="64">
        <v>86.38</v>
      </c>
      <c r="C103" s="64">
        <v>9.7200000000000006</v>
      </c>
      <c r="D103" s="64">
        <v>74.349999999999994</v>
      </c>
      <c r="E103" s="64">
        <v>8.32</v>
      </c>
      <c r="F103" s="64">
        <v>4.53</v>
      </c>
      <c r="G103" s="64">
        <v>87.59</v>
      </c>
      <c r="H103" s="211" t="s">
        <v>42</v>
      </c>
      <c r="I103" s="64">
        <v>9.6999999999999993</v>
      </c>
      <c r="J103" s="64">
        <v>0.53</v>
      </c>
      <c r="K103" s="64">
        <v>278.74</v>
      </c>
      <c r="L103" s="64">
        <v>24.43</v>
      </c>
      <c r="M103" s="64">
        <v>102.68</v>
      </c>
      <c r="N103" s="64">
        <v>26.1</v>
      </c>
      <c r="O103" s="64">
        <v>0</v>
      </c>
      <c r="P103" s="64">
        <v>2.48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15" t="s">
        <v>1205</v>
      </c>
      <c r="B104" s="64">
        <v>88.29</v>
      </c>
      <c r="C104" s="64">
        <v>9.31</v>
      </c>
      <c r="D104" s="64">
        <v>75.67</v>
      </c>
      <c r="E104" s="64">
        <v>6.4</v>
      </c>
      <c r="F104" s="64">
        <v>3.24</v>
      </c>
      <c r="G104" s="64">
        <v>85.66</v>
      </c>
      <c r="H104" s="211" t="s">
        <v>42</v>
      </c>
      <c r="I104" s="64">
        <v>9.9600000000000009</v>
      </c>
      <c r="J104" s="64">
        <v>0.48</v>
      </c>
      <c r="K104" s="64">
        <v>309.93</v>
      </c>
      <c r="L104" s="64">
        <v>24.39</v>
      </c>
      <c r="M104" s="64">
        <v>102.68</v>
      </c>
      <c r="N104" s="64">
        <v>26.1</v>
      </c>
      <c r="O104" s="64">
        <v>0</v>
      </c>
      <c r="P104" s="64">
        <v>2.98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2.41</v>
      </c>
      <c r="C106" s="67">
        <f>MIN(C9:C104)</f>
        <v>4.6500000000000004</v>
      </c>
      <c r="D106" s="67">
        <f t="shared" ref="D106:Q106" si="0">MIN(D9:D104)</f>
        <v>5.98</v>
      </c>
      <c r="E106" s="67">
        <f t="shared" si="0"/>
        <v>3.61</v>
      </c>
      <c r="F106" s="67">
        <f t="shared" si="0"/>
        <v>2.86</v>
      </c>
      <c r="G106" s="67">
        <f t="shared" si="0"/>
        <v>10.6</v>
      </c>
      <c r="H106" s="67">
        <f t="shared" si="0"/>
        <v>0.15</v>
      </c>
      <c r="I106" s="67">
        <f t="shared" si="0"/>
        <v>1.04</v>
      </c>
      <c r="J106" s="67">
        <f t="shared" si="0"/>
        <v>0.03</v>
      </c>
      <c r="K106" s="67">
        <f t="shared" si="0"/>
        <v>0.03</v>
      </c>
      <c r="L106" s="67">
        <f t="shared" si="0"/>
        <v>5.23</v>
      </c>
      <c r="M106" s="67">
        <f t="shared" si="0"/>
        <v>64.06</v>
      </c>
      <c r="N106" s="67">
        <f t="shared" si="0"/>
        <v>25.8</v>
      </c>
      <c r="O106" s="67">
        <f t="shared" si="0"/>
        <v>0</v>
      </c>
      <c r="P106" s="67">
        <f t="shared" si="0"/>
        <v>0.32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88.29</v>
      </c>
      <c r="C107" s="66">
        <f t="shared" ref="C107:Q107" si="1">MAX(C9:C104)</f>
        <v>22.02</v>
      </c>
      <c r="D107" s="66">
        <f t="shared" si="1"/>
        <v>75.67</v>
      </c>
      <c r="E107" s="66">
        <f t="shared" si="1"/>
        <v>9.5299999999999994</v>
      </c>
      <c r="F107" s="66">
        <f t="shared" si="1"/>
        <v>7</v>
      </c>
      <c r="G107" s="66">
        <f t="shared" si="1"/>
        <v>92.09</v>
      </c>
      <c r="H107" s="66">
        <f t="shared" si="1"/>
        <v>40.94</v>
      </c>
      <c r="I107" s="66">
        <f t="shared" si="1"/>
        <v>15.93</v>
      </c>
      <c r="J107" s="66">
        <f t="shared" si="1"/>
        <v>1.95</v>
      </c>
      <c r="K107" s="66">
        <f t="shared" si="1"/>
        <v>358.7</v>
      </c>
      <c r="L107" s="66">
        <f t="shared" si="1"/>
        <v>32.72</v>
      </c>
      <c r="M107" s="66">
        <f t="shared" si="1"/>
        <v>102.7</v>
      </c>
      <c r="N107" s="66">
        <f t="shared" si="1"/>
        <v>598.70000000000005</v>
      </c>
      <c r="O107" s="66">
        <f t="shared" si="1"/>
        <v>5.2</v>
      </c>
      <c r="P107" s="66">
        <f t="shared" si="1"/>
        <v>4.41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20.919374999999999</v>
      </c>
      <c r="C108" s="67">
        <f t="shared" ref="C108:Q108" si="2">AVERAGE(C9:C104)</f>
        <v>9.4079166666666669</v>
      </c>
      <c r="D108" s="67">
        <f t="shared" si="2"/>
        <v>21.691041666666667</v>
      </c>
      <c r="E108" s="67">
        <f t="shared" si="2"/>
        <v>5.6690624999999981</v>
      </c>
      <c r="F108" s="67">
        <f t="shared" si="2"/>
        <v>3.9926041666666681</v>
      </c>
      <c r="G108" s="67">
        <f t="shared" si="2"/>
        <v>51.687291666666688</v>
      </c>
      <c r="H108" s="67">
        <f t="shared" si="2"/>
        <v>12.414505494505498</v>
      </c>
      <c r="I108" s="67">
        <f t="shared" si="2"/>
        <v>5.1158333333333319</v>
      </c>
      <c r="J108" s="67">
        <f t="shared" si="2"/>
        <v>0.51885416666666662</v>
      </c>
      <c r="K108" s="67">
        <f t="shared" si="2"/>
        <v>238.58739583333337</v>
      </c>
      <c r="L108" s="67">
        <f t="shared" si="2"/>
        <v>26.316874999999985</v>
      </c>
      <c r="M108" s="67">
        <f t="shared" si="2"/>
        <v>91.901250000000005</v>
      </c>
      <c r="N108" s="67">
        <f t="shared" si="2"/>
        <v>123.30104166666672</v>
      </c>
      <c r="O108" s="67">
        <f t="shared" si="2"/>
        <v>7.9166666666666677E-2</v>
      </c>
      <c r="P108" s="67">
        <f t="shared" si="2"/>
        <v>1.1360416666666666</v>
      </c>
      <c r="Q108" s="67">
        <f t="shared" si="2"/>
        <v>9.4169791666666711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25.269660977564634</v>
      </c>
      <c r="C109" s="67">
        <f t="shared" ref="C109:Q109" si="3">STDEV(C9:C104)</f>
        <v>3.7364734053344981</v>
      </c>
      <c r="D109" s="67">
        <f t="shared" si="3"/>
        <v>20.578555546422422</v>
      </c>
      <c r="E109" s="67">
        <f t="shared" si="3"/>
        <v>1.5510099108068547</v>
      </c>
      <c r="F109" s="67">
        <f t="shared" si="3"/>
        <v>0.69824629162776597</v>
      </c>
      <c r="G109" s="67">
        <f t="shared" si="3"/>
        <v>21.3758824984541</v>
      </c>
      <c r="H109" s="67">
        <f t="shared" si="3"/>
        <v>10.268921966976777</v>
      </c>
      <c r="I109" s="67">
        <f t="shared" si="3"/>
        <v>3.8432156674673732</v>
      </c>
      <c r="J109" s="67">
        <f t="shared" si="3"/>
        <v>0.3523092833581753</v>
      </c>
      <c r="K109" s="67">
        <f t="shared" si="3"/>
        <v>116.97356408715679</v>
      </c>
      <c r="L109" s="67">
        <f t="shared" si="3"/>
        <v>3.6921120221644808</v>
      </c>
      <c r="M109" s="67">
        <f t="shared" si="3"/>
        <v>13.872516354288287</v>
      </c>
      <c r="N109" s="67">
        <f t="shared" si="3"/>
        <v>158.47001210243408</v>
      </c>
      <c r="O109" s="67">
        <f t="shared" si="3"/>
        <v>0.56081081652356224</v>
      </c>
      <c r="P109" s="67">
        <f t="shared" si="3"/>
        <v>1.0307651518389696</v>
      </c>
      <c r="Q109" s="67">
        <f t="shared" si="3"/>
        <v>1.3809410367317332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1206</v>
      </c>
      <c r="B9" s="64">
        <v>89.8</v>
      </c>
      <c r="C9" s="64">
        <v>9.61</v>
      </c>
      <c r="D9" s="64">
        <v>77.03</v>
      </c>
      <c r="E9" s="64">
        <v>7.13</v>
      </c>
      <c r="F9" s="64">
        <v>4.13</v>
      </c>
      <c r="G9" s="64">
        <v>85.66</v>
      </c>
      <c r="H9" s="211" t="s">
        <v>42</v>
      </c>
      <c r="I9" s="64">
        <v>10.66</v>
      </c>
      <c r="J9" s="64">
        <v>0.35</v>
      </c>
      <c r="K9" s="64">
        <v>338.54</v>
      </c>
      <c r="L9" s="64">
        <v>24.17</v>
      </c>
      <c r="M9" s="64">
        <v>102.68</v>
      </c>
      <c r="N9" s="64">
        <v>26.1</v>
      </c>
      <c r="O9" s="64">
        <v>0</v>
      </c>
      <c r="P9" s="64">
        <v>2.19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5" t="s">
        <v>1207</v>
      </c>
      <c r="B10" s="64">
        <v>89.25</v>
      </c>
      <c r="C10" s="64">
        <v>9.14</v>
      </c>
      <c r="D10" s="64">
        <v>76.349999999999994</v>
      </c>
      <c r="E10" s="64">
        <v>7.26</v>
      </c>
      <c r="F10" s="64">
        <v>3.32</v>
      </c>
      <c r="G10" s="64">
        <v>85.66</v>
      </c>
      <c r="H10" s="211" t="s">
        <v>42</v>
      </c>
      <c r="I10" s="64">
        <v>11.13</v>
      </c>
      <c r="J10" s="64">
        <v>0.51</v>
      </c>
      <c r="K10" s="64">
        <v>315.89999999999998</v>
      </c>
      <c r="L10" s="64">
        <v>24.26</v>
      </c>
      <c r="M10" s="64">
        <v>102.68</v>
      </c>
      <c r="N10" s="64">
        <v>25.9</v>
      </c>
      <c r="O10" s="64">
        <v>0</v>
      </c>
      <c r="P10" s="64">
        <v>2.19</v>
      </c>
      <c r="Q10" s="64">
        <v>9.6999999999999993</v>
      </c>
      <c r="R10" s="198"/>
      <c r="S10" s="198"/>
      <c r="T10" s="198"/>
      <c r="U10" s="198"/>
    </row>
    <row r="11" spans="1:21" s="12" customFormat="1" x14ac:dyDescent="0.25">
      <c r="A11" s="215" t="s">
        <v>1208</v>
      </c>
      <c r="B11" s="64">
        <v>86.28</v>
      </c>
      <c r="C11" s="64">
        <v>9.17</v>
      </c>
      <c r="D11" s="64">
        <v>73.98</v>
      </c>
      <c r="E11" s="64">
        <v>6.78</v>
      </c>
      <c r="F11" s="64">
        <v>3.13</v>
      </c>
      <c r="G11" s="64">
        <v>84.95</v>
      </c>
      <c r="H11" s="64">
        <v>31.73</v>
      </c>
      <c r="I11" s="64">
        <v>9.1999999999999993</v>
      </c>
      <c r="J11" s="64">
        <v>0.47</v>
      </c>
      <c r="K11" s="64">
        <v>263.62</v>
      </c>
      <c r="L11" s="64">
        <v>24.27</v>
      </c>
      <c r="M11" s="64">
        <v>102.67</v>
      </c>
      <c r="N11" s="64">
        <v>26.1</v>
      </c>
      <c r="O11" s="64">
        <v>0</v>
      </c>
      <c r="P11" s="64">
        <v>1.51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5" t="s">
        <v>1209</v>
      </c>
      <c r="B12" s="64">
        <v>82.89</v>
      </c>
      <c r="C12" s="64">
        <v>8.6999999999999993</v>
      </c>
      <c r="D12" s="64">
        <v>71.010000000000005</v>
      </c>
      <c r="E12" s="64">
        <v>6.48</v>
      </c>
      <c r="F12" s="64">
        <v>4.01</v>
      </c>
      <c r="G12" s="64">
        <v>84.65</v>
      </c>
      <c r="H12" s="64">
        <v>34.29</v>
      </c>
      <c r="I12" s="64">
        <v>9.15</v>
      </c>
      <c r="J12" s="64">
        <v>0.51</v>
      </c>
      <c r="K12" s="64">
        <v>315.52</v>
      </c>
      <c r="L12" s="64">
        <v>24.15</v>
      </c>
      <c r="M12" s="64">
        <v>102.68</v>
      </c>
      <c r="N12" s="64">
        <v>26.1</v>
      </c>
      <c r="O12" s="64">
        <v>0</v>
      </c>
      <c r="P12" s="64">
        <v>1.96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5" t="s">
        <v>1210</v>
      </c>
      <c r="B13" s="64">
        <v>80.41</v>
      </c>
      <c r="C13" s="64">
        <v>8.02</v>
      </c>
      <c r="D13" s="64">
        <v>68.67</v>
      </c>
      <c r="E13" s="64">
        <v>5.98</v>
      </c>
      <c r="F13" s="64">
        <v>4.72</v>
      </c>
      <c r="G13" s="64">
        <v>84.65</v>
      </c>
      <c r="H13" s="64">
        <v>34.29</v>
      </c>
      <c r="I13" s="64">
        <v>5.8</v>
      </c>
      <c r="J13" s="64">
        <v>0.45</v>
      </c>
      <c r="K13" s="64">
        <v>305.32</v>
      </c>
      <c r="L13" s="64">
        <v>23.87</v>
      </c>
      <c r="M13" s="64">
        <v>102.69</v>
      </c>
      <c r="N13" s="64">
        <v>26.1</v>
      </c>
      <c r="O13" s="64">
        <v>0</v>
      </c>
      <c r="P13" s="64">
        <v>1.21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5" t="s">
        <v>1211</v>
      </c>
      <c r="B14" s="64">
        <v>78.819999999999993</v>
      </c>
      <c r="C14" s="64">
        <v>7.43</v>
      </c>
      <c r="D14" s="64">
        <v>67.09</v>
      </c>
      <c r="E14" s="64">
        <v>6.37</v>
      </c>
      <c r="F14" s="64">
        <v>4.1900000000000004</v>
      </c>
      <c r="G14" s="64">
        <v>84.65</v>
      </c>
      <c r="H14" s="64">
        <v>34.29</v>
      </c>
      <c r="I14" s="64">
        <v>6.54</v>
      </c>
      <c r="J14" s="64">
        <v>0.52</v>
      </c>
      <c r="K14" s="64">
        <v>322.83</v>
      </c>
      <c r="L14" s="64">
        <v>23.68</v>
      </c>
      <c r="M14" s="64">
        <v>102.72</v>
      </c>
      <c r="N14" s="64">
        <v>26.1</v>
      </c>
      <c r="O14" s="64">
        <v>0</v>
      </c>
      <c r="P14" s="64">
        <v>1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5" t="s">
        <v>1212</v>
      </c>
      <c r="B15" s="64">
        <v>76.540000000000006</v>
      </c>
      <c r="C15" s="64">
        <v>7.12</v>
      </c>
      <c r="D15" s="64">
        <v>65.099999999999994</v>
      </c>
      <c r="E15" s="64">
        <v>5.81</v>
      </c>
      <c r="F15" s="64">
        <v>3.44</v>
      </c>
      <c r="G15" s="64">
        <v>75.2</v>
      </c>
      <c r="H15" s="64">
        <v>35.950000000000003</v>
      </c>
      <c r="I15" s="64">
        <v>5.7</v>
      </c>
      <c r="J15" s="64">
        <v>0.51</v>
      </c>
      <c r="K15" s="64">
        <v>306.62</v>
      </c>
      <c r="L15" s="64">
        <v>23.69</v>
      </c>
      <c r="M15" s="64">
        <v>102.71</v>
      </c>
      <c r="N15" s="64">
        <v>26.1</v>
      </c>
      <c r="O15" s="64">
        <v>0</v>
      </c>
      <c r="P15" s="64">
        <v>0.82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15" t="s">
        <v>1213</v>
      </c>
      <c r="B16" s="64">
        <v>73.989999999999995</v>
      </c>
      <c r="C16" s="64">
        <v>6.95</v>
      </c>
      <c r="D16" s="64">
        <v>62.97</v>
      </c>
      <c r="E16" s="64">
        <v>5.53</v>
      </c>
      <c r="F16" s="64">
        <v>3.43</v>
      </c>
      <c r="G16" s="64">
        <v>71.150000000000006</v>
      </c>
      <c r="H16" s="64">
        <v>36.08</v>
      </c>
      <c r="I16" s="64">
        <v>4.13</v>
      </c>
      <c r="J16" s="64">
        <v>0.48</v>
      </c>
      <c r="K16" s="64">
        <v>300.11</v>
      </c>
      <c r="L16" s="64">
        <v>23.65</v>
      </c>
      <c r="M16" s="64">
        <v>102.7</v>
      </c>
      <c r="N16" s="64">
        <v>26.1</v>
      </c>
      <c r="O16" s="64">
        <v>0</v>
      </c>
      <c r="P16" s="64">
        <v>1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5" t="s">
        <v>1214</v>
      </c>
      <c r="B17" s="64">
        <v>71.69</v>
      </c>
      <c r="C17" s="64">
        <v>6.67</v>
      </c>
      <c r="D17" s="64">
        <v>60.98</v>
      </c>
      <c r="E17" s="64">
        <v>5.58</v>
      </c>
      <c r="F17" s="64">
        <v>3.56</v>
      </c>
      <c r="G17" s="64">
        <v>71.150000000000006</v>
      </c>
      <c r="H17" s="64">
        <v>36.08</v>
      </c>
      <c r="I17" s="64">
        <v>3.65</v>
      </c>
      <c r="J17" s="64">
        <v>0.49</v>
      </c>
      <c r="K17" s="64">
        <v>310.14</v>
      </c>
      <c r="L17" s="64">
        <v>23.55</v>
      </c>
      <c r="M17" s="64">
        <v>102.71</v>
      </c>
      <c r="N17" s="64">
        <v>26.1</v>
      </c>
      <c r="O17" s="64">
        <v>0</v>
      </c>
      <c r="P17" s="64">
        <v>0.9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5" t="s">
        <v>1215</v>
      </c>
      <c r="B18" s="64">
        <v>69.599999999999994</v>
      </c>
      <c r="C18" s="64">
        <v>6.52</v>
      </c>
      <c r="D18" s="64">
        <v>59.22</v>
      </c>
      <c r="E18" s="64">
        <v>5.51</v>
      </c>
      <c r="F18" s="64">
        <v>3.18</v>
      </c>
      <c r="G18" s="64">
        <v>71.150000000000006</v>
      </c>
      <c r="H18" s="64">
        <v>36.08</v>
      </c>
      <c r="I18" s="64">
        <v>3.82</v>
      </c>
      <c r="J18" s="64">
        <v>0.38</v>
      </c>
      <c r="K18" s="64">
        <v>152.65</v>
      </c>
      <c r="L18" s="64">
        <v>23.44</v>
      </c>
      <c r="M18" s="64">
        <v>102.7</v>
      </c>
      <c r="N18" s="64">
        <v>26.1</v>
      </c>
      <c r="O18" s="64">
        <v>0</v>
      </c>
      <c r="P18" s="64">
        <v>0.84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5" t="s">
        <v>1216</v>
      </c>
      <c r="B19" s="64">
        <v>67.53</v>
      </c>
      <c r="C19" s="64">
        <v>6.37</v>
      </c>
      <c r="D19" s="64">
        <v>57.48</v>
      </c>
      <c r="E19" s="64">
        <v>5.16</v>
      </c>
      <c r="F19" s="64">
        <v>3.45</v>
      </c>
      <c r="G19" s="64">
        <v>64.489999999999995</v>
      </c>
      <c r="H19" s="64">
        <v>22.15</v>
      </c>
      <c r="I19" s="64">
        <v>4.38</v>
      </c>
      <c r="J19" s="64">
        <v>0.33</v>
      </c>
      <c r="K19" s="64">
        <v>285</v>
      </c>
      <c r="L19" s="64">
        <v>23.49</v>
      </c>
      <c r="M19" s="64">
        <v>102.7</v>
      </c>
      <c r="N19" s="64">
        <v>25.9</v>
      </c>
      <c r="O19" s="64">
        <v>0</v>
      </c>
      <c r="P19" s="64">
        <v>0.74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5" t="s">
        <v>1217</v>
      </c>
      <c r="B20" s="64">
        <v>65.56</v>
      </c>
      <c r="C20" s="64">
        <v>6.41</v>
      </c>
      <c r="D20" s="64">
        <v>55.92</v>
      </c>
      <c r="E20" s="64">
        <v>5.16</v>
      </c>
      <c r="F20" s="64">
        <v>3.38</v>
      </c>
      <c r="G20" s="64">
        <v>61.64</v>
      </c>
      <c r="H20" s="64">
        <v>20.37</v>
      </c>
      <c r="I20" s="64">
        <v>4.1100000000000003</v>
      </c>
      <c r="J20" s="64">
        <v>0.48</v>
      </c>
      <c r="K20" s="64">
        <v>196.09</v>
      </c>
      <c r="L20" s="64">
        <v>24</v>
      </c>
      <c r="M20" s="64">
        <v>102.68</v>
      </c>
      <c r="N20" s="64">
        <v>25.4</v>
      </c>
      <c r="O20" s="64">
        <v>0</v>
      </c>
      <c r="P20" s="64">
        <v>1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5" t="s">
        <v>1218</v>
      </c>
      <c r="B21" s="64">
        <v>62.74</v>
      </c>
      <c r="C21" s="64">
        <v>7.03</v>
      </c>
      <c r="D21" s="64">
        <v>53.98</v>
      </c>
      <c r="E21" s="64">
        <v>5.29</v>
      </c>
      <c r="F21" s="64">
        <v>3.72</v>
      </c>
      <c r="G21" s="64">
        <v>61.64</v>
      </c>
      <c r="H21" s="64">
        <v>20.37</v>
      </c>
      <c r="I21" s="64">
        <v>3.44</v>
      </c>
      <c r="J21" s="64">
        <v>0.35</v>
      </c>
      <c r="K21" s="64">
        <v>287.27</v>
      </c>
      <c r="L21" s="64">
        <v>24.05</v>
      </c>
      <c r="M21" s="64">
        <v>102.68</v>
      </c>
      <c r="N21" s="64">
        <v>26.1</v>
      </c>
      <c r="O21" s="64">
        <v>0</v>
      </c>
      <c r="P21" s="64">
        <v>1.17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5" t="s">
        <v>1219</v>
      </c>
      <c r="B22" s="64">
        <v>59.37</v>
      </c>
      <c r="C22" s="64">
        <v>7.16</v>
      </c>
      <c r="D22" s="64">
        <v>51.35</v>
      </c>
      <c r="E22" s="64">
        <v>5.33</v>
      </c>
      <c r="F22" s="64">
        <v>3.82</v>
      </c>
      <c r="G22" s="64">
        <v>61.64</v>
      </c>
      <c r="H22" s="64">
        <v>20.37</v>
      </c>
      <c r="I22" s="64">
        <v>6.21</v>
      </c>
      <c r="J22" s="64">
        <v>0.3</v>
      </c>
      <c r="K22" s="64">
        <v>242.1</v>
      </c>
      <c r="L22" s="64">
        <v>23.81</v>
      </c>
      <c r="M22" s="64">
        <v>102.68</v>
      </c>
      <c r="N22" s="64">
        <v>26.1</v>
      </c>
      <c r="O22" s="64">
        <v>0</v>
      </c>
      <c r="P22" s="64">
        <v>0.82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5" t="s">
        <v>1220</v>
      </c>
      <c r="B23" s="64">
        <v>56.32</v>
      </c>
      <c r="C23" s="64">
        <v>7.06</v>
      </c>
      <c r="D23" s="64">
        <v>48.85</v>
      </c>
      <c r="E23" s="64">
        <v>4.99</v>
      </c>
      <c r="F23" s="64">
        <v>3.81</v>
      </c>
      <c r="G23" s="64">
        <v>58.49</v>
      </c>
      <c r="H23" s="64">
        <v>8.51</v>
      </c>
      <c r="I23" s="64">
        <v>6.59</v>
      </c>
      <c r="J23" s="64">
        <v>0.3</v>
      </c>
      <c r="K23" s="64">
        <v>271.43</v>
      </c>
      <c r="L23" s="64">
        <v>23.67</v>
      </c>
      <c r="M23" s="64">
        <v>102.7</v>
      </c>
      <c r="N23" s="64">
        <v>26.1</v>
      </c>
      <c r="O23" s="64">
        <v>0</v>
      </c>
      <c r="P23" s="64">
        <v>0.91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1221</v>
      </c>
      <c r="B24" s="64">
        <v>53.75</v>
      </c>
      <c r="C24" s="64">
        <v>6.78</v>
      </c>
      <c r="D24" s="64">
        <v>46.65</v>
      </c>
      <c r="E24" s="64">
        <v>6.04</v>
      </c>
      <c r="F24" s="64">
        <v>4</v>
      </c>
      <c r="G24" s="64">
        <v>57.14</v>
      </c>
      <c r="H24" s="64">
        <v>7.55</v>
      </c>
      <c r="I24" s="64">
        <v>5.45</v>
      </c>
      <c r="J24" s="64">
        <v>0.17</v>
      </c>
      <c r="K24" s="64">
        <v>159.13999999999999</v>
      </c>
      <c r="L24" s="64">
        <v>23.62</v>
      </c>
      <c r="M24" s="64">
        <v>102.7</v>
      </c>
      <c r="N24" s="64">
        <v>26.1</v>
      </c>
      <c r="O24" s="64">
        <v>0</v>
      </c>
      <c r="P24" s="64">
        <v>0.94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1222</v>
      </c>
      <c r="B25" s="64">
        <v>51.45</v>
      </c>
      <c r="C25" s="64">
        <v>6.7</v>
      </c>
      <c r="D25" s="64">
        <v>44.76</v>
      </c>
      <c r="E25" s="64">
        <v>5.82</v>
      </c>
      <c r="F25" s="64">
        <v>3.92</v>
      </c>
      <c r="G25" s="64">
        <v>57.14</v>
      </c>
      <c r="H25" s="64">
        <v>7.55</v>
      </c>
      <c r="I25" s="64">
        <v>4.4400000000000004</v>
      </c>
      <c r="J25" s="64">
        <v>0.18</v>
      </c>
      <c r="K25" s="64">
        <v>1.1499999999999999</v>
      </c>
      <c r="L25" s="64">
        <v>23.67</v>
      </c>
      <c r="M25" s="64">
        <v>102.7</v>
      </c>
      <c r="N25" s="64">
        <v>26.1</v>
      </c>
      <c r="O25" s="64">
        <v>0</v>
      </c>
      <c r="P25" s="64">
        <v>0.96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5" t="s">
        <v>1223</v>
      </c>
      <c r="B26" s="64">
        <v>49.17</v>
      </c>
      <c r="C26" s="64">
        <v>6.59</v>
      </c>
      <c r="D26" s="64">
        <v>42.87</v>
      </c>
      <c r="E26" s="64">
        <v>5.58</v>
      </c>
      <c r="F26" s="64">
        <v>3.27</v>
      </c>
      <c r="G26" s="64">
        <v>57.14</v>
      </c>
      <c r="H26" s="64">
        <v>7.55</v>
      </c>
      <c r="I26" s="64">
        <v>4</v>
      </c>
      <c r="J26" s="64">
        <v>0.25</v>
      </c>
      <c r="K26" s="64">
        <v>126.77</v>
      </c>
      <c r="L26" s="64">
        <v>23.67</v>
      </c>
      <c r="M26" s="64">
        <v>102.7</v>
      </c>
      <c r="N26" s="64">
        <v>25.9</v>
      </c>
      <c r="O26" s="64">
        <v>0</v>
      </c>
      <c r="P26" s="64">
        <v>0.71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5" t="s">
        <v>1224</v>
      </c>
      <c r="B27" s="64">
        <v>46.93</v>
      </c>
      <c r="C27" s="64">
        <v>6.57</v>
      </c>
      <c r="D27" s="64">
        <v>41.07</v>
      </c>
      <c r="E27" s="64">
        <v>5.57</v>
      </c>
      <c r="F27" s="64">
        <v>2.95</v>
      </c>
      <c r="G27" s="64">
        <v>47.01</v>
      </c>
      <c r="H27" s="64">
        <v>1.4</v>
      </c>
      <c r="I27" s="64">
        <v>5.31</v>
      </c>
      <c r="J27" s="64">
        <v>0.06</v>
      </c>
      <c r="K27" s="64">
        <v>268.48</v>
      </c>
      <c r="L27" s="64">
        <v>23.63</v>
      </c>
      <c r="M27" s="64">
        <v>102.7</v>
      </c>
      <c r="N27" s="64">
        <v>26.1</v>
      </c>
      <c r="O27" s="64">
        <v>0</v>
      </c>
      <c r="P27" s="64">
        <v>0.56999999999999995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5" t="s">
        <v>1225</v>
      </c>
      <c r="B28" s="64">
        <v>45.12</v>
      </c>
      <c r="C28" s="64">
        <v>6.26</v>
      </c>
      <c r="D28" s="64">
        <v>39.46</v>
      </c>
      <c r="E28" s="64">
        <v>5.86</v>
      </c>
      <c r="F28" s="64">
        <v>3.73</v>
      </c>
      <c r="G28" s="64">
        <v>42.67</v>
      </c>
      <c r="H28" s="64">
        <v>0.91</v>
      </c>
      <c r="I28" s="64">
        <v>5.79</v>
      </c>
      <c r="J28" s="64">
        <v>0.49</v>
      </c>
      <c r="K28" s="64">
        <v>350.61</v>
      </c>
      <c r="L28" s="64">
        <v>23.48</v>
      </c>
      <c r="M28" s="64">
        <v>102.7</v>
      </c>
      <c r="N28" s="64">
        <v>26.1</v>
      </c>
      <c r="O28" s="64">
        <v>0</v>
      </c>
      <c r="P28" s="64">
        <v>0.94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5" t="s">
        <v>1226</v>
      </c>
      <c r="B29" s="64">
        <v>43.87</v>
      </c>
      <c r="C29" s="64">
        <v>6.22</v>
      </c>
      <c r="D29" s="64">
        <v>38.43</v>
      </c>
      <c r="E29" s="64">
        <v>5.54</v>
      </c>
      <c r="F29" s="64">
        <v>2.98</v>
      </c>
      <c r="G29" s="64">
        <v>42.67</v>
      </c>
      <c r="H29" s="64">
        <v>0.91</v>
      </c>
      <c r="I29" s="64">
        <v>4.1100000000000003</v>
      </c>
      <c r="J29" s="64">
        <v>0.15</v>
      </c>
      <c r="K29" s="64">
        <v>279.58999999999997</v>
      </c>
      <c r="L29" s="64">
        <v>23.25</v>
      </c>
      <c r="M29" s="64">
        <v>102.7</v>
      </c>
      <c r="N29" s="64">
        <v>26.1</v>
      </c>
      <c r="O29" s="64">
        <v>0</v>
      </c>
      <c r="P29" s="64">
        <v>0.4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5" t="s">
        <v>1227</v>
      </c>
      <c r="B30" s="64">
        <v>42.93</v>
      </c>
      <c r="C30" s="64">
        <v>5.47</v>
      </c>
      <c r="D30" s="64">
        <v>37.29</v>
      </c>
      <c r="E30" s="64">
        <v>5.38</v>
      </c>
      <c r="F30" s="64">
        <v>3.18</v>
      </c>
      <c r="G30" s="64">
        <v>42.67</v>
      </c>
      <c r="H30" s="64">
        <v>0.91</v>
      </c>
      <c r="I30" s="64">
        <v>4.16</v>
      </c>
      <c r="J30" s="64">
        <v>0.42</v>
      </c>
      <c r="K30" s="64">
        <v>0.01</v>
      </c>
      <c r="L30" s="64">
        <v>23.24</v>
      </c>
      <c r="M30" s="64">
        <v>102.72</v>
      </c>
      <c r="N30" s="64">
        <v>26.1</v>
      </c>
      <c r="O30" s="64">
        <v>0</v>
      </c>
      <c r="P30" s="64">
        <v>0.42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5" t="s">
        <v>1228</v>
      </c>
      <c r="B31" s="64">
        <v>41.9</v>
      </c>
      <c r="C31" s="64">
        <v>5.18</v>
      </c>
      <c r="D31" s="64">
        <v>36.31</v>
      </c>
      <c r="E31" s="64">
        <v>4.95</v>
      </c>
      <c r="F31" s="64">
        <v>3.71</v>
      </c>
      <c r="G31" s="64">
        <v>39.29</v>
      </c>
      <c r="H31" s="64">
        <v>14.75</v>
      </c>
      <c r="I31" s="64">
        <v>2.82</v>
      </c>
      <c r="J31" s="64">
        <v>7.0000000000000007E-2</v>
      </c>
      <c r="K31" s="64">
        <v>83.35</v>
      </c>
      <c r="L31" s="64">
        <v>23.32</v>
      </c>
      <c r="M31" s="64">
        <v>102.71</v>
      </c>
      <c r="N31" s="64">
        <v>26.2</v>
      </c>
      <c r="O31" s="64">
        <v>0</v>
      </c>
      <c r="P31" s="64">
        <v>0.32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5" t="s">
        <v>1229</v>
      </c>
      <c r="B32" s="64">
        <v>40.72</v>
      </c>
      <c r="C32" s="64">
        <v>4.8899999999999997</v>
      </c>
      <c r="D32" s="64">
        <v>35.21</v>
      </c>
      <c r="E32" s="64">
        <v>5.22</v>
      </c>
      <c r="F32" s="64">
        <v>3.19</v>
      </c>
      <c r="G32" s="64">
        <v>37.840000000000003</v>
      </c>
      <c r="H32" s="64">
        <v>15.86</v>
      </c>
      <c r="I32" s="64">
        <v>2.0499999999999998</v>
      </c>
      <c r="J32" s="64">
        <v>0.34</v>
      </c>
      <c r="K32" s="64">
        <v>153.96</v>
      </c>
      <c r="L32" s="64">
        <v>23.36</v>
      </c>
      <c r="M32" s="64">
        <v>102.71</v>
      </c>
      <c r="N32" s="64">
        <v>30.3</v>
      </c>
      <c r="O32" s="64">
        <v>0</v>
      </c>
      <c r="P32" s="64">
        <v>0.32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1230</v>
      </c>
      <c r="B33" s="64">
        <v>39.53</v>
      </c>
      <c r="C33" s="64">
        <v>4.75</v>
      </c>
      <c r="D33" s="64">
        <v>34.18</v>
      </c>
      <c r="E33" s="64">
        <v>5.15</v>
      </c>
      <c r="F33" s="64">
        <v>3.33</v>
      </c>
      <c r="G33" s="64">
        <v>37.840000000000003</v>
      </c>
      <c r="H33" s="64">
        <v>15.86</v>
      </c>
      <c r="I33" s="64">
        <v>2.17</v>
      </c>
      <c r="J33" s="64">
        <v>0.38</v>
      </c>
      <c r="K33" s="64">
        <v>97.67</v>
      </c>
      <c r="L33" s="64">
        <v>23.38</v>
      </c>
      <c r="M33" s="64">
        <v>102.72</v>
      </c>
      <c r="N33" s="64">
        <v>40.700000000000003</v>
      </c>
      <c r="O33" s="64">
        <v>0</v>
      </c>
      <c r="P33" s="64">
        <v>0.39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5" t="s">
        <v>1231</v>
      </c>
      <c r="B34" s="64">
        <v>38.51</v>
      </c>
      <c r="C34" s="64">
        <v>4.71</v>
      </c>
      <c r="D34" s="64">
        <v>33.340000000000003</v>
      </c>
      <c r="E34" s="64">
        <v>5.09</v>
      </c>
      <c r="F34" s="64">
        <v>3.06</v>
      </c>
      <c r="G34" s="64">
        <v>37.840000000000003</v>
      </c>
      <c r="H34" s="64">
        <v>15.86</v>
      </c>
      <c r="I34" s="64">
        <v>2.19</v>
      </c>
      <c r="J34" s="64">
        <v>0.22</v>
      </c>
      <c r="K34" s="64">
        <v>59.8</v>
      </c>
      <c r="L34" s="64">
        <v>23.59</v>
      </c>
      <c r="M34" s="64">
        <v>102.73</v>
      </c>
      <c r="N34" s="64">
        <v>57</v>
      </c>
      <c r="O34" s="64">
        <v>0</v>
      </c>
      <c r="P34" s="64">
        <v>0.34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1232</v>
      </c>
      <c r="B35" s="64">
        <v>37.9</v>
      </c>
      <c r="C35" s="64">
        <v>4.63</v>
      </c>
      <c r="D35" s="64">
        <v>32.81</v>
      </c>
      <c r="E35" s="64">
        <v>4.97</v>
      </c>
      <c r="F35" s="64">
        <v>3.19</v>
      </c>
      <c r="G35" s="64">
        <v>35.07</v>
      </c>
      <c r="H35" s="64">
        <v>8.27</v>
      </c>
      <c r="I35" s="64">
        <v>2.33</v>
      </c>
      <c r="J35" s="64">
        <v>0.17</v>
      </c>
      <c r="K35" s="64">
        <v>106.24</v>
      </c>
      <c r="L35" s="64">
        <v>24.19</v>
      </c>
      <c r="M35" s="64">
        <v>102.68</v>
      </c>
      <c r="N35" s="64">
        <v>113.5</v>
      </c>
      <c r="O35" s="64">
        <v>0</v>
      </c>
      <c r="P35" s="64">
        <v>0.34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1233</v>
      </c>
      <c r="B36" s="64">
        <v>37.119999999999997</v>
      </c>
      <c r="C36" s="64">
        <v>4.49</v>
      </c>
      <c r="D36" s="64">
        <v>32.119999999999997</v>
      </c>
      <c r="E36" s="64">
        <v>5.23</v>
      </c>
      <c r="F36" s="64">
        <v>2.93</v>
      </c>
      <c r="G36" s="64">
        <v>33.89</v>
      </c>
      <c r="H36" s="64">
        <v>7.3</v>
      </c>
      <c r="I36" s="64">
        <v>2.16</v>
      </c>
      <c r="J36" s="64">
        <v>0.19</v>
      </c>
      <c r="K36" s="64">
        <v>110.92</v>
      </c>
      <c r="L36" s="64">
        <v>25.72</v>
      </c>
      <c r="M36" s="64">
        <v>99.2</v>
      </c>
      <c r="N36" s="64">
        <v>172.2</v>
      </c>
      <c r="O36" s="64">
        <v>0</v>
      </c>
      <c r="P36" s="64">
        <v>0.38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1234</v>
      </c>
      <c r="B37" s="64">
        <v>35.83</v>
      </c>
      <c r="C37" s="64">
        <v>4.91</v>
      </c>
      <c r="D37" s="64">
        <v>31.29</v>
      </c>
      <c r="E37" s="64">
        <v>5.26</v>
      </c>
      <c r="F37" s="64">
        <v>3.64</v>
      </c>
      <c r="G37" s="64">
        <v>33.89</v>
      </c>
      <c r="H37" s="64">
        <v>7.3</v>
      </c>
      <c r="I37" s="64">
        <v>2.0299999999999998</v>
      </c>
      <c r="J37" s="64">
        <v>0.36</v>
      </c>
      <c r="K37" s="64">
        <v>133.63999999999999</v>
      </c>
      <c r="L37" s="64">
        <v>26.98</v>
      </c>
      <c r="M37" s="64">
        <v>93.89</v>
      </c>
      <c r="N37" s="64">
        <v>225.3</v>
      </c>
      <c r="O37" s="64">
        <v>0</v>
      </c>
      <c r="P37" s="64">
        <v>0.95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5" t="s">
        <v>1235</v>
      </c>
      <c r="B38" s="64">
        <v>34.229999999999997</v>
      </c>
      <c r="C38" s="64">
        <v>5.18</v>
      </c>
      <c r="D38" s="64">
        <v>30.16</v>
      </c>
      <c r="E38" s="64">
        <v>5.23</v>
      </c>
      <c r="F38" s="64">
        <v>3.57</v>
      </c>
      <c r="G38" s="64">
        <v>33.89</v>
      </c>
      <c r="H38" s="64">
        <v>7.3</v>
      </c>
      <c r="I38" s="64">
        <v>3.94</v>
      </c>
      <c r="J38" s="64">
        <v>0.97</v>
      </c>
      <c r="K38" s="64">
        <v>131.18</v>
      </c>
      <c r="L38" s="64">
        <v>27.13</v>
      </c>
      <c r="M38" s="64">
        <v>92.77</v>
      </c>
      <c r="N38" s="64">
        <v>287.60000000000002</v>
      </c>
      <c r="O38" s="64">
        <v>0</v>
      </c>
      <c r="P38" s="64">
        <v>0.87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1236</v>
      </c>
      <c r="B39" s="64">
        <v>32.4</v>
      </c>
      <c r="C39" s="64">
        <v>5.28</v>
      </c>
      <c r="D39" s="64">
        <v>28.74</v>
      </c>
      <c r="E39" s="64">
        <v>5.04</v>
      </c>
      <c r="F39" s="64">
        <v>3.83</v>
      </c>
      <c r="G39" s="64">
        <v>25.65</v>
      </c>
      <c r="H39" s="64">
        <v>1.76</v>
      </c>
      <c r="I39" s="64">
        <v>6.34</v>
      </c>
      <c r="J39" s="64">
        <v>0.73</v>
      </c>
      <c r="K39" s="64">
        <v>117.56</v>
      </c>
      <c r="L39" s="64">
        <v>28.31</v>
      </c>
      <c r="M39" s="64">
        <v>85.72</v>
      </c>
      <c r="N39" s="64">
        <v>356.6</v>
      </c>
      <c r="O39" s="64">
        <v>0</v>
      </c>
      <c r="P39" s="64">
        <v>0.86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1237</v>
      </c>
      <c r="B40" s="64">
        <v>30.57</v>
      </c>
      <c r="C40" s="64">
        <v>5.4</v>
      </c>
      <c r="D40" s="64">
        <v>27.34</v>
      </c>
      <c r="E40" s="64">
        <v>4.2</v>
      </c>
      <c r="F40" s="64">
        <v>4</v>
      </c>
      <c r="G40" s="64">
        <v>22.12</v>
      </c>
      <c r="H40" s="64">
        <v>1.31</v>
      </c>
      <c r="I40" s="64">
        <v>6.82</v>
      </c>
      <c r="J40" s="64">
        <v>1.1200000000000001</v>
      </c>
      <c r="K40" s="64">
        <v>140.94999999999999</v>
      </c>
      <c r="L40" s="64">
        <v>28.59</v>
      </c>
      <c r="M40" s="64">
        <v>81.08</v>
      </c>
      <c r="N40" s="64">
        <v>418.8</v>
      </c>
      <c r="O40" s="64">
        <v>0</v>
      </c>
      <c r="P40" s="64">
        <v>0.85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1238</v>
      </c>
      <c r="B41" s="64">
        <v>28.65</v>
      </c>
      <c r="C41" s="64">
        <v>5.58</v>
      </c>
      <c r="D41" s="64">
        <v>25.89</v>
      </c>
      <c r="E41" s="64">
        <v>4.9400000000000004</v>
      </c>
      <c r="F41" s="64">
        <v>3.16</v>
      </c>
      <c r="G41" s="64">
        <v>22.12</v>
      </c>
      <c r="H41" s="64">
        <v>1.31</v>
      </c>
      <c r="I41" s="64">
        <v>6.26</v>
      </c>
      <c r="J41" s="64">
        <v>0.81</v>
      </c>
      <c r="K41" s="64">
        <v>129.94</v>
      </c>
      <c r="L41" s="64">
        <v>29.04</v>
      </c>
      <c r="M41" s="64">
        <v>78.06</v>
      </c>
      <c r="N41" s="64">
        <v>476.7</v>
      </c>
      <c r="O41" s="64">
        <v>0</v>
      </c>
      <c r="P41" s="64">
        <v>0.77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1239</v>
      </c>
      <c r="B42" s="64">
        <v>26.58</v>
      </c>
      <c r="C42" s="64">
        <v>5.84</v>
      </c>
      <c r="D42" s="64">
        <v>24.37</v>
      </c>
      <c r="E42" s="64">
        <v>4.51</v>
      </c>
      <c r="F42" s="64">
        <v>3.81</v>
      </c>
      <c r="G42" s="64">
        <v>22.12</v>
      </c>
      <c r="H42" s="64">
        <v>1.31</v>
      </c>
      <c r="I42" s="64">
        <v>6.42</v>
      </c>
      <c r="J42" s="64">
        <v>0.94</v>
      </c>
      <c r="K42" s="64">
        <v>134.21</v>
      </c>
      <c r="L42" s="64">
        <v>29.86</v>
      </c>
      <c r="M42" s="64">
        <v>74.48</v>
      </c>
      <c r="N42" s="64">
        <v>525.9</v>
      </c>
      <c r="O42" s="64">
        <v>0</v>
      </c>
      <c r="P42" s="64">
        <v>0.69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1240</v>
      </c>
      <c r="B43" s="64">
        <v>24.92</v>
      </c>
      <c r="C43" s="64">
        <v>5.65</v>
      </c>
      <c r="D43" s="64">
        <v>22.94</v>
      </c>
      <c r="E43" s="64">
        <v>4.96</v>
      </c>
      <c r="F43" s="64">
        <v>3.34</v>
      </c>
      <c r="G43" s="64">
        <v>20.190000000000001</v>
      </c>
      <c r="H43" s="64">
        <v>0.34</v>
      </c>
      <c r="I43" s="64">
        <v>6.41</v>
      </c>
      <c r="J43" s="64">
        <v>0.85</v>
      </c>
      <c r="K43" s="64">
        <v>139.05000000000001</v>
      </c>
      <c r="L43" s="64">
        <v>30.88</v>
      </c>
      <c r="M43" s="64">
        <v>70.56</v>
      </c>
      <c r="N43" s="64">
        <v>559.9</v>
      </c>
      <c r="O43" s="64">
        <v>0</v>
      </c>
      <c r="P43" s="64">
        <v>0.69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1241</v>
      </c>
      <c r="B44" s="64">
        <v>23.13</v>
      </c>
      <c r="C44" s="64">
        <v>6.13</v>
      </c>
      <c r="D44" s="64">
        <v>21.75</v>
      </c>
      <c r="E44" s="64">
        <v>4.84</v>
      </c>
      <c r="F44" s="64">
        <v>3.81</v>
      </c>
      <c r="G44" s="64">
        <v>19.309999999999999</v>
      </c>
      <c r="H44" s="64">
        <v>0.26</v>
      </c>
      <c r="I44" s="64">
        <v>5.14</v>
      </c>
      <c r="J44" s="64">
        <v>0.87</v>
      </c>
      <c r="K44" s="64">
        <v>126.74</v>
      </c>
      <c r="L44" s="64">
        <v>30.07</v>
      </c>
      <c r="M44" s="64">
        <v>74.06</v>
      </c>
      <c r="N44" s="64">
        <v>611.29999999999995</v>
      </c>
      <c r="O44" s="64">
        <v>0</v>
      </c>
      <c r="P44" s="64">
        <v>0.68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1242</v>
      </c>
      <c r="B45" s="64">
        <v>21.39</v>
      </c>
      <c r="C45" s="64">
        <v>6.1</v>
      </c>
      <c r="D45" s="64">
        <v>20.34</v>
      </c>
      <c r="E45" s="64">
        <v>4.78</v>
      </c>
      <c r="F45" s="64">
        <v>3.14</v>
      </c>
      <c r="G45" s="64">
        <v>19.309999999999999</v>
      </c>
      <c r="H45" s="64">
        <v>0.26</v>
      </c>
      <c r="I45" s="64">
        <v>5.39</v>
      </c>
      <c r="J45" s="64">
        <v>0.56000000000000005</v>
      </c>
      <c r="K45" s="64">
        <v>127.52</v>
      </c>
      <c r="L45" s="64">
        <v>30.27</v>
      </c>
      <c r="M45" s="64">
        <v>73.58</v>
      </c>
      <c r="N45" s="64">
        <v>661.5</v>
      </c>
      <c r="O45" s="64">
        <v>0</v>
      </c>
      <c r="P45" s="64">
        <v>0.56000000000000005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1243</v>
      </c>
      <c r="B46" s="64">
        <v>19.59</v>
      </c>
      <c r="C46" s="64">
        <v>6</v>
      </c>
      <c r="D46" s="64">
        <v>18.84</v>
      </c>
      <c r="E46" s="64">
        <v>4.6500000000000004</v>
      </c>
      <c r="F46" s="64">
        <v>3.77</v>
      </c>
      <c r="G46" s="64">
        <v>19.309999999999999</v>
      </c>
      <c r="H46" s="64">
        <v>0.26</v>
      </c>
      <c r="I46" s="64">
        <v>5.33</v>
      </c>
      <c r="J46" s="64">
        <v>0.51</v>
      </c>
      <c r="K46" s="64">
        <v>132</v>
      </c>
      <c r="L46" s="64">
        <v>30.38</v>
      </c>
      <c r="M46" s="64">
        <v>74.34</v>
      </c>
      <c r="N46" s="64">
        <v>704</v>
      </c>
      <c r="O46" s="64">
        <v>0</v>
      </c>
      <c r="P46" s="64">
        <v>0.49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1244</v>
      </c>
      <c r="B47" s="64">
        <v>18.16</v>
      </c>
      <c r="C47" s="64">
        <v>5.87</v>
      </c>
      <c r="D47" s="64">
        <v>17.63</v>
      </c>
      <c r="E47" s="64">
        <v>4.4800000000000004</v>
      </c>
      <c r="F47" s="64">
        <v>3.74</v>
      </c>
      <c r="G47" s="64">
        <v>16.75</v>
      </c>
      <c r="H47" s="64">
        <v>7.0000000000000007E-2</v>
      </c>
      <c r="I47" s="64">
        <v>5.0199999999999996</v>
      </c>
      <c r="J47" s="64">
        <v>0.65</v>
      </c>
      <c r="K47" s="64">
        <v>106.99</v>
      </c>
      <c r="L47" s="64">
        <v>30.17</v>
      </c>
      <c r="M47" s="64">
        <v>74.52</v>
      </c>
      <c r="N47" s="64">
        <v>727</v>
      </c>
      <c r="O47" s="64">
        <v>0</v>
      </c>
      <c r="P47" s="64">
        <v>0.41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1245</v>
      </c>
      <c r="B48" s="64">
        <v>16.68</v>
      </c>
      <c r="C48" s="64">
        <v>5.9</v>
      </c>
      <c r="D48" s="64">
        <v>16.46</v>
      </c>
      <c r="E48" s="64">
        <v>4.67</v>
      </c>
      <c r="F48" s="64">
        <v>3.67</v>
      </c>
      <c r="G48" s="64">
        <v>15.66</v>
      </c>
      <c r="H48" s="64">
        <v>0.06</v>
      </c>
      <c r="I48" s="64">
        <v>3.55</v>
      </c>
      <c r="J48" s="64">
        <v>0.97</v>
      </c>
      <c r="K48" s="64">
        <v>137.25</v>
      </c>
      <c r="L48" s="64">
        <v>30.31</v>
      </c>
      <c r="M48" s="64">
        <v>72.62</v>
      </c>
      <c r="N48" s="64">
        <v>789</v>
      </c>
      <c r="O48" s="64">
        <v>0</v>
      </c>
      <c r="P48" s="64">
        <v>0.46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5" t="s">
        <v>1246</v>
      </c>
      <c r="B49" s="64">
        <v>15.27</v>
      </c>
      <c r="C49" s="64">
        <v>6.04</v>
      </c>
      <c r="D49" s="64">
        <v>15.4</v>
      </c>
      <c r="E49" s="64">
        <v>4.68</v>
      </c>
      <c r="F49" s="64">
        <v>3.68</v>
      </c>
      <c r="G49" s="64">
        <v>15.66</v>
      </c>
      <c r="H49" s="64">
        <v>0.06</v>
      </c>
      <c r="I49" s="64">
        <v>3.29</v>
      </c>
      <c r="J49" s="64">
        <v>1.66</v>
      </c>
      <c r="K49" s="64">
        <v>135.19999999999999</v>
      </c>
      <c r="L49" s="64">
        <v>30.21</v>
      </c>
      <c r="M49" s="64">
        <v>67.8</v>
      </c>
      <c r="N49" s="64">
        <v>836.3</v>
      </c>
      <c r="O49" s="64">
        <v>0</v>
      </c>
      <c r="P49" s="64">
        <v>0.49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5" t="s">
        <v>1247</v>
      </c>
      <c r="B50" s="64">
        <v>13.94</v>
      </c>
      <c r="C50" s="64">
        <v>6.11</v>
      </c>
      <c r="D50" s="64">
        <v>14.37</v>
      </c>
      <c r="E50" s="64">
        <v>4.59</v>
      </c>
      <c r="F50" s="64">
        <v>3.73</v>
      </c>
      <c r="G50" s="64">
        <v>15.66</v>
      </c>
      <c r="H50" s="64">
        <v>0.06</v>
      </c>
      <c r="I50" s="64">
        <v>4.25</v>
      </c>
      <c r="J50" s="64">
        <v>1.31</v>
      </c>
      <c r="K50" s="64">
        <v>131.31</v>
      </c>
      <c r="L50" s="64">
        <v>30.68</v>
      </c>
      <c r="M50" s="64">
        <v>66.91</v>
      </c>
      <c r="N50" s="64">
        <v>841.8</v>
      </c>
      <c r="O50" s="64">
        <v>0</v>
      </c>
      <c r="P50" s="64">
        <v>0.43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1248</v>
      </c>
      <c r="B51" s="64">
        <v>12.78</v>
      </c>
      <c r="C51" s="64">
        <v>6.1</v>
      </c>
      <c r="D51" s="64">
        <v>13.43</v>
      </c>
      <c r="E51" s="64">
        <v>4.38</v>
      </c>
      <c r="F51" s="64">
        <v>3.62</v>
      </c>
      <c r="G51" s="64">
        <v>15.95</v>
      </c>
      <c r="H51" s="64">
        <v>1.87</v>
      </c>
      <c r="I51" s="64">
        <v>4.88</v>
      </c>
      <c r="J51" s="64">
        <v>1.43</v>
      </c>
      <c r="K51" s="64">
        <v>137.96</v>
      </c>
      <c r="L51" s="64">
        <v>30.96</v>
      </c>
      <c r="M51" s="64">
        <v>65.05</v>
      </c>
      <c r="N51" s="64">
        <v>794.7</v>
      </c>
      <c r="O51" s="64">
        <v>0</v>
      </c>
      <c r="P51" s="64">
        <v>0.41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1249</v>
      </c>
      <c r="B52" s="64">
        <v>11.6</v>
      </c>
      <c r="C52" s="64">
        <v>6.2</v>
      </c>
      <c r="D52" s="64">
        <v>12.54</v>
      </c>
      <c r="E52" s="64">
        <v>4.33</v>
      </c>
      <c r="F52" s="64">
        <v>3.46</v>
      </c>
      <c r="G52" s="64">
        <v>16.07</v>
      </c>
      <c r="H52" s="64">
        <v>2.0499999999999998</v>
      </c>
      <c r="I52" s="64">
        <v>4.95</v>
      </c>
      <c r="J52" s="64">
        <v>1.48</v>
      </c>
      <c r="K52" s="64">
        <v>143.22</v>
      </c>
      <c r="L52" s="64">
        <v>30.87</v>
      </c>
      <c r="M52" s="64">
        <v>64.17</v>
      </c>
      <c r="N52" s="64">
        <v>914.1</v>
      </c>
      <c r="O52" s="64">
        <v>0</v>
      </c>
      <c r="P52" s="64">
        <v>0.43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1250</v>
      </c>
      <c r="B53" s="64">
        <v>10.56</v>
      </c>
      <c r="C53" s="64">
        <v>6.26</v>
      </c>
      <c r="D53" s="64">
        <v>11.74</v>
      </c>
      <c r="E53" s="64">
        <v>4.4800000000000004</v>
      </c>
      <c r="F53" s="64">
        <v>3.79</v>
      </c>
      <c r="G53" s="64">
        <v>16.07</v>
      </c>
      <c r="H53" s="64">
        <v>2.0499999999999998</v>
      </c>
      <c r="I53" s="64">
        <v>5.09</v>
      </c>
      <c r="J53" s="64">
        <v>0.67</v>
      </c>
      <c r="K53" s="64">
        <v>128.93</v>
      </c>
      <c r="L53" s="64">
        <v>31.54</v>
      </c>
      <c r="M53" s="64">
        <v>63.16</v>
      </c>
      <c r="N53" s="64">
        <v>826.4</v>
      </c>
      <c r="O53" s="64">
        <v>0</v>
      </c>
      <c r="P53" s="64">
        <v>0.39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1251</v>
      </c>
      <c r="B54" s="64">
        <v>9.59</v>
      </c>
      <c r="C54" s="64">
        <v>7.08</v>
      </c>
      <c r="D54" s="64">
        <v>11.39</v>
      </c>
      <c r="E54" s="64">
        <v>4.34</v>
      </c>
      <c r="F54" s="64">
        <v>3.98</v>
      </c>
      <c r="G54" s="64">
        <v>16.07</v>
      </c>
      <c r="H54" s="64">
        <v>2.0499999999999998</v>
      </c>
      <c r="I54" s="64">
        <v>4.88</v>
      </c>
      <c r="J54" s="64">
        <v>0.86</v>
      </c>
      <c r="K54" s="64">
        <v>136.37</v>
      </c>
      <c r="L54" s="64">
        <v>31.32</v>
      </c>
      <c r="M54" s="64">
        <v>62.71</v>
      </c>
      <c r="N54" s="64">
        <v>684.2</v>
      </c>
      <c r="O54" s="64">
        <v>0</v>
      </c>
      <c r="P54" s="64">
        <v>0.42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5" t="s">
        <v>1252</v>
      </c>
      <c r="B55" s="64">
        <v>8.6199999999999992</v>
      </c>
      <c r="C55" s="64">
        <v>6.85</v>
      </c>
      <c r="D55" s="64">
        <v>10.49</v>
      </c>
      <c r="E55" s="64">
        <v>4.4000000000000004</v>
      </c>
      <c r="F55" s="64">
        <v>3.83</v>
      </c>
      <c r="G55" s="64">
        <v>13.85</v>
      </c>
      <c r="H55" s="64">
        <v>6.05</v>
      </c>
      <c r="I55" s="64">
        <v>5.1100000000000003</v>
      </c>
      <c r="J55" s="64">
        <v>1.62</v>
      </c>
      <c r="K55" s="64">
        <v>138.68</v>
      </c>
      <c r="L55" s="64">
        <v>31.14</v>
      </c>
      <c r="M55" s="64">
        <v>62.19</v>
      </c>
      <c r="N55" s="64">
        <v>990.9</v>
      </c>
      <c r="O55" s="64">
        <v>0</v>
      </c>
      <c r="P55" s="64">
        <v>0.41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1253</v>
      </c>
      <c r="B56" s="64">
        <v>7.59</v>
      </c>
      <c r="C56" s="64">
        <v>7.22</v>
      </c>
      <c r="D56" s="64">
        <v>9.86</v>
      </c>
      <c r="E56" s="64">
        <v>4.33</v>
      </c>
      <c r="F56" s="64">
        <v>3.97</v>
      </c>
      <c r="G56" s="64">
        <v>12.89</v>
      </c>
      <c r="H56" s="64">
        <v>6.3</v>
      </c>
      <c r="I56" s="64">
        <v>5.66</v>
      </c>
      <c r="J56" s="64">
        <v>1.08</v>
      </c>
      <c r="K56" s="64">
        <v>118.01</v>
      </c>
      <c r="L56" s="64">
        <v>30.68</v>
      </c>
      <c r="M56" s="64">
        <v>63.01</v>
      </c>
      <c r="N56" s="64">
        <v>661.3</v>
      </c>
      <c r="O56" s="64">
        <v>0</v>
      </c>
      <c r="P56" s="64">
        <v>0.38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1254</v>
      </c>
      <c r="B57" s="64">
        <v>6.71</v>
      </c>
      <c r="C57" s="64">
        <v>6.84</v>
      </c>
      <c r="D57" s="64">
        <v>8.9600000000000009</v>
      </c>
      <c r="E57" s="64">
        <v>5.52</v>
      </c>
      <c r="F57" s="64">
        <v>3.55</v>
      </c>
      <c r="G57" s="64">
        <v>12.89</v>
      </c>
      <c r="H57" s="64">
        <v>6.3</v>
      </c>
      <c r="I57" s="64">
        <v>5.69</v>
      </c>
      <c r="J57" s="64">
        <v>1.39</v>
      </c>
      <c r="K57" s="64">
        <v>136.94999999999999</v>
      </c>
      <c r="L57" s="64">
        <v>31.01</v>
      </c>
      <c r="M57" s="64">
        <v>62.45</v>
      </c>
      <c r="N57" s="64">
        <v>830.2</v>
      </c>
      <c r="O57" s="64">
        <v>0</v>
      </c>
      <c r="P57" s="64">
        <v>0.36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1255</v>
      </c>
      <c r="B58" s="64">
        <v>5.92</v>
      </c>
      <c r="C58" s="64">
        <v>7</v>
      </c>
      <c r="D58" s="64">
        <v>8.4</v>
      </c>
      <c r="E58" s="64">
        <v>5.71</v>
      </c>
      <c r="F58" s="64">
        <v>4.3499999999999996</v>
      </c>
      <c r="G58" s="64">
        <v>12.89</v>
      </c>
      <c r="H58" s="64">
        <v>6.3</v>
      </c>
      <c r="I58" s="64">
        <v>5.23</v>
      </c>
      <c r="J58" s="64">
        <v>0.95</v>
      </c>
      <c r="K58" s="64">
        <v>133.37</v>
      </c>
      <c r="L58" s="64">
        <v>31</v>
      </c>
      <c r="M58" s="64">
        <v>64.13</v>
      </c>
      <c r="N58" s="64">
        <v>908.5</v>
      </c>
      <c r="O58" s="64">
        <v>0</v>
      </c>
      <c r="P58" s="64">
        <v>0.35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1256</v>
      </c>
      <c r="B59" s="64">
        <v>5.21</v>
      </c>
      <c r="C59" s="64">
        <v>7.41</v>
      </c>
      <c r="D59" s="64">
        <v>8.0500000000000007</v>
      </c>
      <c r="E59" s="64">
        <v>5.65</v>
      </c>
      <c r="F59" s="64">
        <v>3.5</v>
      </c>
      <c r="G59" s="64">
        <v>14.57</v>
      </c>
      <c r="H59" s="64">
        <v>2.04</v>
      </c>
      <c r="I59" s="64">
        <v>5.14</v>
      </c>
      <c r="J59" s="64">
        <v>0.34</v>
      </c>
      <c r="K59" s="64">
        <v>124.48</v>
      </c>
      <c r="L59" s="64">
        <v>31.88</v>
      </c>
      <c r="M59" s="64">
        <v>61.26</v>
      </c>
      <c r="N59" s="64">
        <v>915.3</v>
      </c>
      <c r="O59" s="64">
        <v>0</v>
      </c>
      <c r="P59" s="64">
        <v>0.33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1257</v>
      </c>
      <c r="B60" s="64">
        <v>4.58</v>
      </c>
      <c r="C60" s="64">
        <v>6.87</v>
      </c>
      <c r="D60" s="64">
        <v>7.26</v>
      </c>
      <c r="E60" s="64">
        <v>5.46</v>
      </c>
      <c r="F60" s="64">
        <v>3.66</v>
      </c>
      <c r="G60" s="64">
        <v>15.29</v>
      </c>
      <c r="H60" s="64">
        <v>1.77</v>
      </c>
      <c r="I60" s="64">
        <v>4.93</v>
      </c>
      <c r="J60" s="64">
        <v>1.44</v>
      </c>
      <c r="K60" s="64">
        <v>138.30000000000001</v>
      </c>
      <c r="L60" s="64">
        <v>31.52</v>
      </c>
      <c r="M60" s="64">
        <v>61.4</v>
      </c>
      <c r="N60" s="64">
        <v>801.9</v>
      </c>
      <c r="O60" s="64">
        <v>0</v>
      </c>
      <c r="P60" s="64">
        <v>0.3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1258</v>
      </c>
      <c r="B61" s="64">
        <v>3.97</v>
      </c>
      <c r="C61" s="64">
        <v>7.04</v>
      </c>
      <c r="D61" s="64">
        <v>6.86</v>
      </c>
      <c r="E61" s="64">
        <v>5.53</v>
      </c>
      <c r="F61" s="64">
        <v>4.72</v>
      </c>
      <c r="G61" s="64">
        <v>15.29</v>
      </c>
      <c r="H61" s="64">
        <v>1.77</v>
      </c>
      <c r="I61" s="64">
        <v>4.26</v>
      </c>
      <c r="J61" s="64">
        <v>1.38</v>
      </c>
      <c r="K61" s="64">
        <v>134.86000000000001</v>
      </c>
      <c r="L61" s="64">
        <v>30.68</v>
      </c>
      <c r="M61" s="64">
        <v>63.74</v>
      </c>
      <c r="N61" s="64">
        <v>252.4</v>
      </c>
      <c r="O61" s="64">
        <v>0</v>
      </c>
      <c r="P61" s="64">
        <v>0.41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1259</v>
      </c>
      <c r="B62" s="64">
        <v>3.54</v>
      </c>
      <c r="C62" s="64">
        <v>6.95</v>
      </c>
      <c r="D62" s="64">
        <v>6.47</v>
      </c>
      <c r="E62" s="64">
        <v>5.9</v>
      </c>
      <c r="F62" s="64">
        <v>3.58</v>
      </c>
      <c r="G62" s="64">
        <v>15.29</v>
      </c>
      <c r="H62" s="64">
        <v>1.77</v>
      </c>
      <c r="I62" s="64">
        <v>4.47</v>
      </c>
      <c r="J62" s="64">
        <v>0.76</v>
      </c>
      <c r="K62" s="64">
        <v>143.74</v>
      </c>
      <c r="L62" s="64">
        <v>30.49</v>
      </c>
      <c r="M62" s="64">
        <v>64.75</v>
      </c>
      <c r="N62" s="64">
        <v>251.2</v>
      </c>
      <c r="O62" s="64">
        <v>0</v>
      </c>
      <c r="P62" s="64">
        <v>0.4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1260</v>
      </c>
      <c r="B63" s="64">
        <v>3.1</v>
      </c>
      <c r="C63" s="64">
        <v>6.38</v>
      </c>
      <c r="D63" s="64">
        <v>5.82</v>
      </c>
      <c r="E63" s="64">
        <v>5.08</v>
      </c>
      <c r="F63" s="64">
        <v>3.81</v>
      </c>
      <c r="G63" s="64">
        <v>13.43</v>
      </c>
      <c r="H63" s="64">
        <v>1.74</v>
      </c>
      <c r="I63" s="64">
        <v>4.42</v>
      </c>
      <c r="J63" s="64">
        <v>1.23</v>
      </c>
      <c r="K63" s="64">
        <v>131.11000000000001</v>
      </c>
      <c r="L63" s="64">
        <v>30.53</v>
      </c>
      <c r="M63" s="64">
        <v>63.89</v>
      </c>
      <c r="N63" s="64">
        <v>194.4</v>
      </c>
      <c r="O63" s="64">
        <v>0</v>
      </c>
      <c r="P63" s="64">
        <v>0.37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1261</v>
      </c>
      <c r="B64" s="64">
        <v>2.81</v>
      </c>
      <c r="C64" s="64">
        <v>6.04</v>
      </c>
      <c r="D64" s="64">
        <v>5.41</v>
      </c>
      <c r="E64" s="64">
        <v>5.19</v>
      </c>
      <c r="F64" s="64">
        <v>4.28</v>
      </c>
      <c r="G64" s="64">
        <v>12.63</v>
      </c>
      <c r="H64" s="64">
        <v>1.74</v>
      </c>
      <c r="I64" s="64">
        <v>3.53</v>
      </c>
      <c r="J64" s="64">
        <v>1.28</v>
      </c>
      <c r="K64" s="64">
        <v>136.21</v>
      </c>
      <c r="L64" s="64">
        <v>30.73</v>
      </c>
      <c r="M64" s="64">
        <v>61.18</v>
      </c>
      <c r="N64" s="64">
        <v>144.69999999999999</v>
      </c>
      <c r="O64" s="64">
        <v>0</v>
      </c>
      <c r="P64" s="64">
        <v>0.36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5" t="s">
        <v>1262</v>
      </c>
      <c r="B65" s="64">
        <v>2.62</v>
      </c>
      <c r="C65" s="64">
        <v>5.9</v>
      </c>
      <c r="D65" s="64">
        <v>5.18</v>
      </c>
      <c r="E65" s="64">
        <v>5.25</v>
      </c>
      <c r="F65" s="64">
        <v>4.26</v>
      </c>
      <c r="G65" s="64">
        <v>12.63</v>
      </c>
      <c r="H65" s="64">
        <v>1.74</v>
      </c>
      <c r="I65" s="64">
        <v>2.85</v>
      </c>
      <c r="J65" s="64">
        <v>1.07</v>
      </c>
      <c r="K65" s="64">
        <v>135.85</v>
      </c>
      <c r="L65" s="64">
        <v>30.79</v>
      </c>
      <c r="M65" s="64">
        <v>62.33</v>
      </c>
      <c r="N65" s="64">
        <v>155.5</v>
      </c>
      <c r="O65" s="64">
        <v>0</v>
      </c>
      <c r="P65" s="64">
        <v>0.34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1263</v>
      </c>
      <c r="B66" s="64">
        <v>2.4700000000000002</v>
      </c>
      <c r="C66" s="64">
        <v>5.68</v>
      </c>
      <c r="D66" s="64">
        <v>4.95</v>
      </c>
      <c r="E66" s="64">
        <v>5.1100000000000003</v>
      </c>
      <c r="F66" s="64">
        <v>4.66</v>
      </c>
      <c r="G66" s="64">
        <v>12.63</v>
      </c>
      <c r="H66" s="64">
        <v>1.74</v>
      </c>
      <c r="I66" s="64">
        <v>2.9</v>
      </c>
      <c r="J66" s="64">
        <v>1.1599999999999999</v>
      </c>
      <c r="K66" s="64">
        <v>141.91</v>
      </c>
      <c r="L66" s="64">
        <v>30.54</v>
      </c>
      <c r="M66" s="64">
        <v>61.38</v>
      </c>
      <c r="N66" s="64">
        <v>118.4</v>
      </c>
      <c r="O66" s="64">
        <v>0</v>
      </c>
      <c r="P66" s="64">
        <v>0.34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1264</v>
      </c>
      <c r="B67" s="64">
        <v>2.33</v>
      </c>
      <c r="C67" s="64">
        <v>5.5</v>
      </c>
      <c r="D67" s="64">
        <v>4.74</v>
      </c>
      <c r="E67" s="64">
        <v>5.37</v>
      </c>
      <c r="F67" s="64">
        <v>4.46</v>
      </c>
      <c r="G67" s="64">
        <v>12.83</v>
      </c>
      <c r="H67" s="64">
        <v>0.67</v>
      </c>
      <c r="I67" s="64">
        <v>2.41</v>
      </c>
      <c r="J67" s="64">
        <v>1.1299999999999999</v>
      </c>
      <c r="K67" s="64">
        <v>131.99</v>
      </c>
      <c r="L67" s="64">
        <v>30.41</v>
      </c>
      <c r="M67" s="64">
        <v>59.17</v>
      </c>
      <c r="N67" s="64">
        <v>100.6</v>
      </c>
      <c r="O67" s="64">
        <v>0</v>
      </c>
      <c r="P67" s="64">
        <v>0.32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5" t="s">
        <v>1265</v>
      </c>
      <c r="B68" s="64">
        <v>2.17</v>
      </c>
      <c r="C68" s="64">
        <v>5.47</v>
      </c>
      <c r="D68" s="64">
        <v>4.5999999999999996</v>
      </c>
      <c r="E68" s="64">
        <v>5.24</v>
      </c>
      <c r="F68" s="64">
        <v>4.45</v>
      </c>
      <c r="G68" s="64">
        <v>12.91</v>
      </c>
      <c r="H68" s="64">
        <v>0.56000000000000005</v>
      </c>
      <c r="I68" s="64">
        <v>2.42</v>
      </c>
      <c r="J68" s="64">
        <v>0.73</v>
      </c>
      <c r="K68" s="64">
        <v>109.72</v>
      </c>
      <c r="L68" s="64">
        <v>30.25</v>
      </c>
      <c r="M68" s="64">
        <v>59.38</v>
      </c>
      <c r="N68" s="64">
        <v>90.3</v>
      </c>
      <c r="O68" s="64">
        <v>0</v>
      </c>
      <c r="P68" s="64">
        <v>0.32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1266</v>
      </c>
      <c r="B69" s="64">
        <v>1.99</v>
      </c>
      <c r="C69" s="64">
        <v>5.38</v>
      </c>
      <c r="D69" s="64">
        <v>4.41</v>
      </c>
      <c r="E69" s="64">
        <v>5.26</v>
      </c>
      <c r="F69" s="64">
        <v>4.53</v>
      </c>
      <c r="G69" s="64">
        <v>12.91</v>
      </c>
      <c r="H69" s="64">
        <v>0.56000000000000005</v>
      </c>
      <c r="I69" s="64">
        <v>1.53</v>
      </c>
      <c r="J69" s="64">
        <v>0.95</v>
      </c>
      <c r="K69" s="64">
        <v>135.05000000000001</v>
      </c>
      <c r="L69" s="64">
        <v>30.15</v>
      </c>
      <c r="M69" s="64">
        <v>59.56</v>
      </c>
      <c r="N69" s="64">
        <v>83.6</v>
      </c>
      <c r="O69" s="64">
        <v>0</v>
      </c>
      <c r="P69" s="64">
        <v>0.32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5" t="s">
        <v>1267</v>
      </c>
      <c r="B70" s="64">
        <v>1.83</v>
      </c>
      <c r="C70" s="64">
        <v>5.55</v>
      </c>
      <c r="D70" s="64">
        <v>4.37</v>
      </c>
      <c r="E70" s="64">
        <v>5.1100000000000003</v>
      </c>
      <c r="F70" s="64">
        <v>4.68</v>
      </c>
      <c r="G70" s="64">
        <v>12.91</v>
      </c>
      <c r="H70" s="64">
        <v>0.56000000000000005</v>
      </c>
      <c r="I70" s="64">
        <v>1.37</v>
      </c>
      <c r="J70" s="64">
        <v>0.9</v>
      </c>
      <c r="K70" s="64">
        <v>132.58000000000001</v>
      </c>
      <c r="L70" s="64">
        <v>30.01</v>
      </c>
      <c r="M70" s="64">
        <v>60.61</v>
      </c>
      <c r="N70" s="64">
        <v>79.599999999999994</v>
      </c>
      <c r="O70" s="64">
        <v>0</v>
      </c>
      <c r="P70" s="64">
        <v>0.32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1268</v>
      </c>
      <c r="B71" s="64">
        <v>1.74</v>
      </c>
      <c r="C71" s="64">
        <v>6.1</v>
      </c>
      <c r="D71" s="64">
        <v>4.59</v>
      </c>
      <c r="E71" s="64">
        <v>5.74</v>
      </c>
      <c r="F71" s="64">
        <v>4.18</v>
      </c>
      <c r="G71" s="64">
        <v>12</v>
      </c>
      <c r="H71" s="64">
        <v>0.39</v>
      </c>
      <c r="I71" s="64">
        <v>1.98</v>
      </c>
      <c r="J71" s="64">
        <v>1.17</v>
      </c>
      <c r="K71" s="64">
        <v>130.91999999999999</v>
      </c>
      <c r="L71" s="64">
        <v>29.96</v>
      </c>
      <c r="M71" s="64">
        <v>61.18</v>
      </c>
      <c r="N71" s="64">
        <v>68.400000000000006</v>
      </c>
      <c r="O71" s="64">
        <v>0</v>
      </c>
      <c r="P71" s="64">
        <v>0.32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1269</v>
      </c>
      <c r="B72" s="64">
        <v>1.59</v>
      </c>
      <c r="C72" s="64">
        <v>5.59</v>
      </c>
      <c r="D72" s="64">
        <v>4.1900000000000004</v>
      </c>
      <c r="E72" s="64">
        <v>5.97</v>
      </c>
      <c r="F72" s="64">
        <v>4.28</v>
      </c>
      <c r="G72" s="64">
        <v>11.61</v>
      </c>
      <c r="H72" s="64">
        <v>0.38</v>
      </c>
      <c r="I72" s="64">
        <v>2.4700000000000002</v>
      </c>
      <c r="J72" s="64">
        <v>1</v>
      </c>
      <c r="K72" s="64">
        <v>123.23</v>
      </c>
      <c r="L72" s="64">
        <v>29.78</v>
      </c>
      <c r="M72" s="64">
        <v>61.48</v>
      </c>
      <c r="N72" s="64">
        <v>64.599999999999994</v>
      </c>
      <c r="O72" s="64">
        <v>0</v>
      </c>
      <c r="P72" s="64">
        <v>0.31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5" t="s">
        <v>1270</v>
      </c>
      <c r="B73" s="64">
        <v>1.48</v>
      </c>
      <c r="C73" s="64">
        <v>5.95</v>
      </c>
      <c r="D73" s="64">
        <v>4.29</v>
      </c>
      <c r="E73" s="64">
        <v>5.67</v>
      </c>
      <c r="F73" s="64">
        <v>4.78</v>
      </c>
      <c r="G73" s="64">
        <v>11.61</v>
      </c>
      <c r="H73" s="64">
        <v>0.38</v>
      </c>
      <c r="I73" s="64">
        <v>2.3199999999999998</v>
      </c>
      <c r="J73" s="64">
        <v>0.59</v>
      </c>
      <c r="K73" s="64">
        <v>141.74</v>
      </c>
      <c r="L73" s="64">
        <v>29.84</v>
      </c>
      <c r="M73" s="64">
        <v>61.56</v>
      </c>
      <c r="N73" s="64">
        <v>61.2</v>
      </c>
      <c r="O73" s="64">
        <v>0</v>
      </c>
      <c r="P73" s="64">
        <v>0.36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5" t="s">
        <v>1271</v>
      </c>
      <c r="B74" s="64">
        <v>1.52</v>
      </c>
      <c r="C74" s="64">
        <v>5.99</v>
      </c>
      <c r="D74" s="64">
        <v>4.3499999999999996</v>
      </c>
      <c r="E74" s="64">
        <v>5.7</v>
      </c>
      <c r="F74" s="64">
        <v>3.76</v>
      </c>
      <c r="G74" s="64">
        <v>11.61</v>
      </c>
      <c r="H74" s="64">
        <v>0.38</v>
      </c>
      <c r="I74" s="64">
        <v>1.77</v>
      </c>
      <c r="J74" s="64">
        <v>0.94</v>
      </c>
      <c r="K74" s="64">
        <v>147.25</v>
      </c>
      <c r="L74" s="64">
        <v>29.75</v>
      </c>
      <c r="M74" s="64">
        <v>61.18</v>
      </c>
      <c r="N74" s="64">
        <v>56.8</v>
      </c>
      <c r="O74" s="64">
        <v>0</v>
      </c>
      <c r="P74" s="64">
        <v>0.32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5" t="s">
        <v>1272</v>
      </c>
      <c r="B75" s="64">
        <v>1.51</v>
      </c>
      <c r="C75" s="64">
        <v>5.93</v>
      </c>
      <c r="D75" s="64">
        <v>4.3099999999999996</v>
      </c>
      <c r="E75" s="64">
        <v>5.41</v>
      </c>
      <c r="F75" s="64">
        <v>4.79</v>
      </c>
      <c r="G75" s="64">
        <v>9.19</v>
      </c>
      <c r="H75" s="64">
        <v>2.96</v>
      </c>
      <c r="I75" s="64">
        <v>2.2599999999999998</v>
      </c>
      <c r="J75" s="64">
        <v>0.62</v>
      </c>
      <c r="K75" s="64">
        <v>119.22</v>
      </c>
      <c r="L75" s="64">
        <v>29.56</v>
      </c>
      <c r="M75" s="64">
        <v>61.84</v>
      </c>
      <c r="N75" s="64">
        <v>54.8</v>
      </c>
      <c r="O75" s="64">
        <v>0</v>
      </c>
      <c r="P75" s="64">
        <v>0.34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1273</v>
      </c>
      <c r="B76" s="64">
        <v>1.51</v>
      </c>
      <c r="C76" s="64">
        <v>6.5</v>
      </c>
      <c r="D76" s="64">
        <v>4.6100000000000003</v>
      </c>
      <c r="E76" s="64">
        <v>5.84</v>
      </c>
      <c r="F76" s="64">
        <v>4.07</v>
      </c>
      <c r="G76" s="64">
        <v>8.16</v>
      </c>
      <c r="H76" s="64">
        <v>3.13</v>
      </c>
      <c r="I76" s="64">
        <v>1.59</v>
      </c>
      <c r="J76" s="64">
        <v>0.7</v>
      </c>
      <c r="K76" s="64">
        <v>164.64</v>
      </c>
      <c r="L76" s="64">
        <v>29.56</v>
      </c>
      <c r="M76" s="64">
        <v>60.22</v>
      </c>
      <c r="N76" s="64">
        <v>47.9</v>
      </c>
      <c r="O76" s="64">
        <v>0</v>
      </c>
      <c r="P76" s="64">
        <v>0.31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1274</v>
      </c>
      <c r="B77" s="64">
        <v>1.46</v>
      </c>
      <c r="C77" s="64">
        <v>6.15</v>
      </c>
      <c r="D77" s="64">
        <v>4.3899999999999997</v>
      </c>
      <c r="E77" s="64">
        <v>5.26</v>
      </c>
      <c r="F77" s="64">
        <v>3.87</v>
      </c>
      <c r="G77" s="64">
        <v>8.16</v>
      </c>
      <c r="H77" s="64">
        <v>3.13</v>
      </c>
      <c r="I77" s="64">
        <v>2.0499999999999998</v>
      </c>
      <c r="J77" s="64">
        <v>0.81</v>
      </c>
      <c r="K77" s="64">
        <v>100.3</v>
      </c>
      <c r="L77" s="64">
        <v>29.48</v>
      </c>
      <c r="M77" s="64">
        <v>60.67</v>
      </c>
      <c r="N77" s="64">
        <v>42.3</v>
      </c>
      <c r="O77" s="64">
        <v>0</v>
      </c>
      <c r="P77" s="64">
        <v>0.32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1275</v>
      </c>
      <c r="B78" s="64">
        <v>1.5</v>
      </c>
      <c r="C78" s="64">
        <v>6.61</v>
      </c>
      <c r="D78" s="64">
        <v>4.66</v>
      </c>
      <c r="E78" s="64">
        <v>5.64</v>
      </c>
      <c r="F78" s="64">
        <v>4.3600000000000003</v>
      </c>
      <c r="G78" s="64">
        <v>8.16</v>
      </c>
      <c r="H78" s="64">
        <v>3.13</v>
      </c>
      <c r="I78" s="64">
        <v>1.69</v>
      </c>
      <c r="J78" s="64">
        <v>0.6</v>
      </c>
      <c r="K78" s="64">
        <v>149.26</v>
      </c>
      <c r="L78" s="64">
        <v>29.16</v>
      </c>
      <c r="M78" s="64">
        <v>62.04</v>
      </c>
      <c r="N78" s="64">
        <v>36.4</v>
      </c>
      <c r="O78" s="64">
        <v>0</v>
      </c>
      <c r="P78" s="64">
        <v>0.33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1276</v>
      </c>
      <c r="B79" s="64">
        <v>1.6</v>
      </c>
      <c r="C79" s="64">
        <v>6.43</v>
      </c>
      <c r="D79" s="64">
        <v>4.6399999999999997</v>
      </c>
      <c r="E79" s="64">
        <v>5.71</v>
      </c>
      <c r="F79" s="64">
        <v>3.82</v>
      </c>
      <c r="G79" s="64">
        <v>9.69</v>
      </c>
      <c r="H79" s="64">
        <v>1.31</v>
      </c>
      <c r="I79" s="64">
        <v>2.02</v>
      </c>
      <c r="J79" s="64">
        <v>0.22</v>
      </c>
      <c r="K79" s="64">
        <v>74.739999999999995</v>
      </c>
      <c r="L79" s="64">
        <v>28.6</v>
      </c>
      <c r="M79" s="64">
        <v>67.77</v>
      </c>
      <c r="N79" s="64">
        <v>29.7</v>
      </c>
      <c r="O79" s="64">
        <v>0</v>
      </c>
      <c r="P79" s="64">
        <v>0.34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1277</v>
      </c>
      <c r="B80" s="64">
        <v>1.72</v>
      </c>
      <c r="C80" s="64">
        <v>6.32</v>
      </c>
      <c r="D80" s="64">
        <v>4.68</v>
      </c>
      <c r="E80" s="64">
        <v>5.45</v>
      </c>
      <c r="F80" s="64">
        <v>4.5199999999999996</v>
      </c>
      <c r="G80" s="64">
        <v>10.34</v>
      </c>
      <c r="H80" s="64">
        <v>1.19</v>
      </c>
      <c r="I80" s="64">
        <v>1.68</v>
      </c>
      <c r="J80" s="64">
        <v>0.54</v>
      </c>
      <c r="K80" s="64">
        <v>112.54</v>
      </c>
      <c r="L80" s="64">
        <v>28.25</v>
      </c>
      <c r="M80" s="64">
        <v>67.27</v>
      </c>
      <c r="N80" s="64">
        <v>26.6</v>
      </c>
      <c r="O80" s="64">
        <v>0</v>
      </c>
      <c r="P80" s="64">
        <v>0.34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1278</v>
      </c>
      <c r="B81" s="64">
        <v>1.83</v>
      </c>
      <c r="C81" s="64">
        <v>6.45</v>
      </c>
      <c r="D81" s="64">
        <v>4.84</v>
      </c>
      <c r="E81" s="64">
        <v>5.53</v>
      </c>
      <c r="F81" s="64">
        <v>4.1500000000000004</v>
      </c>
      <c r="G81" s="64">
        <v>10.34</v>
      </c>
      <c r="H81" s="64">
        <v>1.19</v>
      </c>
      <c r="I81" s="64">
        <v>1.18</v>
      </c>
      <c r="J81" s="64">
        <v>1.1000000000000001</v>
      </c>
      <c r="K81" s="64">
        <v>114.61</v>
      </c>
      <c r="L81" s="64">
        <v>28.29</v>
      </c>
      <c r="M81" s="64">
        <v>64.209999999999994</v>
      </c>
      <c r="N81" s="64">
        <v>25.9</v>
      </c>
      <c r="O81" s="64">
        <v>0</v>
      </c>
      <c r="P81" s="64">
        <v>0.37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1279</v>
      </c>
      <c r="B82" s="64">
        <v>1.95</v>
      </c>
      <c r="C82" s="64">
        <v>6.33</v>
      </c>
      <c r="D82" s="64">
        <v>4.87</v>
      </c>
      <c r="E82" s="64">
        <v>5.51</v>
      </c>
      <c r="F82" s="64">
        <v>4.0199999999999996</v>
      </c>
      <c r="G82" s="64">
        <v>10.34</v>
      </c>
      <c r="H82" s="64">
        <v>1.19</v>
      </c>
      <c r="I82" s="64">
        <v>1.51</v>
      </c>
      <c r="J82" s="64">
        <v>1.08</v>
      </c>
      <c r="K82" s="64">
        <v>119.93</v>
      </c>
      <c r="L82" s="64">
        <v>28.32</v>
      </c>
      <c r="M82" s="64">
        <v>64.86</v>
      </c>
      <c r="N82" s="64">
        <v>26</v>
      </c>
      <c r="O82" s="64">
        <v>0</v>
      </c>
      <c r="P82" s="64">
        <v>0.38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1280</v>
      </c>
      <c r="B83" s="64">
        <v>2.0299999999999998</v>
      </c>
      <c r="C83" s="64">
        <v>6.22</v>
      </c>
      <c r="D83" s="64">
        <v>4.87</v>
      </c>
      <c r="E83" s="64">
        <v>5.67</v>
      </c>
      <c r="F83" s="64">
        <v>3.88</v>
      </c>
      <c r="G83" s="64">
        <v>11.17</v>
      </c>
      <c r="H83" s="64">
        <v>9.1</v>
      </c>
      <c r="I83" s="64">
        <v>1.77</v>
      </c>
      <c r="J83" s="64">
        <v>1.38</v>
      </c>
      <c r="K83" s="64">
        <v>117.75</v>
      </c>
      <c r="L83" s="64">
        <v>28.24</v>
      </c>
      <c r="M83" s="64">
        <v>67.05</v>
      </c>
      <c r="N83" s="64">
        <v>26</v>
      </c>
      <c r="O83" s="64">
        <v>0</v>
      </c>
      <c r="P83" s="64">
        <v>0.4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1281</v>
      </c>
      <c r="B84" s="64">
        <v>2.14</v>
      </c>
      <c r="C84" s="64">
        <v>6.12</v>
      </c>
      <c r="D84" s="64">
        <v>4.92</v>
      </c>
      <c r="E84" s="64">
        <v>5.77</v>
      </c>
      <c r="F84" s="64">
        <v>3.41</v>
      </c>
      <c r="G84" s="64">
        <v>11.52</v>
      </c>
      <c r="H84" s="64">
        <v>9.91</v>
      </c>
      <c r="I84" s="64">
        <v>1.94</v>
      </c>
      <c r="J84" s="64">
        <v>1.52</v>
      </c>
      <c r="K84" s="64">
        <v>115.39</v>
      </c>
      <c r="L84" s="64">
        <v>28.1</v>
      </c>
      <c r="M84" s="64">
        <v>68.52</v>
      </c>
      <c r="N84" s="64">
        <v>26</v>
      </c>
      <c r="O84" s="64">
        <v>0</v>
      </c>
      <c r="P84" s="64">
        <v>0.38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1282</v>
      </c>
      <c r="B85" s="64">
        <v>2.2400000000000002</v>
      </c>
      <c r="C85" s="64">
        <v>6.03</v>
      </c>
      <c r="D85" s="64">
        <v>4.95</v>
      </c>
      <c r="E85" s="64">
        <v>5.98</v>
      </c>
      <c r="F85" s="64">
        <v>4.6500000000000004</v>
      </c>
      <c r="G85" s="64">
        <v>11.52</v>
      </c>
      <c r="H85" s="64">
        <v>9.91</v>
      </c>
      <c r="I85" s="64">
        <v>2.92</v>
      </c>
      <c r="J85" s="64">
        <v>0.57999999999999996</v>
      </c>
      <c r="K85" s="64">
        <v>111.08</v>
      </c>
      <c r="L85" s="64">
        <v>27.66</v>
      </c>
      <c r="M85" s="64">
        <v>74.02</v>
      </c>
      <c r="N85" s="64">
        <v>26.4</v>
      </c>
      <c r="O85" s="64">
        <v>0</v>
      </c>
      <c r="P85" s="64">
        <v>0.56999999999999995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5" t="s">
        <v>1283</v>
      </c>
      <c r="B86" s="64">
        <v>2.44</v>
      </c>
      <c r="C86" s="64">
        <v>6.14</v>
      </c>
      <c r="D86" s="64">
        <v>5.17</v>
      </c>
      <c r="E86" s="64">
        <v>5.7</v>
      </c>
      <c r="F86" s="64">
        <v>3.62</v>
      </c>
      <c r="G86" s="64">
        <v>11.52</v>
      </c>
      <c r="H86" s="64">
        <v>9.91</v>
      </c>
      <c r="I86" s="64">
        <v>2.95</v>
      </c>
      <c r="J86" s="64">
        <v>0.64</v>
      </c>
      <c r="K86" s="64">
        <v>125.53</v>
      </c>
      <c r="L86" s="64">
        <v>27.29</v>
      </c>
      <c r="M86" s="64">
        <v>78.86</v>
      </c>
      <c r="N86" s="64">
        <v>26.3</v>
      </c>
      <c r="O86" s="64">
        <v>0</v>
      </c>
      <c r="P86" s="64">
        <v>0.56999999999999995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5" t="s">
        <v>1284</v>
      </c>
      <c r="B87" s="64">
        <v>2.78</v>
      </c>
      <c r="C87" s="64">
        <v>6.83</v>
      </c>
      <c r="D87" s="64">
        <v>5.8</v>
      </c>
      <c r="E87" s="64">
        <v>5.77</v>
      </c>
      <c r="F87" s="64">
        <v>3.55</v>
      </c>
      <c r="G87" s="64">
        <v>17.440000000000001</v>
      </c>
      <c r="H87" s="64">
        <v>4.51</v>
      </c>
      <c r="I87" s="64">
        <v>2.64</v>
      </c>
      <c r="J87" s="64">
        <v>0.34</v>
      </c>
      <c r="K87" s="64">
        <v>102.36</v>
      </c>
      <c r="L87" s="64">
        <v>27.04</v>
      </c>
      <c r="M87" s="64">
        <v>81.91</v>
      </c>
      <c r="N87" s="64">
        <v>26.3</v>
      </c>
      <c r="O87" s="64">
        <v>0</v>
      </c>
      <c r="P87" s="64">
        <v>0.8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1285</v>
      </c>
      <c r="B88" s="64">
        <v>3.33</v>
      </c>
      <c r="C88" s="64">
        <v>7.54</v>
      </c>
      <c r="D88" s="64">
        <v>6.61</v>
      </c>
      <c r="E88" s="64">
        <v>5.5</v>
      </c>
      <c r="F88" s="64">
        <v>3.6</v>
      </c>
      <c r="G88" s="64">
        <v>19.97</v>
      </c>
      <c r="H88" s="64">
        <v>4.16</v>
      </c>
      <c r="I88" s="64">
        <v>2.2599999999999998</v>
      </c>
      <c r="J88" s="64">
        <v>0.2</v>
      </c>
      <c r="K88" s="64">
        <v>114.51</v>
      </c>
      <c r="L88" s="64">
        <v>26.85</v>
      </c>
      <c r="M88" s="64">
        <v>83.25</v>
      </c>
      <c r="N88" s="64">
        <v>26.1</v>
      </c>
      <c r="O88" s="64">
        <v>0</v>
      </c>
      <c r="P88" s="64">
        <v>0.7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5" t="s">
        <v>1286</v>
      </c>
      <c r="B89" s="64">
        <v>3.75</v>
      </c>
      <c r="C89" s="64">
        <v>7.8</v>
      </c>
      <c r="D89" s="64">
        <v>7.08</v>
      </c>
      <c r="E89" s="64">
        <v>5.29</v>
      </c>
      <c r="F89" s="64">
        <v>3.81</v>
      </c>
      <c r="G89" s="64">
        <v>19.97</v>
      </c>
      <c r="H89" s="64">
        <v>4.16</v>
      </c>
      <c r="I89" s="64">
        <v>2.7</v>
      </c>
      <c r="J89" s="64">
        <v>0.39</v>
      </c>
      <c r="K89" s="64">
        <v>16.07</v>
      </c>
      <c r="L89" s="64">
        <v>26.68</v>
      </c>
      <c r="M89" s="64">
        <v>84.75</v>
      </c>
      <c r="N89" s="64">
        <v>26.1</v>
      </c>
      <c r="O89" s="64">
        <v>0</v>
      </c>
      <c r="P89" s="64">
        <v>0.75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1287</v>
      </c>
      <c r="B90" s="64">
        <v>4.45</v>
      </c>
      <c r="C90" s="64">
        <v>7.95</v>
      </c>
      <c r="D90" s="64">
        <v>7.73</v>
      </c>
      <c r="E90" s="64">
        <v>5.45</v>
      </c>
      <c r="F90" s="64">
        <v>3.37</v>
      </c>
      <c r="G90" s="64">
        <v>19.97</v>
      </c>
      <c r="H90" s="64">
        <v>4.16</v>
      </c>
      <c r="I90" s="64">
        <v>3</v>
      </c>
      <c r="J90" s="64">
        <v>0.28000000000000003</v>
      </c>
      <c r="K90" s="64">
        <v>298.7</v>
      </c>
      <c r="L90" s="64">
        <v>26.57</v>
      </c>
      <c r="M90" s="64">
        <v>85.43</v>
      </c>
      <c r="N90" s="64">
        <v>26.2</v>
      </c>
      <c r="O90" s="64">
        <v>0</v>
      </c>
      <c r="P90" s="64">
        <v>0.82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5" t="s">
        <v>1288</v>
      </c>
      <c r="B91" s="64">
        <v>6.6</v>
      </c>
      <c r="C91" s="64">
        <v>8.6999999999999993</v>
      </c>
      <c r="D91" s="64">
        <v>9.84</v>
      </c>
      <c r="E91" s="64">
        <v>5.85</v>
      </c>
      <c r="F91" s="64">
        <v>3.16</v>
      </c>
      <c r="G91" s="64">
        <v>22.52</v>
      </c>
      <c r="H91" s="64">
        <v>16.510000000000002</v>
      </c>
      <c r="I91" s="64">
        <v>3.03</v>
      </c>
      <c r="J91" s="64">
        <v>7.0000000000000007E-2</v>
      </c>
      <c r="K91" s="64">
        <v>15.98</v>
      </c>
      <c r="L91" s="64">
        <v>26.32</v>
      </c>
      <c r="M91" s="64">
        <v>87.99</v>
      </c>
      <c r="N91" s="64">
        <v>26.2</v>
      </c>
      <c r="O91" s="64">
        <v>0</v>
      </c>
      <c r="P91" s="64">
        <v>1.32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5" t="s">
        <v>1289</v>
      </c>
      <c r="B92" s="64">
        <v>9.44</v>
      </c>
      <c r="C92" s="64">
        <v>9.08</v>
      </c>
      <c r="D92" s="64">
        <v>12.32</v>
      </c>
      <c r="E92" s="64">
        <v>6.16</v>
      </c>
      <c r="F92" s="64">
        <v>4.16</v>
      </c>
      <c r="G92" s="64">
        <v>23.61</v>
      </c>
      <c r="H92" s="64">
        <v>17.309999999999999</v>
      </c>
      <c r="I92" s="64">
        <v>4.09</v>
      </c>
      <c r="J92" s="64">
        <v>0.26</v>
      </c>
      <c r="K92" s="64">
        <v>337.72</v>
      </c>
      <c r="L92" s="64">
        <v>26.53</v>
      </c>
      <c r="M92" s="64">
        <v>86.73</v>
      </c>
      <c r="N92" s="64">
        <v>26</v>
      </c>
      <c r="O92" s="64">
        <v>0</v>
      </c>
      <c r="P92" s="64">
        <v>1.17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5" t="s">
        <v>1290</v>
      </c>
      <c r="B93" s="64">
        <v>12.93</v>
      </c>
      <c r="C93" s="64">
        <v>9.08</v>
      </c>
      <c r="D93" s="64">
        <v>15.11</v>
      </c>
      <c r="E93" s="64">
        <v>6.07</v>
      </c>
      <c r="F93" s="64">
        <v>3.51</v>
      </c>
      <c r="G93" s="64">
        <v>23.61</v>
      </c>
      <c r="H93" s="64">
        <v>17.309999999999999</v>
      </c>
      <c r="I93" s="64">
        <v>3.86</v>
      </c>
      <c r="J93" s="64">
        <v>0.52</v>
      </c>
      <c r="K93" s="64">
        <v>346.35</v>
      </c>
      <c r="L93" s="64">
        <v>26.33</v>
      </c>
      <c r="M93" s="64">
        <v>88.58</v>
      </c>
      <c r="N93" s="64">
        <v>26.1</v>
      </c>
      <c r="O93" s="64">
        <v>0</v>
      </c>
      <c r="P93" s="64">
        <v>1.31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1291</v>
      </c>
      <c r="B94" s="64">
        <v>16.989999999999998</v>
      </c>
      <c r="C94" s="64">
        <v>9.42</v>
      </c>
      <c r="D94" s="64">
        <v>18.54</v>
      </c>
      <c r="E94" s="64">
        <v>6.09</v>
      </c>
      <c r="F94" s="64">
        <v>3.43</v>
      </c>
      <c r="G94" s="64">
        <v>23.61</v>
      </c>
      <c r="H94" s="64">
        <v>17.309999999999999</v>
      </c>
      <c r="I94" s="64">
        <v>4.57</v>
      </c>
      <c r="J94" s="64">
        <v>0.48</v>
      </c>
      <c r="K94" s="64">
        <v>312.68</v>
      </c>
      <c r="L94" s="64">
        <v>25.95</v>
      </c>
      <c r="M94" s="64">
        <v>95.13</v>
      </c>
      <c r="N94" s="64">
        <v>26.3</v>
      </c>
      <c r="O94" s="64">
        <v>0</v>
      </c>
      <c r="P94" s="64">
        <v>1.32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1292</v>
      </c>
      <c r="B95" s="64">
        <v>21.32</v>
      </c>
      <c r="C95" s="64">
        <v>9.1</v>
      </c>
      <c r="D95" s="64">
        <v>21.85</v>
      </c>
      <c r="E95" s="64">
        <v>6.62</v>
      </c>
      <c r="F95" s="64">
        <v>4.13</v>
      </c>
      <c r="G95" s="64">
        <v>36.14</v>
      </c>
      <c r="H95" s="64">
        <v>14.34</v>
      </c>
      <c r="I95" s="64">
        <v>5.04</v>
      </c>
      <c r="J95" s="64">
        <v>0.59</v>
      </c>
      <c r="K95" s="64">
        <v>348.44</v>
      </c>
      <c r="L95" s="64">
        <v>25.75</v>
      </c>
      <c r="M95" s="64">
        <v>94.39</v>
      </c>
      <c r="N95" s="64">
        <v>26.3</v>
      </c>
      <c r="O95" s="64">
        <v>0</v>
      </c>
      <c r="P95" s="64">
        <v>1.32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1293</v>
      </c>
      <c r="B96" s="64">
        <v>24.33</v>
      </c>
      <c r="C96" s="64">
        <v>9.0399999999999991</v>
      </c>
      <c r="D96" s="64">
        <v>24.24</v>
      </c>
      <c r="E96" s="64">
        <v>6.72</v>
      </c>
      <c r="F96" s="64">
        <v>3.55</v>
      </c>
      <c r="G96" s="64">
        <v>41.51</v>
      </c>
      <c r="H96" s="64">
        <v>14.15</v>
      </c>
      <c r="I96" s="64">
        <v>5.92</v>
      </c>
      <c r="J96" s="64">
        <v>0.34</v>
      </c>
      <c r="K96" s="64">
        <v>346.86</v>
      </c>
      <c r="L96" s="64">
        <v>25.45</v>
      </c>
      <c r="M96" s="64">
        <v>94.95</v>
      </c>
      <c r="N96" s="64">
        <v>26.2</v>
      </c>
      <c r="O96" s="64">
        <v>0</v>
      </c>
      <c r="P96" s="64">
        <v>1.38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1294</v>
      </c>
      <c r="B97" s="64">
        <v>26.16</v>
      </c>
      <c r="C97" s="64">
        <v>8.17</v>
      </c>
      <c r="D97" s="64">
        <v>25.25</v>
      </c>
      <c r="E97" s="64">
        <v>6.71</v>
      </c>
      <c r="F97" s="64">
        <v>3.68</v>
      </c>
      <c r="G97" s="64">
        <v>41.51</v>
      </c>
      <c r="H97" s="64">
        <v>14.15</v>
      </c>
      <c r="I97" s="64">
        <v>5.75</v>
      </c>
      <c r="J97" s="64">
        <v>0.47</v>
      </c>
      <c r="K97" s="64">
        <v>279.10000000000002</v>
      </c>
      <c r="L97" s="64">
        <v>25.44</v>
      </c>
      <c r="M97" s="64">
        <v>95.53</v>
      </c>
      <c r="N97" s="64">
        <v>26.2</v>
      </c>
      <c r="O97" s="64">
        <v>0</v>
      </c>
      <c r="P97" s="64">
        <v>1.88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1295</v>
      </c>
      <c r="B98" s="64">
        <v>28.77</v>
      </c>
      <c r="C98" s="64">
        <v>7.87</v>
      </c>
      <c r="D98" s="64">
        <v>27.18</v>
      </c>
      <c r="E98" s="64">
        <v>6.49</v>
      </c>
      <c r="F98" s="64">
        <v>3.77</v>
      </c>
      <c r="G98" s="64">
        <v>41.51</v>
      </c>
      <c r="H98" s="64">
        <v>14.15</v>
      </c>
      <c r="I98" s="64">
        <v>5.27</v>
      </c>
      <c r="J98" s="64">
        <v>0.55000000000000004</v>
      </c>
      <c r="K98" s="64">
        <v>316.8</v>
      </c>
      <c r="L98" s="64">
        <v>25.36</v>
      </c>
      <c r="M98" s="64">
        <v>97.75</v>
      </c>
      <c r="N98" s="64">
        <v>26.2</v>
      </c>
      <c r="O98" s="64">
        <v>0</v>
      </c>
      <c r="P98" s="64">
        <v>1.84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5" t="s">
        <v>1296</v>
      </c>
      <c r="B99" s="64">
        <v>31.18</v>
      </c>
      <c r="C99" s="64">
        <v>7.86</v>
      </c>
      <c r="D99" s="64">
        <v>29.11</v>
      </c>
      <c r="E99" s="64">
        <v>6.67</v>
      </c>
      <c r="F99" s="64">
        <v>3.68</v>
      </c>
      <c r="G99" s="64">
        <v>46.44</v>
      </c>
      <c r="H99" s="64">
        <v>15.74</v>
      </c>
      <c r="I99" s="64">
        <v>6.64</v>
      </c>
      <c r="J99" s="64">
        <v>0.16</v>
      </c>
      <c r="K99" s="64">
        <v>101.02</v>
      </c>
      <c r="L99" s="64">
        <v>25.14</v>
      </c>
      <c r="M99" s="64">
        <v>97.28</v>
      </c>
      <c r="N99" s="64">
        <v>26.2</v>
      </c>
      <c r="O99" s="64">
        <v>0</v>
      </c>
      <c r="P99" s="64">
        <v>1.68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1297</v>
      </c>
      <c r="B100" s="64">
        <v>33.01</v>
      </c>
      <c r="C100" s="64">
        <v>8.0500000000000007</v>
      </c>
      <c r="D100" s="64">
        <v>30.68</v>
      </c>
      <c r="E100" s="64">
        <v>6.22</v>
      </c>
      <c r="F100" s="64">
        <v>3.5</v>
      </c>
      <c r="G100" s="64">
        <v>48.55</v>
      </c>
      <c r="H100" s="64">
        <v>15.9</v>
      </c>
      <c r="I100" s="64">
        <v>6.25</v>
      </c>
      <c r="J100" s="64">
        <v>0.27</v>
      </c>
      <c r="K100" s="64">
        <v>85.68</v>
      </c>
      <c r="L100" s="64">
        <v>25.33</v>
      </c>
      <c r="M100" s="64">
        <v>95.56</v>
      </c>
      <c r="N100" s="64">
        <v>25.9</v>
      </c>
      <c r="O100" s="64">
        <v>0</v>
      </c>
      <c r="P100" s="64">
        <v>1.52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1298</v>
      </c>
      <c r="B101" s="64">
        <v>35.22</v>
      </c>
      <c r="C101" s="64">
        <v>8.1</v>
      </c>
      <c r="D101" s="64">
        <v>32.479999999999997</v>
      </c>
      <c r="E101" s="64">
        <v>6.53</v>
      </c>
      <c r="F101" s="64">
        <v>3.65</v>
      </c>
      <c r="G101" s="64">
        <v>48.55</v>
      </c>
      <c r="H101" s="64">
        <v>15.9</v>
      </c>
      <c r="I101" s="64">
        <v>7.93</v>
      </c>
      <c r="J101" s="64">
        <v>0.35</v>
      </c>
      <c r="K101" s="64">
        <v>122.16</v>
      </c>
      <c r="L101" s="64">
        <v>25.58</v>
      </c>
      <c r="M101" s="64">
        <v>92.89</v>
      </c>
      <c r="N101" s="64">
        <v>26.1</v>
      </c>
      <c r="O101" s="64">
        <v>0</v>
      </c>
      <c r="P101" s="64">
        <v>1.25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5" t="s">
        <v>1299</v>
      </c>
      <c r="B102" s="64">
        <v>35.880000000000003</v>
      </c>
      <c r="C102" s="64">
        <v>8.3000000000000007</v>
      </c>
      <c r="D102" s="64">
        <v>33.11</v>
      </c>
      <c r="E102" s="64">
        <v>6.61</v>
      </c>
      <c r="F102" s="64">
        <v>3.47</v>
      </c>
      <c r="G102" s="64">
        <v>48.55</v>
      </c>
      <c r="H102" s="64">
        <v>15.9</v>
      </c>
      <c r="I102" s="64">
        <v>6.77</v>
      </c>
      <c r="J102" s="64">
        <v>0.38</v>
      </c>
      <c r="K102" s="64">
        <v>238.27</v>
      </c>
      <c r="L102" s="64">
        <v>25.61</v>
      </c>
      <c r="M102" s="64">
        <v>92.74</v>
      </c>
      <c r="N102" s="64">
        <v>26.1</v>
      </c>
      <c r="O102" s="64">
        <v>0</v>
      </c>
      <c r="P102" s="64">
        <v>1.0900000000000001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5" t="s">
        <v>1300</v>
      </c>
      <c r="B103" s="64">
        <v>35.82</v>
      </c>
      <c r="C103" s="64">
        <v>8.26</v>
      </c>
      <c r="D103" s="64">
        <v>33.04</v>
      </c>
      <c r="E103" s="64">
        <v>6.24</v>
      </c>
      <c r="F103" s="64">
        <v>3.15</v>
      </c>
      <c r="G103" s="64">
        <v>48.01</v>
      </c>
      <c r="H103" s="64">
        <v>9.08</v>
      </c>
      <c r="I103" s="64">
        <v>4.75</v>
      </c>
      <c r="J103" s="64">
        <v>0.49</v>
      </c>
      <c r="K103" s="64">
        <v>321.07</v>
      </c>
      <c r="L103" s="64">
        <v>25.38</v>
      </c>
      <c r="M103" s="64">
        <v>98.5</v>
      </c>
      <c r="N103" s="64">
        <v>26.3</v>
      </c>
      <c r="O103" s="64">
        <v>0</v>
      </c>
      <c r="P103" s="64">
        <v>1.67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1301</v>
      </c>
      <c r="B104" s="64">
        <v>36.94</v>
      </c>
      <c r="C104" s="64">
        <v>8.68</v>
      </c>
      <c r="D104" s="64">
        <v>34.15</v>
      </c>
      <c r="E104" s="64">
        <v>5.46</v>
      </c>
      <c r="F104" s="64">
        <v>3.68</v>
      </c>
      <c r="G104" s="64">
        <v>47.78</v>
      </c>
      <c r="H104" s="64">
        <v>8.64</v>
      </c>
      <c r="I104" s="64">
        <v>4.42</v>
      </c>
      <c r="J104" s="64">
        <v>0.44</v>
      </c>
      <c r="K104" s="64">
        <v>322.39</v>
      </c>
      <c r="L104" s="64">
        <v>25.09</v>
      </c>
      <c r="M104" s="64">
        <v>99.19</v>
      </c>
      <c r="N104" s="64">
        <v>26.3</v>
      </c>
      <c r="O104" s="64">
        <v>0</v>
      </c>
      <c r="P104" s="64">
        <v>1.36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1.46</v>
      </c>
      <c r="C106" s="67">
        <f>MIN(C9:C104)</f>
        <v>4.49</v>
      </c>
      <c r="D106" s="67">
        <f t="shared" ref="D106:Q106" si="0">MIN(D9:D104)</f>
        <v>4.1900000000000004</v>
      </c>
      <c r="E106" s="67">
        <f t="shared" si="0"/>
        <v>4.2</v>
      </c>
      <c r="F106" s="67">
        <f t="shared" si="0"/>
        <v>2.93</v>
      </c>
      <c r="G106" s="67">
        <f t="shared" si="0"/>
        <v>8.16</v>
      </c>
      <c r="H106" s="67">
        <f t="shared" si="0"/>
        <v>0.06</v>
      </c>
      <c r="I106" s="67">
        <f t="shared" si="0"/>
        <v>1.18</v>
      </c>
      <c r="J106" s="67">
        <f t="shared" si="0"/>
        <v>0.06</v>
      </c>
      <c r="K106" s="67">
        <f t="shared" si="0"/>
        <v>0.01</v>
      </c>
      <c r="L106" s="67">
        <f t="shared" si="0"/>
        <v>23.24</v>
      </c>
      <c r="M106" s="67">
        <f t="shared" si="0"/>
        <v>59.17</v>
      </c>
      <c r="N106" s="67">
        <f t="shared" si="0"/>
        <v>25.4</v>
      </c>
      <c r="O106" s="67">
        <f t="shared" si="0"/>
        <v>0</v>
      </c>
      <c r="P106" s="67">
        <f t="shared" si="0"/>
        <v>0.3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89.8</v>
      </c>
      <c r="C107" s="66">
        <f t="shared" ref="C107:Q107" si="1">MAX(C9:C104)</f>
        <v>9.61</v>
      </c>
      <c r="D107" s="66">
        <f t="shared" si="1"/>
        <v>77.03</v>
      </c>
      <c r="E107" s="66">
        <f t="shared" si="1"/>
        <v>7.26</v>
      </c>
      <c r="F107" s="66">
        <f t="shared" si="1"/>
        <v>4.79</v>
      </c>
      <c r="G107" s="66">
        <f t="shared" si="1"/>
        <v>85.66</v>
      </c>
      <c r="H107" s="66">
        <f t="shared" si="1"/>
        <v>36.08</v>
      </c>
      <c r="I107" s="66">
        <f t="shared" si="1"/>
        <v>11.13</v>
      </c>
      <c r="J107" s="66">
        <f t="shared" si="1"/>
        <v>1.66</v>
      </c>
      <c r="K107" s="66">
        <f t="shared" si="1"/>
        <v>350.61</v>
      </c>
      <c r="L107" s="66">
        <f t="shared" si="1"/>
        <v>31.88</v>
      </c>
      <c r="M107" s="66">
        <f t="shared" si="1"/>
        <v>102.73</v>
      </c>
      <c r="N107" s="66">
        <f t="shared" si="1"/>
        <v>990.9</v>
      </c>
      <c r="O107" s="66">
        <f t="shared" si="1"/>
        <v>0</v>
      </c>
      <c r="P107" s="66">
        <f t="shared" si="1"/>
        <v>2.19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26.335208333333323</v>
      </c>
      <c r="C108" s="67">
        <f t="shared" ref="C108:Q108" si="2">AVERAGE(C9:C104)</f>
        <v>6.697916666666667</v>
      </c>
      <c r="D108" s="67">
        <f t="shared" si="2"/>
        <v>24.618541666666658</v>
      </c>
      <c r="E108" s="67">
        <f t="shared" si="2"/>
        <v>5.502395833333332</v>
      </c>
      <c r="F108" s="67">
        <f t="shared" si="2"/>
        <v>3.7684375000000006</v>
      </c>
      <c r="G108" s="67">
        <f t="shared" si="2"/>
        <v>31.695937500000014</v>
      </c>
      <c r="H108" s="67">
        <f t="shared" si="2"/>
        <v>8.803191489361696</v>
      </c>
      <c r="I108" s="67">
        <f t="shared" si="2"/>
        <v>4.274895833333332</v>
      </c>
      <c r="J108" s="67">
        <f t="shared" si="2"/>
        <v>0.66406250000000011</v>
      </c>
      <c r="K108" s="67">
        <f t="shared" si="2"/>
        <v>171.85364583333339</v>
      </c>
      <c r="L108" s="67">
        <f t="shared" si="2"/>
        <v>27.32802083333333</v>
      </c>
      <c r="M108" s="67">
        <f t="shared" si="2"/>
        <v>82.221250000000012</v>
      </c>
      <c r="N108" s="67">
        <f t="shared" si="2"/>
        <v>207.80312500000002</v>
      </c>
      <c r="O108" s="67">
        <f t="shared" si="2"/>
        <v>0</v>
      </c>
      <c r="P108" s="67">
        <f t="shared" si="2"/>
        <v>0.73864583333333378</v>
      </c>
      <c r="Q108" s="67">
        <f t="shared" si="2"/>
        <v>9.619062500000009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25.713008011681019</v>
      </c>
      <c r="C109" s="67">
        <f t="shared" ref="C109:Q109" si="3">STDEV(C9:C104)</f>
        <v>1.207362429052572</v>
      </c>
      <c r="D109" s="67">
        <f t="shared" si="3"/>
        <v>20.790504106653422</v>
      </c>
      <c r="E109" s="67">
        <f t="shared" si="3"/>
        <v>0.65648144206210024</v>
      </c>
      <c r="F109" s="67">
        <f t="shared" si="3"/>
        <v>0.45316507536030448</v>
      </c>
      <c r="G109" s="67">
        <f t="shared" si="3"/>
        <v>22.737072883780989</v>
      </c>
      <c r="H109" s="67">
        <f t="shared" si="3"/>
        <v>10.093056722616213</v>
      </c>
      <c r="I109" s="67">
        <f t="shared" si="3"/>
        <v>2.0240787350983163</v>
      </c>
      <c r="J109" s="67">
        <f t="shared" si="3"/>
        <v>0.40455453896848037</v>
      </c>
      <c r="K109" s="67">
        <f t="shared" si="3"/>
        <v>90.139846438973137</v>
      </c>
      <c r="L109" s="67">
        <f t="shared" si="3"/>
        <v>2.8770041508089865</v>
      </c>
      <c r="M109" s="67">
        <f t="shared" si="3"/>
        <v>17.214965903324547</v>
      </c>
      <c r="N109" s="67">
        <f t="shared" si="3"/>
        <v>296.7927820278245</v>
      </c>
      <c r="O109" s="67">
        <f t="shared" si="3"/>
        <v>0</v>
      </c>
      <c r="P109" s="67">
        <f t="shared" si="3"/>
        <v>0.47576778898438199</v>
      </c>
      <c r="Q109" s="67">
        <f t="shared" si="3"/>
        <v>2.0778436443886744E-2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1302</v>
      </c>
      <c r="B9" s="64">
        <v>37.74</v>
      </c>
      <c r="C9" s="64">
        <v>8.76</v>
      </c>
      <c r="D9" s="64">
        <v>34.840000000000003</v>
      </c>
      <c r="E9" s="64">
        <v>5.44</v>
      </c>
      <c r="F9" s="64">
        <v>4.21</v>
      </c>
      <c r="G9" s="64">
        <v>47.78</v>
      </c>
      <c r="H9" s="64">
        <v>8.64</v>
      </c>
      <c r="I9" s="64">
        <v>6.89</v>
      </c>
      <c r="J9" s="64">
        <v>0.35</v>
      </c>
      <c r="K9" s="64">
        <v>23.59</v>
      </c>
      <c r="L9" s="64">
        <v>25.15</v>
      </c>
      <c r="M9" s="64">
        <v>95.46</v>
      </c>
      <c r="N9" s="64">
        <v>26</v>
      </c>
      <c r="O9" s="64">
        <v>0</v>
      </c>
      <c r="P9" s="64">
        <v>1.1499999999999999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1303</v>
      </c>
      <c r="B10" s="64">
        <v>37.14</v>
      </c>
      <c r="C10" s="64">
        <v>8.5299999999999994</v>
      </c>
      <c r="D10" s="64">
        <v>34.24</v>
      </c>
      <c r="E10" s="64">
        <v>5.32</v>
      </c>
      <c r="F10" s="64">
        <v>4.08</v>
      </c>
      <c r="G10" s="64">
        <v>47.78</v>
      </c>
      <c r="H10" s="64">
        <v>8.64</v>
      </c>
      <c r="I10" s="64">
        <v>6.05</v>
      </c>
      <c r="J10" s="64">
        <v>7.0000000000000007E-2</v>
      </c>
      <c r="K10" s="64">
        <v>288.19</v>
      </c>
      <c r="L10" s="64">
        <v>25.38</v>
      </c>
      <c r="M10" s="64">
        <v>91.11</v>
      </c>
      <c r="N10" s="64">
        <v>26.1</v>
      </c>
      <c r="O10" s="64">
        <v>0</v>
      </c>
      <c r="P10" s="64">
        <v>1.08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1304</v>
      </c>
      <c r="B11" s="64">
        <v>35.89</v>
      </c>
      <c r="C11" s="64">
        <v>8.3800000000000008</v>
      </c>
      <c r="D11" s="64">
        <v>33.159999999999997</v>
      </c>
      <c r="E11" s="64">
        <v>5.45</v>
      </c>
      <c r="F11" s="64">
        <v>3.91</v>
      </c>
      <c r="G11" s="64">
        <v>48.85</v>
      </c>
      <c r="H11" s="64">
        <v>23.69</v>
      </c>
      <c r="I11" s="64">
        <v>4.16</v>
      </c>
      <c r="J11" s="64">
        <v>0.49</v>
      </c>
      <c r="K11" s="64">
        <v>312.89</v>
      </c>
      <c r="L11" s="64">
        <v>25.11</v>
      </c>
      <c r="M11" s="64">
        <v>97.71</v>
      </c>
      <c r="N11" s="64">
        <v>26.4</v>
      </c>
      <c r="O11" s="64">
        <v>0</v>
      </c>
      <c r="P11" s="64">
        <v>1.23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5" t="s">
        <v>1305</v>
      </c>
      <c r="B12" s="64">
        <v>35.700000000000003</v>
      </c>
      <c r="C12" s="64">
        <v>8.41</v>
      </c>
      <c r="D12" s="64">
        <v>33.020000000000003</v>
      </c>
      <c r="E12" s="64">
        <v>5.49</v>
      </c>
      <c r="F12" s="64">
        <v>3.57</v>
      </c>
      <c r="G12" s="64">
        <v>49.31</v>
      </c>
      <c r="H12" s="64">
        <v>24.66</v>
      </c>
      <c r="I12" s="64">
        <v>4.51</v>
      </c>
      <c r="J12" s="64">
        <v>0.1</v>
      </c>
      <c r="K12" s="64">
        <v>53.12</v>
      </c>
      <c r="L12" s="64">
        <v>24.83</v>
      </c>
      <c r="M12" s="64">
        <v>100.81</v>
      </c>
      <c r="N12" s="64">
        <v>26.2</v>
      </c>
      <c r="O12" s="64">
        <v>0</v>
      </c>
      <c r="P12" s="64">
        <v>1.1100000000000001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1306</v>
      </c>
      <c r="B13" s="64">
        <v>35.11</v>
      </c>
      <c r="C13" s="64">
        <v>8.18</v>
      </c>
      <c r="D13" s="64">
        <v>32.43</v>
      </c>
      <c r="E13" s="64">
        <v>5.4</v>
      </c>
      <c r="F13" s="64">
        <v>4.5599999999999996</v>
      </c>
      <c r="G13" s="64">
        <v>49.31</v>
      </c>
      <c r="H13" s="64">
        <v>24.66</v>
      </c>
      <c r="I13" s="64">
        <v>5.69</v>
      </c>
      <c r="J13" s="64">
        <v>0.44</v>
      </c>
      <c r="K13" s="64">
        <v>299.23</v>
      </c>
      <c r="L13" s="64">
        <v>24.82</v>
      </c>
      <c r="M13" s="64">
        <v>99.98</v>
      </c>
      <c r="N13" s="64">
        <v>26.2</v>
      </c>
      <c r="O13" s="64">
        <v>0</v>
      </c>
      <c r="P13" s="64">
        <v>1.05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1307</v>
      </c>
      <c r="B14" s="64">
        <v>35.119999999999997</v>
      </c>
      <c r="C14" s="64">
        <v>7.78</v>
      </c>
      <c r="D14" s="64">
        <v>32.229999999999997</v>
      </c>
      <c r="E14" s="64">
        <v>5.15</v>
      </c>
      <c r="F14" s="64">
        <v>3.87</v>
      </c>
      <c r="G14" s="64">
        <v>49.31</v>
      </c>
      <c r="H14" s="64">
        <v>24.66</v>
      </c>
      <c r="I14" s="64">
        <v>5.82</v>
      </c>
      <c r="J14" s="64">
        <v>0.25</v>
      </c>
      <c r="K14" s="64">
        <v>132.55000000000001</v>
      </c>
      <c r="L14" s="64">
        <v>24.64</v>
      </c>
      <c r="M14" s="64">
        <v>102.41</v>
      </c>
      <c r="N14" s="64">
        <v>26.2</v>
      </c>
      <c r="O14" s="64">
        <v>0</v>
      </c>
      <c r="P14" s="64">
        <v>1.06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5" t="s">
        <v>1308</v>
      </c>
      <c r="B15" s="64">
        <v>35.01</v>
      </c>
      <c r="C15" s="64">
        <v>7.74</v>
      </c>
      <c r="D15" s="64">
        <v>32.119999999999997</v>
      </c>
      <c r="E15" s="64">
        <v>5.24</v>
      </c>
      <c r="F15" s="64">
        <v>4.09</v>
      </c>
      <c r="G15" s="64">
        <v>50.41</v>
      </c>
      <c r="H15" s="64">
        <v>14.52</v>
      </c>
      <c r="I15" s="64">
        <v>5.58</v>
      </c>
      <c r="J15" s="64">
        <v>0.27</v>
      </c>
      <c r="K15" s="64">
        <v>339.08</v>
      </c>
      <c r="L15" s="64">
        <v>24.49</v>
      </c>
      <c r="M15" s="64">
        <v>102.49</v>
      </c>
      <c r="N15" s="64">
        <v>26.1</v>
      </c>
      <c r="O15" s="64">
        <v>0</v>
      </c>
      <c r="P15" s="64">
        <v>1.07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5" t="s">
        <v>1309</v>
      </c>
      <c r="B16" s="64">
        <v>35.81</v>
      </c>
      <c r="C16" s="64">
        <v>7.19</v>
      </c>
      <c r="D16" s="64">
        <v>32.479999999999997</v>
      </c>
      <c r="E16" s="64">
        <v>5.51</v>
      </c>
      <c r="F16" s="64">
        <v>4</v>
      </c>
      <c r="G16" s="64">
        <v>50.87</v>
      </c>
      <c r="H16" s="64">
        <v>13.7</v>
      </c>
      <c r="I16" s="64">
        <v>5.42</v>
      </c>
      <c r="J16" s="64">
        <v>0.17</v>
      </c>
      <c r="K16" s="64">
        <v>133.78</v>
      </c>
      <c r="L16" s="64">
        <v>24.27</v>
      </c>
      <c r="M16" s="64">
        <v>102.64</v>
      </c>
      <c r="N16" s="64">
        <v>26.1</v>
      </c>
      <c r="O16" s="64">
        <v>0</v>
      </c>
      <c r="P16" s="64">
        <v>1.02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1310</v>
      </c>
      <c r="B17" s="64">
        <v>35.69</v>
      </c>
      <c r="C17" s="64">
        <v>6.64</v>
      </c>
      <c r="D17" s="64">
        <v>32.08</v>
      </c>
      <c r="E17" s="64">
        <v>5.03</v>
      </c>
      <c r="F17" s="64">
        <v>3.05</v>
      </c>
      <c r="G17" s="64">
        <v>50.87</v>
      </c>
      <c r="H17" s="64">
        <v>13.7</v>
      </c>
      <c r="I17" s="64">
        <v>5.0199999999999996</v>
      </c>
      <c r="J17" s="64">
        <v>0.54</v>
      </c>
      <c r="K17" s="64">
        <v>193.68</v>
      </c>
      <c r="L17" s="64">
        <v>24.4</v>
      </c>
      <c r="M17" s="64">
        <v>102.66</v>
      </c>
      <c r="N17" s="64">
        <v>26</v>
      </c>
      <c r="O17" s="64">
        <v>0</v>
      </c>
      <c r="P17" s="64">
        <v>0.63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5" t="s">
        <v>1311</v>
      </c>
      <c r="B18" s="64">
        <v>35.17</v>
      </c>
      <c r="C18" s="64">
        <v>6.1</v>
      </c>
      <c r="D18" s="64">
        <v>31.39</v>
      </c>
      <c r="E18" s="64">
        <v>4.84</v>
      </c>
      <c r="F18" s="64">
        <v>3.37</v>
      </c>
      <c r="G18" s="64">
        <v>50.87</v>
      </c>
      <c r="H18" s="64">
        <v>13.7</v>
      </c>
      <c r="I18" s="64">
        <v>4.6900000000000004</v>
      </c>
      <c r="J18" s="64">
        <v>0.3</v>
      </c>
      <c r="K18" s="64">
        <v>274.95999999999998</v>
      </c>
      <c r="L18" s="64">
        <v>24.5</v>
      </c>
      <c r="M18" s="64">
        <v>102.67</v>
      </c>
      <c r="N18" s="64">
        <v>26.2</v>
      </c>
      <c r="O18" s="64">
        <v>0</v>
      </c>
      <c r="P18" s="64">
        <v>0.71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5" t="s">
        <v>1312</v>
      </c>
      <c r="B19" s="64">
        <v>34.71</v>
      </c>
      <c r="C19" s="64">
        <v>5.85</v>
      </c>
      <c r="D19" s="64">
        <v>30.88</v>
      </c>
      <c r="E19" s="64">
        <v>5.24</v>
      </c>
      <c r="F19" s="64">
        <v>3.09</v>
      </c>
      <c r="G19" s="64">
        <v>48.65</v>
      </c>
      <c r="H19" s="64">
        <v>21.5</v>
      </c>
      <c r="I19" s="64">
        <v>3.41</v>
      </c>
      <c r="J19" s="64">
        <v>0.51</v>
      </c>
      <c r="K19" s="64">
        <v>296.22000000000003</v>
      </c>
      <c r="L19" s="64">
        <v>24.18</v>
      </c>
      <c r="M19" s="64">
        <v>102.68</v>
      </c>
      <c r="N19" s="64">
        <v>26.2</v>
      </c>
      <c r="O19" s="64">
        <v>0</v>
      </c>
      <c r="P19" s="64">
        <v>0.65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1313</v>
      </c>
      <c r="B20" s="64">
        <v>34.25</v>
      </c>
      <c r="C20" s="64">
        <v>5.67</v>
      </c>
      <c r="D20" s="64">
        <v>30.43</v>
      </c>
      <c r="E20" s="64">
        <v>5.01</v>
      </c>
      <c r="F20" s="64">
        <v>3.11</v>
      </c>
      <c r="G20" s="64">
        <v>47.69</v>
      </c>
      <c r="H20" s="64">
        <v>22.53</v>
      </c>
      <c r="I20" s="64">
        <v>3.17</v>
      </c>
      <c r="J20" s="64">
        <v>0.54</v>
      </c>
      <c r="K20" s="64">
        <v>299.57</v>
      </c>
      <c r="L20" s="64">
        <v>24</v>
      </c>
      <c r="M20" s="64">
        <v>102.7</v>
      </c>
      <c r="N20" s="64">
        <v>26.2</v>
      </c>
      <c r="O20" s="64">
        <v>0</v>
      </c>
      <c r="P20" s="64">
        <v>0.67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5" t="s">
        <v>1314</v>
      </c>
      <c r="B21" s="64">
        <v>33.950000000000003</v>
      </c>
      <c r="C21" s="64">
        <v>5.32</v>
      </c>
      <c r="D21" s="64">
        <v>30</v>
      </c>
      <c r="E21" s="64">
        <v>5.15</v>
      </c>
      <c r="F21" s="64">
        <v>3.37</v>
      </c>
      <c r="G21" s="64">
        <v>47.69</v>
      </c>
      <c r="H21" s="64">
        <v>22.53</v>
      </c>
      <c r="I21" s="64">
        <v>3.1</v>
      </c>
      <c r="J21" s="64">
        <v>0.33</v>
      </c>
      <c r="K21" s="64">
        <v>238.14</v>
      </c>
      <c r="L21" s="64">
        <v>23.94</v>
      </c>
      <c r="M21" s="64">
        <v>102.66</v>
      </c>
      <c r="N21" s="64">
        <v>26</v>
      </c>
      <c r="O21" s="64">
        <v>0</v>
      </c>
      <c r="P21" s="64">
        <v>0.62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5" t="s">
        <v>1315</v>
      </c>
      <c r="B22" s="64">
        <v>33.270000000000003</v>
      </c>
      <c r="C22" s="64">
        <v>5.21</v>
      </c>
      <c r="D22" s="64">
        <v>29.4</v>
      </c>
      <c r="E22" s="64">
        <v>5.09</v>
      </c>
      <c r="F22" s="64">
        <v>3.21</v>
      </c>
      <c r="G22" s="64">
        <v>47.69</v>
      </c>
      <c r="H22" s="64">
        <v>22.53</v>
      </c>
      <c r="I22" s="64">
        <v>3.15</v>
      </c>
      <c r="J22" s="64">
        <v>0.47</v>
      </c>
      <c r="K22" s="64">
        <v>213.52</v>
      </c>
      <c r="L22" s="64">
        <v>24.44</v>
      </c>
      <c r="M22" s="64">
        <v>100.21</v>
      </c>
      <c r="N22" s="64">
        <v>25.8</v>
      </c>
      <c r="O22" s="64">
        <v>0</v>
      </c>
      <c r="P22" s="64">
        <v>0.47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1316</v>
      </c>
      <c r="B23" s="64">
        <v>32.270000000000003</v>
      </c>
      <c r="C23" s="64">
        <v>5.22</v>
      </c>
      <c r="D23" s="64">
        <v>28.61</v>
      </c>
      <c r="E23" s="64">
        <v>4.95</v>
      </c>
      <c r="F23" s="64">
        <v>3.47</v>
      </c>
      <c r="G23" s="64">
        <v>43.69</v>
      </c>
      <c r="H23" s="64">
        <v>13.77</v>
      </c>
      <c r="I23" s="64">
        <v>2.5499999999999998</v>
      </c>
      <c r="J23" s="64">
        <v>0.34</v>
      </c>
      <c r="K23" s="64">
        <v>257.72000000000003</v>
      </c>
      <c r="L23" s="64">
        <v>24.52</v>
      </c>
      <c r="M23" s="64">
        <v>100.71</v>
      </c>
      <c r="N23" s="64">
        <v>26</v>
      </c>
      <c r="O23" s="64">
        <v>0</v>
      </c>
      <c r="P23" s="64">
        <v>0.49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1317</v>
      </c>
      <c r="B24" s="64">
        <v>31.39</v>
      </c>
      <c r="C24" s="64">
        <v>5.38</v>
      </c>
      <c r="D24" s="64">
        <v>27.98</v>
      </c>
      <c r="E24" s="64">
        <v>4.4400000000000004</v>
      </c>
      <c r="F24" s="64">
        <v>3.11</v>
      </c>
      <c r="G24" s="64">
        <v>41.98</v>
      </c>
      <c r="H24" s="64">
        <v>13.07</v>
      </c>
      <c r="I24" s="64">
        <v>1.78</v>
      </c>
      <c r="J24" s="64">
        <v>0.36</v>
      </c>
      <c r="K24" s="64">
        <v>237.14</v>
      </c>
      <c r="L24" s="64">
        <v>24.6</v>
      </c>
      <c r="M24" s="64">
        <v>100.08</v>
      </c>
      <c r="N24" s="64">
        <v>26</v>
      </c>
      <c r="O24" s="64">
        <v>0</v>
      </c>
      <c r="P24" s="64">
        <v>0.54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1318</v>
      </c>
      <c r="B25" s="64">
        <v>30.17</v>
      </c>
      <c r="C25" s="64">
        <v>6.06</v>
      </c>
      <c r="D25" s="64">
        <v>27.35</v>
      </c>
      <c r="E25" s="64">
        <v>5.04</v>
      </c>
      <c r="F25" s="64">
        <v>3.47</v>
      </c>
      <c r="G25" s="64">
        <v>41.98</v>
      </c>
      <c r="H25" s="64">
        <v>13.07</v>
      </c>
      <c r="I25" s="64">
        <v>1.61</v>
      </c>
      <c r="J25" s="64">
        <v>0.46</v>
      </c>
      <c r="K25" s="64">
        <v>210.75</v>
      </c>
      <c r="L25" s="64">
        <v>24.55</v>
      </c>
      <c r="M25" s="64">
        <v>100.82</v>
      </c>
      <c r="N25" s="64">
        <v>26</v>
      </c>
      <c r="O25" s="64">
        <v>0</v>
      </c>
      <c r="P25" s="64">
        <v>0.63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1319</v>
      </c>
      <c r="B26" s="64">
        <v>28.77</v>
      </c>
      <c r="C26" s="64">
        <v>5.99</v>
      </c>
      <c r="D26" s="64">
        <v>26.2</v>
      </c>
      <c r="E26" s="64">
        <v>5.22</v>
      </c>
      <c r="F26" s="64">
        <v>3.75</v>
      </c>
      <c r="G26" s="64">
        <v>41.98</v>
      </c>
      <c r="H26" s="64">
        <v>13.07</v>
      </c>
      <c r="I26" s="64">
        <v>3.44</v>
      </c>
      <c r="J26" s="64">
        <v>0.6</v>
      </c>
      <c r="K26" s="64">
        <v>170.56</v>
      </c>
      <c r="L26" s="64">
        <v>24.69</v>
      </c>
      <c r="M26" s="64">
        <v>100.39</v>
      </c>
      <c r="N26" s="64">
        <v>25.9</v>
      </c>
      <c r="O26" s="64">
        <v>0</v>
      </c>
      <c r="P26" s="64">
        <v>0.66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5" t="s">
        <v>1320</v>
      </c>
      <c r="B27" s="64">
        <v>27.26</v>
      </c>
      <c r="C27" s="64">
        <v>6.03</v>
      </c>
      <c r="D27" s="64">
        <v>25.01</v>
      </c>
      <c r="E27" s="64">
        <v>5.08</v>
      </c>
      <c r="F27" s="64">
        <v>4.0999999999999996</v>
      </c>
      <c r="G27" s="64">
        <v>38.56</v>
      </c>
      <c r="H27" s="64">
        <v>29.56</v>
      </c>
      <c r="I27" s="64">
        <v>4.26</v>
      </c>
      <c r="J27" s="64">
        <v>0.13</v>
      </c>
      <c r="K27" s="64">
        <v>262.48</v>
      </c>
      <c r="L27" s="64">
        <v>24.59</v>
      </c>
      <c r="M27" s="64">
        <v>101.34</v>
      </c>
      <c r="N27" s="64">
        <v>26.2</v>
      </c>
      <c r="O27" s="64">
        <v>0</v>
      </c>
      <c r="P27" s="64">
        <v>0.62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5" t="s">
        <v>1321</v>
      </c>
      <c r="B28" s="64">
        <v>26.06</v>
      </c>
      <c r="C28" s="64">
        <v>6.04</v>
      </c>
      <c r="D28" s="64">
        <v>24.06</v>
      </c>
      <c r="E28" s="64">
        <v>4.9000000000000004</v>
      </c>
      <c r="F28" s="64">
        <v>3.54</v>
      </c>
      <c r="G28" s="64">
        <v>37.090000000000003</v>
      </c>
      <c r="H28" s="64">
        <v>30.89</v>
      </c>
      <c r="I28" s="64">
        <v>4.24</v>
      </c>
      <c r="J28" s="64">
        <v>0.27</v>
      </c>
      <c r="K28" s="64">
        <v>207.32</v>
      </c>
      <c r="L28" s="64">
        <v>24.35</v>
      </c>
      <c r="M28" s="64">
        <v>102.6</v>
      </c>
      <c r="N28" s="64">
        <v>26.2</v>
      </c>
      <c r="O28" s="64">
        <v>0</v>
      </c>
      <c r="P28" s="64">
        <v>0.56000000000000005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1322</v>
      </c>
      <c r="B29" s="64">
        <v>25.31</v>
      </c>
      <c r="C29" s="64">
        <v>6.17</v>
      </c>
      <c r="D29" s="64">
        <v>23.52</v>
      </c>
      <c r="E29" s="64">
        <v>4.7699999999999996</v>
      </c>
      <c r="F29" s="64">
        <v>3.37</v>
      </c>
      <c r="G29" s="64">
        <v>37.090000000000003</v>
      </c>
      <c r="H29" s="64">
        <v>30.89</v>
      </c>
      <c r="I29" s="64">
        <v>3.8</v>
      </c>
      <c r="J29" s="64">
        <v>0.54</v>
      </c>
      <c r="K29" s="64">
        <v>147.52000000000001</v>
      </c>
      <c r="L29" s="64">
        <v>24.41</v>
      </c>
      <c r="M29" s="64">
        <v>102.59</v>
      </c>
      <c r="N29" s="64">
        <v>26.1</v>
      </c>
      <c r="O29" s="64">
        <v>0</v>
      </c>
      <c r="P29" s="64">
        <v>0.57999999999999996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1323</v>
      </c>
      <c r="B30" s="64">
        <v>24.66</v>
      </c>
      <c r="C30" s="64">
        <v>6.23</v>
      </c>
      <c r="D30" s="64">
        <v>23.03</v>
      </c>
      <c r="E30" s="64">
        <v>5.08</v>
      </c>
      <c r="F30" s="64">
        <v>3.58</v>
      </c>
      <c r="G30" s="64">
        <v>37.090000000000003</v>
      </c>
      <c r="H30" s="64">
        <v>30.89</v>
      </c>
      <c r="I30" s="64">
        <v>2.86</v>
      </c>
      <c r="J30" s="64">
        <v>0.38</v>
      </c>
      <c r="K30" s="64">
        <v>141.79</v>
      </c>
      <c r="L30" s="64">
        <v>24.48</v>
      </c>
      <c r="M30" s="64">
        <v>102.29</v>
      </c>
      <c r="N30" s="64">
        <v>26.1</v>
      </c>
      <c r="O30" s="64">
        <v>0</v>
      </c>
      <c r="P30" s="64">
        <v>0.56999999999999995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5" t="s">
        <v>1324</v>
      </c>
      <c r="B31" s="64">
        <v>24.21</v>
      </c>
      <c r="C31" s="64">
        <v>6.38</v>
      </c>
      <c r="D31" s="64">
        <v>22.75</v>
      </c>
      <c r="E31" s="64">
        <v>4.95</v>
      </c>
      <c r="F31" s="64">
        <v>3.66</v>
      </c>
      <c r="G31" s="64">
        <v>32.630000000000003</v>
      </c>
      <c r="H31" s="64">
        <v>19.46</v>
      </c>
      <c r="I31" s="64">
        <v>2.73</v>
      </c>
      <c r="J31" s="64">
        <v>0.3</v>
      </c>
      <c r="K31" s="64">
        <v>291.36</v>
      </c>
      <c r="L31" s="64">
        <v>24.37</v>
      </c>
      <c r="M31" s="64">
        <v>102.48</v>
      </c>
      <c r="N31" s="64">
        <v>26.6</v>
      </c>
      <c r="O31" s="64">
        <v>0</v>
      </c>
      <c r="P31" s="64">
        <v>0.48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1325</v>
      </c>
      <c r="B32" s="64">
        <v>25</v>
      </c>
      <c r="C32" s="64">
        <v>6.47</v>
      </c>
      <c r="D32" s="64">
        <v>23.43</v>
      </c>
      <c r="E32" s="64">
        <v>4.9400000000000004</v>
      </c>
      <c r="F32" s="64">
        <v>3.46</v>
      </c>
      <c r="G32" s="64">
        <v>30.72</v>
      </c>
      <c r="H32" s="64">
        <v>18.53</v>
      </c>
      <c r="I32" s="64">
        <v>3.63</v>
      </c>
      <c r="J32" s="64">
        <v>0.28000000000000003</v>
      </c>
      <c r="K32" s="64">
        <v>263.43</v>
      </c>
      <c r="L32" s="64">
        <v>24.17</v>
      </c>
      <c r="M32" s="64">
        <v>102.66</v>
      </c>
      <c r="N32" s="64">
        <v>29.2</v>
      </c>
      <c r="O32" s="64">
        <v>0</v>
      </c>
      <c r="P32" s="64">
        <v>0.55000000000000004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1326</v>
      </c>
      <c r="B33" s="64">
        <v>26.44</v>
      </c>
      <c r="C33" s="64">
        <v>6.08</v>
      </c>
      <c r="D33" s="64">
        <v>24.38</v>
      </c>
      <c r="E33" s="64">
        <v>5.13</v>
      </c>
      <c r="F33" s="64">
        <v>3.56</v>
      </c>
      <c r="G33" s="64">
        <v>30.72</v>
      </c>
      <c r="H33" s="64">
        <v>18.53</v>
      </c>
      <c r="I33" s="64">
        <v>4.1100000000000003</v>
      </c>
      <c r="J33" s="64">
        <v>0.27</v>
      </c>
      <c r="K33" s="64">
        <v>218.18</v>
      </c>
      <c r="L33" s="64">
        <v>24.24</v>
      </c>
      <c r="M33" s="64">
        <v>102.66</v>
      </c>
      <c r="N33" s="64">
        <v>40.5</v>
      </c>
      <c r="O33" s="64">
        <v>0</v>
      </c>
      <c r="P33" s="64">
        <v>0.46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1327</v>
      </c>
      <c r="B34" s="64">
        <v>26.41</v>
      </c>
      <c r="C34" s="64">
        <v>5.55</v>
      </c>
      <c r="D34" s="64">
        <v>24.08</v>
      </c>
      <c r="E34" s="64">
        <v>4.8099999999999996</v>
      </c>
      <c r="F34" s="64">
        <v>3.79</v>
      </c>
      <c r="G34" s="64">
        <v>30.72</v>
      </c>
      <c r="H34" s="64">
        <v>18.53</v>
      </c>
      <c r="I34" s="64">
        <v>2.61</v>
      </c>
      <c r="J34" s="64">
        <v>0.42</v>
      </c>
      <c r="K34" s="64">
        <v>141.19</v>
      </c>
      <c r="L34" s="64">
        <v>24.49</v>
      </c>
      <c r="M34" s="64">
        <v>102.68</v>
      </c>
      <c r="N34" s="64">
        <v>62.8</v>
      </c>
      <c r="O34" s="64">
        <v>0</v>
      </c>
      <c r="P34" s="64">
        <v>0.4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1328</v>
      </c>
      <c r="B35" s="64">
        <v>25.91</v>
      </c>
      <c r="C35" s="64">
        <v>5.18</v>
      </c>
      <c r="D35" s="64">
        <v>23.48</v>
      </c>
      <c r="E35" s="64">
        <v>4.59</v>
      </c>
      <c r="F35" s="64">
        <v>3.58</v>
      </c>
      <c r="G35" s="64">
        <v>30.89</v>
      </c>
      <c r="H35" s="64">
        <v>12.29</v>
      </c>
      <c r="I35" s="64">
        <v>1.87</v>
      </c>
      <c r="J35" s="64">
        <v>0.96</v>
      </c>
      <c r="K35" s="64">
        <v>132.77000000000001</v>
      </c>
      <c r="L35" s="64">
        <v>24.88</v>
      </c>
      <c r="M35" s="64">
        <v>101.36</v>
      </c>
      <c r="N35" s="64">
        <v>110.7</v>
      </c>
      <c r="O35" s="64">
        <v>0</v>
      </c>
      <c r="P35" s="64">
        <v>0.41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1329</v>
      </c>
      <c r="B36" s="64">
        <v>25.2</v>
      </c>
      <c r="C36" s="64">
        <v>5.18</v>
      </c>
      <c r="D36" s="64">
        <v>22.91</v>
      </c>
      <c r="E36" s="64">
        <v>4.6100000000000003</v>
      </c>
      <c r="F36" s="64">
        <v>3.32</v>
      </c>
      <c r="G36" s="64">
        <v>30.96</v>
      </c>
      <c r="H36" s="64">
        <v>11.49</v>
      </c>
      <c r="I36" s="64">
        <v>1.54</v>
      </c>
      <c r="J36" s="64">
        <v>0.17</v>
      </c>
      <c r="K36" s="64">
        <v>2.3199999999999998</v>
      </c>
      <c r="L36" s="64">
        <v>26.15</v>
      </c>
      <c r="M36" s="64">
        <v>95.23</v>
      </c>
      <c r="N36" s="64">
        <v>156.80000000000001</v>
      </c>
      <c r="O36" s="64">
        <v>0</v>
      </c>
      <c r="P36" s="64">
        <v>0.38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1330</v>
      </c>
      <c r="B37" s="64">
        <v>24.55</v>
      </c>
      <c r="C37" s="64">
        <v>4.87</v>
      </c>
      <c r="D37" s="64">
        <v>22.23</v>
      </c>
      <c r="E37" s="64">
        <v>4.76</v>
      </c>
      <c r="F37" s="64">
        <v>5.15</v>
      </c>
      <c r="G37" s="64">
        <v>30.96</v>
      </c>
      <c r="H37" s="64">
        <v>11.49</v>
      </c>
      <c r="I37" s="64">
        <v>1.87</v>
      </c>
      <c r="J37" s="64">
        <v>0.13</v>
      </c>
      <c r="K37" s="64">
        <v>104.13</v>
      </c>
      <c r="L37" s="64">
        <v>27.58</v>
      </c>
      <c r="M37" s="64">
        <v>86.87</v>
      </c>
      <c r="N37" s="64">
        <v>217.4</v>
      </c>
      <c r="O37" s="64">
        <v>0</v>
      </c>
      <c r="P37" s="64">
        <v>0.43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1331</v>
      </c>
      <c r="B38" s="64">
        <v>23.71</v>
      </c>
      <c r="C38" s="64">
        <v>4.6500000000000004</v>
      </c>
      <c r="D38" s="64">
        <v>21.45</v>
      </c>
      <c r="E38" s="64">
        <v>4.83</v>
      </c>
      <c r="F38" s="64">
        <v>3.74</v>
      </c>
      <c r="G38" s="64">
        <v>30.96</v>
      </c>
      <c r="H38" s="64">
        <v>11.49</v>
      </c>
      <c r="I38" s="64">
        <v>1.8</v>
      </c>
      <c r="J38" s="64">
        <v>1.07</v>
      </c>
      <c r="K38" s="64">
        <v>130.55000000000001</v>
      </c>
      <c r="L38" s="64">
        <v>27.69</v>
      </c>
      <c r="M38" s="64">
        <v>87.19</v>
      </c>
      <c r="N38" s="64">
        <v>283.10000000000002</v>
      </c>
      <c r="O38" s="64">
        <v>0</v>
      </c>
      <c r="P38" s="64">
        <v>0.45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1332</v>
      </c>
      <c r="B39" s="64">
        <v>22.92</v>
      </c>
      <c r="C39" s="64">
        <v>4.5</v>
      </c>
      <c r="D39" s="64">
        <v>20.73</v>
      </c>
      <c r="E39" s="64">
        <v>4.7</v>
      </c>
      <c r="F39" s="64">
        <v>3.22</v>
      </c>
      <c r="G39" s="64">
        <v>27.15</v>
      </c>
      <c r="H39" s="64">
        <v>7.66</v>
      </c>
      <c r="I39" s="64">
        <v>2.0499999999999998</v>
      </c>
      <c r="J39" s="64">
        <v>0.38</v>
      </c>
      <c r="K39" s="64">
        <v>101.65</v>
      </c>
      <c r="L39" s="64">
        <v>29.18</v>
      </c>
      <c r="M39" s="64">
        <v>82.3</v>
      </c>
      <c r="N39" s="64">
        <v>335.7</v>
      </c>
      <c r="O39" s="64">
        <v>0</v>
      </c>
      <c r="P39" s="64">
        <v>0.48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1333</v>
      </c>
      <c r="B40" s="64">
        <v>22.31</v>
      </c>
      <c r="C40" s="64">
        <v>4.45</v>
      </c>
      <c r="D40" s="64">
        <v>20.22</v>
      </c>
      <c r="E40" s="64">
        <v>4.3099999999999996</v>
      </c>
      <c r="F40" s="64">
        <v>3.35</v>
      </c>
      <c r="G40" s="64">
        <v>25.51</v>
      </c>
      <c r="H40" s="64">
        <v>7.35</v>
      </c>
      <c r="I40" s="64">
        <v>2.62</v>
      </c>
      <c r="J40" s="64">
        <v>0.23</v>
      </c>
      <c r="K40" s="64">
        <v>46.99</v>
      </c>
      <c r="L40" s="64">
        <v>30.25</v>
      </c>
      <c r="M40" s="64">
        <v>77.53</v>
      </c>
      <c r="N40" s="64">
        <v>396.7</v>
      </c>
      <c r="O40" s="64">
        <v>0</v>
      </c>
      <c r="P40" s="64">
        <v>0.49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1334</v>
      </c>
      <c r="B41" s="64">
        <v>21.83</v>
      </c>
      <c r="C41" s="64">
        <v>5.03</v>
      </c>
      <c r="D41" s="64">
        <v>20.14</v>
      </c>
      <c r="E41" s="64">
        <v>4.79</v>
      </c>
      <c r="F41" s="64">
        <v>3.67</v>
      </c>
      <c r="G41" s="64">
        <v>25.51</v>
      </c>
      <c r="H41" s="64">
        <v>7.35</v>
      </c>
      <c r="I41" s="64">
        <v>3.09</v>
      </c>
      <c r="J41" s="64">
        <v>0.39</v>
      </c>
      <c r="K41" s="64">
        <v>342.57</v>
      </c>
      <c r="L41" s="64">
        <v>32.18</v>
      </c>
      <c r="M41" s="64">
        <v>68</v>
      </c>
      <c r="N41" s="64">
        <v>450.3</v>
      </c>
      <c r="O41" s="64">
        <v>0</v>
      </c>
      <c r="P41" s="64">
        <v>0.56999999999999995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1335</v>
      </c>
      <c r="B42" s="64">
        <v>20.95</v>
      </c>
      <c r="C42" s="64">
        <v>5.62</v>
      </c>
      <c r="D42" s="64">
        <v>19.73</v>
      </c>
      <c r="E42" s="64">
        <v>5.26</v>
      </c>
      <c r="F42" s="64">
        <v>3.56</v>
      </c>
      <c r="G42" s="64">
        <v>25.51</v>
      </c>
      <c r="H42" s="64">
        <v>7.35</v>
      </c>
      <c r="I42" s="64">
        <v>3.68</v>
      </c>
      <c r="J42" s="64">
        <v>0.24</v>
      </c>
      <c r="K42" s="64">
        <v>18.63</v>
      </c>
      <c r="L42" s="64">
        <v>32.54</v>
      </c>
      <c r="M42" s="64">
        <v>65.959999999999994</v>
      </c>
      <c r="N42" s="64">
        <v>508.7</v>
      </c>
      <c r="O42" s="64">
        <v>0</v>
      </c>
      <c r="P42" s="64">
        <v>0.53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15" t="s">
        <v>1336</v>
      </c>
      <c r="B43" s="64">
        <v>19.71</v>
      </c>
      <c r="C43" s="64">
        <v>5.99</v>
      </c>
      <c r="D43" s="64">
        <v>18.940000000000001</v>
      </c>
      <c r="E43" s="64">
        <v>5.18</v>
      </c>
      <c r="F43" s="64">
        <v>3.84</v>
      </c>
      <c r="G43" s="64">
        <v>23.49</v>
      </c>
      <c r="H43" s="64">
        <v>5.04</v>
      </c>
      <c r="I43" s="64">
        <v>4.78</v>
      </c>
      <c r="J43" s="64">
        <v>0.11</v>
      </c>
      <c r="K43" s="64">
        <v>43.68</v>
      </c>
      <c r="L43" s="64">
        <v>31.26</v>
      </c>
      <c r="M43" s="64">
        <v>73</v>
      </c>
      <c r="N43" s="64">
        <v>566.1</v>
      </c>
      <c r="O43" s="64">
        <v>0</v>
      </c>
      <c r="P43" s="64">
        <v>0.53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1337</v>
      </c>
      <c r="B44" s="64">
        <v>18.55</v>
      </c>
      <c r="C44" s="64">
        <v>5.98</v>
      </c>
      <c r="D44" s="64">
        <v>18</v>
      </c>
      <c r="E44" s="64">
        <v>4.99</v>
      </c>
      <c r="F44" s="64">
        <v>3.96</v>
      </c>
      <c r="G44" s="64">
        <v>22.62</v>
      </c>
      <c r="H44" s="64">
        <v>4.8499999999999996</v>
      </c>
      <c r="I44" s="64">
        <v>5.44</v>
      </c>
      <c r="J44" s="64">
        <v>0.31</v>
      </c>
      <c r="K44" s="64">
        <v>99.54</v>
      </c>
      <c r="L44" s="64">
        <v>30.72</v>
      </c>
      <c r="M44" s="64">
        <v>72.430000000000007</v>
      </c>
      <c r="N44" s="64">
        <v>621.4</v>
      </c>
      <c r="O44" s="64">
        <v>0</v>
      </c>
      <c r="P44" s="64">
        <v>0.51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1338</v>
      </c>
      <c r="B45" s="64">
        <v>17.03</v>
      </c>
      <c r="C45" s="64">
        <v>6.65</v>
      </c>
      <c r="D45" s="64">
        <v>17.13</v>
      </c>
      <c r="E45" s="64">
        <v>4.9800000000000004</v>
      </c>
      <c r="F45" s="64">
        <v>4</v>
      </c>
      <c r="G45" s="64">
        <v>22.62</v>
      </c>
      <c r="H45" s="64">
        <v>4.8499999999999996</v>
      </c>
      <c r="I45" s="64">
        <v>4.96</v>
      </c>
      <c r="J45" s="64">
        <v>0.42</v>
      </c>
      <c r="K45" s="64">
        <v>93.83</v>
      </c>
      <c r="L45" s="64">
        <v>30.62</v>
      </c>
      <c r="M45" s="64">
        <v>73.540000000000006</v>
      </c>
      <c r="N45" s="64">
        <v>666.5</v>
      </c>
      <c r="O45" s="64">
        <v>0</v>
      </c>
      <c r="P45" s="64">
        <v>0.47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1339</v>
      </c>
      <c r="B46" s="64">
        <v>15.58</v>
      </c>
      <c r="C46" s="64">
        <v>6.4</v>
      </c>
      <c r="D46" s="64">
        <v>15.84</v>
      </c>
      <c r="E46" s="64">
        <v>4.8499999999999996</v>
      </c>
      <c r="F46" s="64">
        <v>4.05</v>
      </c>
      <c r="G46" s="64">
        <v>22.62</v>
      </c>
      <c r="H46" s="64">
        <v>4.8499999999999996</v>
      </c>
      <c r="I46" s="64">
        <v>4.93</v>
      </c>
      <c r="J46" s="64">
        <v>0.46</v>
      </c>
      <c r="K46" s="64">
        <v>132.84</v>
      </c>
      <c r="L46" s="64">
        <v>31.15</v>
      </c>
      <c r="M46" s="64">
        <v>69.98</v>
      </c>
      <c r="N46" s="64">
        <v>713.2</v>
      </c>
      <c r="O46" s="64">
        <v>0</v>
      </c>
      <c r="P46" s="64">
        <v>0.47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1340</v>
      </c>
      <c r="B47" s="64">
        <v>14.08</v>
      </c>
      <c r="C47" s="64">
        <v>7.01</v>
      </c>
      <c r="D47" s="64">
        <v>14.96</v>
      </c>
      <c r="E47" s="64">
        <v>4.5999999999999996</v>
      </c>
      <c r="F47" s="64">
        <v>3.81</v>
      </c>
      <c r="G47" s="64">
        <v>20.57</v>
      </c>
      <c r="H47" s="64">
        <v>8.35</v>
      </c>
      <c r="I47" s="64">
        <v>4.57</v>
      </c>
      <c r="J47" s="64">
        <v>0.4</v>
      </c>
      <c r="K47" s="64">
        <v>102</v>
      </c>
      <c r="L47" s="64">
        <v>31.02</v>
      </c>
      <c r="M47" s="64">
        <v>70.39</v>
      </c>
      <c r="N47" s="64">
        <v>758.6</v>
      </c>
      <c r="O47" s="64">
        <v>0</v>
      </c>
      <c r="P47" s="64">
        <v>0.44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1341</v>
      </c>
      <c r="B48" s="64">
        <v>12.99</v>
      </c>
      <c r="C48" s="64">
        <v>6.7</v>
      </c>
      <c r="D48" s="64">
        <v>13.92</v>
      </c>
      <c r="E48" s="64">
        <v>4.8099999999999996</v>
      </c>
      <c r="F48" s="64">
        <v>3.77</v>
      </c>
      <c r="G48" s="64">
        <v>19.7</v>
      </c>
      <c r="H48" s="64">
        <v>8.6300000000000008</v>
      </c>
      <c r="I48" s="64">
        <v>4.8</v>
      </c>
      <c r="J48" s="64">
        <v>0.83</v>
      </c>
      <c r="K48" s="64">
        <v>122.34</v>
      </c>
      <c r="L48" s="64">
        <v>30.65</v>
      </c>
      <c r="M48" s="64">
        <v>68.62</v>
      </c>
      <c r="N48" s="64">
        <v>740.8</v>
      </c>
      <c r="O48" s="64">
        <v>0</v>
      </c>
      <c r="P48" s="64">
        <v>0.44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1342</v>
      </c>
      <c r="B49" s="64">
        <v>11.66</v>
      </c>
      <c r="C49" s="64">
        <v>7.32</v>
      </c>
      <c r="D49" s="64">
        <v>13.17</v>
      </c>
      <c r="E49" s="64">
        <v>4.9400000000000004</v>
      </c>
      <c r="F49" s="64">
        <v>3.71</v>
      </c>
      <c r="G49" s="64">
        <v>19.7</v>
      </c>
      <c r="H49" s="64">
        <v>8.6300000000000008</v>
      </c>
      <c r="I49" s="64">
        <v>4.8499999999999996</v>
      </c>
      <c r="J49" s="64">
        <v>0.62</v>
      </c>
      <c r="K49" s="64">
        <v>140.26</v>
      </c>
      <c r="L49" s="64">
        <v>31.76</v>
      </c>
      <c r="M49" s="64">
        <v>63.69</v>
      </c>
      <c r="N49" s="64">
        <v>849.1</v>
      </c>
      <c r="O49" s="64">
        <v>0</v>
      </c>
      <c r="P49" s="64">
        <v>0.45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1343</v>
      </c>
      <c r="B50" s="64">
        <v>10.55</v>
      </c>
      <c r="C50" s="64">
        <v>7.09</v>
      </c>
      <c r="D50" s="64">
        <v>12.16</v>
      </c>
      <c r="E50" s="64">
        <v>4.88</v>
      </c>
      <c r="F50" s="64">
        <v>3.33</v>
      </c>
      <c r="G50" s="64">
        <v>19.7</v>
      </c>
      <c r="H50" s="64">
        <v>8.6300000000000008</v>
      </c>
      <c r="I50" s="64">
        <v>5.13</v>
      </c>
      <c r="J50" s="64">
        <v>0.57999999999999996</v>
      </c>
      <c r="K50" s="64">
        <v>129.68</v>
      </c>
      <c r="L50" s="64">
        <v>31.12</v>
      </c>
      <c r="M50" s="64">
        <v>64.02</v>
      </c>
      <c r="N50" s="64">
        <v>314</v>
      </c>
      <c r="O50" s="64">
        <v>0</v>
      </c>
      <c r="P50" s="64">
        <v>0.44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1344</v>
      </c>
      <c r="B51" s="64">
        <v>9.91</v>
      </c>
      <c r="C51" s="64">
        <v>6.62</v>
      </c>
      <c r="D51" s="64">
        <v>11.41</v>
      </c>
      <c r="E51" s="64">
        <v>4.58</v>
      </c>
      <c r="F51" s="64">
        <v>3.64</v>
      </c>
      <c r="G51" s="64">
        <v>20.329999999999998</v>
      </c>
      <c r="H51" s="64">
        <v>6.29</v>
      </c>
      <c r="I51" s="64">
        <v>5.4</v>
      </c>
      <c r="J51" s="64">
        <v>0.6</v>
      </c>
      <c r="K51" s="64">
        <v>114.93</v>
      </c>
      <c r="L51" s="64">
        <v>31.01</v>
      </c>
      <c r="M51" s="64">
        <v>64.05</v>
      </c>
      <c r="N51" s="64">
        <v>776.2</v>
      </c>
      <c r="O51" s="64">
        <v>0</v>
      </c>
      <c r="P51" s="64">
        <v>0.4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1345</v>
      </c>
      <c r="B52" s="64">
        <v>9.4</v>
      </c>
      <c r="C52" s="64">
        <v>6.46</v>
      </c>
      <c r="D52" s="64">
        <v>10.92</v>
      </c>
      <c r="E52" s="64">
        <v>4.43</v>
      </c>
      <c r="F52" s="64">
        <v>3.7</v>
      </c>
      <c r="G52" s="64">
        <v>20.61</v>
      </c>
      <c r="H52" s="64">
        <v>6.04</v>
      </c>
      <c r="I52" s="64">
        <v>3.62</v>
      </c>
      <c r="J52" s="64">
        <v>1.1200000000000001</v>
      </c>
      <c r="K52" s="64">
        <v>105.4</v>
      </c>
      <c r="L52" s="64">
        <v>31.38</v>
      </c>
      <c r="M52" s="64">
        <v>60.99</v>
      </c>
      <c r="N52" s="64">
        <v>940.9</v>
      </c>
      <c r="O52" s="64">
        <v>0</v>
      </c>
      <c r="P52" s="64">
        <v>0.41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1346</v>
      </c>
      <c r="B53" s="64">
        <v>8.81</v>
      </c>
      <c r="C53" s="64">
        <v>6.52</v>
      </c>
      <c r="D53" s="64">
        <v>10.47</v>
      </c>
      <c r="E53" s="64">
        <v>4.51</v>
      </c>
      <c r="F53" s="64">
        <v>3.77</v>
      </c>
      <c r="G53" s="64">
        <v>20.61</v>
      </c>
      <c r="H53" s="64">
        <v>6.04</v>
      </c>
      <c r="I53" s="64">
        <v>3.36</v>
      </c>
      <c r="J53" s="64">
        <v>0.17</v>
      </c>
      <c r="K53" s="64">
        <v>106.2</v>
      </c>
      <c r="L53" s="64">
        <v>32.32</v>
      </c>
      <c r="M53" s="64">
        <v>57.05</v>
      </c>
      <c r="N53" s="64">
        <v>931</v>
      </c>
      <c r="O53" s="64">
        <v>0</v>
      </c>
      <c r="P53" s="64">
        <v>0.35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1347</v>
      </c>
      <c r="B54" s="64">
        <v>8.25</v>
      </c>
      <c r="C54" s="64">
        <v>6.51</v>
      </c>
      <c r="D54" s="64">
        <v>10.01</v>
      </c>
      <c r="E54" s="64">
        <v>4.25</v>
      </c>
      <c r="F54" s="64">
        <v>4</v>
      </c>
      <c r="G54" s="64">
        <v>20.61</v>
      </c>
      <c r="H54" s="64">
        <v>6.04</v>
      </c>
      <c r="I54" s="64">
        <v>4.12</v>
      </c>
      <c r="J54" s="64">
        <v>1.1399999999999999</v>
      </c>
      <c r="K54" s="64">
        <v>133.61000000000001</v>
      </c>
      <c r="L54" s="64">
        <v>31.65</v>
      </c>
      <c r="M54" s="64">
        <v>58.68</v>
      </c>
      <c r="N54" s="64">
        <v>399.7</v>
      </c>
      <c r="O54" s="64">
        <v>0</v>
      </c>
      <c r="P54" s="64">
        <v>0.34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1348</v>
      </c>
      <c r="B55" s="64">
        <v>7.6</v>
      </c>
      <c r="C55" s="64">
        <v>6.58</v>
      </c>
      <c r="D55" s="64">
        <v>9.5299999999999994</v>
      </c>
      <c r="E55" s="64">
        <v>4.3099999999999996</v>
      </c>
      <c r="F55" s="64">
        <v>4.2699999999999996</v>
      </c>
      <c r="G55" s="64">
        <v>18.66</v>
      </c>
      <c r="H55" s="64">
        <v>7.8</v>
      </c>
      <c r="I55" s="64">
        <v>3.79</v>
      </c>
      <c r="J55" s="64">
        <v>0.5</v>
      </c>
      <c r="K55" s="64">
        <v>17.920000000000002</v>
      </c>
      <c r="L55" s="64">
        <v>31.73</v>
      </c>
      <c r="M55" s="64">
        <v>59.87</v>
      </c>
      <c r="N55" s="64">
        <v>663.5</v>
      </c>
      <c r="O55" s="64">
        <v>0</v>
      </c>
      <c r="P55" s="64">
        <v>0.41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1349</v>
      </c>
      <c r="B56" s="64">
        <v>7.01</v>
      </c>
      <c r="C56" s="64">
        <v>6.76</v>
      </c>
      <c r="D56" s="64">
        <v>9.15</v>
      </c>
      <c r="E56" s="64">
        <v>3.85</v>
      </c>
      <c r="F56" s="64">
        <v>3.99</v>
      </c>
      <c r="G56" s="64">
        <v>17.82</v>
      </c>
      <c r="H56" s="64">
        <v>7.8</v>
      </c>
      <c r="I56" s="64">
        <v>3.54</v>
      </c>
      <c r="J56" s="64">
        <v>0.82</v>
      </c>
      <c r="K56" s="64">
        <v>110.36</v>
      </c>
      <c r="L56" s="64">
        <v>30.93</v>
      </c>
      <c r="M56" s="64">
        <v>63.55</v>
      </c>
      <c r="N56" s="64">
        <v>501.7</v>
      </c>
      <c r="O56" s="64">
        <v>0</v>
      </c>
      <c r="P56" s="64">
        <v>0.35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1350</v>
      </c>
      <c r="B57" s="64">
        <v>6.57</v>
      </c>
      <c r="C57" s="64">
        <v>6.82</v>
      </c>
      <c r="D57" s="64">
        <v>8.83</v>
      </c>
      <c r="E57" s="64">
        <v>4.43</v>
      </c>
      <c r="F57" s="64">
        <v>3.66</v>
      </c>
      <c r="G57" s="64">
        <v>17.82</v>
      </c>
      <c r="H57" s="64">
        <v>7.8</v>
      </c>
      <c r="I57" s="64">
        <v>4.0199999999999996</v>
      </c>
      <c r="J57" s="64">
        <v>0.85</v>
      </c>
      <c r="K57" s="64">
        <v>111.12</v>
      </c>
      <c r="L57" s="64">
        <v>30.93</v>
      </c>
      <c r="M57" s="64">
        <v>61.1</v>
      </c>
      <c r="N57" s="64">
        <v>275.89999999999998</v>
      </c>
      <c r="O57" s="64">
        <v>0</v>
      </c>
      <c r="P57" s="64">
        <v>0.36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1351</v>
      </c>
      <c r="B58" s="64">
        <v>6.01</v>
      </c>
      <c r="C58" s="64">
        <v>7.37</v>
      </c>
      <c r="D58" s="64">
        <v>8.67</v>
      </c>
      <c r="E58" s="64">
        <v>4.3600000000000003</v>
      </c>
      <c r="F58" s="64">
        <v>4.3600000000000003</v>
      </c>
      <c r="G58" s="64">
        <v>17.82</v>
      </c>
      <c r="H58" s="64">
        <v>9.8000000000000007</v>
      </c>
      <c r="I58" s="64">
        <v>3.42</v>
      </c>
      <c r="J58" s="64">
        <v>1.51</v>
      </c>
      <c r="K58" s="64">
        <v>123.48</v>
      </c>
      <c r="L58" s="64">
        <v>31.06</v>
      </c>
      <c r="M58" s="64">
        <v>60.06</v>
      </c>
      <c r="N58" s="64">
        <v>644.20000000000005</v>
      </c>
      <c r="O58" s="64">
        <v>0</v>
      </c>
      <c r="P58" s="64">
        <v>0.37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1352</v>
      </c>
      <c r="B59" s="64">
        <v>5.18</v>
      </c>
      <c r="C59" s="64">
        <v>7.21</v>
      </c>
      <c r="D59" s="64">
        <v>7.92</v>
      </c>
      <c r="E59" s="64">
        <v>4.7</v>
      </c>
      <c r="F59" s="64">
        <v>3.67</v>
      </c>
      <c r="G59" s="64">
        <v>18</v>
      </c>
      <c r="H59" s="64">
        <v>11.5</v>
      </c>
      <c r="I59" s="64">
        <v>3.71</v>
      </c>
      <c r="J59" s="64">
        <v>0.84</v>
      </c>
      <c r="K59" s="64">
        <v>106.75</v>
      </c>
      <c r="L59" s="64">
        <v>30.72</v>
      </c>
      <c r="M59" s="64">
        <v>62.61</v>
      </c>
      <c r="N59" s="64">
        <v>397.3</v>
      </c>
      <c r="O59" s="64">
        <v>0</v>
      </c>
      <c r="P59" s="64">
        <v>0.35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1353</v>
      </c>
      <c r="B60" s="64">
        <v>4.53</v>
      </c>
      <c r="C60" s="64">
        <v>7.67</v>
      </c>
      <c r="D60" s="64">
        <v>7.64</v>
      </c>
      <c r="E60" s="64">
        <v>4.51</v>
      </c>
      <c r="F60" s="64">
        <v>3.93</v>
      </c>
      <c r="G60" s="64">
        <v>18.07</v>
      </c>
      <c r="H60" s="64">
        <v>10.99</v>
      </c>
      <c r="I60" s="64">
        <v>4.5</v>
      </c>
      <c r="J60" s="64">
        <v>0.23</v>
      </c>
      <c r="K60" s="64">
        <v>345.75</v>
      </c>
      <c r="L60" s="64">
        <v>31.9</v>
      </c>
      <c r="M60" s="64">
        <v>57.28</v>
      </c>
      <c r="N60" s="64">
        <v>781.5</v>
      </c>
      <c r="O60" s="64">
        <v>0</v>
      </c>
      <c r="P60" s="64">
        <v>0.39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1354</v>
      </c>
      <c r="B61" s="64">
        <v>4.4400000000000004</v>
      </c>
      <c r="C61" s="64">
        <v>7.69</v>
      </c>
      <c r="D61" s="64">
        <v>7.58</v>
      </c>
      <c r="E61" s="64">
        <v>4.74</v>
      </c>
      <c r="F61" s="64">
        <v>3.92</v>
      </c>
      <c r="G61" s="64">
        <v>18.07</v>
      </c>
      <c r="H61" s="64">
        <v>10.99</v>
      </c>
      <c r="I61" s="64">
        <v>4.45</v>
      </c>
      <c r="J61" s="64">
        <v>1.1000000000000001</v>
      </c>
      <c r="K61" s="64">
        <v>107.27</v>
      </c>
      <c r="L61" s="64">
        <v>32.07</v>
      </c>
      <c r="M61" s="64">
        <v>53.61</v>
      </c>
      <c r="N61" s="64">
        <v>436.8</v>
      </c>
      <c r="O61" s="64">
        <v>0</v>
      </c>
      <c r="P61" s="64">
        <v>0.38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1355</v>
      </c>
      <c r="B62" s="64">
        <v>3.87</v>
      </c>
      <c r="C62" s="64">
        <v>7.72</v>
      </c>
      <c r="D62" s="64">
        <v>7.14</v>
      </c>
      <c r="E62" s="64">
        <v>4.2300000000000004</v>
      </c>
      <c r="F62" s="64">
        <v>4.2300000000000004</v>
      </c>
      <c r="G62" s="64">
        <v>18.07</v>
      </c>
      <c r="H62" s="64">
        <v>10.99</v>
      </c>
      <c r="I62" s="64">
        <v>3.72</v>
      </c>
      <c r="J62" s="64">
        <v>0.57999999999999996</v>
      </c>
      <c r="K62" s="64">
        <v>93.79</v>
      </c>
      <c r="L62" s="64">
        <v>31.65</v>
      </c>
      <c r="M62" s="64">
        <v>56.22</v>
      </c>
      <c r="N62" s="64">
        <v>237</v>
      </c>
      <c r="O62" s="64">
        <v>0</v>
      </c>
      <c r="P62" s="64">
        <v>0.41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5" t="s">
        <v>1356</v>
      </c>
      <c r="B63" s="64">
        <v>3.56</v>
      </c>
      <c r="C63" s="64">
        <v>8.2100000000000009</v>
      </c>
      <c r="D63" s="64">
        <v>7.15</v>
      </c>
      <c r="E63" s="64">
        <v>5.0199999999999996</v>
      </c>
      <c r="F63" s="64">
        <v>3.27</v>
      </c>
      <c r="G63" s="64">
        <v>15.44</v>
      </c>
      <c r="H63" s="64">
        <v>12.11</v>
      </c>
      <c r="I63" s="64">
        <v>3.3</v>
      </c>
      <c r="J63" s="64">
        <v>0.45</v>
      </c>
      <c r="K63" s="64">
        <v>92.88</v>
      </c>
      <c r="L63" s="64">
        <v>32.03</v>
      </c>
      <c r="M63" s="64">
        <v>55.12</v>
      </c>
      <c r="N63" s="64">
        <v>186.8</v>
      </c>
      <c r="O63" s="64">
        <v>0</v>
      </c>
      <c r="P63" s="64">
        <v>0.43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5" t="s">
        <v>1357</v>
      </c>
      <c r="B64" s="64">
        <v>3.39</v>
      </c>
      <c r="C64" s="64">
        <v>7.83</v>
      </c>
      <c r="D64" s="64">
        <v>6.81</v>
      </c>
      <c r="E64" s="64">
        <v>5.04</v>
      </c>
      <c r="F64" s="64">
        <v>3.74</v>
      </c>
      <c r="G64" s="64">
        <v>14.31</v>
      </c>
      <c r="H64" s="64">
        <v>11.54</v>
      </c>
      <c r="I64" s="64">
        <v>3.93</v>
      </c>
      <c r="J64" s="64">
        <v>0.53</v>
      </c>
      <c r="K64" s="64">
        <v>102.32</v>
      </c>
      <c r="L64" s="64">
        <v>31.86</v>
      </c>
      <c r="M64" s="64">
        <v>55.75</v>
      </c>
      <c r="N64" s="64">
        <v>145.9</v>
      </c>
      <c r="O64" s="64">
        <v>0</v>
      </c>
      <c r="P64" s="64">
        <v>0.41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1358</v>
      </c>
      <c r="B65" s="64">
        <v>3.11</v>
      </c>
      <c r="C65" s="64">
        <v>7.96</v>
      </c>
      <c r="D65" s="64">
        <v>6.65</v>
      </c>
      <c r="E65" s="64">
        <v>4.59</v>
      </c>
      <c r="F65" s="64">
        <v>4.09</v>
      </c>
      <c r="G65" s="64">
        <v>14.31</v>
      </c>
      <c r="H65" s="64">
        <v>11.54</v>
      </c>
      <c r="I65" s="64">
        <v>4.04</v>
      </c>
      <c r="J65" s="64">
        <v>1.38</v>
      </c>
      <c r="K65" s="64">
        <v>115.7</v>
      </c>
      <c r="L65" s="64">
        <v>30.7</v>
      </c>
      <c r="M65" s="64">
        <v>58.5</v>
      </c>
      <c r="N65" s="64">
        <v>137.69999999999999</v>
      </c>
      <c r="O65" s="64">
        <v>0</v>
      </c>
      <c r="P65" s="64">
        <v>0.39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1359</v>
      </c>
      <c r="B66" s="64">
        <v>2.78</v>
      </c>
      <c r="C66" s="64">
        <v>7.97</v>
      </c>
      <c r="D66" s="64">
        <v>6.4</v>
      </c>
      <c r="E66" s="64">
        <v>4.53</v>
      </c>
      <c r="F66" s="64">
        <v>3.73</v>
      </c>
      <c r="G66" s="64">
        <v>14.31</v>
      </c>
      <c r="H66" s="64">
        <v>11.54</v>
      </c>
      <c r="I66" s="64">
        <v>3.39</v>
      </c>
      <c r="J66" s="64">
        <v>0.81</v>
      </c>
      <c r="K66" s="64">
        <v>96.5</v>
      </c>
      <c r="L66" s="64">
        <v>30.84</v>
      </c>
      <c r="M66" s="64">
        <v>58.08</v>
      </c>
      <c r="N66" s="64">
        <v>118</v>
      </c>
      <c r="O66" s="64">
        <v>0</v>
      </c>
      <c r="P66" s="64">
        <v>0.4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1360</v>
      </c>
      <c r="B67" s="64">
        <v>2.4900000000000002</v>
      </c>
      <c r="C67" s="64">
        <v>7.48</v>
      </c>
      <c r="D67" s="64">
        <v>5.9</v>
      </c>
      <c r="E67" s="64">
        <v>4.32</v>
      </c>
      <c r="F67" s="64">
        <v>4.16</v>
      </c>
      <c r="G67" s="64">
        <v>17.170000000000002</v>
      </c>
      <c r="H67" s="64">
        <v>11.13</v>
      </c>
      <c r="I67" s="64">
        <v>3.91</v>
      </c>
      <c r="J67" s="64">
        <v>1.26</v>
      </c>
      <c r="K67" s="64">
        <v>120.54</v>
      </c>
      <c r="L67" s="64">
        <v>30.81</v>
      </c>
      <c r="M67" s="64">
        <v>56.61</v>
      </c>
      <c r="N67" s="64">
        <v>88.8</v>
      </c>
      <c r="O67" s="64">
        <v>0</v>
      </c>
      <c r="P67" s="64">
        <v>0.38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1361</v>
      </c>
      <c r="B68" s="64">
        <v>2.2400000000000002</v>
      </c>
      <c r="C68" s="64">
        <v>6.98</v>
      </c>
      <c r="D68" s="64">
        <v>5.44</v>
      </c>
      <c r="E68" s="64">
        <v>4.58</v>
      </c>
      <c r="F68" s="64">
        <v>4.5599999999999996</v>
      </c>
      <c r="G68" s="64">
        <v>18.399999999999999</v>
      </c>
      <c r="H68" s="64">
        <v>11.08</v>
      </c>
      <c r="I68" s="64">
        <v>3.52</v>
      </c>
      <c r="J68" s="64">
        <v>1.1399999999999999</v>
      </c>
      <c r="K68" s="64">
        <v>117.91</v>
      </c>
      <c r="L68" s="64">
        <v>30.67</v>
      </c>
      <c r="M68" s="64">
        <v>56.42</v>
      </c>
      <c r="N68" s="64">
        <v>87.2</v>
      </c>
      <c r="O68" s="64">
        <v>0</v>
      </c>
      <c r="P68" s="64">
        <v>0.36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1362</v>
      </c>
      <c r="B69" s="64">
        <v>2.0699999999999998</v>
      </c>
      <c r="C69" s="64">
        <v>6.69</v>
      </c>
      <c r="D69" s="64">
        <v>5.16</v>
      </c>
      <c r="E69" s="64">
        <v>4.55</v>
      </c>
      <c r="F69" s="64">
        <v>4.1900000000000004</v>
      </c>
      <c r="G69" s="64">
        <v>18.399999999999999</v>
      </c>
      <c r="H69" s="64">
        <v>11.08</v>
      </c>
      <c r="I69" s="64">
        <v>3.21</v>
      </c>
      <c r="J69" s="64">
        <v>1.75</v>
      </c>
      <c r="K69" s="64">
        <v>118.37</v>
      </c>
      <c r="L69" s="64">
        <v>30.44</v>
      </c>
      <c r="M69" s="64">
        <v>55.99</v>
      </c>
      <c r="N69" s="64">
        <v>78.900000000000006</v>
      </c>
      <c r="O69" s="64">
        <v>0</v>
      </c>
      <c r="P69" s="64">
        <v>0.36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1363</v>
      </c>
      <c r="B70" s="64">
        <v>1.96</v>
      </c>
      <c r="C70" s="64">
        <v>6.33</v>
      </c>
      <c r="D70" s="64">
        <v>4.87</v>
      </c>
      <c r="E70" s="64">
        <v>4.4000000000000004</v>
      </c>
      <c r="F70" s="64">
        <v>4.55</v>
      </c>
      <c r="G70" s="64">
        <v>18.399999999999999</v>
      </c>
      <c r="H70" s="64">
        <v>11.08</v>
      </c>
      <c r="I70" s="64">
        <v>2.4900000000000002</v>
      </c>
      <c r="J70" s="64">
        <v>1.2</v>
      </c>
      <c r="K70" s="64">
        <v>112.53</v>
      </c>
      <c r="L70" s="64">
        <v>30.25</v>
      </c>
      <c r="M70" s="64">
        <v>59.87</v>
      </c>
      <c r="N70" s="64">
        <v>79.900000000000006</v>
      </c>
      <c r="O70" s="64">
        <v>0</v>
      </c>
      <c r="P70" s="64">
        <v>0.32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1364</v>
      </c>
      <c r="B71" s="64">
        <v>1.85</v>
      </c>
      <c r="C71" s="64">
        <v>6.09</v>
      </c>
      <c r="D71" s="64">
        <v>4.67</v>
      </c>
      <c r="E71" s="64">
        <v>4.1399999999999997</v>
      </c>
      <c r="F71" s="64">
        <v>4.3899999999999997</v>
      </c>
      <c r="G71" s="64">
        <v>16.399999999999999</v>
      </c>
      <c r="H71" s="64">
        <v>6.96</v>
      </c>
      <c r="I71" s="64">
        <v>2.54</v>
      </c>
      <c r="J71" s="64">
        <v>1.34</v>
      </c>
      <c r="K71" s="64">
        <v>116.58</v>
      </c>
      <c r="L71" s="64">
        <v>30.19</v>
      </c>
      <c r="M71" s="64">
        <v>58.26</v>
      </c>
      <c r="N71" s="64">
        <v>63.1</v>
      </c>
      <c r="O71" s="64">
        <v>0</v>
      </c>
      <c r="P71" s="64">
        <v>0.33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1365</v>
      </c>
      <c r="B72" s="64">
        <v>1.79</v>
      </c>
      <c r="C72" s="64">
        <v>5.91</v>
      </c>
      <c r="D72" s="64">
        <v>4.53</v>
      </c>
      <c r="E72" s="64">
        <v>4.63</v>
      </c>
      <c r="F72" s="64">
        <v>4.43</v>
      </c>
      <c r="G72" s="64">
        <v>15.54</v>
      </c>
      <c r="H72" s="64">
        <v>6.7</v>
      </c>
      <c r="I72" s="64">
        <v>2.52</v>
      </c>
      <c r="J72" s="64">
        <v>0.7</v>
      </c>
      <c r="K72" s="64">
        <v>112.77</v>
      </c>
      <c r="L72" s="64">
        <v>30.1</v>
      </c>
      <c r="M72" s="64">
        <v>59.03</v>
      </c>
      <c r="N72" s="64">
        <v>60.7</v>
      </c>
      <c r="O72" s="64">
        <v>0</v>
      </c>
      <c r="P72" s="64">
        <v>0.35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5" t="s">
        <v>1366</v>
      </c>
      <c r="B73" s="64">
        <v>1.79</v>
      </c>
      <c r="C73" s="64">
        <v>5.66</v>
      </c>
      <c r="D73" s="64">
        <v>4.3899999999999997</v>
      </c>
      <c r="E73" s="64">
        <v>4.7300000000000004</v>
      </c>
      <c r="F73" s="64">
        <v>4.57</v>
      </c>
      <c r="G73" s="64">
        <v>15.54</v>
      </c>
      <c r="H73" s="64">
        <v>6.7</v>
      </c>
      <c r="I73" s="64">
        <v>1.66</v>
      </c>
      <c r="J73" s="64">
        <v>1.08</v>
      </c>
      <c r="K73" s="64">
        <v>111.67</v>
      </c>
      <c r="L73" s="64">
        <v>30</v>
      </c>
      <c r="M73" s="64">
        <v>58.01</v>
      </c>
      <c r="N73" s="64">
        <v>57.4</v>
      </c>
      <c r="O73" s="64">
        <v>0</v>
      </c>
      <c r="P73" s="64">
        <v>0.32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1367</v>
      </c>
      <c r="B74" s="64">
        <v>1.8</v>
      </c>
      <c r="C74" s="64">
        <v>5.62</v>
      </c>
      <c r="D74" s="64">
        <v>4.38</v>
      </c>
      <c r="E74" s="64">
        <v>4.62</v>
      </c>
      <c r="F74" s="64">
        <v>4.51</v>
      </c>
      <c r="G74" s="64">
        <v>15.54</v>
      </c>
      <c r="H74" s="64">
        <v>6.7</v>
      </c>
      <c r="I74" s="64">
        <v>1.43</v>
      </c>
      <c r="J74" s="64">
        <v>1</v>
      </c>
      <c r="K74" s="64">
        <v>113.92</v>
      </c>
      <c r="L74" s="64">
        <v>29.9</v>
      </c>
      <c r="M74" s="64">
        <v>60.12</v>
      </c>
      <c r="N74" s="64">
        <v>47.2</v>
      </c>
      <c r="O74" s="64">
        <v>0</v>
      </c>
      <c r="P74" s="64">
        <v>0.43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1368</v>
      </c>
      <c r="B75" s="64">
        <v>1.84</v>
      </c>
      <c r="C75" s="64">
        <v>6.13</v>
      </c>
      <c r="D75" s="64">
        <v>4.67</v>
      </c>
      <c r="E75" s="64">
        <v>4.67</v>
      </c>
      <c r="F75" s="64">
        <v>3.86</v>
      </c>
      <c r="G75" s="64">
        <v>17.38</v>
      </c>
      <c r="H75" s="64">
        <v>6.7</v>
      </c>
      <c r="I75" s="64">
        <v>1.77</v>
      </c>
      <c r="J75" s="64">
        <v>1.25</v>
      </c>
      <c r="K75" s="64">
        <v>119.82</v>
      </c>
      <c r="L75" s="64">
        <v>29.4</v>
      </c>
      <c r="M75" s="64">
        <v>60.72</v>
      </c>
      <c r="N75" s="64">
        <v>38.700000000000003</v>
      </c>
      <c r="O75" s="64">
        <v>0</v>
      </c>
      <c r="P75" s="64">
        <v>0.35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1369</v>
      </c>
      <c r="B76" s="64">
        <v>1.68</v>
      </c>
      <c r="C76" s="64">
        <v>5.79</v>
      </c>
      <c r="D76" s="64">
        <v>4.37</v>
      </c>
      <c r="E76" s="64">
        <v>4.8600000000000003</v>
      </c>
      <c r="F76" s="64">
        <v>4.46</v>
      </c>
      <c r="G76" s="64">
        <v>18.18</v>
      </c>
      <c r="H76" s="64">
        <v>6.7</v>
      </c>
      <c r="I76" s="64">
        <v>3.43</v>
      </c>
      <c r="J76" s="64">
        <v>1.55</v>
      </c>
      <c r="K76" s="64">
        <v>117.32</v>
      </c>
      <c r="L76" s="64">
        <v>29.25</v>
      </c>
      <c r="M76" s="64">
        <v>60.47</v>
      </c>
      <c r="N76" s="64">
        <v>34.4</v>
      </c>
      <c r="O76" s="64">
        <v>0</v>
      </c>
      <c r="P76" s="64">
        <v>0.34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1370</v>
      </c>
      <c r="B77" s="64">
        <v>1.48</v>
      </c>
      <c r="C77" s="64">
        <v>5.54</v>
      </c>
      <c r="D77" s="64">
        <v>4.08</v>
      </c>
      <c r="E77" s="64">
        <v>4.2699999999999996</v>
      </c>
      <c r="F77" s="64">
        <v>3.78</v>
      </c>
      <c r="G77" s="64">
        <v>18.18</v>
      </c>
      <c r="H77" s="64">
        <v>6.7</v>
      </c>
      <c r="I77" s="64">
        <v>3.03</v>
      </c>
      <c r="J77" s="64">
        <v>1.1000000000000001</v>
      </c>
      <c r="K77" s="64">
        <v>115.82</v>
      </c>
      <c r="L77" s="64">
        <v>29.12</v>
      </c>
      <c r="M77" s="64">
        <v>61.48</v>
      </c>
      <c r="N77" s="64">
        <v>32</v>
      </c>
      <c r="O77" s="64">
        <v>0</v>
      </c>
      <c r="P77" s="64">
        <v>0.35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1371</v>
      </c>
      <c r="B78" s="64">
        <v>1.42</v>
      </c>
      <c r="C78" s="64">
        <v>5.29</v>
      </c>
      <c r="D78" s="64">
        <v>3.9</v>
      </c>
      <c r="E78" s="64">
        <v>4.62</v>
      </c>
      <c r="F78" s="64">
        <v>4.3099999999999996</v>
      </c>
      <c r="G78" s="64">
        <v>18.18</v>
      </c>
      <c r="H78" s="64">
        <v>6.7</v>
      </c>
      <c r="I78" s="64">
        <v>3.24</v>
      </c>
      <c r="J78" s="64">
        <v>0.95</v>
      </c>
      <c r="K78" s="64">
        <v>108.57</v>
      </c>
      <c r="L78" s="64">
        <v>28.9</v>
      </c>
      <c r="M78" s="64">
        <v>63.83</v>
      </c>
      <c r="N78" s="64">
        <v>30</v>
      </c>
      <c r="O78" s="64">
        <v>0</v>
      </c>
      <c r="P78" s="64">
        <v>0.39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5" t="s">
        <v>1372</v>
      </c>
      <c r="B79" s="64">
        <v>1.45</v>
      </c>
      <c r="C79" s="64">
        <v>5.59</v>
      </c>
      <c r="D79" s="64">
        <v>4.08</v>
      </c>
      <c r="E79" s="64">
        <v>4.8899999999999997</v>
      </c>
      <c r="F79" s="64">
        <v>3.56</v>
      </c>
      <c r="G79" s="64">
        <v>15.55</v>
      </c>
      <c r="H79" s="64">
        <v>4.59</v>
      </c>
      <c r="I79" s="64">
        <v>2.4500000000000002</v>
      </c>
      <c r="J79" s="64">
        <v>0.7</v>
      </c>
      <c r="K79" s="64">
        <v>101.27</v>
      </c>
      <c r="L79" s="64">
        <v>28.72</v>
      </c>
      <c r="M79" s="64">
        <v>66.41</v>
      </c>
      <c r="N79" s="64">
        <v>27.9</v>
      </c>
      <c r="O79" s="64">
        <v>0</v>
      </c>
      <c r="P79" s="64">
        <v>0.4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1373</v>
      </c>
      <c r="B80" s="64">
        <v>1.58</v>
      </c>
      <c r="C80" s="64">
        <v>5.38</v>
      </c>
      <c r="D80" s="64">
        <v>4.08</v>
      </c>
      <c r="E80" s="64">
        <v>4.6900000000000004</v>
      </c>
      <c r="F80" s="64">
        <v>3.98</v>
      </c>
      <c r="G80" s="64">
        <v>14.43</v>
      </c>
      <c r="H80" s="64">
        <v>4.42</v>
      </c>
      <c r="I80" s="64">
        <v>2</v>
      </c>
      <c r="J80" s="64">
        <v>0.86</v>
      </c>
      <c r="K80" s="64">
        <v>111.39</v>
      </c>
      <c r="L80" s="64">
        <v>28.57</v>
      </c>
      <c r="M80" s="64">
        <v>68.430000000000007</v>
      </c>
      <c r="N80" s="64">
        <v>26.3</v>
      </c>
      <c r="O80" s="64">
        <v>0</v>
      </c>
      <c r="P80" s="64">
        <v>0.39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1374</v>
      </c>
      <c r="B81" s="64">
        <v>1.63</v>
      </c>
      <c r="C81" s="64">
        <v>5.97</v>
      </c>
      <c r="D81" s="64">
        <v>4.43</v>
      </c>
      <c r="E81" s="64">
        <v>4.45</v>
      </c>
      <c r="F81" s="64">
        <v>3.81</v>
      </c>
      <c r="G81" s="64">
        <v>14.43</v>
      </c>
      <c r="H81" s="64">
        <v>4.42</v>
      </c>
      <c r="I81" s="64">
        <v>1.6</v>
      </c>
      <c r="J81" s="64">
        <v>0.78</v>
      </c>
      <c r="K81" s="64">
        <v>116.88</v>
      </c>
      <c r="L81" s="64">
        <v>28.49</v>
      </c>
      <c r="M81" s="64">
        <v>69.819999999999993</v>
      </c>
      <c r="N81" s="64">
        <v>26.1</v>
      </c>
      <c r="O81" s="64">
        <v>0</v>
      </c>
      <c r="P81" s="64">
        <v>0.38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1375</v>
      </c>
      <c r="B82" s="64">
        <v>1.61</v>
      </c>
      <c r="C82" s="64">
        <v>5.52</v>
      </c>
      <c r="D82" s="64">
        <v>4.17</v>
      </c>
      <c r="E82" s="64">
        <v>4.74</v>
      </c>
      <c r="F82" s="64">
        <v>4.28</v>
      </c>
      <c r="G82" s="64">
        <v>14.43</v>
      </c>
      <c r="H82" s="64">
        <v>4.42</v>
      </c>
      <c r="I82" s="64">
        <v>2.09</v>
      </c>
      <c r="J82" s="64">
        <v>0.66</v>
      </c>
      <c r="K82" s="64">
        <v>114.02</v>
      </c>
      <c r="L82" s="64">
        <v>28.44</v>
      </c>
      <c r="M82" s="64">
        <v>70.709999999999994</v>
      </c>
      <c r="N82" s="64">
        <v>26.1</v>
      </c>
      <c r="O82" s="64">
        <v>0</v>
      </c>
      <c r="P82" s="64">
        <v>0.4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5" t="s">
        <v>1376</v>
      </c>
      <c r="B83" s="64">
        <v>1.66</v>
      </c>
      <c r="C83" s="64">
        <v>6.04</v>
      </c>
      <c r="D83" s="64">
        <v>4.4800000000000004</v>
      </c>
      <c r="E83" s="64">
        <v>4.6900000000000004</v>
      </c>
      <c r="F83" s="64">
        <v>4.03</v>
      </c>
      <c r="G83" s="64">
        <v>13.23</v>
      </c>
      <c r="H83" s="64">
        <v>4.8099999999999996</v>
      </c>
      <c r="I83" s="64">
        <v>1.47</v>
      </c>
      <c r="J83" s="64">
        <v>0.63</v>
      </c>
      <c r="K83" s="64">
        <v>113.59</v>
      </c>
      <c r="L83" s="64">
        <v>28.29</v>
      </c>
      <c r="M83" s="64">
        <v>72.13</v>
      </c>
      <c r="N83" s="64">
        <v>26.1</v>
      </c>
      <c r="O83" s="64">
        <v>0</v>
      </c>
      <c r="P83" s="64">
        <v>0.47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1377</v>
      </c>
      <c r="B84" s="64">
        <v>1.78</v>
      </c>
      <c r="C84" s="64">
        <v>5.6</v>
      </c>
      <c r="D84" s="64">
        <v>4.3600000000000003</v>
      </c>
      <c r="E84" s="64">
        <v>4.49</v>
      </c>
      <c r="F84" s="64">
        <v>4.0599999999999996</v>
      </c>
      <c r="G84" s="64">
        <v>12.71</v>
      </c>
      <c r="H84" s="64">
        <v>4.8499999999999996</v>
      </c>
      <c r="I84" s="64">
        <v>1.66</v>
      </c>
      <c r="J84" s="64">
        <v>0.61</v>
      </c>
      <c r="K84" s="64">
        <v>116.94</v>
      </c>
      <c r="L84" s="64">
        <v>28.15</v>
      </c>
      <c r="M84" s="64">
        <v>73.08</v>
      </c>
      <c r="N84" s="64">
        <v>26.1</v>
      </c>
      <c r="O84" s="64">
        <v>0</v>
      </c>
      <c r="P84" s="64">
        <v>0.52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1378</v>
      </c>
      <c r="B85" s="64">
        <v>1.84</v>
      </c>
      <c r="C85" s="64">
        <v>5.28</v>
      </c>
      <c r="D85" s="64">
        <v>4.24</v>
      </c>
      <c r="E85" s="64">
        <v>4.03</v>
      </c>
      <c r="F85" s="64">
        <v>6.17</v>
      </c>
      <c r="G85" s="64">
        <v>12.71</v>
      </c>
      <c r="H85" s="64">
        <v>4.8499999999999996</v>
      </c>
      <c r="I85" s="64">
        <v>1.78</v>
      </c>
      <c r="J85" s="64">
        <v>0.78</v>
      </c>
      <c r="K85" s="64">
        <v>114.35</v>
      </c>
      <c r="L85" s="64">
        <v>28.1</v>
      </c>
      <c r="M85" s="64">
        <v>72.11</v>
      </c>
      <c r="N85" s="64">
        <v>26.1</v>
      </c>
      <c r="O85" s="64">
        <v>0</v>
      </c>
      <c r="P85" s="64">
        <v>0.4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5" t="s">
        <v>1379</v>
      </c>
      <c r="B86" s="64">
        <v>1.98</v>
      </c>
      <c r="C86" s="64">
        <v>5.22</v>
      </c>
      <c r="D86" s="64">
        <v>4.32</v>
      </c>
      <c r="E86" s="64">
        <v>4.8099999999999996</v>
      </c>
      <c r="F86" s="64">
        <v>4.25</v>
      </c>
      <c r="G86" s="64">
        <v>12.71</v>
      </c>
      <c r="H86" s="64">
        <v>4.8499999999999996</v>
      </c>
      <c r="I86" s="64">
        <v>1.66</v>
      </c>
      <c r="J86" s="64">
        <v>0.38</v>
      </c>
      <c r="K86" s="64">
        <v>106.29</v>
      </c>
      <c r="L86" s="64">
        <v>27.94</v>
      </c>
      <c r="M86" s="64">
        <v>72.260000000000005</v>
      </c>
      <c r="N86" s="64">
        <v>26.2</v>
      </c>
      <c r="O86" s="64">
        <v>0</v>
      </c>
      <c r="P86" s="64">
        <v>0.72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1380</v>
      </c>
      <c r="B87" s="64">
        <v>2.23</v>
      </c>
      <c r="C87" s="64">
        <v>5.37</v>
      </c>
      <c r="D87" s="64">
        <v>4.5999999999999996</v>
      </c>
      <c r="E87" s="64">
        <v>4.79</v>
      </c>
      <c r="F87" s="64">
        <v>4.1100000000000003</v>
      </c>
      <c r="G87" s="64">
        <v>14.23</v>
      </c>
      <c r="H87" s="64">
        <v>9.6</v>
      </c>
      <c r="I87" s="64">
        <v>1.45</v>
      </c>
      <c r="J87" s="64">
        <v>0.51</v>
      </c>
      <c r="K87" s="64">
        <v>98.13</v>
      </c>
      <c r="L87" s="64">
        <v>27.82</v>
      </c>
      <c r="M87" s="64">
        <v>73.34</v>
      </c>
      <c r="N87" s="64">
        <v>26.1</v>
      </c>
      <c r="O87" s="64">
        <v>0</v>
      </c>
      <c r="P87" s="64">
        <v>0.55000000000000004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1381</v>
      </c>
      <c r="B88" s="64">
        <v>2.33</v>
      </c>
      <c r="C88" s="64">
        <v>5.54</v>
      </c>
      <c r="D88" s="64">
        <v>4.7699999999999996</v>
      </c>
      <c r="E88" s="64">
        <v>4.49</v>
      </c>
      <c r="F88" s="64">
        <v>4.03</v>
      </c>
      <c r="G88" s="64">
        <v>14.88</v>
      </c>
      <c r="H88" s="64">
        <v>9.6</v>
      </c>
      <c r="I88" s="64">
        <v>2.0499999999999998</v>
      </c>
      <c r="J88" s="64">
        <v>0.74</v>
      </c>
      <c r="K88" s="64">
        <v>119.01</v>
      </c>
      <c r="L88" s="64">
        <v>27.74</v>
      </c>
      <c r="M88" s="64">
        <v>72.58</v>
      </c>
      <c r="N88" s="64">
        <v>26</v>
      </c>
      <c r="O88" s="64">
        <v>0</v>
      </c>
      <c r="P88" s="64">
        <v>0.53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1382</v>
      </c>
      <c r="B89" s="64">
        <v>2.37</v>
      </c>
      <c r="C89" s="64">
        <v>5.59</v>
      </c>
      <c r="D89" s="64">
        <v>4.82</v>
      </c>
      <c r="E89" s="64">
        <v>4.8</v>
      </c>
      <c r="F89" s="64">
        <v>4.09</v>
      </c>
      <c r="G89" s="64">
        <v>14.88</v>
      </c>
      <c r="H89" s="64">
        <v>6.13</v>
      </c>
      <c r="I89" s="64">
        <v>2.14</v>
      </c>
      <c r="J89" s="64">
        <v>0.63</v>
      </c>
      <c r="K89" s="64">
        <v>116.57</v>
      </c>
      <c r="L89" s="64">
        <v>27.78</v>
      </c>
      <c r="M89" s="64">
        <v>72.05</v>
      </c>
      <c r="N89" s="64">
        <v>26</v>
      </c>
      <c r="O89" s="64">
        <v>0</v>
      </c>
      <c r="P89" s="64">
        <v>0.49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1383</v>
      </c>
      <c r="B90" s="64">
        <v>2.4900000000000002</v>
      </c>
      <c r="C90" s="64">
        <v>5.66</v>
      </c>
      <c r="D90" s="64">
        <v>4.96</v>
      </c>
      <c r="E90" s="64">
        <v>5.04</v>
      </c>
      <c r="F90" s="64">
        <v>3.73</v>
      </c>
      <c r="G90" s="64">
        <v>14.88</v>
      </c>
      <c r="H90" s="64">
        <v>6.13</v>
      </c>
      <c r="I90" s="64">
        <v>1.93</v>
      </c>
      <c r="J90" s="64">
        <v>0.43</v>
      </c>
      <c r="K90" s="64">
        <v>115.44</v>
      </c>
      <c r="L90" s="64">
        <v>27.64</v>
      </c>
      <c r="M90" s="64">
        <v>74</v>
      </c>
      <c r="N90" s="64">
        <v>26.2</v>
      </c>
      <c r="O90" s="64">
        <v>0</v>
      </c>
      <c r="P90" s="64">
        <v>0.76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1384</v>
      </c>
      <c r="B91" s="64">
        <v>2.73</v>
      </c>
      <c r="C91" s="64">
        <v>6.03</v>
      </c>
      <c r="D91" s="64">
        <v>5.34</v>
      </c>
      <c r="E91" s="64">
        <v>5.41</v>
      </c>
      <c r="F91" s="64">
        <v>3.14</v>
      </c>
      <c r="G91" s="64">
        <v>13.07</v>
      </c>
      <c r="H91" s="64">
        <v>6.13</v>
      </c>
      <c r="I91" s="64">
        <v>1.93</v>
      </c>
      <c r="J91" s="64">
        <v>0.43</v>
      </c>
      <c r="K91" s="64">
        <v>116.69</v>
      </c>
      <c r="L91" s="64">
        <v>27.5</v>
      </c>
      <c r="M91" s="64">
        <v>76.16</v>
      </c>
      <c r="N91" s="64">
        <v>26.1</v>
      </c>
      <c r="O91" s="64">
        <v>0</v>
      </c>
      <c r="P91" s="64">
        <v>0.62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5" t="s">
        <v>1385</v>
      </c>
      <c r="B92" s="64">
        <v>3.32</v>
      </c>
      <c r="C92" s="64">
        <v>6.72</v>
      </c>
      <c r="D92" s="64">
        <v>6.17</v>
      </c>
      <c r="E92" s="64">
        <v>5.19</v>
      </c>
      <c r="F92" s="64">
        <v>3.64</v>
      </c>
      <c r="G92" s="64">
        <v>12.29</v>
      </c>
      <c r="H92" s="64">
        <v>9.64</v>
      </c>
      <c r="I92" s="64">
        <v>2.3199999999999998</v>
      </c>
      <c r="J92" s="64">
        <v>0.15</v>
      </c>
      <c r="K92" s="64">
        <v>83.95</v>
      </c>
      <c r="L92" s="64">
        <v>27.31</v>
      </c>
      <c r="M92" s="64">
        <v>77.760000000000005</v>
      </c>
      <c r="N92" s="64">
        <v>26.2</v>
      </c>
      <c r="O92" s="64">
        <v>0</v>
      </c>
      <c r="P92" s="64">
        <v>0.82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5" t="s">
        <v>1386</v>
      </c>
      <c r="B93" s="64">
        <v>4.71</v>
      </c>
      <c r="C93" s="64">
        <v>7.29</v>
      </c>
      <c r="D93" s="64">
        <v>7.59</v>
      </c>
      <c r="E93" s="64">
        <v>5.48</v>
      </c>
      <c r="F93" s="64">
        <v>3.94</v>
      </c>
      <c r="G93" s="64">
        <v>12.29</v>
      </c>
      <c r="H93" s="64">
        <v>9.64</v>
      </c>
      <c r="I93" s="64">
        <v>2.57</v>
      </c>
      <c r="J93" s="64">
        <v>0.51</v>
      </c>
      <c r="K93" s="64">
        <v>114.13</v>
      </c>
      <c r="L93" s="64">
        <v>27.29</v>
      </c>
      <c r="M93" s="64">
        <v>78.45</v>
      </c>
      <c r="N93" s="64">
        <v>26.1</v>
      </c>
      <c r="O93" s="64">
        <v>0</v>
      </c>
      <c r="P93" s="64">
        <v>0.65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1387</v>
      </c>
      <c r="B94" s="64">
        <v>5.25</v>
      </c>
      <c r="C94" s="64">
        <v>7.57</v>
      </c>
      <c r="D94" s="64">
        <v>8.16</v>
      </c>
      <c r="E94" s="64">
        <v>5.33</v>
      </c>
      <c r="F94" s="64">
        <v>3.99</v>
      </c>
      <c r="G94" s="64">
        <v>12.29</v>
      </c>
      <c r="H94" s="64">
        <v>9.64</v>
      </c>
      <c r="I94" s="64">
        <v>3.42</v>
      </c>
      <c r="J94" s="64">
        <v>0.89</v>
      </c>
      <c r="K94" s="64">
        <v>111.28</v>
      </c>
      <c r="L94" s="64">
        <v>27.29</v>
      </c>
      <c r="M94" s="64">
        <v>79.5</v>
      </c>
      <c r="N94" s="64">
        <v>26</v>
      </c>
      <c r="O94" s="64">
        <v>0</v>
      </c>
      <c r="P94" s="64">
        <v>0.55000000000000004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1388</v>
      </c>
      <c r="B95" s="64">
        <v>5.24</v>
      </c>
      <c r="C95" s="64">
        <v>7.55</v>
      </c>
      <c r="D95" s="64">
        <v>8.15</v>
      </c>
      <c r="E95" s="64">
        <v>5.7</v>
      </c>
      <c r="F95" s="64">
        <v>3.47</v>
      </c>
      <c r="G95" s="64">
        <v>26.87</v>
      </c>
      <c r="H95" s="64">
        <v>18.510000000000002</v>
      </c>
      <c r="I95" s="64">
        <v>2.79</v>
      </c>
      <c r="J95" s="64">
        <v>0.86</v>
      </c>
      <c r="K95" s="64">
        <v>120.59</v>
      </c>
      <c r="L95" s="64">
        <v>27.17</v>
      </c>
      <c r="M95" s="64">
        <v>80.930000000000007</v>
      </c>
      <c r="N95" s="64">
        <v>26.2</v>
      </c>
      <c r="O95" s="64">
        <v>0</v>
      </c>
      <c r="P95" s="64">
        <v>0.54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1389</v>
      </c>
      <c r="B96" s="64">
        <v>5.08</v>
      </c>
      <c r="C96" s="64">
        <v>7.47</v>
      </c>
      <c r="D96" s="64">
        <v>7.98</v>
      </c>
      <c r="E96" s="64">
        <v>5.69</v>
      </c>
      <c r="F96" s="64">
        <v>3.25</v>
      </c>
      <c r="G96" s="64">
        <v>33.11</v>
      </c>
      <c r="H96" s="64">
        <v>18.440000000000001</v>
      </c>
      <c r="I96" s="64">
        <v>2.2999999999999998</v>
      </c>
      <c r="J96" s="64">
        <v>0.79</v>
      </c>
      <c r="K96" s="64">
        <v>119.43</v>
      </c>
      <c r="L96" s="64">
        <v>26.95</v>
      </c>
      <c r="M96" s="64">
        <v>83.05</v>
      </c>
      <c r="N96" s="64">
        <v>26.2</v>
      </c>
      <c r="O96" s="64">
        <v>0</v>
      </c>
      <c r="P96" s="64">
        <v>0.52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1390</v>
      </c>
      <c r="B97" s="64">
        <v>4.83</v>
      </c>
      <c r="C97" s="64">
        <v>7.37</v>
      </c>
      <c r="D97" s="64">
        <v>7.73</v>
      </c>
      <c r="E97" s="64">
        <v>5.69</v>
      </c>
      <c r="F97" s="64">
        <v>3.95</v>
      </c>
      <c r="G97" s="64">
        <v>33.11</v>
      </c>
      <c r="H97" s="64">
        <v>18.440000000000001</v>
      </c>
      <c r="I97" s="64">
        <v>2.86</v>
      </c>
      <c r="J97" s="64">
        <v>0.91</v>
      </c>
      <c r="K97" s="64">
        <v>121.41</v>
      </c>
      <c r="L97" s="64">
        <v>26.91</v>
      </c>
      <c r="M97" s="64">
        <v>82.91</v>
      </c>
      <c r="N97" s="64">
        <v>26</v>
      </c>
      <c r="O97" s="64">
        <v>0</v>
      </c>
      <c r="P97" s="64">
        <v>0.49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1391</v>
      </c>
      <c r="B98" s="64">
        <v>4.6399999999999997</v>
      </c>
      <c r="C98" s="64">
        <v>7.16</v>
      </c>
      <c r="D98" s="64">
        <v>7.46</v>
      </c>
      <c r="E98" s="64">
        <v>5.63</v>
      </c>
      <c r="F98" s="64">
        <v>3.61</v>
      </c>
      <c r="G98" s="64">
        <v>33.11</v>
      </c>
      <c r="H98" s="64">
        <v>18.440000000000001</v>
      </c>
      <c r="I98" s="64">
        <v>2.5499999999999998</v>
      </c>
      <c r="J98" s="64">
        <v>0.87</v>
      </c>
      <c r="K98" s="64">
        <v>120.71</v>
      </c>
      <c r="L98" s="64">
        <v>26.85</v>
      </c>
      <c r="M98" s="64">
        <v>83.96</v>
      </c>
      <c r="N98" s="64">
        <v>26.1</v>
      </c>
      <c r="O98" s="64">
        <v>0</v>
      </c>
      <c r="P98" s="64">
        <v>0.5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1392</v>
      </c>
      <c r="B99" s="64">
        <v>4.5599999999999996</v>
      </c>
      <c r="C99" s="64">
        <v>7.4</v>
      </c>
      <c r="D99" s="64">
        <v>7.52</v>
      </c>
      <c r="E99" s="64">
        <v>5.26</v>
      </c>
      <c r="F99" s="64">
        <v>3.95</v>
      </c>
      <c r="G99" s="64">
        <v>33.159999999999997</v>
      </c>
      <c r="H99" s="64">
        <v>2.86</v>
      </c>
      <c r="I99" s="64">
        <v>2.2999999999999998</v>
      </c>
      <c r="J99" s="64">
        <v>1.03</v>
      </c>
      <c r="K99" s="64">
        <v>123.44</v>
      </c>
      <c r="L99" s="64">
        <v>26.77</v>
      </c>
      <c r="M99" s="64">
        <v>84.57</v>
      </c>
      <c r="N99" s="64">
        <v>26</v>
      </c>
      <c r="O99" s="64">
        <v>0</v>
      </c>
      <c r="P99" s="64">
        <v>0.52</v>
      </c>
      <c r="Q99" s="64">
        <v>9.6</v>
      </c>
      <c r="R99" s="198"/>
      <c r="S99" s="198"/>
      <c r="T99" s="198"/>
      <c r="U99" s="198"/>
    </row>
    <row r="100" spans="1:33" s="12" customFormat="1" x14ac:dyDescent="0.25">
      <c r="A100" s="215" t="s">
        <v>1393</v>
      </c>
      <c r="B100" s="64">
        <v>4.78</v>
      </c>
      <c r="C100" s="64">
        <v>7.37</v>
      </c>
      <c r="D100" s="64">
        <v>7.68</v>
      </c>
      <c r="E100" s="64">
        <v>5.69</v>
      </c>
      <c r="F100" s="64">
        <v>3.08</v>
      </c>
      <c r="G100" s="64">
        <v>33.18</v>
      </c>
      <c r="H100" s="64">
        <v>1.3</v>
      </c>
      <c r="I100" s="64">
        <v>2.4</v>
      </c>
      <c r="J100" s="64">
        <v>1.17</v>
      </c>
      <c r="K100" s="64">
        <v>122.4</v>
      </c>
      <c r="L100" s="64">
        <v>26.77</v>
      </c>
      <c r="M100" s="64">
        <v>83.68</v>
      </c>
      <c r="N100" s="64">
        <v>26</v>
      </c>
      <c r="O100" s="64">
        <v>0</v>
      </c>
      <c r="P100" s="64">
        <v>0.5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1394</v>
      </c>
      <c r="B101" s="64">
        <v>4.82</v>
      </c>
      <c r="C101" s="64">
        <v>7.01</v>
      </c>
      <c r="D101" s="64">
        <v>7.53</v>
      </c>
      <c r="E101" s="64">
        <v>5.0199999999999996</v>
      </c>
      <c r="F101" s="64">
        <v>3.67</v>
      </c>
      <c r="G101" s="64">
        <v>33.18</v>
      </c>
      <c r="H101" s="64">
        <v>1.3</v>
      </c>
      <c r="I101" s="64">
        <v>2.95</v>
      </c>
      <c r="J101" s="64">
        <v>1.17</v>
      </c>
      <c r="K101" s="64">
        <v>118.4</v>
      </c>
      <c r="L101" s="64">
        <v>26.74</v>
      </c>
      <c r="M101" s="64">
        <v>81.78</v>
      </c>
      <c r="N101" s="64">
        <v>26</v>
      </c>
      <c r="O101" s="64">
        <v>0</v>
      </c>
      <c r="P101" s="64">
        <v>0.45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1395</v>
      </c>
      <c r="B102" s="64">
        <v>4.72</v>
      </c>
      <c r="C102" s="64">
        <v>6.83</v>
      </c>
      <c r="D102" s="64">
        <v>7.36</v>
      </c>
      <c r="E102" s="64">
        <v>5.07</v>
      </c>
      <c r="F102" s="64">
        <v>4.21</v>
      </c>
      <c r="G102" s="64">
        <v>33.18</v>
      </c>
      <c r="H102" s="64">
        <v>1.3</v>
      </c>
      <c r="I102" s="64">
        <v>2.2999999999999998</v>
      </c>
      <c r="J102" s="64">
        <v>0.87</v>
      </c>
      <c r="K102" s="64">
        <v>120.48</v>
      </c>
      <c r="L102" s="64">
        <v>26.73</v>
      </c>
      <c r="M102" s="64">
        <v>80.67</v>
      </c>
      <c r="N102" s="64">
        <v>26.1</v>
      </c>
      <c r="O102" s="64">
        <v>0</v>
      </c>
      <c r="P102" s="64">
        <v>0.41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1396</v>
      </c>
      <c r="B103" s="64">
        <v>4.55</v>
      </c>
      <c r="C103" s="64">
        <v>6.55</v>
      </c>
      <c r="D103" s="64">
        <v>7.07</v>
      </c>
      <c r="E103" s="64">
        <v>4.8099999999999996</v>
      </c>
      <c r="F103" s="64">
        <v>4.3099999999999996</v>
      </c>
      <c r="G103" s="64">
        <v>30.28</v>
      </c>
      <c r="H103" s="64">
        <v>0.18</v>
      </c>
      <c r="I103" s="64">
        <v>1.81</v>
      </c>
      <c r="J103" s="64">
        <v>1.1100000000000001</v>
      </c>
      <c r="K103" s="64">
        <v>119.02</v>
      </c>
      <c r="L103" s="64">
        <v>26.51</v>
      </c>
      <c r="M103" s="64">
        <v>82.28</v>
      </c>
      <c r="N103" s="64">
        <v>26.1</v>
      </c>
      <c r="O103" s="64">
        <v>0</v>
      </c>
      <c r="P103" s="64">
        <v>0.39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1397</v>
      </c>
      <c r="B104" s="64">
        <v>4.33</v>
      </c>
      <c r="C104" s="64">
        <v>6.27</v>
      </c>
      <c r="D104" s="64">
        <v>6.75</v>
      </c>
      <c r="E104" s="64">
        <v>4.82</v>
      </c>
      <c r="F104" s="64">
        <v>3.81</v>
      </c>
      <c r="G104" s="64">
        <v>29.04</v>
      </c>
      <c r="H104" s="64">
        <v>0.1</v>
      </c>
      <c r="I104" s="64">
        <v>1.56</v>
      </c>
      <c r="J104" s="64">
        <v>1.48</v>
      </c>
      <c r="K104" s="64">
        <v>117.51</v>
      </c>
      <c r="L104" s="64">
        <v>26.49</v>
      </c>
      <c r="M104" s="64">
        <v>83.97</v>
      </c>
      <c r="N104" s="64">
        <v>26.1</v>
      </c>
      <c r="O104" s="64">
        <v>0</v>
      </c>
      <c r="P104" s="64">
        <v>0.43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1.42</v>
      </c>
      <c r="C106" s="67">
        <f>MIN(C9:C104)</f>
        <v>4.45</v>
      </c>
      <c r="D106" s="67">
        <f t="shared" ref="D106:Q106" si="0">MIN(D9:D104)</f>
        <v>3.9</v>
      </c>
      <c r="E106" s="67">
        <f t="shared" si="0"/>
        <v>3.85</v>
      </c>
      <c r="F106" s="67">
        <f t="shared" si="0"/>
        <v>3.05</v>
      </c>
      <c r="G106" s="67">
        <f t="shared" si="0"/>
        <v>12.29</v>
      </c>
      <c r="H106" s="67">
        <f t="shared" si="0"/>
        <v>0.1</v>
      </c>
      <c r="I106" s="67">
        <f t="shared" si="0"/>
        <v>1.43</v>
      </c>
      <c r="J106" s="67">
        <f t="shared" si="0"/>
        <v>7.0000000000000007E-2</v>
      </c>
      <c r="K106" s="67">
        <f t="shared" si="0"/>
        <v>2.3199999999999998</v>
      </c>
      <c r="L106" s="67">
        <f t="shared" si="0"/>
        <v>23.94</v>
      </c>
      <c r="M106" s="67">
        <f t="shared" si="0"/>
        <v>53.61</v>
      </c>
      <c r="N106" s="67">
        <f t="shared" si="0"/>
        <v>25.8</v>
      </c>
      <c r="O106" s="67">
        <f t="shared" si="0"/>
        <v>0</v>
      </c>
      <c r="P106" s="67">
        <f t="shared" si="0"/>
        <v>0.32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37.74</v>
      </c>
      <c r="C107" s="66">
        <f t="shared" ref="C107:Q107" si="1">MAX(C9:C104)</f>
        <v>8.76</v>
      </c>
      <c r="D107" s="66">
        <f t="shared" si="1"/>
        <v>34.840000000000003</v>
      </c>
      <c r="E107" s="66">
        <f t="shared" si="1"/>
        <v>5.7</v>
      </c>
      <c r="F107" s="66">
        <f t="shared" si="1"/>
        <v>6.17</v>
      </c>
      <c r="G107" s="66">
        <f t="shared" si="1"/>
        <v>50.87</v>
      </c>
      <c r="H107" s="66">
        <f t="shared" si="1"/>
        <v>30.89</v>
      </c>
      <c r="I107" s="66">
        <f t="shared" si="1"/>
        <v>6.89</v>
      </c>
      <c r="J107" s="66">
        <f t="shared" si="1"/>
        <v>1.75</v>
      </c>
      <c r="K107" s="66">
        <f t="shared" si="1"/>
        <v>345.75</v>
      </c>
      <c r="L107" s="66">
        <f t="shared" si="1"/>
        <v>32.54</v>
      </c>
      <c r="M107" s="66">
        <f t="shared" si="1"/>
        <v>102.7</v>
      </c>
      <c r="N107" s="66">
        <f t="shared" si="1"/>
        <v>940.9</v>
      </c>
      <c r="O107" s="66">
        <f t="shared" si="1"/>
        <v>0</v>
      </c>
      <c r="P107" s="66">
        <f t="shared" si="1"/>
        <v>1.23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13.889374999999987</v>
      </c>
      <c r="C108" s="67">
        <f t="shared" ref="C108:Q108" si="2">AVERAGE(C9:C104)</f>
        <v>6.4452083333333325</v>
      </c>
      <c r="D108" s="67">
        <f t="shared" si="2"/>
        <v>14.505729166666676</v>
      </c>
      <c r="E108" s="67">
        <f t="shared" si="2"/>
        <v>4.8637499999999996</v>
      </c>
      <c r="F108" s="67">
        <f t="shared" si="2"/>
        <v>3.8569791666666657</v>
      </c>
      <c r="G108" s="67">
        <f t="shared" si="2"/>
        <v>26.658333333333335</v>
      </c>
      <c r="H108" s="67">
        <f t="shared" si="2"/>
        <v>11.165104166666664</v>
      </c>
      <c r="I108" s="67">
        <f t="shared" si="2"/>
        <v>3.2672916666666683</v>
      </c>
      <c r="J108" s="67">
        <f t="shared" si="2"/>
        <v>0.66020833333333351</v>
      </c>
      <c r="K108" s="67">
        <f t="shared" si="2"/>
        <v>142.02979166666671</v>
      </c>
      <c r="L108" s="67">
        <f t="shared" si="2"/>
        <v>28.053437499999998</v>
      </c>
      <c r="M108" s="67">
        <f t="shared" si="2"/>
        <v>78.099166666666662</v>
      </c>
      <c r="N108" s="67">
        <f t="shared" si="2"/>
        <v>180.99166666666659</v>
      </c>
      <c r="O108" s="67">
        <f t="shared" si="2"/>
        <v>0</v>
      </c>
      <c r="P108" s="67">
        <f t="shared" si="2"/>
        <v>0.52479166666666677</v>
      </c>
      <c r="Q108" s="67">
        <f t="shared" si="2"/>
        <v>9.6125000000000096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12.701592756525947</v>
      </c>
      <c r="C109" s="67">
        <f t="shared" ref="C109:Q109" si="3">STDEV(C9:C104)</f>
        <v>0.99497048796929566</v>
      </c>
      <c r="D109" s="67">
        <f t="shared" si="3"/>
        <v>10.192657392744882</v>
      </c>
      <c r="E109" s="67">
        <f t="shared" si="3"/>
        <v>0.39607614897829141</v>
      </c>
      <c r="F109" s="67">
        <f t="shared" si="3"/>
        <v>0.4705363564266975</v>
      </c>
      <c r="G109" s="67">
        <f t="shared" si="3"/>
        <v>12.289575100073668</v>
      </c>
      <c r="H109" s="67">
        <f t="shared" si="3"/>
        <v>7.0926997301957675</v>
      </c>
      <c r="I109" s="67">
        <f t="shared" si="3"/>
        <v>1.2684988883812829</v>
      </c>
      <c r="J109" s="67">
        <f t="shared" si="3"/>
        <v>0.38398459170475407</v>
      </c>
      <c r="K109" s="67">
        <f t="shared" si="3"/>
        <v>73.766736805307502</v>
      </c>
      <c r="L109" s="67">
        <f t="shared" si="3"/>
        <v>2.730636643763348</v>
      </c>
      <c r="M109" s="67">
        <f t="shared" si="3"/>
        <v>16.871038695547725</v>
      </c>
      <c r="N109" s="67">
        <f t="shared" si="3"/>
        <v>256.33457399375817</v>
      </c>
      <c r="O109" s="67">
        <f t="shared" si="3"/>
        <v>0</v>
      </c>
      <c r="P109" s="67">
        <f t="shared" si="3"/>
        <v>0.20303994508038381</v>
      </c>
      <c r="Q109" s="67">
        <f t="shared" si="3"/>
        <v>8.9442719099991561E-3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1398</v>
      </c>
      <c r="B9" s="64">
        <v>3.99</v>
      </c>
      <c r="C9" s="64">
        <v>6.07</v>
      </c>
      <c r="D9" s="64">
        <v>6.37</v>
      </c>
      <c r="E9" s="64">
        <v>4.87</v>
      </c>
      <c r="F9" s="64">
        <v>4</v>
      </c>
      <c r="G9" s="64">
        <v>29.04</v>
      </c>
      <c r="H9" s="64">
        <v>0.1</v>
      </c>
      <c r="I9" s="64">
        <v>1.34</v>
      </c>
      <c r="J9" s="64">
        <v>1.41</v>
      </c>
      <c r="K9" s="64">
        <v>107.99</v>
      </c>
      <c r="L9" s="64">
        <v>26.34</v>
      </c>
      <c r="M9" s="64">
        <v>86.45</v>
      </c>
      <c r="N9" s="64">
        <v>26.2</v>
      </c>
      <c r="O9" s="64">
        <v>0</v>
      </c>
      <c r="P9" s="64">
        <v>0.44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1399</v>
      </c>
      <c r="B10" s="64">
        <v>3.63</v>
      </c>
      <c r="C10" s="64">
        <v>5.81</v>
      </c>
      <c r="D10" s="64">
        <v>5.95</v>
      </c>
      <c r="E10" s="64">
        <v>5.25</v>
      </c>
      <c r="F10" s="64">
        <v>3.93</v>
      </c>
      <c r="G10" s="64">
        <v>29.04</v>
      </c>
      <c r="H10" s="64">
        <v>0.1</v>
      </c>
      <c r="I10" s="64">
        <v>2.64</v>
      </c>
      <c r="J10" s="64">
        <v>1.65</v>
      </c>
      <c r="K10" s="64">
        <v>110.63</v>
      </c>
      <c r="L10" s="64">
        <v>26.17</v>
      </c>
      <c r="M10" s="64">
        <v>87.92</v>
      </c>
      <c r="N10" s="64">
        <v>26.1</v>
      </c>
      <c r="O10" s="64">
        <v>0</v>
      </c>
      <c r="P10" s="64">
        <v>0.44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1400</v>
      </c>
      <c r="B11" s="64">
        <v>3.3</v>
      </c>
      <c r="C11" s="64">
        <v>5.6</v>
      </c>
      <c r="D11" s="64">
        <v>5.57</v>
      </c>
      <c r="E11" s="64">
        <v>4.8600000000000003</v>
      </c>
      <c r="F11" s="64">
        <v>3.74</v>
      </c>
      <c r="G11" s="64">
        <v>30.01</v>
      </c>
      <c r="H11" s="64">
        <v>0.02</v>
      </c>
      <c r="I11" s="64">
        <v>3.99</v>
      </c>
      <c r="J11" s="64">
        <v>1.39</v>
      </c>
      <c r="K11" s="64">
        <v>108.19</v>
      </c>
      <c r="L11" s="64">
        <v>26.1</v>
      </c>
      <c r="M11" s="64">
        <v>87.13</v>
      </c>
      <c r="N11" s="64">
        <v>26.1</v>
      </c>
      <c r="O11" s="64">
        <v>0</v>
      </c>
      <c r="P11" s="64">
        <v>0.42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1401</v>
      </c>
      <c r="B12" s="64">
        <v>3.01</v>
      </c>
      <c r="C12" s="64">
        <v>5.79</v>
      </c>
      <c r="D12" s="64">
        <v>5.44</v>
      </c>
      <c r="E12" s="64">
        <v>5.21</v>
      </c>
      <c r="F12" s="64">
        <v>3.9</v>
      </c>
      <c r="G12" s="64">
        <v>30.42</v>
      </c>
      <c r="H12" s="64">
        <v>0.01</v>
      </c>
      <c r="I12" s="64">
        <v>4.05</v>
      </c>
      <c r="J12" s="64">
        <v>1.31</v>
      </c>
      <c r="K12" s="64">
        <v>104.75</v>
      </c>
      <c r="L12" s="64">
        <v>26.07</v>
      </c>
      <c r="M12" s="64">
        <v>87.13</v>
      </c>
      <c r="N12" s="64">
        <v>26.1</v>
      </c>
      <c r="O12" s="64">
        <v>0</v>
      </c>
      <c r="P12" s="64">
        <v>0.46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1402</v>
      </c>
      <c r="B13" s="64">
        <v>2.66</v>
      </c>
      <c r="C13" s="64">
        <v>5.53</v>
      </c>
      <c r="D13" s="64">
        <v>5.0199999999999996</v>
      </c>
      <c r="E13" s="64">
        <v>5.19</v>
      </c>
      <c r="F13" s="64">
        <v>3.74</v>
      </c>
      <c r="G13" s="64">
        <v>30.42</v>
      </c>
      <c r="H13" s="64">
        <v>0.01</v>
      </c>
      <c r="I13" s="64">
        <v>4.5199999999999996</v>
      </c>
      <c r="J13" s="64">
        <v>1.22</v>
      </c>
      <c r="K13" s="64">
        <v>105.42</v>
      </c>
      <c r="L13" s="64">
        <v>25.93</v>
      </c>
      <c r="M13" s="64">
        <v>88.61</v>
      </c>
      <c r="N13" s="64">
        <v>26.1</v>
      </c>
      <c r="O13" s="64">
        <v>0</v>
      </c>
      <c r="P13" s="64">
        <v>0.41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1403</v>
      </c>
      <c r="B14" s="64">
        <v>2.4</v>
      </c>
      <c r="C14" s="64">
        <v>5.37</v>
      </c>
      <c r="D14" s="64">
        <v>4.7300000000000004</v>
      </c>
      <c r="E14" s="64">
        <v>4.8899999999999997</v>
      </c>
      <c r="F14" s="64">
        <v>3.67</v>
      </c>
      <c r="G14" s="64">
        <v>30.42</v>
      </c>
      <c r="H14" s="64">
        <v>0.01</v>
      </c>
      <c r="I14" s="64">
        <v>5.27</v>
      </c>
      <c r="J14" s="64">
        <v>0.79</v>
      </c>
      <c r="K14" s="64">
        <v>104.77</v>
      </c>
      <c r="L14" s="64">
        <v>25.81</v>
      </c>
      <c r="M14" s="64">
        <v>89.87</v>
      </c>
      <c r="N14" s="64">
        <v>26.1</v>
      </c>
      <c r="O14" s="64">
        <v>0</v>
      </c>
      <c r="P14" s="64">
        <v>0.4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1404</v>
      </c>
      <c r="B15" s="64">
        <v>2.2200000000000002</v>
      </c>
      <c r="C15" s="64">
        <v>5.13</v>
      </c>
      <c r="D15" s="64">
        <v>4.47</v>
      </c>
      <c r="E15" s="64">
        <v>5.4</v>
      </c>
      <c r="F15" s="64">
        <v>4.4000000000000004</v>
      </c>
      <c r="G15" s="64">
        <v>31.74</v>
      </c>
      <c r="H15" s="64">
        <v>28.71</v>
      </c>
      <c r="I15" s="64">
        <v>5.18</v>
      </c>
      <c r="J15" s="64">
        <v>0.61</v>
      </c>
      <c r="K15" s="64">
        <v>108.13</v>
      </c>
      <c r="L15" s="64">
        <v>25.67</v>
      </c>
      <c r="M15" s="64">
        <v>90.91</v>
      </c>
      <c r="N15" s="64">
        <v>26.2</v>
      </c>
      <c r="O15" s="64">
        <v>0</v>
      </c>
      <c r="P15" s="64">
        <v>0.39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1405</v>
      </c>
      <c r="B16" s="64">
        <v>2.14</v>
      </c>
      <c r="C16" s="64">
        <v>4.95</v>
      </c>
      <c r="D16" s="64">
        <v>4.3</v>
      </c>
      <c r="E16" s="64">
        <v>4.95</v>
      </c>
      <c r="F16" s="64">
        <v>3.19</v>
      </c>
      <c r="G16" s="64">
        <v>32.31</v>
      </c>
      <c r="H16" s="64">
        <v>31.02</v>
      </c>
      <c r="I16" s="64">
        <v>3.54</v>
      </c>
      <c r="J16" s="64">
        <v>0.68</v>
      </c>
      <c r="K16" s="64">
        <v>102.8</v>
      </c>
      <c r="L16" s="64">
        <v>25.61</v>
      </c>
      <c r="M16" s="64">
        <v>91.47</v>
      </c>
      <c r="N16" s="64">
        <v>26.1</v>
      </c>
      <c r="O16" s="64">
        <v>0</v>
      </c>
      <c r="P16" s="64">
        <v>0.34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1406</v>
      </c>
      <c r="B17" s="64">
        <v>2.12</v>
      </c>
      <c r="C17" s="64">
        <v>4.87</v>
      </c>
      <c r="D17" s="64">
        <v>4.24</v>
      </c>
      <c r="E17" s="64">
        <v>4.79</v>
      </c>
      <c r="F17" s="64">
        <v>4.1900000000000004</v>
      </c>
      <c r="G17" s="64">
        <v>32.31</v>
      </c>
      <c r="H17" s="64">
        <v>31.02</v>
      </c>
      <c r="I17" s="64">
        <v>3.13</v>
      </c>
      <c r="J17" s="64">
        <v>0.51</v>
      </c>
      <c r="K17" s="64">
        <v>99.01</v>
      </c>
      <c r="L17" s="64">
        <v>25.48</v>
      </c>
      <c r="M17" s="64">
        <v>92.68</v>
      </c>
      <c r="N17" s="64">
        <v>26.1</v>
      </c>
      <c r="O17" s="64">
        <v>0</v>
      </c>
      <c r="P17" s="64">
        <v>0.4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5" t="s">
        <v>1407</v>
      </c>
      <c r="B18" s="64">
        <v>2.13</v>
      </c>
      <c r="C18" s="64">
        <v>4.5999999999999996</v>
      </c>
      <c r="D18" s="64">
        <v>4.1100000000000003</v>
      </c>
      <c r="E18" s="64">
        <v>4.91</v>
      </c>
      <c r="F18" s="64">
        <v>3.27</v>
      </c>
      <c r="G18" s="64">
        <v>32.31</v>
      </c>
      <c r="H18" s="64">
        <v>31.02</v>
      </c>
      <c r="I18" s="64">
        <v>2.9</v>
      </c>
      <c r="J18" s="64">
        <v>0.38</v>
      </c>
      <c r="K18" s="64">
        <v>121.84</v>
      </c>
      <c r="L18" s="64">
        <v>25.37</v>
      </c>
      <c r="M18" s="64">
        <v>92.26</v>
      </c>
      <c r="N18" s="64">
        <v>26.1</v>
      </c>
      <c r="O18" s="64">
        <v>0</v>
      </c>
      <c r="P18" s="64">
        <v>0.33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1408</v>
      </c>
      <c r="B19" s="64">
        <v>2.13</v>
      </c>
      <c r="C19" s="64">
        <v>4.5199999999999996</v>
      </c>
      <c r="D19" s="64">
        <v>4.07</v>
      </c>
      <c r="E19" s="64">
        <v>4.4800000000000004</v>
      </c>
      <c r="F19" s="64">
        <v>4.3899999999999997</v>
      </c>
      <c r="G19" s="64">
        <v>28.61</v>
      </c>
      <c r="H19" s="64">
        <v>18.66</v>
      </c>
      <c r="I19" s="64">
        <v>2.5299999999999998</v>
      </c>
      <c r="J19" s="64">
        <v>0.13</v>
      </c>
      <c r="K19" s="64">
        <v>160.9</v>
      </c>
      <c r="L19" s="64">
        <v>25.28</v>
      </c>
      <c r="M19" s="64">
        <v>91.57</v>
      </c>
      <c r="N19" s="64">
        <v>26.1</v>
      </c>
      <c r="O19" s="64">
        <v>0</v>
      </c>
      <c r="P19" s="64">
        <v>0.37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1409</v>
      </c>
      <c r="B20" s="64">
        <v>2.11</v>
      </c>
      <c r="C20" s="64">
        <v>4.6399999999999997</v>
      </c>
      <c r="D20" s="64">
        <v>4.12</v>
      </c>
      <c r="E20" s="64">
        <v>4.96</v>
      </c>
      <c r="F20" s="64">
        <v>2.7</v>
      </c>
      <c r="G20" s="64">
        <v>27.02</v>
      </c>
      <c r="H20" s="64">
        <v>17.03</v>
      </c>
      <c r="I20" s="64">
        <v>2.16</v>
      </c>
      <c r="J20" s="64">
        <v>0.3</v>
      </c>
      <c r="K20" s="64">
        <v>160.30000000000001</v>
      </c>
      <c r="L20" s="64">
        <v>25.19</v>
      </c>
      <c r="M20" s="64">
        <v>91.78</v>
      </c>
      <c r="N20" s="64">
        <v>26.1</v>
      </c>
      <c r="O20" s="64">
        <v>0</v>
      </c>
      <c r="P20" s="64">
        <v>0.3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5" t="s">
        <v>1410</v>
      </c>
      <c r="B21" s="64">
        <v>2.12</v>
      </c>
      <c r="C21" s="64">
        <v>4.17</v>
      </c>
      <c r="D21" s="64">
        <v>3.88</v>
      </c>
      <c r="E21" s="64">
        <v>4.97</v>
      </c>
      <c r="F21" s="64">
        <v>3.52</v>
      </c>
      <c r="G21" s="64">
        <v>27.02</v>
      </c>
      <c r="H21" s="64">
        <v>17.03</v>
      </c>
      <c r="I21" s="64">
        <v>2.37</v>
      </c>
      <c r="J21" s="64">
        <v>0.4</v>
      </c>
      <c r="K21" s="64">
        <v>216.93</v>
      </c>
      <c r="L21" s="64">
        <v>25</v>
      </c>
      <c r="M21" s="64">
        <v>92.91</v>
      </c>
      <c r="N21" s="64">
        <v>26.1</v>
      </c>
      <c r="O21" s="64">
        <v>0</v>
      </c>
      <c r="P21" s="64">
        <v>0.28999999999999998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1411</v>
      </c>
      <c r="B22" s="64">
        <v>2.17</v>
      </c>
      <c r="C22" s="64">
        <v>3.91</v>
      </c>
      <c r="D22" s="64">
        <v>3.79</v>
      </c>
      <c r="E22" s="64">
        <v>4.5199999999999996</v>
      </c>
      <c r="F22" s="64">
        <v>3.83</v>
      </c>
      <c r="G22" s="64">
        <v>27.02</v>
      </c>
      <c r="H22" s="64">
        <v>17.03</v>
      </c>
      <c r="I22" s="64">
        <v>1.36</v>
      </c>
      <c r="J22" s="64">
        <v>0.35</v>
      </c>
      <c r="K22" s="64">
        <v>247.91</v>
      </c>
      <c r="L22" s="64">
        <v>24.76</v>
      </c>
      <c r="M22" s="64">
        <v>93.51</v>
      </c>
      <c r="N22" s="64">
        <v>26.2</v>
      </c>
      <c r="O22" s="64">
        <v>0</v>
      </c>
      <c r="P22" s="64">
        <v>0.28000000000000003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1412</v>
      </c>
      <c r="B23" s="64">
        <v>2.27</v>
      </c>
      <c r="C23" s="64">
        <v>3.87</v>
      </c>
      <c r="D23" s="64">
        <v>3.84</v>
      </c>
      <c r="E23" s="64">
        <v>4.99</v>
      </c>
      <c r="F23" s="64">
        <v>4.25</v>
      </c>
      <c r="G23" s="64">
        <v>25.34</v>
      </c>
      <c r="H23" s="64">
        <v>5.3</v>
      </c>
      <c r="I23" s="64">
        <v>0.83</v>
      </c>
      <c r="J23" s="64">
        <v>0.49</v>
      </c>
      <c r="K23" s="64">
        <v>205.61</v>
      </c>
      <c r="L23" s="64">
        <v>24.76</v>
      </c>
      <c r="M23" s="64">
        <v>93.26</v>
      </c>
      <c r="N23" s="64">
        <v>26</v>
      </c>
      <c r="O23" s="64">
        <v>0</v>
      </c>
      <c r="P23" s="64">
        <v>0.28000000000000003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1413</v>
      </c>
      <c r="B24" s="64">
        <v>2.3199999999999998</v>
      </c>
      <c r="C24" s="64">
        <v>3.84</v>
      </c>
      <c r="D24" s="64">
        <v>3.86</v>
      </c>
      <c r="E24" s="64">
        <v>4.5</v>
      </c>
      <c r="F24" s="64">
        <v>4.0199999999999996</v>
      </c>
      <c r="G24" s="64">
        <v>24.62</v>
      </c>
      <c r="H24" s="64">
        <v>4.3600000000000003</v>
      </c>
      <c r="I24" s="64">
        <v>0.79</v>
      </c>
      <c r="J24" s="64">
        <v>0.13</v>
      </c>
      <c r="K24" s="64">
        <v>120.64</v>
      </c>
      <c r="L24" s="64">
        <v>24.68</v>
      </c>
      <c r="M24" s="64">
        <v>93.52</v>
      </c>
      <c r="N24" s="64">
        <v>26.2</v>
      </c>
      <c r="O24" s="64">
        <v>0</v>
      </c>
      <c r="P24" s="64">
        <v>0.28000000000000003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1414</v>
      </c>
      <c r="B25" s="64">
        <v>2.33</v>
      </c>
      <c r="C25" s="64">
        <v>3.75</v>
      </c>
      <c r="D25" s="64">
        <v>3.83</v>
      </c>
      <c r="E25" s="64">
        <v>4.58</v>
      </c>
      <c r="F25" s="64">
        <v>4.03</v>
      </c>
      <c r="G25" s="64">
        <v>24.62</v>
      </c>
      <c r="H25" s="64">
        <v>4.3600000000000003</v>
      </c>
      <c r="I25" s="64">
        <v>0.69</v>
      </c>
      <c r="J25" s="64">
        <v>0.27</v>
      </c>
      <c r="K25" s="64">
        <v>284.97000000000003</v>
      </c>
      <c r="L25" s="64">
        <v>24.52</v>
      </c>
      <c r="M25" s="64">
        <v>95.25</v>
      </c>
      <c r="N25" s="64">
        <v>26.2</v>
      </c>
      <c r="O25" s="64">
        <v>0</v>
      </c>
      <c r="P25" s="64">
        <v>0.28999999999999998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1415</v>
      </c>
      <c r="B26" s="64">
        <v>2.38</v>
      </c>
      <c r="C26" s="64">
        <v>3.79</v>
      </c>
      <c r="D26" s="64">
        <v>3.89</v>
      </c>
      <c r="E26" s="64">
        <v>4.5999999999999996</v>
      </c>
      <c r="F26" s="64">
        <v>3.88</v>
      </c>
      <c r="G26" s="64">
        <v>24.62</v>
      </c>
      <c r="H26" s="64">
        <v>4.3600000000000003</v>
      </c>
      <c r="I26" s="64">
        <v>0.64</v>
      </c>
      <c r="J26" s="64">
        <v>0.33</v>
      </c>
      <c r="K26" s="64">
        <v>238.79</v>
      </c>
      <c r="L26" s="64">
        <v>24.35</v>
      </c>
      <c r="M26" s="64">
        <v>95.11</v>
      </c>
      <c r="N26" s="64">
        <v>26</v>
      </c>
      <c r="O26" s="64">
        <v>0</v>
      </c>
      <c r="P26" s="64">
        <v>0.27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1416</v>
      </c>
      <c r="B27" s="64">
        <v>2.44</v>
      </c>
      <c r="C27" s="64">
        <v>3.88</v>
      </c>
      <c r="D27" s="64">
        <v>3.99</v>
      </c>
      <c r="E27" s="64">
        <v>4.9400000000000004</v>
      </c>
      <c r="F27" s="64">
        <v>3.73</v>
      </c>
      <c r="G27" s="64">
        <v>19.68</v>
      </c>
      <c r="H27" s="64">
        <v>1.54</v>
      </c>
      <c r="I27" s="64">
        <v>0.71</v>
      </c>
      <c r="J27" s="64">
        <v>0.39</v>
      </c>
      <c r="K27" s="64">
        <v>250.02</v>
      </c>
      <c r="L27" s="64">
        <v>24.22</v>
      </c>
      <c r="M27" s="64">
        <v>96.26</v>
      </c>
      <c r="N27" s="64">
        <v>26</v>
      </c>
      <c r="O27" s="64">
        <v>0</v>
      </c>
      <c r="P27" s="64">
        <v>0.27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1417</v>
      </c>
      <c r="B28" s="64">
        <v>2.54</v>
      </c>
      <c r="C28" s="64">
        <v>3.89</v>
      </c>
      <c r="D28" s="64">
        <v>4.07</v>
      </c>
      <c r="E28" s="64">
        <v>4.9400000000000004</v>
      </c>
      <c r="F28" s="64">
        <v>4.01</v>
      </c>
      <c r="G28" s="64">
        <v>17.559999999999999</v>
      </c>
      <c r="H28" s="64">
        <v>1.32</v>
      </c>
      <c r="I28" s="64">
        <v>0.62</v>
      </c>
      <c r="J28" s="64">
        <v>0.28999999999999998</v>
      </c>
      <c r="K28" s="64">
        <v>224.2</v>
      </c>
      <c r="L28" s="64">
        <v>24.3</v>
      </c>
      <c r="M28" s="64">
        <v>95.36</v>
      </c>
      <c r="N28" s="64">
        <v>26</v>
      </c>
      <c r="O28" s="64">
        <v>0</v>
      </c>
      <c r="P28" s="64">
        <v>0.3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1418</v>
      </c>
      <c r="B29" s="64">
        <v>2.62</v>
      </c>
      <c r="C29" s="64">
        <v>4.53</v>
      </c>
      <c r="D29" s="64">
        <v>4.47</v>
      </c>
      <c r="E29" s="64">
        <v>4.8600000000000003</v>
      </c>
      <c r="F29" s="64">
        <v>3.81</v>
      </c>
      <c r="G29" s="64">
        <v>17.559999999999999</v>
      </c>
      <c r="H29" s="64">
        <v>1.32</v>
      </c>
      <c r="I29" s="64">
        <v>0.7</v>
      </c>
      <c r="J29" s="64">
        <v>0.2</v>
      </c>
      <c r="K29" s="64">
        <v>63.23</v>
      </c>
      <c r="L29" s="64">
        <v>24.39</v>
      </c>
      <c r="M29" s="64">
        <v>95.5</v>
      </c>
      <c r="N29" s="64">
        <v>26</v>
      </c>
      <c r="O29" s="64">
        <v>0</v>
      </c>
      <c r="P29" s="64">
        <v>0.33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1419</v>
      </c>
      <c r="B30" s="64">
        <v>2.69</v>
      </c>
      <c r="C30" s="64">
        <v>4.42</v>
      </c>
      <c r="D30" s="64">
        <v>4.47</v>
      </c>
      <c r="E30" s="64">
        <v>4.76</v>
      </c>
      <c r="F30" s="64">
        <v>4.47</v>
      </c>
      <c r="G30" s="64">
        <v>17.559999999999999</v>
      </c>
      <c r="H30" s="64">
        <v>1.32</v>
      </c>
      <c r="I30" s="64">
        <v>2.58</v>
      </c>
      <c r="J30" s="64">
        <v>0.39</v>
      </c>
      <c r="K30" s="64">
        <v>298.76</v>
      </c>
      <c r="L30" s="64">
        <v>24.13</v>
      </c>
      <c r="M30" s="64">
        <v>97.57</v>
      </c>
      <c r="N30" s="64">
        <v>26.2</v>
      </c>
      <c r="O30" s="64">
        <v>0</v>
      </c>
      <c r="P30" s="64">
        <v>0.33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5" t="s">
        <v>1420</v>
      </c>
      <c r="B31" s="64">
        <v>3.3</v>
      </c>
      <c r="C31" s="64">
        <v>4.79</v>
      </c>
      <c r="D31" s="64">
        <v>5.15</v>
      </c>
      <c r="E31" s="64">
        <v>4.88</v>
      </c>
      <c r="F31" s="64">
        <v>2.57</v>
      </c>
      <c r="G31" s="64">
        <v>21.71</v>
      </c>
      <c r="H31" s="64">
        <v>0.34</v>
      </c>
      <c r="I31" s="64">
        <v>2.04</v>
      </c>
      <c r="J31" s="64">
        <v>0.52</v>
      </c>
      <c r="K31" s="64">
        <v>301.08999999999997</v>
      </c>
      <c r="L31" s="64">
        <v>23.72</v>
      </c>
      <c r="M31" s="64">
        <v>102.14</v>
      </c>
      <c r="N31" s="64">
        <v>26.5</v>
      </c>
      <c r="O31" s="64">
        <v>0</v>
      </c>
      <c r="P31" s="64">
        <v>0.37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1421</v>
      </c>
      <c r="B32" s="64">
        <v>4.51</v>
      </c>
      <c r="C32" s="64">
        <v>5.12</v>
      </c>
      <c r="D32" s="64">
        <v>6.29</v>
      </c>
      <c r="E32" s="64">
        <v>5.01</v>
      </c>
      <c r="F32" s="64">
        <v>3.59</v>
      </c>
      <c r="G32" s="64">
        <v>23.49</v>
      </c>
      <c r="H32" s="64">
        <v>0.26</v>
      </c>
      <c r="I32" s="64">
        <v>2.62</v>
      </c>
      <c r="J32" s="64">
        <v>0.56000000000000005</v>
      </c>
      <c r="K32" s="64">
        <v>311.82</v>
      </c>
      <c r="L32" s="64">
        <v>23.54</v>
      </c>
      <c r="M32" s="64">
        <v>102.08</v>
      </c>
      <c r="N32" s="64">
        <v>28.3</v>
      </c>
      <c r="O32" s="64">
        <v>0</v>
      </c>
      <c r="P32" s="64">
        <v>0.43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5" t="s">
        <v>1422</v>
      </c>
      <c r="B33" s="64">
        <v>7.34</v>
      </c>
      <c r="C33" s="64">
        <v>5.38</v>
      </c>
      <c r="D33" s="64">
        <v>8.6999999999999993</v>
      </c>
      <c r="E33" s="64">
        <v>5.29</v>
      </c>
      <c r="F33" s="64">
        <v>3.46</v>
      </c>
      <c r="G33" s="64">
        <v>23.49</v>
      </c>
      <c r="H33" s="64">
        <v>0.26</v>
      </c>
      <c r="I33" s="64">
        <v>2.79</v>
      </c>
      <c r="J33" s="64">
        <v>0.49</v>
      </c>
      <c r="K33" s="64">
        <v>339.89</v>
      </c>
      <c r="L33" s="64">
        <v>23.59</v>
      </c>
      <c r="M33" s="64">
        <v>102.08</v>
      </c>
      <c r="N33" s="64">
        <v>34.799999999999997</v>
      </c>
      <c r="O33" s="64">
        <v>0</v>
      </c>
      <c r="P33" s="64">
        <v>0.43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5" t="s">
        <v>1423</v>
      </c>
      <c r="B34" s="64">
        <v>10.69</v>
      </c>
      <c r="C34" s="64">
        <v>5.68</v>
      </c>
      <c r="D34" s="64">
        <v>11.54</v>
      </c>
      <c r="E34" s="64">
        <v>5.4</v>
      </c>
      <c r="F34" s="64">
        <v>2.65</v>
      </c>
      <c r="G34" s="64">
        <v>23.49</v>
      </c>
      <c r="H34" s="64">
        <v>0.26</v>
      </c>
      <c r="I34" s="64">
        <v>2.2000000000000002</v>
      </c>
      <c r="J34" s="64">
        <v>0.47</v>
      </c>
      <c r="K34" s="64">
        <v>4.79</v>
      </c>
      <c r="L34" s="64">
        <v>23.55</v>
      </c>
      <c r="M34" s="64">
        <v>102.07</v>
      </c>
      <c r="N34" s="64">
        <v>46.5</v>
      </c>
      <c r="O34" s="64">
        <v>0</v>
      </c>
      <c r="P34" s="64">
        <v>0.51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1424</v>
      </c>
      <c r="B35" s="64">
        <v>14.33</v>
      </c>
      <c r="C35" s="64">
        <v>5.94</v>
      </c>
      <c r="D35" s="64">
        <v>14.6</v>
      </c>
      <c r="E35" s="64">
        <v>5.94</v>
      </c>
      <c r="F35" s="64">
        <v>3.14</v>
      </c>
      <c r="G35" s="64">
        <v>26.02</v>
      </c>
      <c r="H35" s="64">
        <v>9.32</v>
      </c>
      <c r="I35" s="64">
        <v>2.79</v>
      </c>
      <c r="J35" s="64">
        <v>0.5</v>
      </c>
      <c r="K35" s="64">
        <v>17.05</v>
      </c>
      <c r="L35" s="64">
        <v>24.11</v>
      </c>
      <c r="M35" s="64">
        <v>101.78</v>
      </c>
      <c r="N35" s="64">
        <v>99.4</v>
      </c>
      <c r="O35" s="64">
        <v>0</v>
      </c>
      <c r="P35" s="64">
        <v>0.63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5" t="s">
        <v>1425</v>
      </c>
      <c r="B36" s="64">
        <v>18.36</v>
      </c>
      <c r="C36" s="64">
        <v>6.29</v>
      </c>
      <c r="D36" s="64">
        <v>18.010000000000002</v>
      </c>
      <c r="E36" s="64">
        <v>5.83</v>
      </c>
      <c r="F36" s="64">
        <v>3.72</v>
      </c>
      <c r="G36" s="64">
        <v>27.1</v>
      </c>
      <c r="H36" s="64">
        <v>10.52</v>
      </c>
      <c r="I36" s="64">
        <v>3.12</v>
      </c>
      <c r="J36" s="64">
        <v>0.05</v>
      </c>
      <c r="K36" s="64">
        <v>160.83000000000001</v>
      </c>
      <c r="L36" s="64">
        <v>26.88</v>
      </c>
      <c r="M36" s="64">
        <v>85.35</v>
      </c>
      <c r="N36" s="64">
        <v>161.1</v>
      </c>
      <c r="O36" s="64">
        <v>0</v>
      </c>
      <c r="P36" s="64">
        <v>0.49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1426</v>
      </c>
      <c r="B37" s="64">
        <v>20.079999999999998</v>
      </c>
      <c r="C37" s="64">
        <v>6.6</v>
      </c>
      <c r="D37" s="64">
        <v>19.55</v>
      </c>
      <c r="E37" s="64">
        <v>6.01</v>
      </c>
      <c r="F37" s="64">
        <v>2.57</v>
      </c>
      <c r="G37" s="64">
        <v>27.1</v>
      </c>
      <c r="H37" s="64">
        <v>10.52</v>
      </c>
      <c r="I37" s="64">
        <v>2.58</v>
      </c>
      <c r="J37" s="64">
        <v>0.79</v>
      </c>
      <c r="K37" s="64">
        <v>145.09</v>
      </c>
      <c r="L37" s="64">
        <v>28.53</v>
      </c>
      <c r="M37" s="64">
        <v>76.05</v>
      </c>
      <c r="N37" s="64">
        <v>218.3</v>
      </c>
      <c r="O37" s="64">
        <v>0</v>
      </c>
      <c r="P37" s="64">
        <v>0.36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1427</v>
      </c>
      <c r="B38" s="64">
        <v>20.25</v>
      </c>
      <c r="C38" s="64">
        <v>6.13</v>
      </c>
      <c r="D38" s="64">
        <v>19.440000000000001</v>
      </c>
      <c r="E38" s="64">
        <v>5.73</v>
      </c>
      <c r="F38" s="64">
        <v>3.98</v>
      </c>
      <c r="G38" s="64">
        <v>27.1</v>
      </c>
      <c r="H38" s="64">
        <v>10.52</v>
      </c>
      <c r="I38" s="64">
        <v>3.03</v>
      </c>
      <c r="J38" s="64">
        <v>1.1599999999999999</v>
      </c>
      <c r="K38" s="64">
        <v>141.03</v>
      </c>
      <c r="L38" s="64">
        <v>28.59</v>
      </c>
      <c r="M38" s="64">
        <v>75.87</v>
      </c>
      <c r="N38" s="64">
        <v>280.8</v>
      </c>
      <c r="O38" s="64">
        <v>0</v>
      </c>
      <c r="P38" s="64">
        <v>0.36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1428</v>
      </c>
      <c r="B39" s="64">
        <v>19.7</v>
      </c>
      <c r="C39" s="64">
        <v>5.88</v>
      </c>
      <c r="D39" s="64">
        <v>18.87</v>
      </c>
      <c r="E39" s="64">
        <v>5.09</v>
      </c>
      <c r="F39" s="64">
        <v>4.05</v>
      </c>
      <c r="G39" s="64">
        <v>24.63</v>
      </c>
      <c r="H39" s="64">
        <v>3.12</v>
      </c>
      <c r="I39" s="64">
        <v>1.99</v>
      </c>
      <c r="J39" s="64">
        <v>0.89</v>
      </c>
      <c r="K39" s="64">
        <v>129.1</v>
      </c>
      <c r="L39" s="64">
        <v>28.69</v>
      </c>
      <c r="M39" s="64">
        <v>75.73</v>
      </c>
      <c r="N39" s="64">
        <v>338.1</v>
      </c>
      <c r="O39" s="64">
        <v>0</v>
      </c>
      <c r="P39" s="64">
        <v>0.36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1429</v>
      </c>
      <c r="B40" s="64">
        <v>18.89</v>
      </c>
      <c r="C40" s="64">
        <v>5.82</v>
      </c>
      <c r="D40" s="64">
        <v>18.18</v>
      </c>
      <c r="E40" s="64">
        <v>4.01</v>
      </c>
      <c r="F40" s="64">
        <v>3.67</v>
      </c>
      <c r="G40" s="64">
        <v>23.57</v>
      </c>
      <c r="H40" s="64">
        <v>2.52</v>
      </c>
      <c r="I40" s="64">
        <v>2.06</v>
      </c>
      <c r="J40" s="64">
        <v>0.89</v>
      </c>
      <c r="K40" s="64">
        <v>122.16</v>
      </c>
      <c r="L40" s="64">
        <v>29.26</v>
      </c>
      <c r="M40" s="64">
        <v>75.27</v>
      </c>
      <c r="N40" s="64">
        <v>397.6</v>
      </c>
      <c r="O40" s="64">
        <v>0</v>
      </c>
      <c r="P40" s="64">
        <v>0.36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1430</v>
      </c>
      <c r="B41" s="64">
        <v>17.8</v>
      </c>
      <c r="C41" s="64">
        <v>5.85</v>
      </c>
      <c r="D41" s="64">
        <v>17.329999999999998</v>
      </c>
      <c r="E41" s="64">
        <v>3.87</v>
      </c>
      <c r="F41" s="64">
        <v>4.55</v>
      </c>
      <c r="G41" s="64">
        <v>23.57</v>
      </c>
      <c r="H41" s="64">
        <v>2.52</v>
      </c>
      <c r="I41" s="64">
        <v>1.92</v>
      </c>
      <c r="J41" s="64">
        <v>0.64</v>
      </c>
      <c r="K41" s="64">
        <v>133.16</v>
      </c>
      <c r="L41" s="64">
        <v>29.52</v>
      </c>
      <c r="M41" s="64">
        <v>73.7</v>
      </c>
      <c r="N41" s="64">
        <v>450.9</v>
      </c>
      <c r="O41" s="64">
        <v>0</v>
      </c>
      <c r="P41" s="64">
        <v>0.35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1431</v>
      </c>
      <c r="B42" s="64">
        <v>16.73</v>
      </c>
      <c r="C42" s="64">
        <v>6.02</v>
      </c>
      <c r="D42" s="64">
        <v>16.559999999999999</v>
      </c>
      <c r="E42" s="64">
        <v>3.8</v>
      </c>
      <c r="F42" s="64">
        <v>3.4</v>
      </c>
      <c r="G42" s="64">
        <v>23.57</v>
      </c>
      <c r="H42" s="64">
        <v>2.52</v>
      </c>
      <c r="I42" s="64">
        <v>2.0299999999999998</v>
      </c>
      <c r="J42" s="64">
        <v>1.25</v>
      </c>
      <c r="K42" s="64">
        <v>107.64</v>
      </c>
      <c r="L42" s="64">
        <v>29.54</v>
      </c>
      <c r="M42" s="64">
        <v>73.55</v>
      </c>
      <c r="N42" s="64">
        <v>514.1</v>
      </c>
      <c r="O42" s="64">
        <v>0</v>
      </c>
      <c r="P42" s="64">
        <v>0.38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1432</v>
      </c>
      <c r="B43" s="64">
        <v>15.49</v>
      </c>
      <c r="C43" s="64">
        <v>6.17</v>
      </c>
      <c r="D43" s="64">
        <v>15.64</v>
      </c>
      <c r="E43" s="64">
        <v>3.91</v>
      </c>
      <c r="F43" s="64">
        <v>3.62</v>
      </c>
      <c r="G43" s="64">
        <v>21.43</v>
      </c>
      <c r="H43" s="64">
        <v>13.58</v>
      </c>
      <c r="I43" s="64">
        <v>1.75</v>
      </c>
      <c r="J43" s="64">
        <v>1.08</v>
      </c>
      <c r="K43" s="64">
        <v>127.57</v>
      </c>
      <c r="L43" s="64">
        <v>29.04</v>
      </c>
      <c r="M43" s="64">
        <v>75.08</v>
      </c>
      <c r="N43" s="64">
        <v>570.1</v>
      </c>
      <c r="O43" s="64">
        <v>0</v>
      </c>
      <c r="P43" s="64">
        <v>0.35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5" t="s">
        <v>1433</v>
      </c>
      <c r="B44" s="64">
        <v>14.06</v>
      </c>
      <c r="C44" s="64">
        <v>6.27</v>
      </c>
      <c r="D44" s="64">
        <v>14.56</v>
      </c>
      <c r="E44" s="64">
        <v>3.88</v>
      </c>
      <c r="F44" s="64">
        <v>3.98</v>
      </c>
      <c r="G44" s="64">
        <v>20.51</v>
      </c>
      <c r="H44" s="64">
        <v>14.48</v>
      </c>
      <c r="I44" s="64">
        <v>2.72</v>
      </c>
      <c r="J44" s="64">
        <v>1.34</v>
      </c>
      <c r="K44" s="64">
        <v>115.84</v>
      </c>
      <c r="L44" s="64">
        <v>29.54</v>
      </c>
      <c r="M44" s="64">
        <v>74.09</v>
      </c>
      <c r="N44" s="64">
        <v>617</v>
      </c>
      <c r="O44" s="64">
        <v>0</v>
      </c>
      <c r="P44" s="64">
        <v>0.36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1434</v>
      </c>
      <c r="B45" s="64">
        <v>12.65</v>
      </c>
      <c r="C45" s="64">
        <v>6.57</v>
      </c>
      <c r="D45" s="64">
        <v>13.58</v>
      </c>
      <c r="E45" s="64">
        <v>3.53</v>
      </c>
      <c r="F45" s="64">
        <v>4.12</v>
      </c>
      <c r="G45" s="64">
        <v>20.51</v>
      </c>
      <c r="H45" s="64">
        <v>14.48</v>
      </c>
      <c r="I45" s="64">
        <v>2.96</v>
      </c>
      <c r="J45" s="64">
        <v>1.28</v>
      </c>
      <c r="K45" s="64">
        <v>113.73</v>
      </c>
      <c r="L45" s="64">
        <v>29.44</v>
      </c>
      <c r="M45" s="64">
        <v>74.180000000000007</v>
      </c>
      <c r="N45" s="64">
        <v>659.6</v>
      </c>
      <c r="O45" s="64">
        <v>0</v>
      </c>
      <c r="P45" s="64">
        <v>0.38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1435</v>
      </c>
      <c r="B46" s="64">
        <v>11.12</v>
      </c>
      <c r="C46" s="64">
        <v>7.1</v>
      </c>
      <c r="D46" s="64">
        <v>12.63</v>
      </c>
      <c r="E46" s="64">
        <v>4</v>
      </c>
      <c r="F46" s="64">
        <v>3.63</v>
      </c>
      <c r="G46" s="64">
        <v>20.51</v>
      </c>
      <c r="H46" s="64">
        <v>14.48</v>
      </c>
      <c r="I46" s="64">
        <v>3.32</v>
      </c>
      <c r="J46" s="64">
        <v>0.87</v>
      </c>
      <c r="K46" s="64">
        <v>112.65</v>
      </c>
      <c r="L46" s="64">
        <v>30.11</v>
      </c>
      <c r="M46" s="64">
        <v>72.77</v>
      </c>
      <c r="N46" s="64">
        <v>703.1</v>
      </c>
      <c r="O46" s="64">
        <v>0</v>
      </c>
      <c r="P46" s="64">
        <v>0.38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1436</v>
      </c>
      <c r="B47" s="64">
        <v>9.7899999999999991</v>
      </c>
      <c r="C47" s="64">
        <v>6.69</v>
      </c>
      <c r="D47" s="64">
        <v>11.35</v>
      </c>
      <c r="E47" s="64">
        <v>4.12</v>
      </c>
      <c r="F47" s="64">
        <v>3.95</v>
      </c>
      <c r="G47" s="64">
        <v>17.64</v>
      </c>
      <c r="H47" s="64">
        <v>8.25</v>
      </c>
      <c r="I47" s="64">
        <v>4.9800000000000004</v>
      </c>
      <c r="J47" s="64">
        <v>0.88</v>
      </c>
      <c r="K47" s="64">
        <v>118.33</v>
      </c>
      <c r="L47" s="64">
        <v>30.31</v>
      </c>
      <c r="M47" s="64">
        <v>70.819999999999993</v>
      </c>
      <c r="N47" s="64">
        <v>626.1</v>
      </c>
      <c r="O47" s="64">
        <v>0</v>
      </c>
      <c r="P47" s="64">
        <v>0.37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1437</v>
      </c>
      <c r="B48" s="64">
        <v>8.64</v>
      </c>
      <c r="C48" s="64">
        <v>7.43</v>
      </c>
      <c r="D48" s="64">
        <v>10.81</v>
      </c>
      <c r="E48" s="64">
        <v>4.1500000000000004</v>
      </c>
      <c r="F48" s="64">
        <v>4.18</v>
      </c>
      <c r="G48" s="64">
        <v>16.41</v>
      </c>
      <c r="H48" s="64">
        <v>7.74</v>
      </c>
      <c r="I48" s="64">
        <v>5.42</v>
      </c>
      <c r="J48" s="64">
        <v>0.68</v>
      </c>
      <c r="K48" s="64">
        <v>110.84</v>
      </c>
      <c r="L48" s="64">
        <v>30.77</v>
      </c>
      <c r="M48" s="64">
        <v>70.27</v>
      </c>
      <c r="N48" s="64">
        <v>737.4</v>
      </c>
      <c r="O48" s="64">
        <v>0</v>
      </c>
      <c r="P48" s="64">
        <v>0.39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1438</v>
      </c>
      <c r="B49" s="64">
        <v>7.57</v>
      </c>
      <c r="C49" s="64">
        <v>7.32</v>
      </c>
      <c r="D49" s="64">
        <v>9.89</v>
      </c>
      <c r="E49" s="64">
        <v>4.22</v>
      </c>
      <c r="F49" s="64">
        <v>3.77</v>
      </c>
      <c r="G49" s="64">
        <v>16.41</v>
      </c>
      <c r="H49" s="64">
        <v>7.74</v>
      </c>
      <c r="I49" s="64">
        <v>5.12</v>
      </c>
      <c r="J49" s="64">
        <v>1.22</v>
      </c>
      <c r="K49" s="64">
        <v>120.64</v>
      </c>
      <c r="L49" s="64">
        <v>30.57</v>
      </c>
      <c r="M49" s="64">
        <v>69.239999999999995</v>
      </c>
      <c r="N49" s="64">
        <v>769.9</v>
      </c>
      <c r="O49" s="64">
        <v>0</v>
      </c>
      <c r="P49" s="64">
        <v>0.38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1439</v>
      </c>
      <c r="B50" s="64">
        <v>6.29</v>
      </c>
      <c r="C50" s="64">
        <v>7.43</v>
      </c>
      <c r="D50" s="64">
        <v>8.92</v>
      </c>
      <c r="E50" s="64">
        <v>3.56</v>
      </c>
      <c r="F50" s="64">
        <v>4.59</v>
      </c>
      <c r="G50" s="64">
        <v>16.41</v>
      </c>
      <c r="H50" s="64">
        <v>7.74</v>
      </c>
      <c r="I50" s="64">
        <v>5.33</v>
      </c>
      <c r="J50" s="64">
        <v>1.26</v>
      </c>
      <c r="K50" s="64">
        <v>124.01</v>
      </c>
      <c r="L50" s="64">
        <v>30.15</v>
      </c>
      <c r="M50" s="64">
        <v>70.790000000000006</v>
      </c>
      <c r="N50" s="64">
        <v>783.9</v>
      </c>
      <c r="O50" s="64">
        <v>0</v>
      </c>
      <c r="P50" s="64">
        <v>0.37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1440</v>
      </c>
      <c r="B51" s="64">
        <v>5.27</v>
      </c>
      <c r="C51" s="64">
        <v>8.2100000000000009</v>
      </c>
      <c r="D51" s="64">
        <v>8.51</v>
      </c>
      <c r="E51" s="64">
        <v>3.85</v>
      </c>
      <c r="F51" s="64">
        <v>4.1500000000000004</v>
      </c>
      <c r="G51" s="64">
        <v>20.170000000000002</v>
      </c>
      <c r="H51" s="64">
        <v>7.24</v>
      </c>
      <c r="I51" s="64">
        <v>5.5</v>
      </c>
      <c r="J51" s="64">
        <v>0.59</v>
      </c>
      <c r="K51" s="64">
        <v>97.46</v>
      </c>
      <c r="L51" s="64">
        <v>31.23</v>
      </c>
      <c r="M51" s="64">
        <v>66.38</v>
      </c>
      <c r="N51" s="64">
        <v>631.5</v>
      </c>
      <c r="O51" s="64">
        <v>0</v>
      </c>
      <c r="P51" s="64">
        <v>0.38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1441</v>
      </c>
      <c r="B52" s="64">
        <v>4.4800000000000004</v>
      </c>
      <c r="C52" s="64">
        <v>7.61</v>
      </c>
      <c r="D52" s="64">
        <v>7.57</v>
      </c>
      <c r="E52" s="64">
        <v>4.0199999999999996</v>
      </c>
      <c r="F52" s="64">
        <v>3.87</v>
      </c>
      <c r="G52" s="64">
        <v>21.78</v>
      </c>
      <c r="H52" s="64">
        <v>7.17</v>
      </c>
      <c r="I52" s="64">
        <v>5.72</v>
      </c>
      <c r="J52" s="64">
        <v>1.31</v>
      </c>
      <c r="K52" s="64">
        <v>118.26</v>
      </c>
      <c r="L52" s="64">
        <v>30.91</v>
      </c>
      <c r="M52" s="64">
        <v>67.38</v>
      </c>
      <c r="N52" s="64">
        <v>867.6</v>
      </c>
      <c r="O52" s="64">
        <v>0</v>
      </c>
      <c r="P52" s="64">
        <v>0.36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5" t="s">
        <v>1442</v>
      </c>
      <c r="B53" s="64">
        <v>3.76</v>
      </c>
      <c r="C53" s="64">
        <v>7.63</v>
      </c>
      <c r="D53" s="64">
        <v>7</v>
      </c>
      <c r="E53" s="64">
        <v>3.51</v>
      </c>
      <c r="F53" s="64">
        <v>4.68</v>
      </c>
      <c r="G53" s="64">
        <v>21.78</v>
      </c>
      <c r="H53" s="64">
        <v>7.17</v>
      </c>
      <c r="I53" s="64">
        <v>5.44</v>
      </c>
      <c r="J53" s="64">
        <v>1.27</v>
      </c>
      <c r="K53" s="64">
        <v>111.65</v>
      </c>
      <c r="L53" s="64">
        <v>30.75</v>
      </c>
      <c r="M53" s="64">
        <v>64.97</v>
      </c>
      <c r="N53" s="64">
        <v>707.9</v>
      </c>
      <c r="O53" s="64">
        <v>0</v>
      </c>
      <c r="P53" s="64">
        <v>0.36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1443</v>
      </c>
      <c r="B54" s="64">
        <v>3.28</v>
      </c>
      <c r="C54" s="64">
        <v>7.49</v>
      </c>
      <c r="D54" s="64">
        <v>6.54</v>
      </c>
      <c r="E54" s="64">
        <v>3.89</v>
      </c>
      <c r="F54" s="64">
        <v>3.54</v>
      </c>
      <c r="G54" s="64">
        <v>21.78</v>
      </c>
      <c r="H54" s="64">
        <v>7.17</v>
      </c>
      <c r="I54" s="64">
        <v>5.62</v>
      </c>
      <c r="J54" s="64">
        <v>1.3</v>
      </c>
      <c r="K54" s="64">
        <v>112.07</v>
      </c>
      <c r="L54" s="64">
        <v>30.62</v>
      </c>
      <c r="M54" s="64">
        <v>64.33</v>
      </c>
      <c r="N54" s="64">
        <v>884.4</v>
      </c>
      <c r="O54" s="64">
        <v>0</v>
      </c>
      <c r="P54" s="64">
        <v>0.36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1444</v>
      </c>
      <c r="B55" s="64">
        <v>2.96</v>
      </c>
      <c r="C55" s="64">
        <v>6.73</v>
      </c>
      <c r="D55" s="64">
        <v>5.89</v>
      </c>
      <c r="E55" s="64">
        <v>3.59</v>
      </c>
      <c r="F55" s="64">
        <v>3.73</v>
      </c>
      <c r="G55" s="64">
        <v>19.91</v>
      </c>
      <c r="H55" s="64">
        <v>9.01</v>
      </c>
      <c r="I55" s="64">
        <v>5.95</v>
      </c>
      <c r="J55" s="64">
        <v>1.34</v>
      </c>
      <c r="K55" s="64">
        <v>118.29</v>
      </c>
      <c r="L55" s="64">
        <v>30.62</v>
      </c>
      <c r="M55" s="64">
        <v>64.3</v>
      </c>
      <c r="N55" s="64">
        <v>709.8</v>
      </c>
      <c r="O55" s="64">
        <v>0</v>
      </c>
      <c r="P55" s="64">
        <v>0.34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1445</v>
      </c>
      <c r="B56" s="64">
        <v>2.61</v>
      </c>
      <c r="C56" s="64">
        <v>6.28</v>
      </c>
      <c r="D56" s="64">
        <v>5.37</v>
      </c>
      <c r="E56" s="64">
        <v>4.47</v>
      </c>
      <c r="F56" s="64">
        <v>3.56</v>
      </c>
      <c r="G56" s="64">
        <v>19.12</v>
      </c>
      <c r="H56" s="64">
        <v>9.77</v>
      </c>
      <c r="I56" s="64">
        <v>5.5</v>
      </c>
      <c r="J56" s="64">
        <v>2.09</v>
      </c>
      <c r="K56" s="64">
        <v>119.86</v>
      </c>
      <c r="L56" s="64">
        <v>29.88</v>
      </c>
      <c r="M56" s="64">
        <v>65.41</v>
      </c>
      <c r="N56" s="64">
        <v>505.3</v>
      </c>
      <c r="O56" s="64">
        <v>0</v>
      </c>
      <c r="P56" s="64">
        <v>0.33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1446</v>
      </c>
      <c r="B57" s="64">
        <v>2.2999999999999998</v>
      </c>
      <c r="C57" s="64">
        <v>6.07</v>
      </c>
      <c r="D57" s="64">
        <v>5.01</v>
      </c>
      <c r="E57" s="64">
        <v>4.34</v>
      </c>
      <c r="F57" s="64">
        <v>4.04</v>
      </c>
      <c r="G57" s="64">
        <v>19.12</v>
      </c>
      <c r="H57" s="64">
        <v>9.77</v>
      </c>
      <c r="I57" s="64">
        <v>4.67</v>
      </c>
      <c r="J57" s="64">
        <v>1.38</v>
      </c>
      <c r="K57" s="64">
        <v>121.84</v>
      </c>
      <c r="L57" s="64">
        <v>30.4</v>
      </c>
      <c r="M57" s="64">
        <v>62.17</v>
      </c>
      <c r="N57" s="64">
        <v>713.4</v>
      </c>
      <c r="O57" s="64">
        <v>0</v>
      </c>
      <c r="P57" s="64">
        <v>0.32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5" t="s">
        <v>1447</v>
      </c>
      <c r="B58" s="64">
        <v>2.0299999999999998</v>
      </c>
      <c r="C58" s="64">
        <v>5.88</v>
      </c>
      <c r="D58" s="64">
        <v>4.7</v>
      </c>
      <c r="E58" s="64">
        <v>4.2300000000000004</v>
      </c>
      <c r="F58" s="64">
        <v>4</v>
      </c>
      <c r="G58" s="64">
        <v>19.12</v>
      </c>
      <c r="H58" s="64">
        <v>9.77</v>
      </c>
      <c r="I58" s="64">
        <v>4.92</v>
      </c>
      <c r="J58" s="64">
        <v>2.0299999999999998</v>
      </c>
      <c r="K58" s="64">
        <v>110.7</v>
      </c>
      <c r="L58" s="64">
        <v>30.56</v>
      </c>
      <c r="M58" s="64">
        <v>61.17</v>
      </c>
      <c r="N58" s="64">
        <v>510.8</v>
      </c>
      <c r="O58" s="64">
        <v>0</v>
      </c>
      <c r="P58" s="64">
        <v>0.31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5" t="s">
        <v>1448</v>
      </c>
      <c r="B59" s="64">
        <v>1.79</v>
      </c>
      <c r="C59" s="64">
        <v>5.79</v>
      </c>
      <c r="D59" s="64">
        <v>4.46</v>
      </c>
      <c r="E59" s="64">
        <v>4.33</v>
      </c>
      <c r="F59" s="64">
        <v>4.0599999999999996</v>
      </c>
      <c r="G59" s="64">
        <v>17.93</v>
      </c>
      <c r="H59" s="64">
        <v>5.93</v>
      </c>
      <c r="I59" s="64">
        <v>4.6500000000000004</v>
      </c>
      <c r="J59" s="64">
        <v>1.19</v>
      </c>
      <c r="K59" s="64">
        <v>117</v>
      </c>
      <c r="L59" s="64">
        <v>31</v>
      </c>
      <c r="M59" s="64">
        <v>59.75</v>
      </c>
      <c r="N59" s="64">
        <v>686.1</v>
      </c>
      <c r="O59" s="64">
        <v>0</v>
      </c>
      <c r="P59" s="64">
        <v>0.3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5" t="s">
        <v>1449</v>
      </c>
      <c r="B60" s="64">
        <v>1.62</v>
      </c>
      <c r="C60" s="64">
        <v>5.61</v>
      </c>
      <c r="D60" s="64">
        <v>4.2300000000000004</v>
      </c>
      <c r="E60" s="64">
        <v>4.59</v>
      </c>
      <c r="F60" s="64">
        <v>4.34</v>
      </c>
      <c r="G60" s="64">
        <v>17.420000000000002</v>
      </c>
      <c r="H60" s="211" t="s">
        <v>42</v>
      </c>
      <c r="I60" s="64">
        <v>4.78</v>
      </c>
      <c r="J60" s="64">
        <v>1.47</v>
      </c>
      <c r="K60" s="64">
        <v>117.51</v>
      </c>
      <c r="L60" s="64">
        <v>31.06</v>
      </c>
      <c r="M60" s="64">
        <v>56.78</v>
      </c>
      <c r="N60" s="64">
        <v>740.7</v>
      </c>
      <c r="O60" s="64">
        <v>0</v>
      </c>
      <c r="P60" s="64">
        <v>0.3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1450</v>
      </c>
      <c r="B61" s="64">
        <v>1.49</v>
      </c>
      <c r="C61" s="64">
        <v>5.44</v>
      </c>
      <c r="D61" s="64">
        <v>4.04</v>
      </c>
      <c r="E61" s="64">
        <v>4.25</v>
      </c>
      <c r="F61" s="64">
        <v>3.46</v>
      </c>
      <c r="G61" s="64">
        <v>17.420000000000002</v>
      </c>
      <c r="H61" s="211" t="s">
        <v>42</v>
      </c>
      <c r="I61" s="64">
        <v>4.51</v>
      </c>
      <c r="J61" s="64">
        <v>1.75</v>
      </c>
      <c r="K61" s="64">
        <v>121.35</v>
      </c>
      <c r="L61" s="64">
        <v>30.82</v>
      </c>
      <c r="M61" s="64">
        <v>57.32</v>
      </c>
      <c r="N61" s="64">
        <v>433.2</v>
      </c>
      <c r="O61" s="64">
        <v>0</v>
      </c>
      <c r="P61" s="64">
        <v>0.28999999999999998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1451</v>
      </c>
      <c r="B62" s="64">
        <v>1.39</v>
      </c>
      <c r="C62" s="64">
        <v>5.75</v>
      </c>
      <c r="D62" s="64">
        <v>4.12</v>
      </c>
      <c r="E62" s="64">
        <v>4.3</v>
      </c>
      <c r="F62" s="64">
        <v>3.96</v>
      </c>
      <c r="G62" s="64">
        <v>17.420000000000002</v>
      </c>
      <c r="H62" s="211" t="s">
        <v>42</v>
      </c>
      <c r="I62" s="64">
        <v>4.43</v>
      </c>
      <c r="J62" s="64">
        <v>1.25</v>
      </c>
      <c r="K62" s="64">
        <v>121.79</v>
      </c>
      <c r="L62" s="64">
        <v>30.98</v>
      </c>
      <c r="M62" s="64">
        <v>55.04</v>
      </c>
      <c r="N62" s="64">
        <v>268.5</v>
      </c>
      <c r="O62" s="64">
        <v>0</v>
      </c>
      <c r="P62" s="64">
        <v>0.3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1452</v>
      </c>
      <c r="B63" s="64">
        <v>1.25</v>
      </c>
      <c r="C63" s="64">
        <v>5.53</v>
      </c>
      <c r="D63" s="64">
        <v>3.89</v>
      </c>
      <c r="E63" s="64">
        <v>4.38</v>
      </c>
      <c r="F63" s="64">
        <v>4.17</v>
      </c>
      <c r="G63" s="64">
        <v>15.98</v>
      </c>
      <c r="H63" s="64">
        <v>8.92</v>
      </c>
      <c r="I63" s="64">
        <v>5.09</v>
      </c>
      <c r="J63" s="64">
        <v>0.61</v>
      </c>
      <c r="K63" s="64">
        <v>107.13</v>
      </c>
      <c r="L63" s="64">
        <v>31.41</v>
      </c>
      <c r="M63" s="64">
        <v>55.96</v>
      </c>
      <c r="N63" s="64">
        <v>228.7</v>
      </c>
      <c r="O63" s="64">
        <v>0</v>
      </c>
      <c r="P63" s="64">
        <v>0.31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5" t="s">
        <v>1453</v>
      </c>
      <c r="B64" s="64">
        <v>1.26</v>
      </c>
      <c r="C64" s="64">
        <v>5.94</v>
      </c>
      <c r="D64" s="64">
        <v>4.1100000000000003</v>
      </c>
      <c r="E64" s="64">
        <v>4.3899999999999997</v>
      </c>
      <c r="F64" s="64">
        <v>4.5199999999999996</v>
      </c>
      <c r="G64" s="64">
        <v>15.36</v>
      </c>
      <c r="H64" s="64">
        <v>10.44</v>
      </c>
      <c r="I64" s="64">
        <v>4.82</v>
      </c>
      <c r="J64" s="64">
        <v>0.32</v>
      </c>
      <c r="K64" s="64">
        <v>96.24</v>
      </c>
      <c r="L64" s="64">
        <v>31.17</v>
      </c>
      <c r="M64" s="64">
        <v>58.64</v>
      </c>
      <c r="N64" s="64">
        <v>173.6</v>
      </c>
      <c r="O64" s="64">
        <v>0</v>
      </c>
      <c r="P64" s="64">
        <v>0.37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5" t="s">
        <v>1454</v>
      </c>
      <c r="B65" s="64">
        <v>1.48</v>
      </c>
      <c r="C65" s="64">
        <v>6.07</v>
      </c>
      <c r="D65" s="64">
        <v>4.3600000000000003</v>
      </c>
      <c r="E65" s="64">
        <v>4.8499999999999996</v>
      </c>
      <c r="F65" s="64">
        <v>4.32</v>
      </c>
      <c r="G65" s="64">
        <v>15.36</v>
      </c>
      <c r="H65" s="64">
        <v>10.44</v>
      </c>
      <c r="I65" s="64">
        <v>4.54</v>
      </c>
      <c r="J65" s="64">
        <v>0.96</v>
      </c>
      <c r="K65" s="64">
        <v>118.22</v>
      </c>
      <c r="L65" s="64">
        <v>30.47</v>
      </c>
      <c r="M65" s="64">
        <v>62.24</v>
      </c>
      <c r="N65" s="64">
        <v>159.9</v>
      </c>
      <c r="O65" s="64">
        <v>0</v>
      </c>
      <c r="P65" s="64">
        <v>0.37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1455</v>
      </c>
      <c r="B66" s="64">
        <v>1.45</v>
      </c>
      <c r="C66" s="64">
        <v>6.33</v>
      </c>
      <c r="D66" s="64">
        <v>4.46</v>
      </c>
      <c r="E66" s="64">
        <v>4.66</v>
      </c>
      <c r="F66" s="64">
        <v>4.6500000000000004</v>
      </c>
      <c r="G66" s="64">
        <v>15.36</v>
      </c>
      <c r="H66" s="64">
        <v>10.44</v>
      </c>
      <c r="I66" s="64">
        <v>3.82</v>
      </c>
      <c r="J66" s="64">
        <v>1.55</v>
      </c>
      <c r="K66" s="64">
        <v>114.55</v>
      </c>
      <c r="L66" s="64">
        <v>30.16</v>
      </c>
      <c r="M66" s="64">
        <v>61.33</v>
      </c>
      <c r="N66" s="64">
        <v>152.19999999999999</v>
      </c>
      <c r="O66" s="64">
        <v>0</v>
      </c>
      <c r="P66" s="64">
        <v>0.33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1456</v>
      </c>
      <c r="B67" s="64">
        <v>1.26</v>
      </c>
      <c r="C67" s="64">
        <v>6.41</v>
      </c>
      <c r="D67" s="64">
        <v>4.3600000000000003</v>
      </c>
      <c r="E67" s="64">
        <v>4.3899999999999997</v>
      </c>
      <c r="F67" s="64">
        <v>4.33</v>
      </c>
      <c r="G67" s="64">
        <v>17.239999999999998</v>
      </c>
      <c r="H67" s="64">
        <v>7.48</v>
      </c>
      <c r="I67" s="64">
        <v>3.81</v>
      </c>
      <c r="J67" s="64">
        <v>0.49</v>
      </c>
      <c r="K67" s="64">
        <v>101.73</v>
      </c>
      <c r="L67" s="64">
        <v>30.04</v>
      </c>
      <c r="M67" s="64">
        <v>60.95</v>
      </c>
      <c r="N67" s="64">
        <v>109.8</v>
      </c>
      <c r="O67" s="64">
        <v>0</v>
      </c>
      <c r="P67" s="64">
        <v>0.34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1457</v>
      </c>
      <c r="B68" s="64">
        <v>1.31</v>
      </c>
      <c r="C68" s="64">
        <v>6.55</v>
      </c>
      <c r="D68" s="64">
        <v>4.47</v>
      </c>
      <c r="E68" s="64">
        <v>4.33</v>
      </c>
      <c r="F68" s="64">
        <v>4.43</v>
      </c>
      <c r="G68" s="64">
        <v>18.04</v>
      </c>
      <c r="H68" s="64">
        <v>6.11</v>
      </c>
      <c r="I68" s="64">
        <v>3.75</v>
      </c>
      <c r="J68" s="64">
        <v>0.5</v>
      </c>
      <c r="K68" s="64">
        <v>105.16</v>
      </c>
      <c r="L68" s="64">
        <v>30.15</v>
      </c>
      <c r="M68" s="64">
        <v>60.29</v>
      </c>
      <c r="N68" s="64">
        <v>101.9</v>
      </c>
      <c r="O68" s="64">
        <v>0</v>
      </c>
      <c r="P68" s="64">
        <v>0.36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1458</v>
      </c>
      <c r="B69" s="64">
        <v>1.36</v>
      </c>
      <c r="C69" s="64">
        <v>6.34</v>
      </c>
      <c r="D69" s="64">
        <v>4.4000000000000004</v>
      </c>
      <c r="E69" s="64">
        <v>4.3899999999999997</v>
      </c>
      <c r="F69" s="64">
        <v>4.45</v>
      </c>
      <c r="G69" s="64">
        <v>18.04</v>
      </c>
      <c r="H69" s="64">
        <v>6.11</v>
      </c>
      <c r="I69" s="64">
        <v>3.17</v>
      </c>
      <c r="J69" s="64">
        <v>1.91</v>
      </c>
      <c r="K69" s="64">
        <v>114.33</v>
      </c>
      <c r="L69" s="64">
        <v>30.03</v>
      </c>
      <c r="M69" s="64">
        <v>56.78</v>
      </c>
      <c r="N69" s="64">
        <v>92.5</v>
      </c>
      <c r="O69" s="64">
        <v>0</v>
      </c>
      <c r="P69" s="64">
        <v>0.33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1459</v>
      </c>
      <c r="B70" s="64">
        <v>1.17</v>
      </c>
      <c r="C70" s="64">
        <v>6.47</v>
      </c>
      <c r="D70" s="64">
        <v>4.32</v>
      </c>
      <c r="E70" s="64">
        <v>4.75</v>
      </c>
      <c r="F70" s="64">
        <v>5.22</v>
      </c>
      <c r="G70" s="64">
        <v>18.04</v>
      </c>
      <c r="H70" s="64">
        <v>6.11</v>
      </c>
      <c r="I70" s="64">
        <v>3.06</v>
      </c>
      <c r="J70" s="64">
        <v>0.65</v>
      </c>
      <c r="K70" s="64">
        <v>115.49</v>
      </c>
      <c r="L70" s="64">
        <v>30.02</v>
      </c>
      <c r="M70" s="64">
        <v>56.05</v>
      </c>
      <c r="N70" s="64">
        <v>85.5</v>
      </c>
      <c r="O70" s="64">
        <v>0</v>
      </c>
      <c r="P70" s="64">
        <v>0.32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5" t="s">
        <v>1460</v>
      </c>
      <c r="B71" s="64">
        <v>1.18</v>
      </c>
      <c r="C71" s="64">
        <v>6.57</v>
      </c>
      <c r="D71" s="64">
        <v>4.38</v>
      </c>
      <c r="E71" s="64">
        <v>4.97</v>
      </c>
      <c r="F71" s="64">
        <v>4.4400000000000004</v>
      </c>
      <c r="G71" s="64">
        <v>14.58</v>
      </c>
      <c r="H71" s="64">
        <v>8.43</v>
      </c>
      <c r="I71" s="64">
        <v>3.92</v>
      </c>
      <c r="J71" s="64">
        <v>1.39</v>
      </c>
      <c r="K71" s="64">
        <v>116.23</v>
      </c>
      <c r="L71" s="64">
        <v>30.09</v>
      </c>
      <c r="M71" s="64">
        <v>56.48</v>
      </c>
      <c r="N71" s="64">
        <v>76.900000000000006</v>
      </c>
      <c r="O71" s="64">
        <v>0</v>
      </c>
      <c r="P71" s="64">
        <v>0.33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1461</v>
      </c>
      <c r="B72" s="64">
        <v>1.19</v>
      </c>
      <c r="C72" s="64">
        <v>5.91</v>
      </c>
      <c r="D72" s="64">
        <v>4.04</v>
      </c>
      <c r="E72" s="64">
        <v>2.94</v>
      </c>
      <c r="F72" s="64">
        <v>4.76</v>
      </c>
      <c r="G72" s="64">
        <v>13.09</v>
      </c>
      <c r="H72" s="64">
        <v>8.6199999999999992</v>
      </c>
      <c r="I72" s="64">
        <v>3.26</v>
      </c>
      <c r="J72" s="64">
        <v>1.1499999999999999</v>
      </c>
      <c r="K72" s="64">
        <v>121.57</v>
      </c>
      <c r="L72" s="64">
        <v>29.89</v>
      </c>
      <c r="M72" s="64">
        <v>54.83</v>
      </c>
      <c r="N72" s="64">
        <v>69.7</v>
      </c>
      <c r="O72" s="64">
        <v>0</v>
      </c>
      <c r="P72" s="64">
        <v>0.32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1462</v>
      </c>
      <c r="B73" s="64">
        <v>1.22</v>
      </c>
      <c r="C73" s="64">
        <v>5.69</v>
      </c>
      <c r="D73" s="64">
        <v>3.95</v>
      </c>
      <c r="E73" s="64">
        <v>4.3600000000000003</v>
      </c>
      <c r="F73" s="64">
        <v>4.68</v>
      </c>
      <c r="G73" s="64">
        <v>13.09</v>
      </c>
      <c r="H73" s="64">
        <v>8.6199999999999992</v>
      </c>
      <c r="I73" s="64">
        <v>2.72</v>
      </c>
      <c r="J73" s="64">
        <v>1.43</v>
      </c>
      <c r="K73" s="64">
        <v>113.15</v>
      </c>
      <c r="L73" s="64">
        <v>29.88</v>
      </c>
      <c r="M73" s="64">
        <v>55.23</v>
      </c>
      <c r="N73" s="64">
        <v>63.1</v>
      </c>
      <c r="O73" s="64">
        <v>0</v>
      </c>
      <c r="P73" s="64">
        <v>0.3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1463</v>
      </c>
      <c r="B74" s="64">
        <v>1.19</v>
      </c>
      <c r="C74" s="64">
        <v>5.59</v>
      </c>
      <c r="D74" s="64">
        <v>3.88</v>
      </c>
      <c r="E74" s="64">
        <v>3.99</v>
      </c>
      <c r="F74" s="64">
        <v>4.6399999999999997</v>
      </c>
      <c r="G74" s="64">
        <v>13.09</v>
      </c>
      <c r="H74" s="64">
        <v>8.6199999999999992</v>
      </c>
      <c r="I74" s="64">
        <v>2.31</v>
      </c>
      <c r="J74" s="64">
        <v>1.43</v>
      </c>
      <c r="K74" s="64">
        <v>116.32</v>
      </c>
      <c r="L74" s="64">
        <v>29.66</v>
      </c>
      <c r="M74" s="64">
        <v>56.82</v>
      </c>
      <c r="N74" s="64">
        <v>57.2</v>
      </c>
      <c r="O74" s="64">
        <v>0</v>
      </c>
      <c r="P74" s="64">
        <v>0.31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5" t="s">
        <v>1464</v>
      </c>
      <c r="B75" s="64">
        <v>1.1499999999999999</v>
      </c>
      <c r="C75" s="64">
        <v>5.44</v>
      </c>
      <c r="D75" s="64">
        <v>3.76</v>
      </c>
      <c r="E75" s="64">
        <v>4.1399999999999997</v>
      </c>
      <c r="F75" s="64">
        <v>4.54</v>
      </c>
      <c r="G75" s="64">
        <v>13.15</v>
      </c>
      <c r="H75" s="64">
        <v>8.4600000000000009</v>
      </c>
      <c r="I75" s="64">
        <v>2.87</v>
      </c>
      <c r="J75" s="64">
        <v>1.62</v>
      </c>
      <c r="K75" s="64">
        <v>113.43</v>
      </c>
      <c r="L75" s="64">
        <v>29.54</v>
      </c>
      <c r="M75" s="64">
        <v>53.9</v>
      </c>
      <c r="N75" s="64">
        <v>53.1</v>
      </c>
      <c r="O75" s="64">
        <v>0</v>
      </c>
      <c r="P75" s="64">
        <v>0.31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1465</v>
      </c>
      <c r="B76" s="64">
        <v>1.1100000000000001</v>
      </c>
      <c r="C76" s="64">
        <v>5.34</v>
      </c>
      <c r="D76" s="64">
        <v>3.68</v>
      </c>
      <c r="E76" s="64">
        <v>3.93</v>
      </c>
      <c r="F76" s="64">
        <v>4.3099999999999996</v>
      </c>
      <c r="G76" s="64">
        <v>13.18</v>
      </c>
      <c r="H76" s="64">
        <v>8.4499999999999993</v>
      </c>
      <c r="I76" s="64">
        <v>2.46</v>
      </c>
      <c r="J76" s="64">
        <v>1.81</v>
      </c>
      <c r="K76" s="64">
        <v>119</v>
      </c>
      <c r="L76" s="64">
        <v>29.35</v>
      </c>
      <c r="M76" s="64">
        <v>58.34</v>
      </c>
      <c r="N76" s="64">
        <v>48.7</v>
      </c>
      <c r="O76" s="64">
        <v>0</v>
      </c>
      <c r="P76" s="64">
        <v>0.3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1466</v>
      </c>
      <c r="B77" s="64">
        <v>1.07</v>
      </c>
      <c r="C77" s="64">
        <v>5.07</v>
      </c>
      <c r="D77" s="64">
        <v>3.51</v>
      </c>
      <c r="E77" s="64">
        <v>3.98</v>
      </c>
      <c r="F77" s="64">
        <v>4.03</v>
      </c>
      <c r="G77" s="64">
        <v>13.18</v>
      </c>
      <c r="H77" s="64">
        <v>8.4499999999999993</v>
      </c>
      <c r="I77" s="64">
        <v>2.63</v>
      </c>
      <c r="J77" s="64">
        <v>1.52</v>
      </c>
      <c r="K77" s="64">
        <v>123.85</v>
      </c>
      <c r="L77" s="64">
        <v>29.18</v>
      </c>
      <c r="M77" s="64">
        <v>60.11</v>
      </c>
      <c r="N77" s="64">
        <v>41.8</v>
      </c>
      <c r="O77" s="64">
        <v>0</v>
      </c>
      <c r="P77" s="64">
        <v>0.31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1467</v>
      </c>
      <c r="B78" s="64">
        <v>1.04</v>
      </c>
      <c r="C78" s="64">
        <v>4.95</v>
      </c>
      <c r="D78" s="64">
        <v>3.42</v>
      </c>
      <c r="E78" s="64">
        <v>3.82</v>
      </c>
      <c r="F78" s="64">
        <v>4.1100000000000003</v>
      </c>
      <c r="G78" s="64">
        <v>13.18</v>
      </c>
      <c r="H78" s="64">
        <v>8.4499999999999993</v>
      </c>
      <c r="I78" s="64">
        <v>3.53</v>
      </c>
      <c r="J78" s="64">
        <v>1.04</v>
      </c>
      <c r="K78" s="64">
        <v>113</v>
      </c>
      <c r="L78" s="64">
        <v>28.87</v>
      </c>
      <c r="M78" s="64">
        <v>64.290000000000006</v>
      </c>
      <c r="N78" s="64">
        <v>32.6</v>
      </c>
      <c r="O78" s="64">
        <v>0</v>
      </c>
      <c r="P78" s="64">
        <v>0.32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1468</v>
      </c>
      <c r="B79" s="64">
        <v>1.02</v>
      </c>
      <c r="C79" s="64">
        <v>5.0999999999999996</v>
      </c>
      <c r="D79" s="64">
        <v>3.48</v>
      </c>
      <c r="E79" s="64">
        <v>4.24</v>
      </c>
      <c r="F79" s="64">
        <v>4.12</v>
      </c>
      <c r="G79" s="64">
        <v>14.64</v>
      </c>
      <c r="H79" s="64">
        <v>6.51</v>
      </c>
      <c r="I79" s="64">
        <v>2.88</v>
      </c>
      <c r="J79" s="64">
        <v>1.08</v>
      </c>
      <c r="K79" s="64">
        <v>119.88</v>
      </c>
      <c r="L79" s="64">
        <v>28.69</v>
      </c>
      <c r="M79" s="64">
        <v>66.459999999999994</v>
      </c>
      <c r="N79" s="64">
        <v>28.1</v>
      </c>
      <c r="O79" s="64">
        <v>0</v>
      </c>
      <c r="P79" s="64">
        <v>0.34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1469</v>
      </c>
      <c r="B80" s="64">
        <v>0.91</v>
      </c>
      <c r="C80" s="64">
        <v>5.12</v>
      </c>
      <c r="D80" s="64">
        <v>3.41</v>
      </c>
      <c r="E80" s="64">
        <v>3.94</v>
      </c>
      <c r="F80" s="64">
        <v>4.58</v>
      </c>
      <c r="G80" s="64">
        <v>15.26</v>
      </c>
      <c r="H80" s="64">
        <v>6.39</v>
      </c>
      <c r="I80" s="64">
        <v>2.84</v>
      </c>
      <c r="J80" s="64">
        <v>0.81</v>
      </c>
      <c r="K80" s="64">
        <v>122.14</v>
      </c>
      <c r="L80" s="64">
        <v>28.47</v>
      </c>
      <c r="M80" s="64">
        <v>68.760000000000005</v>
      </c>
      <c r="N80" s="64">
        <v>26.4</v>
      </c>
      <c r="O80" s="64">
        <v>0</v>
      </c>
      <c r="P80" s="64">
        <v>0.36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5" t="s">
        <v>1470</v>
      </c>
      <c r="B81" s="64">
        <v>0.87</v>
      </c>
      <c r="C81" s="64">
        <v>5.07</v>
      </c>
      <c r="D81" s="64">
        <v>3.35</v>
      </c>
      <c r="E81" s="64">
        <v>3.95</v>
      </c>
      <c r="F81" s="64">
        <v>4.3499999999999996</v>
      </c>
      <c r="G81" s="64">
        <v>15.26</v>
      </c>
      <c r="H81" s="64">
        <v>6.39</v>
      </c>
      <c r="I81" s="64">
        <v>2.8</v>
      </c>
      <c r="J81" s="64">
        <v>0.89</v>
      </c>
      <c r="K81" s="64">
        <v>119.9</v>
      </c>
      <c r="L81" s="64">
        <v>28.33</v>
      </c>
      <c r="M81" s="64">
        <v>69.81</v>
      </c>
      <c r="N81" s="64">
        <v>26.1</v>
      </c>
      <c r="O81" s="64">
        <v>0</v>
      </c>
      <c r="P81" s="64">
        <v>0.37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1471</v>
      </c>
      <c r="B82" s="64">
        <v>0.9</v>
      </c>
      <c r="C82" s="64">
        <v>5.52</v>
      </c>
      <c r="D82" s="64">
        <v>3.61</v>
      </c>
      <c r="E82" s="64">
        <v>4.04</v>
      </c>
      <c r="F82" s="64">
        <v>4.01</v>
      </c>
      <c r="G82" s="64">
        <v>15.26</v>
      </c>
      <c r="H82" s="64">
        <v>6.39</v>
      </c>
      <c r="I82" s="64">
        <v>1.97</v>
      </c>
      <c r="J82" s="64">
        <v>1.19</v>
      </c>
      <c r="K82" s="64">
        <v>123.97</v>
      </c>
      <c r="L82" s="64">
        <v>28.23</v>
      </c>
      <c r="M82" s="64">
        <v>71.64</v>
      </c>
      <c r="N82" s="64">
        <v>26</v>
      </c>
      <c r="O82" s="64">
        <v>0</v>
      </c>
      <c r="P82" s="64">
        <v>0.39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5" t="s">
        <v>1472</v>
      </c>
      <c r="B83" s="64">
        <v>0.88</v>
      </c>
      <c r="C83" s="64">
        <v>5.4</v>
      </c>
      <c r="D83" s="64">
        <v>3.53</v>
      </c>
      <c r="E83" s="64">
        <v>4.26</v>
      </c>
      <c r="F83" s="64">
        <v>4.03</v>
      </c>
      <c r="G83" s="64">
        <v>18.739999999999998</v>
      </c>
      <c r="H83" s="64">
        <v>4.41</v>
      </c>
      <c r="I83" s="64">
        <v>2.58</v>
      </c>
      <c r="J83" s="64">
        <v>1.24</v>
      </c>
      <c r="K83" s="64">
        <v>118.23</v>
      </c>
      <c r="L83" s="64">
        <v>28.15</v>
      </c>
      <c r="M83" s="64">
        <v>72.27</v>
      </c>
      <c r="N83" s="64">
        <v>26</v>
      </c>
      <c r="O83" s="64">
        <v>0</v>
      </c>
      <c r="P83" s="64">
        <v>0.39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1473</v>
      </c>
      <c r="B84" s="64">
        <v>0.99</v>
      </c>
      <c r="C84" s="64">
        <v>5.94</v>
      </c>
      <c r="D84" s="64">
        <v>3.9</v>
      </c>
      <c r="E84" s="64">
        <v>4.34</v>
      </c>
      <c r="F84" s="64">
        <v>4.03</v>
      </c>
      <c r="G84" s="64">
        <v>20.239999999999998</v>
      </c>
      <c r="H84" s="64">
        <v>4.21</v>
      </c>
      <c r="I84" s="64">
        <v>2.2799999999999998</v>
      </c>
      <c r="J84" s="64">
        <v>1.1299999999999999</v>
      </c>
      <c r="K84" s="64">
        <v>114.86</v>
      </c>
      <c r="L84" s="64">
        <v>28.04</v>
      </c>
      <c r="M84" s="64">
        <v>73.25</v>
      </c>
      <c r="N84" s="64">
        <v>26</v>
      </c>
      <c r="O84" s="64">
        <v>0</v>
      </c>
      <c r="P84" s="64">
        <v>0.38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1474</v>
      </c>
      <c r="B85" s="64">
        <v>1.07</v>
      </c>
      <c r="C85" s="64">
        <v>5.83</v>
      </c>
      <c r="D85" s="64">
        <v>3.9</v>
      </c>
      <c r="E85" s="64">
        <v>4.3899999999999997</v>
      </c>
      <c r="F85" s="64">
        <v>5.23</v>
      </c>
      <c r="G85" s="64">
        <v>20.239999999999998</v>
      </c>
      <c r="H85" s="64">
        <v>4.21</v>
      </c>
      <c r="I85" s="64">
        <v>2.85</v>
      </c>
      <c r="J85" s="64">
        <v>1.1499999999999999</v>
      </c>
      <c r="K85" s="64">
        <v>125.52</v>
      </c>
      <c r="L85" s="64">
        <v>27.88</v>
      </c>
      <c r="M85" s="64">
        <v>74.25</v>
      </c>
      <c r="N85" s="64">
        <v>25.9</v>
      </c>
      <c r="O85" s="64">
        <v>0</v>
      </c>
      <c r="P85" s="64">
        <v>0.38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5" t="s">
        <v>1475</v>
      </c>
      <c r="B86" s="64">
        <v>1.0900000000000001</v>
      </c>
      <c r="C86" s="64">
        <v>5.94</v>
      </c>
      <c r="D86" s="64">
        <v>3.98</v>
      </c>
      <c r="E86" s="64">
        <v>4.18</v>
      </c>
      <c r="F86" s="64">
        <v>3.73</v>
      </c>
      <c r="G86" s="64">
        <v>20.239999999999998</v>
      </c>
      <c r="H86" s="64">
        <v>4.21</v>
      </c>
      <c r="I86" s="64">
        <v>2.4900000000000002</v>
      </c>
      <c r="J86" s="64">
        <v>0.68</v>
      </c>
      <c r="K86" s="64">
        <v>121.85</v>
      </c>
      <c r="L86" s="64">
        <v>27.83</v>
      </c>
      <c r="M86" s="64">
        <v>74.17</v>
      </c>
      <c r="N86" s="64">
        <v>26.1</v>
      </c>
      <c r="O86" s="64">
        <v>0</v>
      </c>
      <c r="P86" s="64">
        <v>0.42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1476</v>
      </c>
      <c r="B87" s="64">
        <v>1.2</v>
      </c>
      <c r="C87" s="64">
        <v>6.08</v>
      </c>
      <c r="D87" s="64">
        <v>4.1399999999999997</v>
      </c>
      <c r="E87" s="64">
        <v>4.2</v>
      </c>
      <c r="F87" s="64">
        <v>4.3899999999999997</v>
      </c>
      <c r="G87" s="64">
        <v>21.42</v>
      </c>
      <c r="H87" s="64">
        <v>3.68</v>
      </c>
      <c r="I87" s="64">
        <v>2.8</v>
      </c>
      <c r="J87" s="64">
        <v>1.03</v>
      </c>
      <c r="K87" s="64">
        <v>116.65</v>
      </c>
      <c r="L87" s="64">
        <v>27.75</v>
      </c>
      <c r="M87" s="64">
        <v>74.3</v>
      </c>
      <c r="N87" s="64">
        <v>26</v>
      </c>
      <c r="O87" s="64">
        <v>0</v>
      </c>
      <c r="P87" s="64">
        <v>0.44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1477</v>
      </c>
      <c r="B88" s="64">
        <v>1.41</v>
      </c>
      <c r="C88" s="64">
        <v>6.01</v>
      </c>
      <c r="D88" s="64">
        <v>4.2699999999999996</v>
      </c>
      <c r="E88" s="64">
        <v>4.03</v>
      </c>
      <c r="F88" s="64">
        <v>3.31</v>
      </c>
      <c r="G88" s="64">
        <v>21.93</v>
      </c>
      <c r="H88" s="64">
        <v>3.64</v>
      </c>
      <c r="I88" s="64">
        <v>2.78</v>
      </c>
      <c r="J88" s="64">
        <v>0.94</v>
      </c>
      <c r="K88" s="64">
        <v>112.85</v>
      </c>
      <c r="L88" s="64">
        <v>27.51</v>
      </c>
      <c r="M88" s="64">
        <v>76.459999999999994</v>
      </c>
      <c r="N88" s="64">
        <v>26.2</v>
      </c>
      <c r="O88" s="64">
        <v>0</v>
      </c>
      <c r="P88" s="64">
        <v>0.54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1478</v>
      </c>
      <c r="B89" s="64">
        <v>1.64</v>
      </c>
      <c r="C89" s="64">
        <v>5.84</v>
      </c>
      <c r="D89" s="64">
        <v>4.3600000000000003</v>
      </c>
      <c r="E89" s="64">
        <v>3.98</v>
      </c>
      <c r="F89" s="64">
        <v>3.74</v>
      </c>
      <c r="G89" s="64">
        <v>21.93</v>
      </c>
      <c r="H89" s="64">
        <v>3.64</v>
      </c>
      <c r="I89" s="64">
        <v>2.82</v>
      </c>
      <c r="J89" s="64">
        <v>7.0000000000000007E-2</v>
      </c>
      <c r="K89" s="64">
        <v>135.16</v>
      </c>
      <c r="L89" s="64">
        <v>27.25</v>
      </c>
      <c r="M89" s="64">
        <v>80.05</v>
      </c>
      <c r="N89" s="64">
        <v>26.3</v>
      </c>
      <c r="O89" s="64">
        <v>0</v>
      </c>
      <c r="P89" s="64">
        <v>0.63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5" t="s">
        <v>1479</v>
      </c>
      <c r="B90" s="64">
        <v>2.08</v>
      </c>
      <c r="C90" s="64">
        <v>5.97</v>
      </c>
      <c r="D90" s="64">
        <v>4.79</v>
      </c>
      <c r="E90" s="64">
        <v>4.6100000000000003</v>
      </c>
      <c r="F90" s="64">
        <v>3.71</v>
      </c>
      <c r="G90" s="64">
        <v>21.93</v>
      </c>
      <c r="H90" s="64">
        <v>3.64</v>
      </c>
      <c r="I90" s="64">
        <v>2.77</v>
      </c>
      <c r="J90" s="64">
        <v>0.67</v>
      </c>
      <c r="K90" s="64">
        <v>116.52</v>
      </c>
      <c r="L90" s="64">
        <v>27.03</v>
      </c>
      <c r="M90" s="64">
        <v>80.849999999999994</v>
      </c>
      <c r="N90" s="64">
        <v>26.1</v>
      </c>
      <c r="O90" s="64">
        <v>0</v>
      </c>
      <c r="P90" s="64">
        <v>0.56000000000000005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5" t="s">
        <v>1480</v>
      </c>
      <c r="B91" s="64">
        <v>2.41</v>
      </c>
      <c r="C91" s="64">
        <v>6.08</v>
      </c>
      <c r="D91" s="64">
        <v>5.1100000000000003</v>
      </c>
      <c r="E91" s="64">
        <v>4.3099999999999996</v>
      </c>
      <c r="F91" s="64">
        <v>3.66</v>
      </c>
      <c r="G91" s="64">
        <v>26.38</v>
      </c>
      <c r="H91" s="64">
        <v>19.64</v>
      </c>
      <c r="I91" s="64">
        <v>2.59</v>
      </c>
      <c r="J91" s="64">
        <v>0.56999999999999995</v>
      </c>
      <c r="K91" s="64">
        <v>117.92</v>
      </c>
      <c r="L91" s="64">
        <v>27.1</v>
      </c>
      <c r="M91" s="64">
        <v>80.33</v>
      </c>
      <c r="N91" s="64">
        <v>26</v>
      </c>
      <c r="O91" s="64">
        <v>0</v>
      </c>
      <c r="P91" s="64">
        <v>0.57999999999999996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1481</v>
      </c>
      <c r="B92" s="64">
        <v>2.79</v>
      </c>
      <c r="C92" s="64">
        <v>6.25</v>
      </c>
      <c r="D92" s="64">
        <v>5.5</v>
      </c>
      <c r="E92" s="64">
        <v>4.32</v>
      </c>
      <c r="F92" s="64">
        <v>3.59</v>
      </c>
      <c r="G92" s="64">
        <v>28.29</v>
      </c>
      <c r="H92" s="64">
        <v>20.67</v>
      </c>
      <c r="I92" s="64">
        <v>2.09</v>
      </c>
      <c r="J92" s="64">
        <v>0.26</v>
      </c>
      <c r="K92" s="64">
        <v>113.82</v>
      </c>
      <c r="L92" s="64">
        <v>26.93</v>
      </c>
      <c r="M92" s="64">
        <v>81.72</v>
      </c>
      <c r="N92" s="64">
        <v>26.1</v>
      </c>
      <c r="O92" s="64">
        <v>0</v>
      </c>
      <c r="P92" s="64">
        <v>0.6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1482</v>
      </c>
      <c r="B93" s="64">
        <v>3.11</v>
      </c>
      <c r="C93" s="64">
        <v>6.31</v>
      </c>
      <c r="D93" s="64">
        <v>5.79</v>
      </c>
      <c r="E93" s="64">
        <v>4.1900000000000004</v>
      </c>
      <c r="F93" s="64">
        <v>3.47</v>
      </c>
      <c r="G93" s="64">
        <v>28.29</v>
      </c>
      <c r="H93" s="64">
        <v>20.67</v>
      </c>
      <c r="I93" s="64">
        <v>2.08</v>
      </c>
      <c r="J93" s="64">
        <v>0.28000000000000003</v>
      </c>
      <c r="K93" s="64">
        <v>103.25</v>
      </c>
      <c r="L93" s="64">
        <v>26.79</v>
      </c>
      <c r="M93" s="64">
        <v>83.06</v>
      </c>
      <c r="N93" s="64">
        <v>26.1</v>
      </c>
      <c r="O93" s="64">
        <v>0</v>
      </c>
      <c r="P93" s="64">
        <v>0.56000000000000005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5" t="s">
        <v>1483</v>
      </c>
      <c r="B94" s="64">
        <v>3.4</v>
      </c>
      <c r="C94" s="64">
        <v>6.19</v>
      </c>
      <c r="D94" s="64">
        <v>5.96</v>
      </c>
      <c r="E94" s="64">
        <v>4.53</v>
      </c>
      <c r="F94" s="64">
        <v>3.45</v>
      </c>
      <c r="G94" s="64">
        <v>28.29</v>
      </c>
      <c r="H94" s="64">
        <v>20.67</v>
      </c>
      <c r="I94" s="64">
        <v>2.09</v>
      </c>
      <c r="J94" s="64">
        <v>0.26</v>
      </c>
      <c r="K94" s="64">
        <v>97.73</v>
      </c>
      <c r="L94" s="64">
        <v>26.65</v>
      </c>
      <c r="M94" s="64">
        <v>84.78</v>
      </c>
      <c r="N94" s="64">
        <v>26.1</v>
      </c>
      <c r="O94" s="64">
        <v>0</v>
      </c>
      <c r="P94" s="64">
        <v>0.51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1484</v>
      </c>
      <c r="B95" s="64">
        <v>3.6</v>
      </c>
      <c r="C95" s="64">
        <v>6.25</v>
      </c>
      <c r="D95" s="64">
        <v>6.15</v>
      </c>
      <c r="E95" s="64">
        <v>4.42</v>
      </c>
      <c r="F95" s="64">
        <v>3.04</v>
      </c>
      <c r="G95" s="64">
        <v>27.8</v>
      </c>
      <c r="H95" s="64">
        <v>16.829999999999998</v>
      </c>
      <c r="I95" s="64">
        <v>1.79</v>
      </c>
      <c r="J95" s="64">
        <v>0.27</v>
      </c>
      <c r="K95" s="64">
        <v>97.96</v>
      </c>
      <c r="L95" s="64">
        <v>26.56</v>
      </c>
      <c r="M95" s="64">
        <v>86.16</v>
      </c>
      <c r="N95" s="64">
        <v>26.1</v>
      </c>
      <c r="O95" s="64">
        <v>0</v>
      </c>
      <c r="P95" s="64">
        <v>0.51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1485</v>
      </c>
      <c r="B96" s="64">
        <v>3.92</v>
      </c>
      <c r="C96" s="64">
        <v>6.65</v>
      </c>
      <c r="D96" s="64">
        <v>6.62</v>
      </c>
      <c r="E96" s="64">
        <v>4.43</v>
      </c>
      <c r="F96" s="64">
        <v>3.47</v>
      </c>
      <c r="G96" s="64">
        <v>27.6</v>
      </c>
      <c r="H96" s="64">
        <v>16.59</v>
      </c>
      <c r="I96" s="64">
        <v>1.76</v>
      </c>
      <c r="J96" s="64">
        <v>0.45</v>
      </c>
      <c r="K96" s="64">
        <v>122.05</v>
      </c>
      <c r="L96" s="64">
        <v>26.39</v>
      </c>
      <c r="M96" s="64">
        <v>88.38</v>
      </c>
      <c r="N96" s="64">
        <v>26</v>
      </c>
      <c r="O96" s="64">
        <v>0</v>
      </c>
      <c r="P96" s="64">
        <v>0.5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1486</v>
      </c>
      <c r="B97" s="64">
        <v>4.04</v>
      </c>
      <c r="C97" s="64">
        <v>6.81</v>
      </c>
      <c r="D97" s="64">
        <v>6.8</v>
      </c>
      <c r="E97" s="64">
        <v>4.5999999999999996</v>
      </c>
      <c r="F97" s="64">
        <v>3.94</v>
      </c>
      <c r="G97" s="64">
        <v>27.6</v>
      </c>
      <c r="H97" s="64">
        <v>16.59</v>
      </c>
      <c r="I97" s="64">
        <v>2.73</v>
      </c>
      <c r="J97" s="64">
        <v>0.63</v>
      </c>
      <c r="K97" s="64">
        <v>113.49</v>
      </c>
      <c r="L97" s="64">
        <v>26.29</v>
      </c>
      <c r="M97" s="64">
        <v>88.61</v>
      </c>
      <c r="N97" s="64">
        <v>26</v>
      </c>
      <c r="O97" s="64">
        <v>0</v>
      </c>
      <c r="P97" s="64">
        <v>0.47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5" t="s">
        <v>1487</v>
      </c>
      <c r="B98" s="64">
        <v>4.1500000000000004</v>
      </c>
      <c r="C98" s="64">
        <v>6.7</v>
      </c>
      <c r="D98" s="64">
        <v>6.82</v>
      </c>
      <c r="E98" s="64">
        <v>4.71</v>
      </c>
      <c r="F98" s="64">
        <v>3.97</v>
      </c>
      <c r="G98" s="64">
        <v>27.6</v>
      </c>
      <c r="H98" s="64">
        <v>16.59</v>
      </c>
      <c r="I98" s="64">
        <v>3</v>
      </c>
      <c r="J98" s="64">
        <v>0.36</v>
      </c>
      <c r="K98" s="64">
        <v>114.18</v>
      </c>
      <c r="L98" s="64">
        <v>26.21</v>
      </c>
      <c r="M98" s="64">
        <v>88.62</v>
      </c>
      <c r="N98" s="64">
        <v>26</v>
      </c>
      <c r="O98" s="64">
        <v>0</v>
      </c>
      <c r="P98" s="64">
        <v>0.48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1488</v>
      </c>
      <c r="B99" s="64">
        <v>4.2300000000000004</v>
      </c>
      <c r="C99" s="64">
        <v>6.67</v>
      </c>
      <c r="D99" s="64">
        <v>6.88</v>
      </c>
      <c r="E99" s="64">
        <v>4.75</v>
      </c>
      <c r="F99" s="64">
        <v>3.99</v>
      </c>
      <c r="G99" s="64">
        <v>28.98</v>
      </c>
      <c r="H99" s="64">
        <v>9.36</v>
      </c>
      <c r="I99" s="64">
        <v>3.18</v>
      </c>
      <c r="J99" s="64">
        <v>0.26</v>
      </c>
      <c r="K99" s="64">
        <v>102.12</v>
      </c>
      <c r="L99" s="64">
        <v>26.21</v>
      </c>
      <c r="M99" s="64">
        <v>87.82</v>
      </c>
      <c r="N99" s="64">
        <v>26</v>
      </c>
      <c r="O99" s="64">
        <v>0</v>
      </c>
      <c r="P99" s="64">
        <v>0.52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1489</v>
      </c>
      <c r="B100" s="64">
        <v>5.21</v>
      </c>
      <c r="C100" s="64">
        <v>7.09</v>
      </c>
      <c r="D100" s="64">
        <v>7.88</v>
      </c>
      <c r="E100" s="64">
        <v>4.6500000000000004</v>
      </c>
      <c r="F100" s="64">
        <v>3.42</v>
      </c>
      <c r="G100" s="64">
        <v>29.57</v>
      </c>
      <c r="H100" s="64">
        <v>8.6300000000000008</v>
      </c>
      <c r="I100" s="64">
        <v>2.02</v>
      </c>
      <c r="J100" s="64">
        <v>0.74</v>
      </c>
      <c r="K100" s="64">
        <v>120.19</v>
      </c>
      <c r="L100" s="64">
        <v>26.14</v>
      </c>
      <c r="M100" s="64">
        <v>87.59</v>
      </c>
      <c r="N100" s="64">
        <v>25.9</v>
      </c>
      <c r="O100" s="64">
        <v>0</v>
      </c>
      <c r="P100" s="64">
        <v>0.49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1490</v>
      </c>
      <c r="B101" s="64">
        <v>5.6</v>
      </c>
      <c r="C101" s="64">
        <v>7.01</v>
      </c>
      <c r="D101" s="64">
        <v>8.15</v>
      </c>
      <c r="E101" s="64">
        <v>4.46</v>
      </c>
      <c r="F101" s="64">
        <v>3.65</v>
      </c>
      <c r="G101" s="64">
        <v>29.57</v>
      </c>
      <c r="H101" s="64">
        <v>8.6300000000000008</v>
      </c>
      <c r="I101" s="64">
        <v>2.63</v>
      </c>
      <c r="J101" s="64">
        <v>0.41</v>
      </c>
      <c r="K101" s="64">
        <v>110.81</v>
      </c>
      <c r="L101" s="64">
        <v>25.97</v>
      </c>
      <c r="M101" s="64">
        <v>89.28</v>
      </c>
      <c r="N101" s="64">
        <v>26.1</v>
      </c>
      <c r="O101" s="64">
        <v>0</v>
      </c>
      <c r="P101" s="64">
        <v>0.48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1491</v>
      </c>
      <c r="B102" s="64">
        <v>5.79</v>
      </c>
      <c r="C102" s="64">
        <v>6.89</v>
      </c>
      <c r="D102" s="64">
        <v>8.24</v>
      </c>
      <c r="E102" s="64">
        <v>4.42</v>
      </c>
      <c r="F102" s="64">
        <v>3.61</v>
      </c>
      <c r="G102" s="64">
        <v>29.57</v>
      </c>
      <c r="H102" s="64">
        <v>8.6300000000000008</v>
      </c>
      <c r="I102" s="64">
        <v>3.16</v>
      </c>
      <c r="J102" s="64">
        <v>0.47</v>
      </c>
      <c r="K102" s="64">
        <v>103.03</v>
      </c>
      <c r="L102" s="64">
        <v>25.86</v>
      </c>
      <c r="M102" s="64">
        <v>90.22</v>
      </c>
      <c r="N102" s="64">
        <v>26.1</v>
      </c>
      <c r="O102" s="64">
        <v>0</v>
      </c>
      <c r="P102" s="64">
        <v>0.47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5" t="s">
        <v>1492</v>
      </c>
      <c r="B103" s="64">
        <v>5.81</v>
      </c>
      <c r="C103" s="64">
        <v>7.18</v>
      </c>
      <c r="D103" s="64">
        <v>8.41</v>
      </c>
      <c r="E103" s="64">
        <v>4.74</v>
      </c>
      <c r="F103" s="64">
        <v>3.36</v>
      </c>
      <c r="G103" s="64">
        <v>27.65</v>
      </c>
      <c r="H103" s="64">
        <v>19.649999999999999</v>
      </c>
      <c r="I103" s="64">
        <v>2.16</v>
      </c>
      <c r="J103" s="64">
        <v>0.8</v>
      </c>
      <c r="K103" s="64">
        <v>113.51</v>
      </c>
      <c r="L103" s="64">
        <v>25.81</v>
      </c>
      <c r="M103" s="64">
        <v>91.29</v>
      </c>
      <c r="N103" s="64">
        <v>25.9</v>
      </c>
      <c r="O103" s="64">
        <v>0</v>
      </c>
      <c r="P103" s="64">
        <v>0.45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1493</v>
      </c>
      <c r="B104" s="64">
        <v>5.65</v>
      </c>
      <c r="C104" s="64">
        <v>6.63</v>
      </c>
      <c r="D104" s="64">
        <v>8</v>
      </c>
      <c r="E104" s="64">
        <v>4</v>
      </c>
      <c r="F104" s="64">
        <v>3.61</v>
      </c>
      <c r="G104" s="64">
        <v>26.82</v>
      </c>
      <c r="H104" s="64">
        <v>20.36</v>
      </c>
      <c r="I104" s="64">
        <v>2.5299999999999998</v>
      </c>
      <c r="J104" s="64">
        <v>0.73</v>
      </c>
      <c r="K104" s="64">
        <v>109.7</v>
      </c>
      <c r="L104" s="64">
        <v>25.7</v>
      </c>
      <c r="M104" s="64">
        <v>91.92</v>
      </c>
      <c r="N104" s="64">
        <v>26.1</v>
      </c>
      <c r="O104" s="64">
        <v>0</v>
      </c>
      <c r="P104" s="64">
        <v>0.44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0.87</v>
      </c>
      <c r="C106" s="67">
        <f>MIN(C9:C104)</f>
        <v>3.75</v>
      </c>
      <c r="D106" s="67">
        <f t="shared" ref="D106:Q106" si="0">MIN(D9:D104)</f>
        <v>3.35</v>
      </c>
      <c r="E106" s="67">
        <f t="shared" si="0"/>
        <v>2.94</v>
      </c>
      <c r="F106" s="67">
        <f t="shared" si="0"/>
        <v>2.57</v>
      </c>
      <c r="G106" s="67">
        <f t="shared" si="0"/>
        <v>13.09</v>
      </c>
      <c r="H106" s="67">
        <f t="shared" si="0"/>
        <v>0.01</v>
      </c>
      <c r="I106" s="67">
        <f t="shared" si="0"/>
        <v>0.62</v>
      </c>
      <c r="J106" s="67">
        <f t="shared" si="0"/>
        <v>0.05</v>
      </c>
      <c r="K106" s="67">
        <f t="shared" si="0"/>
        <v>4.79</v>
      </c>
      <c r="L106" s="67">
        <f t="shared" si="0"/>
        <v>23.54</v>
      </c>
      <c r="M106" s="67">
        <f t="shared" si="0"/>
        <v>53.9</v>
      </c>
      <c r="N106" s="67">
        <f t="shared" si="0"/>
        <v>25.9</v>
      </c>
      <c r="O106" s="67">
        <f t="shared" si="0"/>
        <v>0</v>
      </c>
      <c r="P106" s="67">
        <f t="shared" si="0"/>
        <v>0.27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20.25</v>
      </c>
      <c r="C107" s="66">
        <f t="shared" ref="C107:Q107" si="1">MAX(C9:C104)</f>
        <v>8.2100000000000009</v>
      </c>
      <c r="D107" s="66">
        <f t="shared" si="1"/>
        <v>19.55</v>
      </c>
      <c r="E107" s="66">
        <f t="shared" si="1"/>
        <v>6.01</v>
      </c>
      <c r="F107" s="66">
        <f t="shared" si="1"/>
        <v>5.23</v>
      </c>
      <c r="G107" s="66">
        <f t="shared" si="1"/>
        <v>32.31</v>
      </c>
      <c r="H107" s="66">
        <f t="shared" si="1"/>
        <v>31.02</v>
      </c>
      <c r="I107" s="66">
        <f t="shared" si="1"/>
        <v>5.95</v>
      </c>
      <c r="J107" s="66">
        <f t="shared" si="1"/>
        <v>2.09</v>
      </c>
      <c r="K107" s="66">
        <f t="shared" si="1"/>
        <v>339.89</v>
      </c>
      <c r="L107" s="66">
        <f t="shared" si="1"/>
        <v>31.41</v>
      </c>
      <c r="M107" s="66">
        <f t="shared" si="1"/>
        <v>102.14</v>
      </c>
      <c r="N107" s="66">
        <f t="shared" si="1"/>
        <v>884.4</v>
      </c>
      <c r="O107" s="66">
        <f t="shared" si="1"/>
        <v>0</v>
      </c>
      <c r="P107" s="66">
        <f t="shared" si="1"/>
        <v>0.63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4.580729166666667</v>
      </c>
      <c r="C108" s="67">
        <f t="shared" ref="C108:Q108" si="2">AVERAGE(C9:C104)</f>
        <v>5.8398958333333306</v>
      </c>
      <c r="D108" s="67">
        <f t="shared" si="2"/>
        <v>6.7243749999999984</v>
      </c>
      <c r="E108" s="67">
        <f t="shared" si="2"/>
        <v>4.4789583333333338</v>
      </c>
      <c r="F108" s="67">
        <f t="shared" si="2"/>
        <v>3.9198958333333347</v>
      </c>
      <c r="G108" s="67">
        <f t="shared" si="2"/>
        <v>22.166145833333331</v>
      </c>
      <c r="H108" s="67">
        <f t="shared" si="2"/>
        <v>9.0838709677419374</v>
      </c>
      <c r="I108" s="67">
        <f t="shared" si="2"/>
        <v>3.0878124999999987</v>
      </c>
      <c r="J108" s="67">
        <f t="shared" si="2"/>
        <v>0.86624999999999996</v>
      </c>
      <c r="K108" s="67">
        <f t="shared" si="2"/>
        <v>131.11999999999998</v>
      </c>
      <c r="L108" s="67">
        <f t="shared" si="2"/>
        <v>27.771770833333335</v>
      </c>
      <c r="M108" s="67">
        <f t="shared" si="2"/>
        <v>77.377395833333324</v>
      </c>
      <c r="N108" s="67">
        <f t="shared" si="2"/>
        <v>192.95729166666652</v>
      </c>
      <c r="O108" s="67">
        <f t="shared" si="2"/>
        <v>0</v>
      </c>
      <c r="P108" s="67">
        <f t="shared" si="2"/>
        <v>0.38614583333333313</v>
      </c>
      <c r="Q108" s="67">
        <f t="shared" si="2"/>
        <v>9.6115625000000087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5.0681729802223723</v>
      </c>
      <c r="C109" s="67">
        <f t="shared" ref="C109:Q109" si="3">STDEV(C9:C104)</f>
        <v>0.95920854962134749</v>
      </c>
      <c r="D109" s="67">
        <f t="shared" si="3"/>
        <v>4.2305380552409799</v>
      </c>
      <c r="E109" s="67">
        <f t="shared" si="3"/>
        <v>0.54638424722353696</v>
      </c>
      <c r="F109" s="67">
        <f t="shared" si="3"/>
        <v>0.50854279909242839</v>
      </c>
      <c r="G109" s="67">
        <f t="shared" si="3"/>
        <v>5.5678695481148344</v>
      </c>
      <c r="H109" s="67">
        <f t="shared" si="3"/>
        <v>7.2228556366846419</v>
      </c>
      <c r="I109" s="67">
        <f t="shared" si="3"/>
        <v>1.3277992897826754</v>
      </c>
      <c r="J109" s="67">
        <f t="shared" si="3"/>
        <v>0.48907269936396791</v>
      </c>
      <c r="K109" s="67">
        <f t="shared" si="3"/>
        <v>54.373847138413787</v>
      </c>
      <c r="L109" s="67">
        <f t="shared" si="3"/>
        <v>2.3408383540008488</v>
      </c>
      <c r="M109" s="67">
        <f t="shared" si="3"/>
        <v>14.217794428464931</v>
      </c>
      <c r="N109" s="67">
        <f t="shared" si="3"/>
        <v>263.22358906642256</v>
      </c>
      <c r="O109" s="67">
        <f t="shared" si="3"/>
        <v>0</v>
      </c>
      <c r="P109" s="67">
        <f t="shared" si="3"/>
        <v>8.4222384718787249E-2</v>
      </c>
      <c r="Q109" s="67">
        <f t="shared" si="3"/>
        <v>8.2498006355497498E-3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93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1494</v>
      </c>
      <c r="B9" s="64">
        <v>5.51</v>
      </c>
      <c r="C9" s="64">
        <v>5.99</v>
      </c>
      <c r="D9" s="64">
        <v>7.55</v>
      </c>
      <c r="E9" s="64">
        <v>4.7699999999999996</v>
      </c>
      <c r="F9" s="64">
        <v>3.5</v>
      </c>
      <c r="G9" s="64">
        <v>26.82</v>
      </c>
      <c r="H9" s="64">
        <v>20.36</v>
      </c>
      <c r="I9" s="64">
        <v>2.64</v>
      </c>
      <c r="J9" s="64">
        <v>0.99</v>
      </c>
      <c r="K9" s="64">
        <v>124.01</v>
      </c>
      <c r="L9" s="64">
        <v>25.67</v>
      </c>
      <c r="M9" s="64">
        <v>91.05</v>
      </c>
      <c r="N9" s="64">
        <v>25.9</v>
      </c>
      <c r="O9" s="64">
        <v>0</v>
      </c>
      <c r="P9" s="64">
        <v>0.4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1495</v>
      </c>
      <c r="B10" s="64">
        <v>5.34</v>
      </c>
      <c r="C10" s="64">
        <v>5.68</v>
      </c>
      <c r="D10" s="64">
        <v>7.25</v>
      </c>
      <c r="E10" s="64">
        <v>4.8499999999999996</v>
      </c>
      <c r="F10" s="64">
        <v>3.59</v>
      </c>
      <c r="G10" s="64">
        <v>26.82</v>
      </c>
      <c r="H10" s="64">
        <v>20.36</v>
      </c>
      <c r="I10" s="64">
        <v>1.68</v>
      </c>
      <c r="J10" s="64">
        <v>0.23</v>
      </c>
      <c r="K10" s="64">
        <v>87.41</v>
      </c>
      <c r="L10" s="64">
        <v>25.65</v>
      </c>
      <c r="M10" s="64">
        <v>91.05</v>
      </c>
      <c r="N10" s="64">
        <v>26.1</v>
      </c>
      <c r="O10" s="64">
        <v>0</v>
      </c>
      <c r="P10" s="64">
        <v>0.42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1496</v>
      </c>
      <c r="B11" s="64">
        <v>5.4</v>
      </c>
      <c r="C11" s="64">
        <v>5.6</v>
      </c>
      <c r="D11" s="64">
        <v>7.25</v>
      </c>
      <c r="E11" s="64">
        <v>4.99</v>
      </c>
      <c r="F11" s="64">
        <v>3.36</v>
      </c>
      <c r="G11" s="64">
        <v>27.5</v>
      </c>
      <c r="H11" s="64">
        <v>7.53</v>
      </c>
      <c r="I11" s="64">
        <v>1.32</v>
      </c>
      <c r="J11" s="64">
        <v>0.21</v>
      </c>
      <c r="K11" s="64">
        <v>324.58</v>
      </c>
      <c r="L11" s="64">
        <v>25.42</v>
      </c>
      <c r="M11" s="64">
        <v>92.91</v>
      </c>
      <c r="N11" s="64">
        <v>26.1</v>
      </c>
      <c r="O11" s="64">
        <v>0</v>
      </c>
      <c r="P11" s="64">
        <v>0.47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1497</v>
      </c>
      <c r="B12" s="64">
        <v>5.4</v>
      </c>
      <c r="C12" s="64">
        <v>5.45</v>
      </c>
      <c r="D12" s="64">
        <v>7.17</v>
      </c>
      <c r="E12" s="64">
        <v>4.5599999999999996</v>
      </c>
      <c r="F12" s="64">
        <v>3.56</v>
      </c>
      <c r="G12" s="64">
        <v>27.79</v>
      </c>
      <c r="H12" s="64">
        <v>6.7</v>
      </c>
      <c r="I12" s="64">
        <v>1.38</v>
      </c>
      <c r="J12" s="64">
        <v>0.12</v>
      </c>
      <c r="K12" s="64">
        <v>139.93</v>
      </c>
      <c r="L12" s="64">
        <v>25.1</v>
      </c>
      <c r="M12" s="64">
        <v>95.55</v>
      </c>
      <c r="N12" s="64">
        <v>26.1</v>
      </c>
      <c r="O12" s="64">
        <v>0</v>
      </c>
      <c r="P12" s="64">
        <v>0.44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1498</v>
      </c>
      <c r="B13" s="64">
        <v>5.32</v>
      </c>
      <c r="C13" s="64">
        <v>5.23</v>
      </c>
      <c r="D13" s="64">
        <v>6.99</v>
      </c>
      <c r="E13" s="64">
        <v>4.87</v>
      </c>
      <c r="F13" s="64">
        <v>6.34</v>
      </c>
      <c r="G13" s="64">
        <v>27.79</v>
      </c>
      <c r="H13" s="64">
        <v>6.7</v>
      </c>
      <c r="I13" s="64">
        <v>1.39</v>
      </c>
      <c r="J13" s="64">
        <v>0.3</v>
      </c>
      <c r="K13" s="64">
        <v>65.45</v>
      </c>
      <c r="L13" s="64">
        <v>25.01</v>
      </c>
      <c r="M13" s="64">
        <v>96.16</v>
      </c>
      <c r="N13" s="64">
        <v>26.1</v>
      </c>
      <c r="O13" s="64">
        <v>0</v>
      </c>
      <c r="P13" s="64">
        <v>0.39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1499</v>
      </c>
      <c r="B14" s="64">
        <v>5.24</v>
      </c>
      <c r="C14" s="64">
        <v>5.01</v>
      </c>
      <c r="D14" s="64">
        <v>6.82</v>
      </c>
      <c r="E14" s="64">
        <v>4.6900000000000004</v>
      </c>
      <c r="F14" s="64">
        <v>3.49</v>
      </c>
      <c r="G14" s="64">
        <v>27.79</v>
      </c>
      <c r="H14" s="64">
        <v>6.7</v>
      </c>
      <c r="I14" s="64">
        <v>1.49</v>
      </c>
      <c r="J14" s="64">
        <v>0.24</v>
      </c>
      <c r="K14" s="64">
        <v>126.7</v>
      </c>
      <c r="L14" s="64">
        <v>24.91</v>
      </c>
      <c r="M14" s="64">
        <v>97.29</v>
      </c>
      <c r="N14" s="64">
        <v>26.1</v>
      </c>
      <c r="O14" s="64">
        <v>0</v>
      </c>
      <c r="P14" s="64">
        <v>0.45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1500</v>
      </c>
      <c r="B15" s="64">
        <v>5.14</v>
      </c>
      <c r="C15" s="64">
        <v>4.87</v>
      </c>
      <c r="D15" s="64">
        <v>6.67</v>
      </c>
      <c r="E15" s="64">
        <v>4.71</v>
      </c>
      <c r="F15" s="64">
        <v>3.55</v>
      </c>
      <c r="G15" s="64">
        <v>25.98</v>
      </c>
      <c r="H15" s="64">
        <v>11.76</v>
      </c>
      <c r="I15" s="64">
        <v>1.56</v>
      </c>
      <c r="J15" s="64">
        <v>0.51</v>
      </c>
      <c r="K15" s="64">
        <v>343.62</v>
      </c>
      <c r="L15" s="64">
        <v>24.83</v>
      </c>
      <c r="M15" s="64">
        <v>100.9</v>
      </c>
      <c r="N15" s="64">
        <v>26</v>
      </c>
      <c r="O15" s="64">
        <v>0</v>
      </c>
      <c r="P15" s="64">
        <v>0.4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1501</v>
      </c>
      <c r="B16" s="64">
        <v>5.03</v>
      </c>
      <c r="C16" s="64">
        <v>5.04</v>
      </c>
      <c r="D16" s="64">
        <v>6.67</v>
      </c>
      <c r="E16" s="64">
        <v>4.9400000000000004</v>
      </c>
      <c r="F16" s="64">
        <v>3.66</v>
      </c>
      <c r="G16" s="64">
        <v>25.21</v>
      </c>
      <c r="H16" s="64">
        <v>12.17</v>
      </c>
      <c r="I16" s="64">
        <v>2.13</v>
      </c>
      <c r="J16" s="64">
        <v>0.49</v>
      </c>
      <c r="K16" s="64">
        <v>343.75</v>
      </c>
      <c r="L16" s="64">
        <v>24.62</v>
      </c>
      <c r="M16" s="64">
        <v>102.65</v>
      </c>
      <c r="N16" s="64">
        <v>26.1</v>
      </c>
      <c r="O16" s="64">
        <v>0</v>
      </c>
      <c r="P16" s="64">
        <v>0.46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1502</v>
      </c>
      <c r="B17" s="64">
        <v>4.8499999999999996</v>
      </c>
      <c r="C17" s="64">
        <v>4.96</v>
      </c>
      <c r="D17" s="64">
        <v>6.48</v>
      </c>
      <c r="E17" s="64">
        <v>4.7</v>
      </c>
      <c r="F17" s="64">
        <v>3.96</v>
      </c>
      <c r="G17" s="64">
        <v>25.21</v>
      </c>
      <c r="H17" s="64">
        <v>12.17</v>
      </c>
      <c r="I17" s="64">
        <v>2.4300000000000002</v>
      </c>
      <c r="J17" s="64">
        <v>0.16</v>
      </c>
      <c r="K17" s="64">
        <v>302.55</v>
      </c>
      <c r="L17" s="64">
        <v>24.51</v>
      </c>
      <c r="M17" s="64">
        <v>102.65</v>
      </c>
      <c r="N17" s="64">
        <v>26.1</v>
      </c>
      <c r="O17" s="64">
        <v>0</v>
      </c>
      <c r="P17" s="64">
        <v>0.43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1503</v>
      </c>
      <c r="B18" s="64">
        <v>4.55</v>
      </c>
      <c r="C18" s="64">
        <v>4.78</v>
      </c>
      <c r="D18" s="64">
        <v>6.15</v>
      </c>
      <c r="E18" s="64">
        <v>4.8600000000000003</v>
      </c>
      <c r="F18" s="64">
        <v>3.97</v>
      </c>
      <c r="G18" s="64">
        <v>25.21</v>
      </c>
      <c r="H18" s="64">
        <v>12.17</v>
      </c>
      <c r="I18" s="64">
        <v>3.08</v>
      </c>
      <c r="J18" s="64">
        <v>0.59</v>
      </c>
      <c r="K18" s="64">
        <v>342.87</v>
      </c>
      <c r="L18" s="64">
        <v>24.46</v>
      </c>
      <c r="M18" s="64">
        <v>102.68</v>
      </c>
      <c r="N18" s="64">
        <v>26</v>
      </c>
      <c r="O18" s="64">
        <v>0</v>
      </c>
      <c r="P18" s="64">
        <v>0.45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5" t="s">
        <v>1504</v>
      </c>
      <c r="B19" s="64">
        <v>4.34</v>
      </c>
      <c r="C19" s="64">
        <v>4.88</v>
      </c>
      <c r="D19" s="64">
        <v>6.03</v>
      </c>
      <c r="E19" s="64">
        <v>5.0999999999999996</v>
      </c>
      <c r="F19" s="64">
        <v>3.61</v>
      </c>
      <c r="G19" s="64">
        <v>25.87</v>
      </c>
      <c r="H19" s="64">
        <v>18.920000000000002</v>
      </c>
      <c r="I19" s="64">
        <v>3.23</v>
      </c>
      <c r="J19" s="64">
        <v>0.27</v>
      </c>
      <c r="K19" s="64">
        <v>1.68</v>
      </c>
      <c r="L19" s="64">
        <v>24.35</v>
      </c>
      <c r="M19" s="64">
        <v>102.67</v>
      </c>
      <c r="N19" s="64">
        <v>26.1</v>
      </c>
      <c r="O19" s="64">
        <v>0</v>
      </c>
      <c r="P19" s="64">
        <v>0.43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1505</v>
      </c>
      <c r="B20" s="64">
        <v>4.3600000000000003</v>
      </c>
      <c r="C20" s="64">
        <v>4.87</v>
      </c>
      <c r="D20" s="64">
        <v>6.04</v>
      </c>
      <c r="E20" s="64">
        <v>5.24</v>
      </c>
      <c r="F20" s="64">
        <v>3.61</v>
      </c>
      <c r="G20" s="64">
        <v>26.15</v>
      </c>
      <c r="H20" s="64">
        <v>19.79</v>
      </c>
      <c r="I20" s="64">
        <v>3.39</v>
      </c>
      <c r="J20" s="64">
        <v>0.39</v>
      </c>
      <c r="K20" s="64">
        <v>8.11</v>
      </c>
      <c r="L20" s="64">
        <v>24.17</v>
      </c>
      <c r="M20" s="64">
        <v>102.7</v>
      </c>
      <c r="N20" s="64">
        <v>26</v>
      </c>
      <c r="O20" s="64">
        <v>0</v>
      </c>
      <c r="P20" s="64">
        <v>0.45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5" t="s">
        <v>1506</v>
      </c>
      <c r="B21" s="64">
        <v>4.46</v>
      </c>
      <c r="C21" s="64">
        <v>4.7699999999999996</v>
      </c>
      <c r="D21" s="64">
        <v>6.07</v>
      </c>
      <c r="E21" s="64">
        <v>5.13</v>
      </c>
      <c r="F21" s="64">
        <v>4.03</v>
      </c>
      <c r="G21" s="64">
        <v>26.15</v>
      </c>
      <c r="H21" s="64">
        <v>19.79</v>
      </c>
      <c r="I21" s="64">
        <v>3.11</v>
      </c>
      <c r="J21" s="64">
        <v>0.5</v>
      </c>
      <c r="K21" s="64">
        <v>97.82</v>
      </c>
      <c r="L21" s="64">
        <v>24.16</v>
      </c>
      <c r="M21" s="64">
        <v>102.68</v>
      </c>
      <c r="N21" s="64">
        <v>26</v>
      </c>
      <c r="O21" s="64">
        <v>0</v>
      </c>
      <c r="P21" s="64">
        <v>0.45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5" t="s">
        <v>1507</v>
      </c>
      <c r="B22" s="64">
        <v>4.2699999999999996</v>
      </c>
      <c r="C22" s="64">
        <v>4.62</v>
      </c>
      <c r="D22" s="64">
        <v>5.84</v>
      </c>
      <c r="E22" s="64">
        <v>5.16</v>
      </c>
      <c r="F22" s="64">
        <v>3.44</v>
      </c>
      <c r="G22" s="64">
        <v>26.15</v>
      </c>
      <c r="H22" s="64">
        <v>19.79</v>
      </c>
      <c r="I22" s="64">
        <v>2.4300000000000002</v>
      </c>
      <c r="J22" s="64">
        <v>0.2</v>
      </c>
      <c r="K22" s="64">
        <v>12.3</v>
      </c>
      <c r="L22" s="64">
        <v>24.09</v>
      </c>
      <c r="M22" s="64">
        <v>102.69</v>
      </c>
      <c r="N22" s="64">
        <v>26</v>
      </c>
      <c r="O22" s="64">
        <v>0</v>
      </c>
      <c r="P22" s="64">
        <v>0.42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1508</v>
      </c>
      <c r="B23" s="64">
        <v>4.09</v>
      </c>
      <c r="C23" s="64">
        <v>4.91</v>
      </c>
      <c r="D23" s="64">
        <v>5.84</v>
      </c>
      <c r="E23" s="64">
        <v>4.55</v>
      </c>
      <c r="F23" s="64">
        <v>4.01</v>
      </c>
      <c r="G23" s="64">
        <v>28.92</v>
      </c>
      <c r="H23" s="64">
        <v>17.18</v>
      </c>
      <c r="I23" s="64">
        <v>2.2599999999999998</v>
      </c>
      <c r="J23" s="64">
        <v>0.18</v>
      </c>
      <c r="K23" s="64">
        <v>85.56</v>
      </c>
      <c r="L23" s="64">
        <v>24.06</v>
      </c>
      <c r="M23" s="64">
        <v>102.68</v>
      </c>
      <c r="N23" s="64">
        <v>26.1</v>
      </c>
      <c r="O23" s="64">
        <v>0</v>
      </c>
      <c r="P23" s="64">
        <v>0.44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1509</v>
      </c>
      <c r="B24" s="64">
        <v>3.99</v>
      </c>
      <c r="C24" s="64">
        <v>4.8099999999999996</v>
      </c>
      <c r="D24" s="64">
        <v>5.72</v>
      </c>
      <c r="E24" s="64">
        <v>4.08</v>
      </c>
      <c r="F24" s="64">
        <v>4.2699999999999996</v>
      </c>
      <c r="G24" s="64">
        <v>30.11</v>
      </c>
      <c r="H24" s="64">
        <v>16.97</v>
      </c>
      <c r="I24" s="64">
        <v>2.69</v>
      </c>
      <c r="J24" s="64">
        <v>0.3</v>
      </c>
      <c r="K24" s="64">
        <v>22.65</v>
      </c>
      <c r="L24" s="64">
        <v>24.05</v>
      </c>
      <c r="M24" s="64">
        <v>102.7</v>
      </c>
      <c r="N24" s="64">
        <v>25.9</v>
      </c>
      <c r="O24" s="64">
        <v>0</v>
      </c>
      <c r="P24" s="64">
        <v>0.44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5" t="s">
        <v>1510</v>
      </c>
      <c r="B25" s="64">
        <v>3.84</v>
      </c>
      <c r="C25" s="64">
        <v>4.9400000000000004</v>
      </c>
      <c r="D25" s="64">
        <v>5.66</v>
      </c>
      <c r="E25" s="64">
        <v>4.75</v>
      </c>
      <c r="F25" s="64">
        <v>3.52</v>
      </c>
      <c r="G25" s="64">
        <v>30.11</v>
      </c>
      <c r="H25" s="64">
        <v>16.97</v>
      </c>
      <c r="I25" s="64">
        <v>2.34</v>
      </c>
      <c r="J25" s="64">
        <v>0.05</v>
      </c>
      <c r="K25" s="64">
        <v>137.93</v>
      </c>
      <c r="L25" s="64">
        <v>23.99</v>
      </c>
      <c r="M25" s="64">
        <v>102.72</v>
      </c>
      <c r="N25" s="64">
        <v>26</v>
      </c>
      <c r="O25" s="64">
        <v>0</v>
      </c>
      <c r="P25" s="64">
        <v>0.45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1511</v>
      </c>
      <c r="B26" s="64">
        <v>3.86</v>
      </c>
      <c r="C26" s="64">
        <v>4.42</v>
      </c>
      <c r="D26" s="64">
        <v>5.4</v>
      </c>
      <c r="E26" s="64">
        <v>4.46</v>
      </c>
      <c r="F26" s="64">
        <v>3.78</v>
      </c>
      <c r="G26" s="64">
        <v>30.11</v>
      </c>
      <c r="H26" s="64">
        <v>16.97</v>
      </c>
      <c r="I26" s="64">
        <v>3.01</v>
      </c>
      <c r="J26" s="64">
        <v>0.22</v>
      </c>
      <c r="K26" s="64">
        <v>93.72</v>
      </c>
      <c r="L26" s="64">
        <v>23.94</v>
      </c>
      <c r="M26" s="64">
        <v>102.73</v>
      </c>
      <c r="N26" s="64">
        <v>26.1</v>
      </c>
      <c r="O26" s="64">
        <v>0</v>
      </c>
      <c r="P26" s="64">
        <v>0.48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1512</v>
      </c>
      <c r="B27" s="64">
        <v>3.91</v>
      </c>
      <c r="C27" s="64">
        <v>4.5</v>
      </c>
      <c r="D27" s="64">
        <v>5.49</v>
      </c>
      <c r="E27" s="64">
        <v>4.45</v>
      </c>
      <c r="F27" s="64">
        <v>4.16</v>
      </c>
      <c r="G27" s="64">
        <v>30.84</v>
      </c>
      <c r="H27" s="64">
        <v>25.37</v>
      </c>
      <c r="I27" s="64">
        <v>2.62</v>
      </c>
      <c r="J27" s="64">
        <v>0.28999999999999998</v>
      </c>
      <c r="K27" s="64">
        <v>318.94</v>
      </c>
      <c r="L27" s="64">
        <v>23.93</v>
      </c>
      <c r="M27" s="64">
        <v>102.73</v>
      </c>
      <c r="N27" s="64">
        <v>26</v>
      </c>
      <c r="O27" s="64">
        <v>0</v>
      </c>
      <c r="P27" s="64">
        <v>0.49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1513</v>
      </c>
      <c r="B28" s="64">
        <v>4.0599999999999996</v>
      </c>
      <c r="C28" s="64">
        <v>4.67</v>
      </c>
      <c r="D28" s="64">
        <v>5.7</v>
      </c>
      <c r="E28" s="64">
        <v>4.6100000000000003</v>
      </c>
      <c r="F28" s="64">
        <v>3.38</v>
      </c>
      <c r="G28" s="64">
        <v>31.16</v>
      </c>
      <c r="H28" s="64">
        <v>26.05</v>
      </c>
      <c r="I28" s="64">
        <v>2.09</v>
      </c>
      <c r="J28" s="64">
        <v>0.16</v>
      </c>
      <c r="K28" s="64">
        <v>280.25</v>
      </c>
      <c r="L28" s="64">
        <v>23.85</v>
      </c>
      <c r="M28" s="64">
        <v>102.73</v>
      </c>
      <c r="N28" s="64">
        <v>26.1</v>
      </c>
      <c r="O28" s="64">
        <v>0</v>
      </c>
      <c r="P28" s="64">
        <v>0.51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5" t="s">
        <v>1514</v>
      </c>
      <c r="B29" s="64">
        <v>4.4000000000000004</v>
      </c>
      <c r="C29" s="64">
        <v>4.68</v>
      </c>
      <c r="D29" s="64">
        <v>5.97</v>
      </c>
      <c r="E29" s="64">
        <v>4.4400000000000004</v>
      </c>
      <c r="F29" s="64">
        <v>3.57</v>
      </c>
      <c r="G29" s="64">
        <v>31.16</v>
      </c>
      <c r="H29" s="64">
        <v>26.05</v>
      </c>
      <c r="I29" s="64">
        <v>2.2799999999999998</v>
      </c>
      <c r="J29" s="64">
        <v>0.5</v>
      </c>
      <c r="K29" s="64">
        <v>126.19</v>
      </c>
      <c r="L29" s="64">
        <v>23.73</v>
      </c>
      <c r="M29" s="64">
        <v>102.73</v>
      </c>
      <c r="N29" s="64">
        <v>26.1</v>
      </c>
      <c r="O29" s="64">
        <v>0</v>
      </c>
      <c r="P29" s="64">
        <v>0.48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1515</v>
      </c>
      <c r="B30" s="64">
        <v>4.45</v>
      </c>
      <c r="C30" s="64">
        <v>4.62</v>
      </c>
      <c r="D30" s="64">
        <v>5.98</v>
      </c>
      <c r="E30" s="64">
        <v>4.57</v>
      </c>
      <c r="F30" s="64">
        <v>3.3</v>
      </c>
      <c r="G30" s="64">
        <v>31.16</v>
      </c>
      <c r="H30" s="64">
        <v>26.05</v>
      </c>
      <c r="I30" s="64">
        <v>2.3199999999999998</v>
      </c>
      <c r="J30" s="64">
        <v>0.22</v>
      </c>
      <c r="K30" s="64">
        <v>80.19</v>
      </c>
      <c r="L30" s="64">
        <v>23.71</v>
      </c>
      <c r="M30" s="64">
        <v>102.73</v>
      </c>
      <c r="N30" s="64">
        <v>26</v>
      </c>
      <c r="O30" s="64">
        <v>0</v>
      </c>
      <c r="P30" s="64">
        <v>0.5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1516</v>
      </c>
      <c r="B31" s="64">
        <v>4.45</v>
      </c>
      <c r="C31" s="64">
        <v>4.57</v>
      </c>
      <c r="D31" s="64">
        <v>5.95</v>
      </c>
      <c r="E31" s="64">
        <v>4.4800000000000004</v>
      </c>
      <c r="F31" s="64">
        <v>2.94</v>
      </c>
      <c r="G31" s="64">
        <v>39.54</v>
      </c>
      <c r="H31" s="64">
        <v>29.74</v>
      </c>
      <c r="I31" s="64">
        <v>2.15</v>
      </c>
      <c r="J31" s="64">
        <v>0.74</v>
      </c>
      <c r="K31" s="64">
        <v>121.56</v>
      </c>
      <c r="L31" s="64">
        <v>23.84</v>
      </c>
      <c r="M31" s="64">
        <v>102.73</v>
      </c>
      <c r="N31" s="64">
        <v>25.9</v>
      </c>
      <c r="O31" s="64">
        <v>0</v>
      </c>
      <c r="P31" s="64">
        <v>0.46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1517</v>
      </c>
      <c r="B32" s="64">
        <v>4.42</v>
      </c>
      <c r="C32" s="64">
        <v>4.51</v>
      </c>
      <c r="D32" s="64">
        <v>5.9</v>
      </c>
      <c r="E32" s="64">
        <v>4.34</v>
      </c>
      <c r="F32" s="64">
        <v>3.83</v>
      </c>
      <c r="G32" s="64">
        <v>43.13</v>
      </c>
      <c r="H32" s="64">
        <v>30.04</v>
      </c>
      <c r="I32" s="64">
        <v>2.2000000000000002</v>
      </c>
      <c r="J32" s="64">
        <v>0.49</v>
      </c>
      <c r="K32" s="64">
        <v>124.13</v>
      </c>
      <c r="L32" s="64">
        <v>23.79</v>
      </c>
      <c r="M32" s="64">
        <v>102.73</v>
      </c>
      <c r="N32" s="64">
        <v>27.6</v>
      </c>
      <c r="O32" s="64">
        <v>0</v>
      </c>
      <c r="P32" s="64">
        <v>0.48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1518</v>
      </c>
      <c r="B33" s="64">
        <v>4.45</v>
      </c>
      <c r="C33" s="64">
        <v>4.9400000000000004</v>
      </c>
      <c r="D33" s="64">
        <v>6.15</v>
      </c>
      <c r="E33" s="64">
        <v>4.62</v>
      </c>
      <c r="F33" s="64">
        <v>4.0599999999999996</v>
      </c>
      <c r="G33" s="64">
        <v>43.13</v>
      </c>
      <c r="H33" s="64">
        <v>30.04</v>
      </c>
      <c r="I33" s="64">
        <v>1.98</v>
      </c>
      <c r="J33" s="64">
        <v>0.17</v>
      </c>
      <c r="K33" s="64">
        <v>94.04</v>
      </c>
      <c r="L33" s="64">
        <v>23.76</v>
      </c>
      <c r="M33" s="64">
        <v>102.73</v>
      </c>
      <c r="N33" s="64">
        <v>34</v>
      </c>
      <c r="O33" s="64">
        <v>0</v>
      </c>
      <c r="P33" s="64">
        <v>0.5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1519</v>
      </c>
      <c r="B34" s="64">
        <v>4.92</v>
      </c>
      <c r="C34" s="64">
        <v>5.23</v>
      </c>
      <c r="D34" s="64">
        <v>6.68</v>
      </c>
      <c r="E34" s="64">
        <v>4.8099999999999996</v>
      </c>
      <c r="F34" s="64">
        <v>4.32</v>
      </c>
      <c r="G34" s="64">
        <v>43.13</v>
      </c>
      <c r="H34" s="64">
        <v>30.04</v>
      </c>
      <c r="I34" s="64">
        <v>3.47</v>
      </c>
      <c r="J34" s="64">
        <v>0.39</v>
      </c>
      <c r="K34" s="64">
        <v>308.67</v>
      </c>
      <c r="L34" s="64">
        <v>23.87</v>
      </c>
      <c r="M34" s="64">
        <v>102.73</v>
      </c>
      <c r="N34" s="64">
        <v>48.3</v>
      </c>
      <c r="O34" s="64">
        <v>0</v>
      </c>
      <c r="P34" s="64">
        <v>0.53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1520</v>
      </c>
      <c r="B35" s="64">
        <v>6.09</v>
      </c>
      <c r="C35" s="64">
        <v>5.46</v>
      </c>
      <c r="D35" s="64">
        <v>7.74</v>
      </c>
      <c r="E35" s="64">
        <v>5.17</v>
      </c>
      <c r="F35" s="64">
        <v>4.21</v>
      </c>
      <c r="G35" s="64">
        <v>46.02</v>
      </c>
      <c r="H35" s="64">
        <v>33.159999999999997</v>
      </c>
      <c r="I35" s="64">
        <v>3.95</v>
      </c>
      <c r="J35" s="64">
        <v>0.32</v>
      </c>
      <c r="K35" s="64">
        <v>298.87</v>
      </c>
      <c r="L35" s="64">
        <v>24.17</v>
      </c>
      <c r="M35" s="64">
        <v>102.7</v>
      </c>
      <c r="N35" s="64">
        <v>75.599999999999994</v>
      </c>
      <c r="O35" s="64">
        <v>0</v>
      </c>
      <c r="P35" s="64">
        <v>0.51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1521</v>
      </c>
      <c r="B36" s="64">
        <v>6.94</v>
      </c>
      <c r="C36" s="64">
        <v>5.87</v>
      </c>
      <c r="D36" s="64">
        <v>8.64</v>
      </c>
      <c r="E36" s="64">
        <v>5.04</v>
      </c>
      <c r="F36" s="64">
        <v>3.22</v>
      </c>
      <c r="G36" s="64">
        <v>47.26</v>
      </c>
      <c r="H36" s="64">
        <v>33.549999999999997</v>
      </c>
      <c r="I36" s="64">
        <v>3.41</v>
      </c>
      <c r="J36" s="64">
        <v>0.25</v>
      </c>
      <c r="K36" s="64">
        <v>90.9</v>
      </c>
      <c r="L36" s="64">
        <v>24.49</v>
      </c>
      <c r="M36" s="64">
        <v>102.69</v>
      </c>
      <c r="N36" s="64">
        <v>114.5</v>
      </c>
      <c r="O36" s="64">
        <v>0</v>
      </c>
      <c r="P36" s="64">
        <v>0.54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1522</v>
      </c>
      <c r="B37" s="64">
        <v>7.71</v>
      </c>
      <c r="C37" s="64">
        <v>6.12</v>
      </c>
      <c r="D37" s="64">
        <v>9.3800000000000008</v>
      </c>
      <c r="E37" s="64">
        <v>5.5</v>
      </c>
      <c r="F37" s="64">
        <v>4.41</v>
      </c>
      <c r="G37" s="64">
        <v>47.26</v>
      </c>
      <c r="H37" s="64">
        <v>33.549999999999997</v>
      </c>
      <c r="I37" s="64">
        <v>4.29</v>
      </c>
      <c r="J37" s="64">
        <v>0.34</v>
      </c>
      <c r="K37" s="64">
        <v>340.13</v>
      </c>
      <c r="L37" s="64">
        <v>25.8</v>
      </c>
      <c r="M37" s="64">
        <v>99.96</v>
      </c>
      <c r="N37" s="64">
        <v>164.8</v>
      </c>
      <c r="O37" s="64">
        <v>0</v>
      </c>
      <c r="P37" s="64">
        <v>0.53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5" t="s">
        <v>1523</v>
      </c>
      <c r="B38" s="64">
        <v>8.56</v>
      </c>
      <c r="C38" s="64">
        <v>6.29</v>
      </c>
      <c r="D38" s="64">
        <v>10.15</v>
      </c>
      <c r="E38" s="64">
        <v>5.69</v>
      </c>
      <c r="F38" s="64">
        <v>4</v>
      </c>
      <c r="G38" s="64">
        <v>47.26</v>
      </c>
      <c r="H38" s="64">
        <v>33.549999999999997</v>
      </c>
      <c r="I38" s="64">
        <v>4.59</v>
      </c>
      <c r="J38" s="64">
        <v>0.1</v>
      </c>
      <c r="K38" s="64">
        <v>294.01</v>
      </c>
      <c r="L38" s="64">
        <v>26.75</v>
      </c>
      <c r="M38" s="64">
        <v>95.58</v>
      </c>
      <c r="N38" s="64">
        <v>247.5</v>
      </c>
      <c r="O38" s="64">
        <v>0</v>
      </c>
      <c r="P38" s="64">
        <v>0.54</v>
      </c>
      <c r="Q38" s="64">
        <v>9.59</v>
      </c>
      <c r="R38" s="198"/>
      <c r="S38" s="198"/>
      <c r="T38" s="198"/>
      <c r="U38" s="198"/>
    </row>
    <row r="39" spans="1:21" s="12" customFormat="1" x14ac:dyDescent="0.25">
      <c r="A39" s="215" t="s">
        <v>1524</v>
      </c>
      <c r="B39" s="64">
        <v>9.3000000000000007</v>
      </c>
      <c r="C39" s="64">
        <v>6.63</v>
      </c>
      <c r="D39" s="64">
        <v>10.92</v>
      </c>
      <c r="E39" s="64">
        <v>5.66</v>
      </c>
      <c r="F39" s="64">
        <v>3.29</v>
      </c>
      <c r="G39" s="64">
        <v>51.26</v>
      </c>
      <c r="H39" s="64">
        <v>33.97</v>
      </c>
      <c r="I39" s="64">
        <v>4.09</v>
      </c>
      <c r="J39" s="64">
        <v>0.84</v>
      </c>
      <c r="K39" s="64">
        <v>117.69</v>
      </c>
      <c r="L39" s="64">
        <v>27.41</v>
      </c>
      <c r="M39" s="64">
        <v>90.43</v>
      </c>
      <c r="N39" s="64">
        <v>306.5</v>
      </c>
      <c r="O39" s="64">
        <v>0</v>
      </c>
      <c r="P39" s="64">
        <v>0.56999999999999995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5" t="s">
        <v>1525</v>
      </c>
      <c r="B40" s="64">
        <v>9.0500000000000007</v>
      </c>
      <c r="C40" s="64">
        <v>6.69</v>
      </c>
      <c r="D40" s="64">
        <v>10.75</v>
      </c>
      <c r="E40" s="64">
        <v>6.02</v>
      </c>
      <c r="F40" s="64">
        <v>4.34</v>
      </c>
      <c r="G40" s="64">
        <v>52.97</v>
      </c>
      <c r="H40" s="64">
        <v>34</v>
      </c>
      <c r="I40" s="64">
        <v>4.22</v>
      </c>
      <c r="J40" s="64">
        <v>1.65</v>
      </c>
      <c r="K40" s="64">
        <v>118.74</v>
      </c>
      <c r="L40" s="64">
        <v>27.02</v>
      </c>
      <c r="M40" s="64">
        <v>91.83</v>
      </c>
      <c r="N40" s="64">
        <v>377.5</v>
      </c>
      <c r="O40" s="64">
        <v>0</v>
      </c>
      <c r="P40" s="64">
        <v>0.54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1526</v>
      </c>
      <c r="B41" s="64">
        <v>8.24</v>
      </c>
      <c r="C41" s="64">
        <v>6.56</v>
      </c>
      <c r="D41" s="64">
        <v>10.039999999999999</v>
      </c>
      <c r="E41" s="64">
        <v>5.38</v>
      </c>
      <c r="F41" s="64">
        <v>4.0999999999999996</v>
      </c>
      <c r="G41" s="64">
        <v>52.97</v>
      </c>
      <c r="H41" s="64">
        <v>34</v>
      </c>
      <c r="I41" s="64">
        <v>4.87</v>
      </c>
      <c r="J41" s="64">
        <v>1.73</v>
      </c>
      <c r="K41" s="64">
        <v>123.27</v>
      </c>
      <c r="L41" s="64">
        <v>27.4</v>
      </c>
      <c r="M41" s="64">
        <v>90</v>
      </c>
      <c r="N41" s="64">
        <v>436.9</v>
      </c>
      <c r="O41" s="64">
        <v>0</v>
      </c>
      <c r="P41" s="64">
        <v>0.53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5" t="s">
        <v>1527</v>
      </c>
      <c r="B42" s="64">
        <v>7.35</v>
      </c>
      <c r="C42" s="64">
        <v>6.5</v>
      </c>
      <c r="D42" s="64">
        <v>9.2899999999999991</v>
      </c>
      <c r="E42" s="64">
        <v>5.38</v>
      </c>
      <c r="F42" s="64">
        <v>3.6</v>
      </c>
      <c r="G42" s="64">
        <v>52.97</v>
      </c>
      <c r="H42" s="64">
        <v>34</v>
      </c>
      <c r="I42" s="64">
        <v>5.38</v>
      </c>
      <c r="J42" s="64">
        <v>1.76</v>
      </c>
      <c r="K42" s="64">
        <v>112.55</v>
      </c>
      <c r="L42" s="64">
        <v>27.24</v>
      </c>
      <c r="M42" s="64">
        <v>90.93</v>
      </c>
      <c r="N42" s="64">
        <v>435.6</v>
      </c>
      <c r="O42" s="64">
        <v>0</v>
      </c>
      <c r="P42" s="64">
        <v>0.51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1528</v>
      </c>
      <c r="B43" s="64">
        <v>6.54</v>
      </c>
      <c r="C43" s="64">
        <v>6.49</v>
      </c>
      <c r="D43" s="64">
        <v>8.64</v>
      </c>
      <c r="E43" s="64">
        <v>5.34</v>
      </c>
      <c r="F43" s="64">
        <v>4.18</v>
      </c>
      <c r="G43" s="64">
        <v>53.51</v>
      </c>
      <c r="H43" s="64">
        <v>26.91</v>
      </c>
      <c r="I43" s="64">
        <v>5.32</v>
      </c>
      <c r="J43" s="64">
        <v>1.46</v>
      </c>
      <c r="K43" s="64">
        <v>115.26</v>
      </c>
      <c r="L43" s="64">
        <v>27.66</v>
      </c>
      <c r="M43" s="64">
        <v>88.99</v>
      </c>
      <c r="N43" s="64">
        <v>537</v>
      </c>
      <c r="O43" s="64">
        <v>0</v>
      </c>
      <c r="P43" s="64">
        <v>0.49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1529</v>
      </c>
      <c r="B44" s="64">
        <v>5.79</v>
      </c>
      <c r="C44" s="64">
        <v>6.53</v>
      </c>
      <c r="D44" s="64">
        <v>8.0500000000000007</v>
      </c>
      <c r="E44" s="64">
        <v>5.14</v>
      </c>
      <c r="F44" s="64">
        <v>4.2300000000000004</v>
      </c>
      <c r="G44" s="64">
        <v>53.74</v>
      </c>
      <c r="H44" s="64">
        <v>26.45</v>
      </c>
      <c r="I44" s="64">
        <v>5.15</v>
      </c>
      <c r="J44" s="64">
        <v>1.28</v>
      </c>
      <c r="K44" s="64">
        <v>115.26</v>
      </c>
      <c r="L44" s="64">
        <v>28.15</v>
      </c>
      <c r="M44" s="64">
        <v>86.54</v>
      </c>
      <c r="N44" s="64">
        <v>590.20000000000005</v>
      </c>
      <c r="O44" s="64">
        <v>0</v>
      </c>
      <c r="P44" s="64">
        <v>0.48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5" t="s">
        <v>1530</v>
      </c>
      <c r="B45" s="64">
        <v>5.13</v>
      </c>
      <c r="C45" s="64">
        <v>6.47</v>
      </c>
      <c r="D45" s="64">
        <v>7.49</v>
      </c>
      <c r="E45" s="64">
        <v>5.27</v>
      </c>
      <c r="F45" s="64">
        <v>4.24</v>
      </c>
      <c r="G45" s="64">
        <v>53.74</v>
      </c>
      <c r="H45" s="64">
        <v>26.45</v>
      </c>
      <c r="I45" s="64">
        <v>5.49</v>
      </c>
      <c r="J45" s="64">
        <v>1.19</v>
      </c>
      <c r="K45" s="64">
        <v>113.72</v>
      </c>
      <c r="L45" s="64">
        <v>28.64</v>
      </c>
      <c r="M45" s="64">
        <v>84.46</v>
      </c>
      <c r="N45" s="64">
        <v>654</v>
      </c>
      <c r="O45" s="64">
        <v>0</v>
      </c>
      <c r="P45" s="64">
        <v>0.48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5" t="s">
        <v>1531</v>
      </c>
      <c r="B46" s="64">
        <v>4.6500000000000004</v>
      </c>
      <c r="C46" s="64">
        <v>6.39</v>
      </c>
      <c r="D46" s="64">
        <v>7.07</v>
      </c>
      <c r="E46" s="64">
        <v>5.14</v>
      </c>
      <c r="F46" s="64">
        <v>3.9</v>
      </c>
      <c r="G46" s="64">
        <v>53.74</v>
      </c>
      <c r="H46" s="64">
        <v>26.45</v>
      </c>
      <c r="I46" s="64">
        <v>4.8600000000000003</v>
      </c>
      <c r="J46" s="64">
        <v>1.21</v>
      </c>
      <c r="K46" s="64">
        <v>108.8</v>
      </c>
      <c r="L46" s="64">
        <v>28.87</v>
      </c>
      <c r="M46" s="64">
        <v>81.36</v>
      </c>
      <c r="N46" s="64">
        <v>695</v>
      </c>
      <c r="O46" s="64">
        <v>0</v>
      </c>
      <c r="P46" s="64">
        <v>0.45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1532</v>
      </c>
      <c r="B47" s="64">
        <v>4.07</v>
      </c>
      <c r="C47" s="64">
        <v>6.2</v>
      </c>
      <c r="D47" s="64">
        <v>6.5</v>
      </c>
      <c r="E47" s="64">
        <v>5.04</v>
      </c>
      <c r="F47" s="64">
        <v>3.79</v>
      </c>
      <c r="G47" s="64">
        <v>45.87</v>
      </c>
      <c r="H47" s="64">
        <v>12.25</v>
      </c>
      <c r="I47" s="64">
        <v>4.96</v>
      </c>
      <c r="J47" s="64">
        <v>1.37</v>
      </c>
      <c r="K47" s="64">
        <v>120.82</v>
      </c>
      <c r="L47" s="64">
        <v>29.07</v>
      </c>
      <c r="M47" s="64">
        <v>79.739999999999995</v>
      </c>
      <c r="N47" s="64">
        <v>744.3</v>
      </c>
      <c r="O47" s="64">
        <v>0</v>
      </c>
      <c r="P47" s="64">
        <v>0.44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1533</v>
      </c>
      <c r="B48" s="64">
        <v>3.57</v>
      </c>
      <c r="C48" s="64">
        <v>5.92</v>
      </c>
      <c r="D48" s="64">
        <v>5.95</v>
      </c>
      <c r="E48" s="64">
        <v>5.22</v>
      </c>
      <c r="F48" s="64">
        <v>4.03</v>
      </c>
      <c r="G48" s="64">
        <v>42.5</v>
      </c>
      <c r="H48" s="64">
        <v>11.11</v>
      </c>
      <c r="I48" s="64">
        <v>5.28</v>
      </c>
      <c r="J48" s="64">
        <v>0.92</v>
      </c>
      <c r="K48" s="64">
        <v>113.12</v>
      </c>
      <c r="L48" s="64">
        <v>29.58</v>
      </c>
      <c r="M48" s="64">
        <v>77.650000000000006</v>
      </c>
      <c r="N48" s="64">
        <v>634.20000000000005</v>
      </c>
      <c r="O48" s="64">
        <v>0</v>
      </c>
      <c r="P48" s="64">
        <v>0.44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1534</v>
      </c>
      <c r="B49" s="64">
        <v>3.24</v>
      </c>
      <c r="C49" s="64">
        <v>5.89</v>
      </c>
      <c r="D49" s="64">
        <v>5.68</v>
      </c>
      <c r="E49" s="64">
        <v>5.01</v>
      </c>
      <c r="F49" s="64">
        <v>3.84</v>
      </c>
      <c r="G49" s="64">
        <v>42.5</v>
      </c>
      <c r="H49" s="64">
        <v>11.11</v>
      </c>
      <c r="I49" s="64">
        <v>4.55</v>
      </c>
      <c r="J49" s="64">
        <v>0.86</v>
      </c>
      <c r="K49" s="64">
        <v>119.67</v>
      </c>
      <c r="L49" s="64">
        <v>30.02</v>
      </c>
      <c r="M49" s="64">
        <v>73.069999999999993</v>
      </c>
      <c r="N49" s="64">
        <v>813.8</v>
      </c>
      <c r="O49" s="64">
        <v>0</v>
      </c>
      <c r="P49" s="64">
        <v>0.45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1535</v>
      </c>
      <c r="B50" s="64">
        <v>2.99</v>
      </c>
      <c r="C50" s="64">
        <v>6.24</v>
      </c>
      <c r="D50" s="64">
        <v>5.66</v>
      </c>
      <c r="E50" s="64">
        <v>5.01</v>
      </c>
      <c r="F50" s="64">
        <v>3.9</v>
      </c>
      <c r="G50" s="64">
        <v>42.5</v>
      </c>
      <c r="H50" s="64">
        <v>11.11</v>
      </c>
      <c r="I50" s="64">
        <v>5.12</v>
      </c>
      <c r="J50" s="64">
        <v>1.41</v>
      </c>
      <c r="K50" s="64">
        <v>145.51</v>
      </c>
      <c r="L50" s="64">
        <v>30.42</v>
      </c>
      <c r="M50" s="64">
        <v>69.17</v>
      </c>
      <c r="N50" s="64">
        <v>718.1</v>
      </c>
      <c r="O50" s="64">
        <v>0</v>
      </c>
      <c r="P50" s="64">
        <v>0.46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1536</v>
      </c>
      <c r="B51" s="64">
        <v>2.62</v>
      </c>
      <c r="C51" s="64">
        <v>5.81</v>
      </c>
      <c r="D51" s="64">
        <v>5.14</v>
      </c>
      <c r="E51" s="64">
        <v>5.0599999999999996</v>
      </c>
      <c r="F51" s="64">
        <v>4.1399999999999997</v>
      </c>
      <c r="G51" s="64">
        <v>40.08</v>
      </c>
      <c r="H51" s="64">
        <v>23.7</v>
      </c>
      <c r="I51" s="64">
        <v>6.77</v>
      </c>
      <c r="J51" s="64">
        <v>1.66</v>
      </c>
      <c r="K51" s="64">
        <v>147.74</v>
      </c>
      <c r="L51" s="64">
        <v>30.36</v>
      </c>
      <c r="M51" s="64">
        <v>68.2</v>
      </c>
      <c r="N51" s="64">
        <v>894.6</v>
      </c>
      <c r="O51" s="64">
        <v>0</v>
      </c>
      <c r="P51" s="64">
        <v>0.43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1537</v>
      </c>
      <c r="B52" s="64">
        <v>2.35</v>
      </c>
      <c r="C52" s="64">
        <v>6.19</v>
      </c>
      <c r="D52" s="64">
        <v>5.12</v>
      </c>
      <c r="E52" s="64">
        <v>4.9400000000000004</v>
      </c>
      <c r="F52" s="64">
        <v>4.57</v>
      </c>
      <c r="G52" s="64">
        <v>39.04</v>
      </c>
      <c r="H52" s="64">
        <v>24.96</v>
      </c>
      <c r="I52" s="64">
        <v>6.7</v>
      </c>
      <c r="J52" s="64">
        <v>1.45</v>
      </c>
      <c r="K52" s="64">
        <v>139.18</v>
      </c>
      <c r="L52" s="64">
        <v>30.9</v>
      </c>
      <c r="M52" s="64">
        <v>64.819999999999993</v>
      </c>
      <c r="N52" s="64">
        <v>925.6</v>
      </c>
      <c r="O52" s="64">
        <v>0</v>
      </c>
      <c r="P52" s="64">
        <v>0.43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1538</v>
      </c>
      <c r="B53" s="64">
        <v>2.13</v>
      </c>
      <c r="C53" s="64">
        <v>5.88</v>
      </c>
      <c r="D53" s="64">
        <v>4.78</v>
      </c>
      <c r="E53" s="64">
        <v>4.7699999999999996</v>
      </c>
      <c r="F53" s="64">
        <v>3.72</v>
      </c>
      <c r="G53" s="64">
        <v>39.04</v>
      </c>
      <c r="H53" s="64">
        <v>24.96</v>
      </c>
      <c r="I53" s="64">
        <v>6.52</v>
      </c>
      <c r="J53" s="64">
        <v>1.33</v>
      </c>
      <c r="K53" s="64">
        <v>130.38</v>
      </c>
      <c r="L53" s="64">
        <v>30.77</v>
      </c>
      <c r="M53" s="64">
        <v>64.760000000000005</v>
      </c>
      <c r="N53" s="64">
        <v>587.9</v>
      </c>
      <c r="O53" s="64">
        <v>0</v>
      </c>
      <c r="P53" s="64">
        <v>0.42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1539</v>
      </c>
      <c r="B54" s="64">
        <v>2.06</v>
      </c>
      <c r="C54" s="64">
        <v>5.49</v>
      </c>
      <c r="D54" s="64">
        <v>4.5199999999999996</v>
      </c>
      <c r="E54" s="64">
        <v>4.46</v>
      </c>
      <c r="F54" s="64">
        <v>4.17</v>
      </c>
      <c r="G54" s="64">
        <v>39.04</v>
      </c>
      <c r="H54" s="64">
        <v>24.96</v>
      </c>
      <c r="I54" s="64">
        <v>6.13</v>
      </c>
      <c r="J54" s="64">
        <v>1.1200000000000001</v>
      </c>
      <c r="K54" s="64">
        <v>111.54</v>
      </c>
      <c r="L54" s="64">
        <v>30.12</v>
      </c>
      <c r="M54" s="64">
        <v>66.02</v>
      </c>
      <c r="N54" s="64">
        <v>618.20000000000005</v>
      </c>
      <c r="O54" s="64">
        <v>0</v>
      </c>
      <c r="P54" s="64">
        <v>0.41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5" t="s">
        <v>1540</v>
      </c>
      <c r="B55" s="64">
        <v>2.02</v>
      </c>
      <c r="C55" s="64">
        <v>5.96</v>
      </c>
      <c r="D55" s="64">
        <v>4.7300000000000004</v>
      </c>
      <c r="E55" s="64">
        <v>4.8099999999999996</v>
      </c>
      <c r="F55" s="64">
        <v>4.1500000000000004</v>
      </c>
      <c r="G55" s="64">
        <v>33.26</v>
      </c>
      <c r="H55" s="64">
        <v>13.24</v>
      </c>
      <c r="I55" s="64">
        <v>5.43</v>
      </c>
      <c r="J55" s="64">
        <v>0.46</v>
      </c>
      <c r="K55" s="64">
        <v>72.39</v>
      </c>
      <c r="L55" s="64">
        <v>30.02</v>
      </c>
      <c r="M55" s="64">
        <v>69.239999999999995</v>
      </c>
      <c r="N55" s="64">
        <v>315.89999999999998</v>
      </c>
      <c r="O55" s="64">
        <v>0</v>
      </c>
      <c r="P55" s="64">
        <v>0.41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5" t="s">
        <v>1541</v>
      </c>
      <c r="B56" s="64">
        <v>2.23</v>
      </c>
      <c r="C56" s="64">
        <v>5.7</v>
      </c>
      <c r="D56" s="64">
        <v>4.7699999999999996</v>
      </c>
      <c r="E56" s="64">
        <v>3.47</v>
      </c>
      <c r="F56" s="64">
        <v>3.76</v>
      </c>
      <c r="G56" s="64">
        <v>30.78</v>
      </c>
      <c r="H56" s="64">
        <v>12.48</v>
      </c>
      <c r="I56" s="64">
        <v>5.39</v>
      </c>
      <c r="J56" s="64">
        <v>0.88</v>
      </c>
      <c r="K56" s="64">
        <v>117.18</v>
      </c>
      <c r="L56" s="64">
        <v>29.13</v>
      </c>
      <c r="M56" s="64">
        <v>68.78</v>
      </c>
      <c r="N56" s="64">
        <v>193.4</v>
      </c>
      <c r="O56" s="64">
        <v>0</v>
      </c>
      <c r="P56" s="64">
        <v>0.39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1542</v>
      </c>
      <c r="B57" s="64">
        <v>2.2200000000000002</v>
      </c>
      <c r="C57" s="64">
        <v>5.7</v>
      </c>
      <c r="D57" s="64">
        <v>4.76</v>
      </c>
      <c r="E57" s="64">
        <v>4.41</v>
      </c>
      <c r="F57" s="64">
        <v>4.6500000000000004</v>
      </c>
      <c r="G57" s="64">
        <v>30.78</v>
      </c>
      <c r="H57" s="64">
        <v>12.48</v>
      </c>
      <c r="I57" s="64">
        <v>4.96</v>
      </c>
      <c r="J57" s="64">
        <v>0.85</v>
      </c>
      <c r="K57" s="64">
        <v>107.65</v>
      </c>
      <c r="L57" s="64">
        <v>29.23</v>
      </c>
      <c r="M57" s="64">
        <v>66.84</v>
      </c>
      <c r="N57" s="64">
        <v>517.70000000000005</v>
      </c>
      <c r="O57" s="64">
        <v>0</v>
      </c>
      <c r="P57" s="64">
        <v>0.37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1543</v>
      </c>
      <c r="B58" s="64">
        <v>2.06</v>
      </c>
      <c r="C58" s="64">
        <v>6.18</v>
      </c>
      <c r="D58" s="64">
        <v>4.88</v>
      </c>
      <c r="E58" s="64">
        <v>4.49</v>
      </c>
      <c r="F58" s="64">
        <v>3.75</v>
      </c>
      <c r="G58" s="64">
        <v>30.78</v>
      </c>
      <c r="H58" s="64">
        <v>12.48</v>
      </c>
      <c r="I58" s="64">
        <v>4.0599999999999996</v>
      </c>
      <c r="J58" s="64">
        <v>1.51</v>
      </c>
      <c r="K58" s="64">
        <v>129.13999999999999</v>
      </c>
      <c r="L58" s="64">
        <v>30.48</v>
      </c>
      <c r="M58" s="64">
        <v>60.51</v>
      </c>
      <c r="N58" s="64">
        <v>731.4</v>
      </c>
      <c r="O58" s="64">
        <v>0</v>
      </c>
      <c r="P58" s="64">
        <v>0.37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1544</v>
      </c>
      <c r="B59" s="64">
        <v>1.86</v>
      </c>
      <c r="C59" s="64">
        <v>5.53</v>
      </c>
      <c r="D59" s="64">
        <v>4.38</v>
      </c>
      <c r="E59" s="64">
        <v>4.3899999999999997</v>
      </c>
      <c r="F59" s="64">
        <v>3.97</v>
      </c>
      <c r="G59" s="64">
        <v>27.48</v>
      </c>
      <c r="H59" s="64">
        <v>8.74</v>
      </c>
      <c r="I59" s="64">
        <v>4.88</v>
      </c>
      <c r="J59" s="64">
        <v>0.78</v>
      </c>
      <c r="K59" s="64">
        <v>124</v>
      </c>
      <c r="L59" s="64">
        <v>30.63</v>
      </c>
      <c r="M59" s="64">
        <v>59.7</v>
      </c>
      <c r="N59" s="64">
        <v>654.79999999999995</v>
      </c>
      <c r="O59" s="64">
        <v>0</v>
      </c>
      <c r="P59" s="64">
        <v>0.33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5" t="s">
        <v>1545</v>
      </c>
      <c r="B60" s="64">
        <v>1.74</v>
      </c>
      <c r="C60" s="64">
        <v>5.19</v>
      </c>
      <c r="D60" s="64">
        <v>4.1100000000000003</v>
      </c>
      <c r="E60" s="64">
        <v>4.6399999999999997</v>
      </c>
      <c r="F60" s="64">
        <v>4.29</v>
      </c>
      <c r="G60" s="64">
        <v>26.06</v>
      </c>
      <c r="H60" s="64">
        <v>8.5</v>
      </c>
      <c r="I60" s="64">
        <v>4.7699999999999996</v>
      </c>
      <c r="J60" s="64">
        <v>1.28</v>
      </c>
      <c r="K60" s="64">
        <v>122.78</v>
      </c>
      <c r="L60" s="64">
        <v>30.82</v>
      </c>
      <c r="M60" s="64">
        <v>55.77</v>
      </c>
      <c r="N60" s="64">
        <v>811.9</v>
      </c>
      <c r="O60" s="64">
        <v>0</v>
      </c>
      <c r="P60" s="64">
        <v>0.33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1546</v>
      </c>
      <c r="B61" s="64">
        <v>1.68</v>
      </c>
      <c r="C61" s="64">
        <v>5.08</v>
      </c>
      <c r="D61" s="64">
        <v>4</v>
      </c>
      <c r="E61" s="64">
        <v>4.51</v>
      </c>
      <c r="F61" s="64">
        <v>4.67</v>
      </c>
      <c r="G61" s="64">
        <v>26.06</v>
      </c>
      <c r="H61" s="64">
        <v>8.5</v>
      </c>
      <c r="I61" s="64">
        <v>3.74</v>
      </c>
      <c r="J61" s="64">
        <v>1.1499999999999999</v>
      </c>
      <c r="K61" s="64">
        <v>108.84</v>
      </c>
      <c r="L61" s="64">
        <v>31.08</v>
      </c>
      <c r="M61" s="64">
        <v>53.85</v>
      </c>
      <c r="N61" s="64">
        <v>452.5</v>
      </c>
      <c r="O61" s="64">
        <v>0</v>
      </c>
      <c r="P61" s="64">
        <v>0.32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1547</v>
      </c>
      <c r="B62" s="64">
        <v>1.71</v>
      </c>
      <c r="C62" s="64">
        <v>5.09</v>
      </c>
      <c r="D62" s="64">
        <v>4.03</v>
      </c>
      <c r="E62" s="64">
        <v>4.0599999999999996</v>
      </c>
      <c r="F62" s="64">
        <v>4.21</v>
      </c>
      <c r="G62" s="64">
        <v>26.06</v>
      </c>
      <c r="H62" s="64">
        <v>8.5</v>
      </c>
      <c r="I62" s="64">
        <v>3.03</v>
      </c>
      <c r="J62" s="64">
        <v>1.83</v>
      </c>
      <c r="K62" s="64">
        <v>113.95</v>
      </c>
      <c r="L62" s="64">
        <v>30.58</v>
      </c>
      <c r="M62" s="64">
        <v>54.93</v>
      </c>
      <c r="N62" s="64">
        <v>233.9</v>
      </c>
      <c r="O62" s="64">
        <v>0</v>
      </c>
      <c r="P62" s="64">
        <v>0.33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1548</v>
      </c>
      <c r="B63" s="64">
        <v>1.65</v>
      </c>
      <c r="C63" s="64">
        <v>5.09</v>
      </c>
      <c r="D63" s="64">
        <v>3.98</v>
      </c>
      <c r="E63" s="64">
        <v>3.85</v>
      </c>
      <c r="F63" s="64">
        <v>4.24</v>
      </c>
      <c r="G63" s="64">
        <v>21.02</v>
      </c>
      <c r="H63" s="64">
        <v>4.51</v>
      </c>
      <c r="I63" s="64">
        <v>3.29</v>
      </c>
      <c r="J63" s="64">
        <v>1.74</v>
      </c>
      <c r="K63" s="64">
        <v>113.66</v>
      </c>
      <c r="L63" s="64">
        <v>30.42</v>
      </c>
      <c r="M63" s="64">
        <v>54.83</v>
      </c>
      <c r="N63" s="64">
        <v>191.8</v>
      </c>
      <c r="O63" s="64">
        <v>0</v>
      </c>
      <c r="P63" s="64">
        <v>0.31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1549</v>
      </c>
      <c r="B64" s="64">
        <v>1.51</v>
      </c>
      <c r="C64" s="64">
        <v>5.01</v>
      </c>
      <c r="D64" s="64">
        <v>3.82</v>
      </c>
      <c r="E64" s="64">
        <v>4.21</v>
      </c>
      <c r="F64" s="64">
        <v>4.29</v>
      </c>
      <c r="G64" s="64">
        <v>18.850000000000001</v>
      </c>
      <c r="H64" s="64">
        <v>4.25</v>
      </c>
      <c r="I64" s="64">
        <v>3.63</v>
      </c>
      <c r="J64" s="64">
        <v>1.35</v>
      </c>
      <c r="K64" s="64">
        <v>109.21</v>
      </c>
      <c r="L64" s="64">
        <v>30.66</v>
      </c>
      <c r="M64" s="64">
        <v>53.13</v>
      </c>
      <c r="N64" s="64">
        <v>171.8</v>
      </c>
      <c r="O64" s="64">
        <v>0</v>
      </c>
      <c r="P64" s="64">
        <v>0.32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1550</v>
      </c>
      <c r="B65" s="64">
        <v>1.4</v>
      </c>
      <c r="C65" s="64">
        <v>4.91</v>
      </c>
      <c r="D65" s="64">
        <v>3.69</v>
      </c>
      <c r="E65" s="64">
        <v>4.2</v>
      </c>
      <c r="F65" s="64">
        <v>4.13</v>
      </c>
      <c r="G65" s="64">
        <v>18.850000000000001</v>
      </c>
      <c r="H65" s="64">
        <v>4.25</v>
      </c>
      <c r="I65" s="64">
        <v>3.71</v>
      </c>
      <c r="J65" s="64">
        <v>1.58</v>
      </c>
      <c r="K65" s="64">
        <v>125.25</v>
      </c>
      <c r="L65" s="64">
        <v>30.62</v>
      </c>
      <c r="M65" s="64">
        <v>52.79</v>
      </c>
      <c r="N65" s="64">
        <v>183.9</v>
      </c>
      <c r="O65" s="64">
        <v>0</v>
      </c>
      <c r="P65" s="64">
        <v>0.31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1551</v>
      </c>
      <c r="B66" s="64">
        <v>1.24</v>
      </c>
      <c r="C66" s="64">
        <v>5.17</v>
      </c>
      <c r="D66" s="64">
        <v>3.69</v>
      </c>
      <c r="E66" s="64">
        <v>4.49</v>
      </c>
      <c r="F66" s="64">
        <v>4.26</v>
      </c>
      <c r="G66" s="64">
        <v>18.850000000000001</v>
      </c>
      <c r="H66" s="64">
        <v>4.25</v>
      </c>
      <c r="I66" s="64">
        <v>3.64</v>
      </c>
      <c r="J66" s="64">
        <v>1.08</v>
      </c>
      <c r="K66" s="64">
        <v>111.06</v>
      </c>
      <c r="L66" s="64">
        <v>30.63</v>
      </c>
      <c r="M66" s="64">
        <v>54.58</v>
      </c>
      <c r="N66" s="64">
        <v>170.4</v>
      </c>
      <c r="O66" s="64">
        <v>0</v>
      </c>
      <c r="P66" s="64">
        <v>0.31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1552</v>
      </c>
      <c r="B67" s="64">
        <v>1.08</v>
      </c>
      <c r="C67" s="64">
        <v>5.17</v>
      </c>
      <c r="D67" s="64">
        <v>3.57</v>
      </c>
      <c r="E67" s="64">
        <v>4.51</v>
      </c>
      <c r="F67" s="64">
        <v>3.78</v>
      </c>
      <c r="G67" s="64">
        <v>18.36</v>
      </c>
      <c r="H67" s="64">
        <v>9.6300000000000008</v>
      </c>
      <c r="I67" s="64">
        <v>3.92</v>
      </c>
      <c r="J67" s="64">
        <v>1.28</v>
      </c>
      <c r="K67" s="64">
        <v>111.18</v>
      </c>
      <c r="L67" s="64">
        <v>30.44</v>
      </c>
      <c r="M67" s="64">
        <v>52.69</v>
      </c>
      <c r="N67" s="64">
        <v>140</v>
      </c>
      <c r="O67" s="64">
        <v>0</v>
      </c>
      <c r="P67" s="64">
        <v>0.3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1553</v>
      </c>
      <c r="B68" s="64">
        <v>0.94</v>
      </c>
      <c r="C68" s="64">
        <v>5.33</v>
      </c>
      <c r="D68" s="64">
        <v>3.54</v>
      </c>
      <c r="E68" s="64">
        <v>4.8600000000000003</v>
      </c>
      <c r="F68" s="64">
        <v>4.34</v>
      </c>
      <c r="G68" s="64">
        <v>18.14</v>
      </c>
      <c r="H68" s="64">
        <v>10.17</v>
      </c>
      <c r="I68" s="64">
        <v>3.97</v>
      </c>
      <c r="J68" s="64">
        <v>1.36</v>
      </c>
      <c r="K68" s="64">
        <v>116.37</v>
      </c>
      <c r="L68" s="64">
        <v>30.5</v>
      </c>
      <c r="M68" s="64">
        <v>61.76</v>
      </c>
      <c r="N68" s="64">
        <v>131.30000000000001</v>
      </c>
      <c r="O68" s="64">
        <v>0</v>
      </c>
      <c r="P68" s="64">
        <v>0.31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1554</v>
      </c>
      <c r="B69" s="64">
        <v>0.89</v>
      </c>
      <c r="C69" s="64">
        <v>5.14</v>
      </c>
      <c r="D69" s="64">
        <v>3.4</v>
      </c>
      <c r="E69" s="64">
        <v>4.72</v>
      </c>
      <c r="F69" s="64">
        <v>4.38</v>
      </c>
      <c r="G69" s="64">
        <v>18.14</v>
      </c>
      <c r="H69" s="64">
        <v>10.17</v>
      </c>
      <c r="I69" s="64">
        <v>3.61</v>
      </c>
      <c r="J69" s="64">
        <v>1.36</v>
      </c>
      <c r="K69" s="64">
        <v>107.31</v>
      </c>
      <c r="L69" s="64">
        <v>29.81</v>
      </c>
      <c r="M69" s="64">
        <v>62.75</v>
      </c>
      <c r="N69" s="64">
        <v>116.2</v>
      </c>
      <c r="O69" s="64">
        <v>0</v>
      </c>
      <c r="P69" s="64">
        <v>0.3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1555</v>
      </c>
      <c r="B70" s="64">
        <v>0.8</v>
      </c>
      <c r="C70" s="64">
        <v>5.36</v>
      </c>
      <c r="D70" s="64">
        <v>3.44</v>
      </c>
      <c r="E70" s="64">
        <v>4.37</v>
      </c>
      <c r="F70" s="64">
        <v>4.97</v>
      </c>
      <c r="G70" s="64">
        <v>18.14</v>
      </c>
      <c r="H70" s="64">
        <v>10.17</v>
      </c>
      <c r="I70" s="64">
        <v>3.61</v>
      </c>
      <c r="J70" s="64">
        <v>1.57</v>
      </c>
      <c r="K70" s="64">
        <v>119.91</v>
      </c>
      <c r="L70" s="64">
        <v>29.79</v>
      </c>
      <c r="M70" s="64">
        <v>64.099999999999994</v>
      </c>
      <c r="N70" s="64">
        <v>98.5</v>
      </c>
      <c r="O70" s="64">
        <v>0</v>
      </c>
      <c r="P70" s="64">
        <v>0.31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1556</v>
      </c>
      <c r="B71" s="64">
        <v>0.78</v>
      </c>
      <c r="C71" s="64">
        <v>5.47</v>
      </c>
      <c r="D71" s="64">
        <v>3.48</v>
      </c>
      <c r="E71" s="64">
        <v>4.63</v>
      </c>
      <c r="F71" s="64">
        <v>4.5</v>
      </c>
      <c r="G71" s="64">
        <v>23.56</v>
      </c>
      <c r="H71" s="64">
        <v>5.84</v>
      </c>
      <c r="I71" s="64">
        <v>3.03</v>
      </c>
      <c r="J71" s="64">
        <v>0.6</v>
      </c>
      <c r="K71" s="64">
        <v>118.96</v>
      </c>
      <c r="L71" s="64">
        <v>29.4</v>
      </c>
      <c r="M71" s="64">
        <v>64.77</v>
      </c>
      <c r="N71" s="64">
        <v>80.5</v>
      </c>
      <c r="O71" s="64">
        <v>0</v>
      </c>
      <c r="P71" s="64">
        <v>0.39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5" t="s">
        <v>1557</v>
      </c>
      <c r="B72" s="64">
        <v>1.0900000000000001</v>
      </c>
      <c r="C72" s="64">
        <v>6.04</v>
      </c>
      <c r="D72" s="64">
        <v>4.03</v>
      </c>
      <c r="E72" s="64">
        <v>4.34</v>
      </c>
      <c r="F72" s="64">
        <v>4.04</v>
      </c>
      <c r="G72" s="64">
        <v>25.87</v>
      </c>
      <c r="H72" s="64">
        <v>5.49</v>
      </c>
      <c r="I72" s="64">
        <v>3.3</v>
      </c>
      <c r="J72" s="64">
        <v>0.79</v>
      </c>
      <c r="K72" s="64">
        <v>106.75</v>
      </c>
      <c r="L72" s="64">
        <v>29.61</v>
      </c>
      <c r="M72" s="64">
        <v>64.319999999999993</v>
      </c>
      <c r="N72" s="64">
        <v>78.099999999999994</v>
      </c>
      <c r="O72" s="64">
        <v>0</v>
      </c>
      <c r="P72" s="64">
        <v>0.38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5" t="s">
        <v>1558</v>
      </c>
      <c r="B73" s="64">
        <v>1.43</v>
      </c>
      <c r="C73" s="64">
        <v>6.1</v>
      </c>
      <c r="D73" s="64">
        <v>4.33</v>
      </c>
      <c r="E73" s="64">
        <v>4.72</v>
      </c>
      <c r="F73" s="64">
        <v>3.91</v>
      </c>
      <c r="G73" s="64">
        <v>25.87</v>
      </c>
      <c r="H73" s="64">
        <v>5.49</v>
      </c>
      <c r="I73" s="64">
        <v>3.21</v>
      </c>
      <c r="J73" s="64">
        <v>0.7</v>
      </c>
      <c r="K73" s="64">
        <v>113.18</v>
      </c>
      <c r="L73" s="64">
        <v>29.53</v>
      </c>
      <c r="M73" s="64">
        <v>64.349999999999994</v>
      </c>
      <c r="N73" s="64">
        <v>69.8</v>
      </c>
      <c r="O73" s="64">
        <v>0</v>
      </c>
      <c r="P73" s="64">
        <v>0.38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5" t="s">
        <v>1559</v>
      </c>
      <c r="B74" s="64">
        <v>1.53</v>
      </c>
      <c r="C74" s="64">
        <v>6.62</v>
      </c>
      <c r="D74" s="64">
        <v>4.6900000000000004</v>
      </c>
      <c r="E74" s="64">
        <v>4.82</v>
      </c>
      <c r="F74" s="64">
        <v>4.03</v>
      </c>
      <c r="G74" s="64">
        <v>25.87</v>
      </c>
      <c r="H74" s="64">
        <v>5.49</v>
      </c>
      <c r="I74" s="64">
        <v>2.5</v>
      </c>
      <c r="J74" s="64">
        <v>1.01</v>
      </c>
      <c r="K74" s="64">
        <v>110.05</v>
      </c>
      <c r="L74" s="64">
        <v>29.31</v>
      </c>
      <c r="M74" s="64">
        <v>62.48</v>
      </c>
      <c r="N74" s="64">
        <v>62.6</v>
      </c>
      <c r="O74" s="64">
        <v>0</v>
      </c>
      <c r="P74" s="64">
        <v>0.34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1560</v>
      </c>
      <c r="B75" s="64">
        <v>1.47</v>
      </c>
      <c r="C75" s="64">
        <v>6.4</v>
      </c>
      <c r="D75" s="64">
        <v>4.53</v>
      </c>
      <c r="E75" s="64">
        <v>4.5999999999999996</v>
      </c>
      <c r="F75" s="64">
        <v>4.32</v>
      </c>
      <c r="G75" s="64">
        <v>20.78</v>
      </c>
      <c r="H75" s="64">
        <v>7.22</v>
      </c>
      <c r="I75" s="64">
        <v>3.02</v>
      </c>
      <c r="J75" s="64">
        <v>0.99</v>
      </c>
      <c r="K75" s="64">
        <v>116.5</v>
      </c>
      <c r="L75" s="64">
        <v>29.22</v>
      </c>
      <c r="M75" s="64">
        <v>64.53</v>
      </c>
      <c r="N75" s="64">
        <v>58</v>
      </c>
      <c r="O75" s="64">
        <v>0</v>
      </c>
      <c r="P75" s="64">
        <v>0.34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1561</v>
      </c>
      <c r="B76" s="64">
        <v>1.45</v>
      </c>
      <c r="C76" s="64">
        <v>6.02</v>
      </c>
      <c r="D76" s="64">
        <v>4.3099999999999996</v>
      </c>
      <c r="E76" s="64">
        <v>4.59</v>
      </c>
      <c r="F76" s="64">
        <v>4.45</v>
      </c>
      <c r="G76" s="64">
        <v>18.600000000000001</v>
      </c>
      <c r="H76" s="64">
        <v>7.33</v>
      </c>
      <c r="I76" s="64">
        <v>2.12</v>
      </c>
      <c r="J76" s="64">
        <v>0.63</v>
      </c>
      <c r="K76" s="64">
        <v>128.19</v>
      </c>
      <c r="L76" s="64">
        <v>29.11</v>
      </c>
      <c r="M76" s="64">
        <v>63.91</v>
      </c>
      <c r="N76" s="64">
        <v>50.8</v>
      </c>
      <c r="O76" s="64">
        <v>0</v>
      </c>
      <c r="P76" s="64">
        <v>0.38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1562</v>
      </c>
      <c r="B77" s="64">
        <v>1.56</v>
      </c>
      <c r="C77" s="64">
        <v>5.91</v>
      </c>
      <c r="D77" s="64">
        <v>4.34</v>
      </c>
      <c r="E77" s="64">
        <v>4.9400000000000004</v>
      </c>
      <c r="F77" s="64">
        <v>4.1399999999999997</v>
      </c>
      <c r="G77" s="64">
        <v>18.600000000000001</v>
      </c>
      <c r="H77" s="64">
        <v>7.33</v>
      </c>
      <c r="I77" s="64">
        <v>1.59</v>
      </c>
      <c r="J77" s="64">
        <v>0.93</v>
      </c>
      <c r="K77" s="64">
        <v>114.97</v>
      </c>
      <c r="L77" s="64">
        <v>28.91</v>
      </c>
      <c r="M77" s="64">
        <v>66.23</v>
      </c>
      <c r="N77" s="64">
        <v>44.4</v>
      </c>
      <c r="O77" s="64">
        <v>0</v>
      </c>
      <c r="P77" s="64">
        <v>0.37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1563</v>
      </c>
      <c r="B78" s="64">
        <v>1.93</v>
      </c>
      <c r="C78" s="64">
        <v>5.98</v>
      </c>
      <c r="D78" s="64">
        <v>4.67</v>
      </c>
      <c r="E78" s="64">
        <v>4.5599999999999996</v>
      </c>
      <c r="F78" s="64">
        <v>4.08</v>
      </c>
      <c r="G78" s="64">
        <v>18.600000000000001</v>
      </c>
      <c r="H78" s="64">
        <v>7.33</v>
      </c>
      <c r="I78" s="64">
        <v>1.62</v>
      </c>
      <c r="J78" s="64">
        <v>0.41</v>
      </c>
      <c r="K78" s="64">
        <v>114.82</v>
      </c>
      <c r="L78" s="64">
        <v>28.72</v>
      </c>
      <c r="M78" s="64">
        <v>68.36</v>
      </c>
      <c r="N78" s="64">
        <v>36</v>
      </c>
      <c r="O78" s="64">
        <v>0</v>
      </c>
      <c r="P78" s="64">
        <v>0.47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1564</v>
      </c>
      <c r="B79" s="64">
        <v>2.15</v>
      </c>
      <c r="C79" s="64">
        <v>6.01</v>
      </c>
      <c r="D79" s="64">
        <v>4.8600000000000003</v>
      </c>
      <c r="E79" s="64">
        <v>4.63</v>
      </c>
      <c r="F79" s="64">
        <v>3.84</v>
      </c>
      <c r="G79" s="64">
        <v>18.66</v>
      </c>
      <c r="H79" s="64">
        <v>7.63</v>
      </c>
      <c r="I79" s="64">
        <v>2.2000000000000002</v>
      </c>
      <c r="J79" s="64">
        <v>1.2</v>
      </c>
      <c r="K79" s="64">
        <v>120.74</v>
      </c>
      <c r="L79" s="64">
        <v>28.51</v>
      </c>
      <c r="M79" s="64">
        <v>70.37</v>
      </c>
      <c r="N79" s="64">
        <v>28.6</v>
      </c>
      <c r="O79" s="64">
        <v>0</v>
      </c>
      <c r="P79" s="64">
        <v>0.4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1565</v>
      </c>
      <c r="B80" s="64">
        <v>2.2000000000000002</v>
      </c>
      <c r="C80" s="64">
        <v>5.91</v>
      </c>
      <c r="D80" s="64">
        <v>4.8600000000000003</v>
      </c>
      <c r="E80" s="64">
        <v>4.6399999999999997</v>
      </c>
      <c r="F80" s="64">
        <v>4.18</v>
      </c>
      <c r="G80" s="64">
        <v>18.68</v>
      </c>
      <c r="H80" s="64">
        <v>7.65</v>
      </c>
      <c r="I80" s="64">
        <v>2.2400000000000002</v>
      </c>
      <c r="J80" s="64">
        <v>0.24</v>
      </c>
      <c r="K80" s="64">
        <v>85.73</v>
      </c>
      <c r="L80" s="64">
        <v>27.99</v>
      </c>
      <c r="M80" s="64">
        <v>75.91</v>
      </c>
      <c r="N80" s="64">
        <v>26.7</v>
      </c>
      <c r="O80" s="64">
        <v>0</v>
      </c>
      <c r="P80" s="64">
        <v>0.43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1566</v>
      </c>
      <c r="B81" s="64">
        <v>2.31</v>
      </c>
      <c r="C81" s="64">
        <v>6.03</v>
      </c>
      <c r="D81" s="64">
        <v>5</v>
      </c>
      <c r="E81" s="64">
        <v>4.92</v>
      </c>
      <c r="F81" s="64">
        <v>3.6</v>
      </c>
      <c r="G81" s="64">
        <v>18.68</v>
      </c>
      <c r="H81" s="64">
        <v>7.65</v>
      </c>
      <c r="I81" s="64">
        <v>1.88</v>
      </c>
      <c r="J81" s="64">
        <v>0.62</v>
      </c>
      <c r="K81" s="64">
        <v>115.38</v>
      </c>
      <c r="L81" s="64">
        <v>27.75</v>
      </c>
      <c r="M81" s="64">
        <v>77.150000000000006</v>
      </c>
      <c r="N81" s="64">
        <v>26.2</v>
      </c>
      <c r="O81" s="64">
        <v>0</v>
      </c>
      <c r="P81" s="64">
        <v>0.46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1567</v>
      </c>
      <c r="B82" s="64">
        <v>2.5299999999999998</v>
      </c>
      <c r="C82" s="64">
        <v>6.14</v>
      </c>
      <c r="D82" s="64">
        <v>5.24</v>
      </c>
      <c r="E82" s="64">
        <v>4.6399999999999997</v>
      </c>
      <c r="F82" s="64">
        <v>3.97</v>
      </c>
      <c r="G82" s="64">
        <v>18.68</v>
      </c>
      <c r="H82" s="64">
        <v>7.65</v>
      </c>
      <c r="I82" s="64">
        <v>1.81</v>
      </c>
      <c r="J82" s="64">
        <v>1.1599999999999999</v>
      </c>
      <c r="K82" s="64">
        <v>115.9</v>
      </c>
      <c r="L82" s="64">
        <v>27.91</v>
      </c>
      <c r="M82" s="64">
        <v>76.45</v>
      </c>
      <c r="N82" s="64">
        <v>26.1</v>
      </c>
      <c r="O82" s="64">
        <v>0</v>
      </c>
      <c r="P82" s="64">
        <v>0.45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1568</v>
      </c>
      <c r="B83" s="64">
        <v>2.56</v>
      </c>
      <c r="C83" s="64">
        <v>6.42</v>
      </c>
      <c r="D83" s="64">
        <v>5.41</v>
      </c>
      <c r="E83" s="64">
        <v>5.05</v>
      </c>
      <c r="F83" s="64">
        <v>4.2300000000000004</v>
      </c>
      <c r="G83" s="64">
        <v>19.260000000000002</v>
      </c>
      <c r="H83" s="64">
        <v>8.81</v>
      </c>
      <c r="I83" s="64">
        <v>1.95</v>
      </c>
      <c r="J83" s="64">
        <v>0.9</v>
      </c>
      <c r="K83" s="64">
        <v>112.06</v>
      </c>
      <c r="L83" s="64">
        <v>27.82</v>
      </c>
      <c r="M83" s="64">
        <v>78.67</v>
      </c>
      <c r="N83" s="64">
        <v>26.2</v>
      </c>
      <c r="O83" s="64">
        <v>0</v>
      </c>
      <c r="P83" s="64">
        <v>0.44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5" t="s">
        <v>1569</v>
      </c>
      <c r="B84" s="64">
        <v>2.39</v>
      </c>
      <c r="C84" s="64">
        <v>6.4</v>
      </c>
      <c r="D84" s="64">
        <v>5.27</v>
      </c>
      <c r="E84" s="64">
        <v>5.23</v>
      </c>
      <c r="F84" s="64">
        <v>4.9000000000000004</v>
      </c>
      <c r="G84" s="64">
        <v>19.510000000000002</v>
      </c>
      <c r="H84" s="64">
        <v>8.92</v>
      </c>
      <c r="I84" s="64">
        <v>3.02</v>
      </c>
      <c r="J84" s="64">
        <v>1.46</v>
      </c>
      <c r="K84" s="64">
        <v>117.19</v>
      </c>
      <c r="L84" s="64">
        <v>27.65</v>
      </c>
      <c r="M84" s="64">
        <v>81.69</v>
      </c>
      <c r="N84" s="64">
        <v>26.2</v>
      </c>
      <c r="O84" s="64">
        <v>0</v>
      </c>
      <c r="P84" s="64">
        <v>0.41</v>
      </c>
      <c r="Q84" s="64">
        <v>9.59</v>
      </c>
      <c r="R84" s="198"/>
      <c r="S84" s="198"/>
      <c r="T84" s="198"/>
      <c r="U84" s="198"/>
    </row>
    <row r="85" spans="1:26" s="12" customFormat="1" x14ac:dyDescent="0.25">
      <c r="A85" s="215" t="s">
        <v>1570</v>
      </c>
      <c r="B85" s="64">
        <v>2.2400000000000002</v>
      </c>
      <c r="C85" s="64">
        <v>6.3</v>
      </c>
      <c r="D85" s="64">
        <v>5.09</v>
      </c>
      <c r="E85" s="64">
        <v>5.21</v>
      </c>
      <c r="F85" s="64">
        <v>3.92</v>
      </c>
      <c r="G85" s="64">
        <v>19.510000000000002</v>
      </c>
      <c r="H85" s="64">
        <v>8.92</v>
      </c>
      <c r="I85" s="64">
        <v>2.93</v>
      </c>
      <c r="J85" s="64">
        <v>1.44</v>
      </c>
      <c r="K85" s="64">
        <v>115.06</v>
      </c>
      <c r="L85" s="64">
        <v>27.44</v>
      </c>
      <c r="M85" s="64">
        <v>84.72</v>
      </c>
      <c r="N85" s="64">
        <v>26.2</v>
      </c>
      <c r="O85" s="64">
        <v>0</v>
      </c>
      <c r="P85" s="64">
        <v>0.41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5" t="s">
        <v>1571</v>
      </c>
      <c r="B86" s="64">
        <v>2</v>
      </c>
      <c r="C86" s="64">
        <v>6.36</v>
      </c>
      <c r="D86" s="64">
        <v>4.92</v>
      </c>
      <c r="E86" s="64">
        <v>5.34</v>
      </c>
      <c r="F86" s="64">
        <v>3.91</v>
      </c>
      <c r="G86" s="64">
        <v>19.510000000000002</v>
      </c>
      <c r="H86" s="64">
        <v>8.92</v>
      </c>
      <c r="I86" s="64">
        <v>3.59</v>
      </c>
      <c r="J86" s="64">
        <v>0.78</v>
      </c>
      <c r="K86" s="64">
        <v>116.39</v>
      </c>
      <c r="L86" s="64">
        <v>27.25</v>
      </c>
      <c r="M86" s="64">
        <v>87.05</v>
      </c>
      <c r="N86" s="64">
        <v>26.2</v>
      </c>
      <c r="O86" s="64">
        <v>0</v>
      </c>
      <c r="P86" s="64">
        <v>0.47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5" t="s">
        <v>1572</v>
      </c>
      <c r="B87" s="64">
        <v>2.0099999999999998</v>
      </c>
      <c r="C87" s="64">
        <v>6.16</v>
      </c>
      <c r="D87" s="64">
        <v>4.83</v>
      </c>
      <c r="E87" s="64">
        <v>5.18</v>
      </c>
      <c r="F87" s="64">
        <v>3.95</v>
      </c>
      <c r="G87" s="64">
        <v>24.87</v>
      </c>
      <c r="H87" s="64">
        <v>11.68</v>
      </c>
      <c r="I87" s="64">
        <v>3.71</v>
      </c>
      <c r="J87" s="64">
        <v>1.18</v>
      </c>
      <c r="K87" s="64">
        <v>122.71</v>
      </c>
      <c r="L87" s="64">
        <v>27.18</v>
      </c>
      <c r="M87" s="64">
        <v>87.37</v>
      </c>
      <c r="N87" s="64">
        <v>26.1</v>
      </c>
      <c r="O87" s="64">
        <v>0</v>
      </c>
      <c r="P87" s="64">
        <v>0.44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15" t="s">
        <v>1573</v>
      </c>
      <c r="B88" s="64">
        <v>2.3199999999999998</v>
      </c>
      <c r="C88" s="64">
        <v>6.76</v>
      </c>
      <c r="D88" s="64">
        <v>5.39</v>
      </c>
      <c r="E88" s="64">
        <v>5.21</v>
      </c>
      <c r="F88" s="64">
        <v>3.47</v>
      </c>
      <c r="G88" s="64">
        <v>27.17</v>
      </c>
      <c r="H88" s="64">
        <v>11.86</v>
      </c>
      <c r="I88" s="64">
        <v>3.31</v>
      </c>
      <c r="J88" s="64">
        <v>0.41</v>
      </c>
      <c r="K88" s="64">
        <v>119.08</v>
      </c>
      <c r="L88" s="64">
        <v>27.04</v>
      </c>
      <c r="M88" s="64">
        <v>87.91</v>
      </c>
      <c r="N88" s="64">
        <v>26.1</v>
      </c>
      <c r="O88" s="64">
        <v>0</v>
      </c>
      <c r="P88" s="64">
        <v>0.53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5" t="s">
        <v>1574</v>
      </c>
      <c r="B89" s="64">
        <v>2.5</v>
      </c>
      <c r="C89" s="64">
        <v>6.54</v>
      </c>
      <c r="D89" s="64">
        <v>5.42</v>
      </c>
      <c r="E89" s="64">
        <v>5.49</v>
      </c>
      <c r="F89" s="64">
        <v>4.09</v>
      </c>
      <c r="G89" s="64">
        <v>27.17</v>
      </c>
      <c r="H89" s="64">
        <v>11.86</v>
      </c>
      <c r="I89" s="64">
        <v>3.67</v>
      </c>
      <c r="J89" s="64">
        <v>0.69</v>
      </c>
      <c r="K89" s="64">
        <v>119.65</v>
      </c>
      <c r="L89" s="64">
        <v>26.95</v>
      </c>
      <c r="M89" s="64">
        <v>88.19</v>
      </c>
      <c r="N89" s="64">
        <v>26.1</v>
      </c>
      <c r="O89" s="64">
        <v>0</v>
      </c>
      <c r="P89" s="64">
        <v>0.57999999999999996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1575</v>
      </c>
      <c r="B90" s="64">
        <v>2.5099999999999998</v>
      </c>
      <c r="C90" s="64">
        <v>7.12</v>
      </c>
      <c r="D90" s="64">
        <v>5.73</v>
      </c>
      <c r="E90" s="64">
        <v>5.66</v>
      </c>
      <c r="F90" s="64">
        <v>3.93</v>
      </c>
      <c r="G90" s="64">
        <v>27.17</v>
      </c>
      <c r="H90" s="64">
        <v>11.86</v>
      </c>
      <c r="I90" s="64">
        <v>3.29</v>
      </c>
      <c r="J90" s="64">
        <v>0.97</v>
      </c>
      <c r="K90" s="64">
        <v>119.44</v>
      </c>
      <c r="L90" s="64">
        <v>26.88</v>
      </c>
      <c r="M90" s="64">
        <v>88.65</v>
      </c>
      <c r="N90" s="64">
        <v>26.1</v>
      </c>
      <c r="O90" s="64">
        <v>0</v>
      </c>
      <c r="P90" s="64">
        <v>0.49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5" t="s">
        <v>1576</v>
      </c>
      <c r="B91" s="64">
        <v>2.48</v>
      </c>
      <c r="C91" s="64">
        <v>6.89</v>
      </c>
      <c r="D91" s="64">
        <v>5.59</v>
      </c>
      <c r="E91" s="64">
        <v>5.92</v>
      </c>
      <c r="F91" s="64">
        <v>4.21</v>
      </c>
      <c r="G91" s="64">
        <v>26.69</v>
      </c>
      <c r="H91" s="64">
        <v>15.81</v>
      </c>
      <c r="I91" s="64">
        <v>3.7</v>
      </c>
      <c r="J91" s="64">
        <v>0.86</v>
      </c>
      <c r="K91" s="64">
        <v>119.06</v>
      </c>
      <c r="L91" s="64">
        <v>26.74</v>
      </c>
      <c r="M91" s="64">
        <v>89.96</v>
      </c>
      <c r="N91" s="64">
        <v>26.1</v>
      </c>
      <c r="O91" s="64">
        <v>0</v>
      </c>
      <c r="P91" s="64">
        <v>0.52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1577</v>
      </c>
      <c r="B92" s="64">
        <v>2.48</v>
      </c>
      <c r="C92" s="64">
        <v>6.79</v>
      </c>
      <c r="D92" s="64">
        <v>5.54</v>
      </c>
      <c r="E92" s="64">
        <v>5.34</v>
      </c>
      <c r="F92" s="64">
        <v>3.48</v>
      </c>
      <c r="G92" s="64">
        <v>26.49</v>
      </c>
      <c r="H92" s="64">
        <v>16.07</v>
      </c>
      <c r="I92" s="64">
        <v>3.11</v>
      </c>
      <c r="J92" s="64">
        <v>1.24</v>
      </c>
      <c r="K92" s="64">
        <v>121.06</v>
      </c>
      <c r="L92" s="64">
        <v>26.68</v>
      </c>
      <c r="M92" s="64">
        <v>89.8</v>
      </c>
      <c r="N92" s="64">
        <v>26.1</v>
      </c>
      <c r="O92" s="64">
        <v>0</v>
      </c>
      <c r="P92" s="64">
        <v>0.48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1578</v>
      </c>
      <c r="B93" s="64">
        <v>2.35</v>
      </c>
      <c r="C93" s="64">
        <v>6.42</v>
      </c>
      <c r="D93" s="64">
        <v>5.24</v>
      </c>
      <c r="E93" s="64">
        <v>6.08</v>
      </c>
      <c r="F93" s="64">
        <v>4.04</v>
      </c>
      <c r="G93" s="64">
        <v>26.49</v>
      </c>
      <c r="H93" s="64">
        <v>16.07</v>
      </c>
      <c r="I93" s="64">
        <v>2.91</v>
      </c>
      <c r="J93" s="64">
        <v>1.1599999999999999</v>
      </c>
      <c r="K93" s="64">
        <v>115.36</v>
      </c>
      <c r="L93" s="64">
        <v>26.67</v>
      </c>
      <c r="M93" s="64">
        <v>88.57</v>
      </c>
      <c r="N93" s="64">
        <v>26</v>
      </c>
      <c r="O93" s="64">
        <v>0</v>
      </c>
      <c r="P93" s="64">
        <v>0.47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1579</v>
      </c>
      <c r="B94" s="64">
        <v>2.2000000000000002</v>
      </c>
      <c r="C94" s="64">
        <v>6.28</v>
      </c>
      <c r="D94" s="64">
        <v>5.05</v>
      </c>
      <c r="E94" s="64">
        <v>5.79</v>
      </c>
      <c r="F94" s="64">
        <v>4.2</v>
      </c>
      <c r="G94" s="64">
        <v>26.49</v>
      </c>
      <c r="H94" s="64">
        <v>16.07</v>
      </c>
      <c r="I94" s="64">
        <v>2.6</v>
      </c>
      <c r="J94" s="64">
        <v>1</v>
      </c>
      <c r="K94" s="64">
        <v>124.84</v>
      </c>
      <c r="L94" s="64">
        <v>26.53</v>
      </c>
      <c r="M94" s="64">
        <v>90.04</v>
      </c>
      <c r="N94" s="64">
        <v>26.1</v>
      </c>
      <c r="O94" s="64">
        <v>0</v>
      </c>
      <c r="P94" s="64">
        <v>0.48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1580</v>
      </c>
      <c r="B95" s="64">
        <v>2.13</v>
      </c>
      <c r="C95" s="64">
        <v>6.13</v>
      </c>
      <c r="D95" s="64">
        <v>4.91</v>
      </c>
      <c r="E95" s="64">
        <v>5.9</v>
      </c>
      <c r="F95" s="64">
        <v>3.87</v>
      </c>
      <c r="G95" s="64">
        <v>24.28</v>
      </c>
      <c r="H95" s="64">
        <v>18.73</v>
      </c>
      <c r="I95" s="64">
        <v>2.1</v>
      </c>
      <c r="J95" s="64">
        <v>1.07</v>
      </c>
      <c r="K95" s="64">
        <v>122.14</v>
      </c>
      <c r="L95" s="64">
        <v>26.44</v>
      </c>
      <c r="M95" s="64">
        <v>91.11</v>
      </c>
      <c r="N95" s="64">
        <v>26.1</v>
      </c>
      <c r="O95" s="64">
        <v>0</v>
      </c>
      <c r="P95" s="64">
        <v>0.47</v>
      </c>
      <c r="Q95" s="64">
        <v>9.59</v>
      </c>
      <c r="R95" s="198"/>
      <c r="S95" s="198"/>
      <c r="T95" s="198"/>
      <c r="U95" s="198"/>
    </row>
    <row r="96" spans="1:26" s="12" customFormat="1" x14ac:dyDescent="0.25">
      <c r="A96" s="215" t="s">
        <v>1581</v>
      </c>
      <c r="B96" s="64">
        <v>1.96</v>
      </c>
      <c r="C96" s="64">
        <v>5.92</v>
      </c>
      <c r="D96" s="64">
        <v>4.67</v>
      </c>
      <c r="E96" s="64">
        <v>5.66</v>
      </c>
      <c r="F96" s="64">
        <v>4.18</v>
      </c>
      <c r="G96" s="64">
        <v>23.33</v>
      </c>
      <c r="H96" s="64">
        <v>18.899999999999999</v>
      </c>
      <c r="I96" s="64">
        <v>2.2799999999999998</v>
      </c>
      <c r="J96" s="64">
        <v>1.0900000000000001</v>
      </c>
      <c r="K96" s="64">
        <v>116.95</v>
      </c>
      <c r="L96" s="64">
        <v>26.43</v>
      </c>
      <c r="M96" s="64">
        <v>91.62</v>
      </c>
      <c r="N96" s="64">
        <v>26</v>
      </c>
      <c r="O96" s="64">
        <v>0</v>
      </c>
      <c r="P96" s="64">
        <v>0.45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1582</v>
      </c>
      <c r="B97" s="64">
        <v>1.79</v>
      </c>
      <c r="C97" s="64">
        <v>5.74</v>
      </c>
      <c r="D97" s="64">
        <v>4.43</v>
      </c>
      <c r="E97" s="64">
        <v>6.03</v>
      </c>
      <c r="F97" s="64">
        <v>3.79</v>
      </c>
      <c r="G97" s="64">
        <v>23.33</v>
      </c>
      <c r="H97" s="64">
        <v>18.899999999999999</v>
      </c>
      <c r="I97" s="64">
        <v>2.75</v>
      </c>
      <c r="J97" s="64">
        <v>1.29</v>
      </c>
      <c r="K97" s="64">
        <v>115.81</v>
      </c>
      <c r="L97" s="64">
        <v>26.42</v>
      </c>
      <c r="M97" s="64">
        <v>92.43</v>
      </c>
      <c r="N97" s="64">
        <v>26.1</v>
      </c>
      <c r="O97" s="64">
        <v>0</v>
      </c>
      <c r="P97" s="64">
        <v>0.47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5" t="s">
        <v>1583</v>
      </c>
      <c r="B98" s="64">
        <v>1.73</v>
      </c>
      <c r="C98" s="64">
        <v>5.81</v>
      </c>
      <c r="D98" s="64">
        <v>4.42</v>
      </c>
      <c r="E98" s="64">
        <v>5.65</v>
      </c>
      <c r="F98" s="64">
        <v>3.26</v>
      </c>
      <c r="G98" s="64">
        <v>23.33</v>
      </c>
      <c r="H98" s="64">
        <v>18.899999999999999</v>
      </c>
      <c r="I98" s="64">
        <v>2.54</v>
      </c>
      <c r="J98" s="64">
        <v>1.22</v>
      </c>
      <c r="K98" s="64">
        <v>117.98</v>
      </c>
      <c r="L98" s="64">
        <v>26.29</v>
      </c>
      <c r="M98" s="64">
        <v>93.18</v>
      </c>
      <c r="N98" s="64">
        <v>26.1</v>
      </c>
      <c r="O98" s="64">
        <v>0</v>
      </c>
      <c r="P98" s="64">
        <v>0.51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1584</v>
      </c>
      <c r="B99" s="64">
        <v>1.9</v>
      </c>
      <c r="C99" s="64">
        <v>6.2</v>
      </c>
      <c r="D99" s="64">
        <v>4.76</v>
      </c>
      <c r="E99" s="64">
        <v>5.84</v>
      </c>
      <c r="F99" s="64">
        <v>3.49</v>
      </c>
      <c r="G99" s="64">
        <v>28.75</v>
      </c>
      <c r="H99" s="64">
        <v>15.79</v>
      </c>
      <c r="I99" s="64">
        <v>2.57</v>
      </c>
      <c r="J99" s="64">
        <v>1.41</v>
      </c>
      <c r="K99" s="64">
        <v>124.39</v>
      </c>
      <c r="L99" s="64">
        <v>26.22</v>
      </c>
      <c r="M99" s="64">
        <v>93.01</v>
      </c>
      <c r="N99" s="64">
        <v>26</v>
      </c>
      <c r="O99" s="64">
        <v>0</v>
      </c>
      <c r="P99" s="64">
        <v>0.49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1585</v>
      </c>
      <c r="B100" s="64">
        <v>2</v>
      </c>
      <c r="C100" s="64">
        <v>6.89</v>
      </c>
      <c r="D100" s="64">
        <v>5.2</v>
      </c>
      <c r="E100" s="64">
        <v>5.8</v>
      </c>
      <c r="F100" s="64">
        <v>3.7</v>
      </c>
      <c r="G100" s="64">
        <v>31.08</v>
      </c>
      <c r="H100" s="64">
        <v>15.47</v>
      </c>
      <c r="I100" s="64">
        <v>2.77</v>
      </c>
      <c r="J100" s="64">
        <v>0.93</v>
      </c>
      <c r="K100" s="64">
        <v>110.31</v>
      </c>
      <c r="L100" s="64">
        <v>26.12</v>
      </c>
      <c r="M100" s="64">
        <v>92.7</v>
      </c>
      <c r="N100" s="64">
        <v>26.2</v>
      </c>
      <c r="O100" s="64">
        <v>0</v>
      </c>
      <c r="P100" s="64">
        <v>0.45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1586</v>
      </c>
      <c r="B101" s="64">
        <v>1.88</v>
      </c>
      <c r="C101" s="64">
        <v>6.81</v>
      </c>
      <c r="D101" s="64">
        <v>5.0599999999999996</v>
      </c>
      <c r="E101" s="64">
        <v>5.88</v>
      </c>
      <c r="F101" s="64">
        <v>4.28</v>
      </c>
      <c r="G101" s="64">
        <v>31.08</v>
      </c>
      <c r="H101" s="64">
        <v>15.47</v>
      </c>
      <c r="I101" s="64">
        <v>4.0599999999999996</v>
      </c>
      <c r="J101" s="64">
        <v>1.46</v>
      </c>
      <c r="K101" s="64">
        <v>116.41</v>
      </c>
      <c r="L101" s="64">
        <v>26.1</v>
      </c>
      <c r="M101" s="64">
        <v>92.5</v>
      </c>
      <c r="N101" s="64">
        <v>25.9</v>
      </c>
      <c r="O101" s="64">
        <v>0</v>
      </c>
      <c r="P101" s="64">
        <v>0.46</v>
      </c>
      <c r="Q101" s="64">
        <v>9.59</v>
      </c>
      <c r="R101" s="198"/>
      <c r="S101" s="198"/>
      <c r="T101" s="198"/>
      <c r="U101" s="198"/>
    </row>
    <row r="102" spans="1:33" s="12" customFormat="1" x14ac:dyDescent="0.25">
      <c r="A102" s="215" t="s">
        <v>1587</v>
      </c>
      <c r="B102" s="64">
        <v>1.71</v>
      </c>
      <c r="C102" s="64">
        <v>6.79</v>
      </c>
      <c r="D102" s="64">
        <v>4.92</v>
      </c>
      <c r="E102" s="64">
        <v>6.29</v>
      </c>
      <c r="F102" s="64">
        <v>4.43</v>
      </c>
      <c r="G102" s="64">
        <v>31.08</v>
      </c>
      <c r="H102" s="64">
        <v>15.47</v>
      </c>
      <c r="I102" s="64">
        <v>3.58</v>
      </c>
      <c r="J102" s="64">
        <v>1.52</v>
      </c>
      <c r="K102" s="64">
        <v>117.49</v>
      </c>
      <c r="L102" s="64">
        <v>26.09</v>
      </c>
      <c r="M102" s="64">
        <v>92.36</v>
      </c>
      <c r="N102" s="64">
        <v>26.1</v>
      </c>
      <c r="O102" s="64">
        <v>0</v>
      </c>
      <c r="P102" s="64">
        <v>0.46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1588</v>
      </c>
      <c r="B103" s="64">
        <v>1.57</v>
      </c>
      <c r="C103" s="64">
        <v>6.53</v>
      </c>
      <c r="D103" s="64">
        <v>4.67</v>
      </c>
      <c r="E103" s="64">
        <v>5.81</v>
      </c>
      <c r="F103" s="64">
        <v>4.0599999999999996</v>
      </c>
      <c r="G103" s="64">
        <v>30.04</v>
      </c>
      <c r="H103" s="64">
        <v>14.11</v>
      </c>
      <c r="I103" s="64">
        <v>4.04</v>
      </c>
      <c r="J103" s="64">
        <v>1.62</v>
      </c>
      <c r="K103" s="64">
        <v>120.52</v>
      </c>
      <c r="L103" s="64">
        <v>26</v>
      </c>
      <c r="M103" s="64">
        <v>92.94</v>
      </c>
      <c r="N103" s="64">
        <v>26.1</v>
      </c>
      <c r="O103" s="64">
        <v>0</v>
      </c>
      <c r="P103" s="64">
        <v>0.45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1589</v>
      </c>
      <c r="B104" s="64">
        <v>1.46</v>
      </c>
      <c r="C104" s="64">
        <v>6.8</v>
      </c>
      <c r="D104" s="64">
        <v>4.72</v>
      </c>
      <c r="E104" s="64">
        <v>5.32</v>
      </c>
      <c r="F104" s="64">
        <v>3.67</v>
      </c>
      <c r="G104" s="64">
        <v>29.6</v>
      </c>
      <c r="H104" s="64">
        <v>14.03</v>
      </c>
      <c r="I104" s="64">
        <v>4.01</v>
      </c>
      <c r="J104" s="64">
        <v>1.82</v>
      </c>
      <c r="K104" s="64">
        <v>114.92</v>
      </c>
      <c r="L104" s="64">
        <v>25.93</v>
      </c>
      <c r="M104" s="64">
        <v>93.66</v>
      </c>
      <c r="N104" s="64">
        <v>26.1</v>
      </c>
      <c r="O104" s="64">
        <v>0</v>
      </c>
      <c r="P104" s="64">
        <v>0.45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0.78</v>
      </c>
      <c r="C106" s="67">
        <f>MIN(C9:C104)</f>
        <v>4.42</v>
      </c>
      <c r="D106" s="67">
        <f t="shared" ref="D106:Q106" si="0">MIN(D9:D104)</f>
        <v>3.4</v>
      </c>
      <c r="E106" s="67">
        <f t="shared" si="0"/>
        <v>3.47</v>
      </c>
      <c r="F106" s="67">
        <f t="shared" si="0"/>
        <v>2.94</v>
      </c>
      <c r="G106" s="67">
        <f t="shared" si="0"/>
        <v>18.14</v>
      </c>
      <c r="H106" s="67">
        <f t="shared" si="0"/>
        <v>4.25</v>
      </c>
      <c r="I106" s="67">
        <f t="shared" si="0"/>
        <v>1.32</v>
      </c>
      <c r="J106" s="67">
        <f t="shared" si="0"/>
        <v>0.05</v>
      </c>
      <c r="K106" s="67">
        <f t="shared" si="0"/>
        <v>1.68</v>
      </c>
      <c r="L106" s="67">
        <f t="shared" si="0"/>
        <v>23.71</v>
      </c>
      <c r="M106" s="67">
        <f t="shared" si="0"/>
        <v>52.69</v>
      </c>
      <c r="N106" s="67">
        <f t="shared" si="0"/>
        <v>25.9</v>
      </c>
      <c r="O106" s="67">
        <f t="shared" si="0"/>
        <v>0</v>
      </c>
      <c r="P106" s="67">
        <f t="shared" si="0"/>
        <v>0.3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9.3000000000000007</v>
      </c>
      <c r="C107" s="66">
        <f t="shared" ref="C107:Q107" si="1">MAX(C9:C104)</f>
        <v>7.12</v>
      </c>
      <c r="D107" s="66">
        <f t="shared" si="1"/>
        <v>10.92</v>
      </c>
      <c r="E107" s="66">
        <f t="shared" si="1"/>
        <v>6.29</v>
      </c>
      <c r="F107" s="66">
        <f t="shared" si="1"/>
        <v>6.34</v>
      </c>
      <c r="G107" s="66">
        <f t="shared" si="1"/>
        <v>53.74</v>
      </c>
      <c r="H107" s="66">
        <f t="shared" si="1"/>
        <v>34</v>
      </c>
      <c r="I107" s="66">
        <f t="shared" si="1"/>
        <v>6.77</v>
      </c>
      <c r="J107" s="66">
        <f t="shared" si="1"/>
        <v>1.83</v>
      </c>
      <c r="K107" s="66">
        <f t="shared" si="1"/>
        <v>343.75</v>
      </c>
      <c r="L107" s="66">
        <f t="shared" si="1"/>
        <v>31.08</v>
      </c>
      <c r="M107" s="66">
        <f t="shared" si="1"/>
        <v>102.73</v>
      </c>
      <c r="N107" s="66">
        <f t="shared" si="1"/>
        <v>925.6</v>
      </c>
      <c r="O107" s="66">
        <f t="shared" si="1"/>
        <v>0</v>
      </c>
      <c r="P107" s="66">
        <f t="shared" si="1"/>
        <v>0.57999999999999996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3.3339583333333334</v>
      </c>
      <c r="C108" s="67">
        <f t="shared" ref="C108:Q108" si="2">AVERAGE(C9:C104)</f>
        <v>5.7548958333333324</v>
      </c>
      <c r="D108" s="67">
        <f t="shared" si="2"/>
        <v>5.680208333333332</v>
      </c>
      <c r="E108" s="67">
        <f t="shared" si="2"/>
        <v>4.9653124999999987</v>
      </c>
      <c r="F108" s="67">
        <f t="shared" si="2"/>
        <v>3.985937499999999</v>
      </c>
      <c r="G108" s="67">
        <f t="shared" si="2"/>
        <v>30.484374999999975</v>
      </c>
      <c r="H108" s="67">
        <f t="shared" si="2"/>
        <v>16.079375000000006</v>
      </c>
      <c r="I108" s="67">
        <f t="shared" si="2"/>
        <v>3.3851041666666668</v>
      </c>
      <c r="J108" s="67">
        <f t="shared" si="2"/>
        <v>0.89604166666666663</v>
      </c>
      <c r="K108" s="67">
        <f t="shared" si="2"/>
        <v>133.9754166666666</v>
      </c>
      <c r="L108" s="67">
        <f t="shared" si="2"/>
        <v>27.249895833333326</v>
      </c>
      <c r="M108" s="67">
        <f t="shared" si="2"/>
        <v>83.525104166666637</v>
      </c>
      <c r="N108" s="67">
        <f t="shared" si="2"/>
        <v>182.89583333333312</v>
      </c>
      <c r="O108" s="67">
        <f t="shared" si="2"/>
        <v>0</v>
      </c>
      <c r="P108" s="67">
        <f t="shared" si="2"/>
        <v>0.43708333333333321</v>
      </c>
      <c r="Q108" s="67">
        <f t="shared" si="2"/>
        <v>9.6079166666666787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1.9900179735589607</v>
      </c>
      <c r="C109" s="67">
        <f t="shared" ref="C109:Q109" si="3">STDEV(C9:C104)</f>
        <v>0.70567771798936429</v>
      </c>
      <c r="D109" s="67">
        <f t="shared" si="3"/>
        <v>1.6214554729862956</v>
      </c>
      <c r="E109" s="67">
        <f t="shared" si="3"/>
        <v>0.54058828214222709</v>
      </c>
      <c r="F109" s="67">
        <f t="shared" si="3"/>
        <v>0.4471419841027961</v>
      </c>
      <c r="G109" s="67">
        <f t="shared" si="3"/>
        <v>10.335164685623011</v>
      </c>
      <c r="H109" s="67">
        <f t="shared" si="3"/>
        <v>8.758764850738137</v>
      </c>
      <c r="I109" s="67">
        <f t="shared" si="3"/>
        <v>1.2791123524099526</v>
      </c>
      <c r="J109" s="67">
        <f t="shared" si="3"/>
        <v>0.504584204368553</v>
      </c>
      <c r="K109" s="67">
        <f t="shared" si="3"/>
        <v>71.32084556745076</v>
      </c>
      <c r="L109" s="67">
        <f t="shared" si="3"/>
        <v>2.3458583861739086</v>
      </c>
      <c r="M109" s="67">
        <f t="shared" si="3"/>
        <v>16.30301586531856</v>
      </c>
      <c r="N109" s="67">
        <f t="shared" si="3"/>
        <v>253.90701112463557</v>
      </c>
      <c r="O109" s="67">
        <f t="shared" si="3"/>
        <v>0</v>
      </c>
      <c r="P109" s="67">
        <f t="shared" si="3"/>
        <v>6.5965168905811319E-2</v>
      </c>
      <c r="Q109" s="67">
        <f t="shared" si="3"/>
        <v>8.3245567818372775E-3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1590</v>
      </c>
      <c r="B9" s="64">
        <v>1.36</v>
      </c>
      <c r="C9" s="64">
        <v>6.55</v>
      </c>
      <c r="D9" s="64">
        <v>4.5199999999999996</v>
      </c>
      <c r="E9" s="64">
        <v>5.65</v>
      </c>
      <c r="F9" s="64">
        <v>4.0999999999999996</v>
      </c>
      <c r="G9" s="64">
        <v>29.6</v>
      </c>
      <c r="H9" s="64">
        <v>14.03</v>
      </c>
      <c r="I9" s="64">
        <v>5.15</v>
      </c>
      <c r="J9" s="64">
        <v>1.5</v>
      </c>
      <c r="K9" s="64">
        <v>119.02</v>
      </c>
      <c r="L9" s="64">
        <v>25.83</v>
      </c>
      <c r="M9" s="64">
        <v>94.42</v>
      </c>
      <c r="N9" s="64">
        <v>26.1</v>
      </c>
      <c r="O9" s="64">
        <v>0</v>
      </c>
      <c r="P9" s="64">
        <v>0.44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1591</v>
      </c>
      <c r="B10" s="64">
        <v>1.22</v>
      </c>
      <c r="C10" s="64">
        <v>6.17</v>
      </c>
      <c r="D10" s="64">
        <v>4.2</v>
      </c>
      <c r="E10" s="64">
        <v>5.53</v>
      </c>
      <c r="F10" s="64">
        <v>3.53</v>
      </c>
      <c r="G10" s="64">
        <v>29.6</v>
      </c>
      <c r="H10" s="64">
        <v>14.03</v>
      </c>
      <c r="I10" s="64">
        <v>5.26</v>
      </c>
      <c r="J10" s="64">
        <v>1.25</v>
      </c>
      <c r="K10" s="64">
        <v>110.35</v>
      </c>
      <c r="L10" s="64">
        <v>25.74</v>
      </c>
      <c r="M10" s="64">
        <v>95.41</v>
      </c>
      <c r="N10" s="64">
        <v>26.1</v>
      </c>
      <c r="O10" s="64">
        <v>0</v>
      </c>
      <c r="P10" s="64">
        <v>0.43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1592</v>
      </c>
      <c r="B11" s="64">
        <v>1.1499999999999999</v>
      </c>
      <c r="C11" s="64">
        <v>6.1</v>
      </c>
      <c r="D11" s="64">
        <v>4.0999999999999996</v>
      </c>
      <c r="E11" s="64">
        <v>5.33</v>
      </c>
      <c r="F11" s="64">
        <v>4.3499999999999996</v>
      </c>
      <c r="G11" s="64">
        <v>30.91</v>
      </c>
      <c r="H11" s="64">
        <v>15.57</v>
      </c>
      <c r="I11" s="64">
        <v>4.8499999999999996</v>
      </c>
      <c r="J11" s="64">
        <v>1.25</v>
      </c>
      <c r="K11" s="64">
        <v>106.76</v>
      </c>
      <c r="L11" s="64">
        <v>25.6</v>
      </c>
      <c r="M11" s="64">
        <v>96.43</v>
      </c>
      <c r="N11" s="64">
        <v>26.1</v>
      </c>
      <c r="O11" s="64">
        <v>0</v>
      </c>
      <c r="P11" s="64">
        <v>0.44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1593</v>
      </c>
      <c r="B12" s="64">
        <v>1.07</v>
      </c>
      <c r="C12" s="64">
        <v>5.9</v>
      </c>
      <c r="D12" s="64">
        <v>3.94</v>
      </c>
      <c r="E12" s="64">
        <v>5.51</v>
      </c>
      <c r="F12" s="64">
        <v>3.29</v>
      </c>
      <c r="G12" s="64">
        <v>31.47</v>
      </c>
      <c r="H12" s="64">
        <v>15.67</v>
      </c>
      <c r="I12" s="64">
        <v>4.49</v>
      </c>
      <c r="J12" s="64">
        <v>1.42</v>
      </c>
      <c r="K12" s="64">
        <v>108.05</v>
      </c>
      <c r="L12" s="64">
        <v>25.48</v>
      </c>
      <c r="M12" s="64">
        <v>97.02</v>
      </c>
      <c r="N12" s="64">
        <v>26.1</v>
      </c>
      <c r="O12" s="64">
        <v>0</v>
      </c>
      <c r="P12" s="64">
        <v>0.41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5" t="s">
        <v>1594</v>
      </c>
      <c r="B13" s="64">
        <v>0.99</v>
      </c>
      <c r="C13" s="64">
        <v>5.28</v>
      </c>
      <c r="D13" s="64">
        <v>3.55</v>
      </c>
      <c r="E13" s="64">
        <v>5.22</v>
      </c>
      <c r="F13" s="64">
        <v>3.81</v>
      </c>
      <c r="G13" s="64">
        <v>31.47</v>
      </c>
      <c r="H13" s="64">
        <v>15.67</v>
      </c>
      <c r="I13" s="64">
        <v>4.83</v>
      </c>
      <c r="J13" s="64">
        <v>1.32</v>
      </c>
      <c r="K13" s="64">
        <v>109.16</v>
      </c>
      <c r="L13" s="64">
        <v>25.33</v>
      </c>
      <c r="M13" s="64">
        <v>97.7</v>
      </c>
      <c r="N13" s="64">
        <v>26.1</v>
      </c>
      <c r="O13" s="64">
        <v>0</v>
      </c>
      <c r="P13" s="64">
        <v>0.34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5" t="s">
        <v>1595</v>
      </c>
      <c r="B14" s="64">
        <v>0.97</v>
      </c>
      <c r="C14" s="64">
        <v>4.97</v>
      </c>
      <c r="D14" s="64">
        <v>3.37</v>
      </c>
      <c r="E14" s="64">
        <v>5.0999999999999996</v>
      </c>
      <c r="F14" s="64">
        <v>4.24</v>
      </c>
      <c r="G14" s="64">
        <v>31.47</v>
      </c>
      <c r="H14" s="64">
        <v>15.67</v>
      </c>
      <c r="I14" s="64">
        <v>4.17</v>
      </c>
      <c r="J14" s="64">
        <v>1.36</v>
      </c>
      <c r="K14" s="64">
        <v>102.95</v>
      </c>
      <c r="L14" s="64">
        <v>25.19</v>
      </c>
      <c r="M14" s="64">
        <v>97.94</v>
      </c>
      <c r="N14" s="64">
        <v>26.1</v>
      </c>
      <c r="O14" s="64">
        <v>0</v>
      </c>
      <c r="P14" s="64">
        <v>0.35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1596</v>
      </c>
      <c r="B15" s="64">
        <v>1.01</v>
      </c>
      <c r="C15" s="64">
        <v>4.72</v>
      </c>
      <c r="D15" s="64">
        <v>3.28</v>
      </c>
      <c r="E15" s="64">
        <v>5.07</v>
      </c>
      <c r="F15" s="64">
        <v>3.63</v>
      </c>
      <c r="G15" s="64">
        <v>30.21</v>
      </c>
      <c r="H15" s="64">
        <v>18.88</v>
      </c>
      <c r="I15" s="64">
        <v>3.73</v>
      </c>
      <c r="J15" s="64">
        <v>1.45</v>
      </c>
      <c r="K15" s="64">
        <v>116.89</v>
      </c>
      <c r="L15" s="64">
        <v>25.01</v>
      </c>
      <c r="M15" s="64">
        <v>99.05</v>
      </c>
      <c r="N15" s="64">
        <v>26.1</v>
      </c>
      <c r="O15" s="64">
        <v>0</v>
      </c>
      <c r="P15" s="64">
        <v>0.33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1597</v>
      </c>
      <c r="B16" s="64">
        <v>1.05</v>
      </c>
      <c r="C16" s="64">
        <v>4.51</v>
      </c>
      <c r="D16" s="64">
        <v>3.2</v>
      </c>
      <c r="E16" s="64">
        <v>5.34</v>
      </c>
      <c r="F16" s="64">
        <v>3.98</v>
      </c>
      <c r="G16" s="64">
        <v>29.66</v>
      </c>
      <c r="H16" s="64">
        <v>19.13</v>
      </c>
      <c r="I16" s="64">
        <v>2.74</v>
      </c>
      <c r="J16" s="64">
        <v>1.02</v>
      </c>
      <c r="K16" s="64">
        <v>115.04</v>
      </c>
      <c r="L16" s="64">
        <v>24.92</v>
      </c>
      <c r="M16" s="64">
        <v>99.57</v>
      </c>
      <c r="N16" s="64">
        <v>26.1</v>
      </c>
      <c r="O16" s="64">
        <v>0</v>
      </c>
      <c r="P16" s="64">
        <v>0.32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1598</v>
      </c>
      <c r="B17" s="64">
        <v>1.07</v>
      </c>
      <c r="C17" s="64">
        <v>4.18</v>
      </c>
      <c r="D17" s="64">
        <v>3.05</v>
      </c>
      <c r="E17" s="64">
        <v>5.38</v>
      </c>
      <c r="F17" s="64">
        <v>4.08</v>
      </c>
      <c r="G17" s="64">
        <v>29.66</v>
      </c>
      <c r="H17" s="64">
        <v>19.13</v>
      </c>
      <c r="I17" s="64">
        <v>3.32</v>
      </c>
      <c r="J17" s="64">
        <v>0.81</v>
      </c>
      <c r="K17" s="64">
        <v>109.58</v>
      </c>
      <c r="L17" s="64">
        <v>24.89</v>
      </c>
      <c r="M17" s="64">
        <v>99.52</v>
      </c>
      <c r="N17" s="64">
        <v>26.1</v>
      </c>
      <c r="O17" s="64">
        <v>0</v>
      </c>
      <c r="P17" s="64">
        <v>0.31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5" t="s">
        <v>1599</v>
      </c>
      <c r="B18" s="64">
        <v>1.0900000000000001</v>
      </c>
      <c r="C18" s="64">
        <v>3.97</v>
      </c>
      <c r="D18" s="64">
        <v>2.95</v>
      </c>
      <c r="E18" s="64">
        <v>5.3</v>
      </c>
      <c r="F18" s="64">
        <v>3.81</v>
      </c>
      <c r="G18" s="64">
        <v>29.66</v>
      </c>
      <c r="H18" s="64">
        <v>19.13</v>
      </c>
      <c r="I18" s="64">
        <v>2.15</v>
      </c>
      <c r="J18" s="64">
        <v>0.68</v>
      </c>
      <c r="K18" s="64">
        <v>109.63</v>
      </c>
      <c r="L18" s="64">
        <v>24.74</v>
      </c>
      <c r="M18" s="64">
        <v>100.31</v>
      </c>
      <c r="N18" s="64">
        <v>26.1</v>
      </c>
      <c r="O18" s="64">
        <v>0</v>
      </c>
      <c r="P18" s="64">
        <v>0.3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1600</v>
      </c>
      <c r="B19" s="64">
        <v>1.0900000000000001</v>
      </c>
      <c r="C19" s="64">
        <v>3.86</v>
      </c>
      <c r="D19" s="64">
        <v>2.89</v>
      </c>
      <c r="E19" s="64">
        <v>5.44</v>
      </c>
      <c r="F19" s="64">
        <v>4</v>
      </c>
      <c r="G19" s="64">
        <v>27.47</v>
      </c>
      <c r="H19" s="64">
        <v>16.420000000000002</v>
      </c>
      <c r="I19" s="64">
        <v>1.28</v>
      </c>
      <c r="J19" s="64">
        <v>0.39</v>
      </c>
      <c r="K19" s="64">
        <v>82.57</v>
      </c>
      <c r="L19" s="64">
        <v>24.54</v>
      </c>
      <c r="M19" s="64">
        <v>101.55</v>
      </c>
      <c r="N19" s="64">
        <v>26.1</v>
      </c>
      <c r="O19" s="64">
        <v>0</v>
      </c>
      <c r="P19" s="64">
        <v>0.3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1601</v>
      </c>
      <c r="B20" s="64">
        <v>1.21</v>
      </c>
      <c r="C20" s="64">
        <v>4.1399999999999997</v>
      </c>
      <c r="D20" s="64">
        <v>3.13</v>
      </c>
      <c r="E20" s="64">
        <v>5.39</v>
      </c>
      <c r="F20" s="64">
        <v>4.57</v>
      </c>
      <c r="G20" s="64">
        <v>26.53</v>
      </c>
      <c r="H20" s="64">
        <v>16.059999999999999</v>
      </c>
      <c r="I20" s="64">
        <v>0.91</v>
      </c>
      <c r="J20" s="64">
        <v>0.74</v>
      </c>
      <c r="K20" s="64">
        <v>344.34</v>
      </c>
      <c r="L20" s="64">
        <v>24.41</v>
      </c>
      <c r="M20" s="64">
        <v>102.66</v>
      </c>
      <c r="N20" s="64">
        <v>25.9</v>
      </c>
      <c r="O20" s="64">
        <v>0</v>
      </c>
      <c r="P20" s="64">
        <v>0.35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1602</v>
      </c>
      <c r="B21" s="64">
        <v>1.29</v>
      </c>
      <c r="C21" s="64">
        <v>4.43</v>
      </c>
      <c r="D21" s="64">
        <v>3.34</v>
      </c>
      <c r="E21" s="64">
        <v>5.48</v>
      </c>
      <c r="F21" s="64">
        <v>3.37</v>
      </c>
      <c r="G21" s="64">
        <v>26.53</v>
      </c>
      <c r="H21" s="64">
        <v>16.059999999999999</v>
      </c>
      <c r="I21" s="64">
        <v>1.54</v>
      </c>
      <c r="J21" s="64">
        <v>0.26</v>
      </c>
      <c r="K21" s="64">
        <v>57.4</v>
      </c>
      <c r="L21" s="64">
        <v>24.3</v>
      </c>
      <c r="M21" s="64">
        <v>102.69</v>
      </c>
      <c r="N21" s="64">
        <v>26.1</v>
      </c>
      <c r="O21" s="64">
        <v>0</v>
      </c>
      <c r="P21" s="64">
        <v>0.33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1603</v>
      </c>
      <c r="B22" s="64">
        <v>1.38</v>
      </c>
      <c r="C22" s="64">
        <v>4.33</v>
      </c>
      <c r="D22" s="64">
        <v>3.37</v>
      </c>
      <c r="E22" s="64">
        <v>5.67</v>
      </c>
      <c r="F22" s="64">
        <v>3.67</v>
      </c>
      <c r="G22" s="64">
        <v>26.53</v>
      </c>
      <c r="H22" s="64">
        <v>16.059999999999999</v>
      </c>
      <c r="I22" s="64">
        <v>3.48</v>
      </c>
      <c r="J22" s="64">
        <v>1.1200000000000001</v>
      </c>
      <c r="K22" s="64">
        <v>339.43</v>
      </c>
      <c r="L22" s="64">
        <v>24.31</v>
      </c>
      <c r="M22" s="64">
        <v>102.71</v>
      </c>
      <c r="N22" s="64">
        <v>25.9</v>
      </c>
      <c r="O22" s="64">
        <v>0</v>
      </c>
      <c r="P22" s="64">
        <v>0.35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5" t="s">
        <v>1604</v>
      </c>
      <c r="B23" s="64">
        <v>1.54</v>
      </c>
      <c r="C23" s="64">
        <v>4.17</v>
      </c>
      <c r="D23" s="64">
        <v>3.41</v>
      </c>
      <c r="E23" s="64">
        <v>5.76</v>
      </c>
      <c r="F23" s="64">
        <v>3.78</v>
      </c>
      <c r="G23" s="64">
        <v>24.91</v>
      </c>
      <c r="H23" s="64">
        <v>12.83</v>
      </c>
      <c r="I23" s="64">
        <v>3.34</v>
      </c>
      <c r="J23" s="64">
        <v>0.25</v>
      </c>
      <c r="K23" s="64">
        <v>43.57</v>
      </c>
      <c r="L23" s="64">
        <v>24.25</v>
      </c>
      <c r="M23" s="64">
        <v>102.7</v>
      </c>
      <c r="N23" s="64">
        <v>26.1</v>
      </c>
      <c r="O23" s="64">
        <v>0</v>
      </c>
      <c r="P23" s="64">
        <v>0.35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1605</v>
      </c>
      <c r="B24" s="64">
        <v>1.84</v>
      </c>
      <c r="C24" s="64">
        <v>4.49</v>
      </c>
      <c r="D24" s="64">
        <v>3.82</v>
      </c>
      <c r="E24" s="64">
        <v>3.27</v>
      </c>
      <c r="F24" s="64">
        <v>3.61</v>
      </c>
      <c r="G24" s="64">
        <v>24.21</v>
      </c>
      <c r="H24" s="64">
        <v>12.57</v>
      </c>
      <c r="I24" s="64">
        <v>2.87</v>
      </c>
      <c r="J24" s="64">
        <v>0.74</v>
      </c>
      <c r="K24" s="64">
        <v>340.72</v>
      </c>
      <c r="L24" s="64">
        <v>24.08</v>
      </c>
      <c r="M24" s="64">
        <v>102.73</v>
      </c>
      <c r="N24" s="64">
        <v>25.9</v>
      </c>
      <c r="O24" s="64">
        <v>0</v>
      </c>
      <c r="P24" s="64">
        <v>0.36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5" t="s">
        <v>1606</v>
      </c>
      <c r="B25" s="64">
        <v>2.13</v>
      </c>
      <c r="C25" s="64">
        <v>4.55</v>
      </c>
      <c r="D25" s="64">
        <v>4.08</v>
      </c>
      <c r="E25" s="64">
        <v>3.95</v>
      </c>
      <c r="F25" s="64">
        <v>3.96</v>
      </c>
      <c r="G25" s="64">
        <v>24.21</v>
      </c>
      <c r="H25" s="64">
        <v>12.57</v>
      </c>
      <c r="I25" s="64">
        <v>3.72</v>
      </c>
      <c r="J25" s="64">
        <v>0.84</v>
      </c>
      <c r="K25" s="64">
        <v>334.65</v>
      </c>
      <c r="L25" s="64">
        <v>24.06</v>
      </c>
      <c r="M25" s="64">
        <v>102.72</v>
      </c>
      <c r="N25" s="64">
        <v>26.1</v>
      </c>
      <c r="O25" s="64">
        <v>0</v>
      </c>
      <c r="P25" s="64">
        <v>0.37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1607</v>
      </c>
      <c r="B26" s="64">
        <v>2.4500000000000002</v>
      </c>
      <c r="C26" s="64">
        <v>4.79</v>
      </c>
      <c r="D26" s="64">
        <v>4.46</v>
      </c>
      <c r="E26" s="64">
        <v>4.0999999999999996</v>
      </c>
      <c r="F26" s="64">
        <v>3.06</v>
      </c>
      <c r="G26" s="64">
        <v>24.21</v>
      </c>
      <c r="H26" s="64">
        <v>12.57</v>
      </c>
      <c r="I26" s="64">
        <v>3.67</v>
      </c>
      <c r="J26" s="64">
        <v>0.18</v>
      </c>
      <c r="K26" s="64">
        <v>26.03</v>
      </c>
      <c r="L26" s="64">
        <v>23.84</v>
      </c>
      <c r="M26" s="64">
        <v>102.7</v>
      </c>
      <c r="N26" s="64">
        <v>26.1</v>
      </c>
      <c r="O26" s="64">
        <v>0</v>
      </c>
      <c r="P26" s="64">
        <v>0.39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1608</v>
      </c>
      <c r="B27" s="64">
        <v>2.97</v>
      </c>
      <c r="C27" s="64">
        <v>5.08</v>
      </c>
      <c r="D27" s="64">
        <v>5.03</v>
      </c>
      <c r="E27" s="64">
        <v>3.96</v>
      </c>
      <c r="F27" s="64">
        <v>4.24</v>
      </c>
      <c r="G27" s="64">
        <v>32.729999999999997</v>
      </c>
      <c r="H27" s="64">
        <v>16.86</v>
      </c>
      <c r="I27" s="64">
        <v>3.31</v>
      </c>
      <c r="J27" s="64">
        <v>0.95</v>
      </c>
      <c r="K27" s="64">
        <v>337</v>
      </c>
      <c r="L27" s="64">
        <v>23.83</v>
      </c>
      <c r="M27" s="64">
        <v>102.72</v>
      </c>
      <c r="N27" s="64">
        <v>25.9</v>
      </c>
      <c r="O27" s="64">
        <v>0</v>
      </c>
      <c r="P27" s="64">
        <v>0.4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1609</v>
      </c>
      <c r="B28" s="64">
        <v>3.36</v>
      </c>
      <c r="C28" s="64">
        <v>5.36</v>
      </c>
      <c r="D28" s="64">
        <v>5.5</v>
      </c>
      <c r="E28" s="64">
        <v>3.84</v>
      </c>
      <c r="F28" s="64">
        <v>3.64</v>
      </c>
      <c r="G28" s="64">
        <v>36.380000000000003</v>
      </c>
      <c r="H28" s="64">
        <v>17.21</v>
      </c>
      <c r="I28" s="64">
        <v>3.33</v>
      </c>
      <c r="J28" s="64">
        <v>0.96</v>
      </c>
      <c r="K28" s="64">
        <v>335.57</v>
      </c>
      <c r="L28" s="64">
        <v>23.79</v>
      </c>
      <c r="M28" s="64">
        <v>102.73</v>
      </c>
      <c r="N28" s="64">
        <v>26.1</v>
      </c>
      <c r="O28" s="64">
        <v>0</v>
      </c>
      <c r="P28" s="64">
        <v>0.39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5" t="s">
        <v>1610</v>
      </c>
      <c r="B29" s="64">
        <v>3.95</v>
      </c>
      <c r="C29" s="64">
        <v>5.67</v>
      </c>
      <c r="D29" s="64">
        <v>6.13</v>
      </c>
      <c r="E29" s="64">
        <v>4.0599999999999996</v>
      </c>
      <c r="F29" s="64">
        <v>3.56</v>
      </c>
      <c r="G29" s="64">
        <v>36.380000000000003</v>
      </c>
      <c r="H29" s="64">
        <v>17.21</v>
      </c>
      <c r="I29" s="64">
        <v>3.58</v>
      </c>
      <c r="J29" s="64">
        <v>1.19</v>
      </c>
      <c r="K29" s="64">
        <v>336.38</v>
      </c>
      <c r="L29" s="64">
        <v>23.67</v>
      </c>
      <c r="M29" s="64">
        <v>102.71</v>
      </c>
      <c r="N29" s="64">
        <v>26.1</v>
      </c>
      <c r="O29" s="64">
        <v>0</v>
      </c>
      <c r="P29" s="64">
        <v>0.42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5" t="s">
        <v>1611</v>
      </c>
      <c r="B30" s="64">
        <v>4.4400000000000004</v>
      </c>
      <c r="C30" s="64">
        <v>5.53</v>
      </c>
      <c r="D30" s="64">
        <v>6.45</v>
      </c>
      <c r="E30" s="64">
        <v>4.4400000000000004</v>
      </c>
      <c r="F30" s="64">
        <v>4.2699999999999996</v>
      </c>
      <c r="G30" s="64">
        <v>36.380000000000003</v>
      </c>
      <c r="H30" s="64">
        <v>17.21</v>
      </c>
      <c r="I30" s="64">
        <v>3.89</v>
      </c>
      <c r="J30" s="64">
        <v>0.94</v>
      </c>
      <c r="K30" s="64">
        <v>339.88</v>
      </c>
      <c r="L30" s="64">
        <v>23.6</v>
      </c>
      <c r="M30" s="64">
        <v>102.7</v>
      </c>
      <c r="N30" s="64">
        <v>26.1</v>
      </c>
      <c r="O30" s="64">
        <v>0</v>
      </c>
      <c r="P30" s="64">
        <v>0.45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1612</v>
      </c>
      <c r="B31" s="64">
        <v>4.7300000000000004</v>
      </c>
      <c r="C31" s="64">
        <v>5.46</v>
      </c>
      <c r="D31" s="64">
        <v>6.64</v>
      </c>
      <c r="E31" s="64">
        <v>4.22</v>
      </c>
      <c r="F31" s="64">
        <v>3.27</v>
      </c>
      <c r="G31" s="64">
        <v>46.79</v>
      </c>
      <c r="H31" s="64">
        <v>25.22</v>
      </c>
      <c r="I31" s="64">
        <v>3.49</v>
      </c>
      <c r="J31" s="64">
        <v>0.28999999999999998</v>
      </c>
      <c r="K31" s="64">
        <v>133.49</v>
      </c>
      <c r="L31" s="64">
        <v>23.33</v>
      </c>
      <c r="M31" s="64">
        <v>102.7</v>
      </c>
      <c r="N31" s="64">
        <v>26.2</v>
      </c>
      <c r="O31" s="64">
        <v>0</v>
      </c>
      <c r="P31" s="64">
        <v>0.47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1613</v>
      </c>
      <c r="B32" s="64">
        <v>4.8899999999999997</v>
      </c>
      <c r="C32" s="64">
        <v>5.41</v>
      </c>
      <c r="D32" s="64">
        <v>6.75</v>
      </c>
      <c r="E32" s="64">
        <v>4.05</v>
      </c>
      <c r="F32" s="64">
        <v>2.96</v>
      </c>
      <c r="G32" s="64">
        <v>51.25</v>
      </c>
      <c r="H32" s="64">
        <v>25.86</v>
      </c>
      <c r="I32" s="64">
        <v>3.07</v>
      </c>
      <c r="J32" s="64">
        <v>0.44</v>
      </c>
      <c r="K32" s="64">
        <v>120.2</v>
      </c>
      <c r="L32" s="64">
        <v>23.17</v>
      </c>
      <c r="M32" s="64">
        <v>102.7</v>
      </c>
      <c r="N32" s="64">
        <v>27.3</v>
      </c>
      <c r="O32" s="64">
        <v>0</v>
      </c>
      <c r="P32" s="64">
        <v>0.46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5" t="s">
        <v>1614</v>
      </c>
      <c r="B33" s="64">
        <v>4.96</v>
      </c>
      <c r="C33" s="64">
        <v>5.2</v>
      </c>
      <c r="D33" s="64">
        <v>6.7</v>
      </c>
      <c r="E33" s="64">
        <v>3.82</v>
      </c>
      <c r="F33" s="64">
        <v>4.3899999999999997</v>
      </c>
      <c r="G33" s="64">
        <v>51.25</v>
      </c>
      <c r="H33" s="64">
        <v>25.86</v>
      </c>
      <c r="I33" s="64">
        <v>2.62</v>
      </c>
      <c r="J33" s="64">
        <v>0.54</v>
      </c>
      <c r="K33" s="64">
        <v>103.72</v>
      </c>
      <c r="L33" s="64">
        <v>23.12</v>
      </c>
      <c r="M33" s="64">
        <v>102.72</v>
      </c>
      <c r="N33" s="64">
        <v>33.9</v>
      </c>
      <c r="O33" s="64">
        <v>0</v>
      </c>
      <c r="P33" s="64">
        <v>0.5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5" t="s">
        <v>1615</v>
      </c>
      <c r="B34" s="64">
        <v>5.05</v>
      </c>
      <c r="C34" s="64">
        <v>5</v>
      </c>
      <c r="D34" s="64">
        <v>6.66</v>
      </c>
      <c r="E34" s="64">
        <v>3.88</v>
      </c>
      <c r="F34" s="64">
        <v>3.31</v>
      </c>
      <c r="G34" s="64">
        <v>51.25</v>
      </c>
      <c r="H34" s="64">
        <v>25.86</v>
      </c>
      <c r="I34" s="64">
        <v>2.39</v>
      </c>
      <c r="J34" s="64">
        <v>0.2</v>
      </c>
      <c r="K34" s="64">
        <v>62.08</v>
      </c>
      <c r="L34" s="64">
        <v>23.28</v>
      </c>
      <c r="M34" s="64">
        <v>102.72</v>
      </c>
      <c r="N34" s="64">
        <v>47.4</v>
      </c>
      <c r="O34" s="64">
        <v>0</v>
      </c>
      <c r="P34" s="64">
        <v>0.54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1616</v>
      </c>
      <c r="B35" s="64">
        <v>5.61</v>
      </c>
      <c r="C35" s="64">
        <v>5.07</v>
      </c>
      <c r="D35" s="64">
        <v>7.14</v>
      </c>
      <c r="E35" s="64">
        <v>4.43</v>
      </c>
      <c r="F35" s="64">
        <v>3.43</v>
      </c>
      <c r="G35" s="64">
        <v>56.27</v>
      </c>
      <c r="H35" s="64">
        <v>26.34</v>
      </c>
      <c r="I35" s="64">
        <v>2.2799999999999998</v>
      </c>
      <c r="J35" s="64">
        <v>0.08</v>
      </c>
      <c r="K35" s="64">
        <v>326.94</v>
      </c>
      <c r="L35" s="64">
        <v>23.71</v>
      </c>
      <c r="M35" s="64">
        <v>102.7</v>
      </c>
      <c r="N35" s="64">
        <v>79.900000000000006</v>
      </c>
      <c r="O35" s="64">
        <v>0</v>
      </c>
      <c r="P35" s="64">
        <v>0.56999999999999995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1617</v>
      </c>
      <c r="B36" s="64">
        <v>6.23</v>
      </c>
      <c r="C36" s="64">
        <v>5.12</v>
      </c>
      <c r="D36" s="64">
        <v>7.67</v>
      </c>
      <c r="E36" s="64">
        <v>4.28</v>
      </c>
      <c r="F36" s="64">
        <v>3.25</v>
      </c>
      <c r="G36" s="64">
        <v>58.42</v>
      </c>
      <c r="H36" s="64">
        <v>26.41</v>
      </c>
      <c r="I36" s="64">
        <v>2.59</v>
      </c>
      <c r="J36" s="64">
        <v>0.16</v>
      </c>
      <c r="K36" s="64">
        <v>43</v>
      </c>
      <c r="L36" s="64">
        <v>24.48</v>
      </c>
      <c r="M36" s="64">
        <v>101.72</v>
      </c>
      <c r="N36" s="64">
        <v>121.9</v>
      </c>
      <c r="O36" s="64">
        <v>0</v>
      </c>
      <c r="P36" s="64">
        <v>0.52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5" t="s">
        <v>1618</v>
      </c>
      <c r="B37" s="64">
        <v>6.71</v>
      </c>
      <c r="C37" s="64">
        <v>5.66</v>
      </c>
      <c r="D37" s="64">
        <v>8.34</v>
      </c>
      <c r="E37" s="64">
        <v>4.9000000000000004</v>
      </c>
      <c r="F37" s="64">
        <v>3.54</v>
      </c>
      <c r="G37" s="64">
        <v>58.42</v>
      </c>
      <c r="H37" s="64">
        <v>26.41</v>
      </c>
      <c r="I37" s="64">
        <v>2.76</v>
      </c>
      <c r="J37" s="64">
        <v>0.27</v>
      </c>
      <c r="K37" s="64">
        <v>86.33</v>
      </c>
      <c r="L37" s="64">
        <v>25.26</v>
      </c>
      <c r="M37" s="64">
        <v>98.73</v>
      </c>
      <c r="N37" s="64">
        <v>171.1</v>
      </c>
      <c r="O37" s="64">
        <v>0</v>
      </c>
      <c r="P37" s="64">
        <v>0.45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1619</v>
      </c>
      <c r="B38" s="64">
        <v>6.98</v>
      </c>
      <c r="C38" s="64">
        <v>6.04</v>
      </c>
      <c r="D38" s="64">
        <v>8.75</v>
      </c>
      <c r="E38" s="64">
        <v>4.54</v>
      </c>
      <c r="F38" s="64">
        <v>4.05</v>
      </c>
      <c r="G38" s="64">
        <v>58.42</v>
      </c>
      <c r="H38" s="64">
        <v>26.41</v>
      </c>
      <c r="I38" s="64">
        <v>3.67</v>
      </c>
      <c r="J38" s="64">
        <v>0.28999999999999998</v>
      </c>
      <c r="K38" s="64">
        <v>45.97</v>
      </c>
      <c r="L38" s="64">
        <v>25.9</v>
      </c>
      <c r="M38" s="64">
        <v>96.05</v>
      </c>
      <c r="N38" s="64">
        <v>224.7</v>
      </c>
      <c r="O38" s="64">
        <v>0</v>
      </c>
      <c r="P38" s="64">
        <v>0.47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5" t="s">
        <v>1620</v>
      </c>
      <c r="B39" s="64">
        <v>7.31</v>
      </c>
      <c r="C39" s="64">
        <v>6.26</v>
      </c>
      <c r="D39" s="64">
        <v>9.1300000000000008</v>
      </c>
      <c r="E39" s="64">
        <v>4.45</v>
      </c>
      <c r="F39" s="64">
        <v>4.0599999999999996</v>
      </c>
      <c r="G39" s="64">
        <v>61.36</v>
      </c>
      <c r="H39" s="64">
        <v>31.31</v>
      </c>
      <c r="I39" s="64">
        <v>4.38</v>
      </c>
      <c r="J39" s="64">
        <v>1.1200000000000001</v>
      </c>
      <c r="K39" s="64">
        <v>113.77</v>
      </c>
      <c r="L39" s="64">
        <v>26.19</v>
      </c>
      <c r="M39" s="64">
        <v>94.68</v>
      </c>
      <c r="N39" s="64">
        <v>265.60000000000002</v>
      </c>
      <c r="O39" s="64">
        <v>0</v>
      </c>
      <c r="P39" s="64">
        <v>0.5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15" t="s">
        <v>1621</v>
      </c>
      <c r="B40" s="64">
        <v>7.24</v>
      </c>
      <c r="C40" s="64">
        <v>6.44</v>
      </c>
      <c r="D40" s="64">
        <v>9.17</v>
      </c>
      <c r="E40" s="64">
        <v>4.7699999999999996</v>
      </c>
      <c r="F40" s="64">
        <v>3.78</v>
      </c>
      <c r="G40" s="64">
        <v>62.61</v>
      </c>
      <c r="H40" s="64">
        <v>31.63</v>
      </c>
      <c r="I40" s="64">
        <v>4.4400000000000004</v>
      </c>
      <c r="J40" s="64">
        <v>1.36</v>
      </c>
      <c r="K40" s="64">
        <v>116.89</v>
      </c>
      <c r="L40" s="64">
        <v>26.37</v>
      </c>
      <c r="M40" s="64">
        <v>93.64</v>
      </c>
      <c r="N40" s="64">
        <v>304.60000000000002</v>
      </c>
      <c r="O40" s="64">
        <v>0</v>
      </c>
      <c r="P40" s="64">
        <v>0.5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1622</v>
      </c>
      <c r="B41" s="64">
        <v>6.89</v>
      </c>
      <c r="C41" s="64">
        <v>6.56</v>
      </c>
      <c r="D41" s="64">
        <v>8.9499999999999993</v>
      </c>
      <c r="E41" s="64">
        <v>4.38</v>
      </c>
      <c r="F41" s="64">
        <v>4.07</v>
      </c>
      <c r="G41" s="64">
        <v>62.61</v>
      </c>
      <c r="H41" s="64">
        <v>31.63</v>
      </c>
      <c r="I41" s="64">
        <v>5.12</v>
      </c>
      <c r="J41" s="64">
        <v>0.41</v>
      </c>
      <c r="K41" s="64">
        <v>76.38</v>
      </c>
      <c r="L41" s="64">
        <v>27.33</v>
      </c>
      <c r="M41" s="64">
        <v>88.74</v>
      </c>
      <c r="N41" s="64">
        <v>365.3</v>
      </c>
      <c r="O41" s="64">
        <v>0</v>
      </c>
      <c r="P41" s="64">
        <v>0.49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1623</v>
      </c>
      <c r="B42" s="64">
        <v>6.84</v>
      </c>
      <c r="C42" s="64">
        <v>7.07</v>
      </c>
      <c r="D42" s="64">
        <v>9.17</v>
      </c>
      <c r="E42" s="64">
        <v>4.46</v>
      </c>
      <c r="F42" s="64">
        <v>3.74</v>
      </c>
      <c r="G42" s="64">
        <v>62.61</v>
      </c>
      <c r="H42" s="64">
        <v>31.63</v>
      </c>
      <c r="I42" s="64">
        <v>5.42</v>
      </c>
      <c r="J42" s="64">
        <v>0.34</v>
      </c>
      <c r="K42" s="64">
        <v>78.81</v>
      </c>
      <c r="L42" s="64">
        <v>28.41</v>
      </c>
      <c r="M42" s="64">
        <v>83.43</v>
      </c>
      <c r="N42" s="64">
        <v>440</v>
      </c>
      <c r="O42" s="64">
        <v>0</v>
      </c>
      <c r="P42" s="64">
        <v>0.51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1624</v>
      </c>
      <c r="B43" s="64">
        <v>6.9</v>
      </c>
      <c r="C43" s="64">
        <v>7.61</v>
      </c>
      <c r="D43" s="64">
        <v>9.51</v>
      </c>
      <c r="E43" s="64">
        <v>4.26</v>
      </c>
      <c r="F43" s="64">
        <v>3.87</v>
      </c>
      <c r="G43" s="64">
        <v>62.42</v>
      </c>
      <c r="H43" s="64">
        <v>31.94</v>
      </c>
      <c r="I43" s="64">
        <v>5.71</v>
      </c>
      <c r="J43" s="64">
        <v>0.75</v>
      </c>
      <c r="K43" s="64">
        <v>114.89</v>
      </c>
      <c r="L43" s="64">
        <v>28.76</v>
      </c>
      <c r="M43" s="64">
        <v>81.010000000000005</v>
      </c>
      <c r="N43" s="64">
        <v>479</v>
      </c>
      <c r="O43" s="64">
        <v>0</v>
      </c>
      <c r="P43" s="64">
        <v>0.51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1625</v>
      </c>
      <c r="B44" s="64">
        <v>6.42</v>
      </c>
      <c r="C44" s="64">
        <v>7.73</v>
      </c>
      <c r="D44" s="64">
        <v>9.18</v>
      </c>
      <c r="E44" s="64">
        <v>4.37</v>
      </c>
      <c r="F44" s="64">
        <v>4.3099999999999996</v>
      </c>
      <c r="G44" s="64">
        <v>62.33</v>
      </c>
      <c r="H44" s="64">
        <v>31.97</v>
      </c>
      <c r="I44" s="64">
        <v>5.72</v>
      </c>
      <c r="J44" s="64">
        <v>0.51</v>
      </c>
      <c r="K44" s="64">
        <v>110.83</v>
      </c>
      <c r="L44" s="64">
        <v>28.77</v>
      </c>
      <c r="M44" s="64">
        <v>81.569999999999993</v>
      </c>
      <c r="N44" s="64">
        <v>542.29999999999995</v>
      </c>
      <c r="O44" s="64">
        <v>0</v>
      </c>
      <c r="P44" s="64">
        <v>0.5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1626</v>
      </c>
      <c r="B45" s="64">
        <v>5.63</v>
      </c>
      <c r="C45" s="64">
        <v>8.2100000000000009</v>
      </c>
      <c r="D45" s="64">
        <v>8.8000000000000007</v>
      </c>
      <c r="E45" s="64">
        <v>4.16</v>
      </c>
      <c r="F45" s="64">
        <v>4.37</v>
      </c>
      <c r="G45" s="64">
        <v>62.33</v>
      </c>
      <c r="H45" s="64">
        <v>31.97</v>
      </c>
      <c r="I45" s="64">
        <v>5.55</v>
      </c>
      <c r="J45" s="64">
        <v>0.81</v>
      </c>
      <c r="K45" s="64">
        <v>120.9</v>
      </c>
      <c r="L45" s="64">
        <v>29.01</v>
      </c>
      <c r="M45" s="64">
        <v>80</v>
      </c>
      <c r="N45" s="64">
        <v>569.6</v>
      </c>
      <c r="O45" s="64">
        <v>0</v>
      </c>
      <c r="P45" s="64">
        <v>0.5</v>
      </c>
      <c r="Q45" s="64">
        <v>9.6</v>
      </c>
      <c r="R45" s="198"/>
      <c r="S45" s="198"/>
      <c r="T45" s="198"/>
      <c r="U45" s="198"/>
    </row>
    <row r="46" spans="1:21" s="12" customFormat="1" x14ac:dyDescent="0.25">
      <c r="A46" s="215" t="s">
        <v>1627</v>
      </c>
      <c r="B46" s="64">
        <v>4.8099999999999996</v>
      </c>
      <c r="C46" s="64">
        <v>7.8</v>
      </c>
      <c r="D46" s="64">
        <v>7.93</v>
      </c>
      <c r="E46" s="64">
        <v>4.55</v>
      </c>
      <c r="F46" s="64">
        <v>3.9</v>
      </c>
      <c r="G46" s="64">
        <v>62.33</v>
      </c>
      <c r="H46" s="64">
        <v>31.97</v>
      </c>
      <c r="I46" s="64">
        <v>6.08</v>
      </c>
      <c r="J46" s="64">
        <v>0.63</v>
      </c>
      <c r="K46" s="64">
        <v>130.68</v>
      </c>
      <c r="L46" s="64">
        <v>29.17</v>
      </c>
      <c r="M46" s="64">
        <v>78.12</v>
      </c>
      <c r="N46" s="64">
        <v>636.5</v>
      </c>
      <c r="O46" s="64">
        <v>0</v>
      </c>
      <c r="P46" s="64">
        <v>0.46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1628</v>
      </c>
      <c r="B47" s="64">
        <v>4.2</v>
      </c>
      <c r="C47" s="64">
        <v>7.26</v>
      </c>
      <c r="D47" s="64">
        <v>7.16</v>
      </c>
      <c r="E47" s="64">
        <v>3.9</v>
      </c>
      <c r="F47" s="64">
        <v>4.67</v>
      </c>
      <c r="G47" s="64">
        <v>59.73</v>
      </c>
      <c r="H47" s="64">
        <v>31.65</v>
      </c>
      <c r="I47" s="64">
        <v>5.79</v>
      </c>
      <c r="J47" s="64">
        <v>0.57999999999999996</v>
      </c>
      <c r="K47" s="64">
        <v>117.17</v>
      </c>
      <c r="L47" s="64">
        <v>29.59</v>
      </c>
      <c r="M47" s="64">
        <v>75.42</v>
      </c>
      <c r="N47" s="64">
        <v>662.4</v>
      </c>
      <c r="O47" s="64">
        <v>0</v>
      </c>
      <c r="P47" s="64">
        <v>0.45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1629</v>
      </c>
      <c r="B48" s="64">
        <v>3.74</v>
      </c>
      <c r="C48" s="64">
        <v>7</v>
      </c>
      <c r="D48" s="64">
        <v>6.65</v>
      </c>
      <c r="E48" s="64">
        <v>4.26</v>
      </c>
      <c r="F48" s="64">
        <v>4.4000000000000004</v>
      </c>
      <c r="G48" s="64">
        <v>58.61</v>
      </c>
      <c r="H48" s="64">
        <v>31.62</v>
      </c>
      <c r="I48" s="64">
        <v>4.5</v>
      </c>
      <c r="J48" s="64">
        <v>1.29</v>
      </c>
      <c r="K48" s="64">
        <v>115.37</v>
      </c>
      <c r="L48" s="64">
        <v>29.41</v>
      </c>
      <c r="M48" s="64">
        <v>74.989999999999995</v>
      </c>
      <c r="N48" s="64">
        <v>705.5</v>
      </c>
      <c r="O48" s="64">
        <v>0</v>
      </c>
      <c r="P48" s="64">
        <v>0.47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1630</v>
      </c>
      <c r="B49" s="64">
        <v>3.27</v>
      </c>
      <c r="C49" s="64">
        <v>6.91</v>
      </c>
      <c r="D49" s="64">
        <v>6.23</v>
      </c>
      <c r="E49" s="64">
        <v>4.16</v>
      </c>
      <c r="F49" s="64">
        <v>4.38</v>
      </c>
      <c r="G49" s="64">
        <v>58.61</v>
      </c>
      <c r="H49" s="64">
        <v>31.62</v>
      </c>
      <c r="I49" s="64">
        <v>5</v>
      </c>
      <c r="J49" s="64">
        <v>0.57999999999999996</v>
      </c>
      <c r="K49" s="64">
        <v>112.57</v>
      </c>
      <c r="L49" s="64">
        <v>30.34</v>
      </c>
      <c r="M49" s="64">
        <v>69.88</v>
      </c>
      <c r="N49" s="64">
        <v>726.9</v>
      </c>
      <c r="O49" s="64">
        <v>0</v>
      </c>
      <c r="P49" s="64">
        <v>0.46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1631</v>
      </c>
      <c r="B50" s="64">
        <v>3.04</v>
      </c>
      <c r="C50" s="64">
        <v>6.66</v>
      </c>
      <c r="D50" s="64">
        <v>5.92</v>
      </c>
      <c r="E50" s="64">
        <v>3.62</v>
      </c>
      <c r="F50" s="64">
        <v>4.1900000000000004</v>
      </c>
      <c r="G50" s="64">
        <v>58.61</v>
      </c>
      <c r="H50" s="64">
        <v>31.62</v>
      </c>
      <c r="I50" s="64">
        <v>5.33</v>
      </c>
      <c r="J50" s="64">
        <v>1.3</v>
      </c>
      <c r="K50" s="64">
        <v>133.79</v>
      </c>
      <c r="L50" s="64">
        <v>30.1</v>
      </c>
      <c r="M50" s="64">
        <v>70</v>
      </c>
      <c r="N50" s="64">
        <v>695.6</v>
      </c>
      <c r="O50" s="64">
        <v>0</v>
      </c>
      <c r="P50" s="64">
        <v>0.49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1632</v>
      </c>
      <c r="B51" s="64">
        <v>2.77</v>
      </c>
      <c r="C51" s="64">
        <v>6.61</v>
      </c>
      <c r="D51" s="64">
        <v>5.68</v>
      </c>
      <c r="E51" s="64">
        <v>3.81</v>
      </c>
      <c r="F51" s="64">
        <v>4.3099999999999996</v>
      </c>
      <c r="G51" s="64">
        <v>50.38</v>
      </c>
      <c r="H51" s="64">
        <v>27.58</v>
      </c>
      <c r="I51" s="64">
        <v>5.78</v>
      </c>
      <c r="J51" s="64">
        <v>1.04</v>
      </c>
      <c r="K51" s="64">
        <v>130.66999999999999</v>
      </c>
      <c r="L51" s="64">
        <v>30.29</v>
      </c>
      <c r="M51" s="64">
        <v>68.400000000000006</v>
      </c>
      <c r="N51" s="64">
        <v>807.1</v>
      </c>
      <c r="O51" s="64">
        <v>0</v>
      </c>
      <c r="P51" s="64">
        <v>0.43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5" t="s">
        <v>1633</v>
      </c>
      <c r="B52" s="64">
        <v>2.4500000000000002</v>
      </c>
      <c r="C52" s="64">
        <v>6.45</v>
      </c>
      <c r="D52" s="64">
        <v>5.34</v>
      </c>
      <c r="E52" s="64">
        <v>3.96</v>
      </c>
      <c r="F52" s="64">
        <v>3.86</v>
      </c>
      <c r="G52" s="64">
        <v>46.86</v>
      </c>
      <c r="H52" s="64">
        <v>27.06</v>
      </c>
      <c r="I52" s="64">
        <v>5.86</v>
      </c>
      <c r="J52" s="64">
        <v>0.81</v>
      </c>
      <c r="K52" s="64">
        <v>133.87</v>
      </c>
      <c r="L52" s="64">
        <v>30.84</v>
      </c>
      <c r="M52" s="64">
        <v>65.489999999999995</v>
      </c>
      <c r="N52" s="64">
        <v>809.8</v>
      </c>
      <c r="O52" s="64">
        <v>0</v>
      </c>
      <c r="P52" s="64">
        <v>0.43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1634</v>
      </c>
      <c r="B53" s="64">
        <v>2.2000000000000002</v>
      </c>
      <c r="C53" s="64">
        <v>6.2</v>
      </c>
      <c r="D53" s="64">
        <v>5.01</v>
      </c>
      <c r="E53" s="64">
        <v>3.76</v>
      </c>
      <c r="F53" s="64">
        <v>4.24</v>
      </c>
      <c r="G53" s="64">
        <v>46.86</v>
      </c>
      <c r="H53" s="64">
        <v>27.06</v>
      </c>
      <c r="I53" s="64">
        <v>5.17</v>
      </c>
      <c r="J53" s="64">
        <v>1.54</v>
      </c>
      <c r="K53" s="64">
        <v>137.80000000000001</v>
      </c>
      <c r="L53" s="64">
        <v>31.18</v>
      </c>
      <c r="M53" s="64">
        <v>59.06</v>
      </c>
      <c r="N53" s="64">
        <v>844.7</v>
      </c>
      <c r="O53" s="64">
        <v>0</v>
      </c>
      <c r="P53" s="64">
        <v>0.43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1635</v>
      </c>
      <c r="B54" s="64">
        <v>1.97</v>
      </c>
      <c r="C54" s="64">
        <v>6.31</v>
      </c>
      <c r="D54" s="64">
        <v>4.88</v>
      </c>
      <c r="E54" s="64">
        <v>3.91</v>
      </c>
      <c r="F54" s="64">
        <v>3.95</v>
      </c>
      <c r="G54" s="64">
        <v>46.86</v>
      </c>
      <c r="H54" s="64">
        <v>27.06</v>
      </c>
      <c r="I54" s="64">
        <v>4.8600000000000003</v>
      </c>
      <c r="J54" s="64">
        <v>1.43</v>
      </c>
      <c r="K54" s="64">
        <v>110.59</v>
      </c>
      <c r="L54" s="64">
        <v>30.55</v>
      </c>
      <c r="M54" s="64">
        <v>58.92</v>
      </c>
      <c r="N54" s="64">
        <v>863.4</v>
      </c>
      <c r="O54" s="64">
        <v>0</v>
      </c>
      <c r="P54" s="64">
        <v>0.44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5" t="s">
        <v>1636</v>
      </c>
      <c r="B55" s="64">
        <v>1.63</v>
      </c>
      <c r="C55" s="64">
        <v>5.72</v>
      </c>
      <c r="D55" s="64">
        <v>4.3</v>
      </c>
      <c r="E55" s="64">
        <v>4.09</v>
      </c>
      <c r="F55" s="64">
        <v>4.1500000000000004</v>
      </c>
      <c r="G55" s="64">
        <v>40.64</v>
      </c>
      <c r="H55" s="64">
        <v>18.29</v>
      </c>
      <c r="I55" s="64">
        <v>6.22</v>
      </c>
      <c r="J55" s="64">
        <v>1.2</v>
      </c>
      <c r="K55" s="64">
        <v>119.9</v>
      </c>
      <c r="L55" s="64">
        <v>30.8</v>
      </c>
      <c r="M55" s="64">
        <v>61.38</v>
      </c>
      <c r="N55" s="64">
        <v>855.2</v>
      </c>
      <c r="O55" s="64">
        <v>0</v>
      </c>
      <c r="P55" s="64">
        <v>0.42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1637</v>
      </c>
      <c r="B56" s="64">
        <v>1.48</v>
      </c>
      <c r="C56" s="64">
        <v>5.84</v>
      </c>
      <c r="D56" s="64">
        <v>4.24</v>
      </c>
      <c r="E56" s="64">
        <v>4.1100000000000003</v>
      </c>
      <c r="F56" s="64">
        <v>4.5599999999999996</v>
      </c>
      <c r="G56" s="64">
        <v>37.979999999999997</v>
      </c>
      <c r="H56" s="64">
        <v>17.59</v>
      </c>
      <c r="I56" s="64">
        <v>6.48</v>
      </c>
      <c r="J56" s="64">
        <v>0.72</v>
      </c>
      <c r="K56" s="64">
        <v>140.25</v>
      </c>
      <c r="L56" s="64">
        <v>31.59</v>
      </c>
      <c r="M56" s="64">
        <v>57.94</v>
      </c>
      <c r="N56" s="64">
        <v>830.4</v>
      </c>
      <c r="O56" s="64">
        <v>0</v>
      </c>
      <c r="P56" s="64">
        <v>0.41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1638</v>
      </c>
      <c r="B57" s="64">
        <v>1.3</v>
      </c>
      <c r="C57" s="64">
        <v>5.53</v>
      </c>
      <c r="D57" s="64">
        <v>3.93</v>
      </c>
      <c r="E57" s="64">
        <v>4.66</v>
      </c>
      <c r="F57" s="64">
        <v>3.97</v>
      </c>
      <c r="G57" s="64">
        <v>37.979999999999997</v>
      </c>
      <c r="H57" s="64">
        <v>17.59</v>
      </c>
      <c r="I57" s="64">
        <v>6.26</v>
      </c>
      <c r="J57" s="64">
        <v>0.7</v>
      </c>
      <c r="K57" s="64">
        <v>122.72</v>
      </c>
      <c r="L57" s="64">
        <v>31.81</v>
      </c>
      <c r="M57" s="64">
        <v>58.69</v>
      </c>
      <c r="N57" s="64">
        <v>801.9</v>
      </c>
      <c r="O57" s="64">
        <v>0</v>
      </c>
      <c r="P57" s="64">
        <v>0.39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1639</v>
      </c>
      <c r="B58" s="64">
        <v>1.1299999999999999</v>
      </c>
      <c r="C58" s="64">
        <v>5.38</v>
      </c>
      <c r="D58" s="64">
        <v>3.72</v>
      </c>
      <c r="E58" s="64">
        <v>4.6500000000000004</v>
      </c>
      <c r="F58" s="64">
        <v>4.5199999999999996</v>
      </c>
      <c r="G58" s="64">
        <v>37.979999999999997</v>
      </c>
      <c r="H58" s="64">
        <v>17.59</v>
      </c>
      <c r="I58" s="64">
        <v>6.01</v>
      </c>
      <c r="J58" s="64">
        <v>1.04</v>
      </c>
      <c r="K58" s="64">
        <v>124.11</v>
      </c>
      <c r="L58" s="64">
        <v>31.18</v>
      </c>
      <c r="M58" s="64">
        <v>59.46</v>
      </c>
      <c r="N58" s="64">
        <v>731.7</v>
      </c>
      <c r="O58" s="64">
        <v>0</v>
      </c>
      <c r="P58" s="64">
        <v>0.39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1640</v>
      </c>
      <c r="B59" s="64">
        <v>1.0900000000000001</v>
      </c>
      <c r="C59" s="64">
        <v>5.85</v>
      </c>
      <c r="D59" s="64">
        <v>3.93</v>
      </c>
      <c r="E59" s="64">
        <v>4.92</v>
      </c>
      <c r="F59" s="64">
        <v>4.1100000000000003</v>
      </c>
      <c r="G59" s="64">
        <v>34.64</v>
      </c>
      <c r="H59" s="64">
        <v>12.22</v>
      </c>
      <c r="I59" s="64">
        <v>5.73</v>
      </c>
      <c r="J59" s="64">
        <v>0.17</v>
      </c>
      <c r="K59" s="64">
        <v>149.63</v>
      </c>
      <c r="L59" s="64">
        <v>32.1</v>
      </c>
      <c r="M59" s="64">
        <v>55.88</v>
      </c>
      <c r="N59" s="64">
        <v>712.2</v>
      </c>
      <c r="O59" s="64">
        <v>0</v>
      </c>
      <c r="P59" s="64">
        <v>0.38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1641</v>
      </c>
      <c r="B60" s="64">
        <v>1.1599999999999999</v>
      </c>
      <c r="C60" s="64">
        <v>5.54</v>
      </c>
      <c r="D60" s="64">
        <v>3.82</v>
      </c>
      <c r="E60" s="64">
        <v>4.9000000000000004</v>
      </c>
      <c r="F60" s="64">
        <v>4.6100000000000003</v>
      </c>
      <c r="G60" s="64">
        <v>33.200000000000003</v>
      </c>
      <c r="H60" s="64">
        <v>11.78</v>
      </c>
      <c r="I60" s="64">
        <v>5.38</v>
      </c>
      <c r="J60" s="64">
        <v>0.83</v>
      </c>
      <c r="K60" s="64">
        <v>132.18</v>
      </c>
      <c r="L60" s="64">
        <v>31.54</v>
      </c>
      <c r="M60" s="64">
        <v>58.85</v>
      </c>
      <c r="N60" s="64">
        <v>770.9</v>
      </c>
      <c r="O60" s="64">
        <v>0</v>
      </c>
      <c r="P60" s="64">
        <v>0.38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1642</v>
      </c>
      <c r="B61" s="64">
        <v>1.1200000000000001</v>
      </c>
      <c r="C61" s="64">
        <v>5.65</v>
      </c>
      <c r="D61" s="64">
        <v>3.85</v>
      </c>
      <c r="E61" s="64">
        <v>4.67</v>
      </c>
      <c r="F61" s="64">
        <v>4.88</v>
      </c>
      <c r="G61" s="64">
        <v>33.200000000000003</v>
      </c>
      <c r="H61" s="64">
        <v>11.78</v>
      </c>
      <c r="I61" s="64">
        <v>5.37</v>
      </c>
      <c r="J61" s="64">
        <v>1.04</v>
      </c>
      <c r="K61" s="64">
        <v>130.09</v>
      </c>
      <c r="L61" s="64">
        <v>31.09</v>
      </c>
      <c r="M61" s="64">
        <v>57.26</v>
      </c>
      <c r="N61" s="64">
        <v>423.3</v>
      </c>
      <c r="O61" s="64">
        <v>0</v>
      </c>
      <c r="P61" s="64">
        <v>0.37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1643</v>
      </c>
      <c r="B62" s="64">
        <v>1.0900000000000001</v>
      </c>
      <c r="C62" s="64">
        <v>5.86</v>
      </c>
      <c r="D62" s="64">
        <v>3.94</v>
      </c>
      <c r="E62" s="64">
        <v>4.5199999999999996</v>
      </c>
      <c r="F62" s="64">
        <v>3.8</v>
      </c>
      <c r="G62" s="64">
        <v>33.200000000000003</v>
      </c>
      <c r="H62" s="64">
        <v>11.78</v>
      </c>
      <c r="I62" s="64">
        <v>4.91</v>
      </c>
      <c r="J62" s="64">
        <v>0.17</v>
      </c>
      <c r="K62" s="64">
        <v>138.41</v>
      </c>
      <c r="L62" s="64">
        <v>31.63</v>
      </c>
      <c r="M62" s="64">
        <v>56.69</v>
      </c>
      <c r="N62" s="64">
        <v>259</v>
      </c>
      <c r="O62" s="64">
        <v>0</v>
      </c>
      <c r="P62" s="64">
        <v>0.36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5" t="s">
        <v>1644</v>
      </c>
      <c r="B63" s="64">
        <v>1.27</v>
      </c>
      <c r="C63" s="64">
        <v>5.54</v>
      </c>
      <c r="D63" s="64">
        <v>3.91</v>
      </c>
      <c r="E63" s="64">
        <v>4.7300000000000004</v>
      </c>
      <c r="F63" s="64">
        <v>3.78</v>
      </c>
      <c r="G63" s="64">
        <v>27.9</v>
      </c>
      <c r="H63" s="64">
        <v>8.84</v>
      </c>
      <c r="I63" s="64">
        <v>5.2</v>
      </c>
      <c r="J63" s="64">
        <v>0.76</v>
      </c>
      <c r="K63" s="64">
        <v>105.33</v>
      </c>
      <c r="L63" s="64">
        <v>31.52</v>
      </c>
      <c r="M63" s="64">
        <v>56.72</v>
      </c>
      <c r="N63" s="64">
        <v>228.1</v>
      </c>
      <c r="O63" s="64">
        <v>0</v>
      </c>
      <c r="P63" s="64">
        <v>0.34</v>
      </c>
      <c r="Q63" s="64">
        <v>9.59</v>
      </c>
      <c r="R63" s="198"/>
      <c r="S63" s="198"/>
      <c r="T63" s="198"/>
      <c r="U63" s="198"/>
    </row>
    <row r="64" spans="1:21" s="12" customFormat="1" x14ac:dyDescent="0.25">
      <c r="A64" s="215" t="s">
        <v>1645</v>
      </c>
      <c r="B64" s="64">
        <v>1.44</v>
      </c>
      <c r="C64" s="64">
        <v>5.4</v>
      </c>
      <c r="D64" s="64">
        <v>3.98</v>
      </c>
      <c r="E64" s="64">
        <v>4.8899999999999997</v>
      </c>
      <c r="F64" s="64">
        <v>4.1900000000000004</v>
      </c>
      <c r="G64" s="64">
        <v>25.63</v>
      </c>
      <c r="H64" s="64">
        <v>8.61</v>
      </c>
      <c r="I64" s="64">
        <v>3.44</v>
      </c>
      <c r="J64" s="64">
        <v>0.51</v>
      </c>
      <c r="K64" s="64">
        <v>75.94</v>
      </c>
      <c r="L64" s="64">
        <v>31.12</v>
      </c>
      <c r="M64" s="64">
        <v>56.73</v>
      </c>
      <c r="N64" s="64">
        <v>178.8</v>
      </c>
      <c r="O64" s="64">
        <v>0</v>
      </c>
      <c r="P64" s="64">
        <v>0.35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1646</v>
      </c>
      <c r="B65" s="64">
        <v>1.7</v>
      </c>
      <c r="C65" s="64">
        <v>5.48</v>
      </c>
      <c r="D65" s="64">
        <v>4.22</v>
      </c>
      <c r="E65" s="64">
        <v>4.84</v>
      </c>
      <c r="F65" s="64">
        <v>4.22</v>
      </c>
      <c r="G65" s="64">
        <v>25.63</v>
      </c>
      <c r="H65" s="64">
        <v>8.61</v>
      </c>
      <c r="I65" s="64">
        <v>2.36</v>
      </c>
      <c r="J65" s="64">
        <v>1.07</v>
      </c>
      <c r="K65" s="64">
        <v>110.41</v>
      </c>
      <c r="L65" s="64">
        <v>30.08</v>
      </c>
      <c r="M65" s="64">
        <v>59.74</v>
      </c>
      <c r="N65" s="64">
        <v>159.4</v>
      </c>
      <c r="O65" s="64">
        <v>0</v>
      </c>
      <c r="P65" s="64">
        <v>0.3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1647</v>
      </c>
      <c r="B66" s="64">
        <v>1.67</v>
      </c>
      <c r="C66" s="64">
        <v>5.41</v>
      </c>
      <c r="D66" s="64">
        <v>4.17</v>
      </c>
      <c r="E66" s="64">
        <v>4.38</v>
      </c>
      <c r="F66" s="64">
        <v>4.5</v>
      </c>
      <c r="G66" s="64">
        <v>25.63</v>
      </c>
      <c r="H66" s="64">
        <v>8.61</v>
      </c>
      <c r="I66" s="64">
        <v>2.16</v>
      </c>
      <c r="J66" s="64">
        <v>0.87</v>
      </c>
      <c r="K66" s="64">
        <v>103.24</v>
      </c>
      <c r="L66" s="64">
        <v>30.07</v>
      </c>
      <c r="M66" s="64">
        <v>59.06</v>
      </c>
      <c r="N66" s="64">
        <v>156.19999999999999</v>
      </c>
      <c r="O66" s="64">
        <v>0</v>
      </c>
      <c r="P66" s="64">
        <v>0.3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1648</v>
      </c>
      <c r="B67" s="64">
        <v>1.53</v>
      </c>
      <c r="C67" s="64">
        <v>5.43</v>
      </c>
      <c r="D67" s="64">
        <v>4.0599999999999996</v>
      </c>
      <c r="E67" s="64">
        <v>4.87</v>
      </c>
      <c r="F67" s="64">
        <v>4.3099999999999996</v>
      </c>
      <c r="G67" s="64">
        <v>24.15</v>
      </c>
      <c r="H67" s="64">
        <v>12.37</v>
      </c>
      <c r="I67" s="64">
        <v>1.53</v>
      </c>
      <c r="J67" s="64">
        <v>0.91</v>
      </c>
      <c r="K67" s="64">
        <v>116.99</v>
      </c>
      <c r="L67" s="64">
        <v>29.83</v>
      </c>
      <c r="M67" s="64">
        <v>59.94</v>
      </c>
      <c r="N67" s="64">
        <v>157.80000000000001</v>
      </c>
      <c r="O67" s="64">
        <v>0</v>
      </c>
      <c r="P67" s="64">
        <v>0.28999999999999998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1649</v>
      </c>
      <c r="B68" s="64">
        <v>1.42</v>
      </c>
      <c r="C68" s="64">
        <v>5.35</v>
      </c>
      <c r="D68" s="64">
        <v>3.93</v>
      </c>
      <c r="E68" s="64">
        <v>5.09</v>
      </c>
      <c r="F68" s="64">
        <v>4.6100000000000003</v>
      </c>
      <c r="G68" s="64">
        <v>23.51</v>
      </c>
      <c r="H68" s="64">
        <v>12.86</v>
      </c>
      <c r="I68" s="64">
        <v>1.87</v>
      </c>
      <c r="J68" s="64">
        <v>0.84</v>
      </c>
      <c r="K68" s="64">
        <v>115.83</v>
      </c>
      <c r="L68" s="64">
        <v>29.88</v>
      </c>
      <c r="M68" s="64">
        <v>59.53</v>
      </c>
      <c r="N68" s="64">
        <v>152.6</v>
      </c>
      <c r="O68" s="64">
        <v>0</v>
      </c>
      <c r="P68" s="64">
        <v>0.28000000000000003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1650</v>
      </c>
      <c r="B69" s="64">
        <v>1.33</v>
      </c>
      <c r="C69" s="64">
        <v>5.24</v>
      </c>
      <c r="D69" s="64">
        <v>3.8</v>
      </c>
      <c r="E69" s="64">
        <v>4.66</v>
      </c>
      <c r="F69" s="64">
        <v>4.43</v>
      </c>
      <c r="G69" s="64">
        <v>23.51</v>
      </c>
      <c r="H69" s="64">
        <v>12.86</v>
      </c>
      <c r="I69" s="64">
        <v>1.43</v>
      </c>
      <c r="J69" s="64">
        <v>0.93</v>
      </c>
      <c r="K69" s="64">
        <v>112.25</v>
      </c>
      <c r="L69" s="64">
        <v>29.97</v>
      </c>
      <c r="M69" s="64">
        <v>58.41</v>
      </c>
      <c r="N69" s="64">
        <v>138.1</v>
      </c>
      <c r="O69" s="64">
        <v>0</v>
      </c>
      <c r="P69" s="64">
        <v>0.28000000000000003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5" t="s">
        <v>1651</v>
      </c>
      <c r="B70" s="64">
        <v>1.27</v>
      </c>
      <c r="C70" s="64">
        <v>5.5</v>
      </c>
      <c r="D70" s="64">
        <v>3.89</v>
      </c>
      <c r="E70" s="64">
        <v>4.54</v>
      </c>
      <c r="F70" s="64">
        <v>4.68</v>
      </c>
      <c r="G70" s="64">
        <v>23.51</v>
      </c>
      <c r="H70" s="64">
        <v>12.86</v>
      </c>
      <c r="I70" s="64">
        <v>1</v>
      </c>
      <c r="J70" s="64">
        <v>0.36</v>
      </c>
      <c r="K70" s="64">
        <v>129.68</v>
      </c>
      <c r="L70" s="64">
        <v>29.87</v>
      </c>
      <c r="M70" s="64">
        <v>61.28</v>
      </c>
      <c r="N70" s="64">
        <v>120.1</v>
      </c>
      <c r="O70" s="64">
        <v>0</v>
      </c>
      <c r="P70" s="64">
        <v>0.3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1652</v>
      </c>
      <c r="B71" s="64">
        <v>1.32</v>
      </c>
      <c r="C71" s="64">
        <v>6.07</v>
      </c>
      <c r="D71" s="64">
        <v>4.2300000000000004</v>
      </c>
      <c r="E71" s="64">
        <v>5.04</v>
      </c>
      <c r="F71" s="64">
        <v>4.17</v>
      </c>
      <c r="G71" s="64">
        <v>22.92</v>
      </c>
      <c r="H71" s="64">
        <v>9.33</v>
      </c>
      <c r="I71" s="64">
        <v>1.9</v>
      </c>
      <c r="J71" s="64">
        <v>1.27</v>
      </c>
      <c r="K71" s="64">
        <v>119.93</v>
      </c>
      <c r="L71" s="64">
        <v>29.57</v>
      </c>
      <c r="M71" s="64">
        <v>64.53</v>
      </c>
      <c r="N71" s="64">
        <v>94.5</v>
      </c>
      <c r="O71" s="64">
        <v>0</v>
      </c>
      <c r="P71" s="64">
        <v>0.38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1653</v>
      </c>
      <c r="B72" s="64">
        <v>1.31</v>
      </c>
      <c r="C72" s="64">
        <v>6.49</v>
      </c>
      <c r="D72" s="64">
        <v>4.4400000000000004</v>
      </c>
      <c r="E72" s="64">
        <v>4.67</v>
      </c>
      <c r="F72" s="64">
        <v>4.58</v>
      </c>
      <c r="G72" s="64">
        <v>22.67</v>
      </c>
      <c r="H72" s="64">
        <v>9.1</v>
      </c>
      <c r="I72" s="64">
        <v>2.48</v>
      </c>
      <c r="J72" s="64">
        <v>1.19</v>
      </c>
      <c r="K72" s="64">
        <v>111.96</v>
      </c>
      <c r="L72" s="64">
        <v>29.13</v>
      </c>
      <c r="M72" s="64">
        <v>65.959999999999994</v>
      </c>
      <c r="N72" s="64">
        <v>82.1</v>
      </c>
      <c r="O72" s="64">
        <v>0</v>
      </c>
      <c r="P72" s="64">
        <v>0.34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5" t="s">
        <v>1654</v>
      </c>
      <c r="B73" s="64">
        <v>1.08</v>
      </c>
      <c r="C73" s="64">
        <v>6.22</v>
      </c>
      <c r="D73" s="64">
        <v>4.1100000000000003</v>
      </c>
      <c r="E73" s="64">
        <v>4.92</v>
      </c>
      <c r="F73" s="64">
        <v>4.3899999999999997</v>
      </c>
      <c r="G73" s="64">
        <v>22.67</v>
      </c>
      <c r="H73" s="64">
        <v>9.1</v>
      </c>
      <c r="I73" s="64">
        <v>4.0199999999999996</v>
      </c>
      <c r="J73" s="64">
        <v>0.5</v>
      </c>
      <c r="K73" s="64">
        <v>108.23</v>
      </c>
      <c r="L73" s="64">
        <v>29.13</v>
      </c>
      <c r="M73" s="64">
        <v>64.55</v>
      </c>
      <c r="N73" s="64">
        <v>75.099999999999994</v>
      </c>
      <c r="O73" s="64">
        <v>0</v>
      </c>
      <c r="P73" s="64">
        <v>0.39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1655</v>
      </c>
      <c r="B74" s="64">
        <v>1.07</v>
      </c>
      <c r="C74" s="64">
        <v>6.85</v>
      </c>
      <c r="D74" s="64">
        <v>4.4400000000000004</v>
      </c>
      <c r="E74" s="64">
        <v>4.8099999999999996</v>
      </c>
      <c r="F74" s="64">
        <v>4.67</v>
      </c>
      <c r="G74" s="64">
        <v>22.67</v>
      </c>
      <c r="H74" s="64">
        <v>9.1</v>
      </c>
      <c r="I74" s="64">
        <v>3.26</v>
      </c>
      <c r="J74" s="64">
        <v>0.39</v>
      </c>
      <c r="K74" s="64">
        <v>103.2</v>
      </c>
      <c r="L74" s="64">
        <v>29.09</v>
      </c>
      <c r="M74" s="64">
        <v>64.599999999999994</v>
      </c>
      <c r="N74" s="64">
        <v>70.900000000000006</v>
      </c>
      <c r="O74" s="64">
        <v>0</v>
      </c>
      <c r="P74" s="64">
        <v>0.45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5" t="s">
        <v>1656</v>
      </c>
      <c r="B75" s="64">
        <v>1.23</v>
      </c>
      <c r="C75" s="64">
        <v>7.08</v>
      </c>
      <c r="D75" s="64">
        <v>4.68</v>
      </c>
      <c r="E75" s="64">
        <v>4.8600000000000003</v>
      </c>
      <c r="F75" s="64">
        <v>3.97</v>
      </c>
      <c r="G75" s="64">
        <v>20.79</v>
      </c>
      <c r="H75" s="64">
        <v>13.02</v>
      </c>
      <c r="I75" s="64">
        <v>2.2400000000000002</v>
      </c>
      <c r="J75" s="64">
        <v>0.72</v>
      </c>
      <c r="K75" s="64">
        <v>110.27</v>
      </c>
      <c r="L75" s="64">
        <v>28.93</v>
      </c>
      <c r="M75" s="64">
        <v>65.73</v>
      </c>
      <c r="N75" s="64">
        <v>66.599999999999994</v>
      </c>
      <c r="O75" s="64">
        <v>0</v>
      </c>
      <c r="P75" s="64">
        <v>0.36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1657</v>
      </c>
      <c r="B76" s="64">
        <v>1.34</v>
      </c>
      <c r="C76" s="64">
        <v>7.29</v>
      </c>
      <c r="D76" s="64">
        <v>4.8899999999999997</v>
      </c>
      <c r="E76" s="64">
        <v>5.2</v>
      </c>
      <c r="F76" s="64">
        <v>4.3</v>
      </c>
      <c r="G76" s="64">
        <v>19.98</v>
      </c>
      <c r="H76" s="64">
        <v>13.34</v>
      </c>
      <c r="I76" s="64">
        <v>2.0699999999999998</v>
      </c>
      <c r="J76" s="64">
        <v>0.43</v>
      </c>
      <c r="K76" s="64">
        <v>85.98</v>
      </c>
      <c r="L76" s="64">
        <v>28.77</v>
      </c>
      <c r="M76" s="64">
        <v>67.69</v>
      </c>
      <c r="N76" s="64">
        <v>52.6</v>
      </c>
      <c r="O76" s="64">
        <v>0</v>
      </c>
      <c r="P76" s="64">
        <v>0.38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5" t="s">
        <v>1658</v>
      </c>
      <c r="B77" s="64">
        <v>1.7</v>
      </c>
      <c r="C77" s="64">
        <v>7.43</v>
      </c>
      <c r="D77" s="64">
        <v>5.24</v>
      </c>
      <c r="E77" s="64">
        <v>4.97</v>
      </c>
      <c r="F77" s="64">
        <v>4.22</v>
      </c>
      <c r="G77" s="64">
        <v>19.98</v>
      </c>
      <c r="H77" s="64">
        <v>13.34</v>
      </c>
      <c r="I77" s="64">
        <v>2.29</v>
      </c>
      <c r="J77" s="64">
        <v>0.11</v>
      </c>
      <c r="K77" s="64">
        <v>69.72</v>
      </c>
      <c r="L77" s="64">
        <v>28.42</v>
      </c>
      <c r="M77" s="64">
        <v>69.239999999999995</v>
      </c>
      <c r="N77" s="64">
        <v>42.5</v>
      </c>
      <c r="O77" s="64">
        <v>0</v>
      </c>
      <c r="P77" s="64">
        <v>0.43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1659</v>
      </c>
      <c r="B78" s="64">
        <v>2.25</v>
      </c>
      <c r="C78" s="64">
        <v>8.15</v>
      </c>
      <c r="D78" s="64">
        <v>6.06</v>
      </c>
      <c r="E78" s="64">
        <v>4.91</v>
      </c>
      <c r="F78" s="64">
        <v>3.59</v>
      </c>
      <c r="G78" s="64">
        <v>19.98</v>
      </c>
      <c r="H78" s="64">
        <v>13.34</v>
      </c>
      <c r="I78" s="64">
        <v>1.8</v>
      </c>
      <c r="J78" s="64">
        <v>0.1</v>
      </c>
      <c r="K78" s="64">
        <v>67.33</v>
      </c>
      <c r="L78" s="64">
        <v>27.7</v>
      </c>
      <c r="M78" s="64">
        <v>73.319999999999993</v>
      </c>
      <c r="N78" s="64">
        <v>33.299999999999997</v>
      </c>
      <c r="O78" s="64">
        <v>0</v>
      </c>
      <c r="P78" s="64">
        <v>0.44</v>
      </c>
      <c r="Q78" s="64">
        <v>9.59</v>
      </c>
      <c r="R78" s="198"/>
      <c r="S78" s="198"/>
      <c r="T78" s="198"/>
      <c r="U78" s="198"/>
    </row>
    <row r="79" spans="1:21" s="12" customFormat="1" x14ac:dyDescent="0.25">
      <c r="A79" s="215" t="s">
        <v>1660</v>
      </c>
      <c r="B79" s="64">
        <v>2.5299999999999998</v>
      </c>
      <c r="C79" s="64">
        <v>7.98</v>
      </c>
      <c r="D79" s="64">
        <v>6.2</v>
      </c>
      <c r="E79" s="64">
        <v>5.03</v>
      </c>
      <c r="F79" s="64">
        <v>3.93</v>
      </c>
      <c r="G79" s="64">
        <v>30.1</v>
      </c>
      <c r="H79" s="64">
        <v>12.78</v>
      </c>
      <c r="I79" s="64">
        <v>2.73</v>
      </c>
      <c r="J79" s="64">
        <v>0.17</v>
      </c>
      <c r="K79" s="64">
        <v>47.16</v>
      </c>
      <c r="L79" s="64">
        <v>27.47</v>
      </c>
      <c r="M79" s="64">
        <v>75.19</v>
      </c>
      <c r="N79" s="64">
        <v>28.5</v>
      </c>
      <c r="O79" s="64">
        <v>0</v>
      </c>
      <c r="P79" s="64">
        <v>0.49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1661</v>
      </c>
      <c r="B80" s="64">
        <v>2.52</v>
      </c>
      <c r="C80" s="64">
        <v>7.63</v>
      </c>
      <c r="D80" s="64">
        <v>6.01</v>
      </c>
      <c r="E80" s="64">
        <v>5.05</v>
      </c>
      <c r="F80" s="64">
        <v>4.4800000000000004</v>
      </c>
      <c r="G80" s="64">
        <v>34.43</v>
      </c>
      <c r="H80" s="64">
        <v>12.75</v>
      </c>
      <c r="I80" s="64">
        <v>2.5299999999999998</v>
      </c>
      <c r="J80" s="64">
        <v>0.52</v>
      </c>
      <c r="K80" s="64">
        <v>110.73</v>
      </c>
      <c r="L80" s="64">
        <v>27.47</v>
      </c>
      <c r="M80" s="64">
        <v>74.88</v>
      </c>
      <c r="N80" s="64">
        <v>26.2</v>
      </c>
      <c r="O80" s="64">
        <v>0</v>
      </c>
      <c r="P80" s="64">
        <v>0.38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1662</v>
      </c>
      <c r="B81" s="64">
        <v>2.36</v>
      </c>
      <c r="C81" s="64">
        <v>7.4</v>
      </c>
      <c r="D81" s="64">
        <v>5.76</v>
      </c>
      <c r="E81" s="64">
        <v>4.6100000000000003</v>
      </c>
      <c r="F81" s="64">
        <v>4.3899999999999997</v>
      </c>
      <c r="G81" s="64">
        <v>34.43</v>
      </c>
      <c r="H81" s="64">
        <v>12.75</v>
      </c>
      <c r="I81" s="64">
        <v>1.7</v>
      </c>
      <c r="J81" s="64">
        <v>0.36</v>
      </c>
      <c r="K81" s="64">
        <v>106.48</v>
      </c>
      <c r="L81" s="64">
        <v>27.6</v>
      </c>
      <c r="M81" s="64">
        <v>73.16</v>
      </c>
      <c r="N81" s="64">
        <v>26.1</v>
      </c>
      <c r="O81" s="64">
        <v>0</v>
      </c>
      <c r="P81" s="64">
        <v>0.51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1663</v>
      </c>
      <c r="B82" s="64">
        <v>2.2799999999999998</v>
      </c>
      <c r="C82" s="64">
        <v>7.37</v>
      </c>
      <c r="D82" s="64">
        <v>5.68</v>
      </c>
      <c r="E82" s="64">
        <v>4.68</v>
      </c>
      <c r="F82" s="64">
        <v>4.37</v>
      </c>
      <c r="G82" s="64">
        <v>34.43</v>
      </c>
      <c r="H82" s="64">
        <v>12.75</v>
      </c>
      <c r="I82" s="64">
        <v>1.44</v>
      </c>
      <c r="J82" s="64">
        <v>0.54</v>
      </c>
      <c r="K82" s="64">
        <v>110.02</v>
      </c>
      <c r="L82" s="64">
        <v>27.55</v>
      </c>
      <c r="M82" s="64">
        <v>74.239999999999995</v>
      </c>
      <c r="N82" s="64">
        <v>26</v>
      </c>
      <c r="O82" s="64">
        <v>0</v>
      </c>
      <c r="P82" s="64">
        <v>0.56999999999999995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1664</v>
      </c>
      <c r="B83" s="64">
        <v>2.16</v>
      </c>
      <c r="C83" s="64">
        <v>7.26</v>
      </c>
      <c r="D83" s="64">
        <v>5.53</v>
      </c>
      <c r="E83" s="64">
        <v>4.74</v>
      </c>
      <c r="F83" s="64">
        <v>3.97</v>
      </c>
      <c r="G83" s="64">
        <v>28.45</v>
      </c>
      <c r="H83" s="64">
        <v>16.16</v>
      </c>
      <c r="I83" s="64">
        <v>1.75</v>
      </c>
      <c r="J83" s="64">
        <v>1.07</v>
      </c>
      <c r="K83" s="64">
        <v>121</v>
      </c>
      <c r="L83" s="64">
        <v>27.6</v>
      </c>
      <c r="M83" s="64">
        <v>74.930000000000007</v>
      </c>
      <c r="N83" s="64">
        <v>25.8</v>
      </c>
      <c r="O83" s="64">
        <v>0</v>
      </c>
      <c r="P83" s="64">
        <v>0.47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1665</v>
      </c>
      <c r="B84" s="64">
        <v>2.08</v>
      </c>
      <c r="C84" s="64">
        <v>7.17</v>
      </c>
      <c r="D84" s="64">
        <v>5.41</v>
      </c>
      <c r="E84" s="64">
        <v>4.7699999999999996</v>
      </c>
      <c r="F84" s="64">
        <v>4.22</v>
      </c>
      <c r="G84" s="64">
        <v>25.89</v>
      </c>
      <c r="H84" s="64">
        <v>16.510000000000002</v>
      </c>
      <c r="I84" s="64">
        <v>1.95</v>
      </c>
      <c r="J84" s="64">
        <v>0.43</v>
      </c>
      <c r="K84" s="64">
        <v>111.99</v>
      </c>
      <c r="L84" s="64">
        <v>27.5</v>
      </c>
      <c r="M84" s="64">
        <v>76.239999999999995</v>
      </c>
      <c r="N84" s="64">
        <v>26.1</v>
      </c>
      <c r="O84" s="64">
        <v>0</v>
      </c>
      <c r="P84" s="64">
        <v>0.53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1666</v>
      </c>
      <c r="B85" s="64">
        <v>1.99</v>
      </c>
      <c r="C85" s="64">
        <v>7.04</v>
      </c>
      <c r="D85" s="64">
        <v>5.27</v>
      </c>
      <c r="E85" s="64">
        <v>4.96</v>
      </c>
      <c r="F85" s="64">
        <v>4.99</v>
      </c>
      <c r="G85" s="64">
        <v>25.89</v>
      </c>
      <c r="H85" s="64">
        <v>16.510000000000002</v>
      </c>
      <c r="I85" s="64">
        <v>2.19</v>
      </c>
      <c r="J85" s="64">
        <v>0.55000000000000004</v>
      </c>
      <c r="K85" s="64">
        <v>126.88</v>
      </c>
      <c r="L85" s="64">
        <v>27.4</v>
      </c>
      <c r="M85" s="64">
        <v>77.23</v>
      </c>
      <c r="N85" s="64">
        <v>26.1</v>
      </c>
      <c r="O85" s="64">
        <v>0</v>
      </c>
      <c r="P85" s="64">
        <v>0.5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5" t="s">
        <v>1667</v>
      </c>
      <c r="B86" s="64">
        <v>1.91</v>
      </c>
      <c r="C86" s="64">
        <v>6.8</v>
      </c>
      <c r="D86" s="64">
        <v>5.08</v>
      </c>
      <c r="E86" s="64">
        <v>4.6399999999999997</v>
      </c>
      <c r="F86" s="64">
        <v>4.1399999999999997</v>
      </c>
      <c r="G86" s="64">
        <v>25.89</v>
      </c>
      <c r="H86" s="64">
        <v>16.510000000000002</v>
      </c>
      <c r="I86" s="64">
        <v>2.81</v>
      </c>
      <c r="J86" s="64">
        <v>0.41</v>
      </c>
      <c r="K86" s="64">
        <v>112.28</v>
      </c>
      <c r="L86" s="64">
        <v>27.34</v>
      </c>
      <c r="M86" s="64">
        <v>78.69</v>
      </c>
      <c r="N86" s="64">
        <v>26</v>
      </c>
      <c r="O86" s="64">
        <v>0</v>
      </c>
      <c r="P86" s="64">
        <v>0.55000000000000004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1668</v>
      </c>
      <c r="B87" s="64">
        <v>2.0299999999999998</v>
      </c>
      <c r="C87" s="64">
        <v>7.29</v>
      </c>
      <c r="D87" s="64">
        <v>5.44</v>
      </c>
      <c r="E87" s="64">
        <v>5.05</v>
      </c>
      <c r="F87" s="64">
        <v>4.05</v>
      </c>
      <c r="G87" s="64">
        <v>23.28</v>
      </c>
      <c r="H87" s="64">
        <v>11.92</v>
      </c>
      <c r="I87" s="64">
        <v>2.76</v>
      </c>
      <c r="J87" s="64">
        <v>0.74</v>
      </c>
      <c r="K87" s="64">
        <v>114.83</v>
      </c>
      <c r="L87" s="64">
        <v>27.26</v>
      </c>
      <c r="M87" s="64">
        <v>79.569999999999993</v>
      </c>
      <c r="N87" s="64">
        <v>26</v>
      </c>
      <c r="O87" s="64">
        <v>0</v>
      </c>
      <c r="P87" s="64">
        <v>0.53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5" t="s">
        <v>1669</v>
      </c>
      <c r="B88" s="64">
        <v>2.08</v>
      </c>
      <c r="C88" s="64">
        <v>7.33</v>
      </c>
      <c r="D88" s="64">
        <v>5.5</v>
      </c>
      <c r="E88" s="64">
        <v>3.69</v>
      </c>
      <c r="F88" s="64">
        <v>3.92</v>
      </c>
      <c r="G88" s="64">
        <v>22.17</v>
      </c>
      <c r="H88" s="64">
        <v>11.63</v>
      </c>
      <c r="I88" s="64">
        <v>3.28</v>
      </c>
      <c r="J88" s="64">
        <v>0.56999999999999995</v>
      </c>
      <c r="K88" s="64">
        <v>101.44</v>
      </c>
      <c r="L88" s="64">
        <v>27.09</v>
      </c>
      <c r="M88" s="64">
        <v>80.86</v>
      </c>
      <c r="N88" s="64">
        <v>26.2</v>
      </c>
      <c r="O88" s="64">
        <v>0</v>
      </c>
      <c r="P88" s="64">
        <v>0.68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5" t="s">
        <v>1670</v>
      </c>
      <c r="B89" s="64">
        <v>2.0299999999999998</v>
      </c>
      <c r="C89" s="64">
        <v>7.51</v>
      </c>
      <c r="D89" s="64">
        <v>5.55</v>
      </c>
      <c r="E89" s="64">
        <v>4.01</v>
      </c>
      <c r="F89" s="64">
        <v>4.2</v>
      </c>
      <c r="G89" s="64">
        <v>22.17</v>
      </c>
      <c r="H89" s="64">
        <v>11.63</v>
      </c>
      <c r="I89" s="64">
        <v>3.42</v>
      </c>
      <c r="J89" s="64">
        <v>0.7</v>
      </c>
      <c r="K89" s="64">
        <v>117</v>
      </c>
      <c r="L89" s="64">
        <v>27.05</v>
      </c>
      <c r="M89" s="64">
        <v>79.66</v>
      </c>
      <c r="N89" s="64">
        <v>25.9</v>
      </c>
      <c r="O89" s="64">
        <v>0</v>
      </c>
      <c r="P89" s="64">
        <v>0.57999999999999996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1671</v>
      </c>
      <c r="B90" s="64">
        <v>1.85</v>
      </c>
      <c r="C90" s="64">
        <v>7.2</v>
      </c>
      <c r="D90" s="64">
        <v>5.24</v>
      </c>
      <c r="E90" s="64">
        <v>3.87</v>
      </c>
      <c r="F90" s="64">
        <v>4.37</v>
      </c>
      <c r="G90" s="64">
        <v>22.17</v>
      </c>
      <c r="H90" s="64">
        <v>11.63</v>
      </c>
      <c r="I90" s="64">
        <v>3.07</v>
      </c>
      <c r="J90" s="64">
        <v>0.86</v>
      </c>
      <c r="K90" s="64">
        <v>121.58</v>
      </c>
      <c r="L90" s="64">
        <v>27.03</v>
      </c>
      <c r="M90" s="64">
        <v>80.13</v>
      </c>
      <c r="N90" s="64">
        <v>26</v>
      </c>
      <c r="O90" s="64">
        <v>0</v>
      </c>
      <c r="P90" s="64">
        <v>0.57999999999999996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1672</v>
      </c>
      <c r="B91" s="64">
        <v>1.7</v>
      </c>
      <c r="C91" s="64">
        <v>7.63</v>
      </c>
      <c r="D91" s="64">
        <v>5.35</v>
      </c>
      <c r="E91" s="64">
        <v>4.2300000000000004</v>
      </c>
      <c r="F91" s="64">
        <v>3.98</v>
      </c>
      <c r="G91" s="64">
        <v>28.17</v>
      </c>
      <c r="H91" s="64">
        <v>20.74</v>
      </c>
      <c r="I91" s="64">
        <v>3.16</v>
      </c>
      <c r="J91" s="64">
        <v>1.37</v>
      </c>
      <c r="K91" s="64">
        <v>119.24</v>
      </c>
      <c r="L91" s="64">
        <v>26.99</v>
      </c>
      <c r="M91" s="64">
        <v>81.680000000000007</v>
      </c>
      <c r="N91" s="64">
        <v>26</v>
      </c>
      <c r="O91" s="64">
        <v>0</v>
      </c>
      <c r="P91" s="64">
        <v>0.54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1673</v>
      </c>
      <c r="B92" s="64">
        <v>1.55</v>
      </c>
      <c r="C92" s="64">
        <v>7.44</v>
      </c>
      <c r="D92" s="64">
        <v>5.13</v>
      </c>
      <c r="E92" s="64">
        <v>4.26</v>
      </c>
      <c r="F92" s="64">
        <v>4.3899999999999997</v>
      </c>
      <c r="G92" s="64">
        <v>30.75</v>
      </c>
      <c r="H92" s="64">
        <v>21.31</v>
      </c>
      <c r="I92" s="64">
        <v>4.16</v>
      </c>
      <c r="J92" s="64">
        <v>1.53</v>
      </c>
      <c r="K92" s="64">
        <v>112.44</v>
      </c>
      <c r="L92" s="64">
        <v>26.91</v>
      </c>
      <c r="M92" s="64">
        <v>83.95</v>
      </c>
      <c r="N92" s="64">
        <v>26</v>
      </c>
      <c r="O92" s="64">
        <v>0</v>
      </c>
      <c r="P92" s="64">
        <v>0.52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5" t="s">
        <v>1674</v>
      </c>
      <c r="B93" s="64">
        <v>1.4</v>
      </c>
      <c r="C93" s="64">
        <v>7.22</v>
      </c>
      <c r="D93" s="64">
        <v>4.8899999999999997</v>
      </c>
      <c r="E93" s="64">
        <v>4.43</v>
      </c>
      <c r="F93" s="64">
        <v>3.7</v>
      </c>
      <c r="G93" s="64">
        <v>30.75</v>
      </c>
      <c r="H93" s="64">
        <v>21.31</v>
      </c>
      <c r="I93" s="64">
        <v>4.49</v>
      </c>
      <c r="J93" s="64">
        <v>1.52</v>
      </c>
      <c r="K93" s="64">
        <v>109.27</v>
      </c>
      <c r="L93" s="64">
        <v>26.73</v>
      </c>
      <c r="M93" s="64">
        <v>86.12</v>
      </c>
      <c r="N93" s="64">
        <v>26.2</v>
      </c>
      <c r="O93" s="64">
        <v>0</v>
      </c>
      <c r="P93" s="64">
        <v>0.52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1675</v>
      </c>
      <c r="B94" s="64">
        <v>1.32</v>
      </c>
      <c r="C94" s="64">
        <v>7.38</v>
      </c>
      <c r="D94" s="64">
        <v>4.91</v>
      </c>
      <c r="E94" s="64">
        <v>4.09</v>
      </c>
      <c r="F94" s="64">
        <v>4.49</v>
      </c>
      <c r="G94" s="64">
        <v>30.75</v>
      </c>
      <c r="H94" s="64">
        <v>21.31</v>
      </c>
      <c r="I94" s="64">
        <v>5.21</v>
      </c>
      <c r="J94" s="64">
        <v>1.39</v>
      </c>
      <c r="K94" s="64">
        <v>112.23</v>
      </c>
      <c r="L94" s="64">
        <v>26.57</v>
      </c>
      <c r="M94" s="64">
        <v>86.67</v>
      </c>
      <c r="N94" s="64">
        <v>26.1</v>
      </c>
      <c r="O94" s="64">
        <v>0</v>
      </c>
      <c r="P94" s="64">
        <v>0.52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1676</v>
      </c>
      <c r="B95" s="64">
        <v>1.29</v>
      </c>
      <c r="C95" s="64">
        <v>7.3</v>
      </c>
      <c r="D95" s="64">
        <v>4.8499999999999996</v>
      </c>
      <c r="E95" s="64">
        <v>4.0999999999999996</v>
      </c>
      <c r="F95" s="64">
        <v>4.0199999999999996</v>
      </c>
      <c r="G95" s="64">
        <v>35.9</v>
      </c>
      <c r="H95" s="64">
        <v>20.41</v>
      </c>
      <c r="I95" s="64">
        <v>5.42</v>
      </c>
      <c r="J95" s="64">
        <v>1.37</v>
      </c>
      <c r="K95" s="64">
        <v>113.7</v>
      </c>
      <c r="L95" s="64">
        <v>26.48</v>
      </c>
      <c r="M95" s="64">
        <v>87.36</v>
      </c>
      <c r="N95" s="64">
        <v>26.1</v>
      </c>
      <c r="O95" s="64">
        <v>0</v>
      </c>
      <c r="P95" s="64">
        <v>0.51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1677</v>
      </c>
      <c r="B96" s="64">
        <v>1.32</v>
      </c>
      <c r="C96" s="64">
        <v>7.16</v>
      </c>
      <c r="D96" s="64">
        <v>4.8</v>
      </c>
      <c r="E96" s="64">
        <v>4.0199999999999996</v>
      </c>
      <c r="F96" s="64">
        <v>3.85</v>
      </c>
      <c r="G96" s="64">
        <v>38.11</v>
      </c>
      <c r="H96" s="64">
        <v>20.350000000000001</v>
      </c>
      <c r="I96" s="64">
        <v>5.0599999999999996</v>
      </c>
      <c r="J96" s="64">
        <v>1.22</v>
      </c>
      <c r="K96" s="64">
        <v>113.14</v>
      </c>
      <c r="L96" s="64">
        <v>26.4</v>
      </c>
      <c r="M96" s="64">
        <v>87.89</v>
      </c>
      <c r="N96" s="64">
        <v>26.1</v>
      </c>
      <c r="O96" s="64">
        <v>0</v>
      </c>
      <c r="P96" s="64">
        <v>0.48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1678</v>
      </c>
      <c r="B97" s="64">
        <v>1.3</v>
      </c>
      <c r="C97" s="64">
        <v>6.93</v>
      </c>
      <c r="D97" s="64">
        <v>4.66</v>
      </c>
      <c r="E97" s="64">
        <v>4.07</v>
      </c>
      <c r="F97" s="64">
        <v>4.1100000000000003</v>
      </c>
      <c r="G97" s="64">
        <v>38.11</v>
      </c>
      <c r="H97" s="64">
        <v>20.350000000000001</v>
      </c>
      <c r="I97" s="64">
        <v>4.76</v>
      </c>
      <c r="J97" s="64">
        <v>1.31</v>
      </c>
      <c r="K97" s="64">
        <v>114.07</v>
      </c>
      <c r="L97" s="64">
        <v>26.31</v>
      </c>
      <c r="M97" s="64">
        <v>89.4</v>
      </c>
      <c r="N97" s="64">
        <v>26</v>
      </c>
      <c r="O97" s="64">
        <v>0</v>
      </c>
      <c r="P97" s="64">
        <v>0.49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1679</v>
      </c>
      <c r="B98" s="64">
        <v>1.33</v>
      </c>
      <c r="C98" s="64">
        <v>6.83</v>
      </c>
      <c r="D98" s="64">
        <v>4.6399999999999997</v>
      </c>
      <c r="E98" s="64">
        <v>3.94</v>
      </c>
      <c r="F98" s="64">
        <v>3.7</v>
      </c>
      <c r="G98" s="64">
        <v>38.11</v>
      </c>
      <c r="H98" s="64">
        <v>20.350000000000001</v>
      </c>
      <c r="I98" s="64">
        <v>3.6</v>
      </c>
      <c r="J98" s="64">
        <v>1.36</v>
      </c>
      <c r="K98" s="64">
        <v>112.5</v>
      </c>
      <c r="L98" s="64">
        <v>26.2</v>
      </c>
      <c r="M98" s="64">
        <v>90.09</v>
      </c>
      <c r="N98" s="64">
        <v>26</v>
      </c>
      <c r="O98" s="64">
        <v>0</v>
      </c>
      <c r="P98" s="64">
        <v>0.48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1680</v>
      </c>
      <c r="B99" s="64">
        <v>1.45</v>
      </c>
      <c r="C99" s="64">
        <v>6.84</v>
      </c>
      <c r="D99" s="64">
        <v>4.74</v>
      </c>
      <c r="E99" s="64">
        <v>3.96</v>
      </c>
      <c r="F99" s="64">
        <v>3.93</v>
      </c>
      <c r="G99" s="64">
        <v>36.86</v>
      </c>
      <c r="H99" s="64">
        <v>22.14</v>
      </c>
      <c r="I99" s="64">
        <v>3.24</v>
      </c>
      <c r="J99" s="64">
        <v>1.31</v>
      </c>
      <c r="K99" s="64">
        <v>113.59</v>
      </c>
      <c r="L99" s="64">
        <v>26.16</v>
      </c>
      <c r="M99" s="64">
        <v>89.17</v>
      </c>
      <c r="N99" s="64">
        <v>26</v>
      </c>
      <c r="O99" s="64">
        <v>0</v>
      </c>
      <c r="P99" s="64">
        <v>0.46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1681</v>
      </c>
      <c r="B100" s="64">
        <v>1.68</v>
      </c>
      <c r="C100" s="64">
        <v>6.88</v>
      </c>
      <c r="D100" s="64">
        <v>4.9400000000000004</v>
      </c>
      <c r="E100" s="64">
        <v>3.85</v>
      </c>
      <c r="F100" s="64">
        <v>3.69</v>
      </c>
      <c r="G100" s="64">
        <v>36.32</v>
      </c>
      <c r="H100" s="64">
        <v>22.33</v>
      </c>
      <c r="I100" s="64">
        <v>3.81</v>
      </c>
      <c r="J100" s="64">
        <v>0.92</v>
      </c>
      <c r="K100" s="64">
        <v>102.58</v>
      </c>
      <c r="L100" s="64">
        <v>26.2</v>
      </c>
      <c r="M100" s="64">
        <v>87.22</v>
      </c>
      <c r="N100" s="64">
        <v>25.9</v>
      </c>
      <c r="O100" s="64">
        <v>0</v>
      </c>
      <c r="P100" s="64">
        <v>0.44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1682</v>
      </c>
      <c r="B101" s="64">
        <v>1.94</v>
      </c>
      <c r="C101" s="64">
        <v>6.99</v>
      </c>
      <c r="D101" s="64">
        <v>5.21</v>
      </c>
      <c r="E101" s="64">
        <v>3.97</v>
      </c>
      <c r="F101" s="64">
        <v>3.45</v>
      </c>
      <c r="G101" s="64">
        <v>36.32</v>
      </c>
      <c r="H101" s="64">
        <v>22.33</v>
      </c>
      <c r="I101" s="64">
        <v>3.03</v>
      </c>
      <c r="J101" s="64">
        <v>0.82</v>
      </c>
      <c r="K101" s="64">
        <v>119.81</v>
      </c>
      <c r="L101" s="64">
        <v>26.1</v>
      </c>
      <c r="M101" s="64">
        <v>87.9</v>
      </c>
      <c r="N101" s="64">
        <v>26.1</v>
      </c>
      <c r="O101" s="64">
        <v>0</v>
      </c>
      <c r="P101" s="64">
        <v>0.43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1683</v>
      </c>
      <c r="B102" s="64">
        <v>2.15</v>
      </c>
      <c r="C102" s="64">
        <v>7.01</v>
      </c>
      <c r="D102" s="64">
        <v>5.39</v>
      </c>
      <c r="E102" s="64">
        <v>3.98</v>
      </c>
      <c r="F102" s="64">
        <v>3.37</v>
      </c>
      <c r="G102" s="64">
        <v>36.32</v>
      </c>
      <c r="H102" s="64">
        <v>22.33</v>
      </c>
      <c r="I102" s="64">
        <v>1.93</v>
      </c>
      <c r="J102" s="64">
        <v>0.44</v>
      </c>
      <c r="K102" s="64">
        <v>194.96</v>
      </c>
      <c r="L102" s="64">
        <v>25.93</v>
      </c>
      <c r="M102" s="64">
        <v>88.58</v>
      </c>
      <c r="N102" s="64">
        <v>26.1</v>
      </c>
      <c r="O102" s="64">
        <v>0</v>
      </c>
      <c r="P102" s="64">
        <v>0.43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1684</v>
      </c>
      <c r="B103" s="64">
        <v>2.29</v>
      </c>
      <c r="C103" s="64">
        <v>7.09</v>
      </c>
      <c r="D103" s="64">
        <v>5.54</v>
      </c>
      <c r="E103" s="64">
        <v>3.72</v>
      </c>
      <c r="F103" s="64">
        <v>3.55</v>
      </c>
      <c r="G103" s="64">
        <v>36.19</v>
      </c>
      <c r="H103" s="64">
        <v>21.22</v>
      </c>
      <c r="I103" s="64">
        <v>1.61</v>
      </c>
      <c r="J103" s="64">
        <v>0.39</v>
      </c>
      <c r="K103" s="64">
        <v>247.71</v>
      </c>
      <c r="L103" s="64">
        <v>25.72</v>
      </c>
      <c r="M103" s="64">
        <v>91.19</v>
      </c>
      <c r="N103" s="64">
        <v>26.2</v>
      </c>
      <c r="O103" s="64">
        <v>0</v>
      </c>
      <c r="P103" s="64">
        <v>0.43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1685</v>
      </c>
      <c r="B104" s="64">
        <v>2.7</v>
      </c>
      <c r="C104" s="64">
        <v>7.39</v>
      </c>
      <c r="D104" s="64">
        <v>6.03</v>
      </c>
      <c r="E104" s="64">
        <v>4.37</v>
      </c>
      <c r="F104" s="64">
        <v>3.49</v>
      </c>
      <c r="G104" s="64">
        <v>36.14</v>
      </c>
      <c r="H104" s="64">
        <v>21.15</v>
      </c>
      <c r="I104" s="64">
        <v>1.43</v>
      </c>
      <c r="J104" s="64">
        <v>0.45</v>
      </c>
      <c r="K104" s="64">
        <v>338.66</v>
      </c>
      <c r="L104" s="64">
        <v>25.38</v>
      </c>
      <c r="M104" s="64">
        <v>94.84</v>
      </c>
      <c r="N104" s="64">
        <v>26.3</v>
      </c>
      <c r="O104" s="64">
        <v>0</v>
      </c>
      <c r="P104" s="64">
        <v>0.55000000000000004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0.97</v>
      </c>
      <c r="C106" s="67">
        <f>MIN(C9:C104)</f>
        <v>3.86</v>
      </c>
      <c r="D106" s="67">
        <f t="shared" ref="D106:Q106" si="0">MIN(D9:D104)</f>
        <v>2.89</v>
      </c>
      <c r="E106" s="67">
        <f t="shared" si="0"/>
        <v>3.27</v>
      </c>
      <c r="F106" s="67">
        <f t="shared" si="0"/>
        <v>2.96</v>
      </c>
      <c r="G106" s="67">
        <f t="shared" si="0"/>
        <v>19.98</v>
      </c>
      <c r="H106" s="67">
        <f t="shared" si="0"/>
        <v>8.61</v>
      </c>
      <c r="I106" s="67">
        <f t="shared" si="0"/>
        <v>0.91</v>
      </c>
      <c r="J106" s="67">
        <f t="shared" si="0"/>
        <v>0.08</v>
      </c>
      <c r="K106" s="67">
        <f t="shared" si="0"/>
        <v>26.03</v>
      </c>
      <c r="L106" s="67">
        <f t="shared" si="0"/>
        <v>23.12</v>
      </c>
      <c r="M106" s="67">
        <f t="shared" si="0"/>
        <v>55.88</v>
      </c>
      <c r="N106" s="67">
        <f t="shared" si="0"/>
        <v>25.8</v>
      </c>
      <c r="O106" s="67">
        <f t="shared" si="0"/>
        <v>0</v>
      </c>
      <c r="P106" s="67">
        <f t="shared" si="0"/>
        <v>0.28000000000000003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7.31</v>
      </c>
      <c r="C107" s="66">
        <f t="shared" ref="C107:Q107" si="1">MAX(C9:C104)</f>
        <v>8.2100000000000009</v>
      </c>
      <c r="D107" s="66">
        <f t="shared" si="1"/>
        <v>9.51</v>
      </c>
      <c r="E107" s="66">
        <f t="shared" si="1"/>
        <v>5.76</v>
      </c>
      <c r="F107" s="66">
        <f t="shared" si="1"/>
        <v>4.99</v>
      </c>
      <c r="G107" s="66">
        <f t="shared" si="1"/>
        <v>62.61</v>
      </c>
      <c r="H107" s="66">
        <f t="shared" si="1"/>
        <v>31.97</v>
      </c>
      <c r="I107" s="66">
        <f t="shared" si="1"/>
        <v>6.48</v>
      </c>
      <c r="J107" s="66">
        <f t="shared" si="1"/>
        <v>1.54</v>
      </c>
      <c r="K107" s="66">
        <f t="shared" si="1"/>
        <v>344.34</v>
      </c>
      <c r="L107" s="66">
        <f t="shared" si="1"/>
        <v>32.1</v>
      </c>
      <c r="M107" s="66">
        <f t="shared" si="1"/>
        <v>102.73</v>
      </c>
      <c r="N107" s="66">
        <f t="shared" si="1"/>
        <v>863.4</v>
      </c>
      <c r="O107" s="66">
        <f t="shared" si="1"/>
        <v>0</v>
      </c>
      <c r="P107" s="66">
        <f t="shared" si="1"/>
        <v>0.68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2.5170833333333333</v>
      </c>
      <c r="C108" s="67">
        <f t="shared" ref="C108:Q108" si="2">AVERAGE(C9:C104)</f>
        <v>6.1995833333333339</v>
      </c>
      <c r="D108" s="67">
        <f t="shared" si="2"/>
        <v>5.2568750000000017</v>
      </c>
      <c r="E108" s="67">
        <f t="shared" si="2"/>
        <v>4.5383333333333349</v>
      </c>
      <c r="F108" s="67">
        <f t="shared" si="2"/>
        <v>4.029270833333336</v>
      </c>
      <c r="G108" s="67">
        <f t="shared" si="2"/>
        <v>36.306458333333332</v>
      </c>
      <c r="H108" s="67">
        <f t="shared" si="2"/>
        <v>18.784374999999983</v>
      </c>
      <c r="I108" s="67">
        <f t="shared" si="2"/>
        <v>3.6368750000000003</v>
      </c>
      <c r="J108" s="67">
        <f t="shared" si="2"/>
        <v>0.79729166666666662</v>
      </c>
      <c r="K108" s="67">
        <f t="shared" si="2"/>
        <v>133.65156249999998</v>
      </c>
      <c r="L108" s="67">
        <f t="shared" si="2"/>
        <v>27.304479166666663</v>
      </c>
      <c r="M108" s="67">
        <f t="shared" si="2"/>
        <v>82.001041666666609</v>
      </c>
      <c r="N108" s="67">
        <f t="shared" si="2"/>
        <v>196.84791666666649</v>
      </c>
      <c r="O108" s="67">
        <f t="shared" si="2"/>
        <v>0</v>
      </c>
      <c r="P108" s="67">
        <f t="shared" si="2"/>
        <v>0.43291666666666662</v>
      </c>
      <c r="Q108" s="67">
        <f t="shared" si="2"/>
        <v>9.6071875000000109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1.791168343592449</v>
      </c>
      <c r="C109" s="67">
        <f t="shared" ref="C109:Q109" si="3">STDEV(C9:C104)</f>
        <v>1.0926683097297714</v>
      </c>
      <c r="D109" s="67">
        <f t="shared" si="3"/>
        <v>1.6277503445585559</v>
      </c>
      <c r="E109" s="67">
        <f t="shared" si="3"/>
        <v>0.55455751287644284</v>
      </c>
      <c r="F109" s="67">
        <f t="shared" si="3"/>
        <v>0.41448063834318921</v>
      </c>
      <c r="G109" s="67">
        <f t="shared" si="3"/>
        <v>13.060018133232138</v>
      </c>
      <c r="H109" s="67">
        <f t="shared" si="3"/>
        <v>7.0285539146811526</v>
      </c>
      <c r="I109" s="67">
        <f t="shared" si="3"/>
        <v>1.4804340135315213</v>
      </c>
      <c r="J109" s="67">
        <f t="shared" si="3"/>
        <v>0.41721250212550548</v>
      </c>
      <c r="K109" s="67">
        <f t="shared" si="3"/>
        <v>75.224088363797918</v>
      </c>
      <c r="L109" s="67">
        <f t="shared" si="3"/>
        <v>2.5222771122817482</v>
      </c>
      <c r="M109" s="67">
        <f t="shared" si="3"/>
        <v>16.080058619896455</v>
      </c>
      <c r="N109" s="67">
        <f t="shared" si="3"/>
        <v>272.92042602740929</v>
      </c>
      <c r="O109" s="67">
        <f t="shared" si="3"/>
        <v>0</v>
      </c>
      <c r="P109" s="67">
        <f t="shared" si="3"/>
        <v>8.1691546514494756E-2</v>
      </c>
      <c r="Q109" s="67">
        <f t="shared" si="3"/>
        <v>7.9077743225789802E-3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: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1686</v>
      </c>
      <c r="B9" s="64">
        <v>3.49</v>
      </c>
      <c r="C9" s="64">
        <v>7.4</v>
      </c>
      <c r="D9" s="64">
        <v>6.67</v>
      </c>
      <c r="E9" s="64">
        <v>4.8499999999999996</v>
      </c>
      <c r="F9" s="64">
        <v>4.0199999999999996</v>
      </c>
      <c r="G9" s="64">
        <v>36.14</v>
      </c>
      <c r="H9" s="64">
        <v>21.15</v>
      </c>
      <c r="I9" s="64">
        <v>3.03</v>
      </c>
      <c r="J9" s="64">
        <v>0.17</v>
      </c>
      <c r="K9" s="64">
        <v>93.68</v>
      </c>
      <c r="L9" s="64">
        <v>25.22</v>
      </c>
      <c r="M9" s="64">
        <v>94.84</v>
      </c>
      <c r="N9" s="64">
        <v>26</v>
      </c>
      <c r="O9" s="64">
        <v>0</v>
      </c>
      <c r="P9" s="64">
        <v>0.49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5" t="s">
        <v>1687</v>
      </c>
      <c r="B10" s="64">
        <v>3.9</v>
      </c>
      <c r="C10" s="64">
        <v>7.35</v>
      </c>
      <c r="D10" s="64">
        <v>6.97</v>
      </c>
      <c r="E10" s="64">
        <v>4.8099999999999996</v>
      </c>
      <c r="F10" s="64">
        <v>3.98</v>
      </c>
      <c r="G10" s="64">
        <v>36.14</v>
      </c>
      <c r="H10" s="64">
        <v>21.15</v>
      </c>
      <c r="I10" s="64">
        <v>3.05</v>
      </c>
      <c r="J10" s="64">
        <v>0.27</v>
      </c>
      <c r="K10" s="64">
        <v>142.82</v>
      </c>
      <c r="L10" s="64">
        <v>25.54</v>
      </c>
      <c r="M10" s="64">
        <v>90.27</v>
      </c>
      <c r="N10" s="64">
        <v>25.8</v>
      </c>
      <c r="O10" s="64">
        <v>0</v>
      </c>
      <c r="P10" s="64">
        <v>0.44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1688</v>
      </c>
      <c r="B11" s="64">
        <v>3.71</v>
      </c>
      <c r="C11" s="64">
        <v>6.86</v>
      </c>
      <c r="D11" s="64">
        <v>6.56</v>
      </c>
      <c r="E11" s="64">
        <v>4.68</v>
      </c>
      <c r="F11" s="64">
        <v>3.68</v>
      </c>
      <c r="G11" s="64">
        <v>35.119999999999997</v>
      </c>
      <c r="H11" s="64">
        <v>14.36</v>
      </c>
      <c r="I11" s="64">
        <v>2.79</v>
      </c>
      <c r="J11" s="64">
        <v>0.33</v>
      </c>
      <c r="K11" s="64">
        <v>144.86000000000001</v>
      </c>
      <c r="L11" s="64">
        <v>25.39</v>
      </c>
      <c r="M11" s="64">
        <v>91.89</v>
      </c>
      <c r="N11" s="64">
        <v>26</v>
      </c>
      <c r="O11" s="64">
        <v>0</v>
      </c>
      <c r="P11" s="64">
        <v>0.43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5" t="s">
        <v>1689</v>
      </c>
      <c r="B12" s="64">
        <v>3.44</v>
      </c>
      <c r="C12" s="64">
        <v>6.52</v>
      </c>
      <c r="D12" s="64">
        <v>6.16</v>
      </c>
      <c r="E12" s="64">
        <v>4.5599999999999996</v>
      </c>
      <c r="F12" s="64">
        <v>3.75</v>
      </c>
      <c r="G12" s="64">
        <v>34.69</v>
      </c>
      <c r="H12" s="64">
        <v>13.93</v>
      </c>
      <c r="I12" s="64">
        <v>2.64</v>
      </c>
      <c r="J12" s="64">
        <v>0.63</v>
      </c>
      <c r="K12" s="64">
        <v>178.05</v>
      </c>
      <c r="L12" s="64">
        <v>25.35</v>
      </c>
      <c r="M12" s="64">
        <v>92.95</v>
      </c>
      <c r="N12" s="64">
        <v>25.8</v>
      </c>
      <c r="O12" s="64">
        <v>0</v>
      </c>
      <c r="P12" s="64">
        <v>0.43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1690</v>
      </c>
      <c r="B13" s="64">
        <v>3.08</v>
      </c>
      <c r="C13" s="64">
        <v>5.94</v>
      </c>
      <c r="D13" s="64">
        <v>5.57</v>
      </c>
      <c r="E13" s="64">
        <v>4.49</v>
      </c>
      <c r="F13" s="64">
        <v>4.95</v>
      </c>
      <c r="G13" s="64">
        <v>34.69</v>
      </c>
      <c r="H13" s="64">
        <v>13.93</v>
      </c>
      <c r="I13" s="64">
        <v>3.46</v>
      </c>
      <c r="J13" s="64">
        <v>0.49</v>
      </c>
      <c r="K13" s="64">
        <v>175.36</v>
      </c>
      <c r="L13" s="64">
        <v>25.32</v>
      </c>
      <c r="M13" s="64">
        <v>92.95</v>
      </c>
      <c r="N13" s="64">
        <v>26</v>
      </c>
      <c r="O13" s="64">
        <v>0</v>
      </c>
      <c r="P13" s="64">
        <v>0.42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5" t="s">
        <v>1691</v>
      </c>
      <c r="B14" s="64">
        <v>2.79</v>
      </c>
      <c r="C14" s="64">
        <v>5.97</v>
      </c>
      <c r="D14" s="64">
        <v>5.35</v>
      </c>
      <c r="E14" s="64">
        <v>4.4800000000000004</v>
      </c>
      <c r="F14" s="64">
        <v>3.19</v>
      </c>
      <c r="G14" s="64">
        <v>34.69</v>
      </c>
      <c r="H14" s="64">
        <v>13.93</v>
      </c>
      <c r="I14" s="64">
        <v>3.3</v>
      </c>
      <c r="J14" s="64">
        <v>0.32</v>
      </c>
      <c r="K14" s="64">
        <v>208.95</v>
      </c>
      <c r="L14" s="64">
        <v>25.12</v>
      </c>
      <c r="M14" s="64">
        <v>94.45</v>
      </c>
      <c r="N14" s="64">
        <v>26.1</v>
      </c>
      <c r="O14" s="64">
        <v>0</v>
      </c>
      <c r="P14" s="64">
        <v>0.36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5" t="s">
        <v>1692</v>
      </c>
      <c r="B15" s="64">
        <v>2.58</v>
      </c>
      <c r="C15" s="64">
        <v>5.36</v>
      </c>
      <c r="D15" s="64">
        <v>4.87</v>
      </c>
      <c r="E15" s="64">
        <v>4.47</v>
      </c>
      <c r="F15" s="64">
        <v>4.5199999999999996</v>
      </c>
      <c r="G15" s="64">
        <v>35.14</v>
      </c>
      <c r="H15" s="64">
        <v>22.05</v>
      </c>
      <c r="I15" s="64">
        <v>3.69</v>
      </c>
      <c r="J15" s="64">
        <v>0.42</v>
      </c>
      <c r="K15" s="64">
        <v>185.52</v>
      </c>
      <c r="L15" s="64">
        <v>24.87</v>
      </c>
      <c r="M15" s="64">
        <v>96.71</v>
      </c>
      <c r="N15" s="64">
        <v>26.1</v>
      </c>
      <c r="O15" s="64">
        <v>0</v>
      </c>
      <c r="P15" s="64">
        <v>0.41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1693</v>
      </c>
      <c r="B16" s="64">
        <v>2.4</v>
      </c>
      <c r="C16" s="64">
        <v>5.54</v>
      </c>
      <c r="D16" s="64">
        <v>4.82</v>
      </c>
      <c r="E16" s="64">
        <v>4.6100000000000003</v>
      </c>
      <c r="F16" s="64">
        <v>3.09</v>
      </c>
      <c r="G16" s="64">
        <v>35.340000000000003</v>
      </c>
      <c r="H16" s="64">
        <v>22.7</v>
      </c>
      <c r="I16" s="64">
        <v>1.96</v>
      </c>
      <c r="J16" s="64">
        <v>0.52</v>
      </c>
      <c r="K16" s="64">
        <v>177.2</v>
      </c>
      <c r="L16" s="64">
        <v>24.77</v>
      </c>
      <c r="M16" s="64">
        <v>97.5</v>
      </c>
      <c r="N16" s="64">
        <v>26.1</v>
      </c>
      <c r="O16" s="64">
        <v>0</v>
      </c>
      <c r="P16" s="64">
        <v>0.38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1694</v>
      </c>
      <c r="B17" s="64">
        <v>2.2400000000000002</v>
      </c>
      <c r="C17" s="64">
        <v>4.92</v>
      </c>
      <c r="D17" s="64">
        <v>4.37</v>
      </c>
      <c r="E17" s="64">
        <v>4.47</v>
      </c>
      <c r="F17" s="64">
        <v>3.6</v>
      </c>
      <c r="G17" s="64">
        <v>35.340000000000003</v>
      </c>
      <c r="H17" s="64">
        <v>22.7</v>
      </c>
      <c r="I17" s="64">
        <v>2.8</v>
      </c>
      <c r="J17" s="64">
        <v>0.21</v>
      </c>
      <c r="K17" s="64">
        <v>263.05</v>
      </c>
      <c r="L17" s="64">
        <v>24.6</v>
      </c>
      <c r="M17" s="64">
        <v>99.21</v>
      </c>
      <c r="N17" s="64">
        <v>26.2</v>
      </c>
      <c r="O17" s="64">
        <v>0</v>
      </c>
      <c r="P17" s="64">
        <v>0.33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5" t="s">
        <v>1695</v>
      </c>
      <c r="B18" s="64">
        <v>2.25</v>
      </c>
      <c r="C18" s="64">
        <v>4.57</v>
      </c>
      <c r="D18" s="64">
        <v>4.1900000000000004</v>
      </c>
      <c r="E18" s="64">
        <v>3.91</v>
      </c>
      <c r="F18" s="64">
        <v>3.38</v>
      </c>
      <c r="G18" s="64">
        <v>35.340000000000003</v>
      </c>
      <c r="H18" s="64">
        <v>22.7</v>
      </c>
      <c r="I18" s="64">
        <v>1.99</v>
      </c>
      <c r="J18" s="64">
        <v>0.55000000000000004</v>
      </c>
      <c r="K18" s="64">
        <v>329.99</v>
      </c>
      <c r="L18" s="64">
        <v>24.38</v>
      </c>
      <c r="M18" s="64">
        <v>101.53</v>
      </c>
      <c r="N18" s="64">
        <v>26.3</v>
      </c>
      <c r="O18" s="64">
        <v>0</v>
      </c>
      <c r="P18" s="64">
        <v>0.35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5" t="s">
        <v>1696</v>
      </c>
      <c r="B19" s="64">
        <v>2.33</v>
      </c>
      <c r="C19" s="64">
        <v>4.4400000000000004</v>
      </c>
      <c r="D19" s="64">
        <v>4.1900000000000004</v>
      </c>
      <c r="E19" s="64">
        <v>4.34</v>
      </c>
      <c r="F19" s="64">
        <v>3.2</v>
      </c>
      <c r="G19" s="64">
        <v>31.44</v>
      </c>
      <c r="H19" s="64">
        <v>22.93</v>
      </c>
      <c r="I19" s="64">
        <v>1.05</v>
      </c>
      <c r="J19" s="64">
        <v>0.3</v>
      </c>
      <c r="K19" s="64">
        <v>295.83999999999997</v>
      </c>
      <c r="L19" s="64">
        <v>23.9</v>
      </c>
      <c r="M19" s="64">
        <v>102.7</v>
      </c>
      <c r="N19" s="64">
        <v>26.2</v>
      </c>
      <c r="O19" s="64">
        <v>0</v>
      </c>
      <c r="P19" s="64">
        <v>0.35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1697</v>
      </c>
      <c r="B20" s="64">
        <v>2.4</v>
      </c>
      <c r="C20" s="64">
        <v>4.3099999999999996</v>
      </c>
      <c r="D20" s="64">
        <v>4.17</v>
      </c>
      <c r="E20" s="64">
        <v>4.3</v>
      </c>
      <c r="F20" s="64">
        <v>3.69</v>
      </c>
      <c r="G20" s="64">
        <v>29.77</v>
      </c>
      <c r="H20" s="64">
        <v>22.96</v>
      </c>
      <c r="I20" s="64">
        <v>0.99</v>
      </c>
      <c r="J20" s="64">
        <v>0.39</v>
      </c>
      <c r="K20" s="64">
        <v>267.52999999999997</v>
      </c>
      <c r="L20" s="64">
        <v>23.85</v>
      </c>
      <c r="M20" s="64">
        <v>102.68</v>
      </c>
      <c r="N20" s="64">
        <v>26</v>
      </c>
      <c r="O20" s="64">
        <v>0</v>
      </c>
      <c r="P20" s="64">
        <v>0.33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1698</v>
      </c>
      <c r="B21" s="64">
        <v>2.4300000000000002</v>
      </c>
      <c r="C21" s="64">
        <v>4.2300000000000004</v>
      </c>
      <c r="D21" s="64">
        <v>4.16</v>
      </c>
      <c r="E21" s="64">
        <v>4.3899999999999997</v>
      </c>
      <c r="F21" s="64">
        <v>3.25</v>
      </c>
      <c r="G21" s="64">
        <v>29.77</v>
      </c>
      <c r="H21" s="64">
        <v>22.96</v>
      </c>
      <c r="I21" s="64">
        <v>0.76</v>
      </c>
      <c r="J21" s="64">
        <v>0.49</v>
      </c>
      <c r="K21" s="64">
        <v>307.38</v>
      </c>
      <c r="L21" s="64">
        <v>23.73</v>
      </c>
      <c r="M21" s="64">
        <v>102.7</v>
      </c>
      <c r="N21" s="64">
        <v>26.1</v>
      </c>
      <c r="O21" s="64">
        <v>0</v>
      </c>
      <c r="P21" s="64">
        <v>0.34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1699</v>
      </c>
      <c r="B22" s="64">
        <v>2.5</v>
      </c>
      <c r="C22" s="64">
        <v>4.12</v>
      </c>
      <c r="D22" s="64">
        <v>4.1500000000000004</v>
      </c>
      <c r="E22" s="64">
        <v>4.66</v>
      </c>
      <c r="F22" s="64">
        <v>3.75</v>
      </c>
      <c r="G22" s="64">
        <v>29.77</v>
      </c>
      <c r="H22" s="64">
        <v>22.96</v>
      </c>
      <c r="I22" s="64">
        <v>0.9</v>
      </c>
      <c r="J22" s="64">
        <v>0.14000000000000001</v>
      </c>
      <c r="K22" s="64">
        <v>89</v>
      </c>
      <c r="L22" s="64">
        <v>23.61</v>
      </c>
      <c r="M22" s="64">
        <v>102.7</v>
      </c>
      <c r="N22" s="64">
        <v>26.1</v>
      </c>
      <c r="O22" s="64">
        <v>0</v>
      </c>
      <c r="P22" s="64">
        <v>0.33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5" t="s">
        <v>1700</v>
      </c>
      <c r="B23" s="64">
        <v>2.56</v>
      </c>
      <c r="C23" s="64">
        <v>3.97</v>
      </c>
      <c r="D23" s="64">
        <v>4.13</v>
      </c>
      <c r="E23" s="64">
        <v>4.6500000000000004</v>
      </c>
      <c r="F23" s="64">
        <v>3.55</v>
      </c>
      <c r="G23" s="64">
        <v>27.61</v>
      </c>
      <c r="H23" s="64">
        <v>19.71</v>
      </c>
      <c r="I23" s="64">
        <v>1.01</v>
      </c>
      <c r="J23" s="64">
        <v>0.28999999999999998</v>
      </c>
      <c r="K23" s="64">
        <v>82.55</v>
      </c>
      <c r="L23" s="64">
        <v>23.75</v>
      </c>
      <c r="M23" s="64">
        <v>102.63</v>
      </c>
      <c r="N23" s="64">
        <v>25.9</v>
      </c>
      <c r="O23" s="64">
        <v>0</v>
      </c>
      <c r="P23" s="64">
        <v>0.33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1701</v>
      </c>
      <c r="B24" s="64">
        <v>2.57</v>
      </c>
      <c r="C24" s="64">
        <v>4.0999999999999996</v>
      </c>
      <c r="D24" s="64">
        <v>4.2</v>
      </c>
      <c r="E24" s="64">
        <v>4.25</v>
      </c>
      <c r="F24" s="64">
        <v>4.1399999999999997</v>
      </c>
      <c r="G24" s="64">
        <v>26.69</v>
      </c>
      <c r="H24" s="64">
        <v>19.440000000000001</v>
      </c>
      <c r="I24" s="64">
        <v>0.96</v>
      </c>
      <c r="J24" s="64">
        <v>0.34</v>
      </c>
      <c r="K24" s="64">
        <v>143.12</v>
      </c>
      <c r="L24" s="64">
        <v>23.9</v>
      </c>
      <c r="M24" s="64">
        <v>101.69</v>
      </c>
      <c r="N24" s="64">
        <v>25.9</v>
      </c>
      <c r="O24" s="64">
        <v>0</v>
      </c>
      <c r="P24" s="64">
        <v>0.39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1702</v>
      </c>
      <c r="B25" s="64">
        <v>2.52</v>
      </c>
      <c r="C25" s="64">
        <v>4.3499999999999996</v>
      </c>
      <c r="D25" s="64">
        <v>4.3</v>
      </c>
      <c r="E25" s="64">
        <v>3.93</v>
      </c>
      <c r="F25" s="64">
        <v>3.55</v>
      </c>
      <c r="G25" s="64">
        <v>26.69</v>
      </c>
      <c r="H25" s="64">
        <v>19.440000000000001</v>
      </c>
      <c r="I25" s="64">
        <v>0.96</v>
      </c>
      <c r="J25" s="64">
        <v>0.41</v>
      </c>
      <c r="K25" s="64">
        <v>326.32</v>
      </c>
      <c r="L25" s="64">
        <v>23.96</v>
      </c>
      <c r="M25" s="64">
        <v>101.97</v>
      </c>
      <c r="N25" s="64">
        <v>26.1</v>
      </c>
      <c r="O25" s="64">
        <v>0</v>
      </c>
      <c r="P25" s="64">
        <v>0.37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1703</v>
      </c>
      <c r="B26" s="64">
        <v>2.8</v>
      </c>
      <c r="C26" s="64">
        <v>4.5199999999999996</v>
      </c>
      <c r="D26" s="64">
        <v>4.6100000000000003</v>
      </c>
      <c r="E26" s="64">
        <v>4.38</v>
      </c>
      <c r="F26" s="64">
        <v>3.53</v>
      </c>
      <c r="G26" s="64">
        <v>26.69</v>
      </c>
      <c r="H26" s="64">
        <v>19.440000000000001</v>
      </c>
      <c r="I26" s="64">
        <v>3</v>
      </c>
      <c r="J26" s="64">
        <v>0.46</v>
      </c>
      <c r="K26" s="64">
        <v>84</v>
      </c>
      <c r="L26" s="64">
        <v>23.97</v>
      </c>
      <c r="M26" s="64">
        <v>102.51</v>
      </c>
      <c r="N26" s="64">
        <v>26.1</v>
      </c>
      <c r="O26" s="64">
        <v>0</v>
      </c>
      <c r="P26" s="64">
        <v>0.4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1704</v>
      </c>
      <c r="B27" s="64">
        <v>3.37</v>
      </c>
      <c r="C27" s="64">
        <v>4.63</v>
      </c>
      <c r="D27" s="64">
        <v>5.12</v>
      </c>
      <c r="E27" s="64">
        <v>4.22</v>
      </c>
      <c r="F27" s="64">
        <v>3.34</v>
      </c>
      <c r="G27" s="64">
        <v>26.96</v>
      </c>
      <c r="H27" s="64">
        <v>16.579999999999998</v>
      </c>
      <c r="I27" s="64">
        <v>3.21</v>
      </c>
      <c r="J27" s="64">
        <v>0.03</v>
      </c>
      <c r="K27" s="64">
        <v>168.74</v>
      </c>
      <c r="L27" s="64">
        <v>23.87</v>
      </c>
      <c r="M27" s="64">
        <v>102.68</v>
      </c>
      <c r="N27" s="64">
        <v>26.1</v>
      </c>
      <c r="O27" s="64">
        <v>0</v>
      </c>
      <c r="P27" s="64">
        <v>0.39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1705</v>
      </c>
      <c r="B28" s="64">
        <v>3.69</v>
      </c>
      <c r="C28" s="64">
        <v>5.16</v>
      </c>
      <c r="D28" s="64">
        <v>5.65</v>
      </c>
      <c r="E28" s="64">
        <v>4.22</v>
      </c>
      <c r="F28" s="64">
        <v>2.67</v>
      </c>
      <c r="G28" s="64">
        <v>27.08</v>
      </c>
      <c r="H28" s="64">
        <v>16.350000000000001</v>
      </c>
      <c r="I28" s="64">
        <v>1.79</v>
      </c>
      <c r="J28" s="64">
        <v>0.22</v>
      </c>
      <c r="K28" s="64">
        <v>29</v>
      </c>
      <c r="L28" s="64">
        <v>23.76</v>
      </c>
      <c r="M28" s="64">
        <v>102.7</v>
      </c>
      <c r="N28" s="64">
        <v>26.1</v>
      </c>
      <c r="O28" s="64">
        <v>0</v>
      </c>
      <c r="P28" s="64">
        <v>0.43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5" t="s">
        <v>1706</v>
      </c>
      <c r="B29" s="64">
        <v>4.38</v>
      </c>
      <c r="C29" s="64">
        <v>5.36</v>
      </c>
      <c r="D29" s="64">
        <v>6.31</v>
      </c>
      <c r="E29" s="64">
        <v>4.07</v>
      </c>
      <c r="F29" s="64">
        <v>3.44</v>
      </c>
      <c r="G29" s="64">
        <v>27.08</v>
      </c>
      <c r="H29" s="64">
        <v>16.350000000000001</v>
      </c>
      <c r="I29" s="64">
        <v>2.99</v>
      </c>
      <c r="J29" s="64">
        <v>1.1100000000000001</v>
      </c>
      <c r="K29" s="64">
        <v>344.5</v>
      </c>
      <c r="L29" s="64">
        <v>23.8</v>
      </c>
      <c r="M29" s="64">
        <v>102.7</v>
      </c>
      <c r="N29" s="64">
        <v>25.5</v>
      </c>
      <c r="O29" s="64">
        <v>0</v>
      </c>
      <c r="P29" s="64">
        <v>0.42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5" t="s">
        <v>1707</v>
      </c>
      <c r="B30" s="64">
        <v>4.93</v>
      </c>
      <c r="C30" s="64">
        <v>5.5</v>
      </c>
      <c r="D30" s="64">
        <v>6.82</v>
      </c>
      <c r="E30" s="64">
        <v>4.1500000000000004</v>
      </c>
      <c r="F30" s="64">
        <v>3.21</v>
      </c>
      <c r="G30" s="64">
        <v>27.08</v>
      </c>
      <c r="H30" s="64">
        <v>16.350000000000001</v>
      </c>
      <c r="I30" s="64">
        <v>2.87</v>
      </c>
      <c r="J30" s="64">
        <v>0.91</v>
      </c>
      <c r="K30" s="64">
        <v>337.24</v>
      </c>
      <c r="L30" s="64">
        <v>23.91</v>
      </c>
      <c r="M30" s="64">
        <v>102.7</v>
      </c>
      <c r="N30" s="64">
        <v>25.9</v>
      </c>
      <c r="O30" s="64">
        <v>0</v>
      </c>
      <c r="P30" s="64">
        <v>0.43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5" t="s">
        <v>1708</v>
      </c>
      <c r="B31" s="64">
        <v>5.4</v>
      </c>
      <c r="C31" s="64">
        <v>5.71</v>
      </c>
      <c r="D31" s="64">
        <v>7.31</v>
      </c>
      <c r="E31" s="64">
        <v>4.08</v>
      </c>
      <c r="F31" s="64">
        <v>2.6</v>
      </c>
      <c r="G31" s="64">
        <v>31.35</v>
      </c>
      <c r="H31" s="64">
        <v>20.239999999999998</v>
      </c>
      <c r="I31" s="64">
        <v>3.28</v>
      </c>
      <c r="J31" s="64">
        <v>0.13</v>
      </c>
      <c r="K31" s="64">
        <v>48.06</v>
      </c>
      <c r="L31" s="64">
        <v>23.73</v>
      </c>
      <c r="M31" s="64">
        <v>102.7</v>
      </c>
      <c r="N31" s="64">
        <v>26.1</v>
      </c>
      <c r="O31" s="64">
        <v>0</v>
      </c>
      <c r="P31" s="64">
        <v>0.44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15" t="s">
        <v>1709</v>
      </c>
      <c r="B32" s="64">
        <v>5.8</v>
      </c>
      <c r="C32" s="64">
        <v>5.59</v>
      </c>
      <c r="D32" s="64">
        <v>7.57</v>
      </c>
      <c r="E32" s="64">
        <v>4.25</v>
      </c>
      <c r="F32" s="64">
        <v>3.67</v>
      </c>
      <c r="G32" s="64">
        <v>33.19</v>
      </c>
      <c r="H32" s="64">
        <v>20.56</v>
      </c>
      <c r="I32" s="64">
        <v>3.79</v>
      </c>
      <c r="J32" s="64">
        <v>0.34</v>
      </c>
      <c r="K32" s="64">
        <v>103.63</v>
      </c>
      <c r="L32" s="64">
        <v>23.58</v>
      </c>
      <c r="M32" s="64">
        <v>102.7</v>
      </c>
      <c r="N32" s="64">
        <v>27.5</v>
      </c>
      <c r="O32" s="64">
        <v>0</v>
      </c>
      <c r="P32" s="64">
        <v>0.42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5" t="s">
        <v>1710</v>
      </c>
      <c r="B33" s="64">
        <v>5.92</v>
      </c>
      <c r="C33" s="64">
        <v>5.59</v>
      </c>
      <c r="D33" s="64">
        <v>7.67</v>
      </c>
      <c r="E33" s="64">
        <v>4.51</v>
      </c>
      <c r="F33" s="64">
        <v>2.98</v>
      </c>
      <c r="G33" s="64">
        <v>33.19</v>
      </c>
      <c r="H33" s="64">
        <v>20.56</v>
      </c>
      <c r="I33" s="64">
        <v>3.21</v>
      </c>
      <c r="J33" s="64">
        <v>0.12</v>
      </c>
      <c r="K33" s="64">
        <v>131.02000000000001</v>
      </c>
      <c r="L33" s="64">
        <v>23.57</v>
      </c>
      <c r="M33" s="64">
        <v>102.72</v>
      </c>
      <c r="N33" s="64">
        <v>33.6</v>
      </c>
      <c r="O33" s="64">
        <v>0</v>
      </c>
      <c r="P33" s="64">
        <v>0.42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1711</v>
      </c>
      <c r="B34" s="64">
        <v>6.23</v>
      </c>
      <c r="C34" s="64">
        <v>5.1100000000000003</v>
      </c>
      <c r="D34" s="64">
        <v>7.67</v>
      </c>
      <c r="E34" s="64">
        <v>4.33</v>
      </c>
      <c r="F34" s="64">
        <v>3.62</v>
      </c>
      <c r="G34" s="64">
        <v>33.19</v>
      </c>
      <c r="H34" s="64">
        <v>20.56</v>
      </c>
      <c r="I34" s="64">
        <v>3.19</v>
      </c>
      <c r="J34" s="64">
        <v>0.13</v>
      </c>
      <c r="K34" s="64">
        <v>23.96</v>
      </c>
      <c r="L34" s="64">
        <v>23.66</v>
      </c>
      <c r="M34" s="64">
        <v>102.7</v>
      </c>
      <c r="N34" s="64">
        <v>47.2</v>
      </c>
      <c r="O34" s="64">
        <v>0</v>
      </c>
      <c r="P34" s="64">
        <v>0.44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1712</v>
      </c>
      <c r="B35" s="64">
        <v>6.47</v>
      </c>
      <c r="C35" s="64">
        <v>5.0199999999999996</v>
      </c>
      <c r="D35" s="64">
        <v>7.81</v>
      </c>
      <c r="E35" s="64">
        <v>4.13</v>
      </c>
      <c r="F35" s="64">
        <v>3.8</v>
      </c>
      <c r="G35" s="64">
        <v>32.58</v>
      </c>
      <c r="H35" s="64">
        <v>16.78</v>
      </c>
      <c r="I35" s="64">
        <v>2.27</v>
      </c>
      <c r="J35" s="64">
        <v>0.43</v>
      </c>
      <c r="K35" s="64">
        <v>111.23</v>
      </c>
      <c r="L35" s="64">
        <v>23.89</v>
      </c>
      <c r="M35" s="64">
        <v>102.7</v>
      </c>
      <c r="N35" s="64">
        <v>70.7</v>
      </c>
      <c r="O35" s="64">
        <v>0</v>
      </c>
      <c r="P35" s="64">
        <v>0.46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1713</v>
      </c>
      <c r="B36" s="64">
        <v>6.7</v>
      </c>
      <c r="C36" s="64">
        <v>5.04</v>
      </c>
      <c r="D36" s="64">
        <v>8.01</v>
      </c>
      <c r="E36" s="64">
        <v>3.83</v>
      </c>
      <c r="F36" s="64">
        <v>3.31</v>
      </c>
      <c r="G36" s="64">
        <v>32.299999999999997</v>
      </c>
      <c r="H36" s="64">
        <v>16.29</v>
      </c>
      <c r="I36" s="64">
        <v>2.1800000000000002</v>
      </c>
      <c r="J36" s="64">
        <v>0.25</v>
      </c>
      <c r="K36" s="64">
        <v>112.64</v>
      </c>
      <c r="L36" s="64">
        <v>24.42</v>
      </c>
      <c r="M36" s="64">
        <v>102.56</v>
      </c>
      <c r="N36" s="64">
        <v>108.6</v>
      </c>
      <c r="O36" s="64">
        <v>0</v>
      </c>
      <c r="P36" s="64">
        <v>0.47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1714</v>
      </c>
      <c r="B37" s="64">
        <v>6.94</v>
      </c>
      <c r="C37" s="64">
        <v>5.05</v>
      </c>
      <c r="D37" s="64">
        <v>8.1999999999999993</v>
      </c>
      <c r="E37" s="64">
        <v>4.21</v>
      </c>
      <c r="F37" s="64">
        <v>3.33</v>
      </c>
      <c r="G37" s="64">
        <v>32.299999999999997</v>
      </c>
      <c r="H37" s="64">
        <v>16.29</v>
      </c>
      <c r="I37" s="64">
        <v>2.12</v>
      </c>
      <c r="J37" s="64">
        <v>0.22</v>
      </c>
      <c r="K37" s="64">
        <v>345.48</v>
      </c>
      <c r="L37" s="64">
        <v>25.37</v>
      </c>
      <c r="M37" s="64">
        <v>99.17</v>
      </c>
      <c r="N37" s="64">
        <v>152.69999999999999</v>
      </c>
      <c r="O37" s="64">
        <v>0</v>
      </c>
      <c r="P37" s="64">
        <v>0.5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1715</v>
      </c>
      <c r="B38" s="64">
        <v>7.27</v>
      </c>
      <c r="C38" s="64">
        <v>5.23</v>
      </c>
      <c r="D38" s="64">
        <v>8.57</v>
      </c>
      <c r="E38" s="64">
        <v>4.32</v>
      </c>
      <c r="F38" s="64">
        <v>3.5</v>
      </c>
      <c r="G38" s="64">
        <v>32.299999999999997</v>
      </c>
      <c r="H38" s="64">
        <v>16.29</v>
      </c>
      <c r="I38" s="64">
        <v>2.2799999999999998</v>
      </c>
      <c r="J38" s="64">
        <v>0.2</v>
      </c>
      <c r="K38" s="64">
        <v>90.3</v>
      </c>
      <c r="L38" s="64">
        <v>26.34</v>
      </c>
      <c r="M38" s="64">
        <v>94.16</v>
      </c>
      <c r="N38" s="64">
        <v>201.5</v>
      </c>
      <c r="O38" s="64">
        <v>0</v>
      </c>
      <c r="P38" s="64">
        <v>0.52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1716</v>
      </c>
      <c r="B39" s="64">
        <v>7.55</v>
      </c>
      <c r="C39" s="64">
        <v>5.24</v>
      </c>
      <c r="D39" s="64">
        <v>8.7899999999999991</v>
      </c>
      <c r="E39" s="64">
        <v>4.4000000000000004</v>
      </c>
      <c r="F39" s="64">
        <v>3.52</v>
      </c>
      <c r="G39" s="64">
        <v>36.83</v>
      </c>
      <c r="H39" s="64">
        <v>21.98</v>
      </c>
      <c r="I39" s="64">
        <v>2.59</v>
      </c>
      <c r="J39" s="64">
        <v>0.99</v>
      </c>
      <c r="K39" s="64">
        <v>115.96</v>
      </c>
      <c r="L39" s="64">
        <v>26.38</v>
      </c>
      <c r="M39" s="64">
        <v>93.37</v>
      </c>
      <c r="N39" s="64">
        <v>251.5</v>
      </c>
      <c r="O39" s="64">
        <v>0</v>
      </c>
      <c r="P39" s="64">
        <v>0.48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5" t="s">
        <v>1717</v>
      </c>
      <c r="B40" s="64">
        <v>7.43</v>
      </c>
      <c r="C40" s="64">
        <v>5.32</v>
      </c>
      <c r="D40" s="64">
        <v>8.74</v>
      </c>
      <c r="E40" s="64">
        <v>5.01</v>
      </c>
      <c r="F40" s="64">
        <v>3.64</v>
      </c>
      <c r="G40" s="64">
        <v>38.78</v>
      </c>
      <c r="H40" s="64">
        <v>22.44</v>
      </c>
      <c r="I40" s="64">
        <v>3.09</v>
      </c>
      <c r="J40" s="64">
        <v>1.25</v>
      </c>
      <c r="K40" s="64">
        <v>112.85</v>
      </c>
      <c r="L40" s="64">
        <v>26.59</v>
      </c>
      <c r="M40" s="64">
        <v>90.87</v>
      </c>
      <c r="N40" s="64">
        <v>304.60000000000002</v>
      </c>
      <c r="O40" s="64">
        <v>0</v>
      </c>
      <c r="P40" s="64">
        <v>0.44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1718</v>
      </c>
      <c r="B41" s="64">
        <v>7.03</v>
      </c>
      <c r="C41" s="64">
        <v>5.7</v>
      </c>
      <c r="D41" s="64">
        <v>8.6199999999999992</v>
      </c>
      <c r="E41" s="64">
        <v>5.03</v>
      </c>
      <c r="F41" s="64">
        <v>4.58</v>
      </c>
      <c r="G41" s="64">
        <v>38.78</v>
      </c>
      <c r="H41" s="64">
        <v>22.44</v>
      </c>
      <c r="I41" s="64">
        <v>3.26</v>
      </c>
      <c r="J41" s="64">
        <v>1.55</v>
      </c>
      <c r="K41" s="64">
        <v>115.11</v>
      </c>
      <c r="L41" s="64">
        <v>26.57</v>
      </c>
      <c r="M41" s="64">
        <v>90.53</v>
      </c>
      <c r="N41" s="64">
        <v>345.9</v>
      </c>
      <c r="O41" s="64">
        <v>0</v>
      </c>
      <c r="P41" s="64">
        <v>0.45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1719</v>
      </c>
      <c r="B42" s="64">
        <v>6.37</v>
      </c>
      <c r="C42" s="64">
        <v>6</v>
      </c>
      <c r="D42" s="64">
        <v>8.24</v>
      </c>
      <c r="E42" s="64">
        <v>5.03</v>
      </c>
      <c r="F42" s="64">
        <v>3.8</v>
      </c>
      <c r="G42" s="64">
        <v>38.78</v>
      </c>
      <c r="H42" s="64">
        <v>22.44</v>
      </c>
      <c r="I42" s="64">
        <v>4.2</v>
      </c>
      <c r="J42" s="64">
        <v>1.1100000000000001</v>
      </c>
      <c r="K42" s="64">
        <v>111.12</v>
      </c>
      <c r="L42" s="64">
        <v>27.08</v>
      </c>
      <c r="M42" s="64">
        <v>87.59</v>
      </c>
      <c r="N42" s="64">
        <v>391.1</v>
      </c>
      <c r="O42" s="64">
        <v>0</v>
      </c>
      <c r="P42" s="64">
        <v>0.44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1720</v>
      </c>
      <c r="B43" s="64">
        <v>5.76</v>
      </c>
      <c r="C43" s="64">
        <v>6.28</v>
      </c>
      <c r="D43" s="64">
        <v>7.9</v>
      </c>
      <c r="E43" s="64">
        <v>5.19</v>
      </c>
      <c r="F43" s="64">
        <v>3.68</v>
      </c>
      <c r="G43" s="64">
        <v>38.130000000000003</v>
      </c>
      <c r="H43" s="64">
        <v>21.9</v>
      </c>
      <c r="I43" s="64">
        <v>5.44</v>
      </c>
      <c r="J43" s="64">
        <v>0.56000000000000005</v>
      </c>
      <c r="K43" s="64">
        <v>121.41</v>
      </c>
      <c r="L43" s="64">
        <v>28.02</v>
      </c>
      <c r="M43" s="64">
        <v>83.9</v>
      </c>
      <c r="N43" s="64">
        <v>437.8</v>
      </c>
      <c r="O43" s="64">
        <v>0</v>
      </c>
      <c r="P43" s="64">
        <v>0.44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1721</v>
      </c>
      <c r="B44" s="64">
        <v>5.13</v>
      </c>
      <c r="C44" s="64">
        <v>6.23</v>
      </c>
      <c r="D44" s="64">
        <v>7.37</v>
      </c>
      <c r="E44" s="64">
        <v>4.8899999999999997</v>
      </c>
      <c r="F44" s="64">
        <v>4.7699999999999996</v>
      </c>
      <c r="G44" s="64">
        <v>37.86</v>
      </c>
      <c r="H44" s="64">
        <v>21.86</v>
      </c>
      <c r="I44" s="64">
        <v>5.8</v>
      </c>
      <c r="J44" s="64">
        <v>1.18</v>
      </c>
      <c r="K44" s="64">
        <v>108.65</v>
      </c>
      <c r="L44" s="64">
        <v>27.84</v>
      </c>
      <c r="M44" s="64">
        <v>84.78</v>
      </c>
      <c r="N44" s="64">
        <v>475.2</v>
      </c>
      <c r="O44" s="64">
        <v>0</v>
      </c>
      <c r="P44" s="64">
        <v>0.44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5" t="s">
        <v>1722</v>
      </c>
      <c r="B45" s="64">
        <v>4.38</v>
      </c>
      <c r="C45" s="64">
        <v>6.32</v>
      </c>
      <c r="D45" s="64">
        <v>6.81</v>
      </c>
      <c r="E45" s="64">
        <v>5.27</v>
      </c>
      <c r="F45" s="64">
        <v>3.48</v>
      </c>
      <c r="G45" s="64">
        <v>37.86</v>
      </c>
      <c r="H45" s="64">
        <v>21.86</v>
      </c>
      <c r="I45" s="64">
        <v>5.12</v>
      </c>
      <c r="J45" s="64">
        <v>0.97</v>
      </c>
      <c r="K45" s="64">
        <v>128.08000000000001</v>
      </c>
      <c r="L45" s="64">
        <v>28.02</v>
      </c>
      <c r="M45" s="64">
        <v>83.43</v>
      </c>
      <c r="N45" s="64">
        <v>400.7</v>
      </c>
      <c r="O45" s="64">
        <v>0</v>
      </c>
      <c r="P45" s="64">
        <v>0.42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1723</v>
      </c>
      <c r="B46" s="64">
        <v>3.61</v>
      </c>
      <c r="C46" s="64">
        <v>6.42</v>
      </c>
      <c r="D46" s="64">
        <v>6.25</v>
      </c>
      <c r="E46" s="64">
        <v>5.1100000000000003</v>
      </c>
      <c r="F46" s="64">
        <v>4.2300000000000004</v>
      </c>
      <c r="G46" s="64">
        <v>37.86</v>
      </c>
      <c r="H46" s="64">
        <v>21.86</v>
      </c>
      <c r="I46" s="64">
        <v>5.17</v>
      </c>
      <c r="J46" s="64">
        <v>0.85</v>
      </c>
      <c r="K46" s="64">
        <v>135.84</v>
      </c>
      <c r="L46" s="64">
        <v>28.37</v>
      </c>
      <c r="M46" s="64">
        <v>82.41</v>
      </c>
      <c r="N46" s="64">
        <v>528.5</v>
      </c>
      <c r="O46" s="64">
        <v>0</v>
      </c>
      <c r="P46" s="64">
        <v>0.43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1724</v>
      </c>
      <c r="B47" s="64">
        <v>2.96</v>
      </c>
      <c r="C47" s="64">
        <v>6.65</v>
      </c>
      <c r="D47" s="64">
        <v>5.85</v>
      </c>
      <c r="E47" s="64">
        <v>5.0199999999999996</v>
      </c>
      <c r="F47" s="64">
        <v>3.34</v>
      </c>
      <c r="G47" s="64">
        <v>37.590000000000003</v>
      </c>
      <c r="H47" s="64">
        <v>21.43</v>
      </c>
      <c r="I47" s="64">
        <v>5.32</v>
      </c>
      <c r="J47" s="64">
        <v>1.1499999999999999</v>
      </c>
      <c r="K47" s="64">
        <v>113.05</v>
      </c>
      <c r="L47" s="64">
        <v>28.41</v>
      </c>
      <c r="M47" s="64">
        <v>82.4</v>
      </c>
      <c r="N47" s="64">
        <v>489.5</v>
      </c>
      <c r="O47" s="64">
        <v>0</v>
      </c>
      <c r="P47" s="64">
        <v>0.41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5" t="s">
        <v>1725</v>
      </c>
      <c r="B48" s="64">
        <v>2.35</v>
      </c>
      <c r="C48" s="64">
        <v>6.51</v>
      </c>
      <c r="D48" s="64">
        <v>5.29</v>
      </c>
      <c r="E48" s="64">
        <v>5.14</v>
      </c>
      <c r="F48" s="64">
        <v>4.32</v>
      </c>
      <c r="G48" s="64">
        <v>37.479999999999997</v>
      </c>
      <c r="H48" s="64">
        <v>21.4</v>
      </c>
      <c r="I48" s="64">
        <v>5.37</v>
      </c>
      <c r="J48" s="64">
        <v>0.91</v>
      </c>
      <c r="K48" s="64">
        <v>127.61</v>
      </c>
      <c r="L48" s="64">
        <v>28.38</v>
      </c>
      <c r="M48" s="64">
        <v>81.569999999999993</v>
      </c>
      <c r="N48" s="64">
        <v>379.1</v>
      </c>
      <c r="O48" s="64">
        <v>0</v>
      </c>
      <c r="P48" s="64">
        <v>0.42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1726</v>
      </c>
      <c r="B49" s="64">
        <v>1.82</v>
      </c>
      <c r="C49" s="64">
        <v>6.46</v>
      </c>
      <c r="D49" s="64">
        <v>4.84</v>
      </c>
      <c r="E49" s="64">
        <v>4.99</v>
      </c>
      <c r="F49" s="64">
        <v>3.44</v>
      </c>
      <c r="G49" s="64">
        <v>37.479999999999997</v>
      </c>
      <c r="H49" s="64">
        <v>21.4</v>
      </c>
      <c r="I49" s="64">
        <v>5.74</v>
      </c>
      <c r="J49" s="64">
        <v>1.17</v>
      </c>
      <c r="K49" s="64">
        <v>132.94</v>
      </c>
      <c r="L49" s="64">
        <v>28.31</v>
      </c>
      <c r="M49" s="64">
        <v>78.95</v>
      </c>
      <c r="N49" s="64">
        <v>391</v>
      </c>
      <c r="O49" s="64">
        <v>0</v>
      </c>
      <c r="P49" s="64">
        <v>0.4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5" t="s">
        <v>1727</v>
      </c>
      <c r="B50" s="64">
        <v>1.5</v>
      </c>
      <c r="C50" s="64">
        <v>6.23</v>
      </c>
      <c r="D50" s="64">
        <v>4.46</v>
      </c>
      <c r="E50" s="64">
        <v>4.97</v>
      </c>
      <c r="F50" s="64">
        <v>4.28</v>
      </c>
      <c r="G50" s="64">
        <v>37.479999999999997</v>
      </c>
      <c r="H50" s="64">
        <v>21.4</v>
      </c>
      <c r="I50" s="64">
        <v>6.09</v>
      </c>
      <c r="J50" s="64">
        <v>1.1000000000000001</v>
      </c>
      <c r="K50" s="64">
        <v>122.33</v>
      </c>
      <c r="L50" s="64">
        <v>28.23</v>
      </c>
      <c r="M50" s="64">
        <v>77.28</v>
      </c>
      <c r="N50" s="64">
        <v>304.89999999999998</v>
      </c>
      <c r="O50" s="64">
        <v>0</v>
      </c>
      <c r="P50" s="64">
        <v>0.36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1728</v>
      </c>
      <c r="B51" s="64">
        <v>1.08</v>
      </c>
      <c r="C51" s="64">
        <v>6.56</v>
      </c>
      <c r="D51" s="64">
        <v>4.29</v>
      </c>
      <c r="E51" s="64">
        <v>4.88</v>
      </c>
      <c r="F51" s="64">
        <v>7.16</v>
      </c>
      <c r="G51" s="210" t="s">
        <v>40</v>
      </c>
      <c r="H51" s="210" t="s">
        <v>40</v>
      </c>
      <c r="I51" s="64">
        <v>4.8899999999999997</v>
      </c>
      <c r="J51" s="64">
        <v>1.1399999999999999</v>
      </c>
      <c r="K51" s="64">
        <v>105.62</v>
      </c>
      <c r="L51" s="64">
        <v>1.07</v>
      </c>
      <c r="M51" s="64">
        <v>74.45</v>
      </c>
      <c r="N51" s="64">
        <v>497.4</v>
      </c>
      <c r="O51" s="64">
        <v>0</v>
      </c>
      <c r="P51" s="64">
        <v>0.34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5" t="s">
        <v>1729</v>
      </c>
      <c r="B52" s="64">
        <v>0.56000000000000005</v>
      </c>
      <c r="C52" s="64">
        <v>6.96</v>
      </c>
      <c r="D52" s="64">
        <v>4.09</v>
      </c>
      <c r="E52" s="64">
        <v>4.8600000000000003</v>
      </c>
      <c r="F52" s="64">
        <v>5.26</v>
      </c>
      <c r="G52" s="210" t="s">
        <v>40</v>
      </c>
      <c r="H52" s="210" t="s">
        <v>40</v>
      </c>
      <c r="I52" s="64">
        <v>2.58</v>
      </c>
      <c r="J52" s="64">
        <v>0.87</v>
      </c>
      <c r="K52" s="64">
        <v>119.23</v>
      </c>
      <c r="L52" s="64">
        <v>29.72</v>
      </c>
      <c r="M52" s="64">
        <v>71.489999999999995</v>
      </c>
      <c r="N52" s="64">
        <v>665.4</v>
      </c>
      <c r="O52" s="64">
        <v>0</v>
      </c>
      <c r="P52" s="64">
        <v>0.35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1730</v>
      </c>
      <c r="B53" s="64">
        <v>0.67</v>
      </c>
      <c r="C53" s="64">
        <v>6.58</v>
      </c>
      <c r="D53" s="64">
        <v>3.97</v>
      </c>
      <c r="E53" s="64">
        <v>5.15</v>
      </c>
      <c r="F53" s="64">
        <v>4.45</v>
      </c>
      <c r="G53" s="210" t="s">
        <v>40</v>
      </c>
      <c r="H53" s="210" t="s">
        <v>40</v>
      </c>
      <c r="I53" s="64">
        <v>2.98</v>
      </c>
      <c r="J53" s="64">
        <v>1.05</v>
      </c>
      <c r="K53" s="64">
        <v>145.59</v>
      </c>
      <c r="L53" s="64">
        <v>30.06</v>
      </c>
      <c r="M53" s="64">
        <v>70.27</v>
      </c>
      <c r="N53" s="64">
        <v>624.9</v>
      </c>
      <c r="O53" s="64">
        <v>0</v>
      </c>
      <c r="P53" s="64">
        <v>0.35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1731</v>
      </c>
      <c r="B54" s="64">
        <v>0.89</v>
      </c>
      <c r="C54" s="64">
        <v>6.17</v>
      </c>
      <c r="D54" s="64">
        <v>3.94</v>
      </c>
      <c r="E54" s="64">
        <v>5.12</v>
      </c>
      <c r="F54" s="64">
        <v>4.7</v>
      </c>
      <c r="G54" s="64">
        <v>25.02</v>
      </c>
      <c r="H54" s="64">
        <v>15.57</v>
      </c>
      <c r="I54" s="64">
        <v>3.79</v>
      </c>
      <c r="J54" s="64">
        <v>0.99</v>
      </c>
      <c r="K54" s="64">
        <v>163.85</v>
      </c>
      <c r="L54" s="64">
        <v>30.56</v>
      </c>
      <c r="M54" s="64">
        <v>67.12</v>
      </c>
      <c r="N54" s="64">
        <v>707.3</v>
      </c>
      <c r="O54" s="64">
        <v>0</v>
      </c>
      <c r="P54" s="64">
        <v>0.35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5" t="s">
        <v>1732</v>
      </c>
      <c r="B55" s="64">
        <v>0.87</v>
      </c>
      <c r="C55" s="64">
        <v>6.56</v>
      </c>
      <c r="D55" s="64">
        <v>4.13</v>
      </c>
      <c r="E55" s="64">
        <v>5.08</v>
      </c>
      <c r="F55" s="64">
        <v>7.49</v>
      </c>
      <c r="G55" s="64">
        <v>19.54</v>
      </c>
      <c r="H55" s="64">
        <v>16.98</v>
      </c>
      <c r="I55" s="64">
        <v>3.96</v>
      </c>
      <c r="J55" s="64">
        <v>0.88</v>
      </c>
      <c r="K55" s="64">
        <v>114.01</v>
      </c>
      <c r="L55" s="64">
        <v>30.66</v>
      </c>
      <c r="M55" s="64">
        <v>65.010000000000005</v>
      </c>
      <c r="N55" s="64">
        <v>400</v>
      </c>
      <c r="O55" s="64">
        <v>0</v>
      </c>
      <c r="P55" s="64">
        <v>0.37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5" t="s">
        <v>1733</v>
      </c>
      <c r="B56" s="64">
        <v>0.71</v>
      </c>
      <c r="C56" s="64">
        <v>7.48</v>
      </c>
      <c r="D56" s="64">
        <v>4.47</v>
      </c>
      <c r="E56" s="64">
        <v>6.37</v>
      </c>
      <c r="F56" s="64">
        <v>5.39</v>
      </c>
      <c r="G56" s="64">
        <v>17.2</v>
      </c>
      <c r="H56" s="64">
        <v>17.09</v>
      </c>
      <c r="I56" s="64">
        <v>3.14</v>
      </c>
      <c r="J56" s="64">
        <v>1</v>
      </c>
      <c r="K56" s="64">
        <v>104.49</v>
      </c>
      <c r="L56" s="64">
        <v>30.06</v>
      </c>
      <c r="M56" s="64">
        <v>67.98</v>
      </c>
      <c r="N56" s="64">
        <v>484.4</v>
      </c>
      <c r="O56" s="64">
        <v>0</v>
      </c>
      <c r="P56" s="64">
        <v>0.34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1734</v>
      </c>
      <c r="B57" s="64">
        <v>0.65</v>
      </c>
      <c r="C57" s="64">
        <v>7.31</v>
      </c>
      <c r="D57" s="64">
        <v>4.34</v>
      </c>
      <c r="E57" s="64">
        <v>6</v>
      </c>
      <c r="F57" s="64">
        <v>4.99</v>
      </c>
      <c r="G57" s="64">
        <v>17.2</v>
      </c>
      <c r="H57" s="64">
        <v>17.09</v>
      </c>
      <c r="I57" s="64">
        <v>2.98</v>
      </c>
      <c r="J57" s="64">
        <v>1.1100000000000001</v>
      </c>
      <c r="K57" s="64">
        <v>111.06</v>
      </c>
      <c r="L57" s="64">
        <v>29.46</v>
      </c>
      <c r="M57" s="64">
        <v>69.08</v>
      </c>
      <c r="N57" s="64">
        <v>415.3</v>
      </c>
      <c r="O57" s="64">
        <v>0</v>
      </c>
      <c r="P57" s="64">
        <v>0.32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1735</v>
      </c>
      <c r="B58" s="64">
        <v>0.68</v>
      </c>
      <c r="C58" s="64">
        <v>7.09</v>
      </c>
      <c r="D58" s="64">
        <v>4.25</v>
      </c>
      <c r="E58" s="64">
        <v>6</v>
      </c>
      <c r="F58" s="64">
        <v>4.45</v>
      </c>
      <c r="G58" s="64">
        <v>17.2</v>
      </c>
      <c r="H58" s="64">
        <v>17.09</v>
      </c>
      <c r="I58" s="64">
        <v>3.86</v>
      </c>
      <c r="J58" s="64">
        <v>0.76</v>
      </c>
      <c r="K58" s="64">
        <v>125.57</v>
      </c>
      <c r="L58" s="64">
        <v>30.2</v>
      </c>
      <c r="M58" s="64">
        <v>65.69</v>
      </c>
      <c r="N58" s="64">
        <v>489.2</v>
      </c>
      <c r="O58" s="64">
        <v>0</v>
      </c>
      <c r="P58" s="64">
        <v>0.33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1736</v>
      </c>
      <c r="B59" s="64">
        <v>0.59</v>
      </c>
      <c r="C59" s="64">
        <v>5.98</v>
      </c>
      <c r="D59" s="64">
        <v>3.6</v>
      </c>
      <c r="E59" s="64">
        <v>5.83</v>
      </c>
      <c r="F59" s="64">
        <v>4.3499999999999996</v>
      </c>
      <c r="G59" s="64">
        <v>32.229999999999997</v>
      </c>
      <c r="H59" s="64">
        <v>15.39</v>
      </c>
      <c r="I59" s="64">
        <v>4.3</v>
      </c>
      <c r="J59" s="64">
        <v>0.86</v>
      </c>
      <c r="K59" s="64">
        <v>124.7</v>
      </c>
      <c r="L59" s="64">
        <v>30.37</v>
      </c>
      <c r="M59" s="64">
        <v>64.42</v>
      </c>
      <c r="N59" s="64">
        <v>425.7</v>
      </c>
      <c r="O59" s="64">
        <v>0</v>
      </c>
      <c r="P59" s="64">
        <v>0.32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1737</v>
      </c>
      <c r="B60" s="64">
        <v>0.59</v>
      </c>
      <c r="C60" s="64">
        <v>5.9</v>
      </c>
      <c r="D60" s="64">
        <v>3.55</v>
      </c>
      <c r="E60" s="64">
        <v>5.48</v>
      </c>
      <c r="F60" s="64">
        <v>4.5999999999999996</v>
      </c>
      <c r="G60" s="64">
        <v>38.67</v>
      </c>
      <c r="H60" s="64">
        <v>15.26</v>
      </c>
      <c r="I60" s="64">
        <v>3.56</v>
      </c>
      <c r="J60" s="64">
        <v>0.97</v>
      </c>
      <c r="K60" s="64">
        <v>113.51</v>
      </c>
      <c r="L60" s="64">
        <v>30.43</v>
      </c>
      <c r="M60" s="64">
        <v>63.57</v>
      </c>
      <c r="N60" s="64">
        <v>466.6</v>
      </c>
      <c r="O60" s="64">
        <v>0</v>
      </c>
      <c r="P60" s="64">
        <v>0.33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1738</v>
      </c>
      <c r="B61" s="64">
        <v>0.39</v>
      </c>
      <c r="C61" s="64">
        <v>5.87</v>
      </c>
      <c r="D61" s="64">
        <v>3.38</v>
      </c>
      <c r="E61" s="64">
        <v>5.62</v>
      </c>
      <c r="F61" s="64">
        <v>5.34</v>
      </c>
      <c r="G61" s="64">
        <v>38.67</v>
      </c>
      <c r="H61" s="64">
        <v>15.26</v>
      </c>
      <c r="I61" s="64">
        <v>3.92</v>
      </c>
      <c r="J61" s="64">
        <v>0.76</v>
      </c>
      <c r="K61" s="64">
        <v>122.69</v>
      </c>
      <c r="L61" s="64">
        <v>30.56</v>
      </c>
      <c r="M61" s="64">
        <v>63.59</v>
      </c>
      <c r="N61" s="64">
        <v>343.9</v>
      </c>
      <c r="O61" s="64">
        <v>0</v>
      </c>
      <c r="P61" s="64">
        <v>0.3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1739</v>
      </c>
      <c r="B62" s="64">
        <v>0.21</v>
      </c>
      <c r="C62" s="64">
        <v>5.96</v>
      </c>
      <c r="D62" s="64">
        <v>3.28</v>
      </c>
      <c r="E62" s="64">
        <v>5.89</v>
      </c>
      <c r="F62" s="64">
        <v>5.62</v>
      </c>
      <c r="G62" s="64">
        <v>38.67</v>
      </c>
      <c r="H62" s="64">
        <v>15.26</v>
      </c>
      <c r="I62" s="64">
        <v>3.5</v>
      </c>
      <c r="J62" s="64">
        <v>1.2</v>
      </c>
      <c r="K62" s="64">
        <v>106.22</v>
      </c>
      <c r="L62" s="64">
        <v>29.77</v>
      </c>
      <c r="M62" s="64">
        <v>66.64</v>
      </c>
      <c r="N62" s="64">
        <v>219.4</v>
      </c>
      <c r="O62" s="64">
        <v>0</v>
      </c>
      <c r="P62" s="64">
        <v>0.32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1740</v>
      </c>
      <c r="B63" s="64">
        <v>0.28999999999999998</v>
      </c>
      <c r="C63" s="64">
        <v>6.71</v>
      </c>
      <c r="D63" s="64">
        <v>3.74</v>
      </c>
      <c r="E63" s="64">
        <v>7.38</v>
      </c>
      <c r="F63" s="64">
        <v>5.52</v>
      </c>
      <c r="G63" s="64">
        <v>37.869999999999997</v>
      </c>
      <c r="H63" s="64">
        <v>15.76</v>
      </c>
      <c r="I63" s="64">
        <v>3.51</v>
      </c>
      <c r="J63" s="64">
        <v>1.07</v>
      </c>
      <c r="K63" s="64">
        <v>133.61000000000001</v>
      </c>
      <c r="L63" s="64">
        <v>29.87</v>
      </c>
      <c r="M63" s="64">
        <v>65.819999999999993</v>
      </c>
      <c r="N63" s="64">
        <v>245.8</v>
      </c>
      <c r="O63" s="64">
        <v>0</v>
      </c>
      <c r="P63" s="64">
        <v>0.34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5" t="s">
        <v>1741</v>
      </c>
      <c r="B64" s="64">
        <v>0.33</v>
      </c>
      <c r="C64" s="64">
        <v>6.7</v>
      </c>
      <c r="D64" s="64">
        <v>3.76</v>
      </c>
      <c r="E64" s="64">
        <v>6.26</v>
      </c>
      <c r="F64" s="64">
        <v>4.7300000000000004</v>
      </c>
      <c r="G64" s="64">
        <v>37.53</v>
      </c>
      <c r="H64" s="64">
        <v>15.8</v>
      </c>
      <c r="I64" s="64">
        <v>3.86</v>
      </c>
      <c r="J64" s="64">
        <v>0.81</v>
      </c>
      <c r="K64" s="64">
        <v>130.65</v>
      </c>
      <c r="L64" s="64">
        <v>30.12</v>
      </c>
      <c r="M64" s="64">
        <v>63.69</v>
      </c>
      <c r="N64" s="64">
        <v>242.5</v>
      </c>
      <c r="O64" s="64">
        <v>0</v>
      </c>
      <c r="P64" s="64">
        <v>0.31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1742</v>
      </c>
      <c r="B65" s="64">
        <v>0.27</v>
      </c>
      <c r="C65" s="64">
        <v>6.34</v>
      </c>
      <c r="D65" s="64">
        <v>3.53</v>
      </c>
      <c r="E65" s="64">
        <v>6.16</v>
      </c>
      <c r="F65" s="64">
        <v>4.62</v>
      </c>
      <c r="G65" s="64">
        <v>37.53</v>
      </c>
      <c r="H65" s="64">
        <v>15.8</v>
      </c>
      <c r="I65" s="64">
        <v>3.65</v>
      </c>
      <c r="J65" s="64">
        <v>1.04</v>
      </c>
      <c r="K65" s="64">
        <v>155.96</v>
      </c>
      <c r="L65" s="64">
        <v>30.09</v>
      </c>
      <c r="M65" s="64">
        <v>64.83</v>
      </c>
      <c r="N65" s="64">
        <v>194.3</v>
      </c>
      <c r="O65" s="64">
        <v>0</v>
      </c>
      <c r="P65" s="64">
        <v>0.34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1743</v>
      </c>
      <c r="B66" s="64">
        <v>0.19</v>
      </c>
      <c r="C66" s="64">
        <v>6.29</v>
      </c>
      <c r="D66" s="64">
        <v>3.44</v>
      </c>
      <c r="E66" s="64">
        <v>5.74</v>
      </c>
      <c r="F66" s="64">
        <v>5.28</v>
      </c>
      <c r="G66" s="64">
        <v>37.53</v>
      </c>
      <c r="H66" s="64">
        <v>15.8</v>
      </c>
      <c r="I66" s="64">
        <v>2.2799999999999998</v>
      </c>
      <c r="J66" s="64">
        <v>0.62</v>
      </c>
      <c r="K66" s="64">
        <v>140.07</v>
      </c>
      <c r="L66" s="64">
        <v>30.25</v>
      </c>
      <c r="M66" s="64">
        <v>64.77</v>
      </c>
      <c r="N66" s="64">
        <v>222.8</v>
      </c>
      <c r="O66" s="64">
        <v>0</v>
      </c>
      <c r="P66" s="64">
        <v>0.3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1744</v>
      </c>
      <c r="B67" s="64">
        <v>0.24</v>
      </c>
      <c r="C67" s="64">
        <v>6.2</v>
      </c>
      <c r="D67" s="64">
        <v>3.43</v>
      </c>
      <c r="E67" s="64">
        <v>5.79</v>
      </c>
      <c r="F67" s="64">
        <v>5.5</v>
      </c>
      <c r="G67" s="64">
        <v>35.909999999999997</v>
      </c>
      <c r="H67" s="64">
        <v>18.32</v>
      </c>
      <c r="I67" s="64">
        <v>2.2999999999999998</v>
      </c>
      <c r="J67" s="64">
        <v>0.64</v>
      </c>
      <c r="K67" s="64">
        <v>148.13999999999999</v>
      </c>
      <c r="L67" s="64">
        <v>30.53</v>
      </c>
      <c r="M67" s="64">
        <v>62.58</v>
      </c>
      <c r="N67" s="64">
        <v>204.2</v>
      </c>
      <c r="O67" s="64">
        <v>0</v>
      </c>
      <c r="P67" s="64">
        <v>0.28999999999999998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1745</v>
      </c>
      <c r="B68" s="64">
        <v>0.44</v>
      </c>
      <c r="C68" s="64">
        <v>5.98</v>
      </c>
      <c r="D68" s="64">
        <v>3.47</v>
      </c>
      <c r="E68" s="64">
        <v>5.38</v>
      </c>
      <c r="F68" s="64">
        <v>5.78</v>
      </c>
      <c r="G68" s="64">
        <v>35.22</v>
      </c>
      <c r="H68" s="64">
        <v>18.649999999999999</v>
      </c>
      <c r="I68" s="64">
        <v>1.65</v>
      </c>
      <c r="J68" s="64">
        <v>1.21</v>
      </c>
      <c r="K68" s="64">
        <v>155.41999999999999</v>
      </c>
      <c r="L68" s="64">
        <v>30.34</v>
      </c>
      <c r="M68" s="64">
        <v>59.91</v>
      </c>
      <c r="N68" s="64">
        <v>181.3</v>
      </c>
      <c r="O68" s="64">
        <v>0</v>
      </c>
      <c r="P68" s="64">
        <v>0.28000000000000003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1746</v>
      </c>
      <c r="B69" s="64">
        <v>0.48</v>
      </c>
      <c r="C69" s="64">
        <v>5.83</v>
      </c>
      <c r="D69" s="64">
        <v>3.43</v>
      </c>
      <c r="E69" s="64">
        <v>6</v>
      </c>
      <c r="F69" s="64">
        <v>5.45</v>
      </c>
      <c r="G69" s="64">
        <v>35.22</v>
      </c>
      <c r="H69" s="64">
        <v>18.649999999999999</v>
      </c>
      <c r="I69" s="64">
        <v>1.45</v>
      </c>
      <c r="J69" s="64">
        <v>0.12</v>
      </c>
      <c r="K69" s="64">
        <v>139.07</v>
      </c>
      <c r="L69" s="64">
        <v>30.58</v>
      </c>
      <c r="M69" s="64">
        <v>61.8</v>
      </c>
      <c r="N69" s="64">
        <v>163.19999999999999</v>
      </c>
      <c r="O69" s="64">
        <v>0</v>
      </c>
      <c r="P69" s="64">
        <v>0.32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5" t="s">
        <v>1747</v>
      </c>
      <c r="B70" s="64">
        <v>0.56000000000000005</v>
      </c>
      <c r="C70" s="64">
        <v>5.58</v>
      </c>
      <c r="D70" s="64">
        <v>3.36</v>
      </c>
      <c r="E70" s="64">
        <v>5.4</v>
      </c>
      <c r="F70" s="64">
        <v>5.0199999999999996</v>
      </c>
      <c r="G70" s="64">
        <v>35.22</v>
      </c>
      <c r="H70" s="64">
        <v>18.649999999999999</v>
      </c>
      <c r="I70" s="64">
        <v>1.3</v>
      </c>
      <c r="J70" s="64">
        <v>0.67</v>
      </c>
      <c r="K70" s="64">
        <v>159.38</v>
      </c>
      <c r="L70" s="64">
        <v>30.22</v>
      </c>
      <c r="M70" s="64">
        <v>63.78</v>
      </c>
      <c r="N70" s="64">
        <v>137.19999999999999</v>
      </c>
      <c r="O70" s="64">
        <v>0</v>
      </c>
      <c r="P70" s="64">
        <v>0.28000000000000003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5" t="s">
        <v>1748</v>
      </c>
      <c r="B71" s="64">
        <v>0.7</v>
      </c>
      <c r="C71" s="64">
        <v>5.48</v>
      </c>
      <c r="D71" s="64">
        <v>3.42</v>
      </c>
      <c r="E71" s="64">
        <v>5.0599999999999996</v>
      </c>
      <c r="F71" s="64">
        <v>4.3499999999999996</v>
      </c>
      <c r="G71" s="64">
        <v>32.4</v>
      </c>
      <c r="H71" s="64">
        <v>15.96</v>
      </c>
      <c r="I71" s="64">
        <v>1.02</v>
      </c>
      <c r="J71" s="64">
        <v>1.43</v>
      </c>
      <c r="K71" s="64">
        <v>113.57</v>
      </c>
      <c r="L71" s="64">
        <v>29.75</v>
      </c>
      <c r="M71" s="64">
        <v>65.900000000000006</v>
      </c>
      <c r="N71" s="64">
        <v>119.6</v>
      </c>
      <c r="O71" s="64">
        <v>0</v>
      </c>
      <c r="P71" s="64">
        <v>0.35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1749</v>
      </c>
      <c r="B72" s="64">
        <v>0.66</v>
      </c>
      <c r="C72" s="64">
        <v>5.52</v>
      </c>
      <c r="D72" s="64">
        <v>3.41</v>
      </c>
      <c r="E72" s="64">
        <v>4.78</v>
      </c>
      <c r="F72" s="64">
        <v>6.67</v>
      </c>
      <c r="G72" s="64">
        <v>31.19</v>
      </c>
      <c r="H72" s="64">
        <v>15.74</v>
      </c>
      <c r="I72" s="64">
        <v>1.02</v>
      </c>
      <c r="J72" s="64">
        <v>1.05</v>
      </c>
      <c r="K72" s="64">
        <v>112.59</v>
      </c>
      <c r="L72" s="64">
        <v>29.57</v>
      </c>
      <c r="M72" s="64">
        <v>63.01</v>
      </c>
      <c r="N72" s="64">
        <v>101.7</v>
      </c>
      <c r="O72" s="64">
        <v>0</v>
      </c>
      <c r="P72" s="64">
        <v>0.27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1750</v>
      </c>
      <c r="B73" s="64">
        <v>0.14000000000000001</v>
      </c>
      <c r="C73" s="64">
        <v>5.94</v>
      </c>
      <c r="D73" s="64">
        <v>3.21</v>
      </c>
      <c r="E73" s="64">
        <v>4.53</v>
      </c>
      <c r="F73" s="64">
        <v>6.33</v>
      </c>
      <c r="G73" s="64">
        <v>31.19</v>
      </c>
      <c r="H73" s="64">
        <v>15.74</v>
      </c>
      <c r="I73" s="64">
        <v>1.79</v>
      </c>
      <c r="J73" s="64">
        <v>1.3</v>
      </c>
      <c r="K73" s="64">
        <v>114.64</v>
      </c>
      <c r="L73" s="64">
        <v>29.53</v>
      </c>
      <c r="M73" s="64">
        <v>64.7</v>
      </c>
      <c r="N73" s="64">
        <v>88.7</v>
      </c>
      <c r="O73" s="64">
        <v>0</v>
      </c>
      <c r="P73" s="64">
        <v>0.28000000000000003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5" t="s">
        <v>1751</v>
      </c>
      <c r="B74" s="64">
        <v>0.03</v>
      </c>
      <c r="C74" s="64">
        <v>6.1</v>
      </c>
      <c r="D74" s="64">
        <v>3.21</v>
      </c>
      <c r="E74" s="64">
        <v>4.8099999999999996</v>
      </c>
      <c r="F74" s="64">
        <v>4.92</v>
      </c>
      <c r="G74" s="64">
        <v>31.19</v>
      </c>
      <c r="H74" s="64">
        <v>15.74</v>
      </c>
      <c r="I74" s="64">
        <v>1.43</v>
      </c>
      <c r="J74" s="64">
        <v>1.0900000000000001</v>
      </c>
      <c r="K74" s="64">
        <v>109.89</v>
      </c>
      <c r="L74" s="64">
        <v>29.29</v>
      </c>
      <c r="M74" s="64">
        <v>66.3</v>
      </c>
      <c r="N74" s="64">
        <v>77</v>
      </c>
      <c r="O74" s="64">
        <v>0</v>
      </c>
      <c r="P74" s="64">
        <v>0.28999999999999998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5" t="s">
        <v>1752</v>
      </c>
      <c r="B75" s="64">
        <v>7.0000000000000007E-2</v>
      </c>
      <c r="C75" s="64">
        <v>6.48</v>
      </c>
      <c r="D75" s="64">
        <v>3.45</v>
      </c>
      <c r="E75" s="64">
        <v>4.6100000000000003</v>
      </c>
      <c r="F75" s="64">
        <v>4.7</v>
      </c>
      <c r="G75" s="64">
        <v>29.39</v>
      </c>
      <c r="H75" s="64">
        <v>15.05</v>
      </c>
      <c r="I75" s="64">
        <v>1.29</v>
      </c>
      <c r="J75" s="64">
        <v>1.27</v>
      </c>
      <c r="K75" s="64">
        <v>115.66</v>
      </c>
      <c r="L75" s="64">
        <v>29.19</v>
      </c>
      <c r="M75" s="64">
        <v>64.290000000000006</v>
      </c>
      <c r="N75" s="64">
        <v>66.099999999999994</v>
      </c>
      <c r="O75" s="64">
        <v>0</v>
      </c>
      <c r="P75" s="64">
        <v>0.28999999999999998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1753</v>
      </c>
      <c r="B76" s="64">
        <v>0.02</v>
      </c>
      <c r="C76" s="64">
        <v>5.56</v>
      </c>
      <c r="D76" s="64">
        <v>2.92</v>
      </c>
      <c r="E76" s="64">
        <v>4.4800000000000004</v>
      </c>
      <c r="F76" s="64">
        <v>4.8499999999999996</v>
      </c>
      <c r="G76" s="64">
        <v>28.62</v>
      </c>
      <c r="H76" s="64">
        <v>14.99</v>
      </c>
      <c r="I76" s="64">
        <v>2.35</v>
      </c>
      <c r="J76" s="64">
        <v>0.92</v>
      </c>
      <c r="K76" s="64">
        <v>112.28</v>
      </c>
      <c r="L76" s="64">
        <v>28.9</v>
      </c>
      <c r="M76" s="64">
        <v>67.64</v>
      </c>
      <c r="N76" s="64">
        <v>55.4</v>
      </c>
      <c r="O76" s="64">
        <v>0</v>
      </c>
      <c r="P76" s="64">
        <v>0.28999999999999998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5" t="s">
        <v>1754</v>
      </c>
      <c r="B77" s="64">
        <v>0.01</v>
      </c>
      <c r="C77" s="64">
        <v>5.74</v>
      </c>
      <c r="D77" s="64">
        <v>3</v>
      </c>
      <c r="E77" s="64">
        <v>4.6100000000000003</v>
      </c>
      <c r="F77" s="64">
        <v>4.74</v>
      </c>
      <c r="G77" s="64">
        <v>28.62</v>
      </c>
      <c r="H77" s="64">
        <v>14.99</v>
      </c>
      <c r="I77" s="64">
        <v>2.88</v>
      </c>
      <c r="J77" s="64">
        <v>0.74</v>
      </c>
      <c r="K77" s="64">
        <v>120.17</v>
      </c>
      <c r="L77" s="64">
        <v>28.5</v>
      </c>
      <c r="M77" s="64">
        <v>69.7</v>
      </c>
      <c r="N77" s="64">
        <v>45.2</v>
      </c>
      <c r="O77" s="64">
        <v>0</v>
      </c>
      <c r="P77" s="64">
        <v>0.28999999999999998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1755</v>
      </c>
      <c r="B78" s="64">
        <v>0.01</v>
      </c>
      <c r="C78" s="64">
        <v>5.14</v>
      </c>
      <c r="D78" s="64">
        <v>2.69</v>
      </c>
      <c r="E78" s="64">
        <v>4.6399999999999997</v>
      </c>
      <c r="F78" s="64">
        <v>4.12</v>
      </c>
      <c r="G78" s="64">
        <v>28.62</v>
      </c>
      <c r="H78" s="64">
        <v>14.99</v>
      </c>
      <c r="I78" s="64">
        <v>2.97</v>
      </c>
      <c r="J78" s="64">
        <v>0.18</v>
      </c>
      <c r="K78" s="64">
        <v>88.46</v>
      </c>
      <c r="L78" s="64">
        <v>28.25</v>
      </c>
      <c r="M78" s="64">
        <v>73.41</v>
      </c>
      <c r="N78" s="64">
        <v>35.200000000000003</v>
      </c>
      <c r="O78" s="64">
        <v>0</v>
      </c>
      <c r="P78" s="64">
        <v>0.33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1756</v>
      </c>
      <c r="B79" s="64">
        <v>0.46</v>
      </c>
      <c r="C79" s="64">
        <v>5.62</v>
      </c>
      <c r="D79" s="64">
        <v>3.3</v>
      </c>
      <c r="E79" s="64">
        <v>4.1500000000000004</v>
      </c>
      <c r="F79" s="64">
        <v>4.7</v>
      </c>
      <c r="G79" s="64">
        <v>28.18</v>
      </c>
      <c r="H79" s="64">
        <v>16.62</v>
      </c>
      <c r="I79" s="64">
        <v>1.83</v>
      </c>
      <c r="J79" s="64">
        <v>0.09</v>
      </c>
      <c r="K79" s="64">
        <v>100.18</v>
      </c>
      <c r="L79" s="64">
        <v>27.79</v>
      </c>
      <c r="M79" s="64">
        <v>79.290000000000006</v>
      </c>
      <c r="N79" s="64">
        <v>28.5</v>
      </c>
      <c r="O79" s="64">
        <v>0</v>
      </c>
      <c r="P79" s="64">
        <v>0.38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5" t="s">
        <v>1757</v>
      </c>
      <c r="B80" s="64">
        <v>1.1399999999999999</v>
      </c>
      <c r="C80" s="64">
        <v>6.64</v>
      </c>
      <c r="D80" s="64">
        <v>4.38</v>
      </c>
      <c r="E80" s="64">
        <v>4.67</v>
      </c>
      <c r="F80" s="64">
        <v>3.18</v>
      </c>
      <c r="G80" s="64">
        <v>27.99</v>
      </c>
      <c r="H80" s="64">
        <v>16.75</v>
      </c>
      <c r="I80" s="64">
        <v>1.55</v>
      </c>
      <c r="J80" s="64">
        <v>1.06</v>
      </c>
      <c r="K80" s="64">
        <v>117.4</v>
      </c>
      <c r="L80" s="64">
        <v>27.9</v>
      </c>
      <c r="M80" s="64">
        <v>77.38</v>
      </c>
      <c r="N80" s="64">
        <v>26.2</v>
      </c>
      <c r="O80" s="64">
        <v>0</v>
      </c>
      <c r="P80" s="64">
        <v>0.38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5" t="s">
        <v>1758</v>
      </c>
      <c r="B81" s="64">
        <v>1.24</v>
      </c>
      <c r="C81" s="64">
        <v>6.19</v>
      </c>
      <c r="D81" s="64">
        <v>4.2300000000000004</v>
      </c>
      <c r="E81" s="64">
        <v>4.55</v>
      </c>
      <c r="F81" s="64">
        <v>3.92</v>
      </c>
      <c r="G81" s="64">
        <v>27.99</v>
      </c>
      <c r="H81" s="64">
        <v>16.75</v>
      </c>
      <c r="I81" s="64">
        <v>2.57</v>
      </c>
      <c r="J81" s="64">
        <v>0.74</v>
      </c>
      <c r="K81" s="64">
        <v>115.18</v>
      </c>
      <c r="L81" s="64">
        <v>27.92</v>
      </c>
      <c r="M81" s="64">
        <v>77.400000000000006</v>
      </c>
      <c r="N81" s="64">
        <v>26.1</v>
      </c>
      <c r="O81" s="64">
        <v>0</v>
      </c>
      <c r="P81" s="64">
        <v>0.41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5" t="s">
        <v>1759</v>
      </c>
      <c r="B82" s="64">
        <v>1.21</v>
      </c>
      <c r="C82" s="64">
        <v>6.77</v>
      </c>
      <c r="D82" s="64">
        <v>4.51</v>
      </c>
      <c r="E82" s="64">
        <v>4.5</v>
      </c>
      <c r="F82" s="64">
        <v>3.89</v>
      </c>
      <c r="G82" s="64">
        <v>27.99</v>
      </c>
      <c r="H82" s="64">
        <v>16.75</v>
      </c>
      <c r="I82" s="64">
        <v>2.09</v>
      </c>
      <c r="J82" s="64">
        <v>0.69</v>
      </c>
      <c r="K82" s="64">
        <v>119.26</v>
      </c>
      <c r="L82" s="64">
        <v>27.74</v>
      </c>
      <c r="M82" s="64">
        <v>77.849999999999994</v>
      </c>
      <c r="N82" s="64">
        <v>26.1</v>
      </c>
      <c r="O82" s="64">
        <v>0</v>
      </c>
      <c r="P82" s="64">
        <v>0.43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1760</v>
      </c>
      <c r="B83" s="64">
        <v>1.27</v>
      </c>
      <c r="C83" s="64">
        <v>6.95</v>
      </c>
      <c r="D83" s="64">
        <v>4.6500000000000004</v>
      </c>
      <c r="E83" s="64">
        <v>4.01</v>
      </c>
      <c r="F83" s="64">
        <v>2.71</v>
      </c>
      <c r="G83" s="64">
        <v>29.93</v>
      </c>
      <c r="H83" s="64">
        <v>16.32</v>
      </c>
      <c r="I83" s="64">
        <v>1.65</v>
      </c>
      <c r="J83" s="64">
        <v>0.32</v>
      </c>
      <c r="K83" s="64">
        <v>112.38</v>
      </c>
      <c r="L83" s="64">
        <v>27.62</v>
      </c>
      <c r="M83" s="64">
        <v>77.819999999999993</v>
      </c>
      <c r="N83" s="64">
        <v>26.1</v>
      </c>
      <c r="O83" s="64">
        <v>0</v>
      </c>
      <c r="P83" s="64">
        <v>0.63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1761</v>
      </c>
      <c r="B84" s="64">
        <v>1.38</v>
      </c>
      <c r="C84" s="64">
        <v>6.53</v>
      </c>
      <c r="D84" s="64">
        <v>4.5199999999999996</v>
      </c>
      <c r="E84" s="64">
        <v>4.2</v>
      </c>
      <c r="F84" s="64">
        <v>4.04</v>
      </c>
      <c r="G84" s="64">
        <v>30.76</v>
      </c>
      <c r="H84" s="64">
        <v>16.260000000000002</v>
      </c>
      <c r="I84" s="64">
        <v>1.84</v>
      </c>
      <c r="J84" s="64">
        <v>0.56000000000000005</v>
      </c>
      <c r="K84" s="64">
        <v>104.39</v>
      </c>
      <c r="L84" s="64">
        <v>27.58</v>
      </c>
      <c r="M84" s="64">
        <v>78.09</v>
      </c>
      <c r="N84" s="64">
        <v>26</v>
      </c>
      <c r="O84" s="64">
        <v>0</v>
      </c>
      <c r="P84" s="64">
        <v>0.54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1762</v>
      </c>
      <c r="B85" s="64">
        <v>1.5</v>
      </c>
      <c r="C85" s="64">
        <v>6.52</v>
      </c>
      <c r="D85" s="64">
        <v>4.6100000000000003</v>
      </c>
      <c r="E85" s="64">
        <v>4.5199999999999996</v>
      </c>
      <c r="F85" s="64">
        <v>5.0599999999999996</v>
      </c>
      <c r="G85" s="64">
        <v>30.76</v>
      </c>
      <c r="H85" s="64">
        <v>16.260000000000002</v>
      </c>
      <c r="I85" s="64">
        <v>1.91</v>
      </c>
      <c r="J85" s="64">
        <v>0.86</v>
      </c>
      <c r="K85" s="64">
        <v>117.22</v>
      </c>
      <c r="L85" s="64">
        <v>27.47</v>
      </c>
      <c r="M85" s="64">
        <v>80.11</v>
      </c>
      <c r="N85" s="64">
        <v>26</v>
      </c>
      <c r="O85" s="64">
        <v>0</v>
      </c>
      <c r="P85" s="64">
        <v>0.47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5" t="s">
        <v>1763</v>
      </c>
      <c r="B86" s="64">
        <v>1.53</v>
      </c>
      <c r="C86" s="64">
        <v>6.43</v>
      </c>
      <c r="D86" s="64">
        <v>4.58</v>
      </c>
      <c r="E86" s="64">
        <v>4.7</v>
      </c>
      <c r="F86" s="64">
        <v>3.97</v>
      </c>
      <c r="G86" s="64">
        <v>30.76</v>
      </c>
      <c r="H86" s="64">
        <v>16.260000000000002</v>
      </c>
      <c r="I86" s="64">
        <v>1.94</v>
      </c>
      <c r="J86" s="64">
        <v>0.96</v>
      </c>
      <c r="K86" s="64">
        <v>115.93</v>
      </c>
      <c r="L86" s="64">
        <v>27.42</v>
      </c>
      <c r="M86" s="64">
        <v>82.62</v>
      </c>
      <c r="N86" s="64">
        <v>26.1</v>
      </c>
      <c r="O86" s="64">
        <v>0</v>
      </c>
      <c r="P86" s="64">
        <v>0.49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1764</v>
      </c>
      <c r="B87" s="64">
        <v>1.6</v>
      </c>
      <c r="C87" s="64">
        <v>6.4</v>
      </c>
      <c r="D87" s="64">
        <v>4.63</v>
      </c>
      <c r="E87" s="64">
        <v>3.76</v>
      </c>
      <c r="F87" s="64">
        <v>3.64</v>
      </c>
      <c r="G87" s="64">
        <v>32.299999999999997</v>
      </c>
      <c r="H87" s="64">
        <v>15.79</v>
      </c>
      <c r="I87" s="64">
        <v>1.95</v>
      </c>
      <c r="J87" s="64">
        <v>0.7</v>
      </c>
      <c r="K87" s="64">
        <v>106.85</v>
      </c>
      <c r="L87" s="64">
        <v>27.26</v>
      </c>
      <c r="M87" s="64">
        <v>85.36</v>
      </c>
      <c r="N87" s="64">
        <v>26.1</v>
      </c>
      <c r="O87" s="64">
        <v>0</v>
      </c>
      <c r="P87" s="64">
        <v>0.55000000000000004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1765</v>
      </c>
      <c r="B88" s="64">
        <v>1.81</v>
      </c>
      <c r="C88" s="64">
        <v>6.41</v>
      </c>
      <c r="D88" s="64">
        <v>4.8</v>
      </c>
      <c r="E88" s="64">
        <v>5.29</v>
      </c>
      <c r="F88" s="64">
        <v>3.31</v>
      </c>
      <c r="G88" s="64">
        <v>32.97</v>
      </c>
      <c r="H88" s="64">
        <v>15.75</v>
      </c>
      <c r="I88" s="64">
        <v>2.14</v>
      </c>
      <c r="J88" s="64">
        <v>0.04</v>
      </c>
      <c r="K88" s="64">
        <v>323.05</v>
      </c>
      <c r="L88" s="64">
        <v>27.09</v>
      </c>
      <c r="M88" s="64">
        <v>87.14</v>
      </c>
      <c r="N88" s="64">
        <v>26.1</v>
      </c>
      <c r="O88" s="64">
        <v>0</v>
      </c>
      <c r="P88" s="64">
        <v>0.8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5" t="s">
        <v>1766</v>
      </c>
      <c r="B89" s="64">
        <v>2.5</v>
      </c>
      <c r="C89" s="64">
        <v>6.6</v>
      </c>
      <c r="D89" s="64">
        <v>5.45</v>
      </c>
      <c r="E89" s="64">
        <v>5.57</v>
      </c>
      <c r="F89" s="64">
        <v>3.65</v>
      </c>
      <c r="G89" s="64">
        <v>32.97</v>
      </c>
      <c r="H89" s="64">
        <v>15.75</v>
      </c>
      <c r="I89" s="64">
        <v>2.4</v>
      </c>
      <c r="J89" s="64">
        <v>0.13</v>
      </c>
      <c r="K89" s="64">
        <v>136.84</v>
      </c>
      <c r="L89" s="64">
        <v>26.97</v>
      </c>
      <c r="M89" s="64">
        <v>88.32</v>
      </c>
      <c r="N89" s="64">
        <v>26.1</v>
      </c>
      <c r="O89" s="64">
        <v>0</v>
      </c>
      <c r="P89" s="64">
        <v>0.69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5" t="s">
        <v>1767</v>
      </c>
      <c r="B90" s="64">
        <v>2.9</v>
      </c>
      <c r="C90" s="64">
        <v>6.74</v>
      </c>
      <c r="D90" s="64">
        <v>5.85</v>
      </c>
      <c r="E90" s="64">
        <v>5.82</v>
      </c>
      <c r="F90" s="64">
        <v>3.8</v>
      </c>
      <c r="G90" s="64">
        <v>32.97</v>
      </c>
      <c r="H90" s="64">
        <v>15.75</v>
      </c>
      <c r="I90" s="64">
        <v>2.79</v>
      </c>
      <c r="J90" s="64">
        <v>0.65</v>
      </c>
      <c r="K90" s="64">
        <v>125.14</v>
      </c>
      <c r="L90" s="64">
        <v>26.84</v>
      </c>
      <c r="M90" s="64">
        <v>89.53</v>
      </c>
      <c r="N90" s="64">
        <v>26.1</v>
      </c>
      <c r="O90" s="64">
        <v>0</v>
      </c>
      <c r="P90" s="64">
        <v>0.65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1768</v>
      </c>
      <c r="B91" s="64">
        <v>3.14</v>
      </c>
      <c r="C91" s="64">
        <v>7.17</v>
      </c>
      <c r="D91" s="64">
        <v>6.26</v>
      </c>
      <c r="E91" s="64">
        <v>5.73</v>
      </c>
      <c r="F91" s="64">
        <v>3.72</v>
      </c>
      <c r="G91" s="64">
        <v>36.56</v>
      </c>
      <c r="H91" s="64">
        <v>17.899999999999999</v>
      </c>
      <c r="I91" s="64">
        <v>2.63</v>
      </c>
      <c r="J91" s="64">
        <v>0.26</v>
      </c>
      <c r="K91" s="64">
        <v>105.18</v>
      </c>
      <c r="L91" s="64">
        <v>26.76</v>
      </c>
      <c r="M91" s="64">
        <v>89.85</v>
      </c>
      <c r="N91" s="64">
        <v>26</v>
      </c>
      <c r="O91" s="64">
        <v>0</v>
      </c>
      <c r="P91" s="64">
        <v>0.68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1769</v>
      </c>
      <c r="B92" s="64">
        <v>4.0599999999999996</v>
      </c>
      <c r="C92" s="64">
        <v>7.67</v>
      </c>
      <c r="D92" s="64">
        <v>7.26</v>
      </c>
      <c r="E92" s="64">
        <v>6.05</v>
      </c>
      <c r="F92" s="64">
        <v>3.17</v>
      </c>
      <c r="G92" s="64">
        <v>38.1</v>
      </c>
      <c r="H92" s="64">
        <v>18.07</v>
      </c>
      <c r="I92" s="64">
        <v>2.42</v>
      </c>
      <c r="J92" s="64">
        <v>0.31</v>
      </c>
      <c r="K92" s="64">
        <v>114.96</v>
      </c>
      <c r="L92" s="64">
        <v>26.67</v>
      </c>
      <c r="M92" s="64">
        <v>90.25</v>
      </c>
      <c r="N92" s="64">
        <v>26.1</v>
      </c>
      <c r="O92" s="64">
        <v>0</v>
      </c>
      <c r="P92" s="64">
        <v>0.84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1770</v>
      </c>
      <c r="B93" s="64">
        <v>4.92</v>
      </c>
      <c r="C93" s="64">
        <v>7.77</v>
      </c>
      <c r="D93" s="64">
        <v>8</v>
      </c>
      <c r="E93" s="64">
        <v>5.88</v>
      </c>
      <c r="F93" s="64">
        <v>3.79</v>
      </c>
      <c r="G93" s="64">
        <v>38.1</v>
      </c>
      <c r="H93" s="64">
        <v>18.07</v>
      </c>
      <c r="I93" s="64">
        <v>3.31</v>
      </c>
      <c r="J93" s="64">
        <v>0.48</v>
      </c>
      <c r="K93" s="64">
        <v>113.54</v>
      </c>
      <c r="L93" s="64">
        <v>26.62</v>
      </c>
      <c r="M93" s="64">
        <v>89.95</v>
      </c>
      <c r="N93" s="64">
        <v>25.9</v>
      </c>
      <c r="O93" s="64">
        <v>0</v>
      </c>
      <c r="P93" s="64">
        <v>0.62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5" t="s">
        <v>1771</v>
      </c>
      <c r="B94" s="64">
        <v>5.38</v>
      </c>
      <c r="C94" s="64">
        <v>7.86</v>
      </c>
      <c r="D94" s="64">
        <v>8.42</v>
      </c>
      <c r="E94" s="64">
        <v>6.08</v>
      </c>
      <c r="F94" s="64">
        <v>3.62</v>
      </c>
      <c r="G94" s="64">
        <v>38.1</v>
      </c>
      <c r="H94" s="64">
        <v>18.07</v>
      </c>
      <c r="I94" s="64">
        <v>2.82</v>
      </c>
      <c r="J94" s="64">
        <v>0.46</v>
      </c>
      <c r="K94" s="64">
        <v>106.13</v>
      </c>
      <c r="L94" s="64">
        <v>26.6</v>
      </c>
      <c r="M94" s="64">
        <v>90.21</v>
      </c>
      <c r="N94" s="64">
        <v>26</v>
      </c>
      <c r="O94" s="64">
        <v>0</v>
      </c>
      <c r="P94" s="64">
        <v>0.6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1772</v>
      </c>
      <c r="B95" s="64">
        <v>5.99</v>
      </c>
      <c r="C95" s="64">
        <v>8.14</v>
      </c>
      <c r="D95" s="64">
        <v>9.0500000000000007</v>
      </c>
      <c r="E95" s="64">
        <v>6.05</v>
      </c>
      <c r="F95" s="64">
        <v>3.83</v>
      </c>
      <c r="G95" s="64">
        <v>44.24</v>
      </c>
      <c r="H95" s="64">
        <v>21.28</v>
      </c>
      <c r="I95" s="64">
        <v>2.97</v>
      </c>
      <c r="J95" s="64">
        <v>0.12</v>
      </c>
      <c r="K95" s="64">
        <v>79.27</v>
      </c>
      <c r="L95" s="64">
        <v>26.52</v>
      </c>
      <c r="M95" s="64">
        <v>91.05</v>
      </c>
      <c r="N95" s="64">
        <v>26</v>
      </c>
      <c r="O95" s="64">
        <v>0</v>
      </c>
      <c r="P95" s="64">
        <v>0.64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1773</v>
      </c>
      <c r="B96" s="64">
        <v>6.17</v>
      </c>
      <c r="C96" s="64">
        <v>8.07</v>
      </c>
      <c r="D96" s="64">
        <v>9.16</v>
      </c>
      <c r="E96" s="64">
        <v>5.69</v>
      </c>
      <c r="F96" s="64">
        <v>4</v>
      </c>
      <c r="G96" s="64">
        <v>46.88</v>
      </c>
      <c r="H96" s="64">
        <v>21.54</v>
      </c>
      <c r="I96" s="64">
        <v>3.53</v>
      </c>
      <c r="J96" s="64">
        <v>0.12</v>
      </c>
      <c r="K96" s="64">
        <v>270.64</v>
      </c>
      <c r="L96" s="64">
        <v>26.41</v>
      </c>
      <c r="M96" s="64">
        <v>91.07</v>
      </c>
      <c r="N96" s="64">
        <v>26.1</v>
      </c>
      <c r="O96" s="64">
        <v>0</v>
      </c>
      <c r="P96" s="64">
        <v>0.65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1774</v>
      </c>
      <c r="B97" s="64">
        <v>6.59</v>
      </c>
      <c r="C97" s="64">
        <v>8.5</v>
      </c>
      <c r="D97" s="64">
        <v>9.7200000000000006</v>
      </c>
      <c r="E97" s="64">
        <v>6.05</v>
      </c>
      <c r="F97" s="64">
        <v>2.82</v>
      </c>
      <c r="G97" s="64">
        <v>46.88</v>
      </c>
      <c r="H97" s="64">
        <v>21.54</v>
      </c>
      <c r="I97" s="64">
        <v>2.99</v>
      </c>
      <c r="J97" s="64">
        <v>0.17</v>
      </c>
      <c r="K97" s="64">
        <v>69.81</v>
      </c>
      <c r="L97" s="64">
        <v>26.31</v>
      </c>
      <c r="M97" s="64">
        <v>91.64</v>
      </c>
      <c r="N97" s="64">
        <v>26.1</v>
      </c>
      <c r="O97" s="64">
        <v>0</v>
      </c>
      <c r="P97" s="64">
        <v>0.63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5" t="s">
        <v>1775</v>
      </c>
      <c r="B98" s="64">
        <v>6.52</v>
      </c>
      <c r="C98" s="64">
        <v>8.1999999999999993</v>
      </c>
      <c r="D98" s="64">
        <v>9.51</v>
      </c>
      <c r="E98" s="64">
        <v>6.03</v>
      </c>
      <c r="F98" s="64">
        <v>4.03</v>
      </c>
      <c r="G98" s="64">
        <v>46.88</v>
      </c>
      <c r="H98" s="64">
        <v>21.54</v>
      </c>
      <c r="I98" s="64">
        <v>3.41</v>
      </c>
      <c r="J98" s="64">
        <v>0.35</v>
      </c>
      <c r="K98" s="64">
        <v>114.36</v>
      </c>
      <c r="L98" s="64">
        <v>26.23</v>
      </c>
      <c r="M98" s="64">
        <v>91.51</v>
      </c>
      <c r="N98" s="64">
        <v>26.1</v>
      </c>
      <c r="O98" s="64">
        <v>0</v>
      </c>
      <c r="P98" s="64">
        <v>0.6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1776</v>
      </c>
      <c r="B99" s="64">
        <v>7.22</v>
      </c>
      <c r="C99" s="64">
        <v>8.44</v>
      </c>
      <c r="D99" s="64">
        <v>10.199999999999999</v>
      </c>
      <c r="E99" s="64">
        <v>5.92</v>
      </c>
      <c r="F99" s="64">
        <v>2.62</v>
      </c>
      <c r="G99" s="64">
        <v>45.82</v>
      </c>
      <c r="H99" s="64">
        <v>22.66</v>
      </c>
      <c r="I99" s="64">
        <v>2.82</v>
      </c>
      <c r="J99" s="64">
        <v>0.48</v>
      </c>
      <c r="K99" s="64">
        <v>112.51</v>
      </c>
      <c r="L99" s="64">
        <v>26.01</v>
      </c>
      <c r="M99" s="64">
        <v>92.91</v>
      </c>
      <c r="N99" s="64">
        <v>26.1</v>
      </c>
      <c r="O99" s="64">
        <v>0</v>
      </c>
      <c r="P99" s="64">
        <v>0.56000000000000005</v>
      </c>
      <c r="Q99" s="64">
        <v>9.6</v>
      </c>
      <c r="R99" s="198"/>
      <c r="S99" s="198"/>
      <c r="T99" s="198"/>
      <c r="U99" s="198"/>
    </row>
    <row r="100" spans="1:33" s="12" customFormat="1" x14ac:dyDescent="0.25">
      <c r="A100" s="215" t="s">
        <v>1777</v>
      </c>
      <c r="B100" s="64">
        <v>7.54</v>
      </c>
      <c r="C100" s="64">
        <v>8.09</v>
      </c>
      <c r="D100" s="64">
        <v>10.27</v>
      </c>
      <c r="E100" s="64">
        <v>6.14</v>
      </c>
      <c r="F100" s="64">
        <v>3.51</v>
      </c>
      <c r="G100" s="64">
        <v>45.37</v>
      </c>
      <c r="H100" s="64">
        <v>22.78</v>
      </c>
      <c r="I100" s="64">
        <v>3.17</v>
      </c>
      <c r="J100" s="64">
        <v>1.26</v>
      </c>
      <c r="K100" s="64">
        <v>118.78</v>
      </c>
      <c r="L100" s="64">
        <v>26.05</v>
      </c>
      <c r="M100" s="64">
        <v>91.97</v>
      </c>
      <c r="N100" s="64">
        <v>25.9</v>
      </c>
      <c r="O100" s="64">
        <v>0</v>
      </c>
      <c r="P100" s="64">
        <v>0.5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1778</v>
      </c>
      <c r="B101" s="64">
        <v>7.17</v>
      </c>
      <c r="C101" s="64">
        <v>7.6</v>
      </c>
      <c r="D101" s="64">
        <v>9.7200000000000006</v>
      </c>
      <c r="E101" s="64">
        <v>5.63</v>
      </c>
      <c r="F101" s="64">
        <v>3.97</v>
      </c>
      <c r="G101" s="64">
        <v>45.37</v>
      </c>
      <c r="H101" s="64">
        <v>22.78</v>
      </c>
      <c r="I101" s="64">
        <v>2.4900000000000002</v>
      </c>
      <c r="J101" s="64">
        <v>0.91</v>
      </c>
      <c r="K101" s="64">
        <v>116.15</v>
      </c>
      <c r="L101" s="64">
        <v>25.89</v>
      </c>
      <c r="M101" s="64">
        <v>92.46</v>
      </c>
      <c r="N101" s="64">
        <v>26.1</v>
      </c>
      <c r="O101" s="64">
        <v>0</v>
      </c>
      <c r="P101" s="64">
        <v>0.48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5" t="s">
        <v>1779</v>
      </c>
      <c r="B102" s="64">
        <v>6.69</v>
      </c>
      <c r="C102" s="64">
        <v>7.18</v>
      </c>
      <c r="D102" s="64">
        <v>9.1199999999999992</v>
      </c>
      <c r="E102" s="64">
        <v>5.21</v>
      </c>
      <c r="F102" s="64">
        <v>3.7</v>
      </c>
      <c r="G102" s="64">
        <v>45.37</v>
      </c>
      <c r="H102" s="64">
        <v>22.78</v>
      </c>
      <c r="I102" s="64">
        <v>2.0499999999999998</v>
      </c>
      <c r="J102" s="64">
        <v>1.01</v>
      </c>
      <c r="K102" s="64">
        <v>112.64</v>
      </c>
      <c r="L102" s="64">
        <v>25.83</v>
      </c>
      <c r="M102" s="64">
        <v>93.13</v>
      </c>
      <c r="N102" s="64">
        <v>26.1</v>
      </c>
      <c r="O102" s="64">
        <v>0</v>
      </c>
      <c r="P102" s="64">
        <v>0.49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5" t="s">
        <v>1780</v>
      </c>
      <c r="B103" s="64">
        <v>6.37</v>
      </c>
      <c r="C103" s="64">
        <v>6.96</v>
      </c>
      <c r="D103" s="64">
        <v>8.74</v>
      </c>
      <c r="E103" s="64">
        <v>5.53</v>
      </c>
      <c r="F103" s="64">
        <v>3.41</v>
      </c>
      <c r="G103" s="64">
        <v>45.24</v>
      </c>
      <c r="H103" s="64">
        <v>19.739999999999998</v>
      </c>
      <c r="I103" s="64">
        <v>2.13</v>
      </c>
      <c r="J103" s="64">
        <v>0.89</v>
      </c>
      <c r="K103" s="64">
        <v>113.27</v>
      </c>
      <c r="L103" s="64">
        <v>25.72</v>
      </c>
      <c r="M103" s="64">
        <v>93.36</v>
      </c>
      <c r="N103" s="64">
        <v>26.1</v>
      </c>
      <c r="O103" s="64">
        <v>0</v>
      </c>
      <c r="P103" s="64">
        <v>0.49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1781</v>
      </c>
      <c r="B104" s="64">
        <v>5.94</v>
      </c>
      <c r="C104" s="64">
        <v>6.66</v>
      </c>
      <c r="D104" s="64">
        <v>8.24</v>
      </c>
      <c r="E104" s="64">
        <v>4.26</v>
      </c>
      <c r="F104" s="64">
        <v>3.96</v>
      </c>
      <c r="G104" s="64">
        <v>45.19</v>
      </c>
      <c r="H104" s="64">
        <v>19.55</v>
      </c>
      <c r="I104" s="64">
        <v>2.09</v>
      </c>
      <c r="J104" s="64">
        <v>0.98</v>
      </c>
      <c r="K104" s="64">
        <v>117.77</v>
      </c>
      <c r="L104" s="64">
        <v>25.71</v>
      </c>
      <c r="M104" s="64">
        <v>92.84</v>
      </c>
      <c r="N104" s="64">
        <v>26</v>
      </c>
      <c r="O104" s="64">
        <v>0</v>
      </c>
      <c r="P104" s="64">
        <v>0.46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0.01</v>
      </c>
      <c r="C106" s="67">
        <f>MIN(C9:C104)</f>
        <v>3.97</v>
      </c>
      <c r="D106" s="67">
        <f t="shared" ref="D106:Q106" si="0">MIN(D9:D104)</f>
        <v>2.69</v>
      </c>
      <c r="E106" s="67">
        <f t="shared" si="0"/>
        <v>3.76</v>
      </c>
      <c r="F106" s="67">
        <f t="shared" si="0"/>
        <v>2.6</v>
      </c>
      <c r="G106" s="67">
        <f t="shared" si="0"/>
        <v>17.2</v>
      </c>
      <c r="H106" s="67">
        <f t="shared" si="0"/>
        <v>13.93</v>
      </c>
      <c r="I106" s="67">
        <f t="shared" si="0"/>
        <v>0.76</v>
      </c>
      <c r="J106" s="67">
        <f t="shared" si="0"/>
        <v>0.03</v>
      </c>
      <c r="K106" s="67">
        <f t="shared" si="0"/>
        <v>23.96</v>
      </c>
      <c r="L106" s="67">
        <f t="shared" si="0"/>
        <v>1.07</v>
      </c>
      <c r="M106" s="67">
        <f t="shared" si="0"/>
        <v>59.91</v>
      </c>
      <c r="N106" s="67">
        <f t="shared" si="0"/>
        <v>25.5</v>
      </c>
      <c r="O106" s="67">
        <f t="shared" si="0"/>
        <v>0</v>
      </c>
      <c r="P106" s="67">
        <f t="shared" si="0"/>
        <v>0.27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7.55</v>
      </c>
      <c r="C107" s="66">
        <f t="shared" ref="C107:Q107" si="1">MAX(C9:C104)</f>
        <v>8.5</v>
      </c>
      <c r="D107" s="66">
        <f t="shared" si="1"/>
        <v>10.27</v>
      </c>
      <c r="E107" s="66">
        <f t="shared" si="1"/>
        <v>7.38</v>
      </c>
      <c r="F107" s="66">
        <f t="shared" si="1"/>
        <v>7.49</v>
      </c>
      <c r="G107" s="66">
        <f t="shared" si="1"/>
        <v>46.88</v>
      </c>
      <c r="H107" s="66">
        <f t="shared" si="1"/>
        <v>22.96</v>
      </c>
      <c r="I107" s="66">
        <f t="shared" si="1"/>
        <v>6.09</v>
      </c>
      <c r="J107" s="66">
        <f t="shared" si="1"/>
        <v>1.55</v>
      </c>
      <c r="K107" s="66">
        <f t="shared" si="1"/>
        <v>345.48</v>
      </c>
      <c r="L107" s="66">
        <f t="shared" si="1"/>
        <v>30.66</v>
      </c>
      <c r="M107" s="66">
        <f t="shared" si="1"/>
        <v>102.72</v>
      </c>
      <c r="N107" s="66">
        <f t="shared" si="1"/>
        <v>707.3</v>
      </c>
      <c r="O107" s="66">
        <f t="shared" si="1"/>
        <v>0</v>
      </c>
      <c r="P107" s="66">
        <f t="shared" si="1"/>
        <v>0.84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2.9953125000000003</v>
      </c>
      <c r="C108" s="67">
        <f t="shared" ref="C108:Q108" si="2">AVERAGE(C9:C104)</f>
        <v>6.1556250000000006</v>
      </c>
      <c r="D108" s="67">
        <f t="shared" si="2"/>
        <v>5.6171875</v>
      </c>
      <c r="E108" s="67">
        <f t="shared" si="2"/>
        <v>4.9843749999999991</v>
      </c>
      <c r="F108" s="67">
        <f t="shared" si="2"/>
        <v>4.1226041666666671</v>
      </c>
      <c r="G108" s="67">
        <f t="shared" si="2"/>
        <v>33.934301075268806</v>
      </c>
      <c r="H108" s="67">
        <f t="shared" si="2"/>
        <v>18.526666666666664</v>
      </c>
      <c r="I108" s="67">
        <f t="shared" si="2"/>
        <v>2.8167708333333334</v>
      </c>
      <c r="J108" s="67">
        <f t="shared" si="2"/>
        <v>0.66625000000000001</v>
      </c>
      <c r="K108" s="67">
        <f t="shared" si="2"/>
        <v>141.15520833333326</v>
      </c>
      <c r="L108" s="67">
        <f t="shared" si="2"/>
        <v>26.751666666666665</v>
      </c>
      <c r="M108" s="67">
        <f t="shared" si="2"/>
        <v>84.621874999999974</v>
      </c>
      <c r="N108" s="67">
        <f t="shared" si="2"/>
        <v>151.45729166666675</v>
      </c>
      <c r="O108" s="67">
        <f t="shared" si="2"/>
        <v>0</v>
      </c>
      <c r="P108" s="67">
        <f t="shared" si="2"/>
        <v>0.42583333333333334</v>
      </c>
      <c r="Q108" s="67">
        <f t="shared" si="2"/>
        <v>9.6098958333333435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2.4063717843412484</v>
      </c>
      <c r="C109" s="67">
        <f t="shared" ref="C109:Q109" si="3">STDEV(C9:C104)</f>
        <v>1.0353771878173759</v>
      </c>
      <c r="D109" s="67">
        <f t="shared" si="3"/>
        <v>2.083332706140256</v>
      </c>
      <c r="E109" s="67">
        <f t="shared" si="3"/>
        <v>0.72355673039870727</v>
      </c>
      <c r="F109" s="67">
        <f t="shared" si="3"/>
        <v>0.94657637364364078</v>
      </c>
      <c r="G109" s="67">
        <f t="shared" si="3"/>
        <v>6.3543284456601237</v>
      </c>
      <c r="H109" s="67">
        <f t="shared" si="3"/>
        <v>2.8950010638029884</v>
      </c>
      <c r="I109" s="67">
        <f t="shared" si="3"/>
        <v>1.2003126739941039</v>
      </c>
      <c r="J109" s="67">
        <f t="shared" si="3"/>
        <v>0.39141914537797129</v>
      </c>
      <c r="K109" s="67">
        <f t="shared" si="3"/>
        <v>67.776303636986668</v>
      </c>
      <c r="L109" s="67">
        <f t="shared" si="3"/>
        <v>3.4823261030120638</v>
      </c>
      <c r="M109" s="67">
        <f t="shared" si="3"/>
        <v>13.970704485307595</v>
      </c>
      <c r="N109" s="67">
        <f t="shared" si="3"/>
        <v>182.37342647193424</v>
      </c>
      <c r="O109" s="67">
        <f t="shared" si="3"/>
        <v>0</v>
      </c>
      <c r="P109" s="67">
        <f t="shared" si="3"/>
        <v>0.11711143291454594</v>
      </c>
      <c r="Q109" s="67">
        <f t="shared" si="3"/>
        <v>8.5217729396579248E-3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1784</v>
      </c>
      <c r="B9" s="64">
        <v>5.47</v>
      </c>
      <c r="C9" s="64">
        <v>6.34</v>
      </c>
      <c r="D9" s="64">
        <v>7.7</v>
      </c>
      <c r="E9" s="64">
        <v>5.19</v>
      </c>
      <c r="F9" s="64">
        <v>3.72</v>
      </c>
      <c r="G9" s="64">
        <v>45.19</v>
      </c>
      <c r="H9" s="64">
        <v>19.55</v>
      </c>
      <c r="I9" s="64">
        <v>2.2000000000000002</v>
      </c>
      <c r="J9" s="64">
        <v>0.7</v>
      </c>
      <c r="K9" s="64">
        <v>111.66</v>
      </c>
      <c r="L9" s="64">
        <v>25.66</v>
      </c>
      <c r="M9" s="64">
        <v>92.58</v>
      </c>
      <c r="N9" s="64">
        <v>26.1</v>
      </c>
      <c r="O9" s="64">
        <v>0</v>
      </c>
      <c r="P9" s="64">
        <v>0.44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1785</v>
      </c>
      <c r="B10" s="64">
        <v>5.08</v>
      </c>
      <c r="C10" s="64">
        <v>5.9</v>
      </c>
      <c r="D10" s="64">
        <v>7.16</v>
      </c>
      <c r="E10" s="64">
        <v>4.57</v>
      </c>
      <c r="F10" s="64">
        <v>3.84</v>
      </c>
      <c r="G10" s="64">
        <v>45.19</v>
      </c>
      <c r="H10" s="64">
        <v>19.55</v>
      </c>
      <c r="I10" s="64">
        <v>2.02</v>
      </c>
      <c r="J10" s="64">
        <v>0.89</v>
      </c>
      <c r="K10" s="64">
        <v>122.9</v>
      </c>
      <c r="L10" s="64">
        <v>25.45</v>
      </c>
      <c r="M10" s="64">
        <v>94.78</v>
      </c>
      <c r="N10" s="64">
        <v>26.1</v>
      </c>
      <c r="O10" s="64">
        <v>0</v>
      </c>
      <c r="P10" s="64">
        <v>0.45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1786</v>
      </c>
      <c r="B11" s="64">
        <v>4.7</v>
      </c>
      <c r="C11" s="64">
        <v>5.64</v>
      </c>
      <c r="D11" s="64">
        <v>6.71</v>
      </c>
      <c r="E11" s="64">
        <v>4.7</v>
      </c>
      <c r="F11" s="64">
        <v>3.82</v>
      </c>
      <c r="G11" s="64">
        <v>41.57</v>
      </c>
      <c r="H11" s="64">
        <v>16.12</v>
      </c>
      <c r="I11" s="64">
        <v>1.62</v>
      </c>
      <c r="J11" s="64">
        <v>0.4</v>
      </c>
      <c r="K11" s="64">
        <v>107.18</v>
      </c>
      <c r="L11" s="64">
        <v>25.33</v>
      </c>
      <c r="M11" s="64">
        <v>96.22</v>
      </c>
      <c r="N11" s="64">
        <v>26.1</v>
      </c>
      <c r="O11" s="64">
        <v>0</v>
      </c>
      <c r="P11" s="64">
        <v>0.43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1787</v>
      </c>
      <c r="B12" s="64">
        <v>4.32</v>
      </c>
      <c r="C12" s="64">
        <v>6.14</v>
      </c>
      <c r="D12" s="64">
        <v>6.67</v>
      </c>
      <c r="E12" s="64">
        <v>4.93</v>
      </c>
      <c r="F12" s="64">
        <v>4.21</v>
      </c>
      <c r="G12" s="64">
        <v>40.01</v>
      </c>
      <c r="H12" s="64">
        <v>15.9</v>
      </c>
      <c r="I12" s="64">
        <v>1.4</v>
      </c>
      <c r="J12" s="64">
        <v>1.04</v>
      </c>
      <c r="K12" s="64">
        <v>116.91</v>
      </c>
      <c r="L12" s="64">
        <v>25.33</v>
      </c>
      <c r="M12" s="64">
        <v>95.96</v>
      </c>
      <c r="N12" s="64">
        <v>25.8</v>
      </c>
      <c r="O12" s="64">
        <v>0</v>
      </c>
      <c r="P12" s="64">
        <v>0.52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1788</v>
      </c>
      <c r="B13" s="64">
        <v>3.92</v>
      </c>
      <c r="C13" s="64">
        <v>5.77</v>
      </c>
      <c r="D13" s="64">
        <v>6.16</v>
      </c>
      <c r="E13" s="64">
        <v>4.92</v>
      </c>
      <c r="F13" s="64">
        <v>3.77</v>
      </c>
      <c r="G13" s="64">
        <v>40.01</v>
      </c>
      <c r="H13" s="64">
        <v>15.9</v>
      </c>
      <c r="I13" s="64">
        <v>2.62</v>
      </c>
      <c r="J13" s="64">
        <v>1.19</v>
      </c>
      <c r="K13" s="64">
        <v>118.97</v>
      </c>
      <c r="L13" s="64">
        <v>25.34</v>
      </c>
      <c r="M13" s="64">
        <v>94.52</v>
      </c>
      <c r="N13" s="64">
        <v>26</v>
      </c>
      <c r="O13" s="64">
        <v>0</v>
      </c>
      <c r="P13" s="64">
        <v>0.43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5" t="s">
        <v>1789</v>
      </c>
      <c r="B14" s="64">
        <v>3.46</v>
      </c>
      <c r="C14" s="64">
        <v>5.8</v>
      </c>
      <c r="D14" s="64">
        <v>5.8</v>
      </c>
      <c r="E14" s="64">
        <v>4.76</v>
      </c>
      <c r="F14" s="64">
        <v>3.5</v>
      </c>
      <c r="G14" s="64">
        <v>40.01</v>
      </c>
      <c r="H14" s="64">
        <v>15.9</v>
      </c>
      <c r="I14" s="64">
        <v>3.75</v>
      </c>
      <c r="J14" s="64">
        <v>1.45</v>
      </c>
      <c r="K14" s="64">
        <v>117.99</v>
      </c>
      <c r="L14" s="64">
        <v>25.27</v>
      </c>
      <c r="M14" s="64">
        <v>93.92</v>
      </c>
      <c r="N14" s="64">
        <v>26</v>
      </c>
      <c r="O14" s="64">
        <v>0</v>
      </c>
      <c r="P14" s="64">
        <v>0.48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1790</v>
      </c>
      <c r="B15" s="64">
        <v>3.04</v>
      </c>
      <c r="C15" s="64">
        <v>5.39</v>
      </c>
      <c r="D15" s="64">
        <v>5.25</v>
      </c>
      <c r="E15" s="64">
        <v>4.6900000000000004</v>
      </c>
      <c r="F15" s="64">
        <v>4.04</v>
      </c>
      <c r="G15" s="64">
        <v>40.46</v>
      </c>
      <c r="H15" s="64">
        <v>24.73</v>
      </c>
      <c r="I15" s="64">
        <v>4.4000000000000004</v>
      </c>
      <c r="J15" s="64">
        <v>1.48</v>
      </c>
      <c r="K15" s="64">
        <v>114.18</v>
      </c>
      <c r="L15" s="64">
        <v>25.22</v>
      </c>
      <c r="M15" s="64">
        <v>94.21</v>
      </c>
      <c r="N15" s="64">
        <v>26</v>
      </c>
      <c r="O15" s="64">
        <v>0</v>
      </c>
      <c r="P15" s="64">
        <v>0.47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5" t="s">
        <v>1791</v>
      </c>
      <c r="B16" s="64">
        <v>2.69</v>
      </c>
      <c r="C16" s="64">
        <v>5.18</v>
      </c>
      <c r="D16" s="64">
        <v>4.8600000000000003</v>
      </c>
      <c r="E16" s="64">
        <v>4.96</v>
      </c>
      <c r="F16" s="64">
        <v>3.1</v>
      </c>
      <c r="G16" s="64">
        <v>40.65</v>
      </c>
      <c r="H16" s="64">
        <v>25.44</v>
      </c>
      <c r="I16" s="64">
        <v>4.83</v>
      </c>
      <c r="J16" s="64">
        <v>0.91</v>
      </c>
      <c r="K16" s="64">
        <v>107.87</v>
      </c>
      <c r="L16" s="64">
        <v>25.08</v>
      </c>
      <c r="M16" s="64">
        <v>95.03</v>
      </c>
      <c r="N16" s="64">
        <v>26.1</v>
      </c>
      <c r="O16" s="64">
        <v>0</v>
      </c>
      <c r="P16" s="64">
        <v>0.39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1792</v>
      </c>
      <c r="B17" s="64">
        <v>2.36</v>
      </c>
      <c r="C17" s="64">
        <v>4.95</v>
      </c>
      <c r="D17" s="64">
        <v>4.4800000000000004</v>
      </c>
      <c r="E17" s="64">
        <v>4.42</v>
      </c>
      <c r="F17" s="64">
        <v>4.2300000000000004</v>
      </c>
      <c r="G17" s="64">
        <v>40.65</v>
      </c>
      <c r="H17" s="64">
        <v>25.44</v>
      </c>
      <c r="I17" s="64">
        <v>4.51</v>
      </c>
      <c r="J17" s="64">
        <v>1.18</v>
      </c>
      <c r="K17" s="64">
        <v>113.73</v>
      </c>
      <c r="L17" s="64">
        <v>24.97</v>
      </c>
      <c r="M17" s="64">
        <v>95.69</v>
      </c>
      <c r="N17" s="64">
        <v>26.1</v>
      </c>
      <c r="O17" s="64">
        <v>0</v>
      </c>
      <c r="P17" s="64">
        <v>0.45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5" t="s">
        <v>1793</v>
      </c>
      <c r="B18" s="64">
        <v>2.12</v>
      </c>
      <c r="C18" s="64">
        <v>5.03</v>
      </c>
      <c r="D18" s="64">
        <v>4.33</v>
      </c>
      <c r="E18" s="64">
        <v>4.62</v>
      </c>
      <c r="F18" s="64">
        <v>2.75</v>
      </c>
      <c r="G18" s="64">
        <v>40.65</v>
      </c>
      <c r="H18" s="64">
        <v>25.44</v>
      </c>
      <c r="I18" s="64">
        <v>3.23</v>
      </c>
      <c r="J18" s="64">
        <v>0.97</v>
      </c>
      <c r="K18" s="64">
        <v>110.76</v>
      </c>
      <c r="L18" s="64">
        <v>24.88</v>
      </c>
      <c r="M18" s="64">
        <v>95.61</v>
      </c>
      <c r="N18" s="64">
        <v>26.1</v>
      </c>
      <c r="O18" s="64">
        <v>0</v>
      </c>
      <c r="P18" s="64">
        <v>0.36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1794</v>
      </c>
      <c r="B19" s="64">
        <v>1.91</v>
      </c>
      <c r="C19" s="64">
        <v>4.62</v>
      </c>
      <c r="D19" s="64">
        <v>3.95</v>
      </c>
      <c r="E19" s="64">
        <v>4.41</v>
      </c>
      <c r="F19" s="64">
        <v>4.07</v>
      </c>
      <c r="G19" s="64">
        <v>35.74</v>
      </c>
      <c r="H19" s="64">
        <v>20.79</v>
      </c>
      <c r="I19" s="64">
        <v>3.95</v>
      </c>
      <c r="J19" s="64">
        <v>0.81</v>
      </c>
      <c r="K19" s="64">
        <v>107.94</v>
      </c>
      <c r="L19" s="64">
        <v>24.78</v>
      </c>
      <c r="M19" s="64">
        <v>95.23</v>
      </c>
      <c r="N19" s="64">
        <v>26</v>
      </c>
      <c r="O19" s="64">
        <v>0</v>
      </c>
      <c r="P19" s="64">
        <v>0.39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1795</v>
      </c>
      <c r="B20" s="64">
        <v>1.8</v>
      </c>
      <c r="C20" s="64">
        <v>4.93</v>
      </c>
      <c r="D20" s="64">
        <v>4.0199999999999996</v>
      </c>
      <c r="E20" s="64">
        <v>4.5199999999999996</v>
      </c>
      <c r="F20" s="64">
        <v>3.37</v>
      </c>
      <c r="G20" s="64">
        <v>33.630000000000003</v>
      </c>
      <c r="H20" s="64">
        <v>20.190000000000001</v>
      </c>
      <c r="I20" s="64">
        <v>2.71</v>
      </c>
      <c r="J20" s="64">
        <v>0.97</v>
      </c>
      <c r="K20" s="64">
        <v>113.81</v>
      </c>
      <c r="L20" s="64">
        <v>24.73</v>
      </c>
      <c r="M20" s="64">
        <v>95.19</v>
      </c>
      <c r="N20" s="64">
        <v>26</v>
      </c>
      <c r="O20" s="64">
        <v>0</v>
      </c>
      <c r="P20" s="64">
        <v>0.35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5" t="s">
        <v>1796</v>
      </c>
      <c r="B21" s="64">
        <v>1.69</v>
      </c>
      <c r="C21" s="64">
        <v>4.4000000000000004</v>
      </c>
      <c r="D21" s="64">
        <v>3.65</v>
      </c>
      <c r="E21" s="64">
        <v>4.51</v>
      </c>
      <c r="F21" s="64">
        <v>3.63</v>
      </c>
      <c r="G21" s="64">
        <v>33.630000000000003</v>
      </c>
      <c r="H21" s="64">
        <v>20.190000000000001</v>
      </c>
      <c r="I21" s="64">
        <v>3.27</v>
      </c>
      <c r="J21" s="64">
        <v>0.53</v>
      </c>
      <c r="K21" s="64">
        <v>113.92</v>
      </c>
      <c r="L21" s="64">
        <v>24.67</v>
      </c>
      <c r="M21" s="64">
        <v>95.38</v>
      </c>
      <c r="N21" s="64">
        <v>26</v>
      </c>
      <c r="O21" s="64">
        <v>0</v>
      </c>
      <c r="P21" s="64">
        <v>0.32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1797</v>
      </c>
      <c r="B22" s="64">
        <v>1.62</v>
      </c>
      <c r="C22" s="64">
        <v>4.09</v>
      </c>
      <c r="D22" s="64">
        <v>3.43</v>
      </c>
      <c r="E22" s="64">
        <v>4.38</v>
      </c>
      <c r="F22" s="64">
        <v>3.68</v>
      </c>
      <c r="G22" s="64">
        <v>33.630000000000003</v>
      </c>
      <c r="H22" s="64">
        <v>20.190000000000001</v>
      </c>
      <c r="I22" s="64">
        <v>2.78</v>
      </c>
      <c r="J22" s="64">
        <v>0.96</v>
      </c>
      <c r="K22" s="64">
        <v>115.86</v>
      </c>
      <c r="L22" s="64">
        <v>24.67</v>
      </c>
      <c r="M22" s="64">
        <v>94.98</v>
      </c>
      <c r="N22" s="64">
        <v>25.8</v>
      </c>
      <c r="O22" s="64">
        <v>0</v>
      </c>
      <c r="P22" s="64">
        <v>0.31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1798</v>
      </c>
      <c r="B23" s="64">
        <v>1.61</v>
      </c>
      <c r="C23" s="64">
        <v>4.0199999999999996</v>
      </c>
      <c r="D23" s="64">
        <v>3.39</v>
      </c>
      <c r="E23" s="64">
        <v>4.17</v>
      </c>
      <c r="F23" s="64">
        <v>3.53</v>
      </c>
      <c r="G23" s="64">
        <v>32.979999999999997</v>
      </c>
      <c r="H23" s="64">
        <v>16.82</v>
      </c>
      <c r="I23" s="64">
        <v>1.76</v>
      </c>
      <c r="J23" s="64">
        <v>0.92</v>
      </c>
      <c r="K23" s="64">
        <v>110.78</v>
      </c>
      <c r="L23" s="64">
        <v>24.64</v>
      </c>
      <c r="M23" s="64">
        <v>95.01</v>
      </c>
      <c r="N23" s="64">
        <v>26</v>
      </c>
      <c r="O23" s="64">
        <v>0</v>
      </c>
      <c r="P23" s="64">
        <v>0.31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1799</v>
      </c>
      <c r="B24" s="64">
        <v>1.65</v>
      </c>
      <c r="C24" s="64">
        <v>3.95</v>
      </c>
      <c r="D24" s="64">
        <v>3.39</v>
      </c>
      <c r="E24" s="64">
        <v>4.53</v>
      </c>
      <c r="F24" s="64">
        <v>2.95</v>
      </c>
      <c r="G24" s="64">
        <v>32.700000000000003</v>
      </c>
      <c r="H24" s="64">
        <v>16.54</v>
      </c>
      <c r="I24" s="64">
        <v>1.58</v>
      </c>
      <c r="J24" s="64">
        <v>0.9</v>
      </c>
      <c r="K24" s="64">
        <v>121.52</v>
      </c>
      <c r="L24" s="64">
        <v>24.55</v>
      </c>
      <c r="M24" s="64">
        <v>96.19</v>
      </c>
      <c r="N24" s="64">
        <v>26</v>
      </c>
      <c r="O24" s="64">
        <v>0</v>
      </c>
      <c r="P24" s="64">
        <v>0.31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1800</v>
      </c>
      <c r="B25" s="64">
        <v>1.65</v>
      </c>
      <c r="C25" s="64">
        <v>3.96</v>
      </c>
      <c r="D25" s="64">
        <v>3.39</v>
      </c>
      <c r="E25" s="64">
        <v>4.88</v>
      </c>
      <c r="F25" s="64">
        <v>3.33</v>
      </c>
      <c r="G25" s="64">
        <v>32.700000000000003</v>
      </c>
      <c r="H25" s="64">
        <v>16.54</v>
      </c>
      <c r="I25" s="64">
        <v>1.69</v>
      </c>
      <c r="J25" s="64">
        <v>1.31</v>
      </c>
      <c r="K25" s="64">
        <v>112.89</v>
      </c>
      <c r="L25" s="64">
        <v>24.51</v>
      </c>
      <c r="M25" s="64">
        <v>96.23</v>
      </c>
      <c r="N25" s="64">
        <v>26</v>
      </c>
      <c r="O25" s="64">
        <v>0</v>
      </c>
      <c r="P25" s="64">
        <v>0.34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1801</v>
      </c>
      <c r="B26" s="64">
        <v>1.66</v>
      </c>
      <c r="C26" s="64">
        <v>4.08</v>
      </c>
      <c r="D26" s="64">
        <v>3.46</v>
      </c>
      <c r="E26" s="64">
        <v>5.17</v>
      </c>
      <c r="F26" s="64">
        <v>3.48</v>
      </c>
      <c r="G26" s="64">
        <v>32.700000000000003</v>
      </c>
      <c r="H26" s="64">
        <v>16.54</v>
      </c>
      <c r="I26" s="64">
        <v>2.33</v>
      </c>
      <c r="J26" s="64">
        <v>0.88</v>
      </c>
      <c r="K26" s="64">
        <v>104.55</v>
      </c>
      <c r="L26" s="64">
        <v>24.34</v>
      </c>
      <c r="M26" s="64">
        <v>98.03</v>
      </c>
      <c r="N26" s="64">
        <v>26.1</v>
      </c>
      <c r="O26" s="64">
        <v>0</v>
      </c>
      <c r="P26" s="64">
        <v>0.32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1802</v>
      </c>
      <c r="B27" s="64">
        <v>1.71</v>
      </c>
      <c r="C27" s="64">
        <v>4.1900000000000004</v>
      </c>
      <c r="D27" s="64">
        <v>3.56</v>
      </c>
      <c r="E27" s="64">
        <v>4.9800000000000004</v>
      </c>
      <c r="F27" s="64">
        <v>3.48</v>
      </c>
      <c r="G27" s="64">
        <v>29.07</v>
      </c>
      <c r="H27" s="64">
        <v>17.11</v>
      </c>
      <c r="I27" s="64">
        <v>2.78</v>
      </c>
      <c r="J27" s="64">
        <v>0.56000000000000005</v>
      </c>
      <c r="K27" s="64">
        <v>101.2</v>
      </c>
      <c r="L27" s="64">
        <v>24.28</v>
      </c>
      <c r="M27" s="64">
        <v>98.38</v>
      </c>
      <c r="N27" s="64">
        <v>26.1</v>
      </c>
      <c r="O27" s="64">
        <v>0</v>
      </c>
      <c r="P27" s="64">
        <v>0.31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1803</v>
      </c>
      <c r="B28" s="64">
        <v>1.87</v>
      </c>
      <c r="C28" s="64">
        <v>4.32</v>
      </c>
      <c r="D28" s="64">
        <v>3.76</v>
      </c>
      <c r="E28" s="64">
        <v>5</v>
      </c>
      <c r="F28" s="64">
        <v>3.73</v>
      </c>
      <c r="G28" s="64">
        <v>27.51</v>
      </c>
      <c r="H28" s="64">
        <v>17.16</v>
      </c>
      <c r="I28" s="64">
        <v>2.65</v>
      </c>
      <c r="J28" s="64">
        <v>0.12</v>
      </c>
      <c r="K28" s="64">
        <v>264.79000000000002</v>
      </c>
      <c r="L28" s="64">
        <v>24.03</v>
      </c>
      <c r="M28" s="64">
        <v>100.34</v>
      </c>
      <c r="N28" s="64">
        <v>26.4</v>
      </c>
      <c r="O28" s="64">
        <v>0</v>
      </c>
      <c r="P28" s="64">
        <v>0.35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1804</v>
      </c>
      <c r="B29" s="64">
        <v>2.73</v>
      </c>
      <c r="C29" s="64">
        <v>4.97</v>
      </c>
      <c r="D29" s="64">
        <v>4.79</v>
      </c>
      <c r="E29" s="64">
        <v>5.33</v>
      </c>
      <c r="F29" s="64">
        <v>3.56</v>
      </c>
      <c r="G29" s="64">
        <v>27.51</v>
      </c>
      <c r="H29" s="64">
        <v>17.16</v>
      </c>
      <c r="I29" s="64">
        <v>1.86</v>
      </c>
      <c r="J29" s="64">
        <v>0.09</v>
      </c>
      <c r="K29" s="64">
        <v>129.86000000000001</v>
      </c>
      <c r="L29" s="64">
        <v>23.72</v>
      </c>
      <c r="M29" s="64">
        <v>102.17</v>
      </c>
      <c r="N29" s="64">
        <v>26.2</v>
      </c>
      <c r="O29" s="64">
        <v>0</v>
      </c>
      <c r="P29" s="64">
        <v>0.36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1805</v>
      </c>
      <c r="B30" s="64">
        <v>3.16</v>
      </c>
      <c r="C30" s="64">
        <v>4.8499999999999996</v>
      </c>
      <c r="D30" s="64">
        <v>5.07</v>
      </c>
      <c r="E30" s="64">
        <v>5.07</v>
      </c>
      <c r="F30" s="64">
        <v>4.1399999999999997</v>
      </c>
      <c r="G30" s="64">
        <v>27.51</v>
      </c>
      <c r="H30" s="64">
        <v>17.16</v>
      </c>
      <c r="I30" s="64">
        <v>3.98</v>
      </c>
      <c r="J30" s="64">
        <v>0.63</v>
      </c>
      <c r="K30" s="64">
        <v>97.54</v>
      </c>
      <c r="L30" s="64">
        <v>23.79</v>
      </c>
      <c r="M30" s="64">
        <v>101.23</v>
      </c>
      <c r="N30" s="64">
        <v>25.8</v>
      </c>
      <c r="O30" s="64">
        <v>0</v>
      </c>
      <c r="P30" s="64">
        <v>0.37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1806</v>
      </c>
      <c r="B31" s="64">
        <v>3.27</v>
      </c>
      <c r="C31" s="64">
        <v>4.91</v>
      </c>
      <c r="D31" s="64">
        <v>5.18</v>
      </c>
      <c r="E31" s="64">
        <v>5.66</v>
      </c>
      <c r="F31" s="64">
        <v>3.27</v>
      </c>
      <c r="G31" s="64">
        <v>28.71</v>
      </c>
      <c r="H31" s="64">
        <v>19.39</v>
      </c>
      <c r="I31" s="64">
        <v>3.17</v>
      </c>
      <c r="J31" s="64">
        <v>1.27</v>
      </c>
      <c r="K31" s="64">
        <v>114.94</v>
      </c>
      <c r="L31" s="64">
        <v>24</v>
      </c>
      <c r="M31" s="64">
        <v>99.43</v>
      </c>
      <c r="N31" s="64">
        <v>25.7</v>
      </c>
      <c r="O31" s="64">
        <v>0</v>
      </c>
      <c r="P31" s="64">
        <v>0.36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1807</v>
      </c>
      <c r="B32" s="64">
        <v>3.25</v>
      </c>
      <c r="C32" s="64">
        <v>5.03</v>
      </c>
      <c r="D32" s="64">
        <v>5.24</v>
      </c>
      <c r="E32" s="64">
        <v>5.01</v>
      </c>
      <c r="F32" s="64">
        <v>3.35</v>
      </c>
      <c r="G32" s="64">
        <v>29.23</v>
      </c>
      <c r="H32" s="64">
        <v>19.57</v>
      </c>
      <c r="I32" s="64">
        <v>3.04</v>
      </c>
      <c r="J32" s="64">
        <v>0.67</v>
      </c>
      <c r="K32" s="64">
        <v>106.23</v>
      </c>
      <c r="L32" s="64">
        <v>23.99</v>
      </c>
      <c r="M32" s="64">
        <v>99.6</v>
      </c>
      <c r="N32" s="64">
        <v>27.5</v>
      </c>
      <c r="O32" s="64">
        <v>0</v>
      </c>
      <c r="P32" s="64">
        <v>0.35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5" t="s">
        <v>1808</v>
      </c>
      <c r="B33" s="64">
        <v>3.35</v>
      </c>
      <c r="C33" s="64">
        <v>4.84</v>
      </c>
      <c r="D33" s="64">
        <v>5.21</v>
      </c>
      <c r="E33" s="64">
        <v>4.8899999999999997</v>
      </c>
      <c r="F33" s="64">
        <v>3.92</v>
      </c>
      <c r="G33" s="64">
        <v>29.23</v>
      </c>
      <c r="H33" s="64">
        <v>19.57</v>
      </c>
      <c r="I33" s="64">
        <v>4.03</v>
      </c>
      <c r="J33" s="64">
        <v>0.17</v>
      </c>
      <c r="K33" s="64">
        <v>87.18</v>
      </c>
      <c r="L33" s="64">
        <v>23.83</v>
      </c>
      <c r="M33" s="64">
        <v>101.52</v>
      </c>
      <c r="N33" s="64">
        <v>34.299999999999997</v>
      </c>
      <c r="O33" s="64">
        <v>0</v>
      </c>
      <c r="P33" s="64">
        <v>0.36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5" t="s">
        <v>1809</v>
      </c>
      <c r="B34" s="64">
        <v>4.03</v>
      </c>
      <c r="C34" s="64">
        <v>5.22</v>
      </c>
      <c r="D34" s="64">
        <v>5.96</v>
      </c>
      <c r="E34" s="64">
        <v>5.18</v>
      </c>
      <c r="F34" s="64">
        <v>2.4</v>
      </c>
      <c r="G34" s="64">
        <v>29.23</v>
      </c>
      <c r="H34" s="64">
        <v>19.57</v>
      </c>
      <c r="I34" s="64">
        <v>2.44</v>
      </c>
      <c r="J34" s="64">
        <v>0.16</v>
      </c>
      <c r="K34" s="64">
        <v>42.6</v>
      </c>
      <c r="L34" s="64">
        <v>23.76</v>
      </c>
      <c r="M34" s="64">
        <v>102.27</v>
      </c>
      <c r="N34" s="64">
        <v>49.9</v>
      </c>
      <c r="O34" s="64">
        <v>0</v>
      </c>
      <c r="P34" s="64">
        <v>0.46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1810</v>
      </c>
      <c r="B35" s="64">
        <v>4.9000000000000004</v>
      </c>
      <c r="C35" s="64">
        <v>5.29</v>
      </c>
      <c r="D35" s="64">
        <v>6.7</v>
      </c>
      <c r="E35" s="64">
        <v>5.37</v>
      </c>
      <c r="F35" s="64">
        <v>3.96</v>
      </c>
      <c r="G35" s="64">
        <v>26.23</v>
      </c>
      <c r="H35" s="64">
        <v>17.14</v>
      </c>
      <c r="I35" s="64">
        <v>3.04</v>
      </c>
      <c r="J35" s="64">
        <v>0.22</v>
      </c>
      <c r="K35" s="64">
        <v>54.62</v>
      </c>
      <c r="L35" s="64">
        <v>24.11</v>
      </c>
      <c r="M35" s="64">
        <v>100.95</v>
      </c>
      <c r="N35" s="64">
        <v>79.599999999999994</v>
      </c>
      <c r="O35" s="64">
        <v>0</v>
      </c>
      <c r="P35" s="64">
        <v>0.41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5" t="s">
        <v>1811</v>
      </c>
      <c r="B36" s="64">
        <v>6.7</v>
      </c>
      <c r="C36" s="64">
        <v>5.61</v>
      </c>
      <c r="D36" s="64">
        <v>8.3000000000000007</v>
      </c>
      <c r="E36" s="64">
        <v>5.29</v>
      </c>
      <c r="F36" s="64">
        <v>2.73</v>
      </c>
      <c r="G36" s="64">
        <v>24.94</v>
      </c>
      <c r="H36" s="64">
        <v>16.82</v>
      </c>
      <c r="I36" s="64">
        <v>2.69</v>
      </c>
      <c r="J36" s="64">
        <v>0.25</v>
      </c>
      <c r="K36" s="64">
        <v>16.46</v>
      </c>
      <c r="L36" s="64">
        <v>25.2</v>
      </c>
      <c r="M36" s="64">
        <v>95.33</v>
      </c>
      <c r="N36" s="64">
        <v>123.6</v>
      </c>
      <c r="O36" s="64">
        <v>0</v>
      </c>
      <c r="P36" s="64">
        <v>0.48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5" t="s">
        <v>1812</v>
      </c>
      <c r="B37" s="64">
        <v>8.51</v>
      </c>
      <c r="C37" s="64">
        <v>5.69</v>
      </c>
      <c r="D37" s="64">
        <v>9.8000000000000007</v>
      </c>
      <c r="E37" s="64">
        <v>5.48</v>
      </c>
      <c r="F37" s="64">
        <v>3.93</v>
      </c>
      <c r="G37" s="64">
        <v>24.94</v>
      </c>
      <c r="H37" s="64">
        <v>16.82</v>
      </c>
      <c r="I37" s="64">
        <v>3.1</v>
      </c>
      <c r="J37" s="64">
        <v>0.19</v>
      </c>
      <c r="K37" s="64">
        <v>28.66</v>
      </c>
      <c r="L37" s="64">
        <v>26.13</v>
      </c>
      <c r="M37" s="64">
        <v>92.06</v>
      </c>
      <c r="N37" s="64">
        <v>167.8</v>
      </c>
      <c r="O37" s="64">
        <v>0</v>
      </c>
      <c r="P37" s="64">
        <v>0.45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1813</v>
      </c>
      <c r="B38" s="64">
        <v>9.83</v>
      </c>
      <c r="C38" s="64">
        <v>5.73</v>
      </c>
      <c r="D38" s="64">
        <v>10.87</v>
      </c>
      <c r="E38" s="64">
        <v>5.69</v>
      </c>
      <c r="F38" s="64">
        <v>3.15</v>
      </c>
      <c r="G38" s="64">
        <v>24.94</v>
      </c>
      <c r="H38" s="64">
        <v>16.82</v>
      </c>
      <c r="I38" s="64">
        <v>3.49</v>
      </c>
      <c r="J38" s="64">
        <v>0.33</v>
      </c>
      <c r="K38" s="64">
        <v>98.31</v>
      </c>
      <c r="L38" s="64">
        <v>26.95</v>
      </c>
      <c r="M38" s="64">
        <v>86.35</v>
      </c>
      <c r="N38" s="64">
        <v>221.8</v>
      </c>
      <c r="O38" s="64">
        <v>0</v>
      </c>
      <c r="P38" s="64">
        <v>0.44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1814</v>
      </c>
      <c r="B39" s="64">
        <v>10.43</v>
      </c>
      <c r="C39" s="64">
        <v>5.69</v>
      </c>
      <c r="D39" s="64">
        <v>11.34</v>
      </c>
      <c r="E39" s="64">
        <v>5.6</v>
      </c>
      <c r="F39" s="64">
        <v>3.24</v>
      </c>
      <c r="G39" s="64">
        <v>29.59</v>
      </c>
      <c r="H39" s="64">
        <v>17.25</v>
      </c>
      <c r="I39" s="64">
        <v>3.12</v>
      </c>
      <c r="J39" s="64">
        <v>0.41</v>
      </c>
      <c r="K39" s="64">
        <v>105.62</v>
      </c>
      <c r="L39" s="64">
        <v>27.67</v>
      </c>
      <c r="M39" s="64">
        <v>83.07</v>
      </c>
      <c r="N39" s="64">
        <v>272.3</v>
      </c>
      <c r="O39" s="64">
        <v>0</v>
      </c>
      <c r="P39" s="64">
        <v>0.49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1815</v>
      </c>
      <c r="B40" s="64">
        <v>10.77</v>
      </c>
      <c r="C40" s="64">
        <v>5.68</v>
      </c>
      <c r="D40" s="64">
        <v>11.6</v>
      </c>
      <c r="E40" s="64">
        <v>4.0199999999999996</v>
      </c>
      <c r="F40" s="64">
        <v>3.27</v>
      </c>
      <c r="G40" s="64">
        <v>31.58</v>
      </c>
      <c r="H40" s="64">
        <v>17.28</v>
      </c>
      <c r="I40" s="64">
        <v>2.44</v>
      </c>
      <c r="J40" s="64">
        <v>0.95</v>
      </c>
      <c r="K40" s="64">
        <v>112.76</v>
      </c>
      <c r="L40" s="64">
        <v>27.31</v>
      </c>
      <c r="M40" s="64">
        <v>83.1</v>
      </c>
      <c r="N40" s="64">
        <v>330.5</v>
      </c>
      <c r="O40" s="64">
        <v>0</v>
      </c>
      <c r="P40" s="64">
        <v>0.45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1816</v>
      </c>
      <c r="B41" s="64">
        <v>10.81</v>
      </c>
      <c r="C41" s="64">
        <v>5.91</v>
      </c>
      <c r="D41" s="64">
        <v>11.76</v>
      </c>
      <c r="E41" s="64">
        <v>4.2699999999999996</v>
      </c>
      <c r="F41" s="64">
        <v>3.6</v>
      </c>
      <c r="G41" s="64">
        <v>31.58</v>
      </c>
      <c r="H41" s="64">
        <v>17.28</v>
      </c>
      <c r="I41" s="64">
        <v>3.08</v>
      </c>
      <c r="J41" s="64">
        <v>0.69</v>
      </c>
      <c r="K41" s="64">
        <v>103.24</v>
      </c>
      <c r="L41" s="64">
        <v>28.49</v>
      </c>
      <c r="M41" s="64">
        <v>77.89</v>
      </c>
      <c r="N41" s="64">
        <v>378.5</v>
      </c>
      <c r="O41" s="64">
        <v>0</v>
      </c>
      <c r="P41" s="64">
        <v>0.5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5" t="s">
        <v>1817</v>
      </c>
      <c r="B42" s="64">
        <v>10.74</v>
      </c>
      <c r="C42" s="64">
        <v>6.05</v>
      </c>
      <c r="D42" s="64">
        <v>11.77</v>
      </c>
      <c r="E42" s="64">
        <v>4.0599999999999996</v>
      </c>
      <c r="F42" s="64">
        <v>3.53</v>
      </c>
      <c r="G42" s="64">
        <v>31.58</v>
      </c>
      <c r="H42" s="64">
        <v>17.28</v>
      </c>
      <c r="I42" s="64">
        <v>3.84</v>
      </c>
      <c r="J42" s="64">
        <v>0.69</v>
      </c>
      <c r="K42" s="64">
        <v>105.14</v>
      </c>
      <c r="L42" s="64">
        <v>28.59</v>
      </c>
      <c r="M42" s="64">
        <v>78.08</v>
      </c>
      <c r="N42" s="64">
        <v>436.9</v>
      </c>
      <c r="O42" s="64">
        <v>0</v>
      </c>
      <c r="P42" s="64">
        <v>0.43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1818</v>
      </c>
      <c r="B43" s="64">
        <v>10.48</v>
      </c>
      <c r="C43" s="64">
        <v>6.14</v>
      </c>
      <c r="D43" s="64">
        <v>11.61</v>
      </c>
      <c r="E43" s="64">
        <v>4.49</v>
      </c>
      <c r="F43" s="64">
        <v>3.46</v>
      </c>
      <c r="G43" s="64">
        <v>32.81</v>
      </c>
      <c r="H43" s="64">
        <v>16.190000000000001</v>
      </c>
      <c r="I43" s="64">
        <v>3.34</v>
      </c>
      <c r="J43" s="64">
        <v>0.46</v>
      </c>
      <c r="K43" s="64">
        <v>114.35</v>
      </c>
      <c r="L43" s="64">
        <v>29.89</v>
      </c>
      <c r="M43" s="64">
        <v>73.91</v>
      </c>
      <c r="N43" s="64">
        <v>494.9</v>
      </c>
      <c r="O43" s="64">
        <v>0</v>
      </c>
      <c r="P43" s="64">
        <v>0.43</v>
      </c>
      <c r="Q43" s="64">
        <v>9.6</v>
      </c>
      <c r="R43" s="198"/>
      <c r="S43" s="198"/>
      <c r="T43" s="198"/>
      <c r="U43" s="198"/>
    </row>
    <row r="44" spans="1:21" s="12" customFormat="1" x14ac:dyDescent="0.25">
      <c r="A44" s="215" t="s">
        <v>1819</v>
      </c>
      <c r="B44" s="64">
        <v>10.220000000000001</v>
      </c>
      <c r="C44" s="64">
        <v>6.23</v>
      </c>
      <c r="D44" s="64">
        <v>11.44</v>
      </c>
      <c r="E44" s="64">
        <v>4.57</v>
      </c>
      <c r="F44" s="64">
        <v>3.55</v>
      </c>
      <c r="G44" s="64">
        <v>33.340000000000003</v>
      </c>
      <c r="H44" s="64">
        <v>16.11</v>
      </c>
      <c r="I44" s="64">
        <v>2.56</v>
      </c>
      <c r="J44" s="64">
        <v>0.6</v>
      </c>
      <c r="K44" s="64">
        <v>104.98</v>
      </c>
      <c r="L44" s="64">
        <v>29.92</v>
      </c>
      <c r="M44" s="64">
        <v>74.64</v>
      </c>
      <c r="N44" s="64">
        <v>534.20000000000005</v>
      </c>
      <c r="O44" s="64">
        <v>0</v>
      </c>
      <c r="P44" s="64">
        <v>0.45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1820</v>
      </c>
      <c r="B45" s="64">
        <v>9.8000000000000007</v>
      </c>
      <c r="C45" s="64">
        <v>6.72</v>
      </c>
      <c r="D45" s="64">
        <v>11.37</v>
      </c>
      <c r="E45" s="64">
        <v>4.22</v>
      </c>
      <c r="F45" s="64">
        <v>3.81</v>
      </c>
      <c r="G45" s="64">
        <v>33.340000000000003</v>
      </c>
      <c r="H45" s="64">
        <v>16.11</v>
      </c>
      <c r="I45" s="64">
        <v>2.91</v>
      </c>
      <c r="J45" s="64">
        <v>0.47</v>
      </c>
      <c r="K45" s="64">
        <v>342.17</v>
      </c>
      <c r="L45" s="64">
        <v>29.81</v>
      </c>
      <c r="M45" s="64">
        <v>76.95</v>
      </c>
      <c r="N45" s="64">
        <v>587.9</v>
      </c>
      <c r="O45" s="64">
        <v>0</v>
      </c>
      <c r="P45" s="64">
        <v>0.44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1821</v>
      </c>
      <c r="B46" s="64">
        <v>9.4</v>
      </c>
      <c r="C46" s="64">
        <v>6.73</v>
      </c>
      <c r="D46" s="64">
        <v>11.06</v>
      </c>
      <c r="E46" s="64">
        <v>4.0199999999999996</v>
      </c>
      <c r="F46" s="64">
        <v>3.74</v>
      </c>
      <c r="G46" s="64">
        <v>33.340000000000003</v>
      </c>
      <c r="H46" s="64">
        <v>16.11</v>
      </c>
      <c r="I46" s="64">
        <v>4.5</v>
      </c>
      <c r="J46" s="64">
        <v>0.13</v>
      </c>
      <c r="K46" s="64">
        <v>304.73</v>
      </c>
      <c r="L46" s="64">
        <v>30.3</v>
      </c>
      <c r="M46" s="64">
        <v>74.05</v>
      </c>
      <c r="N46" s="64">
        <v>634.29999999999995</v>
      </c>
      <c r="O46" s="64">
        <v>0</v>
      </c>
      <c r="P46" s="64">
        <v>0.43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1822</v>
      </c>
      <c r="B47" s="64">
        <v>8.42</v>
      </c>
      <c r="C47" s="64">
        <v>7.06</v>
      </c>
      <c r="D47" s="64">
        <v>10.44</v>
      </c>
      <c r="E47" s="64">
        <v>4.0199999999999996</v>
      </c>
      <c r="F47" s="64">
        <v>4.43</v>
      </c>
      <c r="G47" s="64">
        <v>30.83</v>
      </c>
      <c r="H47" s="64">
        <v>14.32</v>
      </c>
      <c r="I47" s="64">
        <v>5.43</v>
      </c>
      <c r="J47" s="64">
        <v>0.17</v>
      </c>
      <c r="K47" s="64">
        <v>53.89</v>
      </c>
      <c r="L47" s="64">
        <v>30.32</v>
      </c>
      <c r="M47" s="64">
        <v>73.89</v>
      </c>
      <c r="N47" s="64">
        <v>680.8</v>
      </c>
      <c r="O47" s="64">
        <v>0</v>
      </c>
      <c r="P47" s="64">
        <v>0.43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1823</v>
      </c>
      <c r="B48" s="64">
        <v>7.48</v>
      </c>
      <c r="C48" s="64">
        <v>7.08</v>
      </c>
      <c r="D48" s="64">
        <v>9.6999999999999993</v>
      </c>
      <c r="E48" s="64">
        <v>3.85</v>
      </c>
      <c r="F48" s="64">
        <v>3.74</v>
      </c>
      <c r="G48" s="64">
        <v>29.76</v>
      </c>
      <c r="H48" s="64">
        <v>14.2</v>
      </c>
      <c r="I48" s="64">
        <v>5.26</v>
      </c>
      <c r="J48" s="64">
        <v>0.14000000000000001</v>
      </c>
      <c r="K48" s="64">
        <v>53.71</v>
      </c>
      <c r="L48" s="64">
        <v>30.48</v>
      </c>
      <c r="M48" s="64">
        <v>73.47</v>
      </c>
      <c r="N48" s="64">
        <v>709.9</v>
      </c>
      <c r="O48" s="64">
        <v>0</v>
      </c>
      <c r="P48" s="64">
        <v>0.43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1824</v>
      </c>
      <c r="B49" s="64">
        <v>6.54</v>
      </c>
      <c r="C49" s="64">
        <v>7.2</v>
      </c>
      <c r="D49" s="64">
        <v>9.01</v>
      </c>
      <c r="E49" s="64">
        <v>4.03</v>
      </c>
      <c r="F49" s="64">
        <v>4.09</v>
      </c>
      <c r="G49" s="64">
        <v>29.76</v>
      </c>
      <c r="H49" s="64">
        <v>14.2</v>
      </c>
      <c r="I49" s="64">
        <v>5.63</v>
      </c>
      <c r="J49" s="64">
        <v>0.81</v>
      </c>
      <c r="K49" s="64">
        <v>147.93</v>
      </c>
      <c r="L49" s="64">
        <v>30.91</v>
      </c>
      <c r="M49" s="64">
        <v>65.66</v>
      </c>
      <c r="N49" s="64">
        <v>728.3</v>
      </c>
      <c r="O49" s="64">
        <v>0</v>
      </c>
      <c r="P49" s="64">
        <v>0.43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1825</v>
      </c>
      <c r="B50" s="64">
        <v>5.66</v>
      </c>
      <c r="C50" s="64">
        <v>7.94</v>
      </c>
      <c r="D50" s="64">
        <v>8.69</v>
      </c>
      <c r="E50" s="64">
        <v>3.98</v>
      </c>
      <c r="F50" s="64">
        <v>4.1900000000000004</v>
      </c>
      <c r="G50" s="64">
        <v>29.76</v>
      </c>
      <c r="H50" s="64">
        <v>14.2</v>
      </c>
      <c r="I50" s="64">
        <v>5.83</v>
      </c>
      <c r="J50" s="64">
        <v>0.62</v>
      </c>
      <c r="K50" s="64">
        <v>99.55</v>
      </c>
      <c r="L50" s="64">
        <v>31.2</v>
      </c>
      <c r="M50" s="64">
        <v>65.819999999999993</v>
      </c>
      <c r="N50" s="64">
        <v>777.4</v>
      </c>
      <c r="O50" s="64">
        <v>0</v>
      </c>
      <c r="P50" s="64">
        <v>0.43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1826</v>
      </c>
      <c r="B51" s="64">
        <v>5.0999999999999996</v>
      </c>
      <c r="C51" s="64">
        <v>7.89</v>
      </c>
      <c r="D51" s="64">
        <v>8.2100000000000009</v>
      </c>
      <c r="E51" s="64">
        <v>3.73</v>
      </c>
      <c r="F51" s="64">
        <v>3.5</v>
      </c>
      <c r="G51" s="64">
        <v>29.2</v>
      </c>
      <c r="H51" s="64">
        <v>12.57</v>
      </c>
      <c r="I51" s="64">
        <v>5.79</v>
      </c>
      <c r="J51" s="64">
        <v>0.97</v>
      </c>
      <c r="K51" s="64">
        <v>124.11</v>
      </c>
      <c r="L51" s="64">
        <v>31.61</v>
      </c>
      <c r="M51" s="64">
        <v>62.82</v>
      </c>
      <c r="N51" s="64">
        <v>807.3</v>
      </c>
      <c r="O51" s="64">
        <v>0</v>
      </c>
      <c r="P51" s="64">
        <v>0.43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1827</v>
      </c>
      <c r="B52" s="64">
        <v>4.32</v>
      </c>
      <c r="C52" s="64">
        <v>8.1300000000000008</v>
      </c>
      <c r="D52" s="64">
        <v>7.71</v>
      </c>
      <c r="E52" s="64">
        <v>3.82</v>
      </c>
      <c r="F52" s="64">
        <v>4.29</v>
      </c>
      <c r="G52" s="64">
        <v>28.96</v>
      </c>
      <c r="H52" s="64">
        <v>12.41</v>
      </c>
      <c r="I52" s="64">
        <v>5.55</v>
      </c>
      <c r="J52" s="64">
        <v>0.73</v>
      </c>
      <c r="K52" s="64">
        <v>125</v>
      </c>
      <c r="L52" s="64">
        <v>32.03</v>
      </c>
      <c r="M52" s="64">
        <v>60.8</v>
      </c>
      <c r="N52" s="64">
        <v>825.4</v>
      </c>
      <c r="O52" s="64">
        <v>0</v>
      </c>
      <c r="P52" s="64">
        <v>0.44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1828</v>
      </c>
      <c r="B53" s="64">
        <v>3.46</v>
      </c>
      <c r="C53" s="64">
        <v>7.69</v>
      </c>
      <c r="D53" s="64">
        <v>6.79</v>
      </c>
      <c r="E53" s="64">
        <v>4.09</v>
      </c>
      <c r="F53" s="64">
        <v>4.0199999999999996</v>
      </c>
      <c r="G53" s="64">
        <v>28.96</v>
      </c>
      <c r="H53" s="64">
        <v>12.41</v>
      </c>
      <c r="I53" s="64">
        <v>5.7</v>
      </c>
      <c r="J53" s="64">
        <v>1.38</v>
      </c>
      <c r="K53" s="64">
        <v>137.1</v>
      </c>
      <c r="L53" s="64">
        <v>31.66</v>
      </c>
      <c r="M53" s="64">
        <v>57.06</v>
      </c>
      <c r="N53" s="64">
        <v>786.4</v>
      </c>
      <c r="O53" s="64">
        <v>0</v>
      </c>
      <c r="P53" s="64">
        <v>0.41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1829</v>
      </c>
      <c r="B54" s="64">
        <v>2.66</v>
      </c>
      <c r="C54" s="64">
        <v>7.22</v>
      </c>
      <c r="D54" s="64">
        <v>5.9</v>
      </c>
      <c r="E54" s="64">
        <v>3.9</v>
      </c>
      <c r="F54" s="64">
        <v>4.41</v>
      </c>
      <c r="G54" s="64">
        <v>28.96</v>
      </c>
      <c r="H54" s="64">
        <v>12.41</v>
      </c>
      <c r="I54" s="64">
        <v>5.57</v>
      </c>
      <c r="J54" s="64">
        <v>0.83</v>
      </c>
      <c r="K54" s="64">
        <v>111.18</v>
      </c>
      <c r="L54" s="64">
        <v>31.54</v>
      </c>
      <c r="M54" s="64">
        <v>59.26</v>
      </c>
      <c r="N54" s="64">
        <v>835</v>
      </c>
      <c r="O54" s="64">
        <v>0</v>
      </c>
      <c r="P54" s="64">
        <v>0.37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5" t="s">
        <v>1830</v>
      </c>
      <c r="B55" s="64">
        <v>2.21</v>
      </c>
      <c r="C55" s="64">
        <v>6.79</v>
      </c>
      <c r="D55" s="64">
        <v>5.32</v>
      </c>
      <c r="E55" s="64">
        <v>3.7</v>
      </c>
      <c r="F55" s="64">
        <v>4.1900000000000004</v>
      </c>
      <c r="G55" s="64">
        <v>29.52</v>
      </c>
      <c r="H55" s="64">
        <v>22.28</v>
      </c>
      <c r="I55" s="64">
        <v>5.47</v>
      </c>
      <c r="J55" s="64">
        <v>0.68</v>
      </c>
      <c r="K55" s="64">
        <v>133.59</v>
      </c>
      <c r="L55" s="64">
        <v>32.659999999999997</v>
      </c>
      <c r="M55" s="64">
        <v>56.41</v>
      </c>
      <c r="N55" s="64">
        <v>846.7</v>
      </c>
      <c r="O55" s="64">
        <v>0</v>
      </c>
      <c r="P55" s="64">
        <v>0.39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1831</v>
      </c>
      <c r="B56" s="64">
        <v>2.0299999999999998</v>
      </c>
      <c r="C56" s="64">
        <v>6.39</v>
      </c>
      <c r="D56" s="64">
        <v>4.97</v>
      </c>
      <c r="E56" s="64">
        <v>4.8899999999999997</v>
      </c>
      <c r="F56" s="64">
        <v>3.96</v>
      </c>
      <c r="G56" s="64">
        <v>29.76</v>
      </c>
      <c r="H56" s="64">
        <v>23.07</v>
      </c>
      <c r="I56" s="64">
        <v>4.18</v>
      </c>
      <c r="J56" s="64">
        <v>1.33</v>
      </c>
      <c r="K56" s="64">
        <v>136.68</v>
      </c>
      <c r="L56" s="64">
        <v>31.7</v>
      </c>
      <c r="M56" s="64">
        <v>57.36</v>
      </c>
      <c r="N56" s="64">
        <v>812</v>
      </c>
      <c r="O56" s="64">
        <v>0</v>
      </c>
      <c r="P56" s="64">
        <v>0.35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1832</v>
      </c>
      <c r="B57" s="64">
        <v>1.96</v>
      </c>
      <c r="C57" s="64">
        <v>6.09</v>
      </c>
      <c r="D57" s="64">
        <v>4.76</v>
      </c>
      <c r="E57" s="64">
        <v>5.1100000000000003</v>
      </c>
      <c r="F57" s="64">
        <v>4.47</v>
      </c>
      <c r="G57" s="64">
        <v>29.76</v>
      </c>
      <c r="H57" s="64">
        <v>23.07</v>
      </c>
      <c r="I57" s="64">
        <v>3.89</v>
      </c>
      <c r="J57" s="64">
        <v>0.81</v>
      </c>
      <c r="K57" s="64">
        <v>136.22</v>
      </c>
      <c r="L57" s="64">
        <v>32.35</v>
      </c>
      <c r="M57" s="64">
        <v>54.97</v>
      </c>
      <c r="N57" s="64">
        <v>819.5</v>
      </c>
      <c r="O57" s="64">
        <v>0</v>
      </c>
      <c r="P57" s="64">
        <v>0.38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1833</v>
      </c>
      <c r="B58" s="64">
        <v>1.81</v>
      </c>
      <c r="C58" s="64">
        <v>5.9</v>
      </c>
      <c r="D58" s="64">
        <v>4.53</v>
      </c>
      <c r="E58" s="64">
        <v>5.12</v>
      </c>
      <c r="F58" s="64">
        <v>4.3600000000000003</v>
      </c>
      <c r="G58" s="64">
        <v>29.76</v>
      </c>
      <c r="H58" s="64">
        <v>23.07</v>
      </c>
      <c r="I58" s="64">
        <v>3.28</v>
      </c>
      <c r="J58" s="64">
        <v>0.89</v>
      </c>
      <c r="K58" s="64">
        <v>125.77</v>
      </c>
      <c r="L58" s="64">
        <v>32.28</v>
      </c>
      <c r="M58" s="64">
        <v>53.78</v>
      </c>
      <c r="N58" s="64">
        <v>790.8</v>
      </c>
      <c r="O58" s="64">
        <v>0</v>
      </c>
      <c r="P58" s="64">
        <v>0.33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1834</v>
      </c>
      <c r="B59" s="64">
        <v>1.61</v>
      </c>
      <c r="C59" s="64">
        <v>5.74</v>
      </c>
      <c r="D59" s="64">
        <v>4.3</v>
      </c>
      <c r="E59" s="64">
        <v>4.99</v>
      </c>
      <c r="F59" s="64">
        <v>4.58</v>
      </c>
      <c r="G59" s="64">
        <v>26.92</v>
      </c>
      <c r="H59" s="64">
        <v>19.47</v>
      </c>
      <c r="I59" s="64">
        <v>3.22</v>
      </c>
      <c r="J59" s="64">
        <v>0.45</v>
      </c>
      <c r="K59" s="64">
        <v>138.71</v>
      </c>
      <c r="L59" s="64">
        <v>32.89</v>
      </c>
      <c r="M59" s="64">
        <v>51.44</v>
      </c>
      <c r="N59" s="64">
        <v>691.2</v>
      </c>
      <c r="O59" s="64">
        <v>0</v>
      </c>
      <c r="P59" s="64">
        <v>0.34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1835</v>
      </c>
      <c r="B60" s="64">
        <v>1.54</v>
      </c>
      <c r="C60" s="64">
        <v>5.62</v>
      </c>
      <c r="D60" s="64">
        <v>4.17</v>
      </c>
      <c r="E60" s="64">
        <v>4.72</v>
      </c>
      <c r="F60" s="64">
        <v>4.3499999999999996</v>
      </c>
      <c r="G60" s="64">
        <v>25.71</v>
      </c>
      <c r="H60" s="64">
        <v>19.18</v>
      </c>
      <c r="I60" s="64">
        <v>2.7</v>
      </c>
      <c r="J60" s="64">
        <v>1.07</v>
      </c>
      <c r="K60" s="64">
        <v>142.05000000000001</v>
      </c>
      <c r="L60" s="64">
        <v>32.17</v>
      </c>
      <c r="M60" s="64">
        <v>54.3</v>
      </c>
      <c r="N60" s="64">
        <v>700.6</v>
      </c>
      <c r="O60" s="64">
        <v>0</v>
      </c>
      <c r="P60" s="64">
        <v>0.35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1836</v>
      </c>
      <c r="B61" s="64">
        <v>1.45</v>
      </c>
      <c r="C61" s="64">
        <v>5.72</v>
      </c>
      <c r="D61" s="64">
        <v>4.1500000000000004</v>
      </c>
      <c r="E61" s="64">
        <v>5.09</v>
      </c>
      <c r="F61" s="64">
        <v>6.26</v>
      </c>
      <c r="G61" s="64">
        <v>25.71</v>
      </c>
      <c r="H61" s="64">
        <v>19.18</v>
      </c>
      <c r="I61" s="64">
        <v>2.6</v>
      </c>
      <c r="J61" s="64">
        <v>0.66</v>
      </c>
      <c r="K61" s="64">
        <v>330.14</v>
      </c>
      <c r="L61" s="64">
        <v>33.15</v>
      </c>
      <c r="M61" s="64">
        <v>52.14</v>
      </c>
      <c r="N61" s="64">
        <v>274.10000000000002</v>
      </c>
      <c r="O61" s="64">
        <v>0</v>
      </c>
      <c r="P61" s="64">
        <v>0.38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1837</v>
      </c>
      <c r="B62" s="64">
        <v>1.66</v>
      </c>
      <c r="C62" s="64">
        <v>6.45</v>
      </c>
      <c r="D62" s="64">
        <v>4.7</v>
      </c>
      <c r="E62" s="64">
        <v>4.92</v>
      </c>
      <c r="F62" s="64">
        <v>4.29</v>
      </c>
      <c r="G62" s="64">
        <v>25.71</v>
      </c>
      <c r="H62" s="64">
        <v>19.18</v>
      </c>
      <c r="I62" s="64">
        <v>3</v>
      </c>
      <c r="J62" s="64">
        <v>1.5</v>
      </c>
      <c r="K62" s="64">
        <v>138.47</v>
      </c>
      <c r="L62" s="64">
        <v>32.35</v>
      </c>
      <c r="M62" s="64">
        <v>53.33</v>
      </c>
      <c r="N62" s="64">
        <v>266.60000000000002</v>
      </c>
      <c r="O62" s="64">
        <v>0</v>
      </c>
      <c r="P62" s="64">
        <v>0.36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5" t="s">
        <v>1838</v>
      </c>
      <c r="B63" s="64">
        <v>1.45</v>
      </c>
      <c r="C63" s="64">
        <v>6.13</v>
      </c>
      <c r="D63" s="64">
        <v>4.37</v>
      </c>
      <c r="E63" s="64">
        <v>5.38</v>
      </c>
      <c r="F63" s="64">
        <v>4.09</v>
      </c>
      <c r="G63" s="64">
        <v>25.51</v>
      </c>
      <c r="H63" s="64">
        <v>14.89</v>
      </c>
      <c r="I63" s="64">
        <v>3.76</v>
      </c>
      <c r="J63" s="64">
        <v>0.34</v>
      </c>
      <c r="K63" s="64">
        <v>176.89</v>
      </c>
      <c r="L63" s="64">
        <v>32.299999999999997</v>
      </c>
      <c r="M63" s="64">
        <v>54.34</v>
      </c>
      <c r="N63" s="64">
        <v>220.8</v>
      </c>
      <c r="O63" s="64">
        <v>0</v>
      </c>
      <c r="P63" s="64">
        <v>0.34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5" t="s">
        <v>1839</v>
      </c>
      <c r="B64" s="64">
        <v>1.44</v>
      </c>
      <c r="C64" s="64">
        <v>6.08</v>
      </c>
      <c r="D64" s="64">
        <v>4.33</v>
      </c>
      <c r="E64" s="64">
        <v>5.15</v>
      </c>
      <c r="F64" s="64">
        <v>3.99</v>
      </c>
      <c r="G64" s="64">
        <v>25.43</v>
      </c>
      <c r="H64" s="64">
        <v>14.61</v>
      </c>
      <c r="I64" s="64">
        <v>3.93</v>
      </c>
      <c r="J64" s="64">
        <v>0.27</v>
      </c>
      <c r="K64" s="64">
        <v>16.899999999999999</v>
      </c>
      <c r="L64" s="64">
        <v>32.6</v>
      </c>
      <c r="M64" s="64">
        <v>51.96</v>
      </c>
      <c r="N64" s="64">
        <v>202</v>
      </c>
      <c r="O64" s="64">
        <v>0</v>
      </c>
      <c r="P64" s="64">
        <v>0.37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1840</v>
      </c>
      <c r="B65" s="64">
        <v>1.54</v>
      </c>
      <c r="C65" s="64">
        <v>6.88</v>
      </c>
      <c r="D65" s="64">
        <v>4.83</v>
      </c>
      <c r="E65" s="64">
        <v>4.8499999999999996</v>
      </c>
      <c r="F65" s="64">
        <v>4.71</v>
      </c>
      <c r="G65" s="64">
        <v>25.43</v>
      </c>
      <c r="H65" s="64">
        <v>14.61</v>
      </c>
      <c r="I65" s="64">
        <v>3.25</v>
      </c>
      <c r="J65" s="64">
        <v>1.06</v>
      </c>
      <c r="K65" s="64">
        <v>108.84</v>
      </c>
      <c r="L65" s="64">
        <v>31.28</v>
      </c>
      <c r="M65" s="64">
        <v>52.94</v>
      </c>
      <c r="N65" s="64">
        <v>151.19999999999999</v>
      </c>
      <c r="O65" s="64">
        <v>0</v>
      </c>
      <c r="P65" s="64">
        <v>0.37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5" t="s">
        <v>1841</v>
      </c>
      <c r="B66" s="64">
        <v>1.53</v>
      </c>
      <c r="C66" s="64">
        <v>7.16</v>
      </c>
      <c r="D66" s="64">
        <v>4.97</v>
      </c>
      <c r="E66" s="64">
        <v>5.01</v>
      </c>
      <c r="F66" s="64">
        <v>4.04</v>
      </c>
      <c r="G66" s="64">
        <v>25.43</v>
      </c>
      <c r="H66" s="64">
        <v>14.61</v>
      </c>
      <c r="I66" s="64">
        <v>2.83</v>
      </c>
      <c r="J66" s="64">
        <v>0.88</v>
      </c>
      <c r="K66" s="64">
        <v>334.93</v>
      </c>
      <c r="L66" s="64">
        <v>31.53</v>
      </c>
      <c r="M66" s="64">
        <v>52.88</v>
      </c>
      <c r="N66" s="64">
        <v>159.30000000000001</v>
      </c>
      <c r="O66" s="64">
        <v>0</v>
      </c>
      <c r="P66" s="64">
        <v>0.43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1842</v>
      </c>
      <c r="B67" s="64">
        <v>1.96</v>
      </c>
      <c r="C67" s="64">
        <v>7.61</v>
      </c>
      <c r="D67" s="64">
        <v>5.55</v>
      </c>
      <c r="E67" s="64">
        <v>5.1100000000000003</v>
      </c>
      <c r="F67" s="64">
        <v>4.17</v>
      </c>
      <c r="G67" s="64">
        <v>26.54</v>
      </c>
      <c r="H67" s="64">
        <v>10.92</v>
      </c>
      <c r="I67" s="64">
        <v>2.93</v>
      </c>
      <c r="J67" s="64">
        <v>0.26</v>
      </c>
      <c r="K67" s="64">
        <v>40.82</v>
      </c>
      <c r="L67" s="64">
        <v>31.84</v>
      </c>
      <c r="M67" s="64">
        <v>53.66</v>
      </c>
      <c r="N67" s="64">
        <v>162.69999999999999</v>
      </c>
      <c r="O67" s="64">
        <v>0</v>
      </c>
      <c r="P67" s="64">
        <v>0.45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5" t="s">
        <v>1843</v>
      </c>
      <c r="B68" s="64">
        <v>2.2599999999999998</v>
      </c>
      <c r="C68" s="64">
        <v>8.56</v>
      </c>
      <c r="D68" s="64">
        <v>6.29</v>
      </c>
      <c r="E68" s="64">
        <v>4.7699999999999996</v>
      </c>
      <c r="F68" s="64">
        <v>4.7699999999999996</v>
      </c>
      <c r="G68" s="64">
        <v>27.01</v>
      </c>
      <c r="H68" s="64">
        <v>10.54</v>
      </c>
      <c r="I68" s="64">
        <v>2.5</v>
      </c>
      <c r="J68" s="64">
        <v>0.24</v>
      </c>
      <c r="K68" s="64">
        <v>94.14</v>
      </c>
      <c r="L68" s="64">
        <v>31.1</v>
      </c>
      <c r="M68" s="64">
        <v>56.2</v>
      </c>
      <c r="N68" s="64">
        <v>120.1</v>
      </c>
      <c r="O68" s="64">
        <v>0</v>
      </c>
      <c r="P68" s="64">
        <v>0.41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1844</v>
      </c>
      <c r="B69" s="64">
        <v>2.29</v>
      </c>
      <c r="C69" s="64">
        <v>8.67</v>
      </c>
      <c r="D69" s="64">
        <v>6.36</v>
      </c>
      <c r="E69" s="64">
        <v>4.9000000000000004</v>
      </c>
      <c r="F69" s="64">
        <v>4.21</v>
      </c>
      <c r="G69" s="64">
        <v>27.01</v>
      </c>
      <c r="H69" s="64">
        <v>10.54</v>
      </c>
      <c r="I69" s="64">
        <v>2.48</v>
      </c>
      <c r="J69" s="64">
        <v>0.14000000000000001</v>
      </c>
      <c r="K69" s="64">
        <v>39.729999999999997</v>
      </c>
      <c r="L69" s="64">
        <v>30.68</v>
      </c>
      <c r="M69" s="64">
        <v>57.87</v>
      </c>
      <c r="N69" s="64">
        <v>94.2</v>
      </c>
      <c r="O69" s="64">
        <v>0</v>
      </c>
      <c r="P69" s="64">
        <v>0.4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1845</v>
      </c>
      <c r="B70" s="64">
        <v>2.0499999999999998</v>
      </c>
      <c r="C70" s="64">
        <v>8.56</v>
      </c>
      <c r="D70" s="64">
        <v>6.11</v>
      </c>
      <c r="E70" s="64">
        <v>5.14</v>
      </c>
      <c r="F70" s="64">
        <v>4.3899999999999997</v>
      </c>
      <c r="G70" s="64">
        <v>27.01</v>
      </c>
      <c r="H70" s="64">
        <v>10.54</v>
      </c>
      <c r="I70" s="64">
        <v>1.95</v>
      </c>
      <c r="J70" s="64">
        <v>0.09</v>
      </c>
      <c r="K70" s="64">
        <v>17.04</v>
      </c>
      <c r="L70" s="64">
        <v>29.77</v>
      </c>
      <c r="M70" s="64">
        <v>65.819999999999993</v>
      </c>
      <c r="N70" s="64">
        <v>109.6</v>
      </c>
      <c r="O70" s="64">
        <v>0</v>
      </c>
      <c r="P70" s="64">
        <v>0.41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1846</v>
      </c>
      <c r="B71" s="64">
        <v>2.06</v>
      </c>
      <c r="C71" s="64">
        <v>8.74</v>
      </c>
      <c r="D71" s="64">
        <v>6.22</v>
      </c>
      <c r="E71" s="64">
        <v>4.84</v>
      </c>
      <c r="F71" s="64">
        <v>4.0599999999999996</v>
      </c>
      <c r="G71" s="64">
        <v>28.03</v>
      </c>
      <c r="H71" s="64">
        <v>12.45</v>
      </c>
      <c r="I71" s="64">
        <v>1.04</v>
      </c>
      <c r="J71" s="64">
        <v>0.75</v>
      </c>
      <c r="K71" s="64">
        <v>351.07</v>
      </c>
      <c r="L71" s="64">
        <v>30.09</v>
      </c>
      <c r="M71" s="64">
        <v>61.6</v>
      </c>
      <c r="N71" s="64">
        <v>78.8</v>
      </c>
      <c r="O71" s="64">
        <v>0</v>
      </c>
      <c r="P71" s="64">
        <v>0.59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1847</v>
      </c>
      <c r="B72" s="64">
        <v>2.44</v>
      </c>
      <c r="C72" s="64">
        <v>8.9</v>
      </c>
      <c r="D72" s="64">
        <v>6.61</v>
      </c>
      <c r="E72" s="64">
        <v>3.58</v>
      </c>
      <c r="F72" s="64">
        <v>4.54</v>
      </c>
      <c r="G72" s="64">
        <v>28.47</v>
      </c>
      <c r="H72" s="64">
        <v>12.6</v>
      </c>
      <c r="I72" s="64">
        <v>1.75</v>
      </c>
      <c r="J72" s="64">
        <v>0.89</v>
      </c>
      <c r="K72" s="64">
        <v>112.98</v>
      </c>
      <c r="L72" s="64">
        <v>29.85</v>
      </c>
      <c r="M72" s="64">
        <v>61.53</v>
      </c>
      <c r="N72" s="64">
        <v>69.400000000000006</v>
      </c>
      <c r="O72" s="64">
        <v>0</v>
      </c>
      <c r="P72" s="64">
        <v>0.39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1848</v>
      </c>
      <c r="B73" s="64">
        <v>2.6</v>
      </c>
      <c r="C73" s="64">
        <v>8.69</v>
      </c>
      <c r="D73" s="64">
        <v>6.62</v>
      </c>
      <c r="E73" s="64">
        <v>4.32</v>
      </c>
      <c r="F73" s="64">
        <v>4.28</v>
      </c>
      <c r="G73" s="64">
        <v>28.47</v>
      </c>
      <c r="H73" s="64">
        <v>12.6</v>
      </c>
      <c r="I73" s="64">
        <v>2.0099999999999998</v>
      </c>
      <c r="J73" s="64">
        <v>0.65</v>
      </c>
      <c r="K73" s="64">
        <v>107.04</v>
      </c>
      <c r="L73" s="64">
        <v>29.73</v>
      </c>
      <c r="M73" s="64">
        <v>62.68</v>
      </c>
      <c r="N73" s="64">
        <v>69.2</v>
      </c>
      <c r="O73" s="64">
        <v>0</v>
      </c>
      <c r="P73" s="64">
        <v>0.44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1849</v>
      </c>
      <c r="B74" s="64">
        <v>2.66</v>
      </c>
      <c r="C74" s="64">
        <v>8.27</v>
      </c>
      <c r="D74" s="64">
        <v>6.46</v>
      </c>
      <c r="E74" s="64">
        <v>3.84</v>
      </c>
      <c r="F74" s="64">
        <v>4.16</v>
      </c>
      <c r="G74" s="64">
        <v>28.47</v>
      </c>
      <c r="H74" s="64">
        <v>12.6</v>
      </c>
      <c r="I74" s="64">
        <v>1.63</v>
      </c>
      <c r="J74" s="64">
        <v>0.81</v>
      </c>
      <c r="K74" s="64">
        <v>116.39</v>
      </c>
      <c r="L74" s="64">
        <v>29.64</v>
      </c>
      <c r="M74" s="64">
        <v>60.57</v>
      </c>
      <c r="N74" s="64">
        <v>60.3</v>
      </c>
      <c r="O74" s="64">
        <v>0</v>
      </c>
      <c r="P74" s="64">
        <v>0.32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5" t="s">
        <v>1850</v>
      </c>
      <c r="B75" s="64">
        <v>2.59</v>
      </c>
      <c r="C75" s="64">
        <v>7.74</v>
      </c>
      <c r="D75" s="64">
        <v>6.12</v>
      </c>
      <c r="E75" s="64">
        <v>4.0199999999999996</v>
      </c>
      <c r="F75" s="64">
        <v>4.33</v>
      </c>
      <c r="G75" s="64">
        <v>24.36</v>
      </c>
      <c r="H75" s="64">
        <v>9.5</v>
      </c>
      <c r="I75" s="64">
        <v>1.6</v>
      </c>
      <c r="J75" s="64">
        <v>0.28000000000000003</v>
      </c>
      <c r="K75" s="64">
        <v>143.84</v>
      </c>
      <c r="L75" s="64">
        <v>29.56</v>
      </c>
      <c r="M75" s="64">
        <v>61.66</v>
      </c>
      <c r="N75" s="64">
        <v>54.1</v>
      </c>
      <c r="O75" s="64">
        <v>0</v>
      </c>
      <c r="P75" s="64">
        <v>0.45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1851</v>
      </c>
      <c r="B76" s="64">
        <v>2.87</v>
      </c>
      <c r="C76" s="64">
        <v>7.57</v>
      </c>
      <c r="D76" s="64">
        <v>6.25</v>
      </c>
      <c r="E76" s="64">
        <v>4.21</v>
      </c>
      <c r="F76" s="64">
        <v>3.68</v>
      </c>
      <c r="G76" s="64">
        <v>22.6</v>
      </c>
      <c r="H76" s="64">
        <v>9.3000000000000007</v>
      </c>
      <c r="I76" s="64">
        <v>1.21</v>
      </c>
      <c r="J76" s="64">
        <v>0.22</v>
      </c>
      <c r="K76" s="64">
        <v>96.3</v>
      </c>
      <c r="L76" s="64">
        <v>29.39</v>
      </c>
      <c r="M76" s="64">
        <v>62.12</v>
      </c>
      <c r="N76" s="64">
        <v>47.7</v>
      </c>
      <c r="O76" s="64">
        <v>0</v>
      </c>
      <c r="P76" s="64">
        <v>0.57999999999999996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1852</v>
      </c>
      <c r="B77" s="64">
        <v>3.1</v>
      </c>
      <c r="C77" s="64">
        <v>7.28</v>
      </c>
      <c r="D77" s="64">
        <v>6.29</v>
      </c>
      <c r="E77" s="64">
        <v>3.71</v>
      </c>
      <c r="F77" s="64">
        <v>4.07</v>
      </c>
      <c r="G77" s="64">
        <v>22.6</v>
      </c>
      <c r="H77" s="64">
        <v>9.3000000000000007</v>
      </c>
      <c r="I77" s="64">
        <v>1.37</v>
      </c>
      <c r="J77" s="64">
        <v>0.94</v>
      </c>
      <c r="K77" s="64">
        <v>107.21</v>
      </c>
      <c r="L77" s="64">
        <v>29.05</v>
      </c>
      <c r="M77" s="64">
        <v>56.99</v>
      </c>
      <c r="N77" s="64">
        <v>40.799999999999997</v>
      </c>
      <c r="O77" s="64">
        <v>0</v>
      </c>
      <c r="P77" s="64">
        <v>0.34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1853</v>
      </c>
      <c r="B78" s="64">
        <v>2.96</v>
      </c>
      <c r="C78" s="64">
        <v>7.02</v>
      </c>
      <c r="D78" s="64">
        <v>6.04</v>
      </c>
      <c r="E78" s="64">
        <v>4.03</v>
      </c>
      <c r="F78" s="64">
        <v>4.4800000000000004</v>
      </c>
      <c r="G78" s="64">
        <v>22.6</v>
      </c>
      <c r="H78" s="64">
        <v>9.3000000000000007</v>
      </c>
      <c r="I78" s="64">
        <v>2.04</v>
      </c>
      <c r="J78" s="64">
        <v>0.1</v>
      </c>
      <c r="K78" s="64">
        <v>98.57</v>
      </c>
      <c r="L78" s="64">
        <v>28.54</v>
      </c>
      <c r="M78" s="64">
        <v>63.09</v>
      </c>
      <c r="N78" s="64">
        <v>34.200000000000003</v>
      </c>
      <c r="O78" s="64">
        <v>0</v>
      </c>
      <c r="P78" s="64">
        <v>0.39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5" t="s">
        <v>1854</v>
      </c>
      <c r="B79" s="64">
        <v>2.77</v>
      </c>
      <c r="C79" s="64">
        <v>7.27</v>
      </c>
      <c r="D79" s="64">
        <v>6.02</v>
      </c>
      <c r="E79" s="64">
        <v>3.99</v>
      </c>
      <c r="F79" s="64">
        <v>4.13</v>
      </c>
      <c r="G79" s="64">
        <v>22.19</v>
      </c>
      <c r="H79" s="64">
        <v>8.5500000000000007</v>
      </c>
      <c r="I79" s="64">
        <v>1.67</v>
      </c>
      <c r="J79" s="64">
        <v>0.37</v>
      </c>
      <c r="K79" s="64">
        <v>122.56</v>
      </c>
      <c r="L79" s="64">
        <v>28.27</v>
      </c>
      <c r="M79" s="64">
        <v>66.59</v>
      </c>
      <c r="N79" s="64">
        <v>28.6</v>
      </c>
      <c r="O79" s="64">
        <v>0</v>
      </c>
      <c r="P79" s="64">
        <v>0.38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1855</v>
      </c>
      <c r="B80" s="64">
        <v>2.59</v>
      </c>
      <c r="C80" s="64">
        <v>6.64</v>
      </c>
      <c r="D80" s="64">
        <v>5.54</v>
      </c>
      <c r="E80" s="64">
        <v>3.9</v>
      </c>
      <c r="F80" s="64">
        <v>4.04</v>
      </c>
      <c r="G80" s="64">
        <v>22.01</v>
      </c>
      <c r="H80" s="64">
        <v>8.5</v>
      </c>
      <c r="I80" s="64">
        <v>2.92</v>
      </c>
      <c r="J80" s="64">
        <v>0.16</v>
      </c>
      <c r="K80" s="64">
        <v>321.32</v>
      </c>
      <c r="L80" s="64">
        <v>27.69</v>
      </c>
      <c r="M80" s="64">
        <v>73.36</v>
      </c>
      <c r="N80" s="64">
        <v>26.5</v>
      </c>
      <c r="O80" s="64">
        <v>0</v>
      </c>
      <c r="P80" s="64">
        <v>0.63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1856</v>
      </c>
      <c r="B81" s="64">
        <v>3.53</v>
      </c>
      <c r="C81" s="64">
        <v>7.5</v>
      </c>
      <c r="D81" s="64">
        <v>6.75</v>
      </c>
      <c r="E81" s="64">
        <v>4.12</v>
      </c>
      <c r="F81" s="64">
        <v>3.52</v>
      </c>
      <c r="G81" s="64">
        <v>22.01</v>
      </c>
      <c r="H81" s="64">
        <v>8.5</v>
      </c>
      <c r="I81" s="64">
        <v>2.54</v>
      </c>
      <c r="J81" s="64">
        <v>0.09</v>
      </c>
      <c r="K81" s="64">
        <v>18.87</v>
      </c>
      <c r="L81" s="64">
        <v>27.37</v>
      </c>
      <c r="M81" s="64">
        <v>75.3</v>
      </c>
      <c r="N81" s="64">
        <v>26.2</v>
      </c>
      <c r="O81" s="64">
        <v>0</v>
      </c>
      <c r="P81" s="64">
        <v>0.72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1857</v>
      </c>
      <c r="B82" s="64">
        <v>4.41</v>
      </c>
      <c r="C82" s="64">
        <v>7.71</v>
      </c>
      <c r="D82" s="64">
        <v>7.56</v>
      </c>
      <c r="E82" s="64">
        <v>4.3499999999999996</v>
      </c>
      <c r="F82" s="64">
        <v>3.08</v>
      </c>
      <c r="G82" s="64">
        <v>22.01</v>
      </c>
      <c r="H82" s="64">
        <v>8.5</v>
      </c>
      <c r="I82" s="64">
        <v>2.83</v>
      </c>
      <c r="J82" s="64">
        <v>0.27</v>
      </c>
      <c r="K82" s="64">
        <v>67.64</v>
      </c>
      <c r="L82" s="64">
        <v>27.75</v>
      </c>
      <c r="M82" s="64">
        <v>71.38</v>
      </c>
      <c r="N82" s="64">
        <v>26.1</v>
      </c>
      <c r="O82" s="64">
        <v>0</v>
      </c>
      <c r="P82" s="64">
        <v>0.72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1858</v>
      </c>
      <c r="B83" s="64">
        <v>5.07</v>
      </c>
      <c r="C83" s="64">
        <v>8.44</v>
      </c>
      <c r="D83" s="64">
        <v>8.48</v>
      </c>
      <c r="E83" s="64">
        <v>4.1900000000000004</v>
      </c>
      <c r="F83" s="64">
        <v>3.08</v>
      </c>
      <c r="G83" s="64">
        <v>23.8</v>
      </c>
      <c r="H83" s="64">
        <v>7.88</v>
      </c>
      <c r="I83" s="64">
        <v>2.62</v>
      </c>
      <c r="J83" s="64">
        <v>0.51</v>
      </c>
      <c r="K83" s="64">
        <v>77.66</v>
      </c>
      <c r="L83" s="64">
        <v>27.76</v>
      </c>
      <c r="M83" s="64">
        <v>71.819999999999993</v>
      </c>
      <c r="N83" s="64">
        <v>26.2</v>
      </c>
      <c r="O83" s="64">
        <v>0</v>
      </c>
      <c r="P83" s="64">
        <v>0.89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1859</v>
      </c>
      <c r="B84" s="64">
        <v>6</v>
      </c>
      <c r="C84" s="64">
        <v>8.6</v>
      </c>
      <c r="D84" s="64">
        <v>9.31</v>
      </c>
      <c r="E84" s="64">
        <v>4.0999999999999996</v>
      </c>
      <c r="F84" s="64">
        <v>3.06</v>
      </c>
      <c r="G84" s="64">
        <v>24.56</v>
      </c>
      <c r="H84" s="64">
        <v>7.82</v>
      </c>
      <c r="I84" s="64">
        <v>2.89</v>
      </c>
      <c r="J84" s="64">
        <v>0.13</v>
      </c>
      <c r="K84" s="64">
        <v>58.16</v>
      </c>
      <c r="L84" s="64">
        <v>27.56</v>
      </c>
      <c r="M84" s="64">
        <v>73.33</v>
      </c>
      <c r="N84" s="64">
        <v>26.2</v>
      </c>
      <c r="O84" s="64">
        <v>0</v>
      </c>
      <c r="P84" s="64">
        <v>1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5" t="s">
        <v>1860</v>
      </c>
      <c r="B85" s="64">
        <v>7.28</v>
      </c>
      <c r="C85" s="64">
        <v>9.27</v>
      </c>
      <c r="D85" s="64">
        <v>10.68</v>
      </c>
      <c r="E85" s="64">
        <v>4.63</v>
      </c>
      <c r="F85" s="64">
        <v>2.62</v>
      </c>
      <c r="G85" s="64">
        <v>24.56</v>
      </c>
      <c r="H85" s="64">
        <v>7.82</v>
      </c>
      <c r="I85" s="64">
        <v>3.41</v>
      </c>
      <c r="J85" s="64">
        <v>0.46</v>
      </c>
      <c r="K85" s="64">
        <v>86.34</v>
      </c>
      <c r="L85" s="64">
        <v>27.46</v>
      </c>
      <c r="M85" s="64">
        <v>74.09</v>
      </c>
      <c r="N85" s="64">
        <v>26.1</v>
      </c>
      <c r="O85" s="64">
        <v>0</v>
      </c>
      <c r="P85" s="64">
        <v>1.08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5" t="s">
        <v>1861</v>
      </c>
      <c r="B86" s="64">
        <v>8.57</v>
      </c>
      <c r="C86" s="64">
        <v>9.3699999999999992</v>
      </c>
      <c r="D86" s="64">
        <v>11.77</v>
      </c>
      <c r="E86" s="64">
        <v>5.22</v>
      </c>
      <c r="F86" s="64">
        <v>3.29</v>
      </c>
      <c r="G86" s="64">
        <v>24.56</v>
      </c>
      <c r="H86" s="64">
        <v>7.82</v>
      </c>
      <c r="I86" s="64">
        <v>3.93</v>
      </c>
      <c r="J86" s="64">
        <v>0.82</v>
      </c>
      <c r="K86" s="64">
        <v>119.45</v>
      </c>
      <c r="L86" s="64">
        <v>27.49</v>
      </c>
      <c r="M86" s="64">
        <v>77.45</v>
      </c>
      <c r="N86" s="64">
        <v>25.9</v>
      </c>
      <c r="O86" s="64">
        <v>0</v>
      </c>
      <c r="P86" s="64">
        <v>0.69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1862</v>
      </c>
      <c r="B87" s="64">
        <v>8.7100000000000009</v>
      </c>
      <c r="C87" s="64">
        <v>8.9</v>
      </c>
      <c r="D87" s="64">
        <v>11.64</v>
      </c>
      <c r="E87" s="64">
        <v>4.6500000000000004</v>
      </c>
      <c r="F87" s="64">
        <v>3.34</v>
      </c>
      <c r="G87" s="64">
        <v>27.07</v>
      </c>
      <c r="H87" s="64">
        <v>8.39</v>
      </c>
      <c r="I87" s="64">
        <v>4.34</v>
      </c>
      <c r="J87" s="64">
        <v>0.5</v>
      </c>
      <c r="K87" s="64">
        <v>114.32</v>
      </c>
      <c r="L87" s="64">
        <v>27.4</v>
      </c>
      <c r="M87" s="64">
        <v>79.47</v>
      </c>
      <c r="N87" s="64">
        <v>26.1</v>
      </c>
      <c r="O87" s="64">
        <v>0</v>
      </c>
      <c r="P87" s="64">
        <v>0.63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1863</v>
      </c>
      <c r="B88" s="64">
        <v>8.61</v>
      </c>
      <c r="C88" s="64">
        <v>8.19</v>
      </c>
      <c r="D88" s="64">
        <v>11.19</v>
      </c>
      <c r="E88" s="64">
        <v>5.26</v>
      </c>
      <c r="F88" s="64">
        <v>3.38</v>
      </c>
      <c r="G88" s="64">
        <v>28.14</v>
      </c>
      <c r="H88" s="64">
        <v>8.43</v>
      </c>
      <c r="I88" s="64">
        <v>2.9</v>
      </c>
      <c r="J88" s="64">
        <v>0.21</v>
      </c>
      <c r="K88" s="64">
        <v>140.12</v>
      </c>
      <c r="L88" s="64">
        <v>27.11</v>
      </c>
      <c r="M88" s="64">
        <v>82.84</v>
      </c>
      <c r="N88" s="64">
        <v>26.2</v>
      </c>
      <c r="O88" s="64">
        <v>0</v>
      </c>
      <c r="P88" s="64">
        <v>0.62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5" t="s">
        <v>1864</v>
      </c>
      <c r="B89" s="64">
        <v>8.43</v>
      </c>
      <c r="C89" s="64">
        <v>7.65</v>
      </c>
      <c r="D89" s="64">
        <v>10.76</v>
      </c>
      <c r="E89" s="64">
        <v>5.57</v>
      </c>
      <c r="F89" s="64">
        <v>3.43</v>
      </c>
      <c r="G89" s="64">
        <v>28.14</v>
      </c>
      <c r="H89" s="64">
        <v>8.43</v>
      </c>
      <c r="I89" s="64">
        <v>2.17</v>
      </c>
      <c r="J89" s="64">
        <v>0.48</v>
      </c>
      <c r="K89" s="64">
        <v>113.44</v>
      </c>
      <c r="L89" s="64">
        <v>26.86</v>
      </c>
      <c r="M89" s="64">
        <v>85.24</v>
      </c>
      <c r="N89" s="64">
        <v>26.2</v>
      </c>
      <c r="O89" s="64">
        <v>0</v>
      </c>
      <c r="P89" s="64">
        <v>0.65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1865</v>
      </c>
      <c r="B90" s="64">
        <v>8.17</v>
      </c>
      <c r="C90" s="64">
        <v>7.22</v>
      </c>
      <c r="D90" s="64">
        <v>10.32</v>
      </c>
      <c r="E90" s="64">
        <v>5.58</v>
      </c>
      <c r="F90" s="64">
        <v>3.58</v>
      </c>
      <c r="G90" s="64">
        <v>28.14</v>
      </c>
      <c r="H90" s="64">
        <v>8.43</v>
      </c>
      <c r="I90" s="64">
        <v>2.14</v>
      </c>
      <c r="J90" s="64">
        <v>0.6</v>
      </c>
      <c r="K90" s="64">
        <v>116.78</v>
      </c>
      <c r="L90" s="64">
        <v>26.84</v>
      </c>
      <c r="M90" s="64">
        <v>85.78</v>
      </c>
      <c r="N90" s="64">
        <v>26.1</v>
      </c>
      <c r="O90" s="64">
        <v>0</v>
      </c>
      <c r="P90" s="64">
        <v>0.54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5" t="s">
        <v>1866</v>
      </c>
      <c r="B91" s="64">
        <v>8.2799999999999994</v>
      </c>
      <c r="C91" s="64">
        <v>6.96</v>
      </c>
      <c r="D91" s="64">
        <v>10.28</v>
      </c>
      <c r="E91" s="64">
        <v>5.9</v>
      </c>
      <c r="F91" s="64">
        <v>2.86</v>
      </c>
      <c r="G91" s="64">
        <v>28.85</v>
      </c>
      <c r="H91" s="64">
        <v>7.81</v>
      </c>
      <c r="I91" s="64">
        <v>2.12</v>
      </c>
      <c r="J91" s="64">
        <v>7.0000000000000007E-2</v>
      </c>
      <c r="K91" s="64">
        <v>20.51</v>
      </c>
      <c r="L91" s="64">
        <v>26.72</v>
      </c>
      <c r="M91" s="64">
        <v>87.46</v>
      </c>
      <c r="N91" s="64">
        <v>26.2</v>
      </c>
      <c r="O91" s="64">
        <v>0</v>
      </c>
      <c r="P91" s="64">
        <v>1.08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1867</v>
      </c>
      <c r="B92" s="64">
        <v>9.76</v>
      </c>
      <c r="C92" s="64">
        <v>6.96</v>
      </c>
      <c r="D92" s="64">
        <v>11.46</v>
      </c>
      <c r="E92" s="64">
        <v>5.85</v>
      </c>
      <c r="F92" s="64">
        <v>2.93</v>
      </c>
      <c r="G92" s="64">
        <v>29.16</v>
      </c>
      <c r="H92" s="64">
        <v>7.77</v>
      </c>
      <c r="I92" s="64">
        <v>2.14</v>
      </c>
      <c r="J92" s="64">
        <v>0.28999999999999998</v>
      </c>
      <c r="K92" s="64">
        <v>121.55</v>
      </c>
      <c r="L92" s="64">
        <v>26.54</v>
      </c>
      <c r="M92" s="64">
        <v>87.7</v>
      </c>
      <c r="N92" s="64">
        <v>26</v>
      </c>
      <c r="O92" s="64">
        <v>0</v>
      </c>
      <c r="P92" s="64">
        <v>0.73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1868</v>
      </c>
      <c r="B93" s="64">
        <v>10.62</v>
      </c>
      <c r="C93" s="64">
        <v>6.81</v>
      </c>
      <c r="D93" s="64">
        <v>12.07</v>
      </c>
      <c r="E93" s="64">
        <v>5.7</v>
      </c>
      <c r="F93" s="64">
        <v>2.9</v>
      </c>
      <c r="G93" s="64">
        <v>29.16</v>
      </c>
      <c r="H93" s="64">
        <v>7.77</v>
      </c>
      <c r="I93" s="64">
        <v>3.49</v>
      </c>
      <c r="J93" s="64">
        <v>0.13</v>
      </c>
      <c r="K93" s="64">
        <v>230.58</v>
      </c>
      <c r="L93" s="64">
        <v>26.42</v>
      </c>
      <c r="M93" s="64">
        <v>89.2</v>
      </c>
      <c r="N93" s="64">
        <v>26.1</v>
      </c>
      <c r="O93" s="64">
        <v>0</v>
      </c>
      <c r="P93" s="64">
        <v>0.93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1869</v>
      </c>
      <c r="B94" s="64">
        <v>11.25</v>
      </c>
      <c r="C94" s="64">
        <v>6.79</v>
      </c>
      <c r="D94" s="64">
        <v>12.56</v>
      </c>
      <c r="E94" s="64">
        <v>5.43</v>
      </c>
      <c r="F94" s="64">
        <v>3.29</v>
      </c>
      <c r="G94" s="64">
        <v>29.16</v>
      </c>
      <c r="H94" s="64">
        <v>7.77</v>
      </c>
      <c r="I94" s="64">
        <v>3.11</v>
      </c>
      <c r="J94" s="64">
        <v>0.13</v>
      </c>
      <c r="K94" s="64">
        <v>148.99</v>
      </c>
      <c r="L94" s="64">
        <v>26.38</v>
      </c>
      <c r="M94" s="64">
        <v>90.76</v>
      </c>
      <c r="N94" s="64">
        <v>26.1</v>
      </c>
      <c r="O94" s="64">
        <v>0</v>
      </c>
      <c r="P94" s="64">
        <v>0.76</v>
      </c>
      <c r="Q94" s="64">
        <v>9.6</v>
      </c>
      <c r="R94" s="198"/>
      <c r="S94" s="198"/>
      <c r="T94" s="198"/>
      <c r="U94" s="198"/>
    </row>
    <row r="95" spans="1:26" s="12" customFormat="1" x14ac:dyDescent="0.25">
      <c r="A95" s="215" t="s">
        <v>1870</v>
      </c>
      <c r="B95" s="64">
        <v>12.18</v>
      </c>
      <c r="C95" s="64">
        <v>7.08</v>
      </c>
      <c r="D95" s="64">
        <v>13.47</v>
      </c>
      <c r="E95" s="64">
        <v>5.51</v>
      </c>
      <c r="F95" s="64">
        <v>2.87</v>
      </c>
      <c r="G95" s="64">
        <v>32.159999999999997</v>
      </c>
      <c r="H95" s="64">
        <v>10.18</v>
      </c>
      <c r="I95" s="64">
        <v>2.73</v>
      </c>
      <c r="J95" s="64">
        <v>0.24</v>
      </c>
      <c r="K95" s="64">
        <v>124.9</v>
      </c>
      <c r="L95" s="64">
        <v>26.32</v>
      </c>
      <c r="M95" s="64">
        <v>91.15</v>
      </c>
      <c r="N95" s="64">
        <v>26.1</v>
      </c>
      <c r="O95" s="64">
        <v>0</v>
      </c>
      <c r="P95" s="64">
        <v>0.83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1871</v>
      </c>
      <c r="B96" s="64">
        <v>12.79</v>
      </c>
      <c r="C96" s="64">
        <v>7.17</v>
      </c>
      <c r="D96" s="64">
        <v>14</v>
      </c>
      <c r="E96" s="64">
        <v>5.64</v>
      </c>
      <c r="F96" s="64">
        <v>3.46</v>
      </c>
      <c r="G96" s="64">
        <v>33.450000000000003</v>
      </c>
      <c r="H96" s="64">
        <v>10.33</v>
      </c>
      <c r="I96" s="64">
        <v>2.7</v>
      </c>
      <c r="J96" s="64">
        <v>0.53</v>
      </c>
      <c r="K96" s="64">
        <v>98.91</v>
      </c>
      <c r="L96" s="64">
        <v>26.4</v>
      </c>
      <c r="M96" s="64">
        <v>91.28</v>
      </c>
      <c r="N96" s="64">
        <v>25.9</v>
      </c>
      <c r="O96" s="64">
        <v>0</v>
      </c>
      <c r="P96" s="64">
        <v>0.6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1872</v>
      </c>
      <c r="B97" s="64">
        <v>12.31</v>
      </c>
      <c r="C97" s="64">
        <v>7.08</v>
      </c>
      <c r="D97" s="64">
        <v>13.57</v>
      </c>
      <c r="E97" s="64">
        <v>5.79</v>
      </c>
      <c r="F97" s="64">
        <v>3.2</v>
      </c>
      <c r="G97" s="64">
        <v>33.450000000000003</v>
      </c>
      <c r="H97" s="64">
        <v>10.33</v>
      </c>
      <c r="I97" s="64">
        <v>2.4700000000000002</v>
      </c>
      <c r="J97" s="64">
        <v>0.72</v>
      </c>
      <c r="K97" s="64">
        <v>115.93</v>
      </c>
      <c r="L97" s="64">
        <v>26.41</v>
      </c>
      <c r="M97" s="64">
        <v>92.23</v>
      </c>
      <c r="N97" s="64">
        <v>26</v>
      </c>
      <c r="O97" s="64">
        <v>0</v>
      </c>
      <c r="P97" s="64">
        <v>0.56000000000000005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1873</v>
      </c>
      <c r="B98" s="64">
        <v>11.69</v>
      </c>
      <c r="C98" s="64">
        <v>6.65</v>
      </c>
      <c r="D98" s="64">
        <v>12.85</v>
      </c>
      <c r="E98" s="64">
        <v>5.69</v>
      </c>
      <c r="F98" s="64">
        <v>3.28</v>
      </c>
      <c r="G98" s="64">
        <v>33.450000000000003</v>
      </c>
      <c r="H98" s="64">
        <v>10.33</v>
      </c>
      <c r="I98" s="64">
        <v>2.97</v>
      </c>
      <c r="J98" s="64">
        <v>0.72</v>
      </c>
      <c r="K98" s="64">
        <v>122.32</v>
      </c>
      <c r="L98" s="64">
        <v>26.36</v>
      </c>
      <c r="M98" s="64">
        <v>92.98</v>
      </c>
      <c r="N98" s="64">
        <v>26.1</v>
      </c>
      <c r="O98" s="64">
        <v>0</v>
      </c>
      <c r="P98" s="64">
        <v>0.55000000000000004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1874</v>
      </c>
      <c r="B99" s="64">
        <v>11.26</v>
      </c>
      <c r="C99" s="64">
        <v>7.01</v>
      </c>
      <c r="D99" s="64">
        <v>12.69</v>
      </c>
      <c r="E99" s="64">
        <v>5.87</v>
      </c>
      <c r="F99" s="64">
        <v>3.37</v>
      </c>
      <c r="G99" s="64">
        <v>29.37</v>
      </c>
      <c r="H99" s="64">
        <v>7.84</v>
      </c>
      <c r="I99" s="64">
        <v>2.2400000000000002</v>
      </c>
      <c r="J99" s="64">
        <v>0.68</v>
      </c>
      <c r="K99" s="64">
        <v>102.71</v>
      </c>
      <c r="L99" s="64">
        <v>26.29</v>
      </c>
      <c r="M99" s="64">
        <v>93.33</v>
      </c>
      <c r="N99" s="64">
        <v>26.1</v>
      </c>
      <c r="O99" s="64">
        <v>0</v>
      </c>
      <c r="P99" s="64">
        <v>0.53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1875</v>
      </c>
      <c r="B100" s="64">
        <v>11.02</v>
      </c>
      <c r="C100" s="64">
        <v>6.87</v>
      </c>
      <c r="D100" s="64">
        <v>12.42</v>
      </c>
      <c r="E100" s="64">
        <v>5.31</v>
      </c>
      <c r="F100" s="64">
        <v>3.7</v>
      </c>
      <c r="G100" s="64">
        <v>27.62</v>
      </c>
      <c r="H100" s="64">
        <v>7.58</v>
      </c>
      <c r="I100" s="64">
        <v>2.46</v>
      </c>
      <c r="J100" s="64">
        <v>0.74</v>
      </c>
      <c r="K100" s="64">
        <v>110.38</v>
      </c>
      <c r="L100" s="64">
        <v>26.26</v>
      </c>
      <c r="M100" s="64">
        <v>93.7</v>
      </c>
      <c r="N100" s="64">
        <v>26.1</v>
      </c>
      <c r="O100" s="64">
        <v>0</v>
      </c>
      <c r="P100" s="64">
        <v>0.57999999999999996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1876</v>
      </c>
      <c r="B101" s="64">
        <v>10.65</v>
      </c>
      <c r="C101" s="64">
        <v>6.57</v>
      </c>
      <c r="D101" s="64">
        <v>11.97</v>
      </c>
      <c r="E101" s="64">
        <v>5.41</v>
      </c>
      <c r="F101" s="64">
        <v>3.62</v>
      </c>
      <c r="G101" s="64">
        <v>27.62</v>
      </c>
      <c r="H101" s="64">
        <v>7.58</v>
      </c>
      <c r="I101" s="64">
        <v>2.2400000000000002</v>
      </c>
      <c r="J101" s="64">
        <v>1.24</v>
      </c>
      <c r="K101" s="64">
        <v>113.8</v>
      </c>
      <c r="L101" s="64">
        <v>26.27</v>
      </c>
      <c r="M101" s="64">
        <v>93.17</v>
      </c>
      <c r="N101" s="64">
        <v>25.9</v>
      </c>
      <c r="O101" s="64">
        <v>0</v>
      </c>
      <c r="P101" s="64">
        <v>0.53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1877</v>
      </c>
      <c r="B102" s="64">
        <v>10.039999999999999</v>
      </c>
      <c r="C102" s="64">
        <v>6.82</v>
      </c>
      <c r="D102" s="64">
        <v>11.61</v>
      </c>
      <c r="E102" s="64">
        <v>5.18</v>
      </c>
      <c r="F102" s="64">
        <v>3.58</v>
      </c>
      <c r="G102" s="64">
        <v>27.62</v>
      </c>
      <c r="H102" s="64">
        <v>7.58</v>
      </c>
      <c r="I102" s="64">
        <v>2.16</v>
      </c>
      <c r="J102" s="64">
        <v>1.38</v>
      </c>
      <c r="K102" s="64">
        <v>114.67</v>
      </c>
      <c r="L102" s="64">
        <v>26.32</v>
      </c>
      <c r="M102" s="64">
        <v>92.25</v>
      </c>
      <c r="N102" s="64">
        <v>25.9</v>
      </c>
      <c r="O102" s="64">
        <v>0</v>
      </c>
      <c r="P102" s="64">
        <v>0.57999999999999996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5" t="s">
        <v>1878</v>
      </c>
      <c r="B103" s="64">
        <v>9.4600000000000009</v>
      </c>
      <c r="C103" s="64">
        <v>6.42</v>
      </c>
      <c r="D103" s="64">
        <v>10.94</v>
      </c>
      <c r="E103" s="64">
        <v>5.19</v>
      </c>
      <c r="F103" s="64">
        <v>3.44</v>
      </c>
      <c r="G103" s="64">
        <v>29.23</v>
      </c>
      <c r="H103" s="64">
        <v>5.88</v>
      </c>
      <c r="I103" s="64">
        <v>3.46</v>
      </c>
      <c r="J103" s="64">
        <v>1.1499999999999999</v>
      </c>
      <c r="K103" s="64">
        <v>128.57</v>
      </c>
      <c r="L103" s="64">
        <v>26.25</v>
      </c>
      <c r="M103" s="64">
        <v>91.43</v>
      </c>
      <c r="N103" s="64">
        <v>26.1</v>
      </c>
      <c r="O103" s="64">
        <v>0</v>
      </c>
      <c r="P103" s="64">
        <v>0.51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1879</v>
      </c>
      <c r="B104" s="64">
        <v>8.82</v>
      </c>
      <c r="C104" s="64">
        <v>6.33</v>
      </c>
      <c r="D104" s="64">
        <v>10.38</v>
      </c>
      <c r="E104" s="64">
        <v>3.48</v>
      </c>
      <c r="F104" s="64">
        <v>2.98</v>
      </c>
      <c r="G104" s="64">
        <v>29.92</v>
      </c>
      <c r="H104" s="64">
        <v>5.61</v>
      </c>
      <c r="I104" s="64">
        <v>3.52</v>
      </c>
      <c r="J104" s="64">
        <v>1.1000000000000001</v>
      </c>
      <c r="K104" s="64">
        <v>114.15</v>
      </c>
      <c r="L104" s="64">
        <v>26.29</v>
      </c>
      <c r="M104" s="64">
        <v>90.33</v>
      </c>
      <c r="N104" s="64">
        <v>26</v>
      </c>
      <c r="O104" s="64">
        <v>0</v>
      </c>
      <c r="P104" s="64">
        <v>0.42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1.44</v>
      </c>
      <c r="C106" s="67">
        <f>MIN(C9:C104)</f>
        <v>3.95</v>
      </c>
      <c r="D106" s="67">
        <f t="shared" ref="D106:Q106" si="0">MIN(D9:D104)</f>
        <v>3.39</v>
      </c>
      <c r="E106" s="67">
        <f t="shared" si="0"/>
        <v>3.48</v>
      </c>
      <c r="F106" s="67">
        <f t="shared" si="0"/>
        <v>2.4</v>
      </c>
      <c r="G106" s="67">
        <f t="shared" si="0"/>
        <v>22.01</v>
      </c>
      <c r="H106" s="67">
        <f t="shared" si="0"/>
        <v>5.61</v>
      </c>
      <c r="I106" s="67">
        <f t="shared" si="0"/>
        <v>1.04</v>
      </c>
      <c r="J106" s="67">
        <f t="shared" si="0"/>
        <v>7.0000000000000007E-2</v>
      </c>
      <c r="K106" s="67">
        <f t="shared" si="0"/>
        <v>16.46</v>
      </c>
      <c r="L106" s="67">
        <f t="shared" si="0"/>
        <v>23.72</v>
      </c>
      <c r="M106" s="67">
        <f t="shared" si="0"/>
        <v>51.44</v>
      </c>
      <c r="N106" s="67">
        <f t="shared" si="0"/>
        <v>25.7</v>
      </c>
      <c r="O106" s="67">
        <f t="shared" si="0"/>
        <v>0</v>
      </c>
      <c r="P106" s="67">
        <f t="shared" si="0"/>
        <v>0.31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12.79</v>
      </c>
      <c r="C107" s="66">
        <f t="shared" ref="C107:Q107" si="1">MAX(C9:C104)</f>
        <v>9.3699999999999992</v>
      </c>
      <c r="D107" s="66">
        <f t="shared" si="1"/>
        <v>14</v>
      </c>
      <c r="E107" s="66">
        <f t="shared" si="1"/>
        <v>5.9</v>
      </c>
      <c r="F107" s="66">
        <f t="shared" si="1"/>
        <v>6.26</v>
      </c>
      <c r="G107" s="66">
        <f t="shared" si="1"/>
        <v>45.19</v>
      </c>
      <c r="H107" s="66">
        <f t="shared" si="1"/>
        <v>25.44</v>
      </c>
      <c r="I107" s="66">
        <f t="shared" si="1"/>
        <v>5.83</v>
      </c>
      <c r="J107" s="66">
        <f t="shared" si="1"/>
        <v>1.5</v>
      </c>
      <c r="K107" s="66">
        <f t="shared" si="1"/>
        <v>351.07</v>
      </c>
      <c r="L107" s="66">
        <f t="shared" si="1"/>
        <v>33.15</v>
      </c>
      <c r="M107" s="66">
        <f t="shared" si="1"/>
        <v>102.27</v>
      </c>
      <c r="N107" s="66">
        <f t="shared" si="1"/>
        <v>846.7</v>
      </c>
      <c r="O107" s="66">
        <f t="shared" si="1"/>
        <v>0</v>
      </c>
      <c r="P107" s="66">
        <f t="shared" si="1"/>
        <v>1.08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5.2571874999999979</v>
      </c>
      <c r="C108" s="67">
        <f t="shared" ref="C108:Q108" si="2">AVERAGE(C9:C104)</f>
        <v>6.5108333333333333</v>
      </c>
      <c r="D108" s="67">
        <f t="shared" si="2"/>
        <v>7.6171875000000044</v>
      </c>
      <c r="E108" s="67">
        <f t="shared" si="2"/>
        <v>4.7589583333333314</v>
      </c>
      <c r="F108" s="67">
        <f t="shared" si="2"/>
        <v>3.7288541666666664</v>
      </c>
      <c r="G108" s="67">
        <f t="shared" si="2"/>
        <v>29.788854166666653</v>
      </c>
      <c r="H108" s="67">
        <f t="shared" si="2"/>
        <v>14.346145833333329</v>
      </c>
      <c r="I108" s="67">
        <f t="shared" si="2"/>
        <v>3.0652083333333331</v>
      </c>
      <c r="J108" s="67">
        <f t="shared" si="2"/>
        <v>0.63781250000000034</v>
      </c>
      <c r="K108" s="67">
        <f t="shared" si="2"/>
        <v>120.83562499999998</v>
      </c>
      <c r="L108" s="67">
        <f t="shared" si="2"/>
        <v>27.814895833333342</v>
      </c>
      <c r="M108" s="67">
        <f t="shared" si="2"/>
        <v>79.147083333333299</v>
      </c>
      <c r="N108" s="67">
        <f t="shared" si="2"/>
        <v>194.58229166666658</v>
      </c>
      <c r="O108" s="67">
        <f t="shared" si="2"/>
        <v>0</v>
      </c>
      <c r="P108" s="67">
        <f t="shared" si="2"/>
        <v>0.47979166666666639</v>
      </c>
      <c r="Q108" s="67">
        <f t="shared" si="2"/>
        <v>9.6118750000000084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3.5801883817313609</v>
      </c>
      <c r="C109" s="67">
        <f t="shared" ref="C109:Q109" si="3">STDEV(C9:C104)</f>
        <v>1.3405557894251898</v>
      </c>
      <c r="D109" s="67">
        <f t="shared" si="3"/>
        <v>3.1081128825686832</v>
      </c>
      <c r="E109" s="67">
        <f t="shared" si="3"/>
        <v>0.62043529569196076</v>
      </c>
      <c r="F109" s="67">
        <f t="shared" si="3"/>
        <v>0.57732389849367538</v>
      </c>
      <c r="G109" s="67">
        <f t="shared" si="3"/>
        <v>5.0953726933142969</v>
      </c>
      <c r="H109" s="67">
        <f t="shared" si="3"/>
        <v>5.1303471452856293</v>
      </c>
      <c r="I109" s="67">
        <f t="shared" si="3"/>
        <v>1.1371959782651617</v>
      </c>
      <c r="J109" s="67">
        <f t="shared" si="3"/>
        <v>0.39145935629587181</v>
      </c>
      <c r="K109" s="67">
        <f t="shared" si="3"/>
        <v>66.444335037327562</v>
      </c>
      <c r="L109" s="67">
        <f t="shared" si="3"/>
        <v>2.8029863753885844</v>
      </c>
      <c r="M109" s="67">
        <f t="shared" si="3"/>
        <v>16.561724923936726</v>
      </c>
      <c r="N109" s="67">
        <f t="shared" si="3"/>
        <v>272.6816397018373</v>
      </c>
      <c r="O109" s="67">
        <f t="shared" si="3"/>
        <v>0</v>
      </c>
      <c r="P109" s="67">
        <f t="shared" si="3"/>
        <v>0.16534480188010811</v>
      </c>
      <c r="Q109" s="67">
        <f t="shared" si="3"/>
        <v>8.9809740416528713E-3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1880</v>
      </c>
      <c r="B9" s="64">
        <v>8.4700000000000006</v>
      </c>
      <c r="C9" s="64">
        <v>5.7</v>
      </c>
      <c r="D9" s="64">
        <v>9.77</v>
      </c>
      <c r="E9" s="64">
        <v>4.12</v>
      </c>
      <c r="F9" s="64">
        <v>3.14</v>
      </c>
      <c r="G9" s="64">
        <v>29.92</v>
      </c>
      <c r="H9" s="64">
        <v>5.61</v>
      </c>
      <c r="I9" s="64">
        <v>3.17</v>
      </c>
      <c r="J9" s="64">
        <v>1.35</v>
      </c>
      <c r="K9" s="64">
        <v>123.17</v>
      </c>
      <c r="L9" s="64">
        <v>26.26</v>
      </c>
      <c r="M9" s="64">
        <v>90.41</v>
      </c>
      <c r="N9" s="64">
        <v>26</v>
      </c>
      <c r="O9" s="64">
        <v>0</v>
      </c>
      <c r="P9" s="64">
        <v>0.43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5" t="s">
        <v>1881</v>
      </c>
      <c r="B10" s="64">
        <v>8.06</v>
      </c>
      <c r="C10" s="64">
        <v>5.56</v>
      </c>
      <c r="D10" s="64">
        <v>9.3699999999999992</v>
      </c>
      <c r="E10" s="64">
        <v>4.0199999999999996</v>
      </c>
      <c r="F10" s="64">
        <v>3.11</v>
      </c>
      <c r="G10" s="64">
        <v>29.92</v>
      </c>
      <c r="H10" s="64">
        <v>5.61</v>
      </c>
      <c r="I10" s="64">
        <v>2.29</v>
      </c>
      <c r="J10" s="64">
        <v>1.64</v>
      </c>
      <c r="K10" s="64">
        <v>111.06</v>
      </c>
      <c r="L10" s="64">
        <v>26.05</v>
      </c>
      <c r="M10" s="64">
        <v>92.48</v>
      </c>
      <c r="N10" s="64">
        <v>26.1</v>
      </c>
      <c r="O10" s="64">
        <v>0</v>
      </c>
      <c r="P10" s="64">
        <v>0.47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1882</v>
      </c>
      <c r="B11" s="64">
        <v>7.7</v>
      </c>
      <c r="C11" s="64">
        <v>5.54</v>
      </c>
      <c r="D11" s="64">
        <v>9.07</v>
      </c>
      <c r="E11" s="64">
        <v>4.08</v>
      </c>
      <c r="F11" s="64">
        <v>3.29</v>
      </c>
      <c r="G11" s="64">
        <v>25.86</v>
      </c>
      <c r="H11" s="64">
        <v>4.84</v>
      </c>
      <c r="I11" s="64">
        <v>2.2000000000000002</v>
      </c>
      <c r="J11" s="64">
        <v>1.68</v>
      </c>
      <c r="K11" s="64">
        <v>112.35</v>
      </c>
      <c r="L11" s="64">
        <v>25.8</v>
      </c>
      <c r="M11" s="64">
        <v>94.76</v>
      </c>
      <c r="N11" s="64">
        <v>26.2</v>
      </c>
      <c r="O11" s="64">
        <v>0</v>
      </c>
      <c r="P11" s="64">
        <v>0.45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1883</v>
      </c>
      <c r="B12" s="64">
        <v>7.31</v>
      </c>
      <c r="C12" s="64">
        <v>5.43</v>
      </c>
      <c r="D12" s="64">
        <v>8.6999999999999993</v>
      </c>
      <c r="E12" s="64">
        <v>3.92</v>
      </c>
      <c r="F12" s="64">
        <v>3.42</v>
      </c>
      <c r="G12" s="64">
        <v>24.11</v>
      </c>
      <c r="H12" s="64">
        <v>4.79</v>
      </c>
      <c r="I12" s="64">
        <v>3.11</v>
      </c>
      <c r="J12" s="64">
        <v>1.62</v>
      </c>
      <c r="K12" s="64">
        <v>110.46</v>
      </c>
      <c r="L12" s="64">
        <v>25.64</v>
      </c>
      <c r="M12" s="64">
        <v>96</v>
      </c>
      <c r="N12" s="64">
        <v>26.1</v>
      </c>
      <c r="O12" s="64">
        <v>0</v>
      </c>
      <c r="P12" s="64">
        <v>0.46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1884</v>
      </c>
      <c r="B13" s="64">
        <v>6.96</v>
      </c>
      <c r="C13" s="64">
        <v>5.34</v>
      </c>
      <c r="D13" s="64">
        <v>8.3699999999999992</v>
      </c>
      <c r="E13" s="64">
        <v>3.78</v>
      </c>
      <c r="F13" s="64">
        <v>2.99</v>
      </c>
      <c r="G13" s="64">
        <v>24.11</v>
      </c>
      <c r="H13" s="64">
        <v>4.79</v>
      </c>
      <c r="I13" s="64">
        <v>3.98</v>
      </c>
      <c r="J13" s="64">
        <v>1.1000000000000001</v>
      </c>
      <c r="K13" s="64">
        <v>110.99</v>
      </c>
      <c r="L13" s="64">
        <v>25.59</v>
      </c>
      <c r="M13" s="64">
        <v>96.4</v>
      </c>
      <c r="N13" s="64">
        <v>26.1</v>
      </c>
      <c r="O13" s="64">
        <v>0</v>
      </c>
      <c r="P13" s="64">
        <v>0.33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5" t="s">
        <v>1885</v>
      </c>
      <c r="B14" s="64">
        <v>6.68</v>
      </c>
      <c r="C14" s="64">
        <v>5.19</v>
      </c>
      <c r="D14" s="64">
        <v>8.07</v>
      </c>
      <c r="E14" s="64">
        <v>3.88</v>
      </c>
      <c r="F14" s="64">
        <v>2.98</v>
      </c>
      <c r="G14" s="64">
        <v>24.11</v>
      </c>
      <c r="H14" s="64">
        <v>4.79</v>
      </c>
      <c r="I14" s="64">
        <v>3.58</v>
      </c>
      <c r="J14" s="64">
        <v>1.47</v>
      </c>
      <c r="K14" s="64">
        <v>114.5</v>
      </c>
      <c r="L14" s="64">
        <v>25.42</v>
      </c>
      <c r="M14" s="64">
        <v>97.66</v>
      </c>
      <c r="N14" s="64">
        <v>26.1</v>
      </c>
      <c r="O14" s="64">
        <v>0</v>
      </c>
      <c r="P14" s="64">
        <v>0.4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5" t="s">
        <v>1886</v>
      </c>
      <c r="B15" s="64">
        <v>6.33</v>
      </c>
      <c r="C15" s="64">
        <v>5</v>
      </c>
      <c r="D15" s="64">
        <v>7.69</v>
      </c>
      <c r="E15" s="64">
        <v>4.13</v>
      </c>
      <c r="F15" s="64">
        <v>3.31</v>
      </c>
      <c r="G15" s="64">
        <v>23.2</v>
      </c>
      <c r="H15" s="64">
        <v>6.38</v>
      </c>
      <c r="I15" s="64">
        <v>2.5099999999999998</v>
      </c>
      <c r="J15" s="64">
        <v>1.24</v>
      </c>
      <c r="K15" s="64">
        <v>117.07</v>
      </c>
      <c r="L15" s="64">
        <v>25.32</v>
      </c>
      <c r="M15" s="64">
        <v>97.73</v>
      </c>
      <c r="N15" s="64">
        <v>26</v>
      </c>
      <c r="O15" s="64">
        <v>0</v>
      </c>
      <c r="P15" s="64">
        <v>0.4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5" t="s">
        <v>1887</v>
      </c>
      <c r="B16" s="64">
        <v>5.99</v>
      </c>
      <c r="C16" s="64">
        <v>5.05</v>
      </c>
      <c r="D16" s="64">
        <v>7.44</v>
      </c>
      <c r="E16" s="64">
        <v>3.85</v>
      </c>
      <c r="F16" s="64">
        <v>3.36</v>
      </c>
      <c r="G16" s="64">
        <v>22.81</v>
      </c>
      <c r="H16" s="64">
        <v>6.51</v>
      </c>
      <c r="I16" s="64">
        <v>2.82</v>
      </c>
      <c r="J16" s="64">
        <v>0.98</v>
      </c>
      <c r="K16" s="64">
        <v>104.53</v>
      </c>
      <c r="L16" s="64">
        <v>25.25</v>
      </c>
      <c r="M16" s="64">
        <v>98.01</v>
      </c>
      <c r="N16" s="64">
        <v>26.1</v>
      </c>
      <c r="O16" s="64">
        <v>0</v>
      </c>
      <c r="P16" s="64">
        <v>0.42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1888</v>
      </c>
      <c r="B17" s="64">
        <v>5.5</v>
      </c>
      <c r="C17" s="64">
        <v>4.9000000000000004</v>
      </c>
      <c r="D17" s="64">
        <v>6.97</v>
      </c>
      <c r="E17" s="64">
        <v>4.5</v>
      </c>
      <c r="F17" s="64">
        <v>3.93</v>
      </c>
      <c r="G17" s="64">
        <v>22.81</v>
      </c>
      <c r="H17" s="64">
        <v>6.51</v>
      </c>
      <c r="I17" s="64">
        <v>4.66</v>
      </c>
      <c r="J17" s="64">
        <v>0.79</v>
      </c>
      <c r="K17" s="64">
        <v>93.22</v>
      </c>
      <c r="L17" s="64">
        <v>25.15</v>
      </c>
      <c r="M17" s="64">
        <v>98.71</v>
      </c>
      <c r="N17" s="64">
        <v>26.1</v>
      </c>
      <c r="O17" s="64">
        <v>0</v>
      </c>
      <c r="P17" s="64">
        <v>0.4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1889</v>
      </c>
      <c r="B18" s="64">
        <v>5.0999999999999996</v>
      </c>
      <c r="C18" s="64">
        <v>4.4800000000000004</v>
      </c>
      <c r="D18" s="64">
        <v>6.43</v>
      </c>
      <c r="E18" s="64">
        <v>4.3899999999999997</v>
      </c>
      <c r="F18" s="64">
        <v>3.84</v>
      </c>
      <c r="G18" s="64">
        <v>22.81</v>
      </c>
      <c r="H18" s="64">
        <v>6.51</v>
      </c>
      <c r="I18" s="64">
        <v>4.72</v>
      </c>
      <c r="J18" s="64">
        <v>0.72</v>
      </c>
      <c r="K18" s="64">
        <v>101.02</v>
      </c>
      <c r="L18" s="64">
        <v>25.08</v>
      </c>
      <c r="M18" s="64">
        <v>97.54</v>
      </c>
      <c r="N18" s="64">
        <v>26.1</v>
      </c>
      <c r="O18" s="64">
        <v>0</v>
      </c>
      <c r="P18" s="64">
        <v>0.41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1890</v>
      </c>
      <c r="B19" s="64">
        <v>4.7699999999999996</v>
      </c>
      <c r="C19" s="64">
        <v>4.6100000000000003</v>
      </c>
      <c r="D19" s="64">
        <v>6.23</v>
      </c>
      <c r="E19" s="64">
        <v>4.24</v>
      </c>
      <c r="F19" s="64">
        <v>3.36</v>
      </c>
      <c r="G19" s="64">
        <v>21.88</v>
      </c>
      <c r="H19" s="64">
        <v>7.03</v>
      </c>
      <c r="I19" s="64">
        <v>3.56</v>
      </c>
      <c r="J19" s="64">
        <v>0.27</v>
      </c>
      <c r="K19" s="64">
        <v>76.98</v>
      </c>
      <c r="L19" s="64">
        <v>24.92</v>
      </c>
      <c r="M19" s="64">
        <v>97.72</v>
      </c>
      <c r="N19" s="64">
        <v>26.1</v>
      </c>
      <c r="O19" s="64">
        <v>0</v>
      </c>
      <c r="P19" s="64">
        <v>0.35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1891</v>
      </c>
      <c r="B20" s="64">
        <v>4.5</v>
      </c>
      <c r="C20" s="64">
        <v>4.67</v>
      </c>
      <c r="D20" s="64">
        <v>6.05</v>
      </c>
      <c r="E20" s="64">
        <v>4.17</v>
      </c>
      <c r="F20" s="64">
        <v>3.33</v>
      </c>
      <c r="G20" s="64">
        <v>21.48</v>
      </c>
      <c r="H20" s="64">
        <v>7.1</v>
      </c>
      <c r="I20" s="64">
        <v>4.18</v>
      </c>
      <c r="J20" s="64">
        <v>0.37</v>
      </c>
      <c r="K20" s="64">
        <v>88.04</v>
      </c>
      <c r="L20" s="64">
        <v>24.92</v>
      </c>
      <c r="M20" s="64">
        <v>96.23</v>
      </c>
      <c r="N20" s="64">
        <v>26</v>
      </c>
      <c r="O20" s="64">
        <v>0</v>
      </c>
      <c r="P20" s="64">
        <v>0.37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1892</v>
      </c>
      <c r="B21" s="64">
        <v>4.26</v>
      </c>
      <c r="C21" s="64">
        <v>4.34</v>
      </c>
      <c r="D21" s="64">
        <v>5.68</v>
      </c>
      <c r="E21" s="64">
        <v>4.07</v>
      </c>
      <c r="F21" s="64">
        <v>3.39</v>
      </c>
      <c r="G21" s="64">
        <v>21.48</v>
      </c>
      <c r="H21" s="64">
        <v>7.1</v>
      </c>
      <c r="I21" s="64">
        <v>3.78</v>
      </c>
      <c r="J21" s="64">
        <v>0.7</v>
      </c>
      <c r="K21" s="64">
        <v>102.37</v>
      </c>
      <c r="L21" s="64">
        <v>24.95</v>
      </c>
      <c r="M21" s="64">
        <v>96.16</v>
      </c>
      <c r="N21" s="64">
        <v>25.9</v>
      </c>
      <c r="O21" s="64">
        <v>0</v>
      </c>
      <c r="P21" s="64">
        <v>0.35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1893</v>
      </c>
      <c r="B22" s="64">
        <v>4.1100000000000003</v>
      </c>
      <c r="C22" s="64">
        <v>4.55</v>
      </c>
      <c r="D22" s="64">
        <v>5.67</v>
      </c>
      <c r="E22" s="64">
        <v>3.79</v>
      </c>
      <c r="F22" s="64">
        <v>3.23</v>
      </c>
      <c r="G22" s="64">
        <v>21.48</v>
      </c>
      <c r="H22" s="64">
        <v>7.1</v>
      </c>
      <c r="I22" s="64">
        <v>1.86</v>
      </c>
      <c r="J22" s="64">
        <v>0.39</v>
      </c>
      <c r="K22" s="64">
        <v>84.06</v>
      </c>
      <c r="L22" s="64">
        <v>24.86</v>
      </c>
      <c r="M22" s="64">
        <v>97.21</v>
      </c>
      <c r="N22" s="64">
        <v>26.1</v>
      </c>
      <c r="O22" s="64">
        <v>0</v>
      </c>
      <c r="P22" s="64">
        <v>0.37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5" t="s">
        <v>1894</v>
      </c>
      <c r="B23" s="64">
        <v>4.09</v>
      </c>
      <c r="C23" s="64">
        <v>4.26</v>
      </c>
      <c r="D23" s="64">
        <v>5.51</v>
      </c>
      <c r="E23" s="64">
        <v>3.93</v>
      </c>
      <c r="F23" s="64">
        <v>4.01</v>
      </c>
      <c r="G23" s="64">
        <v>19.329999999999998</v>
      </c>
      <c r="H23" s="64">
        <v>5.3</v>
      </c>
      <c r="I23" s="64">
        <v>3.16</v>
      </c>
      <c r="J23" s="64">
        <v>0.5</v>
      </c>
      <c r="K23" s="64">
        <v>331.39</v>
      </c>
      <c r="L23" s="64">
        <v>24.58</v>
      </c>
      <c r="M23" s="64">
        <v>100.95</v>
      </c>
      <c r="N23" s="64">
        <v>26.3</v>
      </c>
      <c r="O23" s="64">
        <v>0</v>
      </c>
      <c r="P23" s="64">
        <v>0.36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1895</v>
      </c>
      <c r="B24" s="64">
        <v>4.22</v>
      </c>
      <c r="C24" s="64">
        <v>4.6399999999999997</v>
      </c>
      <c r="D24" s="64">
        <v>5.81</v>
      </c>
      <c r="E24" s="64">
        <v>4.78</v>
      </c>
      <c r="F24" s="64">
        <v>3.47</v>
      </c>
      <c r="G24" s="64">
        <v>18.41</v>
      </c>
      <c r="H24" s="64">
        <v>5.15</v>
      </c>
      <c r="I24" s="64">
        <v>2.12</v>
      </c>
      <c r="J24" s="64">
        <v>0.49</v>
      </c>
      <c r="K24" s="64">
        <v>311.26</v>
      </c>
      <c r="L24" s="64">
        <v>24.13</v>
      </c>
      <c r="M24" s="64">
        <v>102.7</v>
      </c>
      <c r="N24" s="64">
        <v>26.2</v>
      </c>
      <c r="O24" s="64">
        <v>0</v>
      </c>
      <c r="P24" s="64">
        <v>0.36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1896</v>
      </c>
      <c r="B25" s="64">
        <v>4.6500000000000004</v>
      </c>
      <c r="C25" s="64">
        <v>4.33</v>
      </c>
      <c r="D25" s="64">
        <v>5.99</v>
      </c>
      <c r="E25" s="64">
        <v>4.95</v>
      </c>
      <c r="F25" s="64">
        <v>3.08</v>
      </c>
      <c r="G25" s="64">
        <v>18.41</v>
      </c>
      <c r="H25" s="64">
        <v>5.15</v>
      </c>
      <c r="I25" s="64">
        <v>3.35</v>
      </c>
      <c r="J25" s="64">
        <v>0.4</v>
      </c>
      <c r="K25" s="64">
        <v>180.04</v>
      </c>
      <c r="L25" s="64">
        <v>24</v>
      </c>
      <c r="M25" s="64">
        <v>102.56</v>
      </c>
      <c r="N25" s="64">
        <v>26</v>
      </c>
      <c r="O25" s="64">
        <v>0</v>
      </c>
      <c r="P25" s="64">
        <v>0.33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1897</v>
      </c>
      <c r="B26" s="64">
        <v>5.12</v>
      </c>
      <c r="C26" s="64">
        <v>4.2</v>
      </c>
      <c r="D26" s="64">
        <v>6.3</v>
      </c>
      <c r="E26" s="64">
        <v>5.17</v>
      </c>
      <c r="F26" s="64">
        <v>3.27</v>
      </c>
      <c r="G26" s="64">
        <v>18.41</v>
      </c>
      <c r="H26" s="64">
        <v>5.15</v>
      </c>
      <c r="I26" s="64">
        <v>2.2799999999999998</v>
      </c>
      <c r="J26" s="64">
        <v>0.43</v>
      </c>
      <c r="K26" s="64">
        <v>125.98</v>
      </c>
      <c r="L26" s="64">
        <v>24.31</v>
      </c>
      <c r="M26" s="64">
        <v>100.64</v>
      </c>
      <c r="N26" s="64">
        <v>25.7</v>
      </c>
      <c r="O26" s="64">
        <v>0</v>
      </c>
      <c r="P26" s="64">
        <v>0.31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1898</v>
      </c>
      <c r="B27" s="64">
        <v>5.44</v>
      </c>
      <c r="C27" s="64">
        <v>4.16</v>
      </c>
      <c r="D27" s="64">
        <v>6.53</v>
      </c>
      <c r="E27" s="64">
        <v>4.7699999999999996</v>
      </c>
      <c r="F27" s="64">
        <v>3.02</v>
      </c>
      <c r="G27" s="64">
        <v>18.420000000000002</v>
      </c>
      <c r="H27" s="64">
        <v>6.89</v>
      </c>
      <c r="I27" s="64">
        <v>1.18</v>
      </c>
      <c r="J27" s="64">
        <v>7.0000000000000007E-2</v>
      </c>
      <c r="K27" s="64">
        <v>153.06</v>
      </c>
      <c r="L27" s="64">
        <v>24.35</v>
      </c>
      <c r="M27" s="64">
        <v>99.92</v>
      </c>
      <c r="N27" s="64">
        <v>26</v>
      </c>
      <c r="O27" s="64">
        <v>0</v>
      </c>
      <c r="P27" s="64">
        <v>0.31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5" t="s">
        <v>1899</v>
      </c>
      <c r="B28" s="64">
        <v>5.56</v>
      </c>
      <c r="C28" s="64">
        <v>4.12</v>
      </c>
      <c r="D28" s="64">
        <v>6.62</v>
      </c>
      <c r="E28" s="64">
        <v>4.97</v>
      </c>
      <c r="F28" s="64">
        <v>3.08</v>
      </c>
      <c r="G28" s="64">
        <v>18.420000000000002</v>
      </c>
      <c r="H28" s="64">
        <v>7.03</v>
      </c>
      <c r="I28" s="64">
        <v>1.1299999999999999</v>
      </c>
      <c r="J28" s="64">
        <v>0.14000000000000001</v>
      </c>
      <c r="K28" s="64">
        <v>192.47</v>
      </c>
      <c r="L28" s="64">
        <v>24.25</v>
      </c>
      <c r="M28" s="64">
        <v>100.81</v>
      </c>
      <c r="N28" s="64">
        <v>26.1</v>
      </c>
      <c r="O28" s="64">
        <v>0</v>
      </c>
      <c r="P28" s="64">
        <v>0.36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5" t="s">
        <v>1900</v>
      </c>
      <c r="B29" s="64">
        <v>5.72</v>
      </c>
      <c r="C29" s="64">
        <v>4.21</v>
      </c>
      <c r="D29" s="64">
        <v>6.79</v>
      </c>
      <c r="E29" s="64">
        <v>5.15</v>
      </c>
      <c r="F29" s="64">
        <v>3.13</v>
      </c>
      <c r="G29" s="64">
        <v>18.420000000000002</v>
      </c>
      <c r="H29" s="64">
        <v>7.03</v>
      </c>
      <c r="I29" s="64">
        <v>1.1299999999999999</v>
      </c>
      <c r="J29" s="64">
        <v>0.15</v>
      </c>
      <c r="K29" s="64">
        <v>295.76</v>
      </c>
      <c r="L29" s="64">
        <v>24.13</v>
      </c>
      <c r="M29" s="64">
        <v>102.12</v>
      </c>
      <c r="N29" s="64">
        <v>26.2</v>
      </c>
      <c r="O29" s="64">
        <v>0</v>
      </c>
      <c r="P29" s="64">
        <v>0.39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1901</v>
      </c>
      <c r="B30" s="64">
        <v>6.29</v>
      </c>
      <c r="C30" s="64">
        <v>4.29</v>
      </c>
      <c r="D30" s="64">
        <v>7.28</v>
      </c>
      <c r="E30" s="64">
        <v>5.55</v>
      </c>
      <c r="F30" s="64">
        <v>2.89</v>
      </c>
      <c r="G30" s="64">
        <v>18.420000000000002</v>
      </c>
      <c r="H30" s="64">
        <v>7.03</v>
      </c>
      <c r="I30" s="64">
        <v>1.32</v>
      </c>
      <c r="J30" s="64">
        <v>0.35</v>
      </c>
      <c r="K30" s="64">
        <v>286.77999999999997</v>
      </c>
      <c r="L30" s="64">
        <v>24.07</v>
      </c>
      <c r="M30" s="64">
        <v>102.12</v>
      </c>
      <c r="N30" s="64">
        <v>26.1</v>
      </c>
      <c r="O30" s="64">
        <v>0</v>
      </c>
      <c r="P30" s="64">
        <v>0.47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1902</v>
      </c>
      <c r="B31" s="64">
        <v>7.24</v>
      </c>
      <c r="C31" s="64">
        <v>4.24</v>
      </c>
      <c r="D31" s="64">
        <v>8.02</v>
      </c>
      <c r="E31" s="64">
        <v>5.44</v>
      </c>
      <c r="F31" s="64">
        <v>2.97</v>
      </c>
      <c r="G31" s="64">
        <v>19.04</v>
      </c>
      <c r="H31" s="64">
        <v>5.65</v>
      </c>
      <c r="I31" s="64">
        <v>1.58</v>
      </c>
      <c r="J31" s="64">
        <v>0.34</v>
      </c>
      <c r="K31" s="64">
        <v>251.32</v>
      </c>
      <c r="L31" s="64">
        <v>23.83</v>
      </c>
      <c r="M31" s="64">
        <v>102.7</v>
      </c>
      <c r="N31" s="64">
        <v>26.3</v>
      </c>
      <c r="O31" s="64">
        <v>0</v>
      </c>
      <c r="P31" s="64">
        <v>0.41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1903</v>
      </c>
      <c r="B32" s="64">
        <v>8.2100000000000009</v>
      </c>
      <c r="C32" s="64">
        <v>4.45</v>
      </c>
      <c r="D32" s="64">
        <v>8.91</v>
      </c>
      <c r="E32" s="64">
        <v>5.65</v>
      </c>
      <c r="F32" s="64">
        <v>2.75</v>
      </c>
      <c r="G32" s="64">
        <v>19.3</v>
      </c>
      <c r="H32" s="64">
        <v>5.54</v>
      </c>
      <c r="I32" s="64">
        <v>1.8</v>
      </c>
      <c r="J32" s="64">
        <v>0.49</v>
      </c>
      <c r="K32" s="64">
        <v>311.27</v>
      </c>
      <c r="L32" s="64">
        <v>23.71</v>
      </c>
      <c r="M32" s="64">
        <v>102.7</v>
      </c>
      <c r="N32" s="64">
        <v>28.7</v>
      </c>
      <c r="O32" s="64">
        <v>0</v>
      </c>
      <c r="P32" s="64">
        <v>0.42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1904</v>
      </c>
      <c r="B33" s="64">
        <v>10.25</v>
      </c>
      <c r="C33" s="64">
        <v>4.9800000000000004</v>
      </c>
      <c r="D33" s="64">
        <v>10.82</v>
      </c>
      <c r="E33" s="64">
        <v>5.73</v>
      </c>
      <c r="F33" s="64">
        <v>3.42</v>
      </c>
      <c r="G33" s="64">
        <v>19.3</v>
      </c>
      <c r="H33" s="64">
        <v>5.54</v>
      </c>
      <c r="I33" s="64">
        <v>1.63</v>
      </c>
      <c r="J33" s="64">
        <v>0.57999999999999996</v>
      </c>
      <c r="K33" s="64">
        <v>329.98</v>
      </c>
      <c r="L33" s="64">
        <v>23.66</v>
      </c>
      <c r="M33" s="64">
        <v>102.7</v>
      </c>
      <c r="N33" s="64">
        <v>39.9</v>
      </c>
      <c r="O33" s="64">
        <v>0</v>
      </c>
      <c r="P33" s="64">
        <v>0.52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5" t="s">
        <v>1905</v>
      </c>
      <c r="B34" s="64">
        <v>13.6</v>
      </c>
      <c r="C34" s="64">
        <v>5.12</v>
      </c>
      <c r="D34" s="64">
        <v>13.58</v>
      </c>
      <c r="E34" s="64">
        <v>6.18</v>
      </c>
      <c r="F34" s="64">
        <v>3.46</v>
      </c>
      <c r="G34" s="64">
        <v>19.3</v>
      </c>
      <c r="H34" s="64">
        <v>5.54</v>
      </c>
      <c r="I34" s="64">
        <v>3.41</v>
      </c>
      <c r="J34" s="64">
        <v>0.46</v>
      </c>
      <c r="K34" s="64">
        <v>1.1200000000000001</v>
      </c>
      <c r="L34" s="64">
        <v>24</v>
      </c>
      <c r="M34" s="64">
        <v>102.66</v>
      </c>
      <c r="N34" s="64">
        <v>60.8</v>
      </c>
      <c r="O34" s="64">
        <v>0</v>
      </c>
      <c r="P34" s="64">
        <v>0.54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1906</v>
      </c>
      <c r="B35" s="64">
        <v>17.02</v>
      </c>
      <c r="C35" s="64">
        <v>5.0999999999999996</v>
      </c>
      <c r="D35" s="64">
        <v>16.309999999999999</v>
      </c>
      <c r="E35" s="64">
        <v>6.49</v>
      </c>
      <c r="F35" s="64">
        <v>3.92</v>
      </c>
      <c r="G35" s="64">
        <v>210.07</v>
      </c>
      <c r="H35" s="64">
        <v>8.57</v>
      </c>
      <c r="I35" s="64">
        <v>3.98</v>
      </c>
      <c r="J35" s="64">
        <v>0.51</v>
      </c>
      <c r="K35" s="64">
        <v>112.54</v>
      </c>
      <c r="L35" s="64">
        <v>24.64</v>
      </c>
      <c r="M35" s="64">
        <v>97.83</v>
      </c>
      <c r="N35" s="64">
        <v>106.9</v>
      </c>
      <c r="O35" s="64">
        <v>0</v>
      </c>
      <c r="P35" s="64">
        <v>0.45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1907</v>
      </c>
      <c r="B36" s="64">
        <v>18.22</v>
      </c>
      <c r="C36" s="64">
        <v>5.35</v>
      </c>
      <c r="D36" s="64">
        <v>17.399999999999999</v>
      </c>
      <c r="E36" s="64">
        <v>6.4</v>
      </c>
      <c r="F36" s="64">
        <v>2.91</v>
      </c>
      <c r="G36" s="64">
        <v>291.83</v>
      </c>
      <c r="H36" s="64">
        <v>8.9700000000000006</v>
      </c>
      <c r="I36" s="64">
        <v>2.81</v>
      </c>
      <c r="J36" s="64">
        <v>0.09</v>
      </c>
      <c r="K36" s="64">
        <v>2.66</v>
      </c>
      <c r="L36" s="64">
        <v>26.77</v>
      </c>
      <c r="M36" s="64">
        <v>85.04</v>
      </c>
      <c r="N36" s="64">
        <v>113.5</v>
      </c>
      <c r="O36" s="64">
        <v>0</v>
      </c>
      <c r="P36" s="64">
        <v>0.5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1908</v>
      </c>
      <c r="B37" s="64">
        <v>19.399999999999999</v>
      </c>
      <c r="C37" s="64">
        <v>5.63</v>
      </c>
      <c r="D37" s="64">
        <v>18.489999999999998</v>
      </c>
      <c r="E37" s="64">
        <v>6.47</v>
      </c>
      <c r="F37" s="64">
        <v>3.72</v>
      </c>
      <c r="G37" s="64">
        <v>291.83</v>
      </c>
      <c r="H37" s="64">
        <v>8.9700000000000006</v>
      </c>
      <c r="I37" s="64">
        <v>2.61</v>
      </c>
      <c r="J37" s="64">
        <v>0.39</v>
      </c>
      <c r="K37" s="64">
        <v>0.6</v>
      </c>
      <c r="L37" s="64">
        <v>27.43</v>
      </c>
      <c r="M37" s="64">
        <v>84.03</v>
      </c>
      <c r="N37" s="64">
        <v>122.7</v>
      </c>
      <c r="O37" s="64">
        <v>0</v>
      </c>
      <c r="P37" s="64">
        <v>0.44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1909</v>
      </c>
      <c r="B38" s="64">
        <v>20.61</v>
      </c>
      <c r="C38" s="64">
        <v>5.9</v>
      </c>
      <c r="D38" s="64">
        <v>19.61</v>
      </c>
      <c r="E38" s="64">
        <v>6.37</v>
      </c>
      <c r="F38" s="64">
        <v>3.02</v>
      </c>
      <c r="G38" s="64">
        <v>291.83</v>
      </c>
      <c r="H38" s="64">
        <v>8.9700000000000006</v>
      </c>
      <c r="I38" s="64">
        <v>2.54</v>
      </c>
      <c r="J38" s="64">
        <v>0.71</v>
      </c>
      <c r="K38" s="64">
        <v>142.68</v>
      </c>
      <c r="L38" s="64">
        <v>27.49</v>
      </c>
      <c r="M38" s="64">
        <v>80.62</v>
      </c>
      <c r="N38" s="64">
        <v>153.80000000000001</v>
      </c>
      <c r="O38" s="64">
        <v>0</v>
      </c>
      <c r="P38" s="64">
        <v>0.38</v>
      </c>
      <c r="Q38" s="64">
        <v>9.6</v>
      </c>
      <c r="R38" s="198"/>
      <c r="S38" s="198"/>
      <c r="T38" s="198"/>
      <c r="U38" s="198"/>
    </row>
    <row r="39" spans="1:21" s="12" customFormat="1" x14ac:dyDescent="0.25">
      <c r="A39" s="215" t="s">
        <v>1910</v>
      </c>
      <c r="B39" s="64">
        <v>20.309999999999999</v>
      </c>
      <c r="C39" s="64">
        <v>6.08</v>
      </c>
      <c r="D39" s="64">
        <v>19.47</v>
      </c>
      <c r="E39" s="64">
        <v>5.94</v>
      </c>
      <c r="F39" s="64">
        <v>4.13</v>
      </c>
      <c r="G39" s="64">
        <v>100.1</v>
      </c>
      <c r="H39" s="64">
        <v>7.54</v>
      </c>
      <c r="I39" s="64">
        <v>2.46</v>
      </c>
      <c r="J39" s="64">
        <v>0.98</v>
      </c>
      <c r="K39" s="64">
        <v>140.38</v>
      </c>
      <c r="L39" s="64">
        <v>28.54</v>
      </c>
      <c r="M39" s="64">
        <v>75.37</v>
      </c>
      <c r="N39" s="64">
        <v>387.8</v>
      </c>
      <c r="O39" s="64">
        <v>0</v>
      </c>
      <c r="P39" s="64">
        <v>0.45</v>
      </c>
      <c r="Q39" s="64">
        <v>9.6</v>
      </c>
      <c r="R39" s="198"/>
      <c r="S39" s="198"/>
      <c r="T39" s="198"/>
      <c r="U39" s="198"/>
    </row>
    <row r="40" spans="1:21" s="12" customFormat="1" x14ac:dyDescent="0.25">
      <c r="A40" s="215" t="s">
        <v>1911</v>
      </c>
      <c r="B40" s="64">
        <v>19.690000000000001</v>
      </c>
      <c r="C40" s="64">
        <v>6.22</v>
      </c>
      <c r="D40" s="64">
        <v>19.04</v>
      </c>
      <c r="E40" s="64">
        <v>5.17</v>
      </c>
      <c r="F40" s="64">
        <v>3.35</v>
      </c>
      <c r="G40" s="64">
        <v>17.940000000000001</v>
      </c>
      <c r="H40" s="64">
        <v>7.42</v>
      </c>
      <c r="I40" s="64">
        <v>2.4900000000000002</v>
      </c>
      <c r="J40" s="64">
        <v>0.56999999999999995</v>
      </c>
      <c r="K40" s="64">
        <v>133.41</v>
      </c>
      <c r="L40" s="64">
        <v>28.87</v>
      </c>
      <c r="M40" s="64">
        <v>73.56</v>
      </c>
      <c r="N40" s="64">
        <v>218.9</v>
      </c>
      <c r="O40" s="64">
        <v>0</v>
      </c>
      <c r="P40" s="64">
        <v>0.4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1912</v>
      </c>
      <c r="B41" s="64">
        <v>18.63</v>
      </c>
      <c r="C41" s="64">
        <v>6.27</v>
      </c>
      <c r="D41" s="64">
        <v>18.21</v>
      </c>
      <c r="E41" s="64">
        <v>5.41</v>
      </c>
      <c r="F41" s="64">
        <v>3.97</v>
      </c>
      <c r="G41" s="64">
        <v>17.940000000000001</v>
      </c>
      <c r="H41" s="64">
        <v>7.42</v>
      </c>
      <c r="I41" s="64">
        <v>3.03</v>
      </c>
      <c r="J41" s="64">
        <v>0.66</v>
      </c>
      <c r="K41" s="64">
        <v>106.13</v>
      </c>
      <c r="L41" s="64">
        <v>27.33</v>
      </c>
      <c r="M41" s="64">
        <v>79.180000000000007</v>
      </c>
      <c r="N41" s="64">
        <v>175.7</v>
      </c>
      <c r="O41" s="64">
        <v>0</v>
      </c>
      <c r="P41" s="64">
        <v>0.41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1913</v>
      </c>
      <c r="B42" s="64">
        <v>17.86</v>
      </c>
      <c r="C42" s="64">
        <v>5.86</v>
      </c>
      <c r="D42" s="64">
        <v>17.39</v>
      </c>
      <c r="E42" s="64">
        <v>4.57</v>
      </c>
      <c r="F42" s="64">
        <v>3.22</v>
      </c>
      <c r="G42" s="64">
        <v>17.940000000000001</v>
      </c>
      <c r="H42" s="64">
        <v>7.42</v>
      </c>
      <c r="I42" s="64">
        <v>3.4</v>
      </c>
      <c r="J42" s="64">
        <v>0.24</v>
      </c>
      <c r="K42" s="64">
        <v>82.5</v>
      </c>
      <c r="L42" s="64">
        <v>27.52</v>
      </c>
      <c r="M42" s="64">
        <v>78.760000000000005</v>
      </c>
      <c r="N42" s="64">
        <v>210.5</v>
      </c>
      <c r="O42" s="64">
        <v>0</v>
      </c>
      <c r="P42" s="64">
        <v>0.38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1914</v>
      </c>
      <c r="B43" s="64">
        <v>17.190000000000001</v>
      </c>
      <c r="C43" s="64">
        <v>5.8</v>
      </c>
      <c r="D43" s="64">
        <v>16.809999999999999</v>
      </c>
      <c r="E43" s="64">
        <v>4.32</v>
      </c>
      <c r="F43" s="64">
        <v>3.24</v>
      </c>
      <c r="G43" s="64">
        <v>19.32</v>
      </c>
      <c r="H43" s="64">
        <v>5.78</v>
      </c>
      <c r="I43" s="64">
        <v>2.5299999999999998</v>
      </c>
      <c r="J43" s="64">
        <v>0.79</v>
      </c>
      <c r="K43" s="64">
        <v>135.30000000000001</v>
      </c>
      <c r="L43" s="64">
        <v>28.76</v>
      </c>
      <c r="M43" s="64">
        <v>74.64</v>
      </c>
      <c r="N43" s="64">
        <v>450.7</v>
      </c>
      <c r="O43" s="64">
        <v>0</v>
      </c>
      <c r="P43" s="64">
        <v>0.38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1915</v>
      </c>
      <c r="B44" s="64">
        <v>16.36</v>
      </c>
      <c r="C44" s="64">
        <v>5.88</v>
      </c>
      <c r="D44" s="64">
        <v>16.190000000000001</v>
      </c>
      <c r="E44" s="64">
        <v>4.18</v>
      </c>
      <c r="F44" s="64">
        <v>3.69</v>
      </c>
      <c r="G44" s="64">
        <v>19.920000000000002</v>
      </c>
      <c r="H44" s="64">
        <v>5.64</v>
      </c>
      <c r="I44" s="64">
        <v>2.14</v>
      </c>
      <c r="J44" s="64">
        <v>0.71</v>
      </c>
      <c r="K44" s="64">
        <v>137.51</v>
      </c>
      <c r="L44" s="64">
        <v>29.01</v>
      </c>
      <c r="M44" s="64">
        <v>74.36</v>
      </c>
      <c r="N44" s="64">
        <v>521.6</v>
      </c>
      <c r="O44" s="64">
        <v>0</v>
      </c>
      <c r="P44" s="64">
        <v>0.38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1916</v>
      </c>
      <c r="B45" s="64">
        <v>15.39</v>
      </c>
      <c r="C45" s="64">
        <v>5.89</v>
      </c>
      <c r="D45" s="64">
        <v>15.42</v>
      </c>
      <c r="E45" s="64">
        <v>4.6500000000000004</v>
      </c>
      <c r="F45" s="64">
        <v>3.87</v>
      </c>
      <c r="G45" s="64">
        <v>19.920000000000002</v>
      </c>
      <c r="H45" s="64">
        <v>5.64</v>
      </c>
      <c r="I45" s="64">
        <v>2.77</v>
      </c>
      <c r="J45" s="64">
        <v>0.45</v>
      </c>
      <c r="K45" s="64">
        <v>119.69</v>
      </c>
      <c r="L45" s="64">
        <v>30.04</v>
      </c>
      <c r="M45" s="64">
        <v>71.72</v>
      </c>
      <c r="N45" s="64">
        <v>663.9</v>
      </c>
      <c r="O45" s="64">
        <v>0</v>
      </c>
      <c r="P45" s="64">
        <v>0.37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1917</v>
      </c>
      <c r="B46" s="64">
        <v>14.32</v>
      </c>
      <c r="C46" s="64">
        <v>5.87</v>
      </c>
      <c r="D46" s="64">
        <v>14.55</v>
      </c>
      <c r="E46" s="64">
        <v>4.5</v>
      </c>
      <c r="F46" s="64">
        <v>3.47</v>
      </c>
      <c r="G46" s="64">
        <v>19.920000000000002</v>
      </c>
      <c r="H46" s="64">
        <v>5.64</v>
      </c>
      <c r="I46" s="64">
        <v>3.16</v>
      </c>
      <c r="J46" s="64">
        <v>0.27</v>
      </c>
      <c r="K46" s="64">
        <v>60.29</v>
      </c>
      <c r="L46" s="64">
        <v>30.17</v>
      </c>
      <c r="M46" s="64">
        <v>72.13</v>
      </c>
      <c r="N46" s="64">
        <v>709.1</v>
      </c>
      <c r="O46" s="64">
        <v>0</v>
      </c>
      <c r="P46" s="64">
        <v>0.36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1918</v>
      </c>
      <c r="B47" s="64">
        <v>13.28</v>
      </c>
      <c r="C47" s="64">
        <v>5.88</v>
      </c>
      <c r="D47" s="64">
        <v>13.72</v>
      </c>
      <c r="E47" s="64">
        <v>4.7</v>
      </c>
      <c r="F47" s="64">
        <v>3.48</v>
      </c>
      <c r="G47" s="64">
        <v>9.4600000000000009</v>
      </c>
      <c r="H47" s="64">
        <v>6.69</v>
      </c>
      <c r="I47" s="64">
        <v>3.31</v>
      </c>
      <c r="J47" s="64">
        <v>0.43</v>
      </c>
      <c r="K47" s="64">
        <v>122.3</v>
      </c>
      <c r="L47" s="64">
        <v>30.72</v>
      </c>
      <c r="M47" s="64">
        <v>68.540000000000006</v>
      </c>
      <c r="N47" s="64">
        <v>651.29999999999995</v>
      </c>
      <c r="O47" s="64">
        <v>0</v>
      </c>
      <c r="P47" s="64">
        <v>0.37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1919</v>
      </c>
      <c r="B48" s="64">
        <v>12.4</v>
      </c>
      <c r="C48" s="64">
        <v>5.88</v>
      </c>
      <c r="D48" s="64">
        <v>13.02</v>
      </c>
      <c r="E48" s="64">
        <v>4.66</v>
      </c>
      <c r="F48" s="64">
        <v>3.34</v>
      </c>
      <c r="G48" s="64">
        <v>4.9800000000000004</v>
      </c>
      <c r="H48" s="64">
        <v>6.77</v>
      </c>
      <c r="I48" s="64">
        <v>3.24</v>
      </c>
      <c r="J48" s="64">
        <v>0.15</v>
      </c>
      <c r="K48" s="64">
        <v>317.07</v>
      </c>
      <c r="L48" s="64">
        <v>31.01</v>
      </c>
      <c r="M48" s="64">
        <v>69.77</v>
      </c>
      <c r="N48" s="64">
        <v>608.20000000000005</v>
      </c>
      <c r="O48" s="64">
        <v>0</v>
      </c>
      <c r="P48" s="64">
        <v>0.43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1920</v>
      </c>
      <c r="B49" s="64">
        <v>11.68</v>
      </c>
      <c r="C49" s="64">
        <v>6.02</v>
      </c>
      <c r="D49" s="64">
        <v>12.51</v>
      </c>
      <c r="E49" s="64">
        <v>4.68</v>
      </c>
      <c r="F49" s="64">
        <v>3.33</v>
      </c>
      <c r="G49" s="64">
        <v>4.9800000000000004</v>
      </c>
      <c r="H49" s="64">
        <v>6.77</v>
      </c>
      <c r="I49" s="64">
        <v>4.22</v>
      </c>
      <c r="J49" s="64">
        <v>0.26</v>
      </c>
      <c r="K49" s="64">
        <v>96.56</v>
      </c>
      <c r="L49" s="64">
        <v>31.91</v>
      </c>
      <c r="M49" s="64">
        <v>63.34</v>
      </c>
      <c r="N49" s="64">
        <v>713</v>
      </c>
      <c r="O49" s="64">
        <v>0</v>
      </c>
      <c r="P49" s="64">
        <v>0.39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1921</v>
      </c>
      <c r="B50" s="64">
        <v>10.99</v>
      </c>
      <c r="C50" s="64">
        <v>6.42</v>
      </c>
      <c r="D50" s="64">
        <v>12.16</v>
      </c>
      <c r="E50" s="64">
        <v>4.57</v>
      </c>
      <c r="F50" s="64">
        <v>3.56</v>
      </c>
      <c r="G50" s="64">
        <v>4.9800000000000004</v>
      </c>
      <c r="H50" s="64">
        <v>6.77</v>
      </c>
      <c r="I50" s="64">
        <v>4.25</v>
      </c>
      <c r="J50" s="64">
        <v>0.31</v>
      </c>
      <c r="K50" s="64">
        <v>116.75</v>
      </c>
      <c r="L50" s="64">
        <v>33.06</v>
      </c>
      <c r="M50" s="64">
        <v>58.14</v>
      </c>
      <c r="N50" s="64">
        <v>714.1</v>
      </c>
      <c r="O50" s="64">
        <v>0</v>
      </c>
      <c r="P50" s="64">
        <v>0.4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1922</v>
      </c>
      <c r="B51" s="64">
        <v>9.92</v>
      </c>
      <c r="C51" s="64">
        <v>6.54</v>
      </c>
      <c r="D51" s="64">
        <v>11.37</v>
      </c>
      <c r="E51" s="64">
        <v>4.38</v>
      </c>
      <c r="F51" s="64">
        <v>3.98</v>
      </c>
      <c r="G51" s="64">
        <v>15.61</v>
      </c>
      <c r="H51" s="64">
        <v>9.3000000000000007</v>
      </c>
      <c r="I51" s="64">
        <v>4.6500000000000004</v>
      </c>
      <c r="J51" s="64">
        <v>0.95</v>
      </c>
      <c r="K51" s="64">
        <v>128.22999999999999</v>
      </c>
      <c r="L51" s="64">
        <v>31.47</v>
      </c>
      <c r="M51" s="64">
        <v>62.23</v>
      </c>
      <c r="N51" s="64">
        <v>647.20000000000005</v>
      </c>
      <c r="O51" s="64">
        <v>0</v>
      </c>
      <c r="P51" s="64">
        <v>0.39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1923</v>
      </c>
      <c r="B52" s="64">
        <v>8.36</v>
      </c>
      <c r="C52" s="64">
        <v>7.2</v>
      </c>
      <c r="D52" s="64">
        <v>10.47</v>
      </c>
      <c r="E52" s="64">
        <v>4.5199999999999996</v>
      </c>
      <c r="F52" s="64">
        <v>5.78</v>
      </c>
      <c r="G52" s="64">
        <v>20.16</v>
      </c>
      <c r="H52" s="64">
        <v>9.6300000000000008</v>
      </c>
      <c r="I52" s="64">
        <v>5.04</v>
      </c>
      <c r="J52" s="64">
        <v>0.22</v>
      </c>
      <c r="K52" s="64">
        <v>347.33</v>
      </c>
      <c r="L52" s="64">
        <v>32.85</v>
      </c>
      <c r="M52" s="64">
        <v>58.94</v>
      </c>
      <c r="N52" s="64">
        <v>678.8</v>
      </c>
      <c r="O52" s="64">
        <v>0</v>
      </c>
      <c r="P52" s="64">
        <v>0.4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1924</v>
      </c>
      <c r="B53" s="64">
        <v>3.45</v>
      </c>
      <c r="C53" s="64">
        <v>10.76</v>
      </c>
      <c r="D53" s="64">
        <v>8.39</v>
      </c>
      <c r="E53" s="64">
        <v>5.33</v>
      </c>
      <c r="F53" s="64">
        <v>6.95</v>
      </c>
      <c r="G53" s="64">
        <v>20.16</v>
      </c>
      <c r="H53" s="64">
        <v>9.6300000000000008</v>
      </c>
      <c r="I53" s="64">
        <v>5.22</v>
      </c>
      <c r="J53" s="64">
        <v>0.93</v>
      </c>
      <c r="K53" s="64">
        <v>133.6</v>
      </c>
      <c r="L53" s="64">
        <v>32.18</v>
      </c>
      <c r="M53" s="64">
        <v>60.6</v>
      </c>
      <c r="N53" s="64">
        <v>761.3</v>
      </c>
      <c r="O53" s="64">
        <v>0</v>
      </c>
      <c r="P53" s="64">
        <v>0.36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5" t="s">
        <v>1925</v>
      </c>
      <c r="B54" s="64">
        <v>1.75</v>
      </c>
      <c r="C54" s="64">
        <v>11.91</v>
      </c>
      <c r="D54" s="64">
        <v>7.63</v>
      </c>
      <c r="E54" s="64">
        <v>4.83</v>
      </c>
      <c r="F54" s="64">
        <v>7.95</v>
      </c>
      <c r="G54" s="64">
        <v>20.16</v>
      </c>
      <c r="H54" s="64">
        <v>9.6300000000000008</v>
      </c>
      <c r="I54" s="64">
        <v>4.49</v>
      </c>
      <c r="J54" s="64">
        <v>0.66</v>
      </c>
      <c r="K54" s="64">
        <v>330.95</v>
      </c>
      <c r="L54" s="64">
        <v>33.270000000000003</v>
      </c>
      <c r="M54" s="64">
        <v>57.05</v>
      </c>
      <c r="N54" s="64">
        <v>820.2</v>
      </c>
      <c r="O54" s="64">
        <v>0</v>
      </c>
      <c r="P54" s="64">
        <v>0.4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1926</v>
      </c>
      <c r="B55" s="64">
        <v>3.35</v>
      </c>
      <c r="C55" s="64">
        <v>15.17</v>
      </c>
      <c r="D55" s="64">
        <v>10.61</v>
      </c>
      <c r="E55" s="64">
        <v>4.83</v>
      </c>
      <c r="F55" s="64">
        <v>5.0599999999999996</v>
      </c>
      <c r="G55" s="64">
        <v>11.93</v>
      </c>
      <c r="H55" s="64">
        <v>24.55</v>
      </c>
      <c r="I55" s="64">
        <v>3.66</v>
      </c>
      <c r="J55" s="64">
        <v>1.21</v>
      </c>
      <c r="K55" s="64">
        <v>334.05</v>
      </c>
      <c r="L55" s="64">
        <v>35.880000000000003</v>
      </c>
      <c r="M55" s="64">
        <v>49.2</v>
      </c>
      <c r="N55" s="64">
        <v>893.1</v>
      </c>
      <c r="O55" s="64">
        <v>0</v>
      </c>
      <c r="P55" s="64">
        <v>0.38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5" t="s">
        <v>1927</v>
      </c>
      <c r="B56" s="64">
        <v>3.57</v>
      </c>
      <c r="C56" s="64">
        <v>14.69</v>
      </c>
      <c r="D56" s="64">
        <v>10.54</v>
      </c>
      <c r="E56" s="64">
        <v>6.35</v>
      </c>
      <c r="F56" s="64">
        <v>4.0999999999999996</v>
      </c>
      <c r="G56" s="64">
        <v>8.41</v>
      </c>
      <c r="H56" s="64">
        <v>25.75</v>
      </c>
      <c r="I56" s="64">
        <v>3.16</v>
      </c>
      <c r="J56" s="64">
        <v>0.28999999999999998</v>
      </c>
      <c r="K56" s="64">
        <v>161.93</v>
      </c>
      <c r="L56" s="64">
        <v>34.49</v>
      </c>
      <c r="M56" s="64">
        <v>53.02</v>
      </c>
      <c r="N56" s="64">
        <v>650.5</v>
      </c>
      <c r="O56" s="64">
        <v>0</v>
      </c>
      <c r="P56" s="64">
        <v>0.38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1928</v>
      </c>
      <c r="B57" s="64">
        <v>3.37</v>
      </c>
      <c r="C57" s="64">
        <v>13.15</v>
      </c>
      <c r="D57" s="64">
        <v>9.57</v>
      </c>
      <c r="E57" s="64">
        <v>6.24</v>
      </c>
      <c r="F57" s="64">
        <v>3.93</v>
      </c>
      <c r="G57" s="64">
        <v>8.41</v>
      </c>
      <c r="H57" s="64">
        <v>25.75</v>
      </c>
      <c r="I57" s="64">
        <v>3.1</v>
      </c>
      <c r="J57" s="64">
        <v>0.9</v>
      </c>
      <c r="K57" s="64">
        <v>131.53</v>
      </c>
      <c r="L57" s="64">
        <v>32.61</v>
      </c>
      <c r="M57" s="64">
        <v>58.41</v>
      </c>
      <c r="N57" s="64">
        <v>892.6</v>
      </c>
      <c r="O57" s="64">
        <v>0</v>
      </c>
      <c r="P57" s="64">
        <v>0.39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5" t="s">
        <v>1929</v>
      </c>
      <c r="B58" s="64">
        <v>3.05</v>
      </c>
      <c r="C58" s="64">
        <v>11.24</v>
      </c>
      <c r="D58" s="64">
        <v>8.32</v>
      </c>
      <c r="E58" s="64">
        <v>6.2</v>
      </c>
      <c r="F58" s="64">
        <v>3.04</v>
      </c>
      <c r="G58" s="64">
        <v>8.41</v>
      </c>
      <c r="H58" s="64">
        <v>25.75</v>
      </c>
      <c r="I58" s="64">
        <v>3.08</v>
      </c>
      <c r="J58" s="64">
        <v>0.5</v>
      </c>
      <c r="K58" s="64">
        <v>92.01</v>
      </c>
      <c r="L58" s="64">
        <v>32.47</v>
      </c>
      <c r="M58" s="64">
        <v>58.3</v>
      </c>
      <c r="N58" s="64">
        <v>456.5</v>
      </c>
      <c r="O58" s="64">
        <v>0</v>
      </c>
      <c r="P58" s="64">
        <v>0.4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1930</v>
      </c>
      <c r="B59" s="64">
        <v>2.0499999999999998</v>
      </c>
      <c r="C59" s="64">
        <v>10.49</v>
      </c>
      <c r="D59" s="64">
        <v>7.13</v>
      </c>
      <c r="E59" s="64">
        <v>6.16</v>
      </c>
      <c r="F59" s="64">
        <v>6.54</v>
      </c>
      <c r="G59" s="64">
        <v>27.09</v>
      </c>
      <c r="H59" s="64">
        <v>16.22</v>
      </c>
      <c r="I59" s="64">
        <v>3.27</v>
      </c>
      <c r="J59" s="64">
        <v>0.28999999999999998</v>
      </c>
      <c r="K59" s="64">
        <v>20.78</v>
      </c>
      <c r="L59" s="64">
        <v>30.85</v>
      </c>
      <c r="M59" s="64">
        <v>61.76</v>
      </c>
      <c r="N59" s="64">
        <v>215.1</v>
      </c>
      <c r="O59" s="64">
        <v>0</v>
      </c>
      <c r="P59" s="64">
        <v>0.39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5" t="s">
        <v>1931</v>
      </c>
      <c r="B60" s="64">
        <v>1.31</v>
      </c>
      <c r="C60" s="64">
        <v>10.53</v>
      </c>
      <c r="D60" s="64">
        <v>6.55</v>
      </c>
      <c r="E60" s="64">
        <v>6.19</v>
      </c>
      <c r="F60" s="64">
        <v>5.0599999999999996</v>
      </c>
      <c r="G60" s="64">
        <v>35.090000000000003</v>
      </c>
      <c r="H60" s="64">
        <v>15.45</v>
      </c>
      <c r="I60" s="64">
        <v>2.02</v>
      </c>
      <c r="J60" s="64">
        <v>0.5</v>
      </c>
      <c r="K60" s="64">
        <v>338.85</v>
      </c>
      <c r="L60" s="64">
        <v>31.94</v>
      </c>
      <c r="M60" s="64">
        <v>58.2</v>
      </c>
      <c r="N60" s="64">
        <v>166.3</v>
      </c>
      <c r="O60" s="64">
        <v>0</v>
      </c>
      <c r="P60" s="64">
        <v>0.5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1932</v>
      </c>
      <c r="B61" s="64">
        <v>1.54</v>
      </c>
      <c r="C61" s="64">
        <v>10.48</v>
      </c>
      <c r="D61" s="64">
        <v>6.71</v>
      </c>
      <c r="E61" s="64">
        <v>6.17</v>
      </c>
      <c r="F61" s="64">
        <v>7.81</v>
      </c>
      <c r="G61" s="64">
        <v>35.090000000000003</v>
      </c>
      <c r="H61" s="64">
        <v>15.45</v>
      </c>
      <c r="I61" s="64">
        <v>2.04</v>
      </c>
      <c r="J61" s="64">
        <v>1.43</v>
      </c>
      <c r="K61" s="64">
        <v>335.21</v>
      </c>
      <c r="L61" s="64">
        <v>32.67</v>
      </c>
      <c r="M61" s="64">
        <v>57.75</v>
      </c>
      <c r="N61" s="64">
        <v>257.89999999999998</v>
      </c>
      <c r="O61" s="64">
        <v>0</v>
      </c>
      <c r="P61" s="64">
        <v>0.47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1933</v>
      </c>
      <c r="B62" s="64">
        <v>1.97</v>
      </c>
      <c r="C62" s="64">
        <v>11.3</v>
      </c>
      <c r="D62" s="64">
        <v>7.48</v>
      </c>
      <c r="E62" s="64">
        <v>6.26</v>
      </c>
      <c r="F62" s="64">
        <v>5.23</v>
      </c>
      <c r="G62" s="64">
        <v>35.090000000000003</v>
      </c>
      <c r="H62" s="64">
        <v>15.45</v>
      </c>
      <c r="I62" s="64">
        <v>2.0499999999999998</v>
      </c>
      <c r="J62" s="64">
        <v>0.51</v>
      </c>
      <c r="K62" s="64">
        <v>352.44</v>
      </c>
      <c r="L62" s="64">
        <v>32.880000000000003</v>
      </c>
      <c r="M62" s="64">
        <v>55.87</v>
      </c>
      <c r="N62" s="64">
        <v>190.9</v>
      </c>
      <c r="O62" s="64">
        <v>0</v>
      </c>
      <c r="P62" s="64">
        <v>0.48</v>
      </c>
      <c r="Q62" s="64">
        <v>9.6</v>
      </c>
      <c r="R62" s="198"/>
      <c r="S62" s="198"/>
      <c r="T62" s="198"/>
      <c r="U62" s="198"/>
    </row>
    <row r="63" spans="1:21" s="12" customFormat="1" x14ac:dyDescent="0.25">
      <c r="A63" s="215" t="s">
        <v>1934</v>
      </c>
      <c r="B63" s="64">
        <v>2.13</v>
      </c>
      <c r="C63" s="64">
        <v>11.08</v>
      </c>
      <c r="D63" s="64">
        <v>7.5</v>
      </c>
      <c r="E63" s="64">
        <v>6.25</v>
      </c>
      <c r="F63" s="64">
        <v>4.6100000000000003</v>
      </c>
      <c r="G63" s="64">
        <v>35.92</v>
      </c>
      <c r="H63" s="64">
        <v>10.76</v>
      </c>
      <c r="I63" s="64">
        <v>2.34</v>
      </c>
      <c r="J63" s="64">
        <v>0.25</v>
      </c>
      <c r="K63" s="64">
        <v>25.77</v>
      </c>
      <c r="L63" s="64">
        <v>31.31</v>
      </c>
      <c r="M63" s="64">
        <v>61.35</v>
      </c>
      <c r="N63" s="64">
        <v>139.30000000000001</v>
      </c>
      <c r="O63" s="64">
        <v>0</v>
      </c>
      <c r="P63" s="64">
        <v>0.49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1935</v>
      </c>
      <c r="B64" s="64">
        <v>2.17</v>
      </c>
      <c r="C64" s="64">
        <v>11.08</v>
      </c>
      <c r="D64" s="64">
        <v>7.53</v>
      </c>
      <c r="E64" s="64">
        <v>6.13</v>
      </c>
      <c r="F64" s="64">
        <v>5.2</v>
      </c>
      <c r="G64" s="64">
        <v>36.270000000000003</v>
      </c>
      <c r="H64" s="64">
        <v>10.38</v>
      </c>
      <c r="I64" s="64">
        <v>1.97</v>
      </c>
      <c r="J64" s="64">
        <v>0.84</v>
      </c>
      <c r="K64" s="64">
        <v>336.79</v>
      </c>
      <c r="L64" s="64">
        <v>30.78</v>
      </c>
      <c r="M64" s="64">
        <v>65.099999999999994</v>
      </c>
      <c r="N64" s="64">
        <v>183.8</v>
      </c>
      <c r="O64" s="64">
        <v>0</v>
      </c>
      <c r="P64" s="64">
        <v>0.46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1936</v>
      </c>
      <c r="B65" s="64">
        <v>2.0099999999999998</v>
      </c>
      <c r="C65" s="64">
        <v>11.11</v>
      </c>
      <c r="D65" s="64">
        <v>7.42</v>
      </c>
      <c r="E65" s="64">
        <v>6.41</v>
      </c>
      <c r="F65" s="64">
        <v>4.83</v>
      </c>
      <c r="G65" s="64">
        <v>36.270000000000003</v>
      </c>
      <c r="H65" s="64">
        <v>10.38</v>
      </c>
      <c r="I65" s="64">
        <v>2.1</v>
      </c>
      <c r="J65" s="64">
        <v>0.74</v>
      </c>
      <c r="K65" s="64">
        <v>337.86</v>
      </c>
      <c r="L65" s="64">
        <v>31.88</v>
      </c>
      <c r="M65" s="64">
        <v>59.6</v>
      </c>
      <c r="N65" s="64">
        <v>222.2</v>
      </c>
      <c r="O65" s="64">
        <v>0</v>
      </c>
      <c r="P65" s="64">
        <v>0.44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1937</v>
      </c>
      <c r="B66" s="64">
        <v>2.14</v>
      </c>
      <c r="C66" s="64">
        <v>11.23</v>
      </c>
      <c r="D66" s="64">
        <v>7.59</v>
      </c>
      <c r="E66" s="64">
        <v>6.34</v>
      </c>
      <c r="F66" s="64">
        <v>4.59</v>
      </c>
      <c r="G66" s="64">
        <v>36.270000000000003</v>
      </c>
      <c r="H66" s="64">
        <v>10.38</v>
      </c>
      <c r="I66" s="64">
        <v>1.87</v>
      </c>
      <c r="J66" s="64">
        <v>0.54</v>
      </c>
      <c r="K66" s="64">
        <v>88.56</v>
      </c>
      <c r="L66" s="64">
        <v>31.94</v>
      </c>
      <c r="M66" s="64">
        <v>58.32</v>
      </c>
      <c r="N66" s="64">
        <v>166.4</v>
      </c>
      <c r="O66" s="64">
        <v>0</v>
      </c>
      <c r="P66" s="64">
        <v>0.42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1938</v>
      </c>
      <c r="B67" s="64">
        <v>2.1</v>
      </c>
      <c r="C67" s="64">
        <v>10.01</v>
      </c>
      <c r="D67" s="64">
        <v>6.92</v>
      </c>
      <c r="E67" s="64">
        <v>6.38</v>
      </c>
      <c r="F67" s="64">
        <v>3.83</v>
      </c>
      <c r="G67" s="64">
        <v>26.12</v>
      </c>
      <c r="H67" s="64">
        <v>10.09</v>
      </c>
      <c r="I67" s="64">
        <v>2.44</v>
      </c>
      <c r="J67" s="64">
        <v>0.25</v>
      </c>
      <c r="K67" s="64">
        <v>16.71</v>
      </c>
      <c r="L67" s="64">
        <v>30.75</v>
      </c>
      <c r="M67" s="64">
        <v>61.64</v>
      </c>
      <c r="N67" s="64">
        <v>127</v>
      </c>
      <c r="O67" s="64">
        <v>0</v>
      </c>
      <c r="P67" s="64">
        <v>0.41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5" t="s">
        <v>1939</v>
      </c>
      <c r="B68" s="64">
        <v>2.2400000000000002</v>
      </c>
      <c r="C68" s="64">
        <v>9.42</v>
      </c>
      <c r="D68" s="64">
        <v>6.71</v>
      </c>
      <c r="E68" s="64">
        <v>6.15</v>
      </c>
      <c r="F68" s="64">
        <v>4.12</v>
      </c>
      <c r="G68" s="64">
        <v>21.77</v>
      </c>
      <c r="H68" s="64">
        <v>10.06</v>
      </c>
      <c r="I68" s="64">
        <v>2.3199999999999998</v>
      </c>
      <c r="J68" s="64">
        <v>0.22</v>
      </c>
      <c r="K68" s="64">
        <v>66.099999999999994</v>
      </c>
      <c r="L68" s="64">
        <v>31.1</v>
      </c>
      <c r="M68" s="64">
        <v>61.05</v>
      </c>
      <c r="N68" s="64">
        <v>145.1</v>
      </c>
      <c r="O68" s="64">
        <v>0</v>
      </c>
      <c r="P68" s="64">
        <v>0.5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1940</v>
      </c>
      <c r="B69" s="64">
        <v>2.44</v>
      </c>
      <c r="C69" s="64">
        <v>9.8000000000000007</v>
      </c>
      <c r="D69" s="64">
        <v>7.07</v>
      </c>
      <c r="E69" s="64">
        <v>6.3</v>
      </c>
      <c r="F69" s="64">
        <v>4.07</v>
      </c>
      <c r="G69" s="64">
        <v>21.77</v>
      </c>
      <c r="H69" s="64">
        <v>10.06</v>
      </c>
      <c r="I69" s="64">
        <v>1.52</v>
      </c>
      <c r="J69" s="64">
        <v>0.9</v>
      </c>
      <c r="K69" s="64">
        <v>107</v>
      </c>
      <c r="L69" s="64">
        <v>30.66</v>
      </c>
      <c r="M69" s="64">
        <v>62.3</v>
      </c>
      <c r="N69" s="64">
        <v>128.6</v>
      </c>
      <c r="O69" s="64">
        <v>0</v>
      </c>
      <c r="P69" s="64">
        <v>0.42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1941</v>
      </c>
      <c r="B70" s="64">
        <v>2.81</v>
      </c>
      <c r="C70" s="64">
        <v>9.5399999999999991</v>
      </c>
      <c r="D70" s="64">
        <v>7.24</v>
      </c>
      <c r="E70" s="64">
        <v>6.41</v>
      </c>
      <c r="F70" s="64">
        <v>4.08</v>
      </c>
      <c r="G70" s="64">
        <v>21.77</v>
      </c>
      <c r="H70" s="64">
        <v>10.06</v>
      </c>
      <c r="I70" s="64">
        <v>2.4700000000000002</v>
      </c>
      <c r="J70" s="64">
        <v>0.35</v>
      </c>
      <c r="K70" s="64">
        <v>113.38</v>
      </c>
      <c r="L70" s="64">
        <v>30.12</v>
      </c>
      <c r="M70" s="64">
        <v>63.27</v>
      </c>
      <c r="N70" s="64">
        <v>95.6</v>
      </c>
      <c r="O70" s="64">
        <v>0</v>
      </c>
      <c r="P70" s="64">
        <v>0.41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1942</v>
      </c>
      <c r="B71" s="64">
        <v>3.47</v>
      </c>
      <c r="C71" s="64">
        <v>10.4</v>
      </c>
      <c r="D71" s="64">
        <v>8.2200000000000006</v>
      </c>
      <c r="E71" s="64">
        <v>6.3</v>
      </c>
      <c r="F71" s="64">
        <v>4.0999999999999996</v>
      </c>
      <c r="G71" s="64">
        <v>8.9700000000000006</v>
      </c>
      <c r="H71" s="64">
        <v>6.84</v>
      </c>
      <c r="I71" s="64">
        <v>2.67</v>
      </c>
      <c r="J71" s="64">
        <v>0.44</v>
      </c>
      <c r="K71" s="64">
        <v>0.15</v>
      </c>
      <c r="L71" s="64">
        <v>30.25</v>
      </c>
      <c r="M71" s="64">
        <v>63.42</v>
      </c>
      <c r="N71" s="64">
        <v>89.5</v>
      </c>
      <c r="O71" s="64">
        <v>0</v>
      </c>
      <c r="P71" s="64">
        <v>0.46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1943</v>
      </c>
      <c r="B72" s="64">
        <v>3.59</v>
      </c>
      <c r="C72" s="64">
        <v>12.43</v>
      </c>
      <c r="D72" s="64">
        <v>9.3800000000000008</v>
      </c>
      <c r="E72" s="64">
        <v>5.62</v>
      </c>
      <c r="F72" s="64">
        <v>5.76</v>
      </c>
      <c r="G72" s="64">
        <v>3.48</v>
      </c>
      <c r="H72" s="64">
        <v>6.64</v>
      </c>
      <c r="I72" s="64">
        <v>1.51</v>
      </c>
      <c r="J72" s="64">
        <v>0.28999999999999998</v>
      </c>
      <c r="K72" s="64">
        <v>70.37</v>
      </c>
      <c r="L72" s="64">
        <v>30.18</v>
      </c>
      <c r="M72" s="64">
        <v>63.58</v>
      </c>
      <c r="N72" s="64">
        <v>74.900000000000006</v>
      </c>
      <c r="O72" s="64">
        <v>0</v>
      </c>
      <c r="P72" s="64">
        <v>0.44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1944</v>
      </c>
      <c r="B73" s="64">
        <v>2.57</v>
      </c>
      <c r="C73" s="64">
        <v>14.24</v>
      </c>
      <c r="D73" s="64">
        <v>9.5</v>
      </c>
      <c r="E73" s="64">
        <v>6</v>
      </c>
      <c r="F73" s="64">
        <v>5.16</v>
      </c>
      <c r="G73" s="64">
        <v>3.48</v>
      </c>
      <c r="H73" s="64">
        <v>6.64</v>
      </c>
      <c r="I73" s="64">
        <v>2.2799999999999998</v>
      </c>
      <c r="J73" s="64">
        <v>0.23</v>
      </c>
      <c r="K73" s="64">
        <v>24.41</v>
      </c>
      <c r="L73" s="64">
        <v>29.93</v>
      </c>
      <c r="M73" s="64">
        <v>63.82</v>
      </c>
      <c r="N73" s="64">
        <v>68.599999999999994</v>
      </c>
      <c r="O73" s="64">
        <v>0</v>
      </c>
      <c r="P73" s="64">
        <v>0.47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1945</v>
      </c>
      <c r="B74" s="64">
        <v>2.41</v>
      </c>
      <c r="C74" s="64">
        <v>13.63</v>
      </c>
      <c r="D74" s="64">
        <v>9.06</v>
      </c>
      <c r="E74" s="64">
        <v>6.21</v>
      </c>
      <c r="F74" s="64">
        <v>4.26</v>
      </c>
      <c r="G74" s="64">
        <v>3.48</v>
      </c>
      <c r="H74" s="64">
        <v>6.64</v>
      </c>
      <c r="I74" s="64">
        <v>1.74</v>
      </c>
      <c r="J74" s="64">
        <v>1.08</v>
      </c>
      <c r="K74" s="64">
        <v>336.31</v>
      </c>
      <c r="L74" s="64">
        <v>30.01</v>
      </c>
      <c r="M74" s="64">
        <v>62.39</v>
      </c>
      <c r="N74" s="64">
        <v>60.1</v>
      </c>
      <c r="O74" s="64">
        <v>0</v>
      </c>
      <c r="P74" s="64">
        <v>0.53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1946</v>
      </c>
      <c r="B75" s="64">
        <v>2.88</v>
      </c>
      <c r="C75" s="64">
        <v>13.33</v>
      </c>
      <c r="D75" s="64">
        <v>9.27</v>
      </c>
      <c r="E75" s="64">
        <v>6.13</v>
      </c>
      <c r="F75" s="64">
        <v>4.33</v>
      </c>
      <c r="G75" s="64">
        <v>19.52</v>
      </c>
      <c r="H75" s="64">
        <v>4.67</v>
      </c>
      <c r="I75" s="64">
        <v>1.47</v>
      </c>
      <c r="J75" s="64">
        <v>0.8</v>
      </c>
      <c r="K75" s="64">
        <v>351.46</v>
      </c>
      <c r="L75" s="64">
        <v>29.88</v>
      </c>
      <c r="M75" s="64">
        <v>66.650000000000006</v>
      </c>
      <c r="N75" s="64">
        <v>49.8</v>
      </c>
      <c r="O75" s="64">
        <v>0</v>
      </c>
      <c r="P75" s="64">
        <v>0.53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5" t="s">
        <v>1947</v>
      </c>
      <c r="B76" s="64">
        <v>2.93</v>
      </c>
      <c r="C76" s="64">
        <v>12.52</v>
      </c>
      <c r="D76" s="64">
        <v>8.89</v>
      </c>
      <c r="E76" s="64">
        <v>6</v>
      </c>
      <c r="F76" s="64">
        <v>4.2300000000000004</v>
      </c>
      <c r="G76" s="64">
        <v>26.39</v>
      </c>
      <c r="H76" s="64">
        <v>4.51</v>
      </c>
      <c r="I76" s="64">
        <v>2.44</v>
      </c>
      <c r="J76" s="64">
        <v>0.56000000000000005</v>
      </c>
      <c r="K76" s="64">
        <v>111.24</v>
      </c>
      <c r="L76" s="64">
        <v>29.16</v>
      </c>
      <c r="M76" s="64">
        <v>71.099999999999994</v>
      </c>
      <c r="N76" s="64">
        <v>45.6</v>
      </c>
      <c r="O76" s="64">
        <v>0</v>
      </c>
      <c r="P76" s="64">
        <v>0.45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5" t="s">
        <v>1948</v>
      </c>
      <c r="B77" s="64">
        <v>2.99</v>
      </c>
      <c r="C77" s="64">
        <v>12.03</v>
      </c>
      <c r="D77" s="64">
        <v>8.68</v>
      </c>
      <c r="E77" s="64">
        <v>6.46</v>
      </c>
      <c r="F77" s="64">
        <v>5.33</v>
      </c>
      <c r="G77" s="64">
        <v>26.39</v>
      </c>
      <c r="H77" s="64">
        <v>4.51</v>
      </c>
      <c r="I77" s="64">
        <v>2.4</v>
      </c>
      <c r="J77" s="64">
        <v>0.2</v>
      </c>
      <c r="K77" s="64">
        <v>121.32</v>
      </c>
      <c r="L77" s="64">
        <v>28.85</v>
      </c>
      <c r="M77" s="64">
        <v>74.27</v>
      </c>
      <c r="N77" s="64">
        <v>37.799999999999997</v>
      </c>
      <c r="O77" s="64">
        <v>0</v>
      </c>
      <c r="P77" s="64">
        <v>0.43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1949</v>
      </c>
      <c r="B78" s="64">
        <v>2.65</v>
      </c>
      <c r="C78" s="64">
        <v>13.3</v>
      </c>
      <c r="D78" s="64">
        <v>9.07</v>
      </c>
      <c r="E78" s="64">
        <v>6.18</v>
      </c>
      <c r="F78" s="64">
        <v>4.59</v>
      </c>
      <c r="G78" s="64">
        <v>26.39</v>
      </c>
      <c r="H78" s="64">
        <v>4.51</v>
      </c>
      <c r="I78" s="64">
        <v>1.47</v>
      </c>
      <c r="J78" s="64">
        <v>0.21</v>
      </c>
      <c r="K78" s="64">
        <v>294.24</v>
      </c>
      <c r="L78" s="64">
        <v>28.28</v>
      </c>
      <c r="M78" s="64">
        <v>79.25</v>
      </c>
      <c r="N78" s="64">
        <v>32.200000000000003</v>
      </c>
      <c r="O78" s="64">
        <v>0</v>
      </c>
      <c r="P78" s="64">
        <v>0.55000000000000004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1950</v>
      </c>
      <c r="B79" s="64">
        <v>2.8</v>
      </c>
      <c r="C79" s="64">
        <v>13.05</v>
      </c>
      <c r="D79" s="64">
        <v>9.06</v>
      </c>
      <c r="E79" s="64">
        <v>5.97</v>
      </c>
      <c r="F79" s="64">
        <v>3.86</v>
      </c>
      <c r="G79" s="64">
        <v>29.41</v>
      </c>
      <c r="H79" s="64">
        <v>9.48</v>
      </c>
      <c r="I79" s="64">
        <v>1.4</v>
      </c>
      <c r="J79" s="64">
        <v>0.42</v>
      </c>
      <c r="K79" s="64">
        <v>301.13</v>
      </c>
      <c r="L79" s="64">
        <v>27.94</v>
      </c>
      <c r="M79" s="64">
        <v>80.95</v>
      </c>
      <c r="N79" s="64">
        <v>27.9</v>
      </c>
      <c r="O79" s="64">
        <v>0</v>
      </c>
      <c r="P79" s="64">
        <v>0.73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5" t="s">
        <v>1951</v>
      </c>
      <c r="B80" s="64">
        <v>3.19</v>
      </c>
      <c r="C80" s="64">
        <v>12.41</v>
      </c>
      <c r="D80" s="64">
        <v>9.0399999999999991</v>
      </c>
      <c r="E80" s="64">
        <v>5.92</v>
      </c>
      <c r="F80" s="64">
        <v>4</v>
      </c>
      <c r="G80" s="64">
        <v>30.7</v>
      </c>
      <c r="H80" s="64">
        <v>9.8000000000000007</v>
      </c>
      <c r="I80" s="64">
        <v>1.94</v>
      </c>
      <c r="J80" s="64">
        <v>0.27</v>
      </c>
      <c r="K80" s="64">
        <v>285.13</v>
      </c>
      <c r="L80" s="64">
        <v>27.72</v>
      </c>
      <c r="M80" s="64">
        <v>81.94</v>
      </c>
      <c r="N80" s="64">
        <v>26.5</v>
      </c>
      <c r="O80" s="64">
        <v>0</v>
      </c>
      <c r="P80" s="64">
        <v>0.65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1952</v>
      </c>
      <c r="B81" s="64">
        <v>3.42</v>
      </c>
      <c r="C81" s="64">
        <v>11.96</v>
      </c>
      <c r="D81" s="64">
        <v>8.99</v>
      </c>
      <c r="E81" s="64">
        <v>5.76</v>
      </c>
      <c r="F81" s="64">
        <v>2.9</v>
      </c>
      <c r="G81" s="64">
        <v>30.7</v>
      </c>
      <c r="H81" s="64">
        <v>9.8000000000000007</v>
      </c>
      <c r="I81" s="64">
        <v>1.98</v>
      </c>
      <c r="J81" s="64">
        <v>0.22</v>
      </c>
      <c r="K81" s="64">
        <v>292.64</v>
      </c>
      <c r="L81" s="64">
        <v>27.48</v>
      </c>
      <c r="M81" s="64">
        <v>84.58</v>
      </c>
      <c r="N81" s="64">
        <v>26.3</v>
      </c>
      <c r="O81" s="64">
        <v>0</v>
      </c>
      <c r="P81" s="64">
        <v>0.74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1953</v>
      </c>
      <c r="B82" s="64">
        <v>3.95</v>
      </c>
      <c r="C82" s="64">
        <v>11.89</v>
      </c>
      <c r="D82" s="64">
        <v>9.3800000000000008</v>
      </c>
      <c r="E82" s="64">
        <v>6.2</v>
      </c>
      <c r="F82" s="64">
        <v>3.42</v>
      </c>
      <c r="G82" s="64">
        <v>30.7</v>
      </c>
      <c r="H82" s="64">
        <v>9.8000000000000007</v>
      </c>
      <c r="I82" s="64">
        <v>2.29</v>
      </c>
      <c r="J82" s="64">
        <v>0.39</v>
      </c>
      <c r="K82" s="64">
        <v>291.97000000000003</v>
      </c>
      <c r="L82" s="64">
        <v>27.52</v>
      </c>
      <c r="M82" s="64">
        <v>82.08</v>
      </c>
      <c r="N82" s="64">
        <v>26.1</v>
      </c>
      <c r="O82" s="64">
        <v>0</v>
      </c>
      <c r="P82" s="64">
        <v>0.94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1954</v>
      </c>
      <c r="B83" s="64">
        <v>4.9800000000000004</v>
      </c>
      <c r="C83" s="64">
        <v>12.71</v>
      </c>
      <c r="D83" s="64">
        <v>10.64</v>
      </c>
      <c r="E83" s="64">
        <v>6.48</v>
      </c>
      <c r="F83" s="64">
        <v>3.33</v>
      </c>
      <c r="G83" s="64">
        <v>37.54</v>
      </c>
      <c r="H83" s="64">
        <v>7.27</v>
      </c>
      <c r="I83" s="64">
        <v>2.66</v>
      </c>
      <c r="J83" s="64">
        <v>0.2</v>
      </c>
      <c r="K83" s="64">
        <v>128.47999999999999</v>
      </c>
      <c r="L83" s="64">
        <v>27.71</v>
      </c>
      <c r="M83" s="64">
        <v>80.38</v>
      </c>
      <c r="N83" s="64">
        <v>26.3</v>
      </c>
      <c r="O83" s="64">
        <v>0</v>
      </c>
      <c r="P83" s="64">
        <v>0.87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1955</v>
      </c>
      <c r="B84" s="64">
        <v>6.17</v>
      </c>
      <c r="C84" s="64">
        <v>12.16</v>
      </c>
      <c r="D84" s="64">
        <v>11.3</v>
      </c>
      <c r="E84" s="64">
        <v>6.64</v>
      </c>
      <c r="F84" s="64">
        <v>3.3</v>
      </c>
      <c r="G84" s="64">
        <v>40.46</v>
      </c>
      <c r="H84" s="64">
        <v>7.01</v>
      </c>
      <c r="I84" s="64">
        <v>3.06</v>
      </c>
      <c r="J84" s="64">
        <v>0.34</v>
      </c>
      <c r="K84" s="64">
        <v>134.79</v>
      </c>
      <c r="L84" s="64">
        <v>27.71</v>
      </c>
      <c r="M84" s="64">
        <v>80.81</v>
      </c>
      <c r="N84" s="64">
        <v>26.1</v>
      </c>
      <c r="O84" s="64">
        <v>0</v>
      </c>
      <c r="P84" s="64">
        <v>0.73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1956</v>
      </c>
      <c r="B85" s="64">
        <v>6.73</v>
      </c>
      <c r="C85" s="64">
        <v>12.29</v>
      </c>
      <c r="D85" s="64">
        <v>11.82</v>
      </c>
      <c r="E85" s="64">
        <v>6.15</v>
      </c>
      <c r="F85" s="64">
        <v>4.29</v>
      </c>
      <c r="G85" s="64">
        <v>40.46</v>
      </c>
      <c r="H85" s="64">
        <v>7.01</v>
      </c>
      <c r="I85" s="64">
        <v>3.19</v>
      </c>
      <c r="J85" s="64">
        <v>0.59</v>
      </c>
      <c r="K85" s="64">
        <v>117.18</v>
      </c>
      <c r="L85" s="64">
        <v>27.74</v>
      </c>
      <c r="M85" s="64">
        <v>81.52</v>
      </c>
      <c r="N85" s="64">
        <v>26.1</v>
      </c>
      <c r="O85" s="64">
        <v>0</v>
      </c>
      <c r="P85" s="64">
        <v>0.62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1957</v>
      </c>
      <c r="B86" s="64">
        <v>6.58</v>
      </c>
      <c r="C86" s="64">
        <v>11.68</v>
      </c>
      <c r="D86" s="64">
        <v>11.38</v>
      </c>
      <c r="E86" s="64">
        <v>6.28</v>
      </c>
      <c r="F86" s="64">
        <v>3.43</v>
      </c>
      <c r="G86" s="64">
        <v>40.46</v>
      </c>
      <c r="H86" s="64">
        <v>7.01</v>
      </c>
      <c r="I86" s="64">
        <v>2.83</v>
      </c>
      <c r="J86" s="64">
        <v>0.77</v>
      </c>
      <c r="K86" s="64">
        <v>119.54</v>
      </c>
      <c r="L86" s="64">
        <v>27.69</v>
      </c>
      <c r="M86" s="64">
        <v>83.37</v>
      </c>
      <c r="N86" s="64">
        <v>26.1</v>
      </c>
      <c r="O86" s="64">
        <v>0</v>
      </c>
      <c r="P86" s="64">
        <v>0.62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5" t="s">
        <v>1958</v>
      </c>
      <c r="B87" s="64">
        <v>6.48</v>
      </c>
      <c r="C87" s="64">
        <v>11.58</v>
      </c>
      <c r="D87" s="64">
        <v>11.25</v>
      </c>
      <c r="E87" s="64">
        <v>6.25</v>
      </c>
      <c r="F87" s="64">
        <v>3.9</v>
      </c>
      <c r="G87" s="64">
        <v>38.58</v>
      </c>
      <c r="H87" s="64">
        <v>6.21</v>
      </c>
      <c r="I87" s="64">
        <v>2.4700000000000002</v>
      </c>
      <c r="J87" s="64">
        <v>0.56000000000000005</v>
      </c>
      <c r="K87" s="64">
        <v>109.08</v>
      </c>
      <c r="L87" s="64">
        <v>27.54</v>
      </c>
      <c r="M87" s="64">
        <v>83.74</v>
      </c>
      <c r="N87" s="64">
        <v>26.2</v>
      </c>
      <c r="O87" s="64">
        <v>0</v>
      </c>
      <c r="P87" s="64">
        <v>0.6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1959</v>
      </c>
      <c r="B88" s="64">
        <v>6.62</v>
      </c>
      <c r="C88" s="64">
        <v>11.11</v>
      </c>
      <c r="D88" s="64">
        <v>11.11</v>
      </c>
      <c r="E88" s="64">
        <v>4.43</v>
      </c>
      <c r="F88" s="64">
        <v>2.96</v>
      </c>
      <c r="G88" s="64">
        <v>37.770000000000003</v>
      </c>
      <c r="H88" s="64">
        <v>6.14</v>
      </c>
      <c r="I88" s="64">
        <v>2.48</v>
      </c>
      <c r="J88" s="64">
        <v>0.27</v>
      </c>
      <c r="K88" s="64">
        <v>84.35</v>
      </c>
      <c r="L88" s="64">
        <v>27.41</v>
      </c>
      <c r="M88" s="64">
        <v>84.44</v>
      </c>
      <c r="N88" s="64">
        <v>26.2</v>
      </c>
      <c r="O88" s="64">
        <v>0</v>
      </c>
      <c r="P88" s="64">
        <v>0.87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5" t="s">
        <v>1960</v>
      </c>
      <c r="B89" s="64">
        <v>7.18</v>
      </c>
      <c r="C89" s="64">
        <v>10.77</v>
      </c>
      <c r="D89" s="64">
        <v>11.38</v>
      </c>
      <c r="E89" s="64">
        <v>5.0199999999999996</v>
      </c>
      <c r="F89" s="64">
        <v>3.72</v>
      </c>
      <c r="G89" s="64">
        <v>37.770000000000003</v>
      </c>
      <c r="H89" s="64">
        <v>6.14</v>
      </c>
      <c r="I89" s="64">
        <v>2.72</v>
      </c>
      <c r="J89" s="64">
        <v>0.24</v>
      </c>
      <c r="K89" s="64">
        <v>73.11</v>
      </c>
      <c r="L89" s="64">
        <v>27.24</v>
      </c>
      <c r="M89" s="64">
        <v>85.9</v>
      </c>
      <c r="N89" s="64">
        <v>26.1</v>
      </c>
      <c r="O89" s="64">
        <v>0</v>
      </c>
      <c r="P89" s="64">
        <v>1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1961</v>
      </c>
      <c r="B90" s="64">
        <v>7.78</v>
      </c>
      <c r="C90" s="64">
        <v>11.34</v>
      </c>
      <c r="D90" s="64">
        <v>12.16</v>
      </c>
      <c r="E90" s="64">
        <v>5.13</v>
      </c>
      <c r="F90" s="64">
        <v>4.1100000000000003</v>
      </c>
      <c r="G90" s="64">
        <v>37.770000000000003</v>
      </c>
      <c r="H90" s="64">
        <v>6.14</v>
      </c>
      <c r="I90" s="64">
        <v>2.56</v>
      </c>
      <c r="J90" s="64">
        <v>0.14000000000000001</v>
      </c>
      <c r="K90" s="64">
        <v>136.06</v>
      </c>
      <c r="L90" s="64">
        <v>27.13</v>
      </c>
      <c r="M90" s="64">
        <v>86.19</v>
      </c>
      <c r="N90" s="64">
        <v>26.1</v>
      </c>
      <c r="O90" s="64">
        <v>0</v>
      </c>
      <c r="P90" s="64">
        <v>0.8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1962</v>
      </c>
      <c r="B91" s="64">
        <v>8.61</v>
      </c>
      <c r="C91" s="64">
        <v>10.95</v>
      </c>
      <c r="D91" s="64">
        <v>12.62</v>
      </c>
      <c r="E91" s="64">
        <v>5.47</v>
      </c>
      <c r="F91" s="64">
        <v>2.99</v>
      </c>
      <c r="G91" s="64">
        <v>37.32</v>
      </c>
      <c r="H91" s="64">
        <v>7.16</v>
      </c>
      <c r="I91" s="64">
        <v>3.22</v>
      </c>
      <c r="J91" s="64">
        <v>0.36</v>
      </c>
      <c r="K91" s="64">
        <v>321.97000000000003</v>
      </c>
      <c r="L91" s="64">
        <v>27.06</v>
      </c>
      <c r="M91" s="64">
        <v>86.55</v>
      </c>
      <c r="N91" s="64">
        <v>26.1</v>
      </c>
      <c r="O91" s="64">
        <v>0</v>
      </c>
      <c r="P91" s="64">
        <v>1.1299999999999999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5" t="s">
        <v>1963</v>
      </c>
      <c r="B92" s="64">
        <v>10.130000000000001</v>
      </c>
      <c r="C92" s="64">
        <v>10.52</v>
      </c>
      <c r="D92" s="64">
        <v>13.62</v>
      </c>
      <c r="E92" s="64">
        <v>5.41</v>
      </c>
      <c r="F92" s="64">
        <v>3.36</v>
      </c>
      <c r="G92" s="64">
        <v>37.130000000000003</v>
      </c>
      <c r="H92" s="64">
        <v>7.22</v>
      </c>
      <c r="I92" s="64">
        <v>3.45</v>
      </c>
      <c r="J92" s="64">
        <v>0.09</v>
      </c>
      <c r="K92" s="64">
        <v>67.8</v>
      </c>
      <c r="L92" s="64">
        <v>26.98</v>
      </c>
      <c r="M92" s="64">
        <v>86.32</v>
      </c>
      <c r="N92" s="64">
        <v>26.1</v>
      </c>
      <c r="O92" s="64">
        <v>0</v>
      </c>
      <c r="P92" s="64">
        <v>0.92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5" t="s">
        <v>1964</v>
      </c>
      <c r="B93" s="64">
        <v>11.19</v>
      </c>
      <c r="C93" s="64">
        <v>10.28</v>
      </c>
      <c r="D93" s="64">
        <v>14.34</v>
      </c>
      <c r="E93" s="64">
        <v>5.36</v>
      </c>
      <c r="F93" s="64">
        <v>3.1</v>
      </c>
      <c r="G93" s="64">
        <v>37.130000000000003</v>
      </c>
      <c r="H93" s="64">
        <v>7.22</v>
      </c>
      <c r="I93" s="64">
        <v>3.67</v>
      </c>
      <c r="J93" s="64">
        <v>0.45</v>
      </c>
      <c r="K93" s="64">
        <v>106.75</v>
      </c>
      <c r="L93" s="64">
        <v>26.83</v>
      </c>
      <c r="M93" s="64">
        <v>87.8</v>
      </c>
      <c r="N93" s="64">
        <v>26.2</v>
      </c>
      <c r="O93" s="64">
        <v>0</v>
      </c>
      <c r="P93" s="64">
        <v>0.8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1965</v>
      </c>
      <c r="B94" s="64">
        <v>11.83</v>
      </c>
      <c r="C94" s="64">
        <v>9.9499999999999993</v>
      </c>
      <c r="D94" s="64">
        <v>14.69</v>
      </c>
      <c r="E94" s="64">
        <v>5.12</v>
      </c>
      <c r="F94" s="64">
        <v>3.06</v>
      </c>
      <c r="G94" s="64">
        <v>37.130000000000003</v>
      </c>
      <c r="H94" s="64">
        <v>7.22</v>
      </c>
      <c r="I94" s="64">
        <v>3</v>
      </c>
      <c r="J94" s="64">
        <v>0.88</v>
      </c>
      <c r="K94" s="64">
        <v>335.09</v>
      </c>
      <c r="L94" s="64">
        <v>26.68</v>
      </c>
      <c r="M94" s="64">
        <v>90.29</v>
      </c>
      <c r="N94" s="64">
        <v>26</v>
      </c>
      <c r="O94" s="64">
        <v>0</v>
      </c>
      <c r="P94" s="64">
        <v>1.1599999999999999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1966</v>
      </c>
      <c r="B95" s="64">
        <v>13.13</v>
      </c>
      <c r="C95" s="64">
        <v>9.57</v>
      </c>
      <c r="D95" s="64">
        <v>15.53</v>
      </c>
      <c r="E95" s="64">
        <v>5.5</v>
      </c>
      <c r="F95" s="64">
        <v>2.93</v>
      </c>
      <c r="G95" s="64">
        <v>44.55</v>
      </c>
      <c r="H95" s="64">
        <v>11.71</v>
      </c>
      <c r="I95" s="64">
        <v>3.05</v>
      </c>
      <c r="J95" s="64">
        <v>0.61</v>
      </c>
      <c r="K95" s="64">
        <v>128.80000000000001</v>
      </c>
      <c r="L95" s="64">
        <v>26.61</v>
      </c>
      <c r="M95" s="64">
        <v>90.89</v>
      </c>
      <c r="N95" s="64">
        <v>26.2</v>
      </c>
      <c r="O95" s="64">
        <v>0</v>
      </c>
      <c r="P95" s="64">
        <v>0.79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1967</v>
      </c>
      <c r="B96" s="64">
        <v>13.64</v>
      </c>
      <c r="C96" s="64">
        <v>9.18</v>
      </c>
      <c r="D96" s="64">
        <v>15.73</v>
      </c>
      <c r="E96" s="64">
        <v>5.34</v>
      </c>
      <c r="F96" s="64">
        <v>3.16</v>
      </c>
      <c r="G96" s="64">
        <v>47.73</v>
      </c>
      <c r="H96" s="64">
        <v>12</v>
      </c>
      <c r="I96" s="64">
        <v>3.76</v>
      </c>
      <c r="J96" s="64">
        <v>0.83</v>
      </c>
      <c r="K96" s="64">
        <v>141.69</v>
      </c>
      <c r="L96" s="64">
        <v>26.47</v>
      </c>
      <c r="M96" s="64">
        <v>92.4</v>
      </c>
      <c r="N96" s="64">
        <v>26.3</v>
      </c>
      <c r="O96" s="64">
        <v>0</v>
      </c>
      <c r="P96" s="64">
        <v>0.64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1968</v>
      </c>
      <c r="B97" s="64">
        <v>13.57</v>
      </c>
      <c r="C97" s="64">
        <v>8.58</v>
      </c>
      <c r="D97" s="64">
        <v>15.36</v>
      </c>
      <c r="E97" s="64">
        <v>5.35</v>
      </c>
      <c r="F97" s="64">
        <v>2.95</v>
      </c>
      <c r="G97" s="64">
        <v>47.73</v>
      </c>
      <c r="H97" s="64">
        <v>12</v>
      </c>
      <c r="I97" s="64">
        <v>2.77</v>
      </c>
      <c r="J97" s="64">
        <v>0.28000000000000003</v>
      </c>
      <c r="K97" s="64">
        <v>211.85</v>
      </c>
      <c r="L97" s="64">
        <v>25.98</v>
      </c>
      <c r="M97" s="64">
        <v>96.16</v>
      </c>
      <c r="N97" s="64">
        <v>26.5</v>
      </c>
      <c r="O97" s="64">
        <v>0</v>
      </c>
      <c r="P97" s="64">
        <v>0.64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1969</v>
      </c>
      <c r="B98" s="64">
        <v>13.48</v>
      </c>
      <c r="C98" s="64">
        <v>8.02</v>
      </c>
      <c r="D98" s="64">
        <v>15</v>
      </c>
      <c r="E98" s="64">
        <v>5.46</v>
      </c>
      <c r="F98" s="64">
        <v>3.09</v>
      </c>
      <c r="G98" s="64">
        <v>47.73</v>
      </c>
      <c r="H98" s="64">
        <v>12</v>
      </c>
      <c r="I98" s="64">
        <v>2.6</v>
      </c>
      <c r="J98" s="64">
        <v>0.19</v>
      </c>
      <c r="K98" s="64">
        <v>114.44</v>
      </c>
      <c r="L98" s="64">
        <v>25.55</v>
      </c>
      <c r="M98" s="64">
        <v>98.87</v>
      </c>
      <c r="N98" s="64">
        <v>26.5</v>
      </c>
      <c r="O98" s="64">
        <v>0</v>
      </c>
      <c r="P98" s="64">
        <v>0.55000000000000004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1970</v>
      </c>
      <c r="B99" s="64">
        <v>13.27</v>
      </c>
      <c r="C99" s="64">
        <v>7.74</v>
      </c>
      <c r="D99" s="64">
        <v>14.69</v>
      </c>
      <c r="E99" s="64">
        <v>5.36</v>
      </c>
      <c r="F99" s="64">
        <v>4.05</v>
      </c>
      <c r="G99" s="64">
        <v>31.97</v>
      </c>
      <c r="H99" s="64">
        <v>12.12</v>
      </c>
      <c r="I99" s="64">
        <v>2.3199999999999998</v>
      </c>
      <c r="J99" s="64">
        <v>0.21</v>
      </c>
      <c r="K99" s="64">
        <v>18.600000000000001</v>
      </c>
      <c r="L99" s="64">
        <v>25.37</v>
      </c>
      <c r="M99" s="64">
        <v>99.52</v>
      </c>
      <c r="N99" s="64">
        <v>26.2</v>
      </c>
      <c r="O99" s="64">
        <v>0</v>
      </c>
      <c r="P99" s="64">
        <v>0.62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1971</v>
      </c>
      <c r="B100" s="64">
        <v>13.47</v>
      </c>
      <c r="C100" s="64">
        <v>7.72</v>
      </c>
      <c r="D100" s="64">
        <v>14.84</v>
      </c>
      <c r="E100" s="64">
        <v>5.57</v>
      </c>
      <c r="F100" s="64">
        <v>2.64</v>
      </c>
      <c r="G100" s="64">
        <v>25.21</v>
      </c>
      <c r="H100" s="64">
        <v>12.13</v>
      </c>
      <c r="I100" s="64">
        <v>1.87</v>
      </c>
      <c r="J100" s="64">
        <v>0.3</v>
      </c>
      <c r="K100" s="64">
        <v>291.68</v>
      </c>
      <c r="L100" s="64">
        <v>25.26</v>
      </c>
      <c r="M100" s="64">
        <v>101.16</v>
      </c>
      <c r="N100" s="64">
        <v>26.1</v>
      </c>
      <c r="O100" s="64">
        <v>0</v>
      </c>
      <c r="P100" s="64">
        <v>0.83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1972</v>
      </c>
      <c r="B101" s="64">
        <v>14.39</v>
      </c>
      <c r="C101" s="64">
        <v>7.22</v>
      </c>
      <c r="D101" s="64">
        <v>15.32</v>
      </c>
      <c r="E101" s="64">
        <v>5.42</v>
      </c>
      <c r="F101" s="64">
        <v>4.1100000000000003</v>
      </c>
      <c r="G101" s="64">
        <v>25.21</v>
      </c>
      <c r="H101" s="64">
        <v>12.13</v>
      </c>
      <c r="I101" s="64">
        <v>2.46</v>
      </c>
      <c r="J101" s="64">
        <v>0.39</v>
      </c>
      <c r="K101" s="64">
        <v>302.12</v>
      </c>
      <c r="L101" s="64">
        <v>25.11</v>
      </c>
      <c r="M101" s="64">
        <v>102.08</v>
      </c>
      <c r="N101" s="64">
        <v>26.1</v>
      </c>
      <c r="O101" s="64">
        <v>0</v>
      </c>
      <c r="P101" s="64">
        <v>0.75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1973</v>
      </c>
      <c r="B102" s="64">
        <v>16.23</v>
      </c>
      <c r="C102" s="64">
        <v>6.98</v>
      </c>
      <c r="D102" s="64">
        <v>16.670000000000002</v>
      </c>
      <c r="E102" s="64">
        <v>5.14</v>
      </c>
      <c r="F102" s="64">
        <v>2.39</v>
      </c>
      <c r="G102" s="64">
        <v>25.21</v>
      </c>
      <c r="H102" s="64">
        <v>12.13</v>
      </c>
      <c r="I102" s="64">
        <v>2.61</v>
      </c>
      <c r="J102" s="64">
        <v>0.38</v>
      </c>
      <c r="K102" s="64">
        <v>4.79</v>
      </c>
      <c r="L102" s="64">
        <v>25.04</v>
      </c>
      <c r="M102" s="64">
        <v>102.7</v>
      </c>
      <c r="N102" s="64">
        <v>26.1</v>
      </c>
      <c r="O102" s="64">
        <v>0</v>
      </c>
      <c r="P102" s="64">
        <v>0.93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1974</v>
      </c>
      <c r="B103" s="64">
        <v>18.100000000000001</v>
      </c>
      <c r="C103" s="64">
        <v>6.35</v>
      </c>
      <c r="D103" s="64">
        <v>17.84</v>
      </c>
      <c r="E103" s="64">
        <v>5.15</v>
      </c>
      <c r="F103" s="64">
        <v>3.75</v>
      </c>
      <c r="G103" s="64">
        <v>30.65</v>
      </c>
      <c r="H103" s="64">
        <v>8.7100000000000009</v>
      </c>
      <c r="I103" s="64">
        <v>3.33</v>
      </c>
      <c r="J103" s="64">
        <v>0.11</v>
      </c>
      <c r="K103" s="64">
        <v>194.75</v>
      </c>
      <c r="L103" s="64">
        <v>24.91</v>
      </c>
      <c r="M103" s="64">
        <v>102.68</v>
      </c>
      <c r="N103" s="64">
        <v>26.1</v>
      </c>
      <c r="O103" s="64">
        <v>0</v>
      </c>
      <c r="P103" s="64">
        <v>0.85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1975</v>
      </c>
      <c r="B104" s="64">
        <v>19.22</v>
      </c>
      <c r="C104" s="64">
        <v>7.01</v>
      </c>
      <c r="D104" s="64">
        <v>19.07</v>
      </c>
      <c r="E104" s="64">
        <v>4.74</v>
      </c>
      <c r="F104" s="64">
        <v>2.79</v>
      </c>
      <c r="G104" s="64">
        <v>32.979999999999997</v>
      </c>
      <c r="H104" s="64">
        <v>8.49</v>
      </c>
      <c r="I104" s="64">
        <v>3.02</v>
      </c>
      <c r="J104" s="64">
        <v>0.51</v>
      </c>
      <c r="K104" s="64">
        <v>312.04000000000002</v>
      </c>
      <c r="L104" s="64">
        <v>24.99</v>
      </c>
      <c r="M104" s="64">
        <v>102.64</v>
      </c>
      <c r="N104" s="64">
        <v>26</v>
      </c>
      <c r="O104" s="64">
        <v>0</v>
      </c>
      <c r="P104" s="64">
        <v>0.83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1.31</v>
      </c>
      <c r="C106" s="67">
        <f>MIN(C9:C104)</f>
        <v>4.12</v>
      </c>
      <c r="D106" s="67">
        <f t="shared" ref="D106:Q106" si="0">MIN(D9:D104)</f>
        <v>5.51</v>
      </c>
      <c r="E106" s="67">
        <f t="shared" si="0"/>
        <v>3.78</v>
      </c>
      <c r="F106" s="67">
        <f t="shared" si="0"/>
        <v>2.39</v>
      </c>
      <c r="G106" s="67">
        <f t="shared" si="0"/>
        <v>3.48</v>
      </c>
      <c r="H106" s="67">
        <f t="shared" si="0"/>
        <v>4.51</v>
      </c>
      <c r="I106" s="67">
        <f t="shared" si="0"/>
        <v>1.1299999999999999</v>
      </c>
      <c r="J106" s="67">
        <f t="shared" si="0"/>
        <v>7.0000000000000007E-2</v>
      </c>
      <c r="K106" s="67">
        <f t="shared" si="0"/>
        <v>0.15</v>
      </c>
      <c r="L106" s="67">
        <f t="shared" si="0"/>
        <v>23.66</v>
      </c>
      <c r="M106" s="67">
        <f t="shared" si="0"/>
        <v>49.2</v>
      </c>
      <c r="N106" s="67">
        <f t="shared" si="0"/>
        <v>25.7</v>
      </c>
      <c r="O106" s="67">
        <f t="shared" si="0"/>
        <v>0</v>
      </c>
      <c r="P106" s="67">
        <f t="shared" si="0"/>
        <v>0.31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20.61</v>
      </c>
      <c r="C107" s="66">
        <f t="shared" ref="C107:Q107" si="1">MAX(C9:C104)</f>
        <v>15.17</v>
      </c>
      <c r="D107" s="66">
        <f t="shared" si="1"/>
        <v>19.61</v>
      </c>
      <c r="E107" s="66">
        <f t="shared" si="1"/>
        <v>6.64</v>
      </c>
      <c r="F107" s="66">
        <f t="shared" si="1"/>
        <v>7.95</v>
      </c>
      <c r="G107" s="66">
        <f t="shared" si="1"/>
        <v>291.83</v>
      </c>
      <c r="H107" s="66">
        <f t="shared" si="1"/>
        <v>25.75</v>
      </c>
      <c r="I107" s="66">
        <f t="shared" si="1"/>
        <v>5.22</v>
      </c>
      <c r="J107" s="66">
        <f t="shared" si="1"/>
        <v>1.68</v>
      </c>
      <c r="K107" s="66">
        <f t="shared" si="1"/>
        <v>352.44</v>
      </c>
      <c r="L107" s="66">
        <f t="shared" si="1"/>
        <v>35.880000000000003</v>
      </c>
      <c r="M107" s="66">
        <f t="shared" si="1"/>
        <v>102.7</v>
      </c>
      <c r="N107" s="66">
        <f t="shared" si="1"/>
        <v>893.1</v>
      </c>
      <c r="O107" s="66">
        <f t="shared" si="1"/>
        <v>0</v>
      </c>
      <c r="P107" s="66">
        <f t="shared" si="1"/>
        <v>1.1599999999999999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8.0295833333333366</v>
      </c>
      <c r="C108" s="67">
        <f t="shared" ref="C108:Q108" si="2">AVERAGE(C9:C104)</f>
        <v>8.3233333333333341</v>
      </c>
      <c r="D108" s="67">
        <f t="shared" si="2"/>
        <v>10.787708333333336</v>
      </c>
      <c r="E108" s="67">
        <f t="shared" si="2"/>
        <v>5.3504166666666668</v>
      </c>
      <c r="F108" s="67">
        <f t="shared" si="2"/>
        <v>3.8287499999999999</v>
      </c>
      <c r="G108" s="67">
        <f t="shared" si="2"/>
        <v>35.874895833333333</v>
      </c>
      <c r="H108" s="67">
        <f t="shared" si="2"/>
        <v>8.6915624999999963</v>
      </c>
      <c r="I108" s="67">
        <f t="shared" si="2"/>
        <v>2.7598958333333328</v>
      </c>
      <c r="J108" s="67">
        <f t="shared" si="2"/>
        <v>0.54718750000000027</v>
      </c>
      <c r="K108" s="67">
        <f t="shared" si="2"/>
        <v>164.38572916666666</v>
      </c>
      <c r="L108" s="67">
        <f t="shared" si="2"/>
        <v>27.914687499999996</v>
      </c>
      <c r="M108" s="67">
        <f t="shared" si="2"/>
        <v>81.677395833333335</v>
      </c>
      <c r="N108" s="67">
        <f t="shared" si="2"/>
        <v>169.06666666666672</v>
      </c>
      <c r="O108" s="67">
        <f t="shared" si="2"/>
        <v>0</v>
      </c>
      <c r="P108" s="67">
        <f t="shared" si="2"/>
        <v>0.51916666666666644</v>
      </c>
      <c r="Q108" s="67">
        <f t="shared" si="2"/>
        <v>9.6104166666666746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5.5316771829292684</v>
      </c>
      <c r="C109" s="67">
        <f t="shared" ref="C109:Q109" si="3">STDEV(C9:C104)</f>
        <v>3.237940432684641</v>
      </c>
      <c r="D109" s="67">
        <f t="shared" si="3"/>
        <v>3.9479416300187347</v>
      </c>
      <c r="E109" s="67">
        <f t="shared" si="3"/>
        <v>0.84179622070486249</v>
      </c>
      <c r="F109" s="67">
        <f t="shared" si="3"/>
        <v>1.0182092122938184</v>
      </c>
      <c r="G109" s="67">
        <f t="shared" si="3"/>
        <v>51.548074117780537</v>
      </c>
      <c r="H109" s="67">
        <f t="shared" si="3"/>
        <v>4.3912897825066608</v>
      </c>
      <c r="I109" s="67">
        <f t="shared" si="3"/>
        <v>0.89996899922242157</v>
      </c>
      <c r="J109" s="67">
        <f t="shared" si="3"/>
        <v>0.37206876309854886</v>
      </c>
      <c r="K109" s="67">
        <f t="shared" si="3"/>
        <v>106.74389822319476</v>
      </c>
      <c r="L109" s="67">
        <f t="shared" si="3"/>
        <v>2.9652914840749234</v>
      </c>
      <c r="M109" s="67">
        <f t="shared" si="3"/>
        <v>16.321472795050159</v>
      </c>
      <c r="N109" s="67">
        <f t="shared" si="3"/>
        <v>243.22729965660852</v>
      </c>
      <c r="O109" s="67">
        <f t="shared" si="3"/>
        <v>0</v>
      </c>
      <c r="P109" s="67">
        <f t="shared" si="3"/>
        <v>0.19216038622746359</v>
      </c>
      <c r="Q109" s="67">
        <f t="shared" si="3"/>
        <v>8.3245567818373608E-3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1976</v>
      </c>
      <c r="B9" s="64">
        <v>20.13</v>
      </c>
      <c r="C9" s="64">
        <v>6.67</v>
      </c>
      <c r="D9" s="64">
        <v>19.63</v>
      </c>
      <c r="E9" s="64">
        <v>5.04</v>
      </c>
      <c r="F9" s="64">
        <v>3.28</v>
      </c>
      <c r="G9" s="64">
        <v>32.979999999999997</v>
      </c>
      <c r="H9" s="64">
        <v>8.49</v>
      </c>
      <c r="I9" s="64">
        <v>3.22</v>
      </c>
      <c r="J9" s="64">
        <v>0.49</v>
      </c>
      <c r="K9" s="64">
        <v>1.36</v>
      </c>
      <c r="L9" s="64">
        <v>24.99</v>
      </c>
      <c r="M9" s="64">
        <v>102.7</v>
      </c>
      <c r="N9" s="64">
        <v>26</v>
      </c>
      <c r="O9" s="64">
        <v>0</v>
      </c>
      <c r="P9" s="64">
        <v>0.85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1977</v>
      </c>
      <c r="B10" s="64">
        <v>20</v>
      </c>
      <c r="C10" s="64">
        <v>7.03</v>
      </c>
      <c r="D10" s="64">
        <v>19.71</v>
      </c>
      <c r="E10" s="64">
        <v>4.96</v>
      </c>
      <c r="F10" s="64">
        <v>3.53</v>
      </c>
      <c r="G10" s="64">
        <v>32.979999999999997</v>
      </c>
      <c r="H10" s="64">
        <v>8.49</v>
      </c>
      <c r="I10" s="64">
        <v>3.13</v>
      </c>
      <c r="J10" s="64">
        <v>0.19</v>
      </c>
      <c r="K10" s="64">
        <v>95.02</v>
      </c>
      <c r="L10" s="64">
        <v>24.82</v>
      </c>
      <c r="M10" s="64">
        <v>102.7</v>
      </c>
      <c r="N10" s="64">
        <v>26.1</v>
      </c>
      <c r="O10" s="64">
        <v>0</v>
      </c>
      <c r="P10" s="64">
        <v>0.84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1978</v>
      </c>
      <c r="B11" s="64">
        <v>19.77</v>
      </c>
      <c r="C11" s="64">
        <v>6.9</v>
      </c>
      <c r="D11" s="64">
        <v>19.46</v>
      </c>
      <c r="E11" s="64">
        <v>5.54</v>
      </c>
      <c r="F11" s="64">
        <v>3.11</v>
      </c>
      <c r="G11" s="64">
        <v>46.75</v>
      </c>
      <c r="H11" s="64">
        <v>6.1</v>
      </c>
      <c r="I11" s="64">
        <v>3.67</v>
      </c>
      <c r="J11" s="64">
        <v>0.56000000000000005</v>
      </c>
      <c r="K11" s="64">
        <v>3.92</v>
      </c>
      <c r="L11" s="64">
        <v>24.7</v>
      </c>
      <c r="M11" s="64">
        <v>102.72</v>
      </c>
      <c r="N11" s="64">
        <v>26.1</v>
      </c>
      <c r="O11" s="64">
        <v>0</v>
      </c>
      <c r="P11" s="64">
        <v>0.83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1979</v>
      </c>
      <c r="B12" s="64">
        <v>19.64</v>
      </c>
      <c r="C12" s="64">
        <v>6.57</v>
      </c>
      <c r="D12" s="64">
        <v>19.18</v>
      </c>
      <c r="E12" s="64">
        <v>5.64</v>
      </c>
      <c r="F12" s="64">
        <v>3.6</v>
      </c>
      <c r="G12" s="64">
        <v>52.66</v>
      </c>
      <c r="H12" s="64">
        <v>5.94</v>
      </c>
      <c r="I12" s="64">
        <v>3.7</v>
      </c>
      <c r="J12" s="64">
        <v>0.35</v>
      </c>
      <c r="K12" s="64">
        <v>352.08</v>
      </c>
      <c r="L12" s="64">
        <v>24.55</v>
      </c>
      <c r="M12" s="64">
        <v>102.75</v>
      </c>
      <c r="N12" s="64">
        <v>26.1</v>
      </c>
      <c r="O12" s="64">
        <v>0</v>
      </c>
      <c r="P12" s="64">
        <v>0.83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1980</v>
      </c>
      <c r="B13" s="64">
        <v>19.739999999999998</v>
      </c>
      <c r="C13" s="64">
        <v>6.17</v>
      </c>
      <c r="D13" s="64">
        <v>19.05</v>
      </c>
      <c r="E13" s="64">
        <v>5.43</v>
      </c>
      <c r="F13" s="64">
        <v>6.29</v>
      </c>
      <c r="G13" s="64">
        <v>52.66</v>
      </c>
      <c r="H13" s="64">
        <v>5.94</v>
      </c>
      <c r="I13" s="64">
        <v>3.86</v>
      </c>
      <c r="J13" s="64">
        <v>0.37</v>
      </c>
      <c r="K13" s="64">
        <v>358.62</v>
      </c>
      <c r="L13" s="64">
        <v>24.45</v>
      </c>
      <c r="M13" s="64">
        <v>102.75</v>
      </c>
      <c r="N13" s="64">
        <v>26</v>
      </c>
      <c r="O13" s="64">
        <v>0</v>
      </c>
      <c r="P13" s="64">
        <v>0.75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5" t="s">
        <v>1981</v>
      </c>
      <c r="B14" s="64">
        <v>19.64</v>
      </c>
      <c r="C14" s="64">
        <v>5.8</v>
      </c>
      <c r="D14" s="64">
        <v>18.78</v>
      </c>
      <c r="E14" s="64">
        <v>5.21</v>
      </c>
      <c r="F14" s="64">
        <v>3.21</v>
      </c>
      <c r="G14" s="64">
        <v>52.66</v>
      </c>
      <c r="H14" s="64">
        <v>5.94</v>
      </c>
      <c r="I14" s="64">
        <v>3.46</v>
      </c>
      <c r="J14" s="64">
        <v>0.32</v>
      </c>
      <c r="K14" s="64">
        <v>277.48</v>
      </c>
      <c r="L14" s="64">
        <v>24.49</v>
      </c>
      <c r="M14" s="64">
        <v>102.75</v>
      </c>
      <c r="N14" s="64">
        <v>26.1</v>
      </c>
      <c r="O14" s="64">
        <v>0</v>
      </c>
      <c r="P14" s="64">
        <v>0.78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5" t="s">
        <v>1982</v>
      </c>
      <c r="B15" s="64">
        <v>19.510000000000002</v>
      </c>
      <c r="C15" s="64">
        <v>5.65</v>
      </c>
      <c r="D15" s="64">
        <v>18.600000000000001</v>
      </c>
      <c r="E15" s="64">
        <v>5.53</v>
      </c>
      <c r="F15" s="64">
        <v>2.74</v>
      </c>
      <c r="G15" s="64">
        <v>78.86</v>
      </c>
      <c r="H15" s="64">
        <v>82.36</v>
      </c>
      <c r="I15" s="64">
        <v>3.45</v>
      </c>
      <c r="J15" s="64">
        <v>0.31</v>
      </c>
      <c r="K15" s="64">
        <v>235.07</v>
      </c>
      <c r="L15" s="64">
        <v>24.55</v>
      </c>
      <c r="M15" s="64">
        <v>102.75</v>
      </c>
      <c r="N15" s="64">
        <v>26.1</v>
      </c>
      <c r="O15" s="64">
        <v>0</v>
      </c>
      <c r="P15" s="64">
        <v>0.72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5" t="s">
        <v>1983</v>
      </c>
      <c r="B16" s="64">
        <v>19.149999999999999</v>
      </c>
      <c r="C16" s="64">
        <v>5.55</v>
      </c>
      <c r="D16" s="64">
        <v>18.260000000000002</v>
      </c>
      <c r="E16" s="64">
        <v>5.87</v>
      </c>
      <c r="F16" s="64">
        <v>3.16</v>
      </c>
      <c r="G16" s="64">
        <v>90.08</v>
      </c>
      <c r="H16" s="64">
        <v>88.52</v>
      </c>
      <c r="I16" s="64">
        <v>3.5</v>
      </c>
      <c r="J16" s="64">
        <v>0.51</v>
      </c>
      <c r="K16" s="64">
        <v>312.60000000000002</v>
      </c>
      <c r="L16" s="64">
        <v>24.59</v>
      </c>
      <c r="M16" s="64">
        <v>102.75</v>
      </c>
      <c r="N16" s="64">
        <v>26.1</v>
      </c>
      <c r="O16" s="64">
        <v>0</v>
      </c>
      <c r="P16" s="64">
        <v>0.79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1984</v>
      </c>
      <c r="B17" s="64">
        <v>19.010000000000002</v>
      </c>
      <c r="C17" s="64">
        <v>5.44</v>
      </c>
      <c r="D17" s="64">
        <v>18.079999999999998</v>
      </c>
      <c r="E17" s="64">
        <v>5.55</v>
      </c>
      <c r="F17" s="64">
        <v>2.85</v>
      </c>
      <c r="G17" s="64">
        <v>90.08</v>
      </c>
      <c r="H17" s="64">
        <v>88.52</v>
      </c>
      <c r="I17" s="64">
        <v>3.38</v>
      </c>
      <c r="J17" s="64">
        <v>0.34</v>
      </c>
      <c r="K17" s="64">
        <v>331.91</v>
      </c>
      <c r="L17" s="64">
        <v>24.67</v>
      </c>
      <c r="M17" s="64">
        <v>102.75</v>
      </c>
      <c r="N17" s="64">
        <v>26.1</v>
      </c>
      <c r="O17" s="64">
        <v>0</v>
      </c>
      <c r="P17" s="64">
        <v>0.7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5" t="s">
        <v>1985</v>
      </c>
      <c r="B18" s="64">
        <v>18.75</v>
      </c>
      <c r="C18" s="64">
        <v>5.37</v>
      </c>
      <c r="D18" s="64">
        <v>17.84</v>
      </c>
      <c r="E18" s="64">
        <v>5.47</v>
      </c>
      <c r="F18" s="64">
        <v>2.96</v>
      </c>
      <c r="G18" s="64">
        <v>90.08</v>
      </c>
      <c r="H18" s="64">
        <v>88.52</v>
      </c>
      <c r="I18" s="64">
        <v>3.37</v>
      </c>
      <c r="J18" s="64">
        <v>1</v>
      </c>
      <c r="K18" s="64">
        <v>333.9</v>
      </c>
      <c r="L18" s="64">
        <v>24.59</v>
      </c>
      <c r="M18" s="64">
        <v>102.73</v>
      </c>
      <c r="N18" s="64">
        <v>26</v>
      </c>
      <c r="O18" s="64">
        <v>0</v>
      </c>
      <c r="P18" s="64">
        <v>0.71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1986</v>
      </c>
      <c r="B19" s="64">
        <v>18.489999999999998</v>
      </c>
      <c r="C19" s="64">
        <v>5.38</v>
      </c>
      <c r="D19" s="64">
        <v>17.64</v>
      </c>
      <c r="E19" s="64">
        <v>5.68</v>
      </c>
      <c r="F19" s="64">
        <v>3.49</v>
      </c>
      <c r="G19" s="64">
        <v>90.71</v>
      </c>
      <c r="H19" s="64">
        <v>52.85</v>
      </c>
      <c r="I19" s="64">
        <v>3.26</v>
      </c>
      <c r="J19" s="64">
        <v>1.22</v>
      </c>
      <c r="K19" s="64">
        <v>332.07</v>
      </c>
      <c r="L19" s="64">
        <v>24.7</v>
      </c>
      <c r="M19" s="64">
        <v>102.65</v>
      </c>
      <c r="N19" s="64">
        <v>25.9</v>
      </c>
      <c r="O19" s="64">
        <v>0</v>
      </c>
      <c r="P19" s="64">
        <v>0.74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1987</v>
      </c>
      <c r="B20" s="64">
        <v>18.170000000000002</v>
      </c>
      <c r="C20" s="64">
        <v>5.97</v>
      </c>
      <c r="D20" s="64">
        <v>17.7</v>
      </c>
      <c r="E20" s="64">
        <v>6.05</v>
      </c>
      <c r="F20" s="64">
        <v>3.78</v>
      </c>
      <c r="G20" s="64">
        <v>90.98</v>
      </c>
      <c r="H20" s="64">
        <v>48.16</v>
      </c>
      <c r="I20" s="64">
        <v>3.92</v>
      </c>
      <c r="J20" s="64">
        <v>0.92</v>
      </c>
      <c r="K20" s="64">
        <v>327.92</v>
      </c>
      <c r="L20" s="64">
        <v>24.69</v>
      </c>
      <c r="M20" s="64">
        <v>102.65</v>
      </c>
      <c r="N20" s="64">
        <v>26.1</v>
      </c>
      <c r="O20" s="64">
        <v>0</v>
      </c>
      <c r="P20" s="64">
        <v>0.78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1988</v>
      </c>
      <c r="B21" s="64">
        <v>17.86</v>
      </c>
      <c r="C21" s="64">
        <v>6.17</v>
      </c>
      <c r="D21" s="64">
        <v>17.55</v>
      </c>
      <c r="E21" s="64">
        <v>6.11</v>
      </c>
      <c r="F21" s="64">
        <v>3.68</v>
      </c>
      <c r="G21" s="64">
        <v>90.98</v>
      </c>
      <c r="H21" s="64">
        <v>48.16</v>
      </c>
      <c r="I21" s="64">
        <v>5.13</v>
      </c>
      <c r="J21" s="64">
        <v>0.61</v>
      </c>
      <c r="K21" s="64">
        <v>339.6</v>
      </c>
      <c r="L21" s="64">
        <v>24.4</v>
      </c>
      <c r="M21" s="64">
        <v>102.69</v>
      </c>
      <c r="N21" s="64">
        <v>26.3</v>
      </c>
      <c r="O21" s="64">
        <v>0</v>
      </c>
      <c r="P21" s="64">
        <v>0.83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1989</v>
      </c>
      <c r="B22" s="64">
        <v>18.34</v>
      </c>
      <c r="C22" s="64">
        <v>6.21</v>
      </c>
      <c r="D22" s="64">
        <v>17.95</v>
      </c>
      <c r="E22" s="64">
        <v>6.03</v>
      </c>
      <c r="F22" s="64">
        <v>3.57</v>
      </c>
      <c r="G22" s="64">
        <v>90.98</v>
      </c>
      <c r="H22" s="64">
        <v>48.16</v>
      </c>
      <c r="I22" s="64">
        <v>5.17</v>
      </c>
      <c r="J22" s="64">
        <v>0.83</v>
      </c>
      <c r="K22" s="64">
        <v>346.92</v>
      </c>
      <c r="L22" s="64">
        <v>24.29</v>
      </c>
      <c r="M22" s="64">
        <v>102.71</v>
      </c>
      <c r="N22" s="64">
        <v>26.1</v>
      </c>
      <c r="O22" s="64">
        <v>0</v>
      </c>
      <c r="P22" s="64">
        <v>0.86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1990</v>
      </c>
      <c r="B23" s="64">
        <v>19.010000000000002</v>
      </c>
      <c r="C23" s="64">
        <v>6.1</v>
      </c>
      <c r="D23" s="64">
        <v>18.43</v>
      </c>
      <c r="E23" s="64">
        <v>5.83</v>
      </c>
      <c r="F23" s="64">
        <v>4.4000000000000004</v>
      </c>
      <c r="G23" s="64">
        <v>121.3</v>
      </c>
      <c r="H23" s="64">
        <v>68.349999999999994</v>
      </c>
      <c r="I23" s="64">
        <v>5.14</v>
      </c>
      <c r="J23" s="64">
        <v>0.93</v>
      </c>
      <c r="K23" s="64">
        <v>336.12</v>
      </c>
      <c r="L23" s="64">
        <v>24.28</v>
      </c>
      <c r="M23" s="64">
        <v>102.7</v>
      </c>
      <c r="N23" s="64">
        <v>26</v>
      </c>
      <c r="O23" s="64">
        <v>0</v>
      </c>
      <c r="P23" s="64">
        <v>0.81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1991</v>
      </c>
      <c r="B24" s="64">
        <v>19.489999999999998</v>
      </c>
      <c r="C24" s="64">
        <v>6.08</v>
      </c>
      <c r="D24" s="64">
        <v>18.8</v>
      </c>
      <c r="E24" s="64">
        <v>5.87</v>
      </c>
      <c r="F24" s="64">
        <v>3.97</v>
      </c>
      <c r="G24" s="64">
        <v>134.29</v>
      </c>
      <c r="H24" s="64">
        <v>69.98</v>
      </c>
      <c r="I24" s="64">
        <v>5</v>
      </c>
      <c r="J24" s="64">
        <v>0.48</v>
      </c>
      <c r="K24" s="64">
        <v>334.25</v>
      </c>
      <c r="L24" s="64">
        <v>24.38</v>
      </c>
      <c r="M24" s="64">
        <v>102.7</v>
      </c>
      <c r="N24" s="64">
        <v>26.2</v>
      </c>
      <c r="O24" s="64">
        <v>0</v>
      </c>
      <c r="P24" s="64">
        <v>0.82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1992</v>
      </c>
      <c r="B25" s="64">
        <v>20.39</v>
      </c>
      <c r="C25" s="64">
        <v>5.84</v>
      </c>
      <c r="D25" s="64">
        <v>19.399999999999999</v>
      </c>
      <c r="E25" s="64">
        <v>6.77</v>
      </c>
      <c r="F25" s="64">
        <v>3.39</v>
      </c>
      <c r="G25" s="64">
        <v>134.29</v>
      </c>
      <c r="H25" s="64">
        <v>69.98</v>
      </c>
      <c r="I25" s="64">
        <v>4.8</v>
      </c>
      <c r="J25" s="64">
        <v>0.6</v>
      </c>
      <c r="K25" s="64">
        <v>329.51</v>
      </c>
      <c r="L25" s="64">
        <v>24.14</v>
      </c>
      <c r="M25" s="64">
        <v>102.71</v>
      </c>
      <c r="N25" s="64">
        <v>26.1</v>
      </c>
      <c r="O25" s="64">
        <v>0</v>
      </c>
      <c r="P25" s="64">
        <v>0.87</v>
      </c>
      <c r="Q25" s="64">
        <v>9.6</v>
      </c>
      <c r="R25" s="198"/>
      <c r="S25" s="198"/>
      <c r="T25" s="198"/>
      <c r="U25" s="198"/>
    </row>
    <row r="26" spans="1:21" s="12" customFormat="1" x14ac:dyDescent="0.25">
      <c r="A26" s="215" t="s">
        <v>1993</v>
      </c>
      <c r="B26" s="64">
        <v>21.21</v>
      </c>
      <c r="C26" s="64">
        <v>6</v>
      </c>
      <c r="D26" s="64">
        <v>20.14</v>
      </c>
      <c r="E26" s="64">
        <v>7.01</v>
      </c>
      <c r="F26" s="64">
        <v>3.82</v>
      </c>
      <c r="G26" s="64">
        <v>134.29</v>
      </c>
      <c r="H26" s="64">
        <v>69.98</v>
      </c>
      <c r="I26" s="64">
        <v>4.8</v>
      </c>
      <c r="J26" s="64">
        <v>0.83</v>
      </c>
      <c r="K26" s="64">
        <v>343.21</v>
      </c>
      <c r="L26" s="64">
        <v>24.14</v>
      </c>
      <c r="M26" s="64">
        <v>102.72</v>
      </c>
      <c r="N26" s="64">
        <v>26</v>
      </c>
      <c r="O26" s="64">
        <v>0</v>
      </c>
      <c r="P26" s="64">
        <v>0.9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1994</v>
      </c>
      <c r="B27" s="64">
        <v>22.38</v>
      </c>
      <c r="C27" s="64">
        <v>5.7</v>
      </c>
      <c r="D27" s="64">
        <v>20.93</v>
      </c>
      <c r="E27" s="64">
        <v>7.46</v>
      </c>
      <c r="F27" s="64">
        <v>4.13</v>
      </c>
      <c r="G27" s="64">
        <v>139.76</v>
      </c>
      <c r="H27" s="64">
        <v>76.7</v>
      </c>
      <c r="I27" s="64">
        <v>5.08</v>
      </c>
      <c r="J27" s="64">
        <v>1.1399999999999999</v>
      </c>
      <c r="K27" s="64">
        <v>339.54</v>
      </c>
      <c r="L27" s="64">
        <v>24.25</v>
      </c>
      <c r="M27" s="64">
        <v>102.55</v>
      </c>
      <c r="N27" s="64">
        <v>25.9</v>
      </c>
      <c r="O27" s="64">
        <v>0</v>
      </c>
      <c r="P27" s="64">
        <v>0.94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1995</v>
      </c>
      <c r="B28" s="64">
        <v>23.6</v>
      </c>
      <c r="C28" s="64">
        <v>6.22</v>
      </c>
      <c r="D28" s="64">
        <v>22.18</v>
      </c>
      <c r="E28" s="64">
        <v>7.25</v>
      </c>
      <c r="F28" s="64">
        <v>3.43</v>
      </c>
      <c r="G28" s="64">
        <v>142.1</v>
      </c>
      <c r="H28" s="64">
        <v>77.239999999999995</v>
      </c>
      <c r="I28" s="64">
        <v>5.54</v>
      </c>
      <c r="J28" s="64">
        <v>0.91</v>
      </c>
      <c r="K28" s="64">
        <v>341.11</v>
      </c>
      <c r="L28" s="64">
        <v>24.34</v>
      </c>
      <c r="M28" s="64">
        <v>101.82</v>
      </c>
      <c r="N28" s="64">
        <v>26.1</v>
      </c>
      <c r="O28" s="64">
        <v>0</v>
      </c>
      <c r="P28" s="64">
        <v>0.94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1996</v>
      </c>
      <c r="B29" s="64">
        <v>24.87</v>
      </c>
      <c r="C29" s="64">
        <v>5.84</v>
      </c>
      <c r="D29" s="64">
        <v>23</v>
      </c>
      <c r="E29" s="64">
        <v>7.34</v>
      </c>
      <c r="F29" s="64">
        <v>3.49</v>
      </c>
      <c r="G29" s="64">
        <v>142.1</v>
      </c>
      <c r="H29" s="64">
        <v>77.239999999999995</v>
      </c>
      <c r="I29" s="64">
        <v>5.96</v>
      </c>
      <c r="J29" s="64">
        <v>0.78</v>
      </c>
      <c r="K29" s="64">
        <v>333.65</v>
      </c>
      <c r="L29" s="64">
        <v>24.19</v>
      </c>
      <c r="M29" s="64">
        <v>101.97</v>
      </c>
      <c r="N29" s="64">
        <v>26.1</v>
      </c>
      <c r="O29" s="64">
        <v>0</v>
      </c>
      <c r="P29" s="64">
        <v>1.05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1997</v>
      </c>
      <c r="B30" s="64">
        <v>25.61</v>
      </c>
      <c r="C30" s="64">
        <v>5.43</v>
      </c>
      <c r="D30" s="64">
        <v>23.38</v>
      </c>
      <c r="E30" s="64">
        <v>7.13</v>
      </c>
      <c r="F30" s="64">
        <v>3.66</v>
      </c>
      <c r="G30" s="64">
        <v>142.1</v>
      </c>
      <c r="H30" s="64">
        <v>77.239999999999995</v>
      </c>
      <c r="I30" s="64">
        <v>6.47</v>
      </c>
      <c r="J30" s="64">
        <v>0.25</v>
      </c>
      <c r="K30" s="64">
        <v>260.91000000000003</v>
      </c>
      <c r="L30" s="64">
        <v>23.96</v>
      </c>
      <c r="M30" s="64">
        <v>102.29</v>
      </c>
      <c r="N30" s="64">
        <v>26.4</v>
      </c>
      <c r="O30" s="64">
        <v>0</v>
      </c>
      <c r="P30" s="64">
        <v>1.05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5" t="s">
        <v>1998</v>
      </c>
      <c r="B31" s="64">
        <v>26.2</v>
      </c>
      <c r="C31" s="64">
        <v>5.55</v>
      </c>
      <c r="D31" s="64">
        <v>23.91</v>
      </c>
      <c r="E31" s="64">
        <v>7.09</v>
      </c>
      <c r="F31" s="64">
        <v>3.31</v>
      </c>
      <c r="G31" s="64">
        <v>136.47999999999999</v>
      </c>
      <c r="H31" s="64">
        <v>75.83</v>
      </c>
      <c r="I31" s="64">
        <v>6.56</v>
      </c>
      <c r="J31" s="64">
        <v>0.22</v>
      </c>
      <c r="K31" s="64">
        <v>1.52</v>
      </c>
      <c r="L31" s="64">
        <v>23.82</v>
      </c>
      <c r="M31" s="64">
        <v>102.7</v>
      </c>
      <c r="N31" s="64">
        <v>26.2</v>
      </c>
      <c r="O31" s="64">
        <v>0</v>
      </c>
      <c r="P31" s="64">
        <v>1.07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1999</v>
      </c>
      <c r="B32" s="64">
        <v>27.12</v>
      </c>
      <c r="C32" s="64">
        <v>5.57</v>
      </c>
      <c r="D32" s="64">
        <v>24.65</v>
      </c>
      <c r="E32" s="64">
        <v>6.54</v>
      </c>
      <c r="F32" s="64">
        <v>3.45</v>
      </c>
      <c r="G32" s="64">
        <v>134.07</v>
      </c>
      <c r="H32" s="64">
        <v>75.72</v>
      </c>
      <c r="I32" s="64">
        <v>6.03</v>
      </c>
      <c r="J32" s="64">
        <v>0.74</v>
      </c>
      <c r="K32" s="64">
        <v>342.98</v>
      </c>
      <c r="L32" s="64">
        <v>23.78</v>
      </c>
      <c r="M32" s="64">
        <v>102.72</v>
      </c>
      <c r="N32" s="64">
        <v>27.5</v>
      </c>
      <c r="O32" s="64">
        <v>0</v>
      </c>
      <c r="P32" s="64">
        <v>1.05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5" t="s">
        <v>2000</v>
      </c>
      <c r="B33" s="64">
        <v>28.05</v>
      </c>
      <c r="C33" s="64">
        <v>5.47</v>
      </c>
      <c r="D33" s="64">
        <v>25.35</v>
      </c>
      <c r="E33" s="64">
        <v>6.88</v>
      </c>
      <c r="F33" s="64">
        <v>3.23</v>
      </c>
      <c r="G33" s="64">
        <v>134.07</v>
      </c>
      <c r="H33" s="64">
        <v>75.72</v>
      </c>
      <c r="I33" s="64">
        <v>6.11</v>
      </c>
      <c r="J33" s="64">
        <v>0.67</v>
      </c>
      <c r="K33" s="64">
        <v>332.48</v>
      </c>
      <c r="L33" s="64">
        <v>23.86</v>
      </c>
      <c r="M33" s="64">
        <v>102.73</v>
      </c>
      <c r="N33" s="64">
        <v>34.9</v>
      </c>
      <c r="O33" s="64">
        <v>0</v>
      </c>
      <c r="P33" s="64">
        <v>1.06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5" t="s">
        <v>2001</v>
      </c>
      <c r="B34" s="64">
        <v>28.74</v>
      </c>
      <c r="C34" s="64">
        <v>5.48</v>
      </c>
      <c r="D34" s="64">
        <v>25.91</v>
      </c>
      <c r="E34" s="64">
        <v>7.12</v>
      </c>
      <c r="F34" s="64">
        <v>2.92</v>
      </c>
      <c r="G34" s="64">
        <v>134.07</v>
      </c>
      <c r="H34" s="64">
        <v>75.72</v>
      </c>
      <c r="I34" s="64">
        <v>5.81</v>
      </c>
      <c r="J34" s="64">
        <v>0.6</v>
      </c>
      <c r="K34" s="64">
        <v>339.59</v>
      </c>
      <c r="L34" s="64">
        <v>24.21</v>
      </c>
      <c r="M34" s="64">
        <v>102.06</v>
      </c>
      <c r="N34" s="64">
        <v>47.1</v>
      </c>
      <c r="O34" s="64">
        <v>0</v>
      </c>
      <c r="P34" s="64">
        <v>1.1599999999999999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5" t="s">
        <v>2002</v>
      </c>
      <c r="B35" s="64">
        <v>29.33</v>
      </c>
      <c r="C35" s="64">
        <v>5.61</v>
      </c>
      <c r="D35" s="64">
        <v>26.45</v>
      </c>
      <c r="E35" s="64">
        <v>7.01</v>
      </c>
      <c r="F35" s="64">
        <v>3</v>
      </c>
      <c r="G35" s="64">
        <v>131.76</v>
      </c>
      <c r="H35" s="64">
        <v>52.47</v>
      </c>
      <c r="I35" s="64">
        <v>5.53</v>
      </c>
      <c r="J35" s="64">
        <v>0.82</v>
      </c>
      <c r="K35" s="64">
        <v>335.68</v>
      </c>
      <c r="L35" s="64">
        <v>24.69</v>
      </c>
      <c r="M35" s="64">
        <v>99.39</v>
      </c>
      <c r="N35" s="64">
        <v>61.9</v>
      </c>
      <c r="O35" s="64">
        <v>0</v>
      </c>
      <c r="P35" s="64">
        <v>1.35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5" t="s">
        <v>2003</v>
      </c>
      <c r="B36" s="64">
        <v>29.88</v>
      </c>
      <c r="C36" s="64">
        <v>5.87</v>
      </c>
      <c r="D36" s="64">
        <v>27.03</v>
      </c>
      <c r="E36" s="64">
        <v>7.13</v>
      </c>
      <c r="F36" s="64">
        <v>3.68</v>
      </c>
      <c r="G36" s="64">
        <v>130.77000000000001</v>
      </c>
      <c r="H36" s="64">
        <v>49.41</v>
      </c>
      <c r="I36" s="64">
        <v>6.02</v>
      </c>
      <c r="J36" s="64">
        <v>0.85</v>
      </c>
      <c r="K36" s="64">
        <v>329.51</v>
      </c>
      <c r="L36" s="64">
        <v>25.09</v>
      </c>
      <c r="M36" s="64">
        <v>97.76</v>
      </c>
      <c r="N36" s="64">
        <v>87.1</v>
      </c>
      <c r="O36" s="64">
        <v>0</v>
      </c>
      <c r="P36" s="64">
        <v>1.1299999999999999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5" t="s">
        <v>2004</v>
      </c>
      <c r="B37" s="64">
        <v>30.29</v>
      </c>
      <c r="C37" s="64">
        <v>6.58</v>
      </c>
      <c r="D37" s="64">
        <v>27.73</v>
      </c>
      <c r="E37" s="64">
        <v>7.32</v>
      </c>
      <c r="F37" s="64">
        <v>3.66</v>
      </c>
      <c r="G37" s="64">
        <v>130.77000000000001</v>
      </c>
      <c r="H37" s="64">
        <v>49.41</v>
      </c>
      <c r="I37" s="64">
        <v>7.21</v>
      </c>
      <c r="J37" s="64">
        <v>1.39</v>
      </c>
      <c r="K37" s="64">
        <v>339.4</v>
      </c>
      <c r="L37" s="64">
        <v>26.05</v>
      </c>
      <c r="M37" s="64">
        <v>93.32</v>
      </c>
      <c r="N37" s="64">
        <v>141.4</v>
      </c>
      <c r="O37" s="64">
        <v>0</v>
      </c>
      <c r="P37" s="64">
        <v>0.99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2005</v>
      </c>
      <c r="B38" s="64">
        <v>30.31</v>
      </c>
      <c r="C38" s="64">
        <v>6.8</v>
      </c>
      <c r="D38" s="64">
        <v>27.86</v>
      </c>
      <c r="E38" s="64">
        <v>7.33</v>
      </c>
      <c r="F38" s="64">
        <v>4.4000000000000004</v>
      </c>
      <c r="G38" s="64">
        <v>130.77000000000001</v>
      </c>
      <c r="H38" s="64">
        <v>49.41</v>
      </c>
      <c r="I38" s="64">
        <v>7.28</v>
      </c>
      <c r="J38" s="64">
        <v>1.1000000000000001</v>
      </c>
      <c r="K38" s="64">
        <v>337.32</v>
      </c>
      <c r="L38" s="64">
        <v>27.6</v>
      </c>
      <c r="M38" s="64">
        <v>86.11</v>
      </c>
      <c r="N38" s="64">
        <v>195.7</v>
      </c>
      <c r="O38" s="64">
        <v>0</v>
      </c>
      <c r="P38" s="64">
        <v>1.04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2006</v>
      </c>
      <c r="B39" s="64">
        <v>29.96</v>
      </c>
      <c r="C39" s="64">
        <v>6.93</v>
      </c>
      <c r="D39" s="64">
        <v>27.65</v>
      </c>
      <c r="E39" s="64">
        <v>7.09</v>
      </c>
      <c r="F39" s="64">
        <v>3.39</v>
      </c>
      <c r="G39" s="64">
        <v>126.63</v>
      </c>
      <c r="H39" s="64">
        <v>41.95</v>
      </c>
      <c r="I39" s="64">
        <v>7.35</v>
      </c>
      <c r="J39" s="64">
        <v>0.39</v>
      </c>
      <c r="K39" s="64">
        <v>106.23</v>
      </c>
      <c r="L39" s="64">
        <v>28.35</v>
      </c>
      <c r="M39" s="64">
        <v>83.69</v>
      </c>
      <c r="N39" s="64">
        <v>256.10000000000002</v>
      </c>
      <c r="O39" s="64">
        <v>0</v>
      </c>
      <c r="P39" s="64">
        <v>1.04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2007</v>
      </c>
      <c r="B40" s="64">
        <v>29.16</v>
      </c>
      <c r="C40" s="64">
        <v>7.25</v>
      </c>
      <c r="D40" s="64">
        <v>27.17</v>
      </c>
      <c r="E40" s="64">
        <v>6.05</v>
      </c>
      <c r="F40" s="64">
        <v>3.68</v>
      </c>
      <c r="G40" s="64">
        <v>124.86</v>
      </c>
      <c r="H40" s="64">
        <v>41.35</v>
      </c>
      <c r="I40" s="64">
        <v>6.22</v>
      </c>
      <c r="J40" s="64">
        <v>0.2</v>
      </c>
      <c r="K40" s="64">
        <v>17.309999999999999</v>
      </c>
      <c r="L40" s="64">
        <v>28.81</v>
      </c>
      <c r="M40" s="64">
        <v>81.41</v>
      </c>
      <c r="N40" s="64">
        <v>314.5</v>
      </c>
      <c r="O40" s="64">
        <v>0</v>
      </c>
      <c r="P40" s="64">
        <v>0.94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2008</v>
      </c>
      <c r="B41" s="64">
        <v>28.49</v>
      </c>
      <c r="C41" s="64">
        <v>7.2</v>
      </c>
      <c r="D41" s="64">
        <v>26.61</v>
      </c>
      <c r="E41" s="64">
        <v>5.54</v>
      </c>
      <c r="F41" s="64">
        <v>3.57</v>
      </c>
      <c r="G41" s="64">
        <v>124.86</v>
      </c>
      <c r="H41" s="64">
        <v>41.35</v>
      </c>
      <c r="I41" s="64">
        <v>6.12</v>
      </c>
      <c r="J41" s="64">
        <v>1.2</v>
      </c>
      <c r="K41" s="64">
        <v>340.18</v>
      </c>
      <c r="L41" s="64">
        <v>31.3</v>
      </c>
      <c r="M41" s="64">
        <v>70.53</v>
      </c>
      <c r="N41" s="64">
        <v>342.1</v>
      </c>
      <c r="O41" s="64">
        <v>0</v>
      </c>
      <c r="P41" s="64">
        <v>0.92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2009</v>
      </c>
      <c r="B42" s="64">
        <v>27.29</v>
      </c>
      <c r="C42" s="64">
        <v>8.02</v>
      </c>
      <c r="D42" s="64">
        <v>26.08</v>
      </c>
      <c r="E42" s="64">
        <v>5.44</v>
      </c>
      <c r="F42" s="64">
        <v>3.26</v>
      </c>
      <c r="G42" s="64">
        <v>124.86</v>
      </c>
      <c r="H42" s="64">
        <v>41.35</v>
      </c>
      <c r="I42" s="64">
        <v>4.72</v>
      </c>
      <c r="J42" s="64">
        <v>0.31</v>
      </c>
      <c r="K42" s="64">
        <v>353.08</v>
      </c>
      <c r="L42" s="64">
        <v>31.37</v>
      </c>
      <c r="M42" s="64">
        <v>70.09</v>
      </c>
      <c r="N42" s="64">
        <v>382.7</v>
      </c>
      <c r="O42" s="64">
        <v>0</v>
      </c>
      <c r="P42" s="64">
        <v>0.88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2010</v>
      </c>
      <c r="B43" s="64">
        <v>26.45</v>
      </c>
      <c r="C43" s="64">
        <v>8.2899999999999991</v>
      </c>
      <c r="D43" s="64">
        <v>25.54</v>
      </c>
      <c r="E43" s="64">
        <v>5.58</v>
      </c>
      <c r="F43" s="64">
        <v>3.38</v>
      </c>
      <c r="G43" s="64">
        <v>103.59</v>
      </c>
      <c r="H43" s="64">
        <v>37.19</v>
      </c>
      <c r="I43" s="64">
        <v>5.4</v>
      </c>
      <c r="J43" s="64">
        <v>0.32</v>
      </c>
      <c r="K43" s="64">
        <v>354.71</v>
      </c>
      <c r="L43" s="64">
        <v>30.52</v>
      </c>
      <c r="M43" s="64">
        <v>75.61</v>
      </c>
      <c r="N43" s="64">
        <v>415.8</v>
      </c>
      <c r="O43" s="64">
        <v>0</v>
      </c>
      <c r="P43" s="64">
        <v>0.81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2011</v>
      </c>
      <c r="B44" s="64">
        <v>24.82</v>
      </c>
      <c r="C44" s="64">
        <v>8.74</v>
      </c>
      <c r="D44" s="64">
        <v>24.47</v>
      </c>
      <c r="E44" s="64">
        <v>5.09</v>
      </c>
      <c r="F44" s="64">
        <v>3.73</v>
      </c>
      <c r="G44" s="64">
        <v>94.47</v>
      </c>
      <c r="H44" s="64">
        <v>36.86</v>
      </c>
      <c r="I44" s="64">
        <v>4.8600000000000003</v>
      </c>
      <c r="J44" s="64">
        <v>0.4</v>
      </c>
      <c r="K44" s="64">
        <v>330.45</v>
      </c>
      <c r="L44" s="64">
        <v>29.91</v>
      </c>
      <c r="M44" s="64">
        <v>78.94</v>
      </c>
      <c r="N44" s="64">
        <v>466.7</v>
      </c>
      <c r="O44" s="64">
        <v>0</v>
      </c>
      <c r="P44" s="64">
        <v>0.88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2012</v>
      </c>
      <c r="B45" s="64">
        <v>23.42</v>
      </c>
      <c r="C45" s="64">
        <v>8.7899999999999991</v>
      </c>
      <c r="D45" s="64">
        <v>23.37</v>
      </c>
      <c r="E45" s="64">
        <v>5.22</v>
      </c>
      <c r="F45" s="64">
        <v>3.21</v>
      </c>
      <c r="G45" s="64">
        <v>94.47</v>
      </c>
      <c r="H45" s="64">
        <v>36.86</v>
      </c>
      <c r="I45" s="64">
        <v>5.33</v>
      </c>
      <c r="J45" s="64">
        <v>0.24</v>
      </c>
      <c r="K45" s="64">
        <v>72.8</v>
      </c>
      <c r="L45" s="64">
        <v>30.2</v>
      </c>
      <c r="M45" s="64">
        <v>76.650000000000006</v>
      </c>
      <c r="N45" s="64">
        <v>514.9</v>
      </c>
      <c r="O45" s="64">
        <v>0</v>
      </c>
      <c r="P45" s="64">
        <v>0.77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2013</v>
      </c>
      <c r="B46" s="64">
        <v>21.99</v>
      </c>
      <c r="C46" s="64">
        <v>8.8000000000000007</v>
      </c>
      <c r="D46" s="64">
        <v>22.23</v>
      </c>
      <c r="E46" s="64">
        <v>5.0999999999999996</v>
      </c>
      <c r="F46" s="64">
        <v>3.97</v>
      </c>
      <c r="G46" s="64">
        <v>94.47</v>
      </c>
      <c r="H46" s="64">
        <v>36.86</v>
      </c>
      <c r="I46" s="64">
        <v>5.63</v>
      </c>
      <c r="J46" s="64">
        <v>1.03</v>
      </c>
      <c r="K46" s="64">
        <v>330.23</v>
      </c>
      <c r="L46" s="64">
        <v>29.97</v>
      </c>
      <c r="M46" s="64">
        <v>82.28</v>
      </c>
      <c r="N46" s="64">
        <v>527.6</v>
      </c>
      <c r="O46" s="64">
        <v>0</v>
      </c>
      <c r="P46" s="64">
        <v>0.79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2014</v>
      </c>
      <c r="B47" s="64">
        <v>20.61</v>
      </c>
      <c r="C47" s="64">
        <v>9.1199999999999992</v>
      </c>
      <c r="D47" s="64">
        <v>21.29</v>
      </c>
      <c r="E47" s="64">
        <v>4.9400000000000004</v>
      </c>
      <c r="F47" s="64">
        <v>3.95</v>
      </c>
      <c r="G47" s="64">
        <v>78.180000000000007</v>
      </c>
      <c r="H47" s="64">
        <v>32.840000000000003</v>
      </c>
      <c r="I47" s="64">
        <v>4.68</v>
      </c>
      <c r="J47" s="64">
        <v>1.17</v>
      </c>
      <c r="K47" s="64">
        <v>331.55</v>
      </c>
      <c r="L47" s="64">
        <v>30.26</v>
      </c>
      <c r="M47" s="64">
        <v>79.02</v>
      </c>
      <c r="N47" s="64">
        <v>499.1</v>
      </c>
      <c r="O47" s="64">
        <v>0</v>
      </c>
      <c r="P47" s="64">
        <v>0.8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2015</v>
      </c>
      <c r="B48" s="64">
        <v>19.420000000000002</v>
      </c>
      <c r="C48" s="64">
        <v>10.02</v>
      </c>
      <c r="D48" s="64">
        <v>20.8</v>
      </c>
      <c r="E48" s="64">
        <v>4.9400000000000004</v>
      </c>
      <c r="F48" s="64">
        <v>3.86</v>
      </c>
      <c r="G48" s="64">
        <v>71.19</v>
      </c>
      <c r="H48" s="64">
        <v>32.520000000000003</v>
      </c>
      <c r="I48" s="64">
        <v>4.46</v>
      </c>
      <c r="J48" s="64">
        <v>1.1100000000000001</v>
      </c>
      <c r="K48" s="64">
        <v>327.9</v>
      </c>
      <c r="L48" s="64">
        <v>31.6</v>
      </c>
      <c r="M48" s="64">
        <v>74.7</v>
      </c>
      <c r="N48" s="64">
        <v>635.1</v>
      </c>
      <c r="O48" s="64">
        <v>0</v>
      </c>
      <c r="P48" s="64">
        <v>0.82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5" t="s">
        <v>2016</v>
      </c>
      <c r="B49" s="64">
        <v>18.649999999999999</v>
      </c>
      <c r="C49" s="64">
        <v>10.84</v>
      </c>
      <c r="D49" s="64">
        <v>20.62</v>
      </c>
      <c r="E49" s="64">
        <v>4.7699999999999996</v>
      </c>
      <c r="F49" s="64">
        <v>4.26</v>
      </c>
      <c r="G49" s="64">
        <v>71.19</v>
      </c>
      <c r="H49" s="64">
        <v>32.520000000000003</v>
      </c>
      <c r="I49" s="64">
        <v>5.31</v>
      </c>
      <c r="J49" s="64">
        <v>1.32</v>
      </c>
      <c r="K49" s="64">
        <v>331.81</v>
      </c>
      <c r="L49" s="64">
        <v>30.05</v>
      </c>
      <c r="M49" s="64">
        <v>82.23</v>
      </c>
      <c r="N49" s="64">
        <v>418.8</v>
      </c>
      <c r="O49" s="64">
        <v>0</v>
      </c>
      <c r="P49" s="64">
        <v>0.83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5" t="s">
        <v>2017</v>
      </c>
      <c r="B50" s="64">
        <v>18.28</v>
      </c>
      <c r="C50" s="64">
        <v>11.86</v>
      </c>
      <c r="D50" s="64">
        <v>20.85</v>
      </c>
      <c r="E50" s="64">
        <v>4.9400000000000004</v>
      </c>
      <c r="F50" s="64">
        <v>3.71</v>
      </c>
      <c r="G50" s="64">
        <v>71.19</v>
      </c>
      <c r="H50" s="64">
        <v>32.520000000000003</v>
      </c>
      <c r="I50" s="64">
        <v>5.62</v>
      </c>
      <c r="J50" s="64">
        <v>1.33</v>
      </c>
      <c r="K50" s="64">
        <v>335.79</v>
      </c>
      <c r="L50" s="64">
        <v>29.96</v>
      </c>
      <c r="M50" s="64">
        <v>77.05</v>
      </c>
      <c r="N50" s="64">
        <v>288.8</v>
      </c>
      <c r="O50" s="64">
        <v>0</v>
      </c>
      <c r="P50" s="64">
        <v>0.84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2018</v>
      </c>
      <c r="B51" s="64">
        <v>18.12</v>
      </c>
      <c r="C51" s="64">
        <v>12.53</v>
      </c>
      <c r="D51" s="64">
        <v>21.07</v>
      </c>
      <c r="E51" s="64">
        <v>5.04</v>
      </c>
      <c r="F51" s="64">
        <v>3.77</v>
      </c>
      <c r="G51" s="64">
        <v>77.13</v>
      </c>
      <c r="H51" s="64">
        <v>36.57</v>
      </c>
      <c r="I51" s="64">
        <v>5.93</v>
      </c>
      <c r="J51" s="64">
        <v>0.62</v>
      </c>
      <c r="K51" s="64">
        <v>358.37</v>
      </c>
      <c r="L51" s="64">
        <v>30.86</v>
      </c>
      <c r="M51" s="64">
        <v>73.599999999999994</v>
      </c>
      <c r="N51" s="64">
        <v>565.6</v>
      </c>
      <c r="O51" s="64">
        <v>0</v>
      </c>
      <c r="P51" s="64">
        <v>0.77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2019</v>
      </c>
      <c r="B52" s="64">
        <v>17.39</v>
      </c>
      <c r="C52" s="64">
        <v>12.69</v>
      </c>
      <c r="D52" s="64">
        <v>20.58</v>
      </c>
      <c r="E52" s="64">
        <v>5.25</v>
      </c>
      <c r="F52" s="64">
        <v>3.41</v>
      </c>
      <c r="G52" s="64">
        <v>79.680000000000007</v>
      </c>
      <c r="H52" s="64">
        <v>37.11</v>
      </c>
      <c r="I52" s="64">
        <v>5.19</v>
      </c>
      <c r="J52" s="64">
        <v>0.61</v>
      </c>
      <c r="K52" s="64">
        <v>111.26</v>
      </c>
      <c r="L52" s="64">
        <v>31.14</v>
      </c>
      <c r="M52" s="64">
        <v>69.040000000000006</v>
      </c>
      <c r="N52" s="64">
        <v>562.9</v>
      </c>
      <c r="O52" s="64">
        <v>0</v>
      </c>
      <c r="P52" s="64">
        <v>0.7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2020</v>
      </c>
      <c r="B53" s="64">
        <v>15.93</v>
      </c>
      <c r="C53" s="64">
        <v>12.64</v>
      </c>
      <c r="D53" s="64">
        <v>19.38</v>
      </c>
      <c r="E53" s="64">
        <v>4.68</v>
      </c>
      <c r="F53" s="64">
        <v>4.66</v>
      </c>
      <c r="G53" s="64">
        <v>79.680000000000007</v>
      </c>
      <c r="H53" s="64">
        <v>37.11</v>
      </c>
      <c r="I53" s="64">
        <v>4.4800000000000004</v>
      </c>
      <c r="J53" s="64">
        <v>0.7</v>
      </c>
      <c r="K53" s="64">
        <v>97.79</v>
      </c>
      <c r="L53" s="64">
        <v>30.48</v>
      </c>
      <c r="M53" s="64">
        <v>69.540000000000006</v>
      </c>
      <c r="N53" s="64">
        <v>539.29999999999995</v>
      </c>
      <c r="O53" s="64">
        <v>0</v>
      </c>
      <c r="P53" s="64">
        <v>0.8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5" t="s">
        <v>2021</v>
      </c>
      <c r="B54" s="64">
        <v>14.21</v>
      </c>
      <c r="C54" s="64">
        <v>12.75</v>
      </c>
      <c r="D54" s="64">
        <v>18.059999999999999</v>
      </c>
      <c r="E54" s="64">
        <v>4.74</v>
      </c>
      <c r="F54" s="64">
        <v>3.57</v>
      </c>
      <c r="G54" s="64">
        <v>79.680000000000007</v>
      </c>
      <c r="H54" s="64">
        <v>37.11</v>
      </c>
      <c r="I54" s="64">
        <v>4.5</v>
      </c>
      <c r="J54" s="64">
        <v>0.31</v>
      </c>
      <c r="K54" s="64">
        <v>5.43</v>
      </c>
      <c r="L54" s="64">
        <v>31.75</v>
      </c>
      <c r="M54" s="64">
        <v>65.81</v>
      </c>
      <c r="N54" s="64">
        <v>496.6</v>
      </c>
      <c r="O54" s="64">
        <v>0</v>
      </c>
      <c r="P54" s="64">
        <v>0.73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2022</v>
      </c>
      <c r="B55" s="64">
        <v>12.37</v>
      </c>
      <c r="C55" s="64">
        <v>12.78</v>
      </c>
      <c r="D55" s="64">
        <v>16.600000000000001</v>
      </c>
      <c r="E55" s="64">
        <v>5.32</v>
      </c>
      <c r="F55" s="64">
        <v>3.98</v>
      </c>
      <c r="G55" s="64">
        <v>73.88</v>
      </c>
      <c r="H55" s="64">
        <v>26.76</v>
      </c>
      <c r="I55" s="64">
        <v>5.78</v>
      </c>
      <c r="J55" s="64">
        <v>0.83</v>
      </c>
      <c r="K55" s="64">
        <v>114.34</v>
      </c>
      <c r="L55" s="64">
        <v>30.2</v>
      </c>
      <c r="M55" s="64">
        <v>71.19</v>
      </c>
      <c r="N55" s="64">
        <v>255</v>
      </c>
      <c r="O55" s="64">
        <v>0</v>
      </c>
      <c r="P55" s="64">
        <v>0.7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2023</v>
      </c>
      <c r="B56" s="64">
        <v>10.49</v>
      </c>
      <c r="C56" s="64">
        <v>13.4</v>
      </c>
      <c r="D56" s="64">
        <v>15.42</v>
      </c>
      <c r="E56" s="64">
        <v>6.73</v>
      </c>
      <c r="F56" s="64">
        <v>4.88</v>
      </c>
      <c r="G56" s="64">
        <v>71.400000000000006</v>
      </c>
      <c r="H56" s="64">
        <v>26.09</v>
      </c>
      <c r="I56" s="64">
        <v>5.65</v>
      </c>
      <c r="J56" s="64">
        <v>0.47</v>
      </c>
      <c r="K56" s="64">
        <v>99.74</v>
      </c>
      <c r="L56" s="64">
        <v>30.35</v>
      </c>
      <c r="M56" s="64">
        <v>69.09</v>
      </c>
      <c r="N56" s="64">
        <v>509.1</v>
      </c>
      <c r="O56" s="64">
        <v>0</v>
      </c>
      <c r="P56" s="64">
        <v>0.73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2024</v>
      </c>
      <c r="B57" s="64">
        <v>8.74</v>
      </c>
      <c r="C57" s="64">
        <v>13.59</v>
      </c>
      <c r="D57" s="64">
        <v>14.11</v>
      </c>
      <c r="E57" s="64">
        <v>6.51</v>
      </c>
      <c r="F57" s="64">
        <v>3.88</v>
      </c>
      <c r="G57" s="64">
        <v>71.400000000000006</v>
      </c>
      <c r="H57" s="64">
        <v>26.09</v>
      </c>
      <c r="I57" s="64">
        <v>5.07</v>
      </c>
      <c r="J57" s="64">
        <v>1.1499999999999999</v>
      </c>
      <c r="K57" s="64">
        <v>115.41</v>
      </c>
      <c r="L57" s="64">
        <v>30.74</v>
      </c>
      <c r="M57" s="64">
        <v>66.44</v>
      </c>
      <c r="N57" s="64">
        <v>557.70000000000005</v>
      </c>
      <c r="O57" s="64">
        <v>0</v>
      </c>
      <c r="P57" s="64">
        <v>0.69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2025</v>
      </c>
      <c r="B58" s="64">
        <v>6.76</v>
      </c>
      <c r="C58" s="64">
        <v>13.23</v>
      </c>
      <c r="D58" s="64">
        <v>12.33</v>
      </c>
      <c r="E58" s="64">
        <v>6.87</v>
      </c>
      <c r="F58" s="64">
        <v>4.3</v>
      </c>
      <c r="G58" s="64">
        <v>71.400000000000006</v>
      </c>
      <c r="H58" s="64">
        <v>26.09</v>
      </c>
      <c r="I58" s="64">
        <v>5.81</v>
      </c>
      <c r="J58" s="64">
        <v>1.19</v>
      </c>
      <c r="K58" s="64">
        <v>113.54</v>
      </c>
      <c r="L58" s="64">
        <v>30.1</v>
      </c>
      <c r="M58" s="64">
        <v>67.67</v>
      </c>
      <c r="N58" s="64">
        <v>233.7</v>
      </c>
      <c r="O58" s="64">
        <v>0</v>
      </c>
      <c r="P58" s="64">
        <v>0.62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2026</v>
      </c>
      <c r="B59" s="64">
        <v>5.0999999999999996</v>
      </c>
      <c r="C59" s="64">
        <v>13.48</v>
      </c>
      <c r="D59" s="64">
        <v>11.14</v>
      </c>
      <c r="E59" s="64">
        <v>6.62</v>
      </c>
      <c r="F59" s="64">
        <v>4.8899999999999997</v>
      </c>
      <c r="G59" s="64">
        <v>72.319999999999993</v>
      </c>
      <c r="H59" s="64">
        <v>29.65</v>
      </c>
      <c r="I59" s="64">
        <v>5.45</v>
      </c>
      <c r="J59" s="64">
        <v>0.9</v>
      </c>
      <c r="K59" s="64">
        <v>120.74</v>
      </c>
      <c r="L59" s="64">
        <v>29.61</v>
      </c>
      <c r="M59" s="64">
        <v>69.78</v>
      </c>
      <c r="N59" s="64">
        <v>261.39999999999998</v>
      </c>
      <c r="O59" s="64">
        <v>0</v>
      </c>
      <c r="P59" s="64">
        <v>0.64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2027</v>
      </c>
      <c r="B60" s="64">
        <v>3.73</v>
      </c>
      <c r="C60" s="64">
        <v>12.86</v>
      </c>
      <c r="D60" s="64">
        <v>9.7100000000000009</v>
      </c>
      <c r="E60" s="64">
        <v>6.7</v>
      </c>
      <c r="F60" s="64">
        <v>3.8</v>
      </c>
      <c r="G60" s="64">
        <v>72.72</v>
      </c>
      <c r="H60" s="64">
        <v>29.94</v>
      </c>
      <c r="I60" s="64">
        <v>4.95</v>
      </c>
      <c r="J60" s="64">
        <v>0.55000000000000004</v>
      </c>
      <c r="K60" s="64">
        <v>113.13</v>
      </c>
      <c r="L60" s="64">
        <v>30.03</v>
      </c>
      <c r="M60" s="64">
        <v>68.55</v>
      </c>
      <c r="N60" s="64">
        <v>314.10000000000002</v>
      </c>
      <c r="O60" s="64">
        <v>0</v>
      </c>
      <c r="P60" s="64">
        <v>0.57999999999999996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2028</v>
      </c>
      <c r="B61" s="64">
        <v>2.67</v>
      </c>
      <c r="C61" s="64">
        <v>12.42</v>
      </c>
      <c r="D61" s="64">
        <v>8.64</v>
      </c>
      <c r="E61" s="64">
        <v>6.56</v>
      </c>
      <c r="F61" s="64">
        <v>4.71</v>
      </c>
      <c r="G61" s="64">
        <v>72.72</v>
      </c>
      <c r="H61" s="64">
        <v>29.94</v>
      </c>
      <c r="I61" s="64">
        <v>4.66</v>
      </c>
      <c r="J61" s="64">
        <v>0.26</v>
      </c>
      <c r="K61" s="64">
        <v>79.7</v>
      </c>
      <c r="L61" s="64">
        <v>30.2</v>
      </c>
      <c r="M61" s="64">
        <v>67.47</v>
      </c>
      <c r="N61" s="64">
        <v>205.6</v>
      </c>
      <c r="O61" s="64">
        <v>0</v>
      </c>
      <c r="P61" s="64">
        <v>0.62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2029</v>
      </c>
      <c r="B62" s="64">
        <v>1.94</v>
      </c>
      <c r="C62" s="64">
        <v>12.39</v>
      </c>
      <c r="D62" s="64">
        <v>8.0299999999999994</v>
      </c>
      <c r="E62" s="64">
        <v>6.16</v>
      </c>
      <c r="F62" s="64">
        <v>4.4400000000000004</v>
      </c>
      <c r="G62" s="64">
        <v>72.72</v>
      </c>
      <c r="H62" s="64">
        <v>29.94</v>
      </c>
      <c r="I62" s="64">
        <v>4.05</v>
      </c>
      <c r="J62" s="64">
        <v>0.24</v>
      </c>
      <c r="K62" s="64">
        <v>345.38</v>
      </c>
      <c r="L62" s="64">
        <v>30.11</v>
      </c>
      <c r="M62" s="64">
        <v>67.12</v>
      </c>
      <c r="N62" s="64">
        <v>137.69999999999999</v>
      </c>
      <c r="O62" s="64">
        <v>0</v>
      </c>
      <c r="P62" s="64">
        <v>0.72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2030</v>
      </c>
      <c r="B63" s="64">
        <v>2.15</v>
      </c>
      <c r="C63" s="64">
        <v>12.74</v>
      </c>
      <c r="D63" s="64">
        <v>8.3800000000000008</v>
      </c>
      <c r="E63" s="64">
        <v>7.18</v>
      </c>
      <c r="F63" s="64">
        <v>4.3</v>
      </c>
      <c r="G63" s="64">
        <v>70.989999999999995</v>
      </c>
      <c r="H63" s="64">
        <v>40.47</v>
      </c>
      <c r="I63" s="64">
        <v>3.86</v>
      </c>
      <c r="J63" s="64">
        <v>0.45</v>
      </c>
      <c r="K63" s="64">
        <v>8.57</v>
      </c>
      <c r="L63" s="64">
        <v>29.94</v>
      </c>
      <c r="M63" s="64">
        <v>66.55</v>
      </c>
      <c r="N63" s="64">
        <v>162.80000000000001</v>
      </c>
      <c r="O63" s="64">
        <v>0</v>
      </c>
      <c r="P63" s="64">
        <v>0.74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15" t="s">
        <v>2031</v>
      </c>
      <c r="B64" s="64">
        <v>2.54</v>
      </c>
      <c r="C64" s="64">
        <v>13.3</v>
      </c>
      <c r="D64" s="64">
        <v>8.99</v>
      </c>
      <c r="E64" s="64">
        <v>6.64</v>
      </c>
      <c r="F64" s="64">
        <v>4.6100000000000003</v>
      </c>
      <c r="G64" s="64">
        <v>70.25</v>
      </c>
      <c r="H64" s="64">
        <v>41.15</v>
      </c>
      <c r="I64" s="64">
        <v>3.04</v>
      </c>
      <c r="J64" s="64">
        <v>1.76</v>
      </c>
      <c r="K64" s="64">
        <v>337.74</v>
      </c>
      <c r="L64" s="64">
        <v>30.96</v>
      </c>
      <c r="M64" s="64">
        <v>63.48</v>
      </c>
      <c r="N64" s="64">
        <v>229.5</v>
      </c>
      <c r="O64" s="64">
        <v>0</v>
      </c>
      <c r="P64" s="64">
        <v>0.75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2032</v>
      </c>
      <c r="B65" s="64">
        <v>2.88</v>
      </c>
      <c r="C65" s="64">
        <v>14.36</v>
      </c>
      <c r="D65" s="64">
        <v>9.81</v>
      </c>
      <c r="E65" s="64">
        <v>6.79</v>
      </c>
      <c r="F65" s="64">
        <v>5.23</v>
      </c>
      <c r="G65" s="64">
        <v>70.25</v>
      </c>
      <c r="H65" s="64">
        <v>41.15</v>
      </c>
      <c r="I65" s="64">
        <v>3.25</v>
      </c>
      <c r="J65" s="64">
        <v>1.72</v>
      </c>
      <c r="K65" s="64">
        <v>336.4</v>
      </c>
      <c r="L65" s="64">
        <v>31.76</v>
      </c>
      <c r="M65" s="64">
        <v>58.16</v>
      </c>
      <c r="N65" s="64">
        <v>227.9</v>
      </c>
      <c r="O65" s="64">
        <v>0</v>
      </c>
      <c r="P65" s="64">
        <v>0.68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2033</v>
      </c>
      <c r="B66" s="64">
        <v>2.91</v>
      </c>
      <c r="C66" s="64">
        <v>15.11</v>
      </c>
      <c r="D66" s="64">
        <v>10.23</v>
      </c>
      <c r="E66" s="64">
        <v>7.21</v>
      </c>
      <c r="F66" s="64">
        <v>5</v>
      </c>
      <c r="G66" s="64">
        <v>70.25</v>
      </c>
      <c r="H66" s="64">
        <v>41.15</v>
      </c>
      <c r="I66" s="64">
        <v>4.2699999999999996</v>
      </c>
      <c r="J66" s="64">
        <v>1.2</v>
      </c>
      <c r="K66" s="64">
        <v>335.86</v>
      </c>
      <c r="L66" s="64">
        <v>31.94</v>
      </c>
      <c r="M66" s="64">
        <v>57.27</v>
      </c>
      <c r="N66" s="64">
        <v>209.4</v>
      </c>
      <c r="O66" s="64">
        <v>0</v>
      </c>
      <c r="P66" s="64">
        <v>0.68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2034</v>
      </c>
      <c r="B67" s="64">
        <v>2.87</v>
      </c>
      <c r="C67" s="64">
        <v>15.54</v>
      </c>
      <c r="D67" s="64">
        <v>10.42</v>
      </c>
      <c r="E67" s="64">
        <v>6.95</v>
      </c>
      <c r="F67" s="64">
        <v>4.95</v>
      </c>
      <c r="G67" s="64">
        <v>78.19</v>
      </c>
      <c r="H67" s="64">
        <v>43.23</v>
      </c>
      <c r="I67" s="64">
        <v>4.3</v>
      </c>
      <c r="J67" s="64">
        <v>1.88</v>
      </c>
      <c r="K67" s="64">
        <v>337.27</v>
      </c>
      <c r="L67" s="64">
        <v>31.85</v>
      </c>
      <c r="M67" s="64">
        <v>58.3</v>
      </c>
      <c r="N67" s="64">
        <v>192</v>
      </c>
      <c r="O67" s="64">
        <v>0</v>
      </c>
      <c r="P67" s="64">
        <v>0.68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2035</v>
      </c>
      <c r="B68" s="64">
        <v>2.66</v>
      </c>
      <c r="C68" s="64">
        <v>15.89</v>
      </c>
      <c r="D68" s="64">
        <v>10.43</v>
      </c>
      <c r="E68" s="64">
        <v>6.99</v>
      </c>
      <c r="F68" s="64">
        <v>5.0199999999999996</v>
      </c>
      <c r="G68" s="64">
        <v>81.59</v>
      </c>
      <c r="H68" s="64">
        <v>43.5</v>
      </c>
      <c r="I68" s="64">
        <v>3.95</v>
      </c>
      <c r="J68" s="64">
        <v>1.84</v>
      </c>
      <c r="K68" s="64">
        <v>335.28</v>
      </c>
      <c r="L68" s="64">
        <v>31.55</v>
      </c>
      <c r="M68" s="64">
        <v>59.53</v>
      </c>
      <c r="N68" s="64">
        <v>178.1</v>
      </c>
      <c r="O68" s="64">
        <v>0</v>
      </c>
      <c r="P68" s="64">
        <v>0.68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5" t="s">
        <v>2036</v>
      </c>
      <c r="B69" s="64">
        <v>2.29</v>
      </c>
      <c r="C69" s="64">
        <v>16.239999999999998</v>
      </c>
      <c r="D69" s="64">
        <v>10.32</v>
      </c>
      <c r="E69" s="64">
        <v>7.31</v>
      </c>
      <c r="F69" s="64">
        <v>5.01</v>
      </c>
      <c r="G69" s="64">
        <v>81.59</v>
      </c>
      <c r="H69" s="64">
        <v>43.5</v>
      </c>
      <c r="I69" s="64">
        <v>3.86</v>
      </c>
      <c r="J69" s="64">
        <v>1.61</v>
      </c>
      <c r="K69" s="64">
        <v>339.7</v>
      </c>
      <c r="L69" s="64">
        <v>31.17</v>
      </c>
      <c r="M69" s="64">
        <v>58.8</v>
      </c>
      <c r="N69" s="64">
        <v>162.6</v>
      </c>
      <c r="O69" s="64">
        <v>0</v>
      </c>
      <c r="P69" s="64">
        <v>0.68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5" t="s">
        <v>2037</v>
      </c>
      <c r="B70" s="64">
        <v>1.91</v>
      </c>
      <c r="C70" s="64">
        <v>16.64</v>
      </c>
      <c r="D70" s="64">
        <v>10.220000000000001</v>
      </c>
      <c r="E70" s="64">
        <v>6.97</v>
      </c>
      <c r="F70" s="64">
        <v>5.6</v>
      </c>
      <c r="G70" s="64">
        <v>81.59</v>
      </c>
      <c r="H70" s="64">
        <v>43.5</v>
      </c>
      <c r="I70" s="64">
        <v>4.08</v>
      </c>
      <c r="J70" s="64">
        <v>0.76</v>
      </c>
      <c r="K70" s="64">
        <v>339.47</v>
      </c>
      <c r="L70" s="64">
        <v>30.83</v>
      </c>
      <c r="M70" s="64">
        <v>59.81</v>
      </c>
      <c r="N70" s="64">
        <v>139.9</v>
      </c>
      <c r="O70" s="64">
        <v>0</v>
      </c>
      <c r="P70" s="64">
        <v>0.68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2038</v>
      </c>
      <c r="B71" s="64">
        <v>1.57</v>
      </c>
      <c r="C71" s="64">
        <v>15.77</v>
      </c>
      <c r="D71" s="64">
        <v>9.5</v>
      </c>
      <c r="E71" s="64">
        <v>7.02</v>
      </c>
      <c r="F71" s="64">
        <v>5.5</v>
      </c>
      <c r="G71" s="64">
        <v>85.99</v>
      </c>
      <c r="H71" s="64">
        <v>44.33</v>
      </c>
      <c r="I71" s="64">
        <v>4.16</v>
      </c>
      <c r="J71" s="64">
        <v>1.65</v>
      </c>
      <c r="K71" s="64">
        <v>336.42</v>
      </c>
      <c r="L71" s="64">
        <v>30.35</v>
      </c>
      <c r="M71" s="64">
        <v>63.64</v>
      </c>
      <c r="N71" s="64">
        <v>128.5</v>
      </c>
      <c r="O71" s="64">
        <v>0</v>
      </c>
      <c r="P71" s="64">
        <v>0.69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2039</v>
      </c>
      <c r="B72" s="64">
        <v>1.19</v>
      </c>
      <c r="C72" s="64">
        <v>15.9</v>
      </c>
      <c r="D72" s="64">
        <v>9.27</v>
      </c>
      <c r="E72" s="64">
        <v>6.74</v>
      </c>
      <c r="F72" s="64">
        <v>5.88</v>
      </c>
      <c r="G72" s="64">
        <v>87.88</v>
      </c>
      <c r="H72" s="64">
        <v>44.4</v>
      </c>
      <c r="I72" s="64">
        <v>3.63</v>
      </c>
      <c r="J72" s="64">
        <v>1.91</v>
      </c>
      <c r="K72" s="64">
        <v>338.16</v>
      </c>
      <c r="L72" s="64">
        <v>29.75</v>
      </c>
      <c r="M72" s="64">
        <v>63</v>
      </c>
      <c r="N72" s="64">
        <v>110.9</v>
      </c>
      <c r="O72" s="64">
        <v>0</v>
      </c>
      <c r="P72" s="64">
        <v>0.69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2040</v>
      </c>
      <c r="B73" s="64">
        <v>0.7</v>
      </c>
      <c r="C73" s="64">
        <v>15.21</v>
      </c>
      <c r="D73" s="64">
        <v>8.51</v>
      </c>
      <c r="E73" s="64">
        <v>5.88</v>
      </c>
      <c r="F73" s="64">
        <v>5.76</v>
      </c>
      <c r="G73" s="64">
        <v>87.88</v>
      </c>
      <c r="H73" s="64">
        <v>44.4</v>
      </c>
      <c r="I73" s="64">
        <v>4.09</v>
      </c>
      <c r="J73" s="64">
        <v>0.21</v>
      </c>
      <c r="K73" s="64">
        <v>12.58</v>
      </c>
      <c r="L73" s="64">
        <v>29.82</v>
      </c>
      <c r="M73" s="64">
        <v>59</v>
      </c>
      <c r="N73" s="64">
        <v>92.9</v>
      </c>
      <c r="O73" s="64">
        <v>0</v>
      </c>
      <c r="P73" s="64">
        <v>0.68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5" t="s">
        <v>2041</v>
      </c>
      <c r="B74" s="64">
        <v>0.51</v>
      </c>
      <c r="C74" s="64">
        <v>15.08</v>
      </c>
      <c r="D74" s="64">
        <v>8.2899999999999991</v>
      </c>
      <c r="E74" s="64">
        <v>5.93</v>
      </c>
      <c r="F74" s="64">
        <v>6.16</v>
      </c>
      <c r="G74" s="64">
        <v>87.88</v>
      </c>
      <c r="H74" s="64">
        <v>44.4</v>
      </c>
      <c r="I74" s="64">
        <v>3.95</v>
      </c>
      <c r="J74" s="64">
        <v>0.71</v>
      </c>
      <c r="K74" s="64">
        <v>347.86</v>
      </c>
      <c r="L74" s="64">
        <v>29.93</v>
      </c>
      <c r="M74" s="64">
        <v>59.32</v>
      </c>
      <c r="N74" s="64">
        <v>77.099999999999994</v>
      </c>
      <c r="O74" s="64">
        <v>0</v>
      </c>
      <c r="P74" s="64">
        <v>0.75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2042</v>
      </c>
      <c r="B75" s="64">
        <v>0.56999999999999995</v>
      </c>
      <c r="C75" s="64">
        <v>15.64</v>
      </c>
      <c r="D75" s="64">
        <v>8.6300000000000008</v>
      </c>
      <c r="E75" s="64">
        <v>5.89</v>
      </c>
      <c r="F75" s="64">
        <v>4.26</v>
      </c>
      <c r="G75" s="64">
        <v>93.74</v>
      </c>
      <c r="H75" s="64">
        <v>46.55</v>
      </c>
      <c r="I75" s="64">
        <v>3</v>
      </c>
      <c r="J75" s="64">
        <v>0.14000000000000001</v>
      </c>
      <c r="K75" s="64">
        <v>341.8</v>
      </c>
      <c r="L75" s="64">
        <v>29.41</v>
      </c>
      <c r="M75" s="64">
        <v>60.29</v>
      </c>
      <c r="N75" s="64">
        <v>59.7</v>
      </c>
      <c r="O75" s="64">
        <v>0</v>
      </c>
      <c r="P75" s="64">
        <v>0.68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2043</v>
      </c>
      <c r="B76" s="64">
        <v>0.56000000000000005</v>
      </c>
      <c r="C76" s="64">
        <v>14.76</v>
      </c>
      <c r="D76" s="64">
        <v>8.16</v>
      </c>
      <c r="E76" s="64">
        <v>6.01</v>
      </c>
      <c r="F76" s="64">
        <v>4.6900000000000004</v>
      </c>
      <c r="G76" s="64">
        <v>96.25</v>
      </c>
      <c r="H76" s="64">
        <v>46.69</v>
      </c>
      <c r="I76" s="64">
        <v>3.21</v>
      </c>
      <c r="J76" s="64">
        <v>0.11</v>
      </c>
      <c r="K76" s="64">
        <v>129.97999999999999</v>
      </c>
      <c r="L76" s="64">
        <v>28.88</v>
      </c>
      <c r="M76" s="64">
        <v>62.6</v>
      </c>
      <c r="N76" s="64">
        <v>38.299999999999997</v>
      </c>
      <c r="O76" s="64">
        <v>0</v>
      </c>
      <c r="P76" s="64">
        <v>0.66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2044</v>
      </c>
      <c r="B77" s="64">
        <v>0.57999999999999996</v>
      </c>
      <c r="C77" s="64">
        <v>15.07</v>
      </c>
      <c r="D77" s="64">
        <v>8.34</v>
      </c>
      <c r="E77" s="64">
        <v>5.72</v>
      </c>
      <c r="F77" s="64">
        <v>5.7</v>
      </c>
      <c r="G77" s="64">
        <v>96.25</v>
      </c>
      <c r="H77" s="64">
        <v>46.69</v>
      </c>
      <c r="I77" s="64">
        <v>2.63</v>
      </c>
      <c r="J77" s="64">
        <v>0.06</v>
      </c>
      <c r="K77" s="64">
        <v>351.75</v>
      </c>
      <c r="L77" s="64">
        <v>28.35</v>
      </c>
      <c r="M77" s="64">
        <v>66.41</v>
      </c>
      <c r="N77" s="64">
        <v>33.799999999999997</v>
      </c>
      <c r="O77" s="64">
        <v>0</v>
      </c>
      <c r="P77" s="64">
        <v>0.68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2045</v>
      </c>
      <c r="B78" s="64">
        <v>0.66</v>
      </c>
      <c r="C78" s="64">
        <v>14.92</v>
      </c>
      <c r="D78" s="64">
        <v>8.32</v>
      </c>
      <c r="E78" s="64">
        <v>5.5</v>
      </c>
      <c r="F78" s="64">
        <v>4.68</v>
      </c>
      <c r="G78" s="64">
        <v>96.25</v>
      </c>
      <c r="H78" s="64">
        <v>46.69</v>
      </c>
      <c r="I78" s="64">
        <v>2.25</v>
      </c>
      <c r="J78" s="64">
        <v>0.31</v>
      </c>
      <c r="K78" s="64">
        <v>328.96</v>
      </c>
      <c r="L78" s="64">
        <v>27.43</v>
      </c>
      <c r="M78" s="64">
        <v>72.92</v>
      </c>
      <c r="N78" s="64">
        <v>30.5</v>
      </c>
      <c r="O78" s="64">
        <v>0</v>
      </c>
      <c r="P78" s="64">
        <v>0.62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2046</v>
      </c>
      <c r="B79" s="64">
        <v>0.69</v>
      </c>
      <c r="C79" s="64">
        <v>14.18</v>
      </c>
      <c r="D79" s="64">
        <v>7.96</v>
      </c>
      <c r="E79" s="64">
        <v>5.83</v>
      </c>
      <c r="F79" s="64">
        <v>4.5199999999999996</v>
      </c>
      <c r="G79" s="64">
        <v>105.74</v>
      </c>
      <c r="H79" s="64">
        <v>58.08</v>
      </c>
      <c r="I79" s="64">
        <v>2.44</v>
      </c>
      <c r="J79" s="64">
        <v>0.47</v>
      </c>
      <c r="K79" s="64">
        <v>288.2</v>
      </c>
      <c r="L79" s="64">
        <v>27.03</v>
      </c>
      <c r="M79" s="64">
        <v>75.88</v>
      </c>
      <c r="N79" s="64">
        <v>27.1</v>
      </c>
      <c r="O79" s="64">
        <v>0</v>
      </c>
      <c r="P79" s="64">
        <v>0.85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2047</v>
      </c>
      <c r="B80" s="64">
        <v>0.84</v>
      </c>
      <c r="C80" s="64">
        <v>13.97</v>
      </c>
      <c r="D80" s="64">
        <v>7.97</v>
      </c>
      <c r="E80" s="64">
        <v>5.23</v>
      </c>
      <c r="F80" s="64">
        <v>4.92</v>
      </c>
      <c r="G80" s="64">
        <v>109.81</v>
      </c>
      <c r="H80" s="64">
        <v>58.8</v>
      </c>
      <c r="I80" s="64">
        <v>2.4</v>
      </c>
      <c r="J80" s="64">
        <v>0.09</v>
      </c>
      <c r="K80" s="64">
        <v>19.559999999999999</v>
      </c>
      <c r="L80" s="64">
        <v>27.2</v>
      </c>
      <c r="M80" s="64">
        <v>74.64</v>
      </c>
      <c r="N80" s="64">
        <v>26.3</v>
      </c>
      <c r="O80" s="64">
        <v>0</v>
      </c>
      <c r="P80" s="64">
        <v>0.66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2048</v>
      </c>
      <c r="B81" s="64">
        <v>0.88</v>
      </c>
      <c r="C81" s="64">
        <v>13.51</v>
      </c>
      <c r="D81" s="64">
        <v>7.77</v>
      </c>
      <c r="E81" s="64">
        <v>5.19</v>
      </c>
      <c r="F81" s="64">
        <v>5.05</v>
      </c>
      <c r="G81" s="64">
        <v>109.81</v>
      </c>
      <c r="H81" s="64">
        <v>58.8</v>
      </c>
      <c r="I81" s="64">
        <v>2.44</v>
      </c>
      <c r="J81" s="64">
        <v>0.57999999999999996</v>
      </c>
      <c r="K81" s="64">
        <v>114.73</v>
      </c>
      <c r="L81" s="64">
        <v>27.45</v>
      </c>
      <c r="M81" s="64">
        <v>76.010000000000005</v>
      </c>
      <c r="N81" s="64">
        <v>26.1</v>
      </c>
      <c r="O81" s="64">
        <v>0</v>
      </c>
      <c r="P81" s="64">
        <v>0.69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2049</v>
      </c>
      <c r="B82" s="64">
        <v>0.91</v>
      </c>
      <c r="C82" s="64">
        <v>12.78</v>
      </c>
      <c r="D82" s="64">
        <v>7.41</v>
      </c>
      <c r="E82" s="64">
        <v>5.09</v>
      </c>
      <c r="F82" s="64">
        <v>4.87</v>
      </c>
      <c r="G82" s="64">
        <v>109.81</v>
      </c>
      <c r="H82" s="64">
        <v>58.8</v>
      </c>
      <c r="I82" s="64">
        <v>2.1</v>
      </c>
      <c r="J82" s="64">
        <v>0.98</v>
      </c>
      <c r="K82" s="64">
        <v>118.81</v>
      </c>
      <c r="L82" s="64">
        <v>27.38</v>
      </c>
      <c r="M82" s="64">
        <v>77.650000000000006</v>
      </c>
      <c r="N82" s="64">
        <v>26.1</v>
      </c>
      <c r="O82" s="64">
        <v>0</v>
      </c>
      <c r="P82" s="64">
        <v>0.64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2050</v>
      </c>
      <c r="B83" s="64">
        <v>0.82</v>
      </c>
      <c r="C83" s="64">
        <v>11.95</v>
      </c>
      <c r="D83" s="64">
        <v>6.91</v>
      </c>
      <c r="E83" s="64">
        <v>5.56</v>
      </c>
      <c r="F83" s="64">
        <v>4.75</v>
      </c>
      <c r="G83" s="64">
        <v>109.82</v>
      </c>
      <c r="H83" s="64">
        <v>51.44</v>
      </c>
      <c r="I83" s="64">
        <v>2.14</v>
      </c>
      <c r="J83" s="64">
        <v>1.03</v>
      </c>
      <c r="K83" s="64">
        <v>119.46</v>
      </c>
      <c r="L83" s="64">
        <v>27.27</v>
      </c>
      <c r="M83" s="64">
        <v>77.959999999999994</v>
      </c>
      <c r="N83" s="64">
        <v>26.1</v>
      </c>
      <c r="O83" s="64">
        <v>0</v>
      </c>
      <c r="P83" s="64">
        <v>0.63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2051</v>
      </c>
      <c r="B84" s="64">
        <v>0.74</v>
      </c>
      <c r="C84" s="64">
        <v>11.07</v>
      </c>
      <c r="D84" s="64">
        <v>6.38</v>
      </c>
      <c r="E84" s="64">
        <v>5.26</v>
      </c>
      <c r="F84" s="64">
        <v>4.82</v>
      </c>
      <c r="G84" s="64">
        <v>109.82</v>
      </c>
      <c r="H84" s="64">
        <v>50.68</v>
      </c>
      <c r="I84" s="64">
        <v>2.4</v>
      </c>
      <c r="J84" s="64">
        <v>0.92</v>
      </c>
      <c r="K84" s="64">
        <v>113.45</v>
      </c>
      <c r="L84" s="64">
        <v>27.15</v>
      </c>
      <c r="M84" s="64">
        <v>78.77</v>
      </c>
      <c r="N84" s="64">
        <v>26.1</v>
      </c>
      <c r="O84" s="64">
        <v>0</v>
      </c>
      <c r="P84" s="64">
        <v>0.62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2052</v>
      </c>
      <c r="B85" s="64">
        <v>0.63</v>
      </c>
      <c r="C85" s="64">
        <v>10.16</v>
      </c>
      <c r="D85" s="64">
        <v>5.81</v>
      </c>
      <c r="E85" s="64">
        <v>5.38</v>
      </c>
      <c r="F85" s="64">
        <v>6.98</v>
      </c>
      <c r="G85" s="64">
        <v>109.82</v>
      </c>
      <c r="H85" s="64">
        <v>50.68</v>
      </c>
      <c r="I85" s="64">
        <v>2.29</v>
      </c>
      <c r="J85" s="64">
        <v>0.76</v>
      </c>
      <c r="K85" s="64">
        <v>108.74</v>
      </c>
      <c r="L85" s="64">
        <v>27.03</v>
      </c>
      <c r="M85" s="64">
        <v>79.59</v>
      </c>
      <c r="N85" s="64">
        <v>26.2</v>
      </c>
      <c r="O85" s="64">
        <v>0</v>
      </c>
      <c r="P85" s="64">
        <v>0.6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2053</v>
      </c>
      <c r="B86" s="64">
        <v>0.53</v>
      </c>
      <c r="C86" s="64">
        <v>9.7100000000000009</v>
      </c>
      <c r="D86" s="64">
        <v>5.5</v>
      </c>
      <c r="E86" s="64">
        <v>5.42</v>
      </c>
      <c r="F86" s="64">
        <v>4.96</v>
      </c>
      <c r="G86" s="64">
        <v>109.82</v>
      </c>
      <c r="H86" s="64">
        <v>50.68</v>
      </c>
      <c r="I86" s="64">
        <v>2.2000000000000002</v>
      </c>
      <c r="J86" s="64">
        <v>0.69</v>
      </c>
      <c r="K86" s="64">
        <v>117.86</v>
      </c>
      <c r="L86" s="64">
        <v>26.91</v>
      </c>
      <c r="M86" s="64">
        <v>79.7</v>
      </c>
      <c r="N86" s="64">
        <v>26.1</v>
      </c>
      <c r="O86" s="64">
        <v>0</v>
      </c>
      <c r="P86" s="64">
        <v>0.64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2054</v>
      </c>
      <c r="B87" s="64">
        <v>0.47</v>
      </c>
      <c r="C87" s="64">
        <v>10.18</v>
      </c>
      <c r="D87" s="64">
        <v>5.7</v>
      </c>
      <c r="E87" s="64">
        <v>5.34</v>
      </c>
      <c r="F87" s="64">
        <v>4.91</v>
      </c>
      <c r="G87" s="64">
        <v>101.89</v>
      </c>
      <c r="H87" s="64">
        <v>44.87</v>
      </c>
      <c r="I87" s="64">
        <v>2.0299999999999998</v>
      </c>
      <c r="J87" s="64">
        <v>0.75</v>
      </c>
      <c r="K87" s="64">
        <v>114.73</v>
      </c>
      <c r="L87" s="64">
        <v>26.89</v>
      </c>
      <c r="M87" s="64">
        <v>79.7</v>
      </c>
      <c r="N87" s="64">
        <v>26</v>
      </c>
      <c r="O87" s="64">
        <v>0</v>
      </c>
      <c r="P87" s="64">
        <v>0.62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2055</v>
      </c>
      <c r="B88" s="64">
        <v>0.28999999999999998</v>
      </c>
      <c r="C88" s="64">
        <v>9.59</v>
      </c>
      <c r="D88" s="64">
        <v>5.24</v>
      </c>
      <c r="E88" s="64">
        <v>5.48</v>
      </c>
      <c r="F88" s="64">
        <v>5.13</v>
      </c>
      <c r="G88" s="64">
        <v>98.49</v>
      </c>
      <c r="H88" s="64">
        <v>44.49</v>
      </c>
      <c r="I88" s="64">
        <v>2.4700000000000002</v>
      </c>
      <c r="J88" s="64">
        <v>0.34</v>
      </c>
      <c r="K88" s="64">
        <v>90.04</v>
      </c>
      <c r="L88" s="64">
        <v>26.71</v>
      </c>
      <c r="M88" s="64">
        <v>80.680000000000007</v>
      </c>
      <c r="N88" s="64">
        <v>26.1</v>
      </c>
      <c r="O88" s="64">
        <v>0</v>
      </c>
      <c r="P88" s="64">
        <v>0.72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2056</v>
      </c>
      <c r="B89" s="64">
        <v>0.2</v>
      </c>
      <c r="C89" s="64">
        <v>9.6300000000000008</v>
      </c>
      <c r="D89" s="64">
        <v>5.2</v>
      </c>
      <c r="E89" s="64">
        <v>5.0599999999999996</v>
      </c>
      <c r="F89" s="64">
        <v>5</v>
      </c>
      <c r="G89" s="64">
        <v>98.49</v>
      </c>
      <c r="H89" s="64">
        <v>44.49</v>
      </c>
      <c r="I89" s="64">
        <v>2.29</v>
      </c>
      <c r="J89" s="64">
        <v>0.94</v>
      </c>
      <c r="K89" s="64">
        <v>120.74</v>
      </c>
      <c r="L89" s="64">
        <v>26.66</v>
      </c>
      <c r="M89" s="64">
        <v>81.08</v>
      </c>
      <c r="N89" s="64">
        <v>25.9</v>
      </c>
      <c r="O89" s="64">
        <v>0</v>
      </c>
      <c r="P89" s="64">
        <v>0.64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2057</v>
      </c>
      <c r="B90" s="64">
        <v>0.02</v>
      </c>
      <c r="C90" s="64">
        <v>8.7899999999999991</v>
      </c>
      <c r="D90" s="64">
        <v>4.6100000000000003</v>
      </c>
      <c r="E90" s="64">
        <v>5</v>
      </c>
      <c r="F90" s="64">
        <v>5.13</v>
      </c>
      <c r="G90" s="64">
        <v>98.49</v>
      </c>
      <c r="H90" s="64">
        <v>44.49</v>
      </c>
      <c r="I90" s="64">
        <v>3.27</v>
      </c>
      <c r="J90" s="64">
        <v>1.27</v>
      </c>
      <c r="K90" s="64">
        <v>115.9</v>
      </c>
      <c r="L90" s="64">
        <v>26.68</v>
      </c>
      <c r="M90" s="64">
        <v>81.13</v>
      </c>
      <c r="N90" s="64">
        <v>25.7</v>
      </c>
      <c r="O90" s="64">
        <v>0</v>
      </c>
      <c r="P90" s="64">
        <v>0.66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2058</v>
      </c>
      <c r="B91" s="64">
        <v>-7.0000000000000007E-2</v>
      </c>
      <c r="C91" s="64">
        <v>9.35</v>
      </c>
      <c r="D91" s="64">
        <v>4.83</v>
      </c>
      <c r="E91" s="64">
        <v>5.01</v>
      </c>
      <c r="F91" s="64">
        <v>4.6100000000000003</v>
      </c>
      <c r="G91" s="64">
        <v>92.53</v>
      </c>
      <c r="H91" s="64">
        <v>51.74</v>
      </c>
      <c r="I91" s="64">
        <v>2.57</v>
      </c>
      <c r="J91" s="64">
        <v>1.44</v>
      </c>
      <c r="K91" s="64">
        <v>109.66</v>
      </c>
      <c r="L91" s="64">
        <v>26.75</v>
      </c>
      <c r="M91" s="64">
        <v>81.53</v>
      </c>
      <c r="N91" s="64">
        <v>25.9</v>
      </c>
      <c r="O91" s="64">
        <v>0</v>
      </c>
      <c r="P91" s="64">
        <v>0.68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2059</v>
      </c>
      <c r="B92" s="64">
        <v>-0.08</v>
      </c>
      <c r="C92" s="64">
        <v>9.11</v>
      </c>
      <c r="D92" s="64">
        <v>4.7</v>
      </c>
      <c r="E92" s="64">
        <v>5.44</v>
      </c>
      <c r="F92" s="64">
        <v>4.49</v>
      </c>
      <c r="G92" s="64">
        <v>89.98</v>
      </c>
      <c r="H92" s="64">
        <v>52.21</v>
      </c>
      <c r="I92" s="64">
        <v>3.72</v>
      </c>
      <c r="J92" s="64">
        <v>1.42</v>
      </c>
      <c r="K92" s="64">
        <v>111.21</v>
      </c>
      <c r="L92" s="64">
        <v>26.54</v>
      </c>
      <c r="M92" s="64">
        <v>82.43</v>
      </c>
      <c r="N92" s="64">
        <v>26.1</v>
      </c>
      <c r="O92" s="64">
        <v>0</v>
      </c>
      <c r="P92" s="64">
        <v>0.66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2060</v>
      </c>
      <c r="B93" s="64">
        <v>-0.08</v>
      </c>
      <c r="C93" s="64">
        <v>9.64</v>
      </c>
      <c r="D93" s="64">
        <v>4.97</v>
      </c>
      <c r="E93" s="64">
        <v>5.21</v>
      </c>
      <c r="F93" s="64">
        <v>4.29</v>
      </c>
      <c r="G93" s="64">
        <v>89.98</v>
      </c>
      <c r="H93" s="64">
        <v>52.21</v>
      </c>
      <c r="I93" s="64">
        <v>4.63</v>
      </c>
      <c r="J93" s="64">
        <v>1.17</v>
      </c>
      <c r="K93" s="64">
        <v>107.34</v>
      </c>
      <c r="L93" s="64">
        <v>26.46</v>
      </c>
      <c r="M93" s="64">
        <v>82.77</v>
      </c>
      <c r="N93" s="64">
        <v>26</v>
      </c>
      <c r="O93" s="64">
        <v>0</v>
      </c>
      <c r="P93" s="64">
        <v>0.65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2061</v>
      </c>
      <c r="B94" s="64">
        <v>-0.1</v>
      </c>
      <c r="C94" s="64">
        <v>9.49</v>
      </c>
      <c r="D94" s="64">
        <v>4.88</v>
      </c>
      <c r="E94" s="64">
        <v>5.42</v>
      </c>
      <c r="F94" s="64">
        <v>4.4800000000000004</v>
      </c>
      <c r="G94" s="64">
        <v>89.98</v>
      </c>
      <c r="H94" s="64">
        <v>52.21</v>
      </c>
      <c r="I94" s="64">
        <v>5.36</v>
      </c>
      <c r="J94" s="64">
        <v>0.52</v>
      </c>
      <c r="K94" s="64">
        <v>136.81</v>
      </c>
      <c r="L94" s="64">
        <v>26.39</v>
      </c>
      <c r="M94" s="64">
        <v>82.67</v>
      </c>
      <c r="N94" s="64">
        <v>26.1</v>
      </c>
      <c r="O94" s="64">
        <v>0</v>
      </c>
      <c r="P94" s="64">
        <v>0.64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2062</v>
      </c>
      <c r="B95" s="64">
        <v>-0.05</v>
      </c>
      <c r="C95" s="64">
        <v>9.5299999999999994</v>
      </c>
      <c r="D95" s="64">
        <v>4.9400000000000004</v>
      </c>
      <c r="E95" s="64">
        <v>5.32</v>
      </c>
      <c r="F95" s="64">
        <v>3.81</v>
      </c>
      <c r="G95" s="64">
        <v>87.95</v>
      </c>
      <c r="H95" s="64">
        <v>40.24</v>
      </c>
      <c r="I95" s="64">
        <v>4.99</v>
      </c>
      <c r="J95" s="64">
        <v>0.57999999999999996</v>
      </c>
      <c r="K95" s="64">
        <v>156.65</v>
      </c>
      <c r="L95" s="64">
        <v>26.07</v>
      </c>
      <c r="M95" s="64">
        <v>85.87</v>
      </c>
      <c r="N95" s="64">
        <v>26.3</v>
      </c>
      <c r="O95" s="64">
        <v>0</v>
      </c>
      <c r="P95" s="64">
        <v>0.59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5" t="s">
        <v>2063</v>
      </c>
      <c r="B96" s="64">
        <v>0.02</v>
      </c>
      <c r="C96" s="64">
        <v>9.01</v>
      </c>
      <c r="D96" s="64">
        <v>4.7300000000000004</v>
      </c>
      <c r="E96" s="64">
        <v>5</v>
      </c>
      <c r="F96" s="64">
        <v>4.18</v>
      </c>
      <c r="G96" s="64">
        <v>87.08</v>
      </c>
      <c r="H96" s="64">
        <v>39.479999999999997</v>
      </c>
      <c r="I96" s="64">
        <v>4.49</v>
      </c>
      <c r="J96" s="64">
        <v>0.86</v>
      </c>
      <c r="K96" s="64">
        <v>160.83000000000001</v>
      </c>
      <c r="L96" s="64">
        <v>25.92</v>
      </c>
      <c r="M96" s="64">
        <v>89.14</v>
      </c>
      <c r="N96" s="64">
        <v>26.1</v>
      </c>
      <c r="O96" s="64">
        <v>0</v>
      </c>
      <c r="P96" s="64">
        <v>0.56000000000000005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2064</v>
      </c>
      <c r="B97" s="64">
        <v>0.15</v>
      </c>
      <c r="C97" s="64">
        <v>8.5399999999999991</v>
      </c>
      <c r="D97" s="64">
        <v>4.58</v>
      </c>
      <c r="E97" s="64">
        <v>5.04</v>
      </c>
      <c r="F97" s="64">
        <v>4.12</v>
      </c>
      <c r="G97" s="64">
        <v>87.08</v>
      </c>
      <c r="H97" s="64">
        <v>39.479999999999997</v>
      </c>
      <c r="I97" s="64">
        <v>3.39</v>
      </c>
      <c r="J97" s="64">
        <v>1.94</v>
      </c>
      <c r="K97" s="64">
        <v>138.4</v>
      </c>
      <c r="L97" s="64">
        <v>25.57</v>
      </c>
      <c r="M97" s="64">
        <v>93.68</v>
      </c>
      <c r="N97" s="64">
        <v>26.8</v>
      </c>
      <c r="O97" s="64">
        <v>0</v>
      </c>
      <c r="P97" s="64">
        <v>0.61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2065</v>
      </c>
      <c r="B98" s="64">
        <v>0.28999999999999998</v>
      </c>
      <c r="C98" s="64">
        <v>8.07</v>
      </c>
      <c r="D98" s="64">
        <v>4.45</v>
      </c>
      <c r="E98" s="64">
        <v>4.6100000000000003</v>
      </c>
      <c r="F98" s="64">
        <v>4.3099999999999996</v>
      </c>
      <c r="G98" s="64">
        <v>87.08</v>
      </c>
      <c r="H98" s="64">
        <v>39.479999999999997</v>
      </c>
      <c r="I98" s="64">
        <v>3.38</v>
      </c>
      <c r="J98" s="64">
        <v>2.2000000000000002</v>
      </c>
      <c r="K98" s="64">
        <v>138.15</v>
      </c>
      <c r="L98" s="64">
        <v>24.79</v>
      </c>
      <c r="M98" s="64">
        <v>92.15</v>
      </c>
      <c r="N98" s="64">
        <v>27.3</v>
      </c>
      <c r="O98" s="64">
        <v>0</v>
      </c>
      <c r="P98" s="64">
        <v>0.6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2066</v>
      </c>
      <c r="B99" s="64">
        <v>0.39</v>
      </c>
      <c r="C99" s="64">
        <v>7.52</v>
      </c>
      <c r="D99" s="64">
        <v>4.24</v>
      </c>
      <c r="E99" s="64">
        <v>5.01</v>
      </c>
      <c r="F99" s="64">
        <v>4.0199999999999996</v>
      </c>
      <c r="G99" s="64">
        <v>79.44</v>
      </c>
      <c r="H99" s="64">
        <v>26.14</v>
      </c>
      <c r="I99" s="64">
        <v>4.6500000000000004</v>
      </c>
      <c r="J99" s="64">
        <v>1.79</v>
      </c>
      <c r="K99" s="64">
        <v>134.15</v>
      </c>
      <c r="L99" s="64">
        <v>24.3</v>
      </c>
      <c r="M99" s="64">
        <v>94.93</v>
      </c>
      <c r="N99" s="64">
        <v>26.9</v>
      </c>
      <c r="O99" s="64">
        <v>0</v>
      </c>
      <c r="P99" s="64">
        <v>0.52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2067</v>
      </c>
      <c r="B100" s="64">
        <v>0.5</v>
      </c>
      <c r="C100" s="64">
        <v>6.84</v>
      </c>
      <c r="D100" s="64">
        <v>3.98</v>
      </c>
      <c r="E100" s="64">
        <v>5.03</v>
      </c>
      <c r="F100" s="64">
        <v>3.75</v>
      </c>
      <c r="G100" s="64">
        <v>76.17</v>
      </c>
      <c r="H100" s="64">
        <v>24.77</v>
      </c>
      <c r="I100" s="64">
        <v>5.13</v>
      </c>
      <c r="J100" s="64">
        <v>0.94</v>
      </c>
      <c r="K100" s="64">
        <v>128.31</v>
      </c>
      <c r="L100" s="64">
        <v>23.87</v>
      </c>
      <c r="M100" s="64">
        <v>94.64</v>
      </c>
      <c r="N100" s="64">
        <v>26.7</v>
      </c>
      <c r="O100" s="64">
        <v>0</v>
      </c>
      <c r="P100" s="64">
        <v>0.5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2068</v>
      </c>
      <c r="B101" s="64">
        <v>0.61</v>
      </c>
      <c r="C101" s="64">
        <v>6.22</v>
      </c>
      <c r="D101" s="64">
        <v>3.74</v>
      </c>
      <c r="E101" s="64">
        <v>5.07</v>
      </c>
      <c r="F101" s="64">
        <v>3.83</v>
      </c>
      <c r="G101" s="64">
        <v>76.17</v>
      </c>
      <c r="H101" s="64">
        <v>24.77</v>
      </c>
      <c r="I101" s="64">
        <v>4.22</v>
      </c>
      <c r="J101" s="64">
        <v>0.52</v>
      </c>
      <c r="K101" s="64">
        <v>122.27</v>
      </c>
      <c r="L101" s="64">
        <v>23.47</v>
      </c>
      <c r="M101" s="64">
        <v>92.58</v>
      </c>
      <c r="N101" s="64">
        <v>26.5</v>
      </c>
      <c r="O101" s="64">
        <v>0</v>
      </c>
      <c r="P101" s="64">
        <v>0.46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2069</v>
      </c>
      <c r="B102" s="64">
        <v>0.71</v>
      </c>
      <c r="C102" s="64">
        <v>5.72</v>
      </c>
      <c r="D102" s="64">
        <v>3.56</v>
      </c>
      <c r="E102" s="64">
        <v>4.54</v>
      </c>
      <c r="F102" s="64">
        <v>3.85</v>
      </c>
      <c r="G102" s="64">
        <v>76.17</v>
      </c>
      <c r="H102" s="64">
        <v>24.77</v>
      </c>
      <c r="I102" s="64">
        <v>4.24</v>
      </c>
      <c r="J102" s="64">
        <v>0.3</v>
      </c>
      <c r="K102" s="64">
        <v>133.69</v>
      </c>
      <c r="L102" s="64">
        <v>23.2</v>
      </c>
      <c r="M102" s="64">
        <v>92.89</v>
      </c>
      <c r="N102" s="64">
        <v>26.3</v>
      </c>
      <c r="O102" s="64">
        <v>0</v>
      </c>
      <c r="P102" s="64">
        <v>0.43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5" t="s">
        <v>2070</v>
      </c>
      <c r="B103" s="64">
        <v>0.78</v>
      </c>
      <c r="C103" s="64">
        <v>5.48</v>
      </c>
      <c r="D103" s="64">
        <v>3.49</v>
      </c>
      <c r="E103" s="64">
        <v>4.57</v>
      </c>
      <c r="F103" s="64">
        <v>4.1500000000000004</v>
      </c>
      <c r="G103" s="64">
        <v>56.19</v>
      </c>
      <c r="H103" s="64">
        <v>11.81</v>
      </c>
      <c r="I103" s="64">
        <v>4.3</v>
      </c>
      <c r="J103" s="64">
        <v>0.65</v>
      </c>
      <c r="K103" s="64">
        <v>120</v>
      </c>
      <c r="L103" s="64">
        <v>23.01</v>
      </c>
      <c r="M103" s="64">
        <v>94.43</v>
      </c>
      <c r="N103" s="64">
        <v>26.3</v>
      </c>
      <c r="O103" s="64">
        <v>0</v>
      </c>
      <c r="P103" s="64">
        <v>0.48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2071</v>
      </c>
      <c r="B104" s="64">
        <v>0.8</v>
      </c>
      <c r="C104" s="64">
        <v>5.67</v>
      </c>
      <c r="D104" s="64">
        <v>3.6</v>
      </c>
      <c r="E104" s="64">
        <v>4.71</v>
      </c>
      <c r="F104" s="64">
        <v>3.83</v>
      </c>
      <c r="G104" s="64">
        <v>47.63</v>
      </c>
      <c r="H104" s="64">
        <v>10.98</v>
      </c>
      <c r="I104" s="64">
        <v>3.48</v>
      </c>
      <c r="J104" s="64">
        <v>0.55000000000000004</v>
      </c>
      <c r="K104" s="64">
        <v>108.56</v>
      </c>
      <c r="L104" s="64">
        <v>22.86</v>
      </c>
      <c r="M104" s="64">
        <v>95.21</v>
      </c>
      <c r="N104" s="64">
        <v>26.1</v>
      </c>
      <c r="O104" s="64">
        <v>0</v>
      </c>
      <c r="P104" s="64">
        <v>0.48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-0.1</v>
      </c>
      <c r="C106" s="67">
        <f>MIN(C9:C104)</f>
        <v>5.37</v>
      </c>
      <c r="D106" s="67">
        <f t="shared" ref="D106:Q106" si="0">MIN(D9:D104)</f>
        <v>3.49</v>
      </c>
      <c r="E106" s="67">
        <f t="shared" si="0"/>
        <v>4.54</v>
      </c>
      <c r="F106" s="67">
        <f t="shared" si="0"/>
        <v>2.74</v>
      </c>
      <c r="G106" s="67">
        <f t="shared" si="0"/>
        <v>32.979999999999997</v>
      </c>
      <c r="H106" s="67">
        <f t="shared" si="0"/>
        <v>5.94</v>
      </c>
      <c r="I106" s="67">
        <f t="shared" si="0"/>
        <v>2.0299999999999998</v>
      </c>
      <c r="J106" s="67">
        <f t="shared" si="0"/>
        <v>0.06</v>
      </c>
      <c r="K106" s="67">
        <f t="shared" si="0"/>
        <v>1.36</v>
      </c>
      <c r="L106" s="67">
        <f t="shared" si="0"/>
        <v>22.86</v>
      </c>
      <c r="M106" s="67">
        <f t="shared" si="0"/>
        <v>57.27</v>
      </c>
      <c r="N106" s="67">
        <f t="shared" si="0"/>
        <v>25.7</v>
      </c>
      <c r="O106" s="67">
        <f t="shared" si="0"/>
        <v>0</v>
      </c>
      <c r="P106" s="67">
        <f t="shared" si="0"/>
        <v>0.43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30.31</v>
      </c>
      <c r="C107" s="66">
        <f t="shared" ref="C107:Q107" si="1">MAX(C9:C104)</f>
        <v>16.64</v>
      </c>
      <c r="D107" s="66">
        <f t="shared" si="1"/>
        <v>27.86</v>
      </c>
      <c r="E107" s="66">
        <f t="shared" si="1"/>
        <v>7.46</v>
      </c>
      <c r="F107" s="66">
        <f t="shared" si="1"/>
        <v>6.98</v>
      </c>
      <c r="G107" s="66">
        <f t="shared" si="1"/>
        <v>142.1</v>
      </c>
      <c r="H107" s="66">
        <f t="shared" si="1"/>
        <v>88.52</v>
      </c>
      <c r="I107" s="66">
        <f t="shared" si="1"/>
        <v>7.35</v>
      </c>
      <c r="J107" s="66">
        <f t="shared" si="1"/>
        <v>2.2000000000000002</v>
      </c>
      <c r="K107" s="66">
        <f t="shared" si="1"/>
        <v>358.62</v>
      </c>
      <c r="L107" s="66">
        <f t="shared" si="1"/>
        <v>31.94</v>
      </c>
      <c r="M107" s="66">
        <f t="shared" si="1"/>
        <v>102.75</v>
      </c>
      <c r="N107" s="66">
        <f t="shared" si="1"/>
        <v>635.1</v>
      </c>
      <c r="O107" s="66">
        <f t="shared" si="1"/>
        <v>0</v>
      </c>
      <c r="P107" s="66">
        <f t="shared" si="1"/>
        <v>1.35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11.646979166666673</v>
      </c>
      <c r="C108" s="67">
        <f t="shared" ref="C108:Q108" si="2">AVERAGE(C9:C104)</f>
        <v>9.6616666666666671</v>
      </c>
      <c r="D108" s="67">
        <f t="shared" si="2"/>
        <v>14.388541666666674</v>
      </c>
      <c r="E108" s="67">
        <f t="shared" si="2"/>
        <v>5.8710416666666676</v>
      </c>
      <c r="F108" s="67">
        <f t="shared" si="2"/>
        <v>4.1933333333333342</v>
      </c>
      <c r="G108" s="67">
        <f t="shared" si="2"/>
        <v>93.158124999999984</v>
      </c>
      <c r="H108" s="67">
        <f t="shared" si="2"/>
        <v>44.807395833333345</v>
      </c>
      <c r="I108" s="67">
        <f t="shared" si="2"/>
        <v>4.3471875000000013</v>
      </c>
      <c r="J108" s="67">
        <f t="shared" si="2"/>
        <v>0.80416666666666659</v>
      </c>
      <c r="K108" s="67">
        <f t="shared" si="2"/>
        <v>222.27260416666687</v>
      </c>
      <c r="L108" s="67">
        <f t="shared" si="2"/>
        <v>27.318854166666664</v>
      </c>
      <c r="M108" s="67">
        <f t="shared" si="2"/>
        <v>83.21447916666672</v>
      </c>
      <c r="N108" s="67">
        <f t="shared" si="2"/>
        <v>142.2260416666667</v>
      </c>
      <c r="O108" s="67">
        <f t="shared" si="2"/>
        <v>0</v>
      </c>
      <c r="P108" s="67">
        <f t="shared" si="2"/>
        <v>0.75739583333333316</v>
      </c>
      <c r="Q108" s="67">
        <f t="shared" si="2"/>
        <v>9.6151041666666739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10.958956646438036</v>
      </c>
      <c r="C109" s="67">
        <f t="shared" ref="C109:Q109" si="3">STDEV(C9:C104)</f>
        <v>3.5857911603457966</v>
      </c>
      <c r="D109" s="67">
        <f t="shared" si="3"/>
        <v>7.7842072211242792</v>
      </c>
      <c r="E109" s="67">
        <f t="shared" si="3"/>
        <v>0.85269045307892122</v>
      </c>
      <c r="F109" s="67">
        <f t="shared" si="3"/>
        <v>0.83328729697400383</v>
      </c>
      <c r="G109" s="67">
        <f t="shared" si="3"/>
        <v>25.630859250541331</v>
      </c>
      <c r="H109" s="67">
        <f t="shared" si="3"/>
        <v>19.191086924857981</v>
      </c>
      <c r="I109" s="67">
        <f t="shared" si="3"/>
        <v>1.2990180122125403</v>
      </c>
      <c r="J109" s="67">
        <f t="shared" si="3"/>
        <v>0.49368787639382572</v>
      </c>
      <c r="K109" s="67">
        <f t="shared" si="3"/>
        <v>122.89651909116783</v>
      </c>
      <c r="L109" s="67">
        <f t="shared" si="3"/>
        <v>2.7983107196614192</v>
      </c>
      <c r="M109" s="67">
        <f t="shared" si="3"/>
        <v>15.336866342234122</v>
      </c>
      <c r="N109" s="67">
        <f t="shared" si="3"/>
        <v>173.85302882171038</v>
      </c>
      <c r="O109" s="67">
        <f t="shared" si="3"/>
        <v>0</v>
      </c>
      <c r="P109" s="67">
        <f t="shared" si="3"/>
        <v>0.16390141318980345</v>
      </c>
      <c r="Q109" s="67">
        <f t="shared" si="3"/>
        <v>7.9465042518433796E-3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2072</v>
      </c>
      <c r="B9" s="64">
        <v>0.72</v>
      </c>
      <c r="C9" s="64">
        <v>5.21</v>
      </c>
      <c r="D9" s="64">
        <v>3.3</v>
      </c>
      <c r="E9" s="64">
        <v>4.4800000000000004</v>
      </c>
      <c r="F9" s="64">
        <v>3.95</v>
      </c>
      <c r="G9" s="64">
        <v>47.63</v>
      </c>
      <c r="H9" s="64">
        <v>10.98</v>
      </c>
      <c r="I9" s="64">
        <v>4.46</v>
      </c>
      <c r="J9" s="64">
        <v>0.34</v>
      </c>
      <c r="K9" s="64">
        <v>97.78</v>
      </c>
      <c r="L9" s="64">
        <v>22.81</v>
      </c>
      <c r="M9" s="64">
        <v>95.33</v>
      </c>
      <c r="N9" s="64">
        <v>26.1</v>
      </c>
      <c r="O9" s="64">
        <v>0</v>
      </c>
      <c r="P9" s="64">
        <v>0.47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2073</v>
      </c>
      <c r="B10" s="64">
        <v>0.7</v>
      </c>
      <c r="C10" s="64">
        <v>4.9400000000000004</v>
      </c>
      <c r="D10" s="64">
        <v>3.14</v>
      </c>
      <c r="E10" s="64">
        <v>4.5599999999999996</v>
      </c>
      <c r="F10" s="64">
        <v>3.77</v>
      </c>
      <c r="G10" s="64">
        <v>47.63</v>
      </c>
      <c r="H10" s="64">
        <v>10.98</v>
      </c>
      <c r="I10" s="64">
        <v>4.67</v>
      </c>
      <c r="J10" s="64">
        <v>0.32</v>
      </c>
      <c r="K10" s="64">
        <v>117.51</v>
      </c>
      <c r="L10" s="64">
        <v>22.82</v>
      </c>
      <c r="M10" s="64">
        <v>95.69</v>
      </c>
      <c r="N10" s="64">
        <v>26.1</v>
      </c>
      <c r="O10" s="64">
        <v>0</v>
      </c>
      <c r="P10" s="64">
        <v>0.46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15" t="s">
        <v>2074</v>
      </c>
      <c r="B11" s="64">
        <v>0.68</v>
      </c>
      <c r="C11" s="64">
        <v>4.59</v>
      </c>
      <c r="D11" s="64">
        <v>2.94</v>
      </c>
      <c r="E11" s="64">
        <v>4.53</v>
      </c>
      <c r="F11" s="64">
        <v>3.64</v>
      </c>
      <c r="G11" s="64">
        <v>32.950000000000003</v>
      </c>
      <c r="H11" s="64">
        <v>5.45</v>
      </c>
      <c r="I11" s="64">
        <v>4.25</v>
      </c>
      <c r="J11" s="64">
        <v>0.2</v>
      </c>
      <c r="K11" s="64">
        <v>51.14</v>
      </c>
      <c r="L11" s="64">
        <v>22.76</v>
      </c>
      <c r="M11" s="64">
        <v>96.02</v>
      </c>
      <c r="N11" s="64">
        <v>26.1</v>
      </c>
      <c r="O11" s="64">
        <v>0</v>
      </c>
      <c r="P11" s="64">
        <v>0.41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2075</v>
      </c>
      <c r="B12" s="64">
        <v>0.76</v>
      </c>
      <c r="C12" s="64">
        <v>4.87</v>
      </c>
      <c r="D12" s="64">
        <v>3.15</v>
      </c>
      <c r="E12" s="64">
        <v>4.5</v>
      </c>
      <c r="F12" s="64">
        <v>3.29</v>
      </c>
      <c r="G12" s="64">
        <v>26.66</v>
      </c>
      <c r="H12" s="64">
        <v>5.09</v>
      </c>
      <c r="I12" s="64">
        <v>3.42</v>
      </c>
      <c r="J12" s="64">
        <v>0.33</v>
      </c>
      <c r="K12" s="64">
        <v>72.86</v>
      </c>
      <c r="L12" s="64">
        <v>22.84</v>
      </c>
      <c r="M12" s="64">
        <v>94.78</v>
      </c>
      <c r="N12" s="64">
        <v>26.1</v>
      </c>
      <c r="O12" s="64">
        <v>0</v>
      </c>
      <c r="P12" s="64">
        <v>0.4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5" t="s">
        <v>2076</v>
      </c>
      <c r="B13" s="64">
        <v>0.77</v>
      </c>
      <c r="C13" s="64">
        <v>4.57</v>
      </c>
      <c r="D13" s="64">
        <v>3</v>
      </c>
      <c r="E13" s="64">
        <v>4.28</v>
      </c>
      <c r="F13" s="64">
        <v>3.99</v>
      </c>
      <c r="G13" s="64">
        <v>26.66</v>
      </c>
      <c r="H13" s="64">
        <v>5.09</v>
      </c>
      <c r="I13" s="64">
        <v>3.83</v>
      </c>
      <c r="J13" s="64">
        <v>0.02</v>
      </c>
      <c r="K13" s="64">
        <v>347.71</v>
      </c>
      <c r="L13" s="64">
        <v>22.8</v>
      </c>
      <c r="M13" s="64">
        <v>93.97</v>
      </c>
      <c r="N13" s="64">
        <v>26.1</v>
      </c>
      <c r="O13" s="64">
        <v>0</v>
      </c>
      <c r="P13" s="64">
        <v>0.44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2077</v>
      </c>
      <c r="B14" s="64">
        <v>0.82</v>
      </c>
      <c r="C14" s="64">
        <v>4.62</v>
      </c>
      <c r="D14" s="64">
        <v>3.07</v>
      </c>
      <c r="E14" s="64">
        <v>4.6399999999999997</v>
      </c>
      <c r="F14" s="64">
        <v>3.19</v>
      </c>
      <c r="G14" s="64">
        <v>26.66</v>
      </c>
      <c r="H14" s="64">
        <v>5.09</v>
      </c>
      <c r="I14" s="64">
        <v>3.34</v>
      </c>
      <c r="J14" s="64">
        <v>0.49</v>
      </c>
      <c r="K14" s="64">
        <v>351.85</v>
      </c>
      <c r="L14" s="64">
        <v>22.8</v>
      </c>
      <c r="M14" s="64">
        <v>93.81</v>
      </c>
      <c r="N14" s="64">
        <v>26.1</v>
      </c>
      <c r="O14" s="64">
        <v>0</v>
      </c>
      <c r="P14" s="64">
        <v>0.42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2078</v>
      </c>
      <c r="B15" s="64">
        <v>0.87</v>
      </c>
      <c r="C15" s="64">
        <v>4.8099999999999996</v>
      </c>
      <c r="D15" s="64">
        <v>3.21</v>
      </c>
      <c r="E15" s="64">
        <v>4.72</v>
      </c>
      <c r="F15" s="64">
        <v>3.5</v>
      </c>
      <c r="G15" s="64">
        <v>19.02</v>
      </c>
      <c r="H15" s="64">
        <v>3.08</v>
      </c>
      <c r="I15" s="64">
        <v>3.2</v>
      </c>
      <c r="J15" s="64">
        <v>0.27</v>
      </c>
      <c r="K15" s="64">
        <v>107.16</v>
      </c>
      <c r="L15" s="64">
        <v>22.81</v>
      </c>
      <c r="M15" s="64">
        <v>92.78</v>
      </c>
      <c r="N15" s="64">
        <v>26.1</v>
      </c>
      <c r="O15" s="64">
        <v>0</v>
      </c>
      <c r="P15" s="64">
        <v>0.42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5" t="s">
        <v>2079</v>
      </c>
      <c r="B16" s="64">
        <v>0.86</v>
      </c>
      <c r="C16" s="64">
        <v>4.5599999999999996</v>
      </c>
      <c r="D16" s="64">
        <v>3.08</v>
      </c>
      <c r="E16" s="64">
        <v>4.34</v>
      </c>
      <c r="F16" s="64">
        <v>3.51</v>
      </c>
      <c r="G16" s="64">
        <v>15.75</v>
      </c>
      <c r="H16" s="64">
        <v>2.92</v>
      </c>
      <c r="I16" s="64">
        <v>3.3</v>
      </c>
      <c r="J16" s="64">
        <v>0.05</v>
      </c>
      <c r="K16" s="64">
        <v>53.45</v>
      </c>
      <c r="L16" s="64">
        <v>22.89</v>
      </c>
      <c r="M16" s="64">
        <v>91.18</v>
      </c>
      <c r="N16" s="64">
        <v>26.1</v>
      </c>
      <c r="O16" s="64">
        <v>0</v>
      </c>
      <c r="P16" s="64">
        <v>0.32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2080</v>
      </c>
      <c r="B17" s="64">
        <v>0.88</v>
      </c>
      <c r="C17" s="64">
        <v>4.32</v>
      </c>
      <c r="D17" s="64">
        <v>2.96</v>
      </c>
      <c r="E17" s="64">
        <v>4.1100000000000003</v>
      </c>
      <c r="F17" s="64">
        <v>4.0199999999999996</v>
      </c>
      <c r="G17" s="64">
        <v>15.75</v>
      </c>
      <c r="H17" s="64">
        <v>2.92</v>
      </c>
      <c r="I17" s="64">
        <v>2.5</v>
      </c>
      <c r="J17" s="64">
        <v>0.18</v>
      </c>
      <c r="K17" s="64">
        <v>85.75</v>
      </c>
      <c r="L17" s="64">
        <v>22.93</v>
      </c>
      <c r="M17" s="64">
        <v>91.28</v>
      </c>
      <c r="N17" s="64">
        <v>26.1</v>
      </c>
      <c r="O17" s="64">
        <v>0</v>
      </c>
      <c r="P17" s="64">
        <v>0.3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2081</v>
      </c>
      <c r="B18" s="64">
        <v>0.95</v>
      </c>
      <c r="C18" s="64">
        <v>4.3</v>
      </c>
      <c r="D18" s="64">
        <v>3</v>
      </c>
      <c r="E18" s="64">
        <v>4.2300000000000004</v>
      </c>
      <c r="F18" s="64">
        <v>3.69</v>
      </c>
      <c r="G18" s="64">
        <v>15.75</v>
      </c>
      <c r="H18" s="64">
        <v>2.92</v>
      </c>
      <c r="I18" s="64">
        <v>1.07</v>
      </c>
      <c r="J18" s="64">
        <v>0.38</v>
      </c>
      <c r="K18" s="64">
        <v>200.3</v>
      </c>
      <c r="L18" s="64">
        <v>22.94</v>
      </c>
      <c r="M18" s="64">
        <v>91.5</v>
      </c>
      <c r="N18" s="64">
        <v>26.1</v>
      </c>
      <c r="O18" s="64">
        <v>0</v>
      </c>
      <c r="P18" s="64">
        <v>0.3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2082</v>
      </c>
      <c r="B19" s="64">
        <v>1.02</v>
      </c>
      <c r="C19" s="64">
        <v>4.3600000000000003</v>
      </c>
      <c r="D19" s="64">
        <v>3.1</v>
      </c>
      <c r="E19" s="64">
        <v>4.29</v>
      </c>
      <c r="F19" s="64">
        <v>3.53</v>
      </c>
      <c r="G19" s="64">
        <v>13.58</v>
      </c>
      <c r="H19" s="64">
        <v>1.71</v>
      </c>
      <c r="I19" s="64">
        <v>0.83</v>
      </c>
      <c r="J19" s="64">
        <v>0.45</v>
      </c>
      <c r="K19" s="64">
        <v>342.58</v>
      </c>
      <c r="L19" s="64">
        <v>22.86</v>
      </c>
      <c r="M19" s="64">
        <v>92.09</v>
      </c>
      <c r="N19" s="64">
        <v>26.1</v>
      </c>
      <c r="O19" s="64">
        <v>0</v>
      </c>
      <c r="P19" s="64">
        <v>0.3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15" t="s">
        <v>2083</v>
      </c>
      <c r="B20" s="64">
        <v>1.1000000000000001</v>
      </c>
      <c r="C20" s="64">
        <v>4.3</v>
      </c>
      <c r="D20" s="64">
        <v>3.13</v>
      </c>
      <c r="E20" s="64">
        <v>4.49</v>
      </c>
      <c r="F20" s="64">
        <v>3.73</v>
      </c>
      <c r="G20" s="64">
        <v>12.65</v>
      </c>
      <c r="H20" s="64">
        <v>1.56</v>
      </c>
      <c r="I20" s="64">
        <v>0.74</v>
      </c>
      <c r="J20" s="64">
        <v>0.5</v>
      </c>
      <c r="K20" s="64">
        <v>300.42</v>
      </c>
      <c r="L20" s="64">
        <v>22.74</v>
      </c>
      <c r="M20" s="64">
        <v>93.62</v>
      </c>
      <c r="N20" s="64">
        <v>26.1</v>
      </c>
      <c r="O20" s="64">
        <v>0</v>
      </c>
      <c r="P20" s="64">
        <v>0.3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2084</v>
      </c>
      <c r="B21" s="64">
        <v>1.22</v>
      </c>
      <c r="C21" s="64">
        <v>4.32</v>
      </c>
      <c r="D21" s="64">
        <v>3.23</v>
      </c>
      <c r="E21" s="64">
        <v>4.4000000000000004</v>
      </c>
      <c r="F21" s="64">
        <v>3.65</v>
      </c>
      <c r="G21" s="64">
        <v>12.65</v>
      </c>
      <c r="H21" s="64">
        <v>1.56</v>
      </c>
      <c r="I21" s="64">
        <v>0.49</v>
      </c>
      <c r="J21" s="64">
        <v>0.49</v>
      </c>
      <c r="K21" s="64">
        <v>323.52</v>
      </c>
      <c r="L21" s="64">
        <v>22.69</v>
      </c>
      <c r="M21" s="64">
        <v>94.27</v>
      </c>
      <c r="N21" s="64">
        <v>26.1</v>
      </c>
      <c r="O21" s="64">
        <v>0</v>
      </c>
      <c r="P21" s="64">
        <v>0.28999999999999998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2085</v>
      </c>
      <c r="B22" s="64">
        <v>1.32</v>
      </c>
      <c r="C22" s="64">
        <v>4.22</v>
      </c>
      <c r="D22" s="64">
        <v>3.27</v>
      </c>
      <c r="E22" s="64">
        <v>4.34</v>
      </c>
      <c r="F22" s="64">
        <v>3.7</v>
      </c>
      <c r="G22" s="64">
        <v>12.65</v>
      </c>
      <c r="H22" s="64">
        <v>1.56</v>
      </c>
      <c r="I22" s="64">
        <v>0.68</v>
      </c>
      <c r="J22" s="64">
        <v>0.2</v>
      </c>
      <c r="K22" s="64">
        <v>223.46</v>
      </c>
      <c r="L22" s="64">
        <v>22.89</v>
      </c>
      <c r="M22" s="64">
        <v>91.9</v>
      </c>
      <c r="N22" s="64">
        <v>26.1</v>
      </c>
      <c r="O22" s="64">
        <v>0</v>
      </c>
      <c r="P22" s="64">
        <v>0.28000000000000003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5" t="s">
        <v>2086</v>
      </c>
      <c r="B23" s="64">
        <v>1.33</v>
      </c>
      <c r="C23" s="64">
        <v>4.17</v>
      </c>
      <c r="D23" s="64">
        <v>3.25</v>
      </c>
      <c r="E23" s="64">
        <v>4.38</v>
      </c>
      <c r="F23" s="64">
        <v>3.94</v>
      </c>
      <c r="G23" s="64">
        <v>11.65</v>
      </c>
      <c r="H23" s="64">
        <v>1.31</v>
      </c>
      <c r="I23" s="64">
        <v>0.57999999999999996</v>
      </c>
      <c r="J23" s="64">
        <v>0.44</v>
      </c>
      <c r="K23" s="64">
        <v>328.52</v>
      </c>
      <c r="L23" s="64">
        <v>22.91</v>
      </c>
      <c r="M23" s="64">
        <v>92.1</v>
      </c>
      <c r="N23" s="64">
        <v>26.1</v>
      </c>
      <c r="O23" s="64">
        <v>0</v>
      </c>
      <c r="P23" s="64">
        <v>0.28999999999999998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2087</v>
      </c>
      <c r="B24" s="64">
        <v>1.36</v>
      </c>
      <c r="C24" s="64">
        <v>4.37</v>
      </c>
      <c r="D24" s="64">
        <v>3.37</v>
      </c>
      <c r="E24" s="64">
        <v>4.1399999999999997</v>
      </c>
      <c r="F24" s="64">
        <v>4.55</v>
      </c>
      <c r="G24" s="64">
        <v>11.22</v>
      </c>
      <c r="H24" s="64">
        <v>1.29</v>
      </c>
      <c r="I24" s="64">
        <v>0.63</v>
      </c>
      <c r="J24" s="64">
        <v>0.53</v>
      </c>
      <c r="K24" s="64">
        <v>320.14999999999998</v>
      </c>
      <c r="L24" s="64">
        <v>22.91</v>
      </c>
      <c r="M24" s="64">
        <v>93.13</v>
      </c>
      <c r="N24" s="64">
        <v>26.1</v>
      </c>
      <c r="O24" s="64">
        <v>0</v>
      </c>
      <c r="P24" s="64">
        <v>0.39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2088</v>
      </c>
      <c r="B25" s="64">
        <v>1.31</v>
      </c>
      <c r="C25" s="64">
        <v>4.45</v>
      </c>
      <c r="D25" s="64">
        <v>3.37</v>
      </c>
      <c r="E25" s="64">
        <v>4.68</v>
      </c>
      <c r="F25" s="64">
        <v>2.98</v>
      </c>
      <c r="G25" s="64">
        <v>11.22</v>
      </c>
      <c r="H25" s="64">
        <v>1.29</v>
      </c>
      <c r="I25" s="64">
        <v>1.71</v>
      </c>
      <c r="J25" s="64">
        <v>0.17</v>
      </c>
      <c r="K25" s="64">
        <v>96.82</v>
      </c>
      <c r="L25" s="64">
        <v>22.86</v>
      </c>
      <c r="M25" s="64">
        <v>93.15</v>
      </c>
      <c r="N25" s="64">
        <v>26.1</v>
      </c>
      <c r="O25" s="64">
        <v>0</v>
      </c>
      <c r="P25" s="64">
        <v>0.38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2089</v>
      </c>
      <c r="B26" s="64">
        <v>1.21</v>
      </c>
      <c r="C26" s="64">
        <v>4.4400000000000004</v>
      </c>
      <c r="D26" s="64">
        <v>3.29</v>
      </c>
      <c r="E26" s="64">
        <v>4.8099999999999996</v>
      </c>
      <c r="F26" s="64">
        <v>3.24</v>
      </c>
      <c r="G26" s="64">
        <v>11.22</v>
      </c>
      <c r="H26" s="64">
        <v>1.29</v>
      </c>
      <c r="I26" s="64">
        <v>3.1</v>
      </c>
      <c r="J26" s="64">
        <v>0.24</v>
      </c>
      <c r="K26" s="64">
        <v>127.9</v>
      </c>
      <c r="L26" s="64">
        <v>22.98</v>
      </c>
      <c r="M26" s="64">
        <v>90.91</v>
      </c>
      <c r="N26" s="64">
        <v>26.1</v>
      </c>
      <c r="O26" s="64">
        <v>0</v>
      </c>
      <c r="P26" s="64">
        <v>0.31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2090</v>
      </c>
      <c r="B27" s="64">
        <v>1.1100000000000001</v>
      </c>
      <c r="C27" s="64">
        <v>4.3499999999999996</v>
      </c>
      <c r="D27" s="64">
        <v>3.17</v>
      </c>
      <c r="E27" s="64">
        <v>5.0599999999999996</v>
      </c>
      <c r="F27" s="64">
        <v>3.77</v>
      </c>
      <c r="G27" s="64">
        <v>11.52</v>
      </c>
      <c r="H27" s="64">
        <v>2.68</v>
      </c>
      <c r="I27" s="64">
        <v>3.43</v>
      </c>
      <c r="J27" s="64">
        <v>0.37</v>
      </c>
      <c r="K27" s="64">
        <v>1.23</v>
      </c>
      <c r="L27" s="64">
        <v>23.09</v>
      </c>
      <c r="M27" s="64">
        <v>91.03</v>
      </c>
      <c r="N27" s="64">
        <v>26.1</v>
      </c>
      <c r="O27" s="64">
        <v>0</v>
      </c>
      <c r="P27" s="64">
        <v>0.37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2091</v>
      </c>
      <c r="B28" s="64">
        <v>1.1200000000000001</v>
      </c>
      <c r="C28" s="64">
        <v>4.4000000000000004</v>
      </c>
      <c r="D28" s="64">
        <v>3.19</v>
      </c>
      <c r="E28" s="64">
        <v>4.72</v>
      </c>
      <c r="F28" s="64">
        <v>2.6</v>
      </c>
      <c r="G28" s="64">
        <v>11.65</v>
      </c>
      <c r="H28" s="64">
        <v>2.79</v>
      </c>
      <c r="I28" s="64">
        <v>2.2200000000000002</v>
      </c>
      <c r="J28" s="64">
        <v>0.09</v>
      </c>
      <c r="K28" s="64">
        <v>92.19</v>
      </c>
      <c r="L28" s="64">
        <v>23.07</v>
      </c>
      <c r="M28" s="64">
        <v>91.71</v>
      </c>
      <c r="N28" s="64">
        <v>26.2</v>
      </c>
      <c r="O28" s="64">
        <v>0</v>
      </c>
      <c r="P28" s="64">
        <v>0.32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2092</v>
      </c>
      <c r="B29" s="64">
        <v>1.1000000000000001</v>
      </c>
      <c r="C29" s="64">
        <v>4.55</v>
      </c>
      <c r="D29" s="64">
        <v>3.26</v>
      </c>
      <c r="E29" s="64">
        <v>4.76</v>
      </c>
      <c r="F29" s="64">
        <v>3.58</v>
      </c>
      <c r="G29" s="64">
        <v>11.65</v>
      </c>
      <c r="H29" s="64">
        <v>2.79</v>
      </c>
      <c r="I29" s="64">
        <v>2.71</v>
      </c>
      <c r="J29" s="64">
        <v>0.28000000000000003</v>
      </c>
      <c r="K29" s="64">
        <v>206.65</v>
      </c>
      <c r="L29" s="64">
        <v>23.12</v>
      </c>
      <c r="M29" s="64">
        <v>92.74</v>
      </c>
      <c r="N29" s="64">
        <v>26.1</v>
      </c>
      <c r="O29" s="64">
        <v>0</v>
      </c>
      <c r="P29" s="64">
        <v>0.36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2093</v>
      </c>
      <c r="B30" s="64">
        <v>1.0900000000000001</v>
      </c>
      <c r="C30" s="64">
        <v>4.54</v>
      </c>
      <c r="D30" s="64">
        <v>3.25</v>
      </c>
      <c r="E30" s="64">
        <v>4.9400000000000004</v>
      </c>
      <c r="F30" s="64">
        <v>2.83</v>
      </c>
      <c r="G30" s="64">
        <v>11.65</v>
      </c>
      <c r="H30" s="64">
        <v>2.79</v>
      </c>
      <c r="I30" s="64">
        <v>2.71</v>
      </c>
      <c r="J30" s="64">
        <v>0.1</v>
      </c>
      <c r="K30" s="64">
        <v>336.55</v>
      </c>
      <c r="L30" s="64">
        <v>23.13</v>
      </c>
      <c r="M30" s="64">
        <v>94.64</v>
      </c>
      <c r="N30" s="64">
        <v>26.1</v>
      </c>
      <c r="O30" s="64">
        <v>0</v>
      </c>
      <c r="P30" s="64">
        <v>0.35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2094</v>
      </c>
      <c r="B31" s="64">
        <v>1.26</v>
      </c>
      <c r="C31" s="64">
        <v>5.03</v>
      </c>
      <c r="D31" s="64">
        <v>3.64</v>
      </c>
      <c r="E31" s="64">
        <v>4.79</v>
      </c>
      <c r="F31" s="64">
        <v>3.39</v>
      </c>
      <c r="G31" s="64">
        <v>12.56</v>
      </c>
      <c r="H31" s="64">
        <v>2.1800000000000002</v>
      </c>
      <c r="I31" s="64">
        <v>3.06</v>
      </c>
      <c r="J31" s="64">
        <v>0.17</v>
      </c>
      <c r="K31" s="64">
        <v>46.85</v>
      </c>
      <c r="L31" s="64">
        <v>23.12</v>
      </c>
      <c r="M31" s="64">
        <v>93.72</v>
      </c>
      <c r="N31" s="64">
        <v>26.1</v>
      </c>
      <c r="O31" s="64">
        <v>0</v>
      </c>
      <c r="P31" s="64">
        <v>0.36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2095</v>
      </c>
      <c r="B32" s="64">
        <v>1.56</v>
      </c>
      <c r="C32" s="64">
        <v>5.07</v>
      </c>
      <c r="D32" s="64">
        <v>3.9</v>
      </c>
      <c r="E32" s="64">
        <v>4.84</v>
      </c>
      <c r="F32" s="64">
        <v>3.48</v>
      </c>
      <c r="G32" s="64">
        <v>12.95</v>
      </c>
      <c r="H32" s="64">
        <v>2.13</v>
      </c>
      <c r="I32" s="64">
        <v>3.26</v>
      </c>
      <c r="J32" s="64">
        <v>0.47</v>
      </c>
      <c r="K32" s="64">
        <v>339.36</v>
      </c>
      <c r="L32" s="64">
        <v>23.14</v>
      </c>
      <c r="M32" s="64">
        <v>94.79</v>
      </c>
      <c r="N32" s="64">
        <v>26.6</v>
      </c>
      <c r="O32" s="64">
        <v>0</v>
      </c>
      <c r="P32" s="64">
        <v>0.35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5" t="s">
        <v>2096</v>
      </c>
      <c r="B33" s="64">
        <v>2.04</v>
      </c>
      <c r="C33" s="64">
        <v>5.1100000000000003</v>
      </c>
      <c r="D33" s="64">
        <v>4.3099999999999996</v>
      </c>
      <c r="E33" s="64">
        <v>4.42</v>
      </c>
      <c r="F33" s="64">
        <v>3.2</v>
      </c>
      <c r="G33" s="64">
        <v>12.95</v>
      </c>
      <c r="H33" s="64">
        <v>2.13</v>
      </c>
      <c r="I33" s="64">
        <v>3.03</v>
      </c>
      <c r="J33" s="64">
        <v>0.64</v>
      </c>
      <c r="K33" s="64">
        <v>329.79</v>
      </c>
      <c r="L33" s="64">
        <v>23.09</v>
      </c>
      <c r="M33" s="64">
        <v>95.13</v>
      </c>
      <c r="N33" s="64">
        <v>28.8</v>
      </c>
      <c r="O33" s="64">
        <v>0</v>
      </c>
      <c r="P33" s="64">
        <v>0.35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5" t="s">
        <v>2097</v>
      </c>
      <c r="B34" s="64">
        <v>2.4500000000000002</v>
      </c>
      <c r="C34" s="64">
        <v>5.0199999999999996</v>
      </c>
      <c r="D34" s="64">
        <v>4.59</v>
      </c>
      <c r="E34" s="64">
        <v>5.01</v>
      </c>
      <c r="F34" s="64">
        <v>3.64</v>
      </c>
      <c r="G34" s="64">
        <v>12.95</v>
      </c>
      <c r="H34" s="64">
        <v>2.13</v>
      </c>
      <c r="I34" s="64">
        <v>2.83</v>
      </c>
      <c r="J34" s="64">
        <v>0.4</v>
      </c>
      <c r="K34" s="64">
        <v>310.06</v>
      </c>
      <c r="L34" s="64">
        <v>23.2</v>
      </c>
      <c r="M34" s="64">
        <v>93.72</v>
      </c>
      <c r="N34" s="64">
        <v>36.4</v>
      </c>
      <c r="O34" s="64">
        <v>0</v>
      </c>
      <c r="P34" s="64">
        <v>0.39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2098</v>
      </c>
      <c r="B35" s="64">
        <v>2.86</v>
      </c>
      <c r="C35" s="64">
        <v>5.07</v>
      </c>
      <c r="D35" s="64">
        <v>4.9400000000000004</v>
      </c>
      <c r="E35" s="64">
        <v>4.95</v>
      </c>
      <c r="F35" s="64">
        <v>3.43</v>
      </c>
      <c r="G35" s="64">
        <v>11.86</v>
      </c>
      <c r="H35" s="64">
        <v>1.34</v>
      </c>
      <c r="I35" s="64">
        <v>2.17</v>
      </c>
      <c r="J35" s="64">
        <v>0.18</v>
      </c>
      <c r="K35" s="64">
        <v>18.34</v>
      </c>
      <c r="L35" s="64">
        <v>23.22</v>
      </c>
      <c r="M35" s="64">
        <v>93.75</v>
      </c>
      <c r="N35" s="64">
        <v>54.1</v>
      </c>
      <c r="O35" s="64">
        <v>0</v>
      </c>
      <c r="P35" s="64">
        <v>0.35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2099</v>
      </c>
      <c r="B36" s="64">
        <v>3.34</v>
      </c>
      <c r="C36" s="64">
        <v>5.15</v>
      </c>
      <c r="D36" s="64">
        <v>5.37</v>
      </c>
      <c r="E36" s="64">
        <v>5.05</v>
      </c>
      <c r="F36" s="64">
        <v>3.31</v>
      </c>
      <c r="G36" s="64">
        <v>11.39</v>
      </c>
      <c r="H36" s="64">
        <v>1.24</v>
      </c>
      <c r="I36" s="64">
        <v>1.86</v>
      </c>
      <c r="J36" s="64">
        <v>0.75</v>
      </c>
      <c r="K36" s="64">
        <v>332.81</v>
      </c>
      <c r="L36" s="64">
        <v>23.64</v>
      </c>
      <c r="M36" s="64">
        <v>95.1</v>
      </c>
      <c r="N36" s="64">
        <v>81</v>
      </c>
      <c r="O36" s="64">
        <v>0</v>
      </c>
      <c r="P36" s="64">
        <v>0.42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5" t="s">
        <v>2100</v>
      </c>
      <c r="B37" s="64">
        <v>4.2</v>
      </c>
      <c r="C37" s="64">
        <v>5.42</v>
      </c>
      <c r="D37" s="64">
        <v>6.2</v>
      </c>
      <c r="E37" s="64">
        <v>5.45</v>
      </c>
      <c r="F37" s="64">
        <v>3.38</v>
      </c>
      <c r="G37" s="64">
        <v>11.39</v>
      </c>
      <c r="H37" s="64">
        <v>1.24</v>
      </c>
      <c r="I37" s="64">
        <v>1.97</v>
      </c>
      <c r="J37" s="64">
        <v>1.17</v>
      </c>
      <c r="K37" s="64">
        <v>334.85</v>
      </c>
      <c r="L37" s="64">
        <v>24.35</v>
      </c>
      <c r="M37" s="64">
        <v>91.82</v>
      </c>
      <c r="N37" s="64">
        <v>118.3</v>
      </c>
      <c r="O37" s="64">
        <v>0</v>
      </c>
      <c r="P37" s="64">
        <v>0.39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5" t="s">
        <v>2101</v>
      </c>
      <c r="B38" s="64">
        <v>4.9800000000000004</v>
      </c>
      <c r="C38" s="64">
        <v>5.61</v>
      </c>
      <c r="D38" s="64">
        <v>6.92</v>
      </c>
      <c r="E38" s="64">
        <v>5.69</v>
      </c>
      <c r="F38" s="64">
        <v>3.3</v>
      </c>
      <c r="G38" s="64">
        <v>11.39</v>
      </c>
      <c r="H38" s="64">
        <v>1.24</v>
      </c>
      <c r="I38" s="64">
        <v>2.34</v>
      </c>
      <c r="J38" s="64">
        <v>0.97</v>
      </c>
      <c r="K38" s="64">
        <v>326.95</v>
      </c>
      <c r="L38" s="64">
        <v>25.32</v>
      </c>
      <c r="M38" s="64">
        <v>87.65</v>
      </c>
      <c r="N38" s="64">
        <v>139.30000000000001</v>
      </c>
      <c r="O38" s="64">
        <v>0</v>
      </c>
      <c r="P38" s="64">
        <v>0.42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2102</v>
      </c>
      <c r="B39" s="64">
        <v>5.84</v>
      </c>
      <c r="C39" s="64">
        <v>5.83</v>
      </c>
      <c r="D39" s="64">
        <v>7.73</v>
      </c>
      <c r="E39" s="64">
        <v>5.79</v>
      </c>
      <c r="F39" s="64">
        <v>3.03</v>
      </c>
      <c r="G39" s="64">
        <v>17.059999999999999</v>
      </c>
      <c r="H39" s="64">
        <v>7.35</v>
      </c>
      <c r="I39" s="64">
        <v>2.64</v>
      </c>
      <c r="J39" s="64">
        <v>0.7</v>
      </c>
      <c r="K39" s="64">
        <v>330.29</v>
      </c>
      <c r="L39" s="64">
        <v>26.05</v>
      </c>
      <c r="M39" s="64">
        <v>84.47</v>
      </c>
      <c r="N39" s="64">
        <v>138.1</v>
      </c>
      <c r="O39" s="64">
        <v>0</v>
      </c>
      <c r="P39" s="64">
        <v>0.6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2103</v>
      </c>
      <c r="B40" s="64">
        <v>7.39</v>
      </c>
      <c r="C40" s="64">
        <v>6.07</v>
      </c>
      <c r="D40" s="64">
        <v>9.1</v>
      </c>
      <c r="E40" s="64">
        <v>4.5</v>
      </c>
      <c r="F40" s="64">
        <v>2.88</v>
      </c>
      <c r="G40" s="64">
        <v>19.489999999999998</v>
      </c>
      <c r="H40" s="64">
        <v>7.84</v>
      </c>
      <c r="I40" s="64">
        <v>2.95</v>
      </c>
      <c r="J40" s="64">
        <v>1.08</v>
      </c>
      <c r="K40" s="64">
        <v>339.1</v>
      </c>
      <c r="L40" s="64">
        <v>26.44</v>
      </c>
      <c r="M40" s="64">
        <v>82.4</v>
      </c>
      <c r="N40" s="64">
        <v>189</v>
      </c>
      <c r="O40" s="64">
        <v>0</v>
      </c>
      <c r="P40" s="64">
        <v>0.49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2104</v>
      </c>
      <c r="B41" s="64">
        <v>8.61</v>
      </c>
      <c r="C41" s="64">
        <v>6.97</v>
      </c>
      <c r="D41" s="64">
        <v>10.54</v>
      </c>
      <c r="E41" s="64">
        <v>5.56</v>
      </c>
      <c r="F41" s="64">
        <v>3.31</v>
      </c>
      <c r="G41" s="64">
        <v>19.489999999999998</v>
      </c>
      <c r="H41" s="64">
        <v>7.84</v>
      </c>
      <c r="I41" s="64">
        <v>2.95</v>
      </c>
      <c r="J41" s="64">
        <v>1.3</v>
      </c>
      <c r="K41" s="64">
        <v>339.47</v>
      </c>
      <c r="L41" s="64">
        <v>27.57</v>
      </c>
      <c r="M41" s="64">
        <v>76.459999999999994</v>
      </c>
      <c r="N41" s="64">
        <v>216.1</v>
      </c>
      <c r="O41" s="64">
        <v>0</v>
      </c>
      <c r="P41" s="64">
        <v>0.43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2105</v>
      </c>
      <c r="B42" s="64">
        <v>9.4600000000000009</v>
      </c>
      <c r="C42" s="64">
        <v>7.6</v>
      </c>
      <c r="D42" s="64">
        <v>11.56</v>
      </c>
      <c r="E42" s="64">
        <v>5.17</v>
      </c>
      <c r="F42" s="64">
        <v>3.85</v>
      </c>
      <c r="G42" s="64">
        <v>19.489999999999998</v>
      </c>
      <c r="H42" s="64">
        <v>7.84</v>
      </c>
      <c r="I42" s="64">
        <v>3.31</v>
      </c>
      <c r="J42" s="64">
        <v>1.23</v>
      </c>
      <c r="K42" s="64">
        <v>337.87</v>
      </c>
      <c r="L42" s="64">
        <v>27.98</v>
      </c>
      <c r="M42" s="64">
        <v>74.55</v>
      </c>
      <c r="N42" s="64">
        <v>241.6</v>
      </c>
      <c r="O42" s="64">
        <v>0</v>
      </c>
      <c r="P42" s="64">
        <v>0.46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2106</v>
      </c>
      <c r="B43" s="64">
        <v>10.11</v>
      </c>
      <c r="C43" s="64">
        <v>8.32</v>
      </c>
      <c r="D43" s="64">
        <v>12.45</v>
      </c>
      <c r="E43" s="64">
        <v>5.53</v>
      </c>
      <c r="F43" s="64">
        <v>3.9</v>
      </c>
      <c r="G43" s="64">
        <v>33.11</v>
      </c>
      <c r="H43" s="64">
        <v>15.34</v>
      </c>
      <c r="I43" s="64">
        <v>3.59</v>
      </c>
      <c r="J43" s="64">
        <v>1.08</v>
      </c>
      <c r="K43" s="64">
        <v>333.91</v>
      </c>
      <c r="L43" s="64">
        <v>28.25</v>
      </c>
      <c r="M43" s="64">
        <v>73.5</v>
      </c>
      <c r="N43" s="64">
        <v>169.1</v>
      </c>
      <c r="O43" s="64">
        <v>0</v>
      </c>
      <c r="P43" s="64">
        <v>0.53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2107</v>
      </c>
      <c r="B44" s="64">
        <v>10.72</v>
      </c>
      <c r="C44" s="64">
        <v>8.69</v>
      </c>
      <c r="D44" s="64">
        <v>13.14</v>
      </c>
      <c r="E44" s="64">
        <v>5.71</v>
      </c>
      <c r="F44" s="64">
        <v>4.1399999999999997</v>
      </c>
      <c r="G44" s="64">
        <v>38.950000000000003</v>
      </c>
      <c r="H44" s="64">
        <v>15.82</v>
      </c>
      <c r="I44" s="64">
        <v>3.57</v>
      </c>
      <c r="J44" s="64">
        <v>0.87</v>
      </c>
      <c r="K44" s="64">
        <v>335.37</v>
      </c>
      <c r="L44" s="64">
        <v>27.07</v>
      </c>
      <c r="M44" s="64">
        <v>82.26</v>
      </c>
      <c r="N44" s="64">
        <v>153.69999999999999</v>
      </c>
      <c r="O44" s="64">
        <v>0</v>
      </c>
      <c r="P44" s="64">
        <v>0.56999999999999995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2108</v>
      </c>
      <c r="B45" s="64">
        <v>11.6</v>
      </c>
      <c r="C45" s="64">
        <v>9.25</v>
      </c>
      <c r="D45" s="64">
        <v>14.13</v>
      </c>
      <c r="E45" s="64">
        <v>6.14</v>
      </c>
      <c r="F45" s="64">
        <v>3.77</v>
      </c>
      <c r="G45" s="64">
        <v>38.950000000000003</v>
      </c>
      <c r="H45" s="64">
        <v>15.82</v>
      </c>
      <c r="I45" s="64">
        <v>3.55</v>
      </c>
      <c r="J45" s="64">
        <v>1.1100000000000001</v>
      </c>
      <c r="K45" s="64">
        <v>338.7</v>
      </c>
      <c r="L45" s="64">
        <v>25.8</v>
      </c>
      <c r="M45" s="64">
        <v>89.15</v>
      </c>
      <c r="N45" s="64">
        <v>184</v>
      </c>
      <c r="O45" s="64">
        <v>0</v>
      </c>
      <c r="P45" s="64">
        <v>0.57999999999999996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2109</v>
      </c>
      <c r="B46" s="64">
        <v>12.63</v>
      </c>
      <c r="C46" s="64">
        <v>9.89</v>
      </c>
      <c r="D46" s="64">
        <v>15.29</v>
      </c>
      <c r="E46" s="64">
        <v>6.1</v>
      </c>
      <c r="F46" s="64">
        <v>3.52</v>
      </c>
      <c r="G46" s="64">
        <v>38.950000000000003</v>
      </c>
      <c r="H46" s="64">
        <v>15.82</v>
      </c>
      <c r="I46" s="64">
        <v>3.64</v>
      </c>
      <c r="J46" s="64">
        <v>0.65</v>
      </c>
      <c r="K46" s="64">
        <v>348.1</v>
      </c>
      <c r="L46" s="64">
        <v>26.74</v>
      </c>
      <c r="M46" s="64">
        <v>78.23</v>
      </c>
      <c r="N46" s="64">
        <v>192</v>
      </c>
      <c r="O46" s="64">
        <v>0</v>
      </c>
      <c r="P46" s="64">
        <v>0.71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2110</v>
      </c>
      <c r="B47" s="64">
        <v>13.33</v>
      </c>
      <c r="C47" s="64">
        <v>10.11</v>
      </c>
      <c r="D47" s="64">
        <v>15.97</v>
      </c>
      <c r="E47" s="64">
        <v>5.94</v>
      </c>
      <c r="F47" s="64">
        <v>4.0199999999999996</v>
      </c>
      <c r="G47" s="64">
        <v>56.71</v>
      </c>
      <c r="H47" s="64">
        <v>25.88</v>
      </c>
      <c r="I47" s="64">
        <v>3.99</v>
      </c>
      <c r="J47" s="64">
        <v>0.4</v>
      </c>
      <c r="K47" s="64">
        <v>356.24</v>
      </c>
      <c r="L47" s="64">
        <v>27.27</v>
      </c>
      <c r="M47" s="64">
        <v>76.56</v>
      </c>
      <c r="N47" s="64">
        <v>192.6</v>
      </c>
      <c r="O47" s="64">
        <v>0</v>
      </c>
      <c r="P47" s="64">
        <v>0.67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2111</v>
      </c>
      <c r="B48" s="64">
        <v>14.1</v>
      </c>
      <c r="C48" s="64">
        <v>11.01</v>
      </c>
      <c r="D48" s="64">
        <v>17.059999999999999</v>
      </c>
      <c r="E48" s="64">
        <v>6.3</v>
      </c>
      <c r="F48" s="64">
        <v>3.27</v>
      </c>
      <c r="G48" s="64">
        <v>64.33</v>
      </c>
      <c r="H48" s="64">
        <v>26.69</v>
      </c>
      <c r="I48" s="64">
        <v>3.77</v>
      </c>
      <c r="J48" s="64">
        <v>0.76</v>
      </c>
      <c r="K48" s="64">
        <v>336.44</v>
      </c>
      <c r="L48" s="64">
        <v>27.89</v>
      </c>
      <c r="M48" s="64">
        <v>75.02</v>
      </c>
      <c r="N48" s="64">
        <v>196.7</v>
      </c>
      <c r="O48" s="64">
        <v>0</v>
      </c>
      <c r="P48" s="64">
        <v>0.85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2112</v>
      </c>
      <c r="B49" s="64">
        <v>14.98</v>
      </c>
      <c r="C49" s="64">
        <v>11.31</v>
      </c>
      <c r="D49" s="64">
        <v>17.920000000000002</v>
      </c>
      <c r="E49" s="64">
        <v>5.94</v>
      </c>
      <c r="F49" s="64">
        <v>4.09</v>
      </c>
      <c r="G49" s="64">
        <v>64.33</v>
      </c>
      <c r="H49" s="64">
        <v>26.69</v>
      </c>
      <c r="I49" s="64">
        <v>4.2300000000000004</v>
      </c>
      <c r="J49" s="64">
        <v>0.36</v>
      </c>
      <c r="K49" s="64">
        <v>69.95</v>
      </c>
      <c r="L49" s="64">
        <v>28.39</v>
      </c>
      <c r="M49" s="64">
        <v>72.430000000000007</v>
      </c>
      <c r="N49" s="64">
        <v>392.9</v>
      </c>
      <c r="O49" s="64">
        <v>0</v>
      </c>
      <c r="P49" s="64">
        <v>0.7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2113</v>
      </c>
      <c r="B50" s="64">
        <v>15.23</v>
      </c>
      <c r="C50" s="64">
        <v>11.11</v>
      </c>
      <c r="D50" s="64">
        <v>18.02</v>
      </c>
      <c r="E50" s="64">
        <v>6.28</v>
      </c>
      <c r="F50" s="64">
        <v>3.28</v>
      </c>
      <c r="G50" s="64">
        <v>64.33</v>
      </c>
      <c r="H50" s="64">
        <v>26.69</v>
      </c>
      <c r="I50" s="64">
        <v>4.5</v>
      </c>
      <c r="J50" s="64">
        <v>0.23</v>
      </c>
      <c r="K50" s="64">
        <v>30.8</v>
      </c>
      <c r="L50" s="64">
        <v>28.59</v>
      </c>
      <c r="M50" s="64">
        <v>70.16</v>
      </c>
      <c r="N50" s="64">
        <v>428.4</v>
      </c>
      <c r="O50" s="64">
        <v>0</v>
      </c>
      <c r="P50" s="64">
        <v>0.72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2114</v>
      </c>
      <c r="B51" s="64">
        <v>14.9</v>
      </c>
      <c r="C51" s="64">
        <v>10.62</v>
      </c>
      <c r="D51" s="64">
        <v>17.5</v>
      </c>
      <c r="E51" s="64">
        <v>6.04</v>
      </c>
      <c r="F51" s="64">
        <v>4.12</v>
      </c>
      <c r="G51" s="64">
        <v>71.61</v>
      </c>
      <c r="H51" s="64">
        <v>36.72</v>
      </c>
      <c r="I51" s="64">
        <v>3.98</v>
      </c>
      <c r="J51" s="64">
        <v>0.91</v>
      </c>
      <c r="K51" s="64">
        <v>108.24</v>
      </c>
      <c r="L51" s="64">
        <v>28.24</v>
      </c>
      <c r="M51" s="64">
        <v>68.75</v>
      </c>
      <c r="N51" s="64">
        <v>354.6</v>
      </c>
      <c r="O51" s="64">
        <v>0</v>
      </c>
      <c r="P51" s="64">
        <v>0.67</v>
      </c>
      <c r="Q51" s="64">
        <v>9.59</v>
      </c>
      <c r="R51" s="198"/>
      <c r="S51" s="198"/>
      <c r="T51" s="198"/>
      <c r="U51" s="198"/>
    </row>
    <row r="52" spans="1:21" s="12" customFormat="1" x14ac:dyDescent="0.25">
      <c r="A52" s="215" t="s">
        <v>2115</v>
      </c>
      <c r="B52" s="64">
        <v>14.2</v>
      </c>
      <c r="C52" s="64">
        <v>10.68</v>
      </c>
      <c r="D52" s="64">
        <v>16.97</v>
      </c>
      <c r="E52" s="64">
        <v>5.9</v>
      </c>
      <c r="F52" s="64">
        <v>3.99</v>
      </c>
      <c r="G52" s="64">
        <v>74.73</v>
      </c>
      <c r="H52" s="64">
        <v>37.770000000000003</v>
      </c>
      <c r="I52" s="64">
        <v>3.57</v>
      </c>
      <c r="J52" s="64">
        <v>0.32</v>
      </c>
      <c r="K52" s="64">
        <v>9.69</v>
      </c>
      <c r="L52" s="64">
        <v>29.36</v>
      </c>
      <c r="M52" s="64">
        <v>63.98</v>
      </c>
      <c r="N52" s="64">
        <v>387.3</v>
      </c>
      <c r="O52" s="64">
        <v>0</v>
      </c>
      <c r="P52" s="64">
        <v>0.73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2116</v>
      </c>
      <c r="B53" s="64">
        <v>13.82</v>
      </c>
      <c r="C53" s="64">
        <v>10.69</v>
      </c>
      <c r="D53" s="64">
        <v>16.670000000000002</v>
      </c>
      <c r="E53" s="64">
        <v>5.66</v>
      </c>
      <c r="F53" s="64">
        <v>3.91</v>
      </c>
      <c r="G53" s="64">
        <v>74.73</v>
      </c>
      <c r="H53" s="64">
        <v>37.770000000000003</v>
      </c>
      <c r="I53" s="64">
        <v>3.5</v>
      </c>
      <c r="J53" s="64">
        <v>0.45</v>
      </c>
      <c r="K53" s="64">
        <v>325.44</v>
      </c>
      <c r="L53" s="64">
        <v>29.99</v>
      </c>
      <c r="M53" s="64">
        <v>63.71</v>
      </c>
      <c r="N53" s="64">
        <v>514.4</v>
      </c>
      <c r="O53" s="64">
        <v>0</v>
      </c>
      <c r="P53" s="64">
        <v>0.75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2117</v>
      </c>
      <c r="B54" s="64">
        <v>13.51</v>
      </c>
      <c r="C54" s="64">
        <v>10.83</v>
      </c>
      <c r="D54" s="64">
        <v>16.489999999999998</v>
      </c>
      <c r="E54" s="64">
        <v>5.52</v>
      </c>
      <c r="F54" s="64">
        <v>4.04</v>
      </c>
      <c r="G54" s="64">
        <v>74.73</v>
      </c>
      <c r="H54" s="64">
        <v>37.770000000000003</v>
      </c>
      <c r="I54" s="64">
        <v>4.16</v>
      </c>
      <c r="J54" s="64">
        <v>1</v>
      </c>
      <c r="K54" s="64">
        <v>337.33</v>
      </c>
      <c r="L54" s="64">
        <v>31.49</v>
      </c>
      <c r="M54" s="64">
        <v>59.65</v>
      </c>
      <c r="N54" s="64">
        <v>427</v>
      </c>
      <c r="O54" s="64">
        <v>0</v>
      </c>
      <c r="P54" s="64">
        <v>0.77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2118</v>
      </c>
      <c r="B55" s="64">
        <v>13.09</v>
      </c>
      <c r="C55" s="64">
        <v>11.13</v>
      </c>
      <c r="D55" s="64">
        <v>16.309999999999999</v>
      </c>
      <c r="E55" s="64">
        <v>6.15</v>
      </c>
      <c r="F55" s="64">
        <v>3.92</v>
      </c>
      <c r="G55" s="64">
        <v>71.86</v>
      </c>
      <c r="H55" s="64">
        <v>36.119999999999997</v>
      </c>
      <c r="I55" s="64">
        <v>4.24</v>
      </c>
      <c r="J55" s="64">
        <v>1.25</v>
      </c>
      <c r="K55" s="64">
        <v>335.35</v>
      </c>
      <c r="L55" s="64">
        <v>31.37</v>
      </c>
      <c r="M55" s="64">
        <v>60.85</v>
      </c>
      <c r="N55" s="64">
        <v>312.39999999999998</v>
      </c>
      <c r="O55" s="64">
        <v>0</v>
      </c>
      <c r="P55" s="64">
        <v>0.75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5" t="s">
        <v>2119</v>
      </c>
      <c r="B56" s="64">
        <v>13.09</v>
      </c>
      <c r="C56" s="64">
        <v>11.43</v>
      </c>
      <c r="D56" s="64">
        <v>16.47</v>
      </c>
      <c r="E56" s="64">
        <v>4.0599999999999996</v>
      </c>
      <c r="F56" s="64">
        <v>3.45</v>
      </c>
      <c r="G56" s="64">
        <v>70.63</v>
      </c>
      <c r="H56" s="64">
        <v>36.01</v>
      </c>
      <c r="I56" s="64">
        <v>4.41</v>
      </c>
      <c r="J56" s="64">
        <v>0.55000000000000004</v>
      </c>
      <c r="K56" s="64">
        <v>103.69</v>
      </c>
      <c r="L56" s="64">
        <v>29.32</v>
      </c>
      <c r="M56" s="64">
        <v>68.11</v>
      </c>
      <c r="N56" s="64">
        <v>240.6</v>
      </c>
      <c r="O56" s="64">
        <v>0</v>
      </c>
      <c r="P56" s="64">
        <v>0.66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2120</v>
      </c>
      <c r="B57" s="64">
        <v>13.27</v>
      </c>
      <c r="C57" s="64">
        <v>11.75</v>
      </c>
      <c r="D57" s="64">
        <v>16.78</v>
      </c>
      <c r="E57" s="64">
        <v>5.45</v>
      </c>
      <c r="F57" s="64">
        <v>3.67</v>
      </c>
      <c r="G57" s="64">
        <v>70.63</v>
      </c>
      <c r="H57" s="64">
        <v>36.01</v>
      </c>
      <c r="I57" s="64">
        <v>4.07</v>
      </c>
      <c r="J57" s="64">
        <v>0.77</v>
      </c>
      <c r="K57" s="64">
        <v>333.17</v>
      </c>
      <c r="L57" s="64">
        <v>29.61</v>
      </c>
      <c r="M57" s="64">
        <v>67.290000000000006</v>
      </c>
      <c r="N57" s="64">
        <v>339.7</v>
      </c>
      <c r="O57" s="64">
        <v>0</v>
      </c>
      <c r="P57" s="64">
        <v>0.74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2121</v>
      </c>
      <c r="B58" s="64">
        <v>13.19</v>
      </c>
      <c r="C58" s="64">
        <v>12.43</v>
      </c>
      <c r="D58" s="64">
        <v>17.07</v>
      </c>
      <c r="E58" s="64">
        <v>5.31</v>
      </c>
      <c r="F58" s="64">
        <v>4.1399999999999997</v>
      </c>
      <c r="G58" s="64">
        <v>70.63</v>
      </c>
      <c r="H58" s="64">
        <v>36.01</v>
      </c>
      <c r="I58" s="64">
        <v>3.28</v>
      </c>
      <c r="J58" s="64">
        <v>0.6</v>
      </c>
      <c r="K58" s="64">
        <v>12.11</v>
      </c>
      <c r="L58" s="64">
        <v>30.44</v>
      </c>
      <c r="M58" s="64">
        <v>63.05</v>
      </c>
      <c r="N58" s="64">
        <v>444.2</v>
      </c>
      <c r="O58" s="64">
        <v>0</v>
      </c>
      <c r="P58" s="64">
        <v>0.74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2122</v>
      </c>
      <c r="B59" s="64">
        <v>12.5</v>
      </c>
      <c r="C59" s="64">
        <v>12.66</v>
      </c>
      <c r="D59" s="64">
        <v>16.64</v>
      </c>
      <c r="E59" s="64">
        <v>5.21</v>
      </c>
      <c r="F59" s="64">
        <v>4.09</v>
      </c>
      <c r="G59" s="64">
        <v>66.650000000000006</v>
      </c>
      <c r="H59" s="64">
        <v>32.44</v>
      </c>
      <c r="I59" s="64">
        <v>4.54</v>
      </c>
      <c r="J59" s="64">
        <v>0.77</v>
      </c>
      <c r="K59" s="64">
        <v>107.42</v>
      </c>
      <c r="L59" s="64">
        <v>30.21</v>
      </c>
      <c r="M59" s="64">
        <v>63.74</v>
      </c>
      <c r="N59" s="64">
        <v>395</v>
      </c>
      <c r="O59" s="64">
        <v>0</v>
      </c>
      <c r="P59" s="64">
        <v>0.72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2123</v>
      </c>
      <c r="B60" s="64">
        <v>11.06</v>
      </c>
      <c r="C60" s="64">
        <v>12.9</v>
      </c>
      <c r="D60" s="64">
        <v>15.61</v>
      </c>
      <c r="E60" s="64">
        <v>5.41</v>
      </c>
      <c r="F60" s="64">
        <v>4.2</v>
      </c>
      <c r="G60" s="64">
        <v>64.94</v>
      </c>
      <c r="H60" s="64">
        <v>32.15</v>
      </c>
      <c r="I60" s="64">
        <v>4.9000000000000004</v>
      </c>
      <c r="J60" s="64">
        <v>1.52</v>
      </c>
      <c r="K60" s="64">
        <v>121.59</v>
      </c>
      <c r="L60" s="64">
        <v>28.81</v>
      </c>
      <c r="M60" s="64">
        <v>69.81</v>
      </c>
      <c r="N60" s="64">
        <v>286.2</v>
      </c>
      <c r="O60" s="64">
        <v>0</v>
      </c>
      <c r="P60" s="64">
        <v>0.67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2124</v>
      </c>
      <c r="B61" s="64">
        <v>9.15</v>
      </c>
      <c r="C61" s="64">
        <v>12.82</v>
      </c>
      <c r="D61" s="64">
        <v>14.03</v>
      </c>
      <c r="E61" s="64">
        <v>5.19</v>
      </c>
      <c r="F61" s="64">
        <v>4.04</v>
      </c>
      <c r="G61" s="64">
        <v>64.94</v>
      </c>
      <c r="H61" s="64">
        <v>32.15</v>
      </c>
      <c r="I61" s="64">
        <v>4.99</v>
      </c>
      <c r="J61" s="64">
        <v>1.37</v>
      </c>
      <c r="K61" s="64">
        <v>114.15</v>
      </c>
      <c r="L61" s="64">
        <v>28.62</v>
      </c>
      <c r="M61" s="64">
        <v>68.81</v>
      </c>
      <c r="N61" s="64">
        <v>303.5</v>
      </c>
      <c r="O61" s="64">
        <v>0</v>
      </c>
      <c r="P61" s="64">
        <v>0.55000000000000004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2125</v>
      </c>
      <c r="B62" s="64">
        <v>7.11</v>
      </c>
      <c r="C62" s="64">
        <v>12.81</v>
      </c>
      <c r="D62" s="64">
        <v>12.4</v>
      </c>
      <c r="E62" s="64">
        <v>4.96</v>
      </c>
      <c r="F62" s="64">
        <v>3.94</v>
      </c>
      <c r="G62" s="64">
        <v>64.94</v>
      </c>
      <c r="H62" s="64">
        <v>32.15</v>
      </c>
      <c r="I62" s="64">
        <v>4.84</v>
      </c>
      <c r="J62" s="64">
        <v>1.59</v>
      </c>
      <c r="K62" s="64">
        <v>149.83000000000001</v>
      </c>
      <c r="L62" s="64">
        <v>28.53</v>
      </c>
      <c r="M62" s="64">
        <v>72.19</v>
      </c>
      <c r="N62" s="64">
        <v>292.7</v>
      </c>
      <c r="O62" s="64">
        <v>0</v>
      </c>
      <c r="P62" s="64">
        <v>0.6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2126</v>
      </c>
      <c r="B63" s="64">
        <v>5.32</v>
      </c>
      <c r="C63" s="64">
        <v>12.24</v>
      </c>
      <c r="D63" s="64">
        <v>10.66</v>
      </c>
      <c r="E63" s="64">
        <v>5.0599999999999996</v>
      </c>
      <c r="F63" s="64">
        <v>4.1900000000000004</v>
      </c>
      <c r="G63" s="64">
        <v>61.41</v>
      </c>
      <c r="H63" s="64">
        <v>30.32</v>
      </c>
      <c r="I63" s="64">
        <v>4.9800000000000004</v>
      </c>
      <c r="J63" s="64">
        <v>1.04</v>
      </c>
      <c r="K63" s="64">
        <v>112.92</v>
      </c>
      <c r="L63" s="64">
        <v>28.33</v>
      </c>
      <c r="M63" s="64">
        <v>74.209999999999994</v>
      </c>
      <c r="N63" s="64">
        <v>271</v>
      </c>
      <c r="O63" s="64">
        <v>0</v>
      </c>
      <c r="P63" s="64">
        <v>0.54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2127</v>
      </c>
      <c r="B64" s="64">
        <v>3.88</v>
      </c>
      <c r="C64" s="64">
        <v>12.39</v>
      </c>
      <c r="D64" s="64">
        <v>9.58</v>
      </c>
      <c r="E64" s="64">
        <v>4.7</v>
      </c>
      <c r="F64" s="64">
        <v>4.3</v>
      </c>
      <c r="G64" s="64">
        <v>59.9</v>
      </c>
      <c r="H64" s="64">
        <v>30.17</v>
      </c>
      <c r="I64" s="64">
        <v>5.18</v>
      </c>
      <c r="J64" s="64">
        <v>1.1499999999999999</v>
      </c>
      <c r="K64" s="64">
        <v>131.93</v>
      </c>
      <c r="L64" s="64">
        <v>28.14</v>
      </c>
      <c r="M64" s="64">
        <v>74.66</v>
      </c>
      <c r="N64" s="64">
        <v>203</v>
      </c>
      <c r="O64" s="64">
        <v>0</v>
      </c>
      <c r="P64" s="64">
        <v>0.54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2128</v>
      </c>
      <c r="B65" s="64">
        <v>2.62</v>
      </c>
      <c r="C65" s="64">
        <v>11.55</v>
      </c>
      <c r="D65" s="64">
        <v>8.14</v>
      </c>
      <c r="E65" s="64">
        <v>5.05</v>
      </c>
      <c r="F65" s="64">
        <v>4.4000000000000004</v>
      </c>
      <c r="G65" s="64">
        <v>59.9</v>
      </c>
      <c r="H65" s="64">
        <v>30.17</v>
      </c>
      <c r="I65" s="64">
        <v>5.3</v>
      </c>
      <c r="J65" s="64">
        <v>0.79</v>
      </c>
      <c r="K65" s="64">
        <v>113.26</v>
      </c>
      <c r="L65" s="64">
        <v>27.9</v>
      </c>
      <c r="M65" s="64">
        <v>76.63</v>
      </c>
      <c r="N65" s="64">
        <v>214.7</v>
      </c>
      <c r="O65" s="64">
        <v>0</v>
      </c>
      <c r="P65" s="64">
        <v>0.5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2129</v>
      </c>
      <c r="B66" s="64">
        <v>1.65</v>
      </c>
      <c r="C66" s="64">
        <v>11.04</v>
      </c>
      <c r="D66" s="64">
        <v>7.1</v>
      </c>
      <c r="E66" s="64">
        <v>4.75</v>
      </c>
      <c r="F66" s="64">
        <v>4.8</v>
      </c>
      <c r="G66" s="64">
        <v>59.9</v>
      </c>
      <c r="H66" s="64">
        <v>30.17</v>
      </c>
      <c r="I66" s="64">
        <v>4.7300000000000004</v>
      </c>
      <c r="J66" s="64">
        <v>1.52</v>
      </c>
      <c r="K66" s="64">
        <v>106.96</v>
      </c>
      <c r="L66" s="64">
        <v>28.24</v>
      </c>
      <c r="M66" s="64">
        <v>74.430000000000007</v>
      </c>
      <c r="N66" s="64">
        <v>237.8</v>
      </c>
      <c r="O66" s="64">
        <v>0</v>
      </c>
      <c r="P66" s="64">
        <v>0.48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2130</v>
      </c>
      <c r="B67" s="64">
        <v>1.08</v>
      </c>
      <c r="C67" s="64">
        <v>10.08</v>
      </c>
      <c r="D67" s="64">
        <v>6.13</v>
      </c>
      <c r="E67" s="64">
        <v>4.82</v>
      </c>
      <c r="F67" s="64">
        <v>4.5199999999999996</v>
      </c>
      <c r="G67" s="64">
        <v>57.96</v>
      </c>
      <c r="H67" s="64">
        <v>27.53</v>
      </c>
      <c r="I67" s="64">
        <v>4.41</v>
      </c>
      <c r="J67" s="64">
        <v>1.0900000000000001</v>
      </c>
      <c r="K67" s="64">
        <v>120.61</v>
      </c>
      <c r="L67" s="64">
        <v>28.25</v>
      </c>
      <c r="M67" s="64">
        <v>74.7</v>
      </c>
      <c r="N67" s="64">
        <v>228.1</v>
      </c>
      <c r="O67" s="64">
        <v>0</v>
      </c>
      <c r="P67" s="64">
        <v>0.44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2131</v>
      </c>
      <c r="B68" s="64">
        <v>0.73</v>
      </c>
      <c r="C68" s="64">
        <v>9.3000000000000007</v>
      </c>
      <c r="D68" s="64">
        <v>5.44</v>
      </c>
      <c r="E68" s="64">
        <v>4.6900000000000004</v>
      </c>
      <c r="F68" s="64">
        <v>4.54</v>
      </c>
      <c r="G68" s="64">
        <v>57.12</v>
      </c>
      <c r="H68" s="64">
        <v>27.18</v>
      </c>
      <c r="I68" s="64">
        <v>3.91</v>
      </c>
      <c r="J68" s="64">
        <v>1.05</v>
      </c>
      <c r="K68" s="64">
        <v>146.83000000000001</v>
      </c>
      <c r="L68" s="64">
        <v>28.17</v>
      </c>
      <c r="M68" s="64">
        <v>73.63</v>
      </c>
      <c r="N68" s="64">
        <v>174.4</v>
      </c>
      <c r="O68" s="64">
        <v>0</v>
      </c>
      <c r="P68" s="64">
        <v>0.43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2132</v>
      </c>
      <c r="B69" s="64">
        <v>0.54</v>
      </c>
      <c r="C69" s="64">
        <v>8.76</v>
      </c>
      <c r="D69" s="64">
        <v>5.01</v>
      </c>
      <c r="E69" s="64">
        <v>5.05</v>
      </c>
      <c r="F69" s="64">
        <v>4.6399999999999997</v>
      </c>
      <c r="G69" s="64">
        <v>57.12</v>
      </c>
      <c r="H69" s="64">
        <v>27.18</v>
      </c>
      <c r="I69" s="64">
        <v>3.76</v>
      </c>
      <c r="J69" s="64">
        <v>1.32</v>
      </c>
      <c r="K69" s="64">
        <v>110.16</v>
      </c>
      <c r="L69" s="64">
        <v>27.98</v>
      </c>
      <c r="M69" s="64">
        <v>72.739999999999995</v>
      </c>
      <c r="N69" s="64">
        <v>122.9</v>
      </c>
      <c r="O69" s="64">
        <v>0</v>
      </c>
      <c r="P69" s="64">
        <v>0.41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2133</v>
      </c>
      <c r="B70" s="64">
        <v>0.38</v>
      </c>
      <c r="C70" s="64">
        <v>8.09</v>
      </c>
      <c r="D70" s="64">
        <v>4.54</v>
      </c>
      <c r="E70" s="64">
        <v>4.96</v>
      </c>
      <c r="F70" s="64">
        <v>5.2</v>
      </c>
      <c r="G70" s="64">
        <v>57.12</v>
      </c>
      <c r="H70" s="64">
        <v>27.18</v>
      </c>
      <c r="I70" s="64">
        <v>3.41</v>
      </c>
      <c r="J70" s="64">
        <v>1.3</v>
      </c>
      <c r="K70" s="64">
        <v>115.34</v>
      </c>
      <c r="L70" s="64">
        <v>27.58</v>
      </c>
      <c r="M70" s="64">
        <v>74.680000000000007</v>
      </c>
      <c r="N70" s="64">
        <v>115.7</v>
      </c>
      <c r="O70" s="64">
        <v>0</v>
      </c>
      <c r="P70" s="64">
        <v>0.39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2134</v>
      </c>
      <c r="B71" s="64">
        <v>0.42</v>
      </c>
      <c r="C71" s="64">
        <v>7.97</v>
      </c>
      <c r="D71" s="64">
        <v>4.5</v>
      </c>
      <c r="E71" s="64">
        <v>5.22</v>
      </c>
      <c r="F71" s="64">
        <v>5.26</v>
      </c>
      <c r="G71" s="64">
        <v>50.92</v>
      </c>
      <c r="H71" s="64">
        <v>26.09</v>
      </c>
      <c r="I71" s="64">
        <v>3.44</v>
      </c>
      <c r="J71" s="64">
        <v>3.03</v>
      </c>
      <c r="K71" s="64">
        <v>338.59</v>
      </c>
      <c r="L71" s="64">
        <v>27</v>
      </c>
      <c r="M71" s="64">
        <v>74.14</v>
      </c>
      <c r="N71" s="64">
        <v>128.19999999999999</v>
      </c>
      <c r="O71" s="64">
        <v>0</v>
      </c>
      <c r="P71" s="64">
        <v>0.48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2135</v>
      </c>
      <c r="B72" s="64">
        <v>0.51</v>
      </c>
      <c r="C72" s="64">
        <v>9.6999999999999993</v>
      </c>
      <c r="D72" s="64">
        <v>5.48</v>
      </c>
      <c r="E72" s="64">
        <v>6.02</v>
      </c>
      <c r="F72" s="64">
        <v>5.99</v>
      </c>
      <c r="G72" s="64">
        <v>48.26</v>
      </c>
      <c r="H72" s="64">
        <v>26.02</v>
      </c>
      <c r="I72" s="64">
        <v>3.2</v>
      </c>
      <c r="J72" s="64">
        <v>3.11</v>
      </c>
      <c r="K72" s="64">
        <v>336.08</v>
      </c>
      <c r="L72" s="64">
        <v>25.72</v>
      </c>
      <c r="M72" s="64">
        <v>68.23</v>
      </c>
      <c r="N72" s="64">
        <v>117.9</v>
      </c>
      <c r="O72" s="64">
        <v>0</v>
      </c>
      <c r="P72" s="64">
        <v>0.47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5" t="s">
        <v>2136</v>
      </c>
      <c r="B73" s="64">
        <v>0.59</v>
      </c>
      <c r="C73" s="64">
        <v>11.48</v>
      </c>
      <c r="D73" s="64">
        <v>6.48</v>
      </c>
      <c r="E73" s="64">
        <v>6.01</v>
      </c>
      <c r="F73" s="64">
        <v>5.62</v>
      </c>
      <c r="G73" s="64">
        <v>48.26</v>
      </c>
      <c r="H73" s="64">
        <v>26.02</v>
      </c>
      <c r="I73" s="64">
        <v>4.3600000000000003</v>
      </c>
      <c r="J73" s="64">
        <v>2.31</v>
      </c>
      <c r="K73" s="64">
        <v>335.82</v>
      </c>
      <c r="L73" s="64">
        <v>25.58</v>
      </c>
      <c r="M73" s="64">
        <v>65.069999999999993</v>
      </c>
      <c r="N73" s="64">
        <v>82.2</v>
      </c>
      <c r="O73" s="64">
        <v>0</v>
      </c>
      <c r="P73" s="64">
        <v>0.47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5" t="s">
        <v>2137</v>
      </c>
      <c r="B74" s="64">
        <v>0.94</v>
      </c>
      <c r="C74" s="64">
        <v>12.9</v>
      </c>
      <c r="D74" s="64">
        <v>7.49</v>
      </c>
      <c r="E74" s="64">
        <v>6.02</v>
      </c>
      <c r="F74" s="64">
        <v>4.99</v>
      </c>
      <c r="G74" s="64">
        <v>48.26</v>
      </c>
      <c r="H74" s="64">
        <v>26.02</v>
      </c>
      <c r="I74" s="64">
        <v>4.71</v>
      </c>
      <c r="J74" s="64">
        <v>1.46</v>
      </c>
      <c r="K74" s="64">
        <v>338.05</v>
      </c>
      <c r="L74" s="64">
        <v>25.47</v>
      </c>
      <c r="M74" s="64">
        <v>65.989999999999995</v>
      </c>
      <c r="N74" s="64">
        <v>51.1</v>
      </c>
      <c r="O74" s="64">
        <v>0</v>
      </c>
      <c r="P74" s="64">
        <v>0.5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5" t="s">
        <v>2138</v>
      </c>
      <c r="B75" s="64">
        <v>1.92</v>
      </c>
      <c r="C75" s="64">
        <v>13.89</v>
      </c>
      <c r="D75" s="64">
        <v>8.7899999999999991</v>
      </c>
      <c r="E75" s="64">
        <v>6.1</v>
      </c>
      <c r="F75" s="64">
        <v>4.47</v>
      </c>
      <c r="G75" s="64">
        <v>48.86</v>
      </c>
      <c r="H75" s="64">
        <v>27.69</v>
      </c>
      <c r="I75" s="64">
        <v>4.37</v>
      </c>
      <c r="J75" s="64">
        <v>1.05</v>
      </c>
      <c r="K75" s="64">
        <v>342.54</v>
      </c>
      <c r="L75" s="64">
        <v>25.35</v>
      </c>
      <c r="M75" s="64">
        <v>73.569999999999993</v>
      </c>
      <c r="N75" s="64">
        <v>46.6</v>
      </c>
      <c r="O75" s="64">
        <v>0</v>
      </c>
      <c r="P75" s="64">
        <v>0.62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2139</v>
      </c>
      <c r="B76" s="64">
        <v>3.38</v>
      </c>
      <c r="C76" s="64">
        <v>14.68</v>
      </c>
      <c r="D76" s="64">
        <v>10.38</v>
      </c>
      <c r="E76" s="64">
        <v>6.17</v>
      </c>
      <c r="F76" s="64">
        <v>4.07</v>
      </c>
      <c r="G76" s="64">
        <v>49.12</v>
      </c>
      <c r="H76" s="64">
        <v>27.82</v>
      </c>
      <c r="I76" s="64">
        <v>4.18</v>
      </c>
      <c r="J76" s="64">
        <v>7.0000000000000007E-2</v>
      </c>
      <c r="K76" s="64">
        <v>71.2</v>
      </c>
      <c r="L76" s="64">
        <v>24.9</v>
      </c>
      <c r="M76" s="64">
        <v>76.73</v>
      </c>
      <c r="N76" s="64">
        <v>41</v>
      </c>
      <c r="O76" s="64">
        <v>0</v>
      </c>
      <c r="P76" s="64">
        <v>0.69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2140</v>
      </c>
      <c r="B77" s="64">
        <v>4.2</v>
      </c>
      <c r="C77" s="64">
        <v>15.09</v>
      </c>
      <c r="D77" s="64">
        <v>11.25</v>
      </c>
      <c r="E77" s="64">
        <v>6.18</v>
      </c>
      <c r="F77" s="64">
        <v>4.01</v>
      </c>
      <c r="G77" s="64">
        <v>49.12</v>
      </c>
      <c r="H77" s="64">
        <v>27.82</v>
      </c>
      <c r="I77" s="64">
        <v>4.01</v>
      </c>
      <c r="J77" s="64">
        <v>0.77</v>
      </c>
      <c r="K77" s="64">
        <v>143.19999999999999</v>
      </c>
      <c r="L77" s="64">
        <v>25.01</v>
      </c>
      <c r="M77" s="64">
        <v>77.56</v>
      </c>
      <c r="N77" s="64">
        <v>33.5</v>
      </c>
      <c r="O77" s="64">
        <v>0</v>
      </c>
      <c r="P77" s="64">
        <v>0.62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5" t="s">
        <v>2141</v>
      </c>
      <c r="B78" s="64">
        <v>4.3</v>
      </c>
      <c r="C78" s="64">
        <v>15.31</v>
      </c>
      <c r="D78" s="64">
        <v>11.44</v>
      </c>
      <c r="E78" s="64">
        <v>5.88</v>
      </c>
      <c r="F78" s="64">
        <v>3.97</v>
      </c>
      <c r="G78" s="64">
        <v>49.12</v>
      </c>
      <c r="H78" s="64">
        <v>27.82</v>
      </c>
      <c r="I78" s="64">
        <v>3.19</v>
      </c>
      <c r="J78" s="64">
        <v>0.7</v>
      </c>
      <c r="K78" s="64">
        <v>136.35</v>
      </c>
      <c r="L78" s="64">
        <v>25.16</v>
      </c>
      <c r="M78" s="64">
        <v>75.27</v>
      </c>
      <c r="N78" s="64">
        <v>30.6</v>
      </c>
      <c r="O78" s="64">
        <v>0</v>
      </c>
      <c r="P78" s="64">
        <v>0.62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5" t="s">
        <v>2142</v>
      </c>
      <c r="B79" s="64">
        <v>4.33</v>
      </c>
      <c r="C79" s="64">
        <v>15.41</v>
      </c>
      <c r="D79" s="64">
        <v>11.52</v>
      </c>
      <c r="E79" s="64">
        <v>5.84</v>
      </c>
      <c r="F79" s="64">
        <v>3.91</v>
      </c>
      <c r="G79" s="64">
        <v>62.98</v>
      </c>
      <c r="H79" s="64">
        <v>30.82</v>
      </c>
      <c r="I79" s="64">
        <v>3.61</v>
      </c>
      <c r="J79" s="64">
        <v>0.48</v>
      </c>
      <c r="K79" s="64">
        <v>177.03</v>
      </c>
      <c r="L79" s="64">
        <v>25.15</v>
      </c>
      <c r="M79" s="64">
        <v>74.33</v>
      </c>
      <c r="N79" s="64">
        <v>27.4</v>
      </c>
      <c r="O79" s="64">
        <v>0</v>
      </c>
      <c r="P79" s="64">
        <v>0.6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5" t="s">
        <v>2143</v>
      </c>
      <c r="B80" s="64">
        <v>4.17</v>
      </c>
      <c r="C80" s="64">
        <v>14.65</v>
      </c>
      <c r="D80" s="64">
        <v>11</v>
      </c>
      <c r="E80" s="64">
        <v>6.28</v>
      </c>
      <c r="F80" s="64">
        <v>4.2300000000000004</v>
      </c>
      <c r="G80" s="64">
        <v>68.92</v>
      </c>
      <c r="H80" s="64">
        <v>31.06</v>
      </c>
      <c r="I80" s="64">
        <v>3.87</v>
      </c>
      <c r="J80" s="64">
        <v>0.51</v>
      </c>
      <c r="K80" s="64">
        <v>171.94</v>
      </c>
      <c r="L80" s="64">
        <v>24.57</v>
      </c>
      <c r="M80" s="64">
        <v>77.33</v>
      </c>
      <c r="N80" s="64">
        <v>26.2</v>
      </c>
      <c r="O80" s="64">
        <v>0</v>
      </c>
      <c r="P80" s="64">
        <v>0.57999999999999996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2144</v>
      </c>
      <c r="B81" s="64">
        <v>4.29</v>
      </c>
      <c r="C81" s="64">
        <v>14.1</v>
      </c>
      <c r="D81" s="64">
        <v>10.8</v>
      </c>
      <c r="E81" s="64">
        <v>5.85</v>
      </c>
      <c r="F81" s="64">
        <v>4.05</v>
      </c>
      <c r="G81" s="64">
        <v>68.92</v>
      </c>
      <c r="H81" s="64">
        <v>31.06</v>
      </c>
      <c r="I81" s="64">
        <v>3.92</v>
      </c>
      <c r="J81" s="64">
        <v>0.49</v>
      </c>
      <c r="K81" s="64">
        <v>205.6</v>
      </c>
      <c r="L81" s="64">
        <v>24.1</v>
      </c>
      <c r="M81" s="64">
        <v>88.87</v>
      </c>
      <c r="N81" s="64">
        <v>24.6</v>
      </c>
      <c r="O81" s="64">
        <v>0</v>
      </c>
      <c r="P81" s="64">
        <v>0.67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2145</v>
      </c>
      <c r="B82" s="64">
        <v>4.78</v>
      </c>
      <c r="C82" s="64">
        <v>14.05</v>
      </c>
      <c r="D82" s="64">
        <v>11.18</v>
      </c>
      <c r="E82" s="64">
        <v>5.74</v>
      </c>
      <c r="F82" s="64">
        <v>3.01</v>
      </c>
      <c r="G82" s="64">
        <v>68.92</v>
      </c>
      <c r="H82" s="64">
        <v>31.06</v>
      </c>
      <c r="I82" s="64">
        <v>3.93</v>
      </c>
      <c r="J82" s="64">
        <v>0.52</v>
      </c>
      <c r="K82" s="64">
        <v>326.16000000000003</v>
      </c>
      <c r="L82" s="64">
        <v>23.79</v>
      </c>
      <c r="M82" s="64">
        <v>94.16</v>
      </c>
      <c r="N82" s="64">
        <v>25.3</v>
      </c>
      <c r="O82" s="64">
        <v>0</v>
      </c>
      <c r="P82" s="64">
        <v>0.86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2146</v>
      </c>
      <c r="B83" s="64">
        <v>6</v>
      </c>
      <c r="C83" s="64">
        <v>13.05</v>
      </c>
      <c r="D83" s="64">
        <v>11.63</v>
      </c>
      <c r="E83" s="64">
        <v>6.39</v>
      </c>
      <c r="F83" s="64">
        <v>3.29</v>
      </c>
      <c r="G83" s="64">
        <v>70.22</v>
      </c>
      <c r="H83" s="64">
        <v>34.57</v>
      </c>
      <c r="I83" s="64">
        <v>4.13</v>
      </c>
      <c r="J83" s="64">
        <v>0.39</v>
      </c>
      <c r="K83" s="64">
        <v>244.74</v>
      </c>
      <c r="L83" s="64">
        <v>23.82</v>
      </c>
      <c r="M83" s="64">
        <v>95.31</v>
      </c>
      <c r="N83" s="64">
        <v>26</v>
      </c>
      <c r="O83" s="64">
        <v>0</v>
      </c>
      <c r="P83" s="64">
        <v>1.2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2147</v>
      </c>
      <c r="B84" s="64">
        <v>6.91</v>
      </c>
      <c r="C84" s="64">
        <v>12.15</v>
      </c>
      <c r="D84" s="64">
        <v>11.89</v>
      </c>
      <c r="E84" s="64">
        <v>6.06</v>
      </c>
      <c r="F84" s="64">
        <v>3.11</v>
      </c>
      <c r="G84" s="64">
        <v>70.78</v>
      </c>
      <c r="H84" s="64">
        <v>34.92</v>
      </c>
      <c r="I84" s="64">
        <v>4.82</v>
      </c>
      <c r="J84" s="64">
        <v>0.11</v>
      </c>
      <c r="K84" s="64">
        <v>198.6</v>
      </c>
      <c r="L84" s="64">
        <v>23.98</v>
      </c>
      <c r="M84" s="64">
        <v>89.89</v>
      </c>
      <c r="N84" s="64">
        <v>26.5</v>
      </c>
      <c r="O84" s="64">
        <v>0</v>
      </c>
      <c r="P84" s="64">
        <v>0.95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2148</v>
      </c>
      <c r="B85" s="64">
        <v>7.53</v>
      </c>
      <c r="C85" s="64">
        <v>11.56</v>
      </c>
      <c r="D85" s="64">
        <v>12.07</v>
      </c>
      <c r="E85" s="64">
        <v>6.14</v>
      </c>
      <c r="F85" s="64">
        <v>3.71</v>
      </c>
      <c r="G85" s="64">
        <v>70.78</v>
      </c>
      <c r="H85" s="64">
        <v>34.92</v>
      </c>
      <c r="I85" s="64">
        <v>5.1100000000000003</v>
      </c>
      <c r="J85" s="64">
        <v>0.15</v>
      </c>
      <c r="K85" s="64">
        <v>128.16</v>
      </c>
      <c r="L85" s="64">
        <v>23.92</v>
      </c>
      <c r="M85" s="64">
        <v>88.64</v>
      </c>
      <c r="N85" s="64">
        <v>26.5</v>
      </c>
      <c r="O85" s="64">
        <v>0</v>
      </c>
      <c r="P85" s="64">
        <v>0.85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2149</v>
      </c>
      <c r="B86" s="64">
        <v>7.88</v>
      </c>
      <c r="C86" s="64">
        <v>10.91</v>
      </c>
      <c r="D86" s="64">
        <v>12.02</v>
      </c>
      <c r="E86" s="64">
        <v>5.96</v>
      </c>
      <c r="F86" s="64">
        <v>2.99</v>
      </c>
      <c r="G86" s="64">
        <v>70.78</v>
      </c>
      <c r="H86" s="64">
        <v>34.92</v>
      </c>
      <c r="I86" s="64">
        <v>5.32</v>
      </c>
      <c r="J86" s="64">
        <v>0.37</v>
      </c>
      <c r="K86" s="64">
        <v>188.78</v>
      </c>
      <c r="L86" s="64">
        <v>23.91</v>
      </c>
      <c r="M86" s="64">
        <v>88.43</v>
      </c>
      <c r="N86" s="64">
        <v>26.3</v>
      </c>
      <c r="O86" s="64">
        <v>0</v>
      </c>
      <c r="P86" s="64">
        <v>0.8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2150</v>
      </c>
      <c r="B87" s="64">
        <v>7.85</v>
      </c>
      <c r="C87" s="64">
        <v>10.17</v>
      </c>
      <c r="D87" s="64">
        <v>11.61</v>
      </c>
      <c r="E87" s="64">
        <v>6.08</v>
      </c>
      <c r="F87" s="64">
        <v>3.4</v>
      </c>
      <c r="G87" s="64">
        <v>70.69</v>
      </c>
      <c r="H87" s="64">
        <v>34.020000000000003</v>
      </c>
      <c r="I87" s="64">
        <v>4.8899999999999997</v>
      </c>
      <c r="J87" s="64">
        <v>0.27</v>
      </c>
      <c r="K87" s="64">
        <v>117.99</v>
      </c>
      <c r="L87" s="64">
        <v>23.91</v>
      </c>
      <c r="M87" s="64">
        <v>87.65</v>
      </c>
      <c r="N87" s="64">
        <v>26.2</v>
      </c>
      <c r="O87" s="64">
        <v>0</v>
      </c>
      <c r="P87" s="64">
        <v>0.73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5" t="s">
        <v>2151</v>
      </c>
      <c r="B88" s="64">
        <v>7.79</v>
      </c>
      <c r="C88" s="64">
        <v>9.58</v>
      </c>
      <c r="D88" s="64">
        <v>11.25</v>
      </c>
      <c r="E88" s="64">
        <v>4.97</v>
      </c>
      <c r="F88" s="64">
        <v>3.53</v>
      </c>
      <c r="G88" s="64">
        <v>70.650000000000006</v>
      </c>
      <c r="H88" s="64">
        <v>33.96</v>
      </c>
      <c r="I88" s="64">
        <v>5.91</v>
      </c>
      <c r="J88" s="64">
        <v>0.13</v>
      </c>
      <c r="K88" s="64">
        <v>141.28</v>
      </c>
      <c r="L88" s="64">
        <v>23.92</v>
      </c>
      <c r="M88" s="64">
        <v>89.6</v>
      </c>
      <c r="N88" s="64">
        <v>26.2</v>
      </c>
      <c r="O88" s="64">
        <v>0</v>
      </c>
      <c r="P88" s="64">
        <v>0.79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2152</v>
      </c>
      <c r="B89" s="64">
        <v>8.1</v>
      </c>
      <c r="C89" s="64">
        <v>9.15</v>
      </c>
      <c r="D89" s="64">
        <v>11.28</v>
      </c>
      <c r="E89" s="64">
        <v>6.38</v>
      </c>
      <c r="F89" s="64">
        <v>3.41</v>
      </c>
      <c r="G89" s="64">
        <v>70.650000000000006</v>
      </c>
      <c r="H89" s="64">
        <v>33.96</v>
      </c>
      <c r="I89" s="64">
        <v>4.67</v>
      </c>
      <c r="J89" s="64">
        <v>0.38</v>
      </c>
      <c r="K89" s="64">
        <v>346.91</v>
      </c>
      <c r="L89" s="64">
        <v>24.01</v>
      </c>
      <c r="M89" s="64">
        <v>92.14</v>
      </c>
      <c r="N89" s="64">
        <v>26.2</v>
      </c>
      <c r="O89" s="64">
        <v>0</v>
      </c>
      <c r="P89" s="64">
        <v>1.02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2153</v>
      </c>
      <c r="B90" s="64">
        <v>9.23</v>
      </c>
      <c r="C90" s="64">
        <v>8.8800000000000008</v>
      </c>
      <c r="D90" s="64">
        <v>12.04</v>
      </c>
      <c r="E90" s="64">
        <v>6.36</v>
      </c>
      <c r="F90" s="64">
        <v>3.34</v>
      </c>
      <c r="G90" s="64">
        <v>70.650000000000006</v>
      </c>
      <c r="H90" s="64">
        <v>33.96</v>
      </c>
      <c r="I90" s="64">
        <v>3.69</v>
      </c>
      <c r="J90" s="64">
        <v>0.59</v>
      </c>
      <c r="K90" s="64">
        <v>333.28</v>
      </c>
      <c r="L90" s="64">
        <v>23.76</v>
      </c>
      <c r="M90" s="64">
        <v>95.82</v>
      </c>
      <c r="N90" s="64">
        <v>26.2</v>
      </c>
      <c r="O90" s="64">
        <v>0</v>
      </c>
      <c r="P90" s="64">
        <v>1.08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2154</v>
      </c>
      <c r="B91" s="64">
        <v>9.8699999999999992</v>
      </c>
      <c r="C91" s="64">
        <v>9.4</v>
      </c>
      <c r="D91" s="64">
        <v>12.83</v>
      </c>
      <c r="E91" s="64">
        <v>6.35</v>
      </c>
      <c r="F91" s="64">
        <v>3.82</v>
      </c>
      <c r="G91" s="64">
        <v>70.510000000000005</v>
      </c>
      <c r="H91" s="64">
        <v>32.82</v>
      </c>
      <c r="I91" s="64">
        <v>4.5999999999999996</v>
      </c>
      <c r="J91" s="64">
        <v>0.51</v>
      </c>
      <c r="K91" s="64">
        <v>337.54</v>
      </c>
      <c r="L91" s="64">
        <v>23.49</v>
      </c>
      <c r="M91" s="64">
        <v>97.87</v>
      </c>
      <c r="N91" s="64">
        <v>26.2</v>
      </c>
      <c r="O91" s="64">
        <v>0</v>
      </c>
      <c r="P91" s="64">
        <v>0.9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2155</v>
      </c>
      <c r="B92" s="64">
        <v>11.34</v>
      </c>
      <c r="C92" s="64">
        <v>9.23</v>
      </c>
      <c r="D92" s="64">
        <v>13.91</v>
      </c>
      <c r="E92" s="64">
        <v>6.87</v>
      </c>
      <c r="F92" s="64">
        <v>3.28</v>
      </c>
      <c r="G92" s="64">
        <v>70.45</v>
      </c>
      <c r="H92" s="64">
        <v>32.75</v>
      </c>
      <c r="I92" s="64">
        <v>5.28</v>
      </c>
      <c r="J92" s="64">
        <v>0.44</v>
      </c>
      <c r="K92" s="64">
        <v>341.41</v>
      </c>
      <c r="L92" s="64">
        <v>23.48</v>
      </c>
      <c r="M92" s="64">
        <v>100.47</v>
      </c>
      <c r="N92" s="64">
        <v>26.1</v>
      </c>
      <c r="O92" s="64">
        <v>0</v>
      </c>
      <c r="P92" s="64">
        <v>1.07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2156</v>
      </c>
      <c r="B93" s="64">
        <v>12.09</v>
      </c>
      <c r="C93" s="64">
        <v>9.5299999999999994</v>
      </c>
      <c r="D93" s="64">
        <v>14.68</v>
      </c>
      <c r="E93" s="64">
        <v>6.51</v>
      </c>
      <c r="F93" s="64">
        <v>3.39</v>
      </c>
      <c r="G93" s="64">
        <v>70.45</v>
      </c>
      <c r="H93" s="64">
        <v>32.75</v>
      </c>
      <c r="I93" s="64">
        <v>5.29</v>
      </c>
      <c r="J93" s="64">
        <v>0.3</v>
      </c>
      <c r="K93" s="64">
        <v>24.87</v>
      </c>
      <c r="L93" s="64">
        <v>23.59</v>
      </c>
      <c r="M93" s="64">
        <v>101.35</v>
      </c>
      <c r="N93" s="64">
        <v>26</v>
      </c>
      <c r="O93" s="64">
        <v>0</v>
      </c>
      <c r="P93" s="64">
        <v>0.61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2157</v>
      </c>
      <c r="B94" s="64">
        <v>11.49</v>
      </c>
      <c r="C94" s="64">
        <v>9.1300000000000008</v>
      </c>
      <c r="D94" s="64">
        <v>13.98</v>
      </c>
      <c r="E94" s="64">
        <v>6.47</v>
      </c>
      <c r="F94" s="64">
        <v>3.87</v>
      </c>
      <c r="G94" s="64">
        <v>70.45</v>
      </c>
      <c r="H94" s="64">
        <v>32.75</v>
      </c>
      <c r="I94" s="64">
        <v>5.45</v>
      </c>
      <c r="J94" s="64">
        <v>0.13</v>
      </c>
      <c r="K94" s="64">
        <v>64.84</v>
      </c>
      <c r="L94" s="64">
        <v>23.76</v>
      </c>
      <c r="M94" s="64">
        <v>97.73</v>
      </c>
      <c r="N94" s="64">
        <v>25.9</v>
      </c>
      <c r="O94" s="64">
        <v>0</v>
      </c>
      <c r="P94" s="64">
        <v>0.77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2158</v>
      </c>
      <c r="B95" s="64">
        <v>10.78</v>
      </c>
      <c r="C95" s="64">
        <v>8.76</v>
      </c>
      <c r="D95" s="64">
        <v>13.22</v>
      </c>
      <c r="E95" s="64">
        <v>6.64</v>
      </c>
      <c r="F95" s="64">
        <v>3.43</v>
      </c>
      <c r="G95" s="64">
        <v>64.47</v>
      </c>
      <c r="H95" s="64">
        <v>34.729999999999997</v>
      </c>
      <c r="I95" s="64">
        <v>3.67</v>
      </c>
      <c r="J95" s="64">
        <v>0.14000000000000001</v>
      </c>
      <c r="K95" s="64">
        <v>126.33</v>
      </c>
      <c r="L95" s="64">
        <v>23.73</v>
      </c>
      <c r="M95" s="64">
        <v>93.2</v>
      </c>
      <c r="N95" s="64">
        <v>26.2</v>
      </c>
      <c r="O95" s="64">
        <v>0</v>
      </c>
      <c r="P95" s="64">
        <v>0.67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2159</v>
      </c>
      <c r="B96" s="64">
        <v>9.8800000000000008</v>
      </c>
      <c r="C96" s="64">
        <v>8.9600000000000009</v>
      </c>
      <c r="D96" s="64">
        <v>12.6</v>
      </c>
      <c r="E96" s="64">
        <v>6.14</v>
      </c>
      <c r="F96" s="64">
        <v>3.85</v>
      </c>
      <c r="G96" s="64">
        <v>61.91</v>
      </c>
      <c r="H96" s="64">
        <v>34.86</v>
      </c>
      <c r="I96" s="64">
        <v>4.0199999999999996</v>
      </c>
      <c r="J96" s="64">
        <v>0.32</v>
      </c>
      <c r="K96" s="64">
        <v>126.1</v>
      </c>
      <c r="L96" s="64">
        <v>23.56</v>
      </c>
      <c r="M96" s="64">
        <v>91.14</v>
      </c>
      <c r="N96" s="64">
        <v>26.3</v>
      </c>
      <c r="O96" s="64">
        <v>0</v>
      </c>
      <c r="P96" s="64">
        <v>0.68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2160</v>
      </c>
      <c r="B97" s="64">
        <v>9.14</v>
      </c>
      <c r="C97" s="64">
        <v>8.8800000000000008</v>
      </c>
      <c r="D97" s="64">
        <v>11.97</v>
      </c>
      <c r="E97" s="64">
        <v>6.03</v>
      </c>
      <c r="F97" s="64">
        <v>4.0199999999999996</v>
      </c>
      <c r="G97" s="64">
        <v>61.91</v>
      </c>
      <c r="H97" s="64">
        <v>34.86</v>
      </c>
      <c r="I97" s="64">
        <v>4.63</v>
      </c>
      <c r="J97" s="64">
        <v>0.41</v>
      </c>
      <c r="K97" s="64">
        <v>122.95</v>
      </c>
      <c r="L97" s="64">
        <v>23.4</v>
      </c>
      <c r="M97" s="64">
        <v>91.99</v>
      </c>
      <c r="N97" s="64">
        <v>26.5</v>
      </c>
      <c r="O97" s="64">
        <v>0</v>
      </c>
      <c r="P97" s="64">
        <v>0.7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2161</v>
      </c>
      <c r="B98" s="64">
        <v>8.5500000000000007</v>
      </c>
      <c r="C98" s="64">
        <v>8.7100000000000009</v>
      </c>
      <c r="D98" s="64">
        <v>11.4</v>
      </c>
      <c r="E98" s="64">
        <v>6.32</v>
      </c>
      <c r="F98" s="64">
        <v>2.92</v>
      </c>
      <c r="G98" s="64">
        <v>61.91</v>
      </c>
      <c r="H98" s="64">
        <v>34.86</v>
      </c>
      <c r="I98" s="64">
        <v>4.2</v>
      </c>
      <c r="J98" s="64">
        <v>0.49</v>
      </c>
      <c r="K98" s="64">
        <v>154.07</v>
      </c>
      <c r="L98" s="64">
        <v>23.44</v>
      </c>
      <c r="M98" s="64">
        <v>92.12</v>
      </c>
      <c r="N98" s="64">
        <v>26.3</v>
      </c>
      <c r="O98" s="64">
        <v>0</v>
      </c>
      <c r="P98" s="64">
        <v>0.66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5" t="s">
        <v>2162</v>
      </c>
      <c r="B99" s="64">
        <v>7.92</v>
      </c>
      <c r="C99" s="64">
        <v>8.66</v>
      </c>
      <c r="D99" s="64">
        <v>10.87</v>
      </c>
      <c r="E99" s="64">
        <v>5.97</v>
      </c>
      <c r="F99" s="64">
        <v>3.93</v>
      </c>
      <c r="G99" s="64">
        <v>57.89</v>
      </c>
      <c r="H99" s="64">
        <v>27.96</v>
      </c>
      <c r="I99" s="64">
        <v>4.7</v>
      </c>
      <c r="J99" s="64">
        <v>0.47</v>
      </c>
      <c r="K99" s="64">
        <v>156.1</v>
      </c>
      <c r="L99" s="64">
        <v>23.33</v>
      </c>
      <c r="M99" s="64">
        <v>93.51</v>
      </c>
      <c r="N99" s="64">
        <v>26.2</v>
      </c>
      <c r="O99" s="64">
        <v>0</v>
      </c>
      <c r="P99" s="64">
        <v>0.67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2163</v>
      </c>
      <c r="B100" s="64">
        <v>7.58</v>
      </c>
      <c r="C100" s="64">
        <v>8.23</v>
      </c>
      <c r="D100" s="64">
        <v>10.38</v>
      </c>
      <c r="E100" s="64">
        <v>6.39</v>
      </c>
      <c r="F100" s="64">
        <v>2.97</v>
      </c>
      <c r="G100" s="64">
        <v>56.17</v>
      </c>
      <c r="H100" s="64">
        <v>27.25</v>
      </c>
      <c r="I100" s="64">
        <v>4.82</v>
      </c>
      <c r="J100" s="64">
        <v>0.32</v>
      </c>
      <c r="K100" s="64">
        <v>187</v>
      </c>
      <c r="L100" s="64">
        <v>23.41</v>
      </c>
      <c r="M100" s="64">
        <v>93.83</v>
      </c>
      <c r="N100" s="64">
        <v>26.3</v>
      </c>
      <c r="O100" s="64">
        <v>0</v>
      </c>
      <c r="P100" s="64">
        <v>0.49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2164</v>
      </c>
      <c r="B101" s="64">
        <v>7.36</v>
      </c>
      <c r="C101" s="64">
        <v>7.36</v>
      </c>
      <c r="D101" s="64">
        <v>9.74</v>
      </c>
      <c r="E101" s="64">
        <v>5.76</v>
      </c>
      <c r="F101" s="64">
        <v>3.74</v>
      </c>
      <c r="G101" s="64">
        <v>56.17</v>
      </c>
      <c r="H101" s="64">
        <v>27.25</v>
      </c>
      <c r="I101" s="64">
        <v>3.5</v>
      </c>
      <c r="J101" s="64">
        <v>0.28000000000000003</v>
      </c>
      <c r="K101" s="64">
        <v>323.64999999999998</v>
      </c>
      <c r="L101" s="64">
        <v>23.36</v>
      </c>
      <c r="M101" s="64">
        <v>95.5</v>
      </c>
      <c r="N101" s="64">
        <v>26.2</v>
      </c>
      <c r="O101" s="64">
        <v>0</v>
      </c>
      <c r="P101" s="64">
        <v>0.55000000000000004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5" t="s">
        <v>2165</v>
      </c>
      <c r="B102" s="64">
        <v>7.43</v>
      </c>
      <c r="C102" s="64">
        <v>7.04</v>
      </c>
      <c r="D102" s="64">
        <v>9.64</v>
      </c>
      <c r="E102" s="64">
        <v>5.43</v>
      </c>
      <c r="F102" s="64">
        <v>3.73</v>
      </c>
      <c r="G102" s="64">
        <v>56.17</v>
      </c>
      <c r="H102" s="64">
        <v>27.25</v>
      </c>
      <c r="I102" s="64">
        <v>2.2799999999999998</v>
      </c>
      <c r="J102" s="64">
        <v>0.5</v>
      </c>
      <c r="K102" s="64">
        <v>312.5</v>
      </c>
      <c r="L102" s="64">
        <v>23.43</v>
      </c>
      <c r="M102" s="64">
        <v>96.43</v>
      </c>
      <c r="N102" s="64">
        <v>26.3</v>
      </c>
      <c r="O102" s="64">
        <v>0</v>
      </c>
      <c r="P102" s="64">
        <v>0.56999999999999995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5" t="s">
        <v>2166</v>
      </c>
      <c r="B103" s="64">
        <v>7.51</v>
      </c>
      <c r="C103" s="64">
        <v>6.72</v>
      </c>
      <c r="D103" s="64">
        <v>9.5299999999999994</v>
      </c>
      <c r="E103" s="64">
        <v>5.28</v>
      </c>
      <c r="F103" s="64">
        <v>3.87</v>
      </c>
      <c r="G103" s="64">
        <v>51.61</v>
      </c>
      <c r="H103" s="64">
        <v>23.11</v>
      </c>
      <c r="I103" s="64">
        <v>2.3199999999999998</v>
      </c>
      <c r="J103" s="64">
        <v>0.27</v>
      </c>
      <c r="K103" s="64">
        <v>333.58</v>
      </c>
      <c r="L103" s="64">
        <v>23.44</v>
      </c>
      <c r="M103" s="64">
        <v>97.24</v>
      </c>
      <c r="N103" s="64">
        <v>26.1</v>
      </c>
      <c r="O103" s="64">
        <v>0</v>
      </c>
      <c r="P103" s="64">
        <v>0.5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2167</v>
      </c>
      <c r="B104" s="64">
        <v>7.57</v>
      </c>
      <c r="C104" s="64">
        <v>6.54</v>
      </c>
      <c r="D104" s="64">
        <v>9.49</v>
      </c>
      <c r="E104" s="64">
        <v>5.64</v>
      </c>
      <c r="F104" s="64">
        <v>3.32</v>
      </c>
      <c r="G104" s="64">
        <v>49.65</v>
      </c>
      <c r="H104" s="64">
        <v>22.84</v>
      </c>
      <c r="I104" s="64">
        <v>1.92</v>
      </c>
      <c r="J104" s="64">
        <v>0.42</v>
      </c>
      <c r="K104" s="64">
        <v>6.17</v>
      </c>
      <c r="L104" s="64">
        <v>23.47</v>
      </c>
      <c r="M104" s="64">
        <v>98.01</v>
      </c>
      <c r="N104" s="64">
        <v>26.3</v>
      </c>
      <c r="O104" s="64">
        <v>0</v>
      </c>
      <c r="P104" s="64">
        <v>0.56999999999999995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0.38</v>
      </c>
      <c r="C106" s="67">
        <f>MIN(C9:C104)</f>
        <v>4.17</v>
      </c>
      <c r="D106" s="67">
        <f t="shared" ref="D106:Q106" si="0">MIN(D9:D104)</f>
        <v>2.94</v>
      </c>
      <c r="E106" s="67">
        <f t="shared" si="0"/>
        <v>4.0599999999999996</v>
      </c>
      <c r="F106" s="67">
        <f t="shared" si="0"/>
        <v>2.6</v>
      </c>
      <c r="G106" s="67">
        <f t="shared" si="0"/>
        <v>11.22</v>
      </c>
      <c r="H106" s="67">
        <f t="shared" si="0"/>
        <v>1.24</v>
      </c>
      <c r="I106" s="67">
        <f t="shared" si="0"/>
        <v>0.49</v>
      </c>
      <c r="J106" s="67">
        <f t="shared" si="0"/>
        <v>0.02</v>
      </c>
      <c r="K106" s="67">
        <f t="shared" si="0"/>
        <v>1.23</v>
      </c>
      <c r="L106" s="67">
        <f t="shared" si="0"/>
        <v>22.69</v>
      </c>
      <c r="M106" s="67">
        <f t="shared" si="0"/>
        <v>59.65</v>
      </c>
      <c r="N106" s="67">
        <f t="shared" si="0"/>
        <v>24.6</v>
      </c>
      <c r="O106" s="67">
        <f t="shared" si="0"/>
        <v>0</v>
      </c>
      <c r="P106" s="67">
        <f t="shared" si="0"/>
        <v>0.28000000000000003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15.23</v>
      </c>
      <c r="C107" s="66">
        <f t="shared" ref="C107:Q107" si="1">MAX(C9:C104)</f>
        <v>15.41</v>
      </c>
      <c r="D107" s="66">
        <f t="shared" si="1"/>
        <v>18.02</v>
      </c>
      <c r="E107" s="66">
        <f t="shared" si="1"/>
        <v>6.87</v>
      </c>
      <c r="F107" s="66">
        <f t="shared" si="1"/>
        <v>5.99</v>
      </c>
      <c r="G107" s="66">
        <f t="shared" si="1"/>
        <v>74.73</v>
      </c>
      <c r="H107" s="66">
        <f t="shared" si="1"/>
        <v>37.770000000000003</v>
      </c>
      <c r="I107" s="66">
        <f t="shared" si="1"/>
        <v>5.91</v>
      </c>
      <c r="J107" s="66">
        <f t="shared" si="1"/>
        <v>3.11</v>
      </c>
      <c r="K107" s="66">
        <f t="shared" si="1"/>
        <v>356.24</v>
      </c>
      <c r="L107" s="66">
        <f t="shared" si="1"/>
        <v>31.49</v>
      </c>
      <c r="M107" s="66">
        <f t="shared" si="1"/>
        <v>101.35</v>
      </c>
      <c r="N107" s="66">
        <f t="shared" si="1"/>
        <v>514.4</v>
      </c>
      <c r="O107" s="66">
        <f t="shared" si="1"/>
        <v>0</v>
      </c>
      <c r="P107" s="66">
        <f t="shared" si="1"/>
        <v>1.2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5.9136458333333328</v>
      </c>
      <c r="C108" s="67">
        <f t="shared" ref="C108:Q108" si="2">AVERAGE(C9:C104)</f>
        <v>8.6763541666666644</v>
      </c>
      <c r="D108" s="67">
        <f t="shared" si="2"/>
        <v>9.274895833333332</v>
      </c>
      <c r="E108" s="67">
        <f t="shared" si="2"/>
        <v>5.3953124999999993</v>
      </c>
      <c r="F108" s="67">
        <f t="shared" si="2"/>
        <v>3.785833333333334</v>
      </c>
      <c r="G108" s="67">
        <f t="shared" si="2"/>
        <v>45.712812500000005</v>
      </c>
      <c r="H108" s="67">
        <f t="shared" si="2"/>
        <v>20.665937499999991</v>
      </c>
      <c r="I108" s="67">
        <f t="shared" si="2"/>
        <v>3.5963541666666665</v>
      </c>
      <c r="J108" s="67">
        <f t="shared" si="2"/>
        <v>0.65843750000000012</v>
      </c>
      <c r="K108" s="67">
        <f t="shared" si="2"/>
        <v>208.08520833333341</v>
      </c>
      <c r="L108" s="67">
        <f t="shared" si="2"/>
        <v>25.242395833333337</v>
      </c>
      <c r="M108" s="67">
        <f t="shared" si="2"/>
        <v>84.304583333333355</v>
      </c>
      <c r="N108" s="67">
        <f t="shared" si="2"/>
        <v>113.08229166666671</v>
      </c>
      <c r="O108" s="67">
        <f t="shared" si="2"/>
        <v>0</v>
      </c>
      <c r="P108" s="67">
        <f t="shared" si="2"/>
        <v>0.56572916666666662</v>
      </c>
      <c r="Q108" s="67">
        <f t="shared" si="2"/>
        <v>9.611041666666674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4.7245301899078669</v>
      </c>
      <c r="C109" s="67">
        <f t="shared" ref="C109:Q109" si="3">STDEV(C9:C104)</f>
        <v>3.3470974447757946</v>
      </c>
      <c r="D109" s="67">
        <f t="shared" si="3"/>
        <v>4.8431742515771994</v>
      </c>
      <c r="E109" s="67">
        <f t="shared" si="3"/>
        <v>0.72670120280475936</v>
      </c>
      <c r="F109" s="67">
        <f t="shared" si="3"/>
        <v>0.588048810481545</v>
      </c>
      <c r="G109" s="67">
        <f t="shared" si="3"/>
        <v>23.277318153679811</v>
      </c>
      <c r="H109" s="67">
        <f t="shared" si="3"/>
        <v>13.539240325274037</v>
      </c>
      <c r="I109" s="67">
        <f t="shared" si="3"/>
        <v>1.2145643531663757</v>
      </c>
      <c r="J109" s="67">
        <f t="shared" si="3"/>
        <v>0.55799137538137633</v>
      </c>
      <c r="K109" s="67">
        <f t="shared" si="3"/>
        <v>117.90679905380348</v>
      </c>
      <c r="L109" s="67">
        <f t="shared" si="3"/>
        <v>2.4837784225234314</v>
      </c>
      <c r="M109" s="67">
        <f t="shared" si="3"/>
        <v>11.385595693605108</v>
      </c>
      <c r="N109" s="67">
        <f t="shared" si="3"/>
        <v>126.8463247562445</v>
      </c>
      <c r="O109" s="67">
        <f t="shared" si="3"/>
        <v>0</v>
      </c>
      <c r="P109" s="67">
        <f t="shared" si="3"/>
        <v>0.19809484592602658</v>
      </c>
      <c r="Q109" s="67">
        <f t="shared" si="3"/>
        <v>8.3953830252318732E-3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2168</v>
      </c>
      <c r="B9" s="64">
        <v>7.69</v>
      </c>
      <c r="C9" s="64">
        <v>6.28</v>
      </c>
      <c r="D9" s="64">
        <v>9.4499999999999993</v>
      </c>
      <c r="E9" s="64">
        <v>5.0199999999999996</v>
      </c>
      <c r="F9" s="64">
        <v>3.42</v>
      </c>
      <c r="G9" s="64">
        <v>49.65</v>
      </c>
      <c r="H9" s="64">
        <v>22.84</v>
      </c>
      <c r="I9" s="64">
        <v>2.0699999999999998</v>
      </c>
      <c r="J9" s="64">
        <v>0.16</v>
      </c>
      <c r="K9" s="64">
        <v>186.93</v>
      </c>
      <c r="L9" s="64">
        <v>23.34</v>
      </c>
      <c r="M9" s="64">
        <v>99.04</v>
      </c>
      <c r="N9" s="64">
        <v>26.4</v>
      </c>
      <c r="O9" s="64">
        <v>0</v>
      </c>
      <c r="P9" s="64">
        <v>0.49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2169</v>
      </c>
      <c r="B10" s="64">
        <v>7.7</v>
      </c>
      <c r="C10" s="64">
        <v>6.09</v>
      </c>
      <c r="D10" s="64">
        <v>9.36</v>
      </c>
      <c r="E10" s="64">
        <v>4.96</v>
      </c>
      <c r="F10" s="64">
        <v>3.36</v>
      </c>
      <c r="G10" s="64">
        <v>49.65</v>
      </c>
      <c r="H10" s="64">
        <v>22.84</v>
      </c>
      <c r="I10" s="64">
        <v>1.99</v>
      </c>
      <c r="J10" s="64">
        <v>0.4</v>
      </c>
      <c r="K10" s="64">
        <v>312.98</v>
      </c>
      <c r="L10" s="64">
        <v>23.29</v>
      </c>
      <c r="M10" s="64">
        <v>100.63</v>
      </c>
      <c r="N10" s="64">
        <v>26.3</v>
      </c>
      <c r="O10" s="64">
        <v>0</v>
      </c>
      <c r="P10" s="64">
        <v>0.49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2170</v>
      </c>
      <c r="B11" s="64">
        <v>7.64</v>
      </c>
      <c r="C11" s="64">
        <v>5.92</v>
      </c>
      <c r="D11" s="64">
        <v>9.2200000000000006</v>
      </c>
      <c r="E11" s="64">
        <v>5.18</v>
      </c>
      <c r="F11" s="64">
        <v>3.03</v>
      </c>
      <c r="G11" s="64">
        <v>48.94</v>
      </c>
      <c r="H11" s="64">
        <v>21.57</v>
      </c>
      <c r="I11" s="64">
        <v>1.71</v>
      </c>
      <c r="J11" s="64">
        <v>0.09</v>
      </c>
      <c r="K11" s="64">
        <v>326.42</v>
      </c>
      <c r="L11" s="64">
        <v>23.39</v>
      </c>
      <c r="M11" s="64">
        <v>96.05</v>
      </c>
      <c r="N11" s="64">
        <v>26.2</v>
      </c>
      <c r="O11" s="64">
        <v>0</v>
      </c>
      <c r="P11" s="64">
        <v>0.55000000000000004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2171</v>
      </c>
      <c r="B12" s="64">
        <v>7.25</v>
      </c>
      <c r="C12" s="64">
        <v>6.08</v>
      </c>
      <c r="D12" s="64">
        <v>8.99</v>
      </c>
      <c r="E12" s="64">
        <v>4.95</v>
      </c>
      <c r="F12" s="64">
        <v>3.79</v>
      </c>
      <c r="G12" s="64">
        <v>48.63</v>
      </c>
      <c r="H12" s="64">
        <v>21.49</v>
      </c>
      <c r="I12" s="64">
        <v>1.46</v>
      </c>
      <c r="J12" s="64">
        <v>0.23</v>
      </c>
      <c r="K12" s="64">
        <v>286.87</v>
      </c>
      <c r="L12" s="64">
        <v>23.46</v>
      </c>
      <c r="M12" s="64">
        <v>93.73</v>
      </c>
      <c r="N12" s="64">
        <v>26.1</v>
      </c>
      <c r="O12" s="64">
        <v>0</v>
      </c>
      <c r="P12" s="64">
        <v>0.53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5" t="s">
        <v>2172</v>
      </c>
      <c r="B13" s="64">
        <v>6.73</v>
      </c>
      <c r="C13" s="64">
        <v>5.97</v>
      </c>
      <c r="D13" s="64">
        <v>8.52</v>
      </c>
      <c r="E13" s="64">
        <v>4.99</v>
      </c>
      <c r="F13" s="64">
        <v>3.44</v>
      </c>
      <c r="G13" s="64">
        <v>48.63</v>
      </c>
      <c r="H13" s="64">
        <v>21.49</v>
      </c>
      <c r="I13" s="64">
        <v>4.24</v>
      </c>
      <c r="J13" s="64">
        <v>1.63</v>
      </c>
      <c r="K13" s="64">
        <v>342.33</v>
      </c>
      <c r="L13" s="64">
        <v>23.56</v>
      </c>
      <c r="M13" s="64">
        <v>96.6</v>
      </c>
      <c r="N13" s="64">
        <v>26.1</v>
      </c>
      <c r="O13" s="64">
        <v>0</v>
      </c>
      <c r="P13" s="64">
        <v>0.55000000000000004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2173</v>
      </c>
      <c r="B14" s="64">
        <v>6.23</v>
      </c>
      <c r="C14" s="64">
        <v>6.31</v>
      </c>
      <c r="D14" s="64">
        <v>8.2899999999999991</v>
      </c>
      <c r="E14" s="64">
        <v>5.43</v>
      </c>
      <c r="F14" s="64">
        <v>3.98</v>
      </c>
      <c r="G14" s="64">
        <v>48.63</v>
      </c>
      <c r="H14" s="64">
        <v>21.49</v>
      </c>
      <c r="I14" s="64">
        <v>4.46</v>
      </c>
      <c r="J14" s="64">
        <v>1.78</v>
      </c>
      <c r="K14" s="64">
        <v>337.65</v>
      </c>
      <c r="L14" s="64">
        <v>23.48</v>
      </c>
      <c r="M14" s="64">
        <v>96.93</v>
      </c>
      <c r="N14" s="64">
        <v>26.5</v>
      </c>
      <c r="O14" s="64">
        <v>0</v>
      </c>
      <c r="P14" s="64">
        <v>0.57999999999999996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5" t="s">
        <v>2174</v>
      </c>
      <c r="B15" s="64">
        <v>5.81</v>
      </c>
      <c r="C15" s="64">
        <v>6.75</v>
      </c>
      <c r="D15" s="64">
        <v>8.18</v>
      </c>
      <c r="E15" s="64">
        <v>5.34</v>
      </c>
      <c r="F15" s="64">
        <v>3.76</v>
      </c>
      <c r="G15" s="64">
        <v>47.87</v>
      </c>
      <c r="H15" s="64">
        <v>18.71</v>
      </c>
      <c r="I15" s="64">
        <v>4.8099999999999996</v>
      </c>
      <c r="J15" s="64">
        <v>1.37</v>
      </c>
      <c r="K15" s="64">
        <v>330.82</v>
      </c>
      <c r="L15" s="64">
        <v>23.26</v>
      </c>
      <c r="M15" s="64">
        <v>96.45</v>
      </c>
      <c r="N15" s="64">
        <v>26.4</v>
      </c>
      <c r="O15" s="64">
        <v>0</v>
      </c>
      <c r="P15" s="64">
        <v>0.56000000000000005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5" t="s">
        <v>2175</v>
      </c>
      <c r="B16" s="64">
        <v>5.28</v>
      </c>
      <c r="C16" s="64">
        <v>7.09</v>
      </c>
      <c r="D16" s="64">
        <v>7.93</v>
      </c>
      <c r="E16" s="64">
        <v>5.1100000000000003</v>
      </c>
      <c r="F16" s="64">
        <v>3.56</v>
      </c>
      <c r="G16" s="64">
        <v>47.54</v>
      </c>
      <c r="H16" s="64">
        <v>18.489999999999998</v>
      </c>
      <c r="I16" s="64">
        <v>5.0199999999999996</v>
      </c>
      <c r="J16" s="64">
        <v>1.37</v>
      </c>
      <c r="K16" s="64">
        <v>336.99</v>
      </c>
      <c r="L16" s="64">
        <v>23.18</v>
      </c>
      <c r="M16" s="64">
        <v>95.18</v>
      </c>
      <c r="N16" s="64">
        <v>26.3</v>
      </c>
      <c r="O16" s="64">
        <v>0</v>
      </c>
      <c r="P16" s="64">
        <v>0.56000000000000005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2176</v>
      </c>
      <c r="B17" s="64">
        <v>4.84</v>
      </c>
      <c r="C17" s="64">
        <v>7.35</v>
      </c>
      <c r="D17" s="64">
        <v>7.72</v>
      </c>
      <c r="E17" s="64">
        <v>4.8600000000000003</v>
      </c>
      <c r="F17" s="64">
        <v>3.33</v>
      </c>
      <c r="G17" s="64">
        <v>47.54</v>
      </c>
      <c r="H17" s="64">
        <v>18.489999999999998</v>
      </c>
      <c r="I17" s="64">
        <v>4.8099999999999996</v>
      </c>
      <c r="J17" s="64">
        <v>0.76</v>
      </c>
      <c r="K17" s="64">
        <v>342.5</v>
      </c>
      <c r="L17" s="64">
        <v>23.32</v>
      </c>
      <c r="M17" s="64">
        <v>95.21</v>
      </c>
      <c r="N17" s="64">
        <v>26.3</v>
      </c>
      <c r="O17" s="64">
        <v>0</v>
      </c>
      <c r="P17" s="64">
        <v>0.56999999999999995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2177</v>
      </c>
      <c r="B18" s="64">
        <v>4.51</v>
      </c>
      <c r="C18" s="64">
        <v>7.39</v>
      </c>
      <c r="D18" s="64">
        <v>7.48</v>
      </c>
      <c r="E18" s="64">
        <v>5.32</v>
      </c>
      <c r="F18" s="64">
        <v>2.74</v>
      </c>
      <c r="G18" s="64">
        <v>47.54</v>
      </c>
      <c r="H18" s="64">
        <v>18.489999999999998</v>
      </c>
      <c r="I18" s="64">
        <v>4.62</v>
      </c>
      <c r="J18" s="64">
        <v>0.96</v>
      </c>
      <c r="K18" s="64">
        <v>327.06</v>
      </c>
      <c r="L18" s="64">
        <v>23.13</v>
      </c>
      <c r="M18" s="64">
        <v>96.55</v>
      </c>
      <c r="N18" s="64">
        <v>26.2</v>
      </c>
      <c r="O18" s="64">
        <v>0</v>
      </c>
      <c r="P18" s="64">
        <v>0.56999999999999995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2178</v>
      </c>
      <c r="B19" s="64">
        <v>4.1900000000000004</v>
      </c>
      <c r="C19" s="64">
        <v>7.36</v>
      </c>
      <c r="D19" s="64">
        <v>7.2</v>
      </c>
      <c r="E19" s="64">
        <v>5.55</v>
      </c>
      <c r="F19" s="64">
        <v>2.95</v>
      </c>
      <c r="G19" s="64">
        <v>49.16</v>
      </c>
      <c r="H19" s="64">
        <v>27.58</v>
      </c>
      <c r="I19" s="64">
        <v>4.45</v>
      </c>
      <c r="J19" s="64">
        <v>0.96</v>
      </c>
      <c r="K19" s="64">
        <v>340.06</v>
      </c>
      <c r="L19" s="64">
        <v>23.23</v>
      </c>
      <c r="M19" s="64">
        <v>95.77</v>
      </c>
      <c r="N19" s="64">
        <v>26.1</v>
      </c>
      <c r="O19" s="64">
        <v>0</v>
      </c>
      <c r="P19" s="64">
        <v>0.57999999999999996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2179</v>
      </c>
      <c r="B20" s="64">
        <v>3.98</v>
      </c>
      <c r="C20" s="64">
        <v>7.16</v>
      </c>
      <c r="D20" s="64">
        <v>6.93</v>
      </c>
      <c r="E20" s="64">
        <v>5.63</v>
      </c>
      <c r="F20" s="64">
        <v>3.65</v>
      </c>
      <c r="G20" s="64">
        <v>49.85</v>
      </c>
      <c r="H20" s="64">
        <v>28.78</v>
      </c>
      <c r="I20" s="64">
        <v>4.3600000000000003</v>
      </c>
      <c r="J20" s="64">
        <v>0.97</v>
      </c>
      <c r="K20" s="64">
        <v>329.38</v>
      </c>
      <c r="L20" s="64">
        <v>23.28</v>
      </c>
      <c r="M20" s="64">
        <v>93.3</v>
      </c>
      <c r="N20" s="64">
        <v>26.3</v>
      </c>
      <c r="O20" s="64">
        <v>0</v>
      </c>
      <c r="P20" s="64">
        <v>0.71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2180</v>
      </c>
      <c r="B21" s="64">
        <v>3.94</v>
      </c>
      <c r="C21" s="64">
        <v>6.9</v>
      </c>
      <c r="D21" s="64">
        <v>6.77</v>
      </c>
      <c r="E21" s="64">
        <v>5.4</v>
      </c>
      <c r="F21" s="64">
        <v>3.38</v>
      </c>
      <c r="G21" s="64">
        <v>49.85</v>
      </c>
      <c r="H21" s="64">
        <v>28.78</v>
      </c>
      <c r="I21" s="64">
        <v>4.08</v>
      </c>
      <c r="J21" s="64">
        <v>0.7</v>
      </c>
      <c r="K21" s="64">
        <v>326.99</v>
      </c>
      <c r="L21" s="64">
        <v>23.34</v>
      </c>
      <c r="M21" s="64">
        <v>91.62</v>
      </c>
      <c r="N21" s="64">
        <v>26.5</v>
      </c>
      <c r="O21" s="64">
        <v>0</v>
      </c>
      <c r="P21" s="64">
        <v>0.75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2181</v>
      </c>
      <c r="B22" s="64">
        <v>4.04</v>
      </c>
      <c r="C22" s="64">
        <v>6.75</v>
      </c>
      <c r="D22" s="64">
        <v>6.77</v>
      </c>
      <c r="E22" s="64">
        <v>5.33</v>
      </c>
      <c r="F22" s="64">
        <v>3.17</v>
      </c>
      <c r="G22" s="64">
        <v>49.85</v>
      </c>
      <c r="H22" s="64">
        <v>28.78</v>
      </c>
      <c r="I22" s="64">
        <v>3.32</v>
      </c>
      <c r="J22" s="64">
        <v>0.39</v>
      </c>
      <c r="K22" s="64">
        <v>328.88</v>
      </c>
      <c r="L22" s="64">
        <v>23.07</v>
      </c>
      <c r="M22" s="64">
        <v>93.25</v>
      </c>
      <c r="N22" s="64">
        <v>26.5</v>
      </c>
      <c r="O22" s="64">
        <v>0</v>
      </c>
      <c r="P22" s="64">
        <v>0.75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2182</v>
      </c>
      <c r="B23" s="64">
        <v>4.25</v>
      </c>
      <c r="C23" s="64">
        <v>6.7</v>
      </c>
      <c r="D23" s="64">
        <v>6.91</v>
      </c>
      <c r="E23" s="64">
        <v>5.52</v>
      </c>
      <c r="F23" s="64">
        <v>3.43</v>
      </c>
      <c r="G23" s="64">
        <v>63.94</v>
      </c>
      <c r="H23" s="64">
        <v>36.82</v>
      </c>
      <c r="I23" s="64">
        <v>2.81</v>
      </c>
      <c r="J23" s="64">
        <v>0.93</v>
      </c>
      <c r="K23" s="64">
        <v>339.39</v>
      </c>
      <c r="L23" s="64">
        <v>23.08</v>
      </c>
      <c r="M23" s="64">
        <v>95.46</v>
      </c>
      <c r="N23" s="64">
        <v>26.1</v>
      </c>
      <c r="O23" s="64">
        <v>0</v>
      </c>
      <c r="P23" s="64">
        <v>0.68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2183</v>
      </c>
      <c r="B24" s="64">
        <v>4.5199999999999996</v>
      </c>
      <c r="C24" s="64">
        <v>6.81</v>
      </c>
      <c r="D24" s="64">
        <v>7.19</v>
      </c>
      <c r="E24" s="64">
        <v>4.5199999999999996</v>
      </c>
      <c r="F24" s="64">
        <v>3.41</v>
      </c>
      <c r="G24" s="64">
        <v>69.98</v>
      </c>
      <c r="H24" s="64">
        <v>37.47</v>
      </c>
      <c r="I24" s="64">
        <v>2.64</v>
      </c>
      <c r="J24" s="64">
        <v>0.78</v>
      </c>
      <c r="K24" s="64">
        <v>332.23</v>
      </c>
      <c r="L24" s="64">
        <v>23.27</v>
      </c>
      <c r="M24" s="64">
        <v>93.35</v>
      </c>
      <c r="N24" s="64">
        <v>26.1</v>
      </c>
      <c r="O24" s="64">
        <v>0</v>
      </c>
      <c r="P24" s="64">
        <v>0.65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2184</v>
      </c>
      <c r="B25" s="64">
        <v>4.83</v>
      </c>
      <c r="C25" s="64">
        <v>6.74</v>
      </c>
      <c r="D25" s="64">
        <v>7.39</v>
      </c>
      <c r="E25" s="64">
        <v>4.45</v>
      </c>
      <c r="F25" s="64">
        <v>3.07</v>
      </c>
      <c r="G25" s="64">
        <v>69.98</v>
      </c>
      <c r="H25" s="64">
        <v>37.47</v>
      </c>
      <c r="I25" s="64">
        <v>2.7</v>
      </c>
      <c r="J25" s="64">
        <v>0.59</v>
      </c>
      <c r="K25" s="64">
        <v>322.04000000000002</v>
      </c>
      <c r="L25" s="64">
        <v>23.4</v>
      </c>
      <c r="M25" s="64">
        <v>91.46</v>
      </c>
      <c r="N25" s="64">
        <v>26.4</v>
      </c>
      <c r="O25" s="64">
        <v>0</v>
      </c>
      <c r="P25" s="64">
        <v>0.67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2185</v>
      </c>
      <c r="B26" s="64">
        <v>5.28</v>
      </c>
      <c r="C26" s="64">
        <v>6.64</v>
      </c>
      <c r="D26" s="64">
        <v>7.7</v>
      </c>
      <c r="E26" s="64">
        <v>4.78</v>
      </c>
      <c r="F26" s="64">
        <v>2.82</v>
      </c>
      <c r="G26" s="64">
        <v>69.98</v>
      </c>
      <c r="H26" s="64">
        <v>37.47</v>
      </c>
      <c r="I26" s="64">
        <v>3.18</v>
      </c>
      <c r="J26" s="64">
        <v>0.57999999999999996</v>
      </c>
      <c r="K26" s="64">
        <v>343.46</v>
      </c>
      <c r="L26" s="64">
        <v>23.17</v>
      </c>
      <c r="M26" s="64">
        <v>92.82</v>
      </c>
      <c r="N26" s="64">
        <v>26.4</v>
      </c>
      <c r="O26" s="64">
        <v>0</v>
      </c>
      <c r="P26" s="64">
        <v>0.73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2186</v>
      </c>
      <c r="B27" s="64">
        <v>5.83</v>
      </c>
      <c r="C27" s="64">
        <v>6.57</v>
      </c>
      <c r="D27" s="64">
        <v>8.11</v>
      </c>
      <c r="E27" s="64">
        <v>4.83</v>
      </c>
      <c r="F27" s="64">
        <v>3.18</v>
      </c>
      <c r="G27" s="64">
        <v>81.510000000000005</v>
      </c>
      <c r="H27" s="64">
        <v>49.02</v>
      </c>
      <c r="I27" s="64">
        <v>3.2</v>
      </c>
      <c r="J27" s="64">
        <v>0.25</v>
      </c>
      <c r="K27" s="64">
        <v>128.93</v>
      </c>
      <c r="L27" s="64">
        <v>23.04</v>
      </c>
      <c r="M27" s="64">
        <v>90</v>
      </c>
      <c r="N27" s="64">
        <v>26.4</v>
      </c>
      <c r="O27" s="64">
        <v>0</v>
      </c>
      <c r="P27" s="64">
        <v>0.66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2187</v>
      </c>
      <c r="B28" s="64">
        <v>6.15</v>
      </c>
      <c r="C28" s="64">
        <v>6.87</v>
      </c>
      <c r="D28" s="64">
        <v>8.5299999999999994</v>
      </c>
      <c r="E28" s="64">
        <v>4.47</v>
      </c>
      <c r="F28" s="64">
        <v>4.2699999999999996</v>
      </c>
      <c r="G28" s="64">
        <v>86.46</v>
      </c>
      <c r="H28" s="64">
        <v>49.95</v>
      </c>
      <c r="I28" s="64">
        <v>3.11</v>
      </c>
      <c r="J28" s="64">
        <v>0.42</v>
      </c>
      <c r="K28" s="64">
        <v>1.96</v>
      </c>
      <c r="L28" s="64">
        <v>23.01</v>
      </c>
      <c r="M28" s="64">
        <v>91.18</v>
      </c>
      <c r="N28" s="64">
        <v>26.5</v>
      </c>
      <c r="O28" s="64">
        <v>0</v>
      </c>
      <c r="P28" s="64">
        <v>0.64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2188</v>
      </c>
      <c r="B29" s="64">
        <v>6.18</v>
      </c>
      <c r="C29" s="64">
        <v>7.41</v>
      </c>
      <c r="D29" s="64">
        <v>8.83</v>
      </c>
      <c r="E29" s="64">
        <v>4.8</v>
      </c>
      <c r="F29" s="64">
        <v>3.85</v>
      </c>
      <c r="G29" s="64">
        <v>86.46</v>
      </c>
      <c r="H29" s="64">
        <v>49.95</v>
      </c>
      <c r="I29" s="64">
        <v>3.38</v>
      </c>
      <c r="J29" s="64">
        <v>0.28000000000000003</v>
      </c>
      <c r="K29" s="64">
        <v>170.01</v>
      </c>
      <c r="L29" s="64">
        <v>23.13</v>
      </c>
      <c r="M29" s="64">
        <v>89.11</v>
      </c>
      <c r="N29" s="64">
        <v>26.2</v>
      </c>
      <c r="O29" s="64">
        <v>0</v>
      </c>
      <c r="P29" s="64">
        <v>0.64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2189</v>
      </c>
      <c r="B30" s="64">
        <v>6.09</v>
      </c>
      <c r="C30" s="64">
        <v>7.52</v>
      </c>
      <c r="D30" s="64">
        <v>8.81</v>
      </c>
      <c r="E30" s="64">
        <v>5.0999999999999996</v>
      </c>
      <c r="F30" s="64">
        <v>3.88</v>
      </c>
      <c r="G30" s="64">
        <v>86.46</v>
      </c>
      <c r="H30" s="64">
        <v>49.95</v>
      </c>
      <c r="I30" s="64">
        <v>4.03</v>
      </c>
      <c r="J30" s="64">
        <v>0.53</v>
      </c>
      <c r="K30" s="64">
        <v>346.32</v>
      </c>
      <c r="L30" s="64">
        <v>23.12</v>
      </c>
      <c r="M30" s="64">
        <v>91.65</v>
      </c>
      <c r="N30" s="64">
        <v>26.4</v>
      </c>
      <c r="O30" s="64">
        <v>0</v>
      </c>
      <c r="P30" s="64">
        <v>0.64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5" t="s">
        <v>2190</v>
      </c>
      <c r="B31" s="64">
        <v>6.79</v>
      </c>
      <c r="C31" s="64">
        <v>8.09</v>
      </c>
      <c r="D31" s="64">
        <v>9.67</v>
      </c>
      <c r="E31" s="64">
        <v>5.0199999999999996</v>
      </c>
      <c r="F31" s="64">
        <v>3.87</v>
      </c>
      <c r="G31" s="64">
        <v>90</v>
      </c>
      <c r="H31" s="64">
        <v>49.62</v>
      </c>
      <c r="I31" s="64">
        <v>3.64</v>
      </c>
      <c r="J31" s="64">
        <v>0.45</v>
      </c>
      <c r="K31" s="64">
        <v>307.75</v>
      </c>
      <c r="L31" s="64">
        <v>22.99</v>
      </c>
      <c r="M31" s="64">
        <v>92.44</v>
      </c>
      <c r="N31" s="64">
        <v>26.4</v>
      </c>
      <c r="O31" s="64">
        <v>0</v>
      </c>
      <c r="P31" s="64">
        <v>0.7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15" t="s">
        <v>2191</v>
      </c>
      <c r="B32" s="64">
        <v>7.57</v>
      </c>
      <c r="C32" s="64">
        <v>8.5</v>
      </c>
      <c r="D32" s="64">
        <v>10.51</v>
      </c>
      <c r="E32" s="64">
        <v>4.9000000000000004</v>
      </c>
      <c r="F32" s="64">
        <v>2.97</v>
      </c>
      <c r="G32" s="64">
        <v>91.52</v>
      </c>
      <c r="H32" s="64">
        <v>49.6</v>
      </c>
      <c r="I32" s="64">
        <v>4.1100000000000003</v>
      </c>
      <c r="J32" s="64">
        <v>1.06</v>
      </c>
      <c r="K32" s="64">
        <v>324.08</v>
      </c>
      <c r="L32" s="64">
        <v>23.04</v>
      </c>
      <c r="M32" s="64">
        <v>91.51</v>
      </c>
      <c r="N32" s="64">
        <v>26.3</v>
      </c>
      <c r="O32" s="64">
        <v>0</v>
      </c>
      <c r="P32" s="64">
        <v>0.68</v>
      </c>
      <c r="Q32" s="64">
        <v>9.6</v>
      </c>
      <c r="R32" s="198"/>
      <c r="S32" s="198"/>
      <c r="T32" s="198"/>
      <c r="U32" s="198"/>
    </row>
    <row r="33" spans="1:21" s="12" customFormat="1" x14ac:dyDescent="0.25">
      <c r="A33" s="215" t="s">
        <v>2192</v>
      </c>
      <c r="B33" s="64">
        <v>7.88</v>
      </c>
      <c r="C33" s="64">
        <v>8.66</v>
      </c>
      <c r="D33" s="64">
        <v>10.84</v>
      </c>
      <c r="E33" s="64">
        <v>4.9800000000000004</v>
      </c>
      <c r="F33" s="64">
        <v>3.95</v>
      </c>
      <c r="G33" s="64">
        <v>91.52</v>
      </c>
      <c r="H33" s="64">
        <v>49.6</v>
      </c>
      <c r="I33" s="64">
        <v>4.78</v>
      </c>
      <c r="J33" s="64">
        <v>0.7</v>
      </c>
      <c r="K33" s="64">
        <v>343.22</v>
      </c>
      <c r="L33" s="64">
        <v>23.31</v>
      </c>
      <c r="M33" s="64">
        <v>89.83</v>
      </c>
      <c r="N33" s="64">
        <v>28.2</v>
      </c>
      <c r="O33" s="64">
        <v>0</v>
      </c>
      <c r="P33" s="64">
        <v>0.69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2193</v>
      </c>
      <c r="B34" s="64">
        <v>8.5399999999999991</v>
      </c>
      <c r="C34" s="64">
        <v>9.0299999999999994</v>
      </c>
      <c r="D34" s="64">
        <v>11.57</v>
      </c>
      <c r="E34" s="64">
        <v>5.38</v>
      </c>
      <c r="F34" s="64">
        <v>3.98</v>
      </c>
      <c r="G34" s="64">
        <v>91.52</v>
      </c>
      <c r="H34" s="64">
        <v>49.6</v>
      </c>
      <c r="I34" s="64">
        <v>4.9400000000000004</v>
      </c>
      <c r="J34" s="64">
        <v>0.46</v>
      </c>
      <c r="K34" s="64">
        <v>185.74</v>
      </c>
      <c r="L34" s="64">
        <v>23.17</v>
      </c>
      <c r="M34" s="64">
        <v>90.22</v>
      </c>
      <c r="N34" s="64">
        <v>34.700000000000003</v>
      </c>
      <c r="O34" s="64">
        <v>0</v>
      </c>
      <c r="P34" s="64">
        <v>0.72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2194</v>
      </c>
      <c r="B35" s="64">
        <v>8.7200000000000006</v>
      </c>
      <c r="C35" s="64">
        <v>9.24</v>
      </c>
      <c r="D35" s="64">
        <v>11.82</v>
      </c>
      <c r="E35" s="64">
        <v>5.2</v>
      </c>
      <c r="F35" s="64">
        <v>3.35</v>
      </c>
      <c r="G35" s="64">
        <v>87.24</v>
      </c>
      <c r="H35" s="64">
        <v>48.01</v>
      </c>
      <c r="I35" s="64">
        <v>4.3600000000000003</v>
      </c>
      <c r="J35" s="64">
        <v>1.1299999999999999</v>
      </c>
      <c r="K35" s="64">
        <v>144.36000000000001</v>
      </c>
      <c r="L35" s="64">
        <v>23.19</v>
      </c>
      <c r="M35" s="64">
        <v>95.14</v>
      </c>
      <c r="N35" s="64">
        <v>48.5</v>
      </c>
      <c r="O35" s="64">
        <v>0</v>
      </c>
      <c r="P35" s="64">
        <v>0.69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2195</v>
      </c>
      <c r="B36" s="64">
        <v>9.0500000000000007</v>
      </c>
      <c r="C36" s="64">
        <v>8.9</v>
      </c>
      <c r="D36" s="64">
        <v>11.9</v>
      </c>
      <c r="E36" s="64">
        <v>4.8600000000000003</v>
      </c>
      <c r="F36" s="64">
        <v>3.9</v>
      </c>
      <c r="G36" s="64">
        <v>85.41</v>
      </c>
      <c r="H36" s="64">
        <v>47.81</v>
      </c>
      <c r="I36" s="64">
        <v>4.3</v>
      </c>
      <c r="J36" s="64">
        <v>0.94</v>
      </c>
      <c r="K36" s="64">
        <v>133.19</v>
      </c>
      <c r="L36" s="64">
        <v>23.08</v>
      </c>
      <c r="M36" s="64">
        <v>97.74</v>
      </c>
      <c r="N36" s="64">
        <v>67.599999999999994</v>
      </c>
      <c r="O36" s="64">
        <v>0</v>
      </c>
      <c r="P36" s="64">
        <v>0.68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2196</v>
      </c>
      <c r="B37" s="64">
        <v>9.61</v>
      </c>
      <c r="C37" s="64">
        <v>8.1999999999999993</v>
      </c>
      <c r="D37" s="64">
        <v>11.99</v>
      </c>
      <c r="E37" s="64">
        <v>4.99</v>
      </c>
      <c r="F37" s="64">
        <v>3.53</v>
      </c>
      <c r="G37" s="64">
        <v>85.41</v>
      </c>
      <c r="H37" s="64">
        <v>47.81</v>
      </c>
      <c r="I37" s="64">
        <v>4.75</v>
      </c>
      <c r="J37" s="64">
        <v>0.37</v>
      </c>
      <c r="K37" s="64">
        <v>118.59</v>
      </c>
      <c r="L37" s="64">
        <v>23.57</v>
      </c>
      <c r="M37" s="64">
        <v>94.38</v>
      </c>
      <c r="N37" s="64">
        <v>142.80000000000001</v>
      </c>
      <c r="O37" s="64">
        <v>0</v>
      </c>
      <c r="P37" s="64">
        <v>0.62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5" t="s">
        <v>2197</v>
      </c>
      <c r="B38" s="64">
        <v>10.14</v>
      </c>
      <c r="C38" s="64">
        <v>7.38</v>
      </c>
      <c r="D38" s="64">
        <v>11.99</v>
      </c>
      <c r="E38" s="64">
        <v>4.91</v>
      </c>
      <c r="F38" s="64">
        <v>3.81</v>
      </c>
      <c r="G38" s="64">
        <v>85.41</v>
      </c>
      <c r="H38" s="64">
        <v>47.81</v>
      </c>
      <c r="I38" s="64">
        <v>4.45</v>
      </c>
      <c r="J38" s="64">
        <v>0.57999999999999996</v>
      </c>
      <c r="K38" s="64">
        <v>119.21</v>
      </c>
      <c r="L38" s="64">
        <v>24.84</v>
      </c>
      <c r="M38" s="64">
        <v>89.11</v>
      </c>
      <c r="N38" s="64">
        <v>146.69999999999999</v>
      </c>
      <c r="O38" s="64">
        <v>0</v>
      </c>
      <c r="P38" s="64">
        <v>0.66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2198</v>
      </c>
      <c r="B39" s="64">
        <v>10.48</v>
      </c>
      <c r="C39" s="64">
        <v>7.14</v>
      </c>
      <c r="D39" s="64">
        <v>12.14</v>
      </c>
      <c r="E39" s="64">
        <v>4.74</v>
      </c>
      <c r="F39" s="64">
        <v>3.29</v>
      </c>
      <c r="G39" s="64">
        <v>79.34</v>
      </c>
      <c r="H39" s="64">
        <v>46</v>
      </c>
      <c r="I39" s="64">
        <v>3.62</v>
      </c>
      <c r="J39" s="64">
        <v>0.32</v>
      </c>
      <c r="K39" s="64">
        <v>152.07</v>
      </c>
      <c r="L39" s="64">
        <v>25.12</v>
      </c>
      <c r="M39" s="64">
        <v>88.29</v>
      </c>
      <c r="N39" s="64">
        <v>122.5</v>
      </c>
      <c r="O39" s="64">
        <v>0</v>
      </c>
      <c r="P39" s="64">
        <v>0.7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2199</v>
      </c>
      <c r="B40" s="64">
        <v>10.78</v>
      </c>
      <c r="C40" s="64">
        <v>6.92</v>
      </c>
      <c r="D40" s="64">
        <v>12.26</v>
      </c>
      <c r="E40" s="64">
        <v>4.58</v>
      </c>
      <c r="F40" s="64">
        <v>3.2</v>
      </c>
      <c r="G40" s="64">
        <v>76.739999999999995</v>
      </c>
      <c r="H40" s="64">
        <v>45.85</v>
      </c>
      <c r="I40" s="64">
        <v>3.18</v>
      </c>
      <c r="J40" s="64">
        <v>0.03</v>
      </c>
      <c r="K40" s="64">
        <v>3.33</v>
      </c>
      <c r="L40" s="64">
        <v>25.38</v>
      </c>
      <c r="M40" s="64">
        <v>87.98</v>
      </c>
      <c r="N40" s="64">
        <v>145</v>
      </c>
      <c r="O40" s="64">
        <v>0</v>
      </c>
      <c r="P40" s="64">
        <v>0.7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5" t="s">
        <v>2200</v>
      </c>
      <c r="B41" s="64">
        <v>10.96</v>
      </c>
      <c r="C41" s="64">
        <v>6.69</v>
      </c>
      <c r="D41" s="64">
        <v>12.28</v>
      </c>
      <c r="E41" s="64">
        <v>4.87</v>
      </c>
      <c r="F41" s="64">
        <v>3.21</v>
      </c>
      <c r="G41" s="64">
        <v>76.739999999999995</v>
      </c>
      <c r="H41" s="64">
        <v>45.85</v>
      </c>
      <c r="I41" s="64">
        <v>3.53</v>
      </c>
      <c r="J41" s="64">
        <v>0.36</v>
      </c>
      <c r="K41" s="64">
        <v>147.02000000000001</v>
      </c>
      <c r="L41" s="64">
        <v>25.33</v>
      </c>
      <c r="M41" s="64">
        <v>88.26</v>
      </c>
      <c r="N41" s="64">
        <v>152.80000000000001</v>
      </c>
      <c r="O41" s="64">
        <v>0</v>
      </c>
      <c r="P41" s="64">
        <v>0.67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2201</v>
      </c>
      <c r="B42" s="64">
        <v>10.96</v>
      </c>
      <c r="C42" s="64">
        <v>6.41</v>
      </c>
      <c r="D42" s="64">
        <v>12.14</v>
      </c>
      <c r="E42" s="64">
        <v>4.9000000000000004</v>
      </c>
      <c r="F42" s="64">
        <v>3.06</v>
      </c>
      <c r="G42" s="64">
        <v>76.739999999999995</v>
      </c>
      <c r="H42" s="64">
        <v>45.85</v>
      </c>
      <c r="I42" s="64">
        <v>3.86</v>
      </c>
      <c r="J42" s="64">
        <v>0.41</v>
      </c>
      <c r="K42" s="64">
        <v>136.51</v>
      </c>
      <c r="L42" s="64">
        <v>25.57</v>
      </c>
      <c r="M42" s="64">
        <v>87.67</v>
      </c>
      <c r="N42" s="64">
        <v>175.5</v>
      </c>
      <c r="O42" s="64">
        <v>0</v>
      </c>
      <c r="P42" s="64">
        <v>0.65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2202</v>
      </c>
      <c r="B43" s="64">
        <v>11.1</v>
      </c>
      <c r="C43" s="64">
        <v>6.5</v>
      </c>
      <c r="D43" s="64">
        <v>12.3</v>
      </c>
      <c r="E43" s="64">
        <v>4.55</v>
      </c>
      <c r="F43" s="64">
        <v>3.27</v>
      </c>
      <c r="G43" s="64">
        <v>78</v>
      </c>
      <c r="H43" s="64">
        <v>46.58</v>
      </c>
      <c r="I43" s="64">
        <v>3.76</v>
      </c>
      <c r="J43" s="64">
        <v>0.88</v>
      </c>
      <c r="K43" s="64">
        <v>336.43</v>
      </c>
      <c r="L43" s="64">
        <v>26.67</v>
      </c>
      <c r="M43" s="64">
        <v>83.38</v>
      </c>
      <c r="N43" s="64">
        <v>238.5</v>
      </c>
      <c r="O43" s="64">
        <v>0</v>
      </c>
      <c r="P43" s="64">
        <v>0.8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2203</v>
      </c>
      <c r="B44" s="64">
        <v>11.84</v>
      </c>
      <c r="C44" s="64">
        <v>6.91</v>
      </c>
      <c r="D44" s="64">
        <v>13.11</v>
      </c>
      <c r="E44" s="64">
        <v>5.7</v>
      </c>
      <c r="F44" s="64">
        <v>3.81</v>
      </c>
      <c r="G44" s="64">
        <v>78.540000000000006</v>
      </c>
      <c r="H44" s="64">
        <v>46.63</v>
      </c>
      <c r="I44" s="64">
        <v>3.7</v>
      </c>
      <c r="J44" s="64">
        <v>0.97</v>
      </c>
      <c r="K44" s="64">
        <v>339.46</v>
      </c>
      <c r="L44" s="64">
        <v>27.64</v>
      </c>
      <c r="M44" s="64">
        <v>82.77</v>
      </c>
      <c r="N44" s="64">
        <v>420.7</v>
      </c>
      <c r="O44" s="64">
        <v>0</v>
      </c>
      <c r="P44" s="64">
        <v>0.75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2204</v>
      </c>
      <c r="B45" s="64">
        <v>12.36</v>
      </c>
      <c r="C45" s="64">
        <v>8.24</v>
      </c>
      <c r="D45" s="64">
        <v>14.22</v>
      </c>
      <c r="E45" s="64">
        <v>5.6</v>
      </c>
      <c r="F45" s="64">
        <v>4.04</v>
      </c>
      <c r="G45" s="64">
        <v>78.540000000000006</v>
      </c>
      <c r="H45" s="64">
        <v>46.63</v>
      </c>
      <c r="I45" s="64">
        <v>4.2699999999999996</v>
      </c>
      <c r="J45" s="64">
        <v>0.9</v>
      </c>
      <c r="K45" s="64">
        <v>336.97</v>
      </c>
      <c r="L45" s="64">
        <v>27.8</v>
      </c>
      <c r="M45" s="64">
        <v>82.7</v>
      </c>
      <c r="N45" s="64">
        <v>486.4</v>
      </c>
      <c r="O45" s="64">
        <v>0</v>
      </c>
      <c r="P45" s="64">
        <v>0.74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2205</v>
      </c>
      <c r="B46" s="64">
        <v>12.2</v>
      </c>
      <c r="C46" s="64">
        <v>9.24</v>
      </c>
      <c r="D46" s="64">
        <v>14.61</v>
      </c>
      <c r="E46" s="64">
        <v>5.8</v>
      </c>
      <c r="F46" s="64">
        <v>4.43</v>
      </c>
      <c r="G46" s="64">
        <v>78.540000000000006</v>
      </c>
      <c r="H46" s="64">
        <v>46.63</v>
      </c>
      <c r="I46" s="64">
        <v>5.2</v>
      </c>
      <c r="J46" s="64">
        <v>0.56999999999999995</v>
      </c>
      <c r="K46" s="64">
        <v>330.43</v>
      </c>
      <c r="L46" s="64">
        <v>29.72</v>
      </c>
      <c r="M46" s="64">
        <v>71.959999999999994</v>
      </c>
      <c r="N46" s="64">
        <v>513.20000000000005</v>
      </c>
      <c r="O46" s="64">
        <v>0</v>
      </c>
      <c r="P46" s="64">
        <v>0.76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2206</v>
      </c>
      <c r="B47" s="64">
        <v>12.1</v>
      </c>
      <c r="C47" s="64">
        <v>11.19</v>
      </c>
      <c r="D47" s="64">
        <v>15.55</v>
      </c>
      <c r="E47" s="64">
        <v>5.97</v>
      </c>
      <c r="F47" s="64">
        <v>3.94</v>
      </c>
      <c r="G47" s="64">
        <v>91.14</v>
      </c>
      <c r="H47" s="64">
        <v>48.31</v>
      </c>
      <c r="I47" s="64">
        <v>5.64</v>
      </c>
      <c r="J47" s="64">
        <v>1.19</v>
      </c>
      <c r="K47" s="64">
        <v>336.45</v>
      </c>
      <c r="L47" s="64">
        <v>32.409999999999997</v>
      </c>
      <c r="M47" s="64">
        <v>59.58</v>
      </c>
      <c r="N47" s="64">
        <v>513.1</v>
      </c>
      <c r="O47" s="64">
        <v>0</v>
      </c>
      <c r="P47" s="64">
        <v>0.8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5" t="s">
        <v>2207</v>
      </c>
      <c r="B48" s="64">
        <v>12.09</v>
      </c>
      <c r="C48" s="64">
        <v>12.44</v>
      </c>
      <c r="D48" s="64">
        <v>16.2</v>
      </c>
      <c r="E48" s="64">
        <v>5.7</v>
      </c>
      <c r="F48" s="64">
        <v>4.01</v>
      </c>
      <c r="G48" s="64">
        <v>96.54</v>
      </c>
      <c r="H48" s="64">
        <v>48.44</v>
      </c>
      <c r="I48" s="64">
        <v>5.89</v>
      </c>
      <c r="J48" s="64">
        <v>0.53</v>
      </c>
      <c r="K48" s="64">
        <v>348.22</v>
      </c>
      <c r="L48" s="64">
        <v>32.68</v>
      </c>
      <c r="M48" s="64">
        <v>59.2</v>
      </c>
      <c r="N48" s="64">
        <v>577.9</v>
      </c>
      <c r="O48" s="64">
        <v>0</v>
      </c>
      <c r="P48" s="64">
        <v>0.81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2208</v>
      </c>
      <c r="B49" s="64">
        <v>11.76</v>
      </c>
      <c r="C49" s="64">
        <v>12.9</v>
      </c>
      <c r="D49" s="64">
        <v>16.170000000000002</v>
      </c>
      <c r="E49" s="64">
        <v>5.7</v>
      </c>
      <c r="F49" s="64">
        <v>4.46</v>
      </c>
      <c r="G49" s="64">
        <v>96.54</v>
      </c>
      <c r="H49" s="64">
        <v>48.44</v>
      </c>
      <c r="I49" s="64">
        <v>5.86</v>
      </c>
      <c r="J49" s="64">
        <v>0.8</v>
      </c>
      <c r="K49" s="64">
        <v>120.64</v>
      </c>
      <c r="L49" s="64">
        <v>30.99</v>
      </c>
      <c r="M49" s="64">
        <v>65.239999999999995</v>
      </c>
      <c r="N49" s="64">
        <v>573.1</v>
      </c>
      <c r="O49" s="64">
        <v>0</v>
      </c>
      <c r="P49" s="64">
        <v>0.83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2209</v>
      </c>
      <c r="B50" s="64">
        <v>10.92</v>
      </c>
      <c r="C50" s="64">
        <v>13.57</v>
      </c>
      <c r="D50" s="64">
        <v>15.85</v>
      </c>
      <c r="E50" s="64">
        <v>5.73</v>
      </c>
      <c r="F50" s="64">
        <v>3.18</v>
      </c>
      <c r="G50" s="64">
        <v>96.54</v>
      </c>
      <c r="H50" s="64">
        <v>48.44</v>
      </c>
      <c r="I50" s="64">
        <v>5.68</v>
      </c>
      <c r="J50" s="64">
        <v>0.42</v>
      </c>
      <c r="K50" s="64">
        <v>344.97</v>
      </c>
      <c r="L50" s="64">
        <v>31.33</v>
      </c>
      <c r="M50" s="64">
        <v>64.069999999999993</v>
      </c>
      <c r="N50" s="64">
        <v>493.5</v>
      </c>
      <c r="O50" s="64">
        <v>0</v>
      </c>
      <c r="P50" s="64">
        <v>0.82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2210</v>
      </c>
      <c r="B51" s="64">
        <v>9.99</v>
      </c>
      <c r="C51" s="64">
        <v>13.52</v>
      </c>
      <c r="D51" s="64">
        <v>15.07</v>
      </c>
      <c r="E51" s="64">
        <v>5.99</v>
      </c>
      <c r="F51" s="64">
        <v>3.97</v>
      </c>
      <c r="G51" s="64">
        <v>99.29</v>
      </c>
      <c r="H51" s="64">
        <v>48.29</v>
      </c>
      <c r="I51" s="64">
        <v>5.87</v>
      </c>
      <c r="J51" s="64">
        <v>0.5</v>
      </c>
      <c r="K51" s="64">
        <v>131.5</v>
      </c>
      <c r="L51" s="64">
        <v>30.35</v>
      </c>
      <c r="M51" s="64">
        <v>65.98</v>
      </c>
      <c r="N51" s="64">
        <v>380.5</v>
      </c>
      <c r="O51" s="64">
        <v>0</v>
      </c>
      <c r="P51" s="64">
        <v>0.82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5" t="s">
        <v>2211</v>
      </c>
      <c r="B52" s="64">
        <v>8.5399999999999991</v>
      </c>
      <c r="C52" s="64">
        <v>14.22</v>
      </c>
      <c r="D52" s="64">
        <v>14.27</v>
      </c>
      <c r="E52" s="64">
        <v>5.72</v>
      </c>
      <c r="F52" s="64">
        <v>4.62</v>
      </c>
      <c r="G52" s="64">
        <v>100.47</v>
      </c>
      <c r="H52" s="64">
        <v>48.27</v>
      </c>
      <c r="I52" s="64">
        <v>5.85</v>
      </c>
      <c r="J52" s="64">
        <v>0.84</v>
      </c>
      <c r="K52" s="64">
        <v>130.53</v>
      </c>
      <c r="L52" s="64">
        <v>29.36</v>
      </c>
      <c r="M52" s="64">
        <v>69.59</v>
      </c>
      <c r="N52" s="64">
        <v>323.7</v>
      </c>
      <c r="O52" s="64">
        <v>0</v>
      </c>
      <c r="P52" s="64">
        <v>0.82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2212</v>
      </c>
      <c r="B53" s="64">
        <v>6.95</v>
      </c>
      <c r="C53" s="64">
        <v>14.01</v>
      </c>
      <c r="D53" s="64">
        <v>12.89</v>
      </c>
      <c r="E53" s="64">
        <v>5.81</v>
      </c>
      <c r="F53" s="64">
        <v>4.1399999999999997</v>
      </c>
      <c r="G53" s="64">
        <v>100.47</v>
      </c>
      <c r="H53" s="64">
        <v>48.27</v>
      </c>
      <c r="I53" s="64">
        <v>5.44</v>
      </c>
      <c r="J53" s="64">
        <v>0.55000000000000004</v>
      </c>
      <c r="K53" s="64">
        <v>99.31</v>
      </c>
      <c r="L53" s="64">
        <v>29.28</v>
      </c>
      <c r="M53" s="64">
        <v>68.150000000000006</v>
      </c>
      <c r="N53" s="64">
        <v>383.3</v>
      </c>
      <c r="O53" s="64">
        <v>0</v>
      </c>
      <c r="P53" s="64">
        <v>0.77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2213</v>
      </c>
      <c r="B54" s="64">
        <v>5.59</v>
      </c>
      <c r="C54" s="64">
        <v>13.51</v>
      </c>
      <c r="D54" s="64">
        <v>11.54</v>
      </c>
      <c r="E54" s="64">
        <v>5.67</v>
      </c>
      <c r="F54" s="64">
        <v>4.8499999999999996</v>
      </c>
      <c r="G54" s="64">
        <v>100.47</v>
      </c>
      <c r="H54" s="64">
        <v>48.27</v>
      </c>
      <c r="I54" s="64">
        <v>5.31</v>
      </c>
      <c r="J54" s="64">
        <v>0.34</v>
      </c>
      <c r="K54" s="64">
        <v>32.07</v>
      </c>
      <c r="L54" s="64">
        <v>30.93</v>
      </c>
      <c r="M54" s="64">
        <v>61.64</v>
      </c>
      <c r="N54" s="64">
        <v>471.6</v>
      </c>
      <c r="O54" s="64">
        <v>0</v>
      </c>
      <c r="P54" s="64">
        <v>0.82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5" t="s">
        <v>2214</v>
      </c>
      <c r="B55" s="64">
        <v>4.67</v>
      </c>
      <c r="C55" s="64">
        <v>13</v>
      </c>
      <c r="D55" s="64">
        <v>10.54</v>
      </c>
      <c r="E55" s="64">
        <v>4.9000000000000004</v>
      </c>
      <c r="F55" s="64">
        <v>4.99</v>
      </c>
      <c r="G55" s="64">
        <v>89.6</v>
      </c>
      <c r="H55" s="64">
        <v>46.24</v>
      </c>
      <c r="I55" s="64">
        <v>4.5599999999999996</v>
      </c>
      <c r="J55" s="64">
        <v>1.3</v>
      </c>
      <c r="K55" s="64">
        <v>117.41</v>
      </c>
      <c r="L55" s="64">
        <v>29.6</v>
      </c>
      <c r="M55" s="64">
        <v>60.99</v>
      </c>
      <c r="N55" s="64">
        <v>335.3</v>
      </c>
      <c r="O55" s="64">
        <v>0</v>
      </c>
      <c r="P55" s="64">
        <v>0.7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2215</v>
      </c>
      <c r="B56" s="64">
        <v>3.67</v>
      </c>
      <c r="C56" s="64">
        <v>12.52</v>
      </c>
      <c r="D56" s="64">
        <v>9.49</v>
      </c>
      <c r="E56" s="64">
        <v>4.76</v>
      </c>
      <c r="F56" s="64">
        <v>5.14</v>
      </c>
      <c r="G56" s="64">
        <v>84.94</v>
      </c>
      <c r="H56" s="64">
        <v>46.07</v>
      </c>
      <c r="I56" s="64">
        <v>3.92</v>
      </c>
      <c r="J56" s="64">
        <v>0.83</v>
      </c>
      <c r="K56" s="64">
        <v>137.88999999999999</v>
      </c>
      <c r="L56" s="64">
        <v>29.03</v>
      </c>
      <c r="M56" s="64">
        <v>62.59</v>
      </c>
      <c r="N56" s="64">
        <v>270.8</v>
      </c>
      <c r="O56" s="64">
        <v>0</v>
      </c>
      <c r="P56" s="64">
        <v>0.74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2216</v>
      </c>
      <c r="B57" s="64">
        <v>2.9</v>
      </c>
      <c r="C57" s="64">
        <v>12.09</v>
      </c>
      <c r="D57" s="64">
        <v>8.64</v>
      </c>
      <c r="E57" s="64">
        <v>5.69</v>
      </c>
      <c r="F57" s="64">
        <v>5.15</v>
      </c>
      <c r="G57" s="64">
        <v>84.94</v>
      </c>
      <c r="H57" s="64">
        <v>46.07</v>
      </c>
      <c r="I57" s="64">
        <v>4.6399999999999997</v>
      </c>
      <c r="J57" s="64">
        <v>1.1200000000000001</v>
      </c>
      <c r="K57" s="64">
        <v>99.72</v>
      </c>
      <c r="L57" s="64">
        <v>28.88</v>
      </c>
      <c r="M57" s="64">
        <v>61.92</v>
      </c>
      <c r="N57" s="64">
        <v>277</v>
      </c>
      <c r="O57" s="64">
        <v>0</v>
      </c>
      <c r="P57" s="64">
        <v>0.63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2217</v>
      </c>
      <c r="B58" s="64">
        <v>2.15</v>
      </c>
      <c r="C58" s="64">
        <v>11.55</v>
      </c>
      <c r="D58" s="64">
        <v>7.76</v>
      </c>
      <c r="E58" s="64">
        <v>5.49</v>
      </c>
      <c r="F58" s="64">
        <v>5.22</v>
      </c>
      <c r="G58" s="64">
        <v>84.94</v>
      </c>
      <c r="H58" s="64">
        <v>46.07</v>
      </c>
      <c r="I58" s="64">
        <v>4.0599999999999996</v>
      </c>
      <c r="J58" s="64">
        <v>0.01</v>
      </c>
      <c r="K58" s="64">
        <v>15.34</v>
      </c>
      <c r="L58" s="64">
        <v>28.77</v>
      </c>
      <c r="M58" s="64">
        <v>65.97</v>
      </c>
      <c r="N58" s="64">
        <v>282.60000000000002</v>
      </c>
      <c r="O58" s="64">
        <v>0</v>
      </c>
      <c r="P58" s="64">
        <v>0.57999999999999996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2218</v>
      </c>
      <c r="B59" s="64">
        <v>1.62</v>
      </c>
      <c r="C59" s="64">
        <v>11.09</v>
      </c>
      <c r="D59" s="64">
        <v>7.1</v>
      </c>
      <c r="E59" s="64">
        <v>5.37</v>
      </c>
      <c r="F59" s="64">
        <v>4.7699999999999996</v>
      </c>
      <c r="G59" s="64">
        <v>85.25</v>
      </c>
      <c r="H59" s="64">
        <v>45.05</v>
      </c>
      <c r="I59" s="64">
        <v>3.29</v>
      </c>
      <c r="J59" s="64">
        <v>0.1</v>
      </c>
      <c r="K59" s="64">
        <v>7.18</v>
      </c>
      <c r="L59" s="64">
        <v>28.96</v>
      </c>
      <c r="M59" s="64">
        <v>67.59</v>
      </c>
      <c r="N59" s="64">
        <v>317.10000000000002</v>
      </c>
      <c r="O59" s="64">
        <v>0</v>
      </c>
      <c r="P59" s="64">
        <v>0.67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2219</v>
      </c>
      <c r="B60" s="64">
        <v>1.29</v>
      </c>
      <c r="C60" s="64">
        <v>10.72</v>
      </c>
      <c r="D60" s="64">
        <v>6.63</v>
      </c>
      <c r="E60" s="64">
        <v>5.49</v>
      </c>
      <c r="F60" s="64">
        <v>4.67</v>
      </c>
      <c r="G60" s="64">
        <v>85.38</v>
      </c>
      <c r="H60" s="64">
        <v>44.97</v>
      </c>
      <c r="I60" s="64">
        <v>3.26</v>
      </c>
      <c r="J60" s="64">
        <v>1.38</v>
      </c>
      <c r="K60" s="64">
        <v>116.15</v>
      </c>
      <c r="L60" s="64">
        <v>28.99</v>
      </c>
      <c r="M60" s="64">
        <v>59.38</v>
      </c>
      <c r="N60" s="64">
        <v>327</v>
      </c>
      <c r="O60" s="64">
        <v>0</v>
      </c>
      <c r="P60" s="64">
        <v>0.63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5" t="s">
        <v>2220</v>
      </c>
      <c r="B61" s="64">
        <v>0.89</v>
      </c>
      <c r="C61" s="64">
        <v>10.36</v>
      </c>
      <c r="D61" s="64">
        <v>6.13</v>
      </c>
      <c r="E61" s="64">
        <v>5.59</v>
      </c>
      <c r="F61" s="64">
        <v>13.45</v>
      </c>
      <c r="G61" s="64">
        <v>85.38</v>
      </c>
      <c r="H61" s="64">
        <v>44.97</v>
      </c>
      <c r="I61" s="64">
        <v>4.07</v>
      </c>
      <c r="J61" s="64">
        <v>0.42</v>
      </c>
      <c r="K61" s="64">
        <v>102.01</v>
      </c>
      <c r="L61" s="64">
        <v>29.49</v>
      </c>
      <c r="M61" s="64">
        <v>58.16</v>
      </c>
      <c r="N61" s="64">
        <v>354.5</v>
      </c>
      <c r="O61" s="64">
        <v>0</v>
      </c>
      <c r="P61" s="64">
        <v>0.66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2221</v>
      </c>
      <c r="B62" s="64">
        <v>0.89</v>
      </c>
      <c r="C62" s="64">
        <v>11.01</v>
      </c>
      <c r="D62" s="64">
        <v>6.46</v>
      </c>
      <c r="E62" s="64">
        <v>5.65</v>
      </c>
      <c r="F62" s="64">
        <v>4.55</v>
      </c>
      <c r="G62" s="64">
        <v>85.38</v>
      </c>
      <c r="H62" s="64">
        <v>44.97</v>
      </c>
      <c r="I62" s="64">
        <v>4.24</v>
      </c>
      <c r="J62" s="64">
        <v>0.35</v>
      </c>
      <c r="K62" s="64">
        <v>106.45</v>
      </c>
      <c r="L62" s="64">
        <v>30.53</v>
      </c>
      <c r="M62" s="64">
        <v>53.38</v>
      </c>
      <c r="N62" s="64">
        <v>298.5</v>
      </c>
      <c r="O62" s="64">
        <v>0</v>
      </c>
      <c r="P62" s="64">
        <v>0.68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2222</v>
      </c>
      <c r="B63" s="64">
        <v>0.68</v>
      </c>
      <c r="C63" s="64">
        <v>10.7</v>
      </c>
      <c r="D63" s="64">
        <v>6.14</v>
      </c>
      <c r="E63" s="64">
        <v>5.59</v>
      </c>
      <c r="F63" s="64">
        <v>5.96</v>
      </c>
      <c r="G63" s="64">
        <v>79.14</v>
      </c>
      <c r="H63" s="64">
        <v>40.5</v>
      </c>
      <c r="I63" s="64">
        <v>5.85</v>
      </c>
      <c r="J63" s="64">
        <v>1.02</v>
      </c>
      <c r="K63" s="64">
        <v>115.68</v>
      </c>
      <c r="L63" s="64">
        <v>29.75</v>
      </c>
      <c r="M63" s="64">
        <v>54.76</v>
      </c>
      <c r="N63" s="64">
        <v>307.3</v>
      </c>
      <c r="O63" s="64">
        <v>0</v>
      </c>
      <c r="P63" s="64">
        <v>0.65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2223</v>
      </c>
      <c r="B64" s="64">
        <v>0.47</v>
      </c>
      <c r="C64" s="64">
        <v>10.94</v>
      </c>
      <c r="D64" s="64">
        <v>6.09</v>
      </c>
      <c r="E64" s="64">
        <v>6.04</v>
      </c>
      <c r="F64" s="64">
        <v>5.16</v>
      </c>
      <c r="G64" s="64">
        <v>76.47</v>
      </c>
      <c r="H64" s="64">
        <v>40.21</v>
      </c>
      <c r="I64" s="64">
        <v>5.77</v>
      </c>
      <c r="J64" s="64">
        <v>0.73</v>
      </c>
      <c r="K64" s="64">
        <v>113.07</v>
      </c>
      <c r="L64" s="64">
        <v>29.84</v>
      </c>
      <c r="M64" s="64">
        <v>51.57</v>
      </c>
      <c r="N64" s="64">
        <v>263.3</v>
      </c>
      <c r="O64" s="64">
        <v>0</v>
      </c>
      <c r="P64" s="64">
        <v>0.57999999999999996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2224</v>
      </c>
      <c r="B65" s="64">
        <v>0.21</v>
      </c>
      <c r="C65" s="64">
        <v>10.01</v>
      </c>
      <c r="D65" s="64">
        <v>5.4</v>
      </c>
      <c r="E65" s="64">
        <v>5.65</v>
      </c>
      <c r="F65" s="64">
        <v>5.0999999999999996</v>
      </c>
      <c r="G65" s="64">
        <v>76.47</v>
      </c>
      <c r="H65" s="64">
        <v>40.21</v>
      </c>
      <c r="I65" s="64">
        <v>5.57</v>
      </c>
      <c r="J65" s="64">
        <v>1.21</v>
      </c>
      <c r="K65" s="64">
        <v>118.44</v>
      </c>
      <c r="L65" s="64">
        <v>29.29</v>
      </c>
      <c r="M65" s="64">
        <v>55.29</v>
      </c>
      <c r="N65" s="64">
        <v>207.8</v>
      </c>
      <c r="O65" s="64">
        <v>0</v>
      </c>
      <c r="P65" s="64">
        <v>0.6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5" t="s">
        <v>2225</v>
      </c>
      <c r="B66" s="64">
        <v>0.03</v>
      </c>
      <c r="C66" s="64">
        <v>10.61</v>
      </c>
      <c r="D66" s="64">
        <v>5.57</v>
      </c>
      <c r="E66" s="64">
        <v>5.77</v>
      </c>
      <c r="F66" s="64">
        <v>5.42</v>
      </c>
      <c r="G66" s="64">
        <v>76.47</v>
      </c>
      <c r="H66" s="64">
        <v>40.21</v>
      </c>
      <c r="I66" s="64">
        <v>4.7</v>
      </c>
      <c r="J66" s="64">
        <v>1.23</v>
      </c>
      <c r="K66" s="64">
        <v>113.55</v>
      </c>
      <c r="L66" s="64">
        <v>29.19</v>
      </c>
      <c r="M66" s="64">
        <v>56.47</v>
      </c>
      <c r="N66" s="64">
        <v>198</v>
      </c>
      <c r="O66" s="64">
        <v>0</v>
      </c>
      <c r="P66" s="64">
        <v>0.6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2226</v>
      </c>
      <c r="B67" s="64">
        <v>-0.13</v>
      </c>
      <c r="C67" s="64">
        <v>9.9</v>
      </c>
      <c r="D67" s="64">
        <v>5.07</v>
      </c>
      <c r="E67" s="64">
        <v>5.46</v>
      </c>
      <c r="F67" s="64">
        <v>5.46</v>
      </c>
      <c r="G67" s="64">
        <v>73</v>
      </c>
      <c r="H67" s="64">
        <v>40.01</v>
      </c>
      <c r="I67" s="64">
        <v>4.74</v>
      </c>
      <c r="J67" s="64">
        <v>0.74</v>
      </c>
      <c r="K67" s="64">
        <v>117.32</v>
      </c>
      <c r="L67" s="64">
        <v>28.95</v>
      </c>
      <c r="M67" s="64">
        <v>56.73</v>
      </c>
      <c r="N67" s="64">
        <v>188.4</v>
      </c>
      <c r="O67" s="64">
        <v>0</v>
      </c>
      <c r="P67" s="64">
        <v>0.53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2227</v>
      </c>
      <c r="B68" s="64">
        <v>-0.13</v>
      </c>
      <c r="C68" s="64">
        <v>10.039999999999999</v>
      </c>
      <c r="D68" s="64">
        <v>5.14</v>
      </c>
      <c r="E68" s="64">
        <v>5.3</v>
      </c>
      <c r="F68" s="64">
        <v>5.66</v>
      </c>
      <c r="G68" s="64">
        <v>71.510000000000005</v>
      </c>
      <c r="H68" s="64">
        <v>39.979999999999997</v>
      </c>
      <c r="I68" s="64">
        <v>4.03</v>
      </c>
      <c r="J68" s="64">
        <v>0.62</v>
      </c>
      <c r="K68" s="64">
        <v>106.87</v>
      </c>
      <c r="L68" s="64">
        <v>29.11</v>
      </c>
      <c r="M68" s="64">
        <v>58.55</v>
      </c>
      <c r="N68" s="64">
        <v>193.2</v>
      </c>
      <c r="O68" s="64">
        <v>0</v>
      </c>
      <c r="P68" s="64">
        <v>0.57999999999999996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2228</v>
      </c>
      <c r="B69" s="64">
        <v>0.02</v>
      </c>
      <c r="C69" s="64">
        <v>9.7899999999999991</v>
      </c>
      <c r="D69" s="64">
        <v>5.13</v>
      </c>
      <c r="E69" s="64">
        <v>5.23</v>
      </c>
      <c r="F69" s="64">
        <v>5.13</v>
      </c>
      <c r="G69" s="64">
        <v>71.510000000000005</v>
      </c>
      <c r="H69" s="64">
        <v>39.979999999999997</v>
      </c>
      <c r="I69" s="64">
        <v>4.3899999999999997</v>
      </c>
      <c r="J69" s="64">
        <v>0.32</v>
      </c>
      <c r="K69" s="64">
        <v>339.45</v>
      </c>
      <c r="L69" s="64">
        <v>29.25</v>
      </c>
      <c r="M69" s="64">
        <v>57.05</v>
      </c>
      <c r="N69" s="64">
        <v>117.3</v>
      </c>
      <c r="O69" s="64">
        <v>0</v>
      </c>
      <c r="P69" s="64">
        <v>0.63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2229</v>
      </c>
      <c r="B70" s="64">
        <v>0.5</v>
      </c>
      <c r="C70" s="64">
        <v>10.81</v>
      </c>
      <c r="D70" s="64">
        <v>6.05</v>
      </c>
      <c r="E70" s="64">
        <v>5.28</v>
      </c>
      <c r="F70" s="64">
        <v>5.19</v>
      </c>
      <c r="G70" s="64">
        <v>71.510000000000005</v>
      </c>
      <c r="H70" s="64">
        <v>39.979999999999997</v>
      </c>
      <c r="I70" s="64">
        <v>4.7699999999999996</v>
      </c>
      <c r="J70" s="64">
        <v>0.27</v>
      </c>
      <c r="K70" s="64">
        <v>40.770000000000003</v>
      </c>
      <c r="L70" s="64">
        <v>29.19</v>
      </c>
      <c r="M70" s="64">
        <v>58.05</v>
      </c>
      <c r="N70" s="64">
        <v>129.4</v>
      </c>
      <c r="O70" s="64">
        <v>0</v>
      </c>
      <c r="P70" s="64">
        <v>0.57999999999999996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2230</v>
      </c>
      <c r="B71" s="64">
        <v>0.76</v>
      </c>
      <c r="C71" s="64">
        <v>10.86</v>
      </c>
      <c r="D71" s="64">
        <v>6.28</v>
      </c>
      <c r="E71" s="64">
        <v>5.74</v>
      </c>
      <c r="F71" s="64">
        <v>5.24</v>
      </c>
      <c r="G71" s="64">
        <v>69.23</v>
      </c>
      <c r="H71" s="64">
        <v>38.76</v>
      </c>
      <c r="I71" s="64">
        <v>4.41</v>
      </c>
      <c r="J71" s="64">
        <v>0.25</v>
      </c>
      <c r="K71" s="64">
        <v>2.4</v>
      </c>
      <c r="L71" s="64">
        <v>28.92</v>
      </c>
      <c r="M71" s="64">
        <v>58.28</v>
      </c>
      <c r="N71" s="64">
        <v>103.7</v>
      </c>
      <c r="O71" s="64">
        <v>0</v>
      </c>
      <c r="P71" s="64">
        <v>0.63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2231</v>
      </c>
      <c r="B72" s="64">
        <v>0.88</v>
      </c>
      <c r="C72" s="64">
        <v>10.77</v>
      </c>
      <c r="D72" s="64">
        <v>6.34</v>
      </c>
      <c r="E72" s="64">
        <v>5.28</v>
      </c>
      <c r="F72" s="64">
        <v>5.3</v>
      </c>
      <c r="G72" s="64">
        <v>68.25</v>
      </c>
      <c r="H72" s="64">
        <v>38.68</v>
      </c>
      <c r="I72" s="64">
        <v>3.49</v>
      </c>
      <c r="J72" s="64">
        <v>0.48</v>
      </c>
      <c r="K72" s="64">
        <v>110.99</v>
      </c>
      <c r="L72" s="64">
        <v>28.69</v>
      </c>
      <c r="M72" s="64">
        <v>58.52</v>
      </c>
      <c r="N72" s="64">
        <v>88</v>
      </c>
      <c r="O72" s="64">
        <v>0</v>
      </c>
      <c r="P72" s="64">
        <v>0.53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5" t="s">
        <v>2232</v>
      </c>
      <c r="B73" s="64">
        <v>0.84</v>
      </c>
      <c r="C73" s="64">
        <v>10.52</v>
      </c>
      <c r="D73" s="64">
        <v>6.17</v>
      </c>
      <c r="E73" s="64">
        <v>5.73</v>
      </c>
      <c r="F73" s="64">
        <v>5.65</v>
      </c>
      <c r="G73" s="64">
        <v>68.25</v>
      </c>
      <c r="H73" s="64">
        <v>38.68</v>
      </c>
      <c r="I73" s="64">
        <v>3.39</v>
      </c>
      <c r="J73" s="64">
        <v>1.24</v>
      </c>
      <c r="K73" s="64">
        <v>116.33</v>
      </c>
      <c r="L73" s="64">
        <v>28.43</v>
      </c>
      <c r="M73" s="64">
        <v>60.79</v>
      </c>
      <c r="N73" s="64">
        <v>79.7</v>
      </c>
      <c r="O73" s="64">
        <v>0</v>
      </c>
      <c r="P73" s="64">
        <v>0.51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2233</v>
      </c>
      <c r="B74" s="64">
        <v>0.61</v>
      </c>
      <c r="C74" s="64">
        <v>10.06</v>
      </c>
      <c r="D74" s="64">
        <v>5.74</v>
      </c>
      <c r="E74" s="64">
        <v>5.89</v>
      </c>
      <c r="F74" s="64">
        <v>5.27</v>
      </c>
      <c r="G74" s="64">
        <v>68.25</v>
      </c>
      <c r="H74" s="64">
        <v>38.68</v>
      </c>
      <c r="I74" s="64">
        <v>2.95</v>
      </c>
      <c r="J74" s="64">
        <v>0.72</v>
      </c>
      <c r="K74" s="64">
        <v>114.94</v>
      </c>
      <c r="L74" s="64">
        <v>28.1</v>
      </c>
      <c r="M74" s="64">
        <v>62.51</v>
      </c>
      <c r="N74" s="64">
        <v>59.3</v>
      </c>
      <c r="O74" s="64">
        <v>0</v>
      </c>
      <c r="P74" s="64">
        <v>0.54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2234</v>
      </c>
      <c r="B75" s="64">
        <v>0.47</v>
      </c>
      <c r="C75" s="64">
        <v>9.59</v>
      </c>
      <c r="D75" s="64">
        <v>5.38</v>
      </c>
      <c r="E75" s="64">
        <v>6.03</v>
      </c>
      <c r="F75" s="64">
        <v>5.46</v>
      </c>
      <c r="G75" s="64">
        <v>70.12</v>
      </c>
      <c r="H75" s="64">
        <v>36.25</v>
      </c>
      <c r="I75" s="64">
        <v>3.06</v>
      </c>
      <c r="J75" s="64">
        <v>0.47</v>
      </c>
      <c r="K75" s="64">
        <v>112.9</v>
      </c>
      <c r="L75" s="64">
        <v>27.91</v>
      </c>
      <c r="M75" s="64">
        <v>63.35</v>
      </c>
      <c r="N75" s="64">
        <v>61.2</v>
      </c>
      <c r="O75" s="64">
        <v>0</v>
      </c>
      <c r="P75" s="64">
        <v>0.51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2235</v>
      </c>
      <c r="B76" s="64">
        <v>0.43</v>
      </c>
      <c r="C76" s="64">
        <v>9.0299999999999994</v>
      </c>
      <c r="D76" s="64">
        <v>5.0599999999999996</v>
      </c>
      <c r="E76" s="64">
        <v>5.56</v>
      </c>
      <c r="F76" s="64">
        <v>4.8499999999999996</v>
      </c>
      <c r="G76" s="64">
        <v>70.92</v>
      </c>
      <c r="H76" s="64">
        <v>36.1</v>
      </c>
      <c r="I76" s="64">
        <v>2.62</v>
      </c>
      <c r="J76" s="64">
        <v>0.77</v>
      </c>
      <c r="K76" s="64">
        <v>121.5</v>
      </c>
      <c r="L76" s="64">
        <v>27.84</v>
      </c>
      <c r="M76" s="64">
        <v>65.14</v>
      </c>
      <c r="N76" s="64">
        <v>54.8</v>
      </c>
      <c r="O76" s="64">
        <v>0</v>
      </c>
      <c r="P76" s="64">
        <v>0.53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2236</v>
      </c>
      <c r="B77" s="64">
        <v>0.37</v>
      </c>
      <c r="C77" s="64">
        <v>8.6199999999999992</v>
      </c>
      <c r="D77" s="64">
        <v>4.8</v>
      </c>
      <c r="E77" s="64">
        <v>5.36</v>
      </c>
      <c r="F77" s="64">
        <v>5.0599999999999996</v>
      </c>
      <c r="G77" s="64">
        <v>70.92</v>
      </c>
      <c r="H77" s="64">
        <v>36.1</v>
      </c>
      <c r="I77" s="64">
        <v>2.62</v>
      </c>
      <c r="J77" s="64">
        <v>0.84</v>
      </c>
      <c r="K77" s="64">
        <v>109.78</v>
      </c>
      <c r="L77" s="64">
        <v>27.77</v>
      </c>
      <c r="M77" s="64">
        <v>66.239999999999995</v>
      </c>
      <c r="N77" s="64">
        <v>43.4</v>
      </c>
      <c r="O77" s="64">
        <v>0</v>
      </c>
      <c r="P77" s="64">
        <v>0.53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2237</v>
      </c>
      <c r="B78" s="64">
        <v>0.27</v>
      </c>
      <c r="C78" s="64">
        <v>8.81</v>
      </c>
      <c r="D78" s="64">
        <v>4.82</v>
      </c>
      <c r="E78" s="64">
        <v>5.95</v>
      </c>
      <c r="F78" s="64">
        <v>5.15</v>
      </c>
      <c r="G78" s="64">
        <v>70.92</v>
      </c>
      <c r="H78" s="64">
        <v>36.1</v>
      </c>
      <c r="I78" s="64">
        <v>3.04</v>
      </c>
      <c r="J78" s="64">
        <v>0.86</v>
      </c>
      <c r="K78" s="64">
        <v>118.86</v>
      </c>
      <c r="L78" s="64">
        <v>27.54</v>
      </c>
      <c r="M78" s="64">
        <v>68.38</v>
      </c>
      <c r="N78" s="64">
        <v>32.299999999999997</v>
      </c>
      <c r="O78" s="64">
        <v>0</v>
      </c>
      <c r="P78" s="64">
        <v>0.55000000000000004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2238</v>
      </c>
      <c r="B79" s="64">
        <v>0.12</v>
      </c>
      <c r="C79" s="64">
        <v>8.75</v>
      </c>
      <c r="D79" s="64">
        <v>4.67</v>
      </c>
      <c r="E79" s="64">
        <v>6.18</v>
      </c>
      <c r="F79" s="64">
        <v>5.12</v>
      </c>
      <c r="G79" s="64">
        <v>67.95</v>
      </c>
      <c r="H79" s="64">
        <v>34.950000000000003</v>
      </c>
      <c r="I79" s="64">
        <v>3.06</v>
      </c>
      <c r="J79" s="64">
        <v>1.02</v>
      </c>
      <c r="K79" s="64">
        <v>111.7</v>
      </c>
      <c r="L79" s="64">
        <v>27.37</v>
      </c>
      <c r="M79" s="64">
        <v>69.260000000000005</v>
      </c>
      <c r="N79" s="64">
        <v>27.4</v>
      </c>
      <c r="O79" s="64">
        <v>0</v>
      </c>
      <c r="P79" s="64">
        <v>0.56000000000000005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2239</v>
      </c>
      <c r="B80" s="64">
        <v>-0.02</v>
      </c>
      <c r="C80" s="64">
        <v>8.51</v>
      </c>
      <c r="D80" s="64">
        <v>4.43</v>
      </c>
      <c r="E80" s="64">
        <v>6.01</v>
      </c>
      <c r="F80" s="64">
        <v>4.93</v>
      </c>
      <c r="G80" s="64">
        <v>66.680000000000007</v>
      </c>
      <c r="H80" s="64">
        <v>34.869999999999997</v>
      </c>
      <c r="I80" s="64">
        <v>3.51</v>
      </c>
      <c r="J80" s="64">
        <v>1.06</v>
      </c>
      <c r="K80" s="64">
        <v>123.44</v>
      </c>
      <c r="L80" s="64">
        <v>27.17</v>
      </c>
      <c r="M80" s="64">
        <v>70.400000000000006</v>
      </c>
      <c r="N80" s="64">
        <v>26.3</v>
      </c>
      <c r="O80" s="64">
        <v>0</v>
      </c>
      <c r="P80" s="64">
        <v>0.53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2240</v>
      </c>
      <c r="B81" s="64">
        <v>-0.14000000000000001</v>
      </c>
      <c r="C81" s="64">
        <v>8.2200000000000006</v>
      </c>
      <c r="D81" s="64">
        <v>4.18</v>
      </c>
      <c r="E81" s="64">
        <v>5.89</v>
      </c>
      <c r="F81" s="64">
        <v>5.25</v>
      </c>
      <c r="G81" s="64">
        <v>66.680000000000007</v>
      </c>
      <c r="H81" s="64">
        <v>34.869999999999997</v>
      </c>
      <c r="I81" s="64">
        <v>4.17</v>
      </c>
      <c r="J81" s="64">
        <v>0.9</v>
      </c>
      <c r="K81" s="64">
        <v>116.76</v>
      </c>
      <c r="L81" s="64">
        <v>27.04</v>
      </c>
      <c r="M81" s="64">
        <v>72.760000000000005</v>
      </c>
      <c r="N81" s="64">
        <v>26.3</v>
      </c>
      <c r="O81" s="64">
        <v>0</v>
      </c>
      <c r="P81" s="64">
        <v>0.57999999999999996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2241</v>
      </c>
      <c r="B82" s="64">
        <v>-0.16</v>
      </c>
      <c r="C82" s="64">
        <v>8.11</v>
      </c>
      <c r="D82" s="64">
        <v>4.1100000000000003</v>
      </c>
      <c r="E82" s="64">
        <v>5.81</v>
      </c>
      <c r="F82" s="64">
        <v>4.6100000000000003</v>
      </c>
      <c r="G82" s="64">
        <v>66.680000000000007</v>
      </c>
      <c r="H82" s="64">
        <v>34.869999999999997</v>
      </c>
      <c r="I82" s="64">
        <v>3.68</v>
      </c>
      <c r="J82" s="64">
        <v>0.82</v>
      </c>
      <c r="K82" s="64">
        <v>119.03</v>
      </c>
      <c r="L82" s="64">
        <v>26.86</v>
      </c>
      <c r="M82" s="64">
        <v>73.66</v>
      </c>
      <c r="N82" s="64">
        <v>26.5</v>
      </c>
      <c r="O82" s="64">
        <v>0</v>
      </c>
      <c r="P82" s="64">
        <v>0.57999999999999996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2242</v>
      </c>
      <c r="B83" s="64">
        <v>-0.08</v>
      </c>
      <c r="C83" s="64">
        <v>8.5</v>
      </c>
      <c r="D83" s="64">
        <v>4.38</v>
      </c>
      <c r="E83" s="64">
        <v>6.01</v>
      </c>
      <c r="F83" s="64">
        <v>4.82</v>
      </c>
      <c r="G83" s="64">
        <v>65.44</v>
      </c>
      <c r="H83" s="64">
        <v>33.54</v>
      </c>
      <c r="I83" s="64">
        <v>3.64</v>
      </c>
      <c r="J83" s="64">
        <v>0.57999999999999996</v>
      </c>
      <c r="K83" s="64">
        <v>117.56</v>
      </c>
      <c r="L83" s="64">
        <v>26.57</v>
      </c>
      <c r="M83" s="64">
        <v>74.06</v>
      </c>
      <c r="N83" s="64">
        <v>26.4</v>
      </c>
      <c r="O83" s="64">
        <v>0</v>
      </c>
      <c r="P83" s="64">
        <v>0.56999999999999995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2243</v>
      </c>
      <c r="B84" s="64">
        <v>-0.09</v>
      </c>
      <c r="C84" s="64">
        <v>8.4700000000000006</v>
      </c>
      <c r="D84" s="64">
        <v>4.3499999999999996</v>
      </c>
      <c r="E84" s="64">
        <v>5.91</v>
      </c>
      <c r="F84" s="64">
        <v>5.09</v>
      </c>
      <c r="G84" s="64">
        <v>64.91</v>
      </c>
      <c r="H84" s="64">
        <v>33.4</v>
      </c>
      <c r="I84" s="64">
        <v>4.03</v>
      </c>
      <c r="J84" s="64">
        <v>0.35</v>
      </c>
      <c r="K84" s="64">
        <v>103.3</v>
      </c>
      <c r="L84" s="64">
        <v>26.49</v>
      </c>
      <c r="M84" s="64">
        <v>73.290000000000006</v>
      </c>
      <c r="N84" s="64">
        <v>26.3</v>
      </c>
      <c r="O84" s="64">
        <v>0</v>
      </c>
      <c r="P84" s="64">
        <v>0.64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2244</v>
      </c>
      <c r="B85" s="64">
        <v>0.17</v>
      </c>
      <c r="C85" s="64">
        <v>9.24</v>
      </c>
      <c r="D85" s="64">
        <v>4.97</v>
      </c>
      <c r="E85" s="64">
        <v>5.98</v>
      </c>
      <c r="F85" s="64">
        <v>3.49</v>
      </c>
      <c r="G85" s="64">
        <v>64.91</v>
      </c>
      <c r="H85" s="64">
        <v>33.4</v>
      </c>
      <c r="I85" s="64">
        <v>3.15</v>
      </c>
      <c r="J85" s="64">
        <v>0.42</v>
      </c>
      <c r="K85" s="64">
        <v>98.32</v>
      </c>
      <c r="L85" s="64">
        <v>26.54</v>
      </c>
      <c r="M85" s="64">
        <v>70.400000000000006</v>
      </c>
      <c r="N85" s="64">
        <v>26.3</v>
      </c>
      <c r="O85" s="64">
        <v>0</v>
      </c>
      <c r="P85" s="64">
        <v>0.76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2245</v>
      </c>
      <c r="B86" s="64">
        <v>0.43</v>
      </c>
      <c r="C86" s="64">
        <v>9.93</v>
      </c>
      <c r="D86" s="64">
        <v>5.53</v>
      </c>
      <c r="E86" s="64">
        <v>5.83</v>
      </c>
      <c r="F86" s="64">
        <v>4.28</v>
      </c>
      <c r="G86" s="64">
        <v>64.91</v>
      </c>
      <c r="H86" s="64">
        <v>33.4</v>
      </c>
      <c r="I86" s="64">
        <v>4.2699999999999996</v>
      </c>
      <c r="J86" s="64">
        <v>0.26</v>
      </c>
      <c r="K86" s="64">
        <v>123.29</v>
      </c>
      <c r="L86" s="64">
        <v>26.49</v>
      </c>
      <c r="M86" s="64">
        <v>64.69</v>
      </c>
      <c r="N86" s="64">
        <v>26.3</v>
      </c>
      <c r="O86" s="64">
        <v>0</v>
      </c>
      <c r="P86" s="64">
        <v>0.69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5" t="s">
        <v>2246</v>
      </c>
      <c r="B87" s="64">
        <v>0.53</v>
      </c>
      <c r="C87" s="64">
        <v>10.33</v>
      </c>
      <c r="D87" s="64">
        <v>5.82</v>
      </c>
      <c r="E87" s="64">
        <v>6.06</v>
      </c>
      <c r="F87" s="64">
        <v>4.4000000000000004</v>
      </c>
      <c r="G87" s="64">
        <v>56.3</v>
      </c>
      <c r="H87" s="64">
        <v>31.06</v>
      </c>
      <c r="I87" s="64">
        <v>4.32</v>
      </c>
      <c r="J87" s="64">
        <v>0.91</v>
      </c>
      <c r="K87" s="64">
        <v>124.89</v>
      </c>
      <c r="L87" s="64">
        <v>26.56</v>
      </c>
      <c r="M87" s="64">
        <v>61.72</v>
      </c>
      <c r="N87" s="64">
        <v>26.1</v>
      </c>
      <c r="O87" s="64">
        <v>0</v>
      </c>
      <c r="P87" s="64">
        <v>0.65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2247</v>
      </c>
      <c r="B88" s="64">
        <v>0.51</v>
      </c>
      <c r="C88" s="64">
        <v>9.48</v>
      </c>
      <c r="D88" s="64">
        <v>5.36</v>
      </c>
      <c r="E88" s="64">
        <v>5.03</v>
      </c>
      <c r="F88" s="64">
        <v>5.22</v>
      </c>
      <c r="G88" s="64">
        <v>52.61</v>
      </c>
      <c r="H88" s="64">
        <v>30.91</v>
      </c>
      <c r="I88" s="64">
        <v>3.75</v>
      </c>
      <c r="J88" s="64">
        <v>0.69</v>
      </c>
      <c r="K88" s="64">
        <v>113.19</v>
      </c>
      <c r="L88" s="64">
        <v>26.54</v>
      </c>
      <c r="M88" s="64">
        <v>60.79</v>
      </c>
      <c r="N88" s="64">
        <v>26.3</v>
      </c>
      <c r="O88" s="64">
        <v>0</v>
      </c>
      <c r="P88" s="64">
        <v>0.63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2248</v>
      </c>
      <c r="B89" s="64">
        <v>0.49</v>
      </c>
      <c r="C89" s="64">
        <v>8.98</v>
      </c>
      <c r="D89" s="64">
        <v>5.09</v>
      </c>
      <c r="E89" s="64">
        <v>5.28</v>
      </c>
      <c r="F89" s="64">
        <v>5.38</v>
      </c>
      <c r="G89" s="64">
        <v>52.61</v>
      </c>
      <c r="H89" s="64">
        <v>30.91</v>
      </c>
      <c r="I89" s="64">
        <v>3.27</v>
      </c>
      <c r="J89" s="64">
        <v>0.94</v>
      </c>
      <c r="K89" s="64">
        <v>117.7</v>
      </c>
      <c r="L89" s="64">
        <v>26.48</v>
      </c>
      <c r="M89" s="64">
        <v>59.54</v>
      </c>
      <c r="N89" s="64">
        <v>26.2</v>
      </c>
      <c r="O89" s="64">
        <v>0</v>
      </c>
      <c r="P89" s="64">
        <v>0.63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2249</v>
      </c>
      <c r="B90" s="64">
        <v>0.47</v>
      </c>
      <c r="C90" s="64">
        <v>8.56</v>
      </c>
      <c r="D90" s="64">
        <v>4.8499999999999996</v>
      </c>
      <c r="E90" s="64">
        <v>5.34</v>
      </c>
      <c r="F90" s="64">
        <v>5.4</v>
      </c>
      <c r="G90" s="64">
        <v>52.61</v>
      </c>
      <c r="H90" s="64">
        <v>30.91</v>
      </c>
      <c r="I90" s="64">
        <v>2.86</v>
      </c>
      <c r="J90" s="64">
        <v>0.7</v>
      </c>
      <c r="K90" s="64">
        <v>119.42</v>
      </c>
      <c r="L90" s="64">
        <v>26.37</v>
      </c>
      <c r="M90" s="64">
        <v>60.11</v>
      </c>
      <c r="N90" s="64">
        <v>26.3</v>
      </c>
      <c r="O90" s="64">
        <v>0</v>
      </c>
      <c r="P90" s="64">
        <v>0.66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2250</v>
      </c>
      <c r="B91" s="64">
        <v>0.39</v>
      </c>
      <c r="C91" s="64">
        <v>8.44</v>
      </c>
      <c r="D91" s="64">
        <v>4.72</v>
      </c>
      <c r="E91" s="64">
        <v>5.58</v>
      </c>
      <c r="F91" s="64">
        <v>5.2</v>
      </c>
      <c r="G91" s="64">
        <v>52.52</v>
      </c>
      <c r="H91" s="64">
        <v>31.13</v>
      </c>
      <c r="I91" s="64">
        <v>2.83</v>
      </c>
      <c r="J91" s="64">
        <v>0.69</v>
      </c>
      <c r="K91" s="64">
        <v>115.24</v>
      </c>
      <c r="L91" s="64">
        <v>26.12</v>
      </c>
      <c r="M91" s="64">
        <v>61.7</v>
      </c>
      <c r="N91" s="64">
        <v>26.2</v>
      </c>
      <c r="O91" s="64">
        <v>0</v>
      </c>
      <c r="P91" s="64">
        <v>0.7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2251</v>
      </c>
      <c r="B92" s="64">
        <v>0.41</v>
      </c>
      <c r="C92" s="64">
        <v>8.48</v>
      </c>
      <c r="D92" s="64">
        <v>4.76</v>
      </c>
      <c r="E92" s="64">
        <v>5.07</v>
      </c>
      <c r="F92" s="64">
        <v>4.8899999999999997</v>
      </c>
      <c r="G92" s="64">
        <v>52.49</v>
      </c>
      <c r="H92" s="64">
        <v>31.15</v>
      </c>
      <c r="I92" s="64">
        <v>2.86</v>
      </c>
      <c r="J92" s="64">
        <v>0.35</v>
      </c>
      <c r="K92" s="64">
        <v>110.44</v>
      </c>
      <c r="L92" s="64">
        <v>25.78</v>
      </c>
      <c r="M92" s="64">
        <v>64.290000000000006</v>
      </c>
      <c r="N92" s="64">
        <v>26.3</v>
      </c>
      <c r="O92" s="64">
        <v>0</v>
      </c>
      <c r="P92" s="64">
        <v>0.83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5" t="s">
        <v>2252</v>
      </c>
      <c r="B93" s="64">
        <v>0.47</v>
      </c>
      <c r="C93" s="64">
        <v>8.65</v>
      </c>
      <c r="D93" s="64">
        <v>4.8899999999999997</v>
      </c>
      <c r="E93" s="64">
        <v>5.37</v>
      </c>
      <c r="F93" s="64">
        <v>4.47</v>
      </c>
      <c r="G93" s="64">
        <v>52.49</v>
      </c>
      <c r="H93" s="64">
        <v>31.15</v>
      </c>
      <c r="I93" s="64">
        <v>3.08</v>
      </c>
      <c r="J93" s="64">
        <v>0.27</v>
      </c>
      <c r="K93" s="64">
        <v>118.11</v>
      </c>
      <c r="L93" s="64">
        <v>25.53</v>
      </c>
      <c r="M93" s="64">
        <v>66.59</v>
      </c>
      <c r="N93" s="64">
        <v>26.1</v>
      </c>
      <c r="O93" s="64">
        <v>0</v>
      </c>
      <c r="P93" s="64">
        <v>0.79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5" t="s">
        <v>2253</v>
      </c>
      <c r="B94" s="64">
        <v>0.53</v>
      </c>
      <c r="C94" s="64">
        <v>8.9499999999999993</v>
      </c>
      <c r="D94" s="64">
        <v>5.0999999999999996</v>
      </c>
      <c r="E94" s="64">
        <v>5.19</v>
      </c>
      <c r="F94" s="64">
        <v>4.1900000000000004</v>
      </c>
      <c r="G94" s="64">
        <v>52.49</v>
      </c>
      <c r="H94" s="64">
        <v>31.15</v>
      </c>
      <c r="I94" s="64">
        <v>3.27</v>
      </c>
      <c r="J94" s="64">
        <v>0.51</v>
      </c>
      <c r="K94" s="64">
        <v>143.71</v>
      </c>
      <c r="L94" s="64">
        <v>25.49</v>
      </c>
      <c r="M94" s="64">
        <v>67.569999999999993</v>
      </c>
      <c r="N94" s="64">
        <v>26</v>
      </c>
      <c r="O94" s="64">
        <v>0</v>
      </c>
      <c r="P94" s="64">
        <v>0.78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2254</v>
      </c>
      <c r="B95" s="64">
        <v>0.64</v>
      </c>
      <c r="C95" s="64">
        <v>9.8000000000000007</v>
      </c>
      <c r="D95" s="64">
        <v>5.63</v>
      </c>
      <c r="E95" s="64">
        <v>5.63</v>
      </c>
      <c r="F95" s="64">
        <v>4.05</v>
      </c>
      <c r="G95" s="64">
        <v>54.25</v>
      </c>
      <c r="H95" s="64">
        <v>32.53</v>
      </c>
      <c r="I95" s="64">
        <v>3.46</v>
      </c>
      <c r="J95" s="64">
        <v>0.31</v>
      </c>
      <c r="K95" s="64">
        <v>96.11</v>
      </c>
      <c r="L95" s="64">
        <v>25.57</v>
      </c>
      <c r="M95" s="64">
        <v>68.13</v>
      </c>
      <c r="N95" s="64">
        <v>26.1</v>
      </c>
      <c r="O95" s="64">
        <v>0</v>
      </c>
      <c r="P95" s="64">
        <v>0.72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2255</v>
      </c>
      <c r="B96" s="64">
        <v>0.59</v>
      </c>
      <c r="C96" s="64">
        <v>10.09</v>
      </c>
      <c r="D96" s="64">
        <v>5.75</v>
      </c>
      <c r="E96" s="64">
        <v>5.5</v>
      </c>
      <c r="F96" s="64">
        <v>5.0999999999999996</v>
      </c>
      <c r="G96" s="64">
        <v>55</v>
      </c>
      <c r="H96" s="64">
        <v>32.65</v>
      </c>
      <c r="I96" s="64">
        <v>3.74</v>
      </c>
      <c r="J96" s="64">
        <v>0.76</v>
      </c>
      <c r="K96" s="64">
        <v>112.1</v>
      </c>
      <c r="L96" s="64">
        <v>25.56</v>
      </c>
      <c r="M96" s="64">
        <v>68.55</v>
      </c>
      <c r="N96" s="64">
        <v>25.8</v>
      </c>
      <c r="O96" s="64">
        <v>0</v>
      </c>
      <c r="P96" s="64">
        <v>0.71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2256</v>
      </c>
      <c r="B97" s="64">
        <v>0.48</v>
      </c>
      <c r="C97" s="64">
        <v>10.35</v>
      </c>
      <c r="D97" s="64">
        <v>5.79</v>
      </c>
      <c r="E97" s="64">
        <v>5.48</v>
      </c>
      <c r="F97" s="64">
        <v>4.3</v>
      </c>
      <c r="G97" s="64">
        <v>55</v>
      </c>
      <c r="H97" s="64">
        <v>32.65</v>
      </c>
      <c r="I97" s="64">
        <v>4.03</v>
      </c>
      <c r="J97" s="64">
        <v>0.7</v>
      </c>
      <c r="K97" s="64">
        <v>119.84</v>
      </c>
      <c r="L97" s="64">
        <v>25.61</v>
      </c>
      <c r="M97" s="64">
        <v>68.34</v>
      </c>
      <c r="N97" s="64">
        <v>26</v>
      </c>
      <c r="O97" s="64">
        <v>0</v>
      </c>
      <c r="P97" s="64">
        <v>0.68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2257</v>
      </c>
      <c r="B98" s="64">
        <v>0.5</v>
      </c>
      <c r="C98" s="64">
        <v>10.72</v>
      </c>
      <c r="D98" s="64">
        <v>6</v>
      </c>
      <c r="E98" s="64">
        <v>5.69</v>
      </c>
      <c r="F98" s="64">
        <v>4.6399999999999997</v>
      </c>
      <c r="G98" s="64">
        <v>55</v>
      </c>
      <c r="H98" s="64">
        <v>32.65</v>
      </c>
      <c r="I98" s="64">
        <v>4.66</v>
      </c>
      <c r="J98" s="64">
        <v>0.21</v>
      </c>
      <c r="K98" s="64">
        <v>164.89</v>
      </c>
      <c r="L98" s="64">
        <v>25.36</v>
      </c>
      <c r="M98" s="64">
        <v>69.56</v>
      </c>
      <c r="N98" s="64">
        <v>26.3</v>
      </c>
      <c r="O98" s="64">
        <v>0</v>
      </c>
      <c r="P98" s="64">
        <v>0.68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5" t="s">
        <v>2258</v>
      </c>
      <c r="B99" s="64">
        <v>0.65</v>
      </c>
      <c r="C99" s="64">
        <v>11.18</v>
      </c>
      <c r="D99" s="64">
        <v>6.36</v>
      </c>
      <c r="E99" s="64">
        <v>5.4</v>
      </c>
      <c r="F99" s="64">
        <v>4.03</v>
      </c>
      <c r="G99" s="64">
        <v>58.21</v>
      </c>
      <c r="H99" s="64">
        <v>31.33</v>
      </c>
      <c r="I99" s="64">
        <v>4.8</v>
      </c>
      <c r="J99" s="64">
        <v>0.23</v>
      </c>
      <c r="K99" s="64">
        <v>96.19</v>
      </c>
      <c r="L99" s="64">
        <v>24.95</v>
      </c>
      <c r="M99" s="64">
        <v>72.25</v>
      </c>
      <c r="N99" s="64">
        <v>26.2</v>
      </c>
      <c r="O99" s="64">
        <v>0</v>
      </c>
      <c r="P99" s="64">
        <v>0.69</v>
      </c>
      <c r="Q99" s="64">
        <v>9.6</v>
      </c>
      <c r="R99" s="198"/>
      <c r="S99" s="198"/>
      <c r="T99" s="198"/>
      <c r="U99" s="198"/>
    </row>
    <row r="100" spans="1:33" s="12" customFormat="1" x14ac:dyDescent="0.25">
      <c r="A100" s="215" t="s">
        <v>2259</v>
      </c>
      <c r="B100" s="64">
        <v>0.97</v>
      </c>
      <c r="C100" s="64">
        <v>11.65</v>
      </c>
      <c r="D100" s="64">
        <v>6.87</v>
      </c>
      <c r="E100" s="64">
        <v>5.45</v>
      </c>
      <c r="F100" s="64">
        <v>3.82</v>
      </c>
      <c r="G100" s="64">
        <v>59.58</v>
      </c>
      <c r="H100" s="64">
        <v>31.16</v>
      </c>
      <c r="I100" s="64">
        <v>3.39</v>
      </c>
      <c r="J100" s="64">
        <v>7.0000000000000007E-2</v>
      </c>
      <c r="K100" s="64">
        <v>163.72999999999999</v>
      </c>
      <c r="L100" s="64">
        <v>24.66</v>
      </c>
      <c r="M100" s="64">
        <v>74.650000000000006</v>
      </c>
      <c r="N100" s="64">
        <v>26.2</v>
      </c>
      <c r="O100" s="64">
        <v>0</v>
      </c>
      <c r="P100" s="64">
        <v>0.64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2260</v>
      </c>
      <c r="B101" s="64">
        <v>1.1200000000000001</v>
      </c>
      <c r="C101" s="64">
        <v>12.13</v>
      </c>
      <c r="D101" s="64">
        <v>7.23</v>
      </c>
      <c r="E101" s="64">
        <v>4.9400000000000004</v>
      </c>
      <c r="F101" s="64">
        <v>3.78</v>
      </c>
      <c r="G101" s="64">
        <v>59.58</v>
      </c>
      <c r="H101" s="64">
        <v>31.16</v>
      </c>
      <c r="I101" s="64">
        <v>3.24</v>
      </c>
      <c r="J101" s="64">
        <v>0.2</v>
      </c>
      <c r="K101" s="64">
        <v>145.75</v>
      </c>
      <c r="L101" s="64">
        <v>24.56</v>
      </c>
      <c r="M101" s="64">
        <v>74.39</v>
      </c>
      <c r="N101" s="64">
        <v>25.9</v>
      </c>
      <c r="O101" s="64">
        <v>0</v>
      </c>
      <c r="P101" s="64">
        <v>0.64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5" t="s">
        <v>2261</v>
      </c>
      <c r="B102" s="64">
        <v>1.1399999999999999</v>
      </c>
      <c r="C102" s="64">
        <v>12.11</v>
      </c>
      <c r="D102" s="64">
        <v>7.24</v>
      </c>
      <c r="E102" s="64">
        <v>5.53</v>
      </c>
      <c r="F102" s="64">
        <v>3.75</v>
      </c>
      <c r="G102" s="64">
        <v>59.58</v>
      </c>
      <c r="H102" s="64">
        <v>31.16</v>
      </c>
      <c r="I102" s="64">
        <v>4.2699999999999996</v>
      </c>
      <c r="J102" s="64">
        <v>0.48</v>
      </c>
      <c r="K102" s="64">
        <v>90.52</v>
      </c>
      <c r="L102" s="64">
        <v>24.7</v>
      </c>
      <c r="M102" s="64">
        <v>73.06</v>
      </c>
      <c r="N102" s="64">
        <v>25.9</v>
      </c>
      <c r="O102" s="64">
        <v>0</v>
      </c>
      <c r="P102" s="64">
        <v>0.62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2262</v>
      </c>
      <c r="B103" s="64">
        <v>1.25</v>
      </c>
      <c r="C103" s="64">
        <v>11.72</v>
      </c>
      <c r="D103" s="64">
        <v>7.13</v>
      </c>
      <c r="E103" s="64">
        <v>5.36</v>
      </c>
      <c r="F103" s="64">
        <v>3.9</v>
      </c>
      <c r="G103" s="64">
        <v>58.23</v>
      </c>
      <c r="H103" s="64">
        <v>30.25</v>
      </c>
      <c r="I103" s="64">
        <v>4.13</v>
      </c>
      <c r="J103" s="64">
        <v>0.79</v>
      </c>
      <c r="K103" s="64">
        <v>101.01</v>
      </c>
      <c r="L103" s="64">
        <v>24.63</v>
      </c>
      <c r="M103" s="64">
        <v>73.47</v>
      </c>
      <c r="N103" s="64">
        <v>25.7</v>
      </c>
      <c r="O103" s="64">
        <v>0</v>
      </c>
      <c r="P103" s="64">
        <v>0.62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5" t="s">
        <v>2263</v>
      </c>
      <c r="B104" s="64">
        <v>1.27</v>
      </c>
      <c r="C104" s="64">
        <v>10.92</v>
      </c>
      <c r="D104" s="64">
        <v>6.72</v>
      </c>
      <c r="E104" s="64">
        <v>4.7300000000000004</v>
      </c>
      <c r="F104" s="64">
        <v>3.74</v>
      </c>
      <c r="G104" s="64">
        <v>57.65</v>
      </c>
      <c r="H104" s="64">
        <v>30.19</v>
      </c>
      <c r="I104" s="64">
        <v>2.77</v>
      </c>
      <c r="J104" s="64">
        <v>0.28000000000000003</v>
      </c>
      <c r="K104" s="64">
        <v>130.83000000000001</v>
      </c>
      <c r="L104" s="64">
        <v>24.48</v>
      </c>
      <c r="M104" s="64">
        <v>75.11</v>
      </c>
      <c r="N104" s="64">
        <v>26.2</v>
      </c>
      <c r="O104" s="64">
        <v>0</v>
      </c>
      <c r="P104" s="64">
        <v>0.54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-0.16</v>
      </c>
      <c r="C106" s="67">
        <f>MIN(C9:C104)</f>
        <v>5.92</v>
      </c>
      <c r="D106" s="67">
        <f t="shared" ref="D106:Q106" si="0">MIN(D9:D104)</f>
        <v>4.1100000000000003</v>
      </c>
      <c r="E106" s="67">
        <f t="shared" si="0"/>
        <v>4.45</v>
      </c>
      <c r="F106" s="67">
        <f t="shared" si="0"/>
        <v>2.74</v>
      </c>
      <c r="G106" s="67">
        <f t="shared" si="0"/>
        <v>47.54</v>
      </c>
      <c r="H106" s="67">
        <f t="shared" si="0"/>
        <v>18.489999999999998</v>
      </c>
      <c r="I106" s="67">
        <f t="shared" si="0"/>
        <v>1.46</v>
      </c>
      <c r="J106" s="67">
        <f t="shared" si="0"/>
        <v>0.01</v>
      </c>
      <c r="K106" s="67">
        <f t="shared" si="0"/>
        <v>1.96</v>
      </c>
      <c r="L106" s="67">
        <f t="shared" si="0"/>
        <v>22.99</v>
      </c>
      <c r="M106" s="67">
        <f t="shared" si="0"/>
        <v>51.57</v>
      </c>
      <c r="N106" s="67">
        <f t="shared" si="0"/>
        <v>25.7</v>
      </c>
      <c r="O106" s="67">
        <f t="shared" si="0"/>
        <v>0</v>
      </c>
      <c r="P106" s="67">
        <f t="shared" si="0"/>
        <v>0.49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12.36</v>
      </c>
      <c r="C107" s="66">
        <f t="shared" ref="C107:Q107" si="1">MAX(C9:C104)</f>
        <v>14.22</v>
      </c>
      <c r="D107" s="66">
        <f t="shared" si="1"/>
        <v>16.2</v>
      </c>
      <c r="E107" s="66">
        <f t="shared" si="1"/>
        <v>6.18</v>
      </c>
      <c r="F107" s="66">
        <f t="shared" si="1"/>
        <v>13.45</v>
      </c>
      <c r="G107" s="66">
        <f t="shared" si="1"/>
        <v>100.47</v>
      </c>
      <c r="H107" s="66">
        <f t="shared" si="1"/>
        <v>49.95</v>
      </c>
      <c r="I107" s="66">
        <f t="shared" si="1"/>
        <v>5.89</v>
      </c>
      <c r="J107" s="66">
        <f t="shared" si="1"/>
        <v>1.78</v>
      </c>
      <c r="K107" s="66">
        <f t="shared" si="1"/>
        <v>348.22</v>
      </c>
      <c r="L107" s="66">
        <f t="shared" si="1"/>
        <v>32.68</v>
      </c>
      <c r="M107" s="66">
        <f t="shared" si="1"/>
        <v>100.63</v>
      </c>
      <c r="N107" s="66">
        <f t="shared" si="1"/>
        <v>577.9</v>
      </c>
      <c r="O107" s="66">
        <f t="shared" si="1"/>
        <v>0</v>
      </c>
      <c r="P107" s="66">
        <f t="shared" si="1"/>
        <v>0.83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4.1341666666666663</v>
      </c>
      <c r="C108" s="67">
        <f t="shared" ref="C108:Q108" si="2">AVERAGE(C9:C104)</f>
        <v>9.2264583333333299</v>
      </c>
      <c r="D108" s="67">
        <f t="shared" si="2"/>
        <v>8.1357291666666676</v>
      </c>
      <c r="E108" s="67">
        <f t="shared" si="2"/>
        <v>5.3735416666666636</v>
      </c>
      <c r="F108" s="67">
        <f t="shared" si="2"/>
        <v>4.3454166666666652</v>
      </c>
      <c r="G108" s="67">
        <f t="shared" si="2"/>
        <v>70.561249999999987</v>
      </c>
      <c r="H108" s="67">
        <f t="shared" si="2"/>
        <v>37.883020833333319</v>
      </c>
      <c r="I108" s="67">
        <f t="shared" si="2"/>
        <v>3.9595833333333315</v>
      </c>
      <c r="J108" s="67">
        <f t="shared" si="2"/>
        <v>0.65843750000000001</v>
      </c>
      <c r="K108" s="67">
        <f t="shared" si="2"/>
        <v>178.2741666666667</v>
      </c>
      <c r="L108" s="67">
        <f t="shared" si="2"/>
        <v>26.320833333333326</v>
      </c>
      <c r="M108" s="67">
        <f t="shared" si="2"/>
        <v>75.335104166666682</v>
      </c>
      <c r="N108" s="67">
        <f t="shared" si="2"/>
        <v>128.56979166666662</v>
      </c>
      <c r="O108" s="67">
        <f t="shared" si="2"/>
        <v>0</v>
      </c>
      <c r="P108" s="67">
        <f t="shared" si="2"/>
        <v>0.65354166666666658</v>
      </c>
      <c r="Q108" s="67">
        <f t="shared" si="2"/>
        <v>9.6129166666666759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4.0705012407413879</v>
      </c>
      <c r="C109" s="67">
        <f t="shared" ref="C109:Q109" si="3">STDEV(C9:C104)</f>
        <v>2.1314452616731256</v>
      </c>
      <c r="D109" s="67">
        <f t="shared" si="3"/>
        <v>3.2279831555001874</v>
      </c>
      <c r="E109" s="67">
        <f t="shared" si="3"/>
        <v>0.42377744697117081</v>
      </c>
      <c r="F109" s="67">
        <f t="shared" si="3"/>
        <v>1.2433620945829189</v>
      </c>
      <c r="G109" s="67">
        <f t="shared" si="3"/>
        <v>15.602175978470509</v>
      </c>
      <c r="H109" s="67">
        <f t="shared" si="3"/>
        <v>9.0302456829423772</v>
      </c>
      <c r="I109" s="67">
        <f t="shared" si="3"/>
        <v>0.98155399526161535</v>
      </c>
      <c r="J109" s="67">
        <f t="shared" si="3"/>
        <v>0.37098539657739149</v>
      </c>
      <c r="K109" s="67">
        <f t="shared" si="3"/>
        <v>107.19328326038131</v>
      </c>
      <c r="L109" s="67">
        <f t="shared" si="3"/>
        <v>2.6660819534396287</v>
      </c>
      <c r="M109" s="67">
        <f t="shared" si="3"/>
        <v>14.610018984446064</v>
      </c>
      <c r="N109" s="67">
        <f t="shared" si="3"/>
        <v>154.32897270018032</v>
      </c>
      <c r="O109" s="67">
        <f t="shared" si="3"/>
        <v>0</v>
      </c>
      <c r="P109" s="67">
        <f t="shared" si="3"/>
        <v>8.8543526812246226E-2</v>
      </c>
      <c r="Q109" s="67">
        <f t="shared" si="3"/>
        <v>8.1971325752448806E-3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2264</v>
      </c>
      <c r="B9" s="64">
        <v>1.22</v>
      </c>
      <c r="C9" s="64">
        <v>10.01</v>
      </c>
      <c r="D9" s="64">
        <v>6.21</v>
      </c>
      <c r="E9" s="64">
        <v>4.66</v>
      </c>
      <c r="F9" s="64">
        <v>4.4400000000000004</v>
      </c>
      <c r="G9" s="64">
        <v>57.65</v>
      </c>
      <c r="H9" s="64">
        <v>30.19</v>
      </c>
      <c r="I9" s="64">
        <v>3.51</v>
      </c>
      <c r="J9" s="64">
        <v>0.45</v>
      </c>
      <c r="K9" s="64">
        <v>307.93</v>
      </c>
      <c r="L9" s="64">
        <v>23.91</v>
      </c>
      <c r="M9" s="64">
        <v>81.13</v>
      </c>
      <c r="N9" s="64">
        <v>26.4</v>
      </c>
      <c r="O9" s="64">
        <v>0</v>
      </c>
      <c r="P9" s="64">
        <v>0.65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2265</v>
      </c>
      <c r="B10" s="64">
        <v>1.46</v>
      </c>
      <c r="C10" s="64">
        <v>9.75</v>
      </c>
      <c r="D10" s="64">
        <v>6.27</v>
      </c>
      <c r="E10" s="64">
        <v>4.58</v>
      </c>
      <c r="F10" s="64">
        <v>3.52</v>
      </c>
      <c r="G10" s="64">
        <v>57.65</v>
      </c>
      <c r="H10" s="64">
        <v>30.19</v>
      </c>
      <c r="I10" s="64">
        <v>2.76</v>
      </c>
      <c r="J10" s="64">
        <v>0.54</v>
      </c>
      <c r="K10" s="64">
        <v>303.32</v>
      </c>
      <c r="L10" s="64">
        <v>23.42</v>
      </c>
      <c r="M10" s="64">
        <v>86.41</v>
      </c>
      <c r="N10" s="64">
        <v>26.4</v>
      </c>
      <c r="O10" s="64">
        <v>0</v>
      </c>
      <c r="P10" s="64">
        <v>0.75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2266</v>
      </c>
      <c r="B11" s="64">
        <v>2.12</v>
      </c>
      <c r="C11" s="64">
        <v>9.61</v>
      </c>
      <c r="D11" s="64">
        <v>6.72</v>
      </c>
      <c r="E11" s="64">
        <v>4.38</v>
      </c>
      <c r="F11" s="64">
        <v>3.42</v>
      </c>
      <c r="G11" s="64">
        <v>60.25</v>
      </c>
      <c r="H11" s="64">
        <v>30.79</v>
      </c>
      <c r="I11" s="64">
        <v>2.5499999999999998</v>
      </c>
      <c r="J11" s="64">
        <v>0.55000000000000004</v>
      </c>
      <c r="K11" s="64">
        <v>321.68</v>
      </c>
      <c r="L11" s="64">
        <v>23.04</v>
      </c>
      <c r="M11" s="64">
        <v>92.31</v>
      </c>
      <c r="N11" s="64">
        <v>26.4</v>
      </c>
      <c r="O11" s="64">
        <v>0</v>
      </c>
      <c r="P11" s="64">
        <v>0.73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5" t="s">
        <v>2267</v>
      </c>
      <c r="B12" s="64">
        <v>2.8</v>
      </c>
      <c r="C12" s="64">
        <v>9.32</v>
      </c>
      <c r="D12" s="64">
        <v>7.11</v>
      </c>
      <c r="E12" s="64">
        <v>4.6900000000000004</v>
      </c>
      <c r="F12" s="64">
        <v>3.78</v>
      </c>
      <c r="G12" s="64">
        <v>61.36</v>
      </c>
      <c r="H12" s="64">
        <v>30.83</v>
      </c>
      <c r="I12" s="64">
        <v>3.08</v>
      </c>
      <c r="J12" s="64">
        <v>0.53</v>
      </c>
      <c r="K12" s="64">
        <v>208.85</v>
      </c>
      <c r="L12" s="64">
        <v>23.23</v>
      </c>
      <c r="M12" s="64">
        <v>86.82</v>
      </c>
      <c r="N12" s="64">
        <v>25.6</v>
      </c>
      <c r="O12" s="64">
        <v>0</v>
      </c>
      <c r="P12" s="64">
        <v>0.56000000000000005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5" t="s">
        <v>2268</v>
      </c>
      <c r="B13" s="64">
        <v>2.95</v>
      </c>
      <c r="C13" s="64">
        <v>8.7200000000000006</v>
      </c>
      <c r="D13" s="64">
        <v>6.92</v>
      </c>
      <c r="E13" s="64">
        <v>4.8499999999999996</v>
      </c>
      <c r="F13" s="64">
        <v>6.06</v>
      </c>
      <c r="G13" s="64">
        <v>61.36</v>
      </c>
      <c r="H13" s="64">
        <v>30.83</v>
      </c>
      <c r="I13" s="64">
        <v>2.91</v>
      </c>
      <c r="J13" s="64">
        <v>0.45</v>
      </c>
      <c r="K13" s="64">
        <v>226.65</v>
      </c>
      <c r="L13" s="64">
        <v>23.58</v>
      </c>
      <c r="M13" s="64">
        <v>84.77</v>
      </c>
      <c r="N13" s="64">
        <v>25.9</v>
      </c>
      <c r="O13" s="64">
        <v>0</v>
      </c>
      <c r="P13" s="64">
        <v>0.51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2269</v>
      </c>
      <c r="B14" s="64">
        <v>2.79</v>
      </c>
      <c r="C14" s="64">
        <v>8.19</v>
      </c>
      <c r="D14" s="64">
        <v>6.52</v>
      </c>
      <c r="E14" s="64">
        <v>4.59</v>
      </c>
      <c r="F14" s="64">
        <v>4.42</v>
      </c>
      <c r="G14" s="64">
        <v>61.36</v>
      </c>
      <c r="H14" s="64">
        <v>30.83</v>
      </c>
      <c r="I14" s="64">
        <v>2.61</v>
      </c>
      <c r="J14" s="64">
        <v>0.28000000000000003</v>
      </c>
      <c r="K14" s="64">
        <v>216.75</v>
      </c>
      <c r="L14" s="64">
        <v>23.37</v>
      </c>
      <c r="M14" s="64">
        <v>87.19</v>
      </c>
      <c r="N14" s="64">
        <v>26.1</v>
      </c>
      <c r="O14" s="64">
        <v>0</v>
      </c>
      <c r="P14" s="64">
        <v>0.5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2270</v>
      </c>
      <c r="B15" s="64">
        <v>2.62</v>
      </c>
      <c r="C15" s="64">
        <v>7.93</v>
      </c>
      <c r="D15" s="64">
        <v>6.25</v>
      </c>
      <c r="E15" s="64">
        <v>4.72</v>
      </c>
      <c r="F15" s="64">
        <v>3.86</v>
      </c>
      <c r="G15" s="64">
        <v>59.84</v>
      </c>
      <c r="H15" s="64">
        <v>29.23</v>
      </c>
      <c r="I15" s="64">
        <v>2.41</v>
      </c>
      <c r="J15" s="64">
        <v>0.43</v>
      </c>
      <c r="K15" s="64">
        <v>308.48</v>
      </c>
      <c r="L15" s="64">
        <v>23.11</v>
      </c>
      <c r="M15" s="64">
        <v>91.03</v>
      </c>
      <c r="N15" s="64">
        <v>26.2</v>
      </c>
      <c r="O15" s="64">
        <v>0</v>
      </c>
      <c r="P15" s="64">
        <v>0.59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2271</v>
      </c>
      <c r="B16" s="64">
        <v>2.54</v>
      </c>
      <c r="C16" s="64">
        <v>8.2200000000000006</v>
      </c>
      <c r="D16" s="64">
        <v>6.33</v>
      </c>
      <c r="E16" s="64">
        <v>4.67</v>
      </c>
      <c r="F16" s="64">
        <v>3.77</v>
      </c>
      <c r="G16" s="64">
        <v>59.19</v>
      </c>
      <c r="H16" s="64">
        <v>29.1</v>
      </c>
      <c r="I16" s="64">
        <v>2.0499999999999998</v>
      </c>
      <c r="J16" s="64">
        <v>0.6</v>
      </c>
      <c r="K16" s="64">
        <v>322.82</v>
      </c>
      <c r="L16" s="64">
        <v>22.64</v>
      </c>
      <c r="M16" s="64">
        <v>96.24</v>
      </c>
      <c r="N16" s="64">
        <v>26.2</v>
      </c>
      <c r="O16" s="64">
        <v>0</v>
      </c>
      <c r="P16" s="64">
        <v>0.63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2272</v>
      </c>
      <c r="B17" s="64">
        <v>2.39</v>
      </c>
      <c r="C17" s="64">
        <v>7.95</v>
      </c>
      <c r="D17" s="64">
        <v>6.07</v>
      </c>
      <c r="E17" s="64">
        <v>4.79</v>
      </c>
      <c r="F17" s="64">
        <v>3.94</v>
      </c>
      <c r="G17" s="64">
        <v>59.19</v>
      </c>
      <c r="H17" s="64">
        <v>29.1</v>
      </c>
      <c r="I17" s="64">
        <v>4.4000000000000004</v>
      </c>
      <c r="J17" s="64">
        <v>0.28999999999999998</v>
      </c>
      <c r="K17" s="64">
        <v>287.5</v>
      </c>
      <c r="L17" s="64">
        <v>22.41</v>
      </c>
      <c r="M17" s="64">
        <v>98.04</v>
      </c>
      <c r="N17" s="64">
        <v>26.2</v>
      </c>
      <c r="O17" s="64">
        <v>0</v>
      </c>
      <c r="P17" s="64">
        <v>0.56999999999999995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5" t="s">
        <v>2273</v>
      </c>
      <c r="B18" s="64">
        <v>2.3199999999999998</v>
      </c>
      <c r="C18" s="64">
        <v>7.89</v>
      </c>
      <c r="D18" s="64">
        <v>5.98</v>
      </c>
      <c r="E18" s="64">
        <v>4.4800000000000004</v>
      </c>
      <c r="F18" s="64">
        <v>3.84</v>
      </c>
      <c r="G18" s="64">
        <v>59.19</v>
      </c>
      <c r="H18" s="64">
        <v>29.1</v>
      </c>
      <c r="I18" s="64">
        <v>4.68</v>
      </c>
      <c r="J18" s="64">
        <v>0.57999999999999996</v>
      </c>
      <c r="K18" s="64">
        <v>331.6</v>
      </c>
      <c r="L18" s="64">
        <v>22.21</v>
      </c>
      <c r="M18" s="64">
        <v>100.91</v>
      </c>
      <c r="N18" s="64">
        <v>26.2</v>
      </c>
      <c r="O18" s="64">
        <v>0</v>
      </c>
      <c r="P18" s="64">
        <v>0.63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2274</v>
      </c>
      <c r="B19" s="64">
        <v>2.3199999999999998</v>
      </c>
      <c r="C19" s="64">
        <v>7.94</v>
      </c>
      <c r="D19" s="64">
        <v>6.01</v>
      </c>
      <c r="E19" s="64">
        <v>4.57</v>
      </c>
      <c r="F19" s="64">
        <v>3.56</v>
      </c>
      <c r="G19" s="64">
        <v>60.05</v>
      </c>
      <c r="H19" s="64">
        <v>31.53</v>
      </c>
      <c r="I19" s="64">
        <v>4.33</v>
      </c>
      <c r="J19" s="64">
        <v>0.43</v>
      </c>
      <c r="K19" s="64">
        <v>343.44</v>
      </c>
      <c r="L19" s="64">
        <v>21.92</v>
      </c>
      <c r="M19" s="64">
        <v>101.89</v>
      </c>
      <c r="N19" s="64">
        <v>26.1</v>
      </c>
      <c r="O19" s="64">
        <v>0</v>
      </c>
      <c r="P19" s="64">
        <v>0.64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2275</v>
      </c>
      <c r="B20" s="64">
        <v>2.4</v>
      </c>
      <c r="C20" s="64">
        <v>8.17</v>
      </c>
      <c r="D20" s="64">
        <v>6.19</v>
      </c>
      <c r="E20" s="64">
        <v>4.92</v>
      </c>
      <c r="F20" s="64">
        <v>3.44</v>
      </c>
      <c r="G20" s="64">
        <v>60.41</v>
      </c>
      <c r="H20" s="64">
        <v>31.84</v>
      </c>
      <c r="I20" s="64">
        <v>4.53</v>
      </c>
      <c r="J20" s="64">
        <v>0.39</v>
      </c>
      <c r="K20" s="64">
        <v>309.44</v>
      </c>
      <c r="L20" s="64">
        <v>21.75</v>
      </c>
      <c r="M20" s="64">
        <v>101.91</v>
      </c>
      <c r="N20" s="64">
        <v>26.1</v>
      </c>
      <c r="O20" s="64">
        <v>0</v>
      </c>
      <c r="P20" s="64">
        <v>0.63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2276</v>
      </c>
      <c r="B21" s="64">
        <v>2.48</v>
      </c>
      <c r="C21" s="64">
        <v>8.16</v>
      </c>
      <c r="D21" s="64">
        <v>6.25</v>
      </c>
      <c r="E21" s="64">
        <v>4.82</v>
      </c>
      <c r="F21" s="64">
        <v>3.52</v>
      </c>
      <c r="G21" s="64">
        <v>60.41</v>
      </c>
      <c r="H21" s="64">
        <v>31.84</v>
      </c>
      <c r="I21" s="64">
        <v>4.55</v>
      </c>
      <c r="J21" s="64">
        <v>0.51</v>
      </c>
      <c r="K21" s="64">
        <v>358.9</v>
      </c>
      <c r="L21" s="64">
        <v>21.65</v>
      </c>
      <c r="M21" s="64">
        <v>102.71</v>
      </c>
      <c r="N21" s="64">
        <v>26.1</v>
      </c>
      <c r="O21" s="64">
        <v>0</v>
      </c>
      <c r="P21" s="64">
        <v>0.62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2277</v>
      </c>
      <c r="B22" s="64">
        <v>2.4300000000000002</v>
      </c>
      <c r="C22" s="64">
        <v>7.89</v>
      </c>
      <c r="D22" s="64">
        <v>6.07</v>
      </c>
      <c r="E22" s="64">
        <v>5.1100000000000003</v>
      </c>
      <c r="F22" s="64">
        <v>3.81</v>
      </c>
      <c r="G22" s="64">
        <v>60.41</v>
      </c>
      <c r="H22" s="64">
        <v>31.84</v>
      </c>
      <c r="I22" s="64">
        <v>4.95</v>
      </c>
      <c r="J22" s="64">
        <v>0.52</v>
      </c>
      <c r="K22" s="64">
        <v>334.59</v>
      </c>
      <c r="L22" s="64">
        <v>21.7</v>
      </c>
      <c r="M22" s="64">
        <v>102.72</v>
      </c>
      <c r="N22" s="64">
        <v>25.9</v>
      </c>
      <c r="O22" s="64">
        <v>0</v>
      </c>
      <c r="P22" s="64">
        <v>0.56999999999999995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2278</v>
      </c>
      <c r="B23" s="64">
        <v>2.2999999999999998</v>
      </c>
      <c r="C23" s="64">
        <v>7.84</v>
      </c>
      <c r="D23" s="64">
        <v>5.94</v>
      </c>
      <c r="E23" s="64">
        <v>4.72</v>
      </c>
      <c r="F23" s="64">
        <v>3.5</v>
      </c>
      <c r="G23" s="64">
        <v>56.79</v>
      </c>
      <c r="H23" s="64">
        <v>27.75</v>
      </c>
      <c r="I23" s="64">
        <v>5.04</v>
      </c>
      <c r="J23" s="64">
        <v>0.8</v>
      </c>
      <c r="K23" s="64">
        <v>336.7</v>
      </c>
      <c r="L23" s="64">
        <v>21.72</v>
      </c>
      <c r="M23" s="64">
        <v>102.7</v>
      </c>
      <c r="N23" s="64">
        <v>25.5</v>
      </c>
      <c r="O23" s="64">
        <v>0</v>
      </c>
      <c r="P23" s="64">
        <v>0.62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2279</v>
      </c>
      <c r="B24" s="64">
        <v>2.39</v>
      </c>
      <c r="C24" s="64">
        <v>7.85</v>
      </c>
      <c r="D24" s="64">
        <v>6.02</v>
      </c>
      <c r="E24" s="64">
        <v>4.22</v>
      </c>
      <c r="F24" s="64">
        <v>3.41</v>
      </c>
      <c r="G24" s="64">
        <v>55.24</v>
      </c>
      <c r="H24" s="64">
        <v>27.42</v>
      </c>
      <c r="I24" s="64">
        <v>4.54</v>
      </c>
      <c r="J24" s="64">
        <v>0.32</v>
      </c>
      <c r="K24" s="64">
        <v>343.14</v>
      </c>
      <c r="L24" s="64">
        <v>21.69</v>
      </c>
      <c r="M24" s="64">
        <v>102.39</v>
      </c>
      <c r="N24" s="64">
        <v>26.1</v>
      </c>
      <c r="O24" s="64">
        <v>0</v>
      </c>
      <c r="P24" s="64">
        <v>0.71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2280</v>
      </c>
      <c r="B25" s="64">
        <v>2.98</v>
      </c>
      <c r="C25" s="64">
        <v>7.61</v>
      </c>
      <c r="D25" s="64">
        <v>6.36</v>
      </c>
      <c r="E25" s="64">
        <v>4.59</v>
      </c>
      <c r="F25" s="64">
        <v>3.13</v>
      </c>
      <c r="G25" s="64">
        <v>55.24</v>
      </c>
      <c r="H25" s="64">
        <v>27.42</v>
      </c>
      <c r="I25" s="64">
        <v>4.76</v>
      </c>
      <c r="J25" s="64">
        <v>0.63</v>
      </c>
      <c r="K25" s="64">
        <v>337.94</v>
      </c>
      <c r="L25" s="64">
        <v>21.67</v>
      </c>
      <c r="M25" s="64">
        <v>102.39</v>
      </c>
      <c r="N25" s="64">
        <v>25.9</v>
      </c>
      <c r="O25" s="64">
        <v>0</v>
      </c>
      <c r="P25" s="64">
        <v>0.82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2281</v>
      </c>
      <c r="B26" s="64">
        <v>4.05</v>
      </c>
      <c r="C26" s="64">
        <v>7.44</v>
      </c>
      <c r="D26" s="64">
        <v>7.13</v>
      </c>
      <c r="E26" s="64">
        <v>4.54</v>
      </c>
      <c r="F26" s="64">
        <v>3.84</v>
      </c>
      <c r="G26" s="64">
        <v>55.24</v>
      </c>
      <c r="H26" s="64">
        <v>27.42</v>
      </c>
      <c r="I26" s="64">
        <v>4.6500000000000004</v>
      </c>
      <c r="J26" s="64">
        <v>0.51</v>
      </c>
      <c r="K26" s="64">
        <v>107.51</v>
      </c>
      <c r="L26" s="64">
        <v>21.86</v>
      </c>
      <c r="M26" s="64">
        <v>98.25</v>
      </c>
      <c r="N26" s="64">
        <v>26</v>
      </c>
      <c r="O26" s="64">
        <v>0</v>
      </c>
      <c r="P26" s="64">
        <v>0.65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2282</v>
      </c>
      <c r="B27" s="64">
        <v>4.57</v>
      </c>
      <c r="C27" s="64">
        <v>7.33</v>
      </c>
      <c r="D27" s="64">
        <v>7.5</v>
      </c>
      <c r="E27" s="64">
        <v>4.88</v>
      </c>
      <c r="F27" s="64">
        <v>3.16</v>
      </c>
      <c r="G27" s="64">
        <v>64.92</v>
      </c>
      <c r="H27" s="64">
        <v>38.99</v>
      </c>
      <c r="I27" s="64">
        <v>4.6399999999999997</v>
      </c>
      <c r="J27" s="64">
        <v>0.31</v>
      </c>
      <c r="K27" s="64">
        <v>101.34</v>
      </c>
      <c r="L27" s="64">
        <v>21.83</v>
      </c>
      <c r="M27" s="64">
        <v>97.46</v>
      </c>
      <c r="N27" s="64">
        <v>26.1</v>
      </c>
      <c r="O27" s="64">
        <v>0</v>
      </c>
      <c r="P27" s="64">
        <v>0.77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2283</v>
      </c>
      <c r="B28" s="64">
        <v>4.76</v>
      </c>
      <c r="C28" s="64">
        <v>7.14</v>
      </c>
      <c r="D28" s="64">
        <v>7.54</v>
      </c>
      <c r="E28" s="64">
        <v>4.59</v>
      </c>
      <c r="F28" s="64">
        <v>3.52</v>
      </c>
      <c r="G28" s="64">
        <v>69.069999999999993</v>
      </c>
      <c r="H28" s="64">
        <v>39.92</v>
      </c>
      <c r="I28" s="64">
        <v>3.99</v>
      </c>
      <c r="J28" s="64">
        <v>0.39</v>
      </c>
      <c r="K28" s="64">
        <v>9.89</v>
      </c>
      <c r="L28" s="64">
        <v>21.72</v>
      </c>
      <c r="M28" s="64">
        <v>98.66</v>
      </c>
      <c r="N28" s="64">
        <v>25.9</v>
      </c>
      <c r="O28" s="64">
        <v>0</v>
      </c>
      <c r="P28" s="64">
        <v>1.05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2284</v>
      </c>
      <c r="B29" s="64">
        <v>4.96</v>
      </c>
      <c r="C29" s="64">
        <v>7.13</v>
      </c>
      <c r="D29" s="64">
        <v>7.7</v>
      </c>
      <c r="E29" s="64">
        <v>4.96</v>
      </c>
      <c r="F29" s="64">
        <v>3.66</v>
      </c>
      <c r="G29" s="64">
        <v>69.069999999999993</v>
      </c>
      <c r="H29" s="64">
        <v>39.92</v>
      </c>
      <c r="I29" s="64">
        <v>3.73</v>
      </c>
      <c r="J29" s="64">
        <v>0.39</v>
      </c>
      <c r="K29" s="64">
        <v>339.56</v>
      </c>
      <c r="L29" s="64">
        <v>21.77</v>
      </c>
      <c r="M29" s="64">
        <v>97.12</v>
      </c>
      <c r="N29" s="64">
        <v>25.9</v>
      </c>
      <c r="O29" s="64">
        <v>0</v>
      </c>
      <c r="P29" s="64">
        <v>0.98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2285</v>
      </c>
      <c r="B30" s="64">
        <v>5.21</v>
      </c>
      <c r="C30" s="64">
        <v>7.16</v>
      </c>
      <c r="D30" s="64">
        <v>7.92</v>
      </c>
      <c r="E30" s="64">
        <v>4.79</v>
      </c>
      <c r="F30" s="64">
        <v>3.89</v>
      </c>
      <c r="G30" s="64">
        <v>69.069999999999993</v>
      </c>
      <c r="H30" s="64">
        <v>39.92</v>
      </c>
      <c r="I30" s="64">
        <v>4.08</v>
      </c>
      <c r="J30" s="64">
        <v>0.98</v>
      </c>
      <c r="K30" s="64">
        <v>340.8</v>
      </c>
      <c r="L30" s="64">
        <v>21.84</v>
      </c>
      <c r="M30" s="64">
        <v>94.91</v>
      </c>
      <c r="N30" s="64">
        <v>25.7</v>
      </c>
      <c r="O30" s="64">
        <v>0</v>
      </c>
      <c r="P30" s="64">
        <v>0.79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2286</v>
      </c>
      <c r="B31" s="64">
        <v>5.36</v>
      </c>
      <c r="C31" s="64">
        <v>7.3</v>
      </c>
      <c r="D31" s="64">
        <v>8.11</v>
      </c>
      <c r="E31" s="64">
        <v>4.74</v>
      </c>
      <c r="F31" s="64">
        <v>3.77</v>
      </c>
      <c r="G31" s="64">
        <v>80.72</v>
      </c>
      <c r="H31" s="64">
        <v>44.85</v>
      </c>
      <c r="I31" s="64">
        <v>4.3099999999999996</v>
      </c>
      <c r="J31" s="64">
        <v>0.87</v>
      </c>
      <c r="K31" s="64">
        <v>340.91</v>
      </c>
      <c r="L31" s="64">
        <v>21.75</v>
      </c>
      <c r="M31" s="64">
        <v>94.58</v>
      </c>
      <c r="N31" s="64">
        <v>25.9</v>
      </c>
      <c r="O31" s="64">
        <v>0</v>
      </c>
      <c r="P31" s="64">
        <v>0.76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2287</v>
      </c>
      <c r="B32" s="64">
        <v>5.7</v>
      </c>
      <c r="C32" s="64">
        <v>7.71</v>
      </c>
      <c r="D32" s="64">
        <v>8.6</v>
      </c>
      <c r="E32" s="64">
        <v>5.07</v>
      </c>
      <c r="F32" s="64">
        <v>3.64</v>
      </c>
      <c r="G32" s="64">
        <v>85.72</v>
      </c>
      <c r="H32" s="64">
        <v>45.25</v>
      </c>
      <c r="I32" s="64">
        <v>4.75</v>
      </c>
      <c r="J32" s="64">
        <v>0.82</v>
      </c>
      <c r="K32" s="64">
        <v>344.94</v>
      </c>
      <c r="L32" s="64">
        <v>21.71</v>
      </c>
      <c r="M32" s="64">
        <v>94.15</v>
      </c>
      <c r="N32" s="64">
        <v>26.8</v>
      </c>
      <c r="O32" s="64">
        <v>0</v>
      </c>
      <c r="P32" s="64">
        <v>0.75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5" t="s">
        <v>2288</v>
      </c>
      <c r="B33" s="64">
        <v>6.43</v>
      </c>
      <c r="C33" s="64">
        <v>8.58</v>
      </c>
      <c r="D33" s="64">
        <v>9.64</v>
      </c>
      <c r="E33" s="64">
        <v>5.12</v>
      </c>
      <c r="F33" s="64">
        <v>4.13</v>
      </c>
      <c r="G33" s="64">
        <v>85.72</v>
      </c>
      <c r="H33" s="64">
        <v>45.25</v>
      </c>
      <c r="I33" s="64">
        <v>4.7300000000000004</v>
      </c>
      <c r="J33" s="64">
        <v>0.37</v>
      </c>
      <c r="K33" s="64">
        <v>4.3099999999999996</v>
      </c>
      <c r="L33" s="64">
        <v>21.6</v>
      </c>
      <c r="M33" s="64">
        <v>95.32</v>
      </c>
      <c r="N33" s="64">
        <v>31.6</v>
      </c>
      <c r="O33" s="64">
        <v>0</v>
      </c>
      <c r="P33" s="64">
        <v>0.78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5" t="s">
        <v>2289</v>
      </c>
      <c r="B34" s="64">
        <v>6.81</v>
      </c>
      <c r="C34" s="64">
        <v>8.9499999999999993</v>
      </c>
      <c r="D34" s="64">
        <v>10.14</v>
      </c>
      <c r="E34" s="64">
        <v>5</v>
      </c>
      <c r="F34" s="64">
        <v>4.0199999999999996</v>
      </c>
      <c r="G34" s="64">
        <v>85.72</v>
      </c>
      <c r="H34" s="64">
        <v>45.25</v>
      </c>
      <c r="I34" s="64">
        <v>5.31</v>
      </c>
      <c r="J34" s="64">
        <v>0.81</v>
      </c>
      <c r="K34" s="64">
        <v>334.09</v>
      </c>
      <c r="L34" s="64">
        <v>21.76</v>
      </c>
      <c r="M34" s="64">
        <v>93.97</v>
      </c>
      <c r="N34" s="64">
        <v>43.6</v>
      </c>
      <c r="O34" s="64">
        <v>0</v>
      </c>
      <c r="P34" s="64">
        <v>0.77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2290</v>
      </c>
      <c r="B35" s="64">
        <v>7.17</v>
      </c>
      <c r="C35" s="64">
        <v>9.31</v>
      </c>
      <c r="D35" s="64">
        <v>10.61</v>
      </c>
      <c r="E35" s="64">
        <v>5.21</v>
      </c>
      <c r="F35" s="64">
        <v>4.05</v>
      </c>
      <c r="G35" s="64">
        <v>88.56</v>
      </c>
      <c r="H35" s="64">
        <v>43.89</v>
      </c>
      <c r="I35" s="64">
        <v>5.46</v>
      </c>
      <c r="J35" s="64">
        <v>0.66</v>
      </c>
      <c r="K35" s="64">
        <v>329.26</v>
      </c>
      <c r="L35" s="64">
        <v>22.23</v>
      </c>
      <c r="M35" s="64">
        <v>92.15</v>
      </c>
      <c r="N35" s="64">
        <v>65</v>
      </c>
      <c r="O35" s="64">
        <v>0</v>
      </c>
      <c r="P35" s="64">
        <v>0.78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2291</v>
      </c>
      <c r="B36" s="64">
        <v>7.99</v>
      </c>
      <c r="C36" s="64">
        <v>9.58</v>
      </c>
      <c r="D36" s="64">
        <v>11.41</v>
      </c>
      <c r="E36" s="64">
        <v>5.34</v>
      </c>
      <c r="F36" s="64">
        <v>3.85</v>
      </c>
      <c r="G36" s="64">
        <v>89.85</v>
      </c>
      <c r="H36" s="64">
        <v>43.72</v>
      </c>
      <c r="I36" s="64">
        <v>5.44</v>
      </c>
      <c r="J36" s="64">
        <v>0.71</v>
      </c>
      <c r="K36" s="64">
        <v>333.03</v>
      </c>
      <c r="L36" s="64">
        <v>22.94</v>
      </c>
      <c r="M36" s="64">
        <v>88.11</v>
      </c>
      <c r="N36" s="64">
        <v>102.4</v>
      </c>
      <c r="O36" s="64">
        <v>0</v>
      </c>
      <c r="P36" s="64">
        <v>0.78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2292</v>
      </c>
      <c r="B37" s="64">
        <v>8.6300000000000008</v>
      </c>
      <c r="C37" s="64">
        <v>10.119999999999999</v>
      </c>
      <c r="D37" s="64">
        <v>12.21</v>
      </c>
      <c r="E37" s="64">
        <v>5.23</v>
      </c>
      <c r="F37" s="64">
        <v>3.61</v>
      </c>
      <c r="G37" s="64">
        <v>89.85</v>
      </c>
      <c r="H37" s="64">
        <v>43.72</v>
      </c>
      <c r="I37" s="64">
        <v>5.47</v>
      </c>
      <c r="J37" s="64">
        <v>0.77</v>
      </c>
      <c r="K37" s="64">
        <v>334.93</v>
      </c>
      <c r="L37" s="64">
        <v>24.33</v>
      </c>
      <c r="M37" s="64">
        <v>81.69</v>
      </c>
      <c r="N37" s="64">
        <v>145.6</v>
      </c>
      <c r="O37" s="64">
        <v>0</v>
      </c>
      <c r="P37" s="64">
        <v>0.78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2293</v>
      </c>
      <c r="B38" s="64">
        <v>9.6</v>
      </c>
      <c r="C38" s="64">
        <v>10.92</v>
      </c>
      <c r="D38" s="64">
        <v>13.4</v>
      </c>
      <c r="E38" s="64">
        <v>5.08</v>
      </c>
      <c r="F38" s="64">
        <v>3.85</v>
      </c>
      <c r="G38" s="64">
        <v>89.85</v>
      </c>
      <c r="H38" s="64">
        <v>43.72</v>
      </c>
      <c r="I38" s="64">
        <v>5.44</v>
      </c>
      <c r="J38" s="64">
        <v>0.66</v>
      </c>
      <c r="K38" s="64">
        <v>332.82</v>
      </c>
      <c r="L38" s="64">
        <v>25.97</v>
      </c>
      <c r="M38" s="64">
        <v>74.459999999999994</v>
      </c>
      <c r="N38" s="64">
        <v>191.8</v>
      </c>
      <c r="O38" s="64">
        <v>0</v>
      </c>
      <c r="P38" s="64">
        <v>0.84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2294</v>
      </c>
      <c r="B39" s="64">
        <v>10.23</v>
      </c>
      <c r="C39" s="64">
        <v>11.39</v>
      </c>
      <c r="D39" s="64">
        <v>14.16</v>
      </c>
      <c r="E39" s="64">
        <v>4.97</v>
      </c>
      <c r="F39" s="64">
        <v>3.88</v>
      </c>
      <c r="G39" s="64">
        <v>94.16</v>
      </c>
      <c r="H39" s="64">
        <v>43.57</v>
      </c>
      <c r="I39" s="64">
        <v>5.33</v>
      </c>
      <c r="J39" s="64">
        <v>0.94</v>
      </c>
      <c r="K39" s="64">
        <v>340.66</v>
      </c>
      <c r="L39" s="64">
        <v>27.41</v>
      </c>
      <c r="M39" s="64">
        <v>68.33</v>
      </c>
      <c r="N39" s="64">
        <v>246.2</v>
      </c>
      <c r="O39" s="64">
        <v>0</v>
      </c>
      <c r="P39" s="64">
        <v>0.85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2295</v>
      </c>
      <c r="B40" s="64">
        <v>10.9</v>
      </c>
      <c r="C40" s="64">
        <v>12.05</v>
      </c>
      <c r="D40" s="64">
        <v>15.03</v>
      </c>
      <c r="E40" s="64">
        <v>5.77</v>
      </c>
      <c r="F40" s="64">
        <v>3.53</v>
      </c>
      <c r="G40" s="64">
        <v>96.01</v>
      </c>
      <c r="H40" s="64">
        <v>43.56</v>
      </c>
      <c r="I40" s="64">
        <v>5.38</v>
      </c>
      <c r="J40" s="64">
        <v>0.87</v>
      </c>
      <c r="K40" s="64">
        <v>333.44</v>
      </c>
      <c r="L40" s="64">
        <v>28.47</v>
      </c>
      <c r="M40" s="64">
        <v>63.98</v>
      </c>
      <c r="N40" s="64">
        <v>288.8</v>
      </c>
      <c r="O40" s="64">
        <v>0</v>
      </c>
      <c r="P40" s="64">
        <v>0.87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5" t="s">
        <v>2296</v>
      </c>
      <c r="B41" s="64">
        <v>11.37</v>
      </c>
      <c r="C41" s="64">
        <v>12.36</v>
      </c>
      <c r="D41" s="64">
        <v>15.57</v>
      </c>
      <c r="E41" s="64">
        <v>5.98</v>
      </c>
      <c r="F41" s="64">
        <v>3.7</v>
      </c>
      <c r="G41" s="64">
        <v>96.01</v>
      </c>
      <c r="H41" s="64">
        <v>43.56</v>
      </c>
      <c r="I41" s="64">
        <v>5.49</v>
      </c>
      <c r="J41" s="64">
        <v>0.61</v>
      </c>
      <c r="K41" s="64">
        <v>332.6</v>
      </c>
      <c r="L41" s="64">
        <v>29.57</v>
      </c>
      <c r="M41" s="64">
        <v>60.81</v>
      </c>
      <c r="N41" s="64">
        <v>338.8</v>
      </c>
      <c r="O41" s="64">
        <v>0</v>
      </c>
      <c r="P41" s="64">
        <v>0.95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2297</v>
      </c>
      <c r="B42" s="64">
        <v>12.2</v>
      </c>
      <c r="C42" s="64">
        <v>12.17</v>
      </c>
      <c r="D42" s="64">
        <v>16.14</v>
      </c>
      <c r="E42" s="64">
        <v>6.46</v>
      </c>
      <c r="F42" s="64">
        <v>3.89</v>
      </c>
      <c r="G42" s="64">
        <v>96.01</v>
      </c>
      <c r="H42" s="64">
        <v>43.56</v>
      </c>
      <c r="I42" s="64">
        <v>5.49</v>
      </c>
      <c r="J42" s="64">
        <v>0.7</v>
      </c>
      <c r="K42" s="64">
        <v>332.32</v>
      </c>
      <c r="L42" s="64">
        <v>29.46</v>
      </c>
      <c r="M42" s="64">
        <v>61.81</v>
      </c>
      <c r="N42" s="64">
        <v>386.9</v>
      </c>
      <c r="O42" s="64">
        <v>0</v>
      </c>
      <c r="P42" s="64">
        <v>0.97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2298</v>
      </c>
      <c r="B43" s="64">
        <v>13.05</v>
      </c>
      <c r="C43" s="64">
        <v>12.47</v>
      </c>
      <c r="D43" s="64">
        <v>16.98</v>
      </c>
      <c r="E43" s="64">
        <v>6.51</v>
      </c>
      <c r="F43" s="64">
        <v>3.94</v>
      </c>
      <c r="G43" s="64">
        <v>104.25</v>
      </c>
      <c r="H43" s="64">
        <v>46.02</v>
      </c>
      <c r="I43" s="64">
        <v>4.71</v>
      </c>
      <c r="J43" s="64">
        <v>1.1599999999999999</v>
      </c>
      <c r="K43" s="64">
        <v>339.2</v>
      </c>
      <c r="L43" s="64">
        <v>31.23</v>
      </c>
      <c r="M43" s="64">
        <v>56.46</v>
      </c>
      <c r="N43" s="64">
        <v>429.6</v>
      </c>
      <c r="O43" s="64">
        <v>0</v>
      </c>
      <c r="P43" s="64">
        <v>1.06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5" t="s">
        <v>2299</v>
      </c>
      <c r="B44" s="64">
        <v>13.37</v>
      </c>
      <c r="C44" s="64">
        <v>12.94</v>
      </c>
      <c r="D44" s="64">
        <v>17.489999999999998</v>
      </c>
      <c r="E44" s="64">
        <v>6.09</v>
      </c>
      <c r="F44" s="64">
        <v>3.76</v>
      </c>
      <c r="G44" s="64">
        <v>107.78</v>
      </c>
      <c r="H44" s="64">
        <v>46.21</v>
      </c>
      <c r="I44" s="64">
        <v>4.45</v>
      </c>
      <c r="J44" s="64">
        <v>1.3</v>
      </c>
      <c r="K44" s="64">
        <v>340.87</v>
      </c>
      <c r="L44" s="64">
        <v>32.590000000000003</v>
      </c>
      <c r="M44" s="64">
        <v>52.93</v>
      </c>
      <c r="N44" s="64">
        <v>458.6</v>
      </c>
      <c r="O44" s="64">
        <v>0</v>
      </c>
      <c r="P44" s="64">
        <v>1.0900000000000001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2300</v>
      </c>
      <c r="B45" s="64">
        <v>13.64</v>
      </c>
      <c r="C45" s="64">
        <v>13.68</v>
      </c>
      <c r="D45" s="64">
        <v>18.079999999999998</v>
      </c>
      <c r="E45" s="64">
        <v>6.8</v>
      </c>
      <c r="F45" s="64">
        <v>3.74</v>
      </c>
      <c r="G45" s="64">
        <v>107.78</v>
      </c>
      <c r="H45" s="64">
        <v>46.21</v>
      </c>
      <c r="I45" s="64">
        <v>4.66</v>
      </c>
      <c r="J45" s="64">
        <v>1.6</v>
      </c>
      <c r="K45" s="64">
        <v>338.15</v>
      </c>
      <c r="L45" s="64">
        <v>31.81</v>
      </c>
      <c r="M45" s="64">
        <v>57.25</v>
      </c>
      <c r="N45" s="64">
        <v>482.6</v>
      </c>
      <c r="O45" s="64">
        <v>0</v>
      </c>
      <c r="P45" s="64">
        <v>1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2301</v>
      </c>
      <c r="B46" s="64">
        <v>13.57</v>
      </c>
      <c r="C46" s="64">
        <v>14.45</v>
      </c>
      <c r="D46" s="64">
        <v>18.43</v>
      </c>
      <c r="E46" s="64">
        <v>7.01</v>
      </c>
      <c r="F46" s="64">
        <v>4.2699999999999996</v>
      </c>
      <c r="G46" s="64">
        <v>107.78</v>
      </c>
      <c r="H46" s="64">
        <v>46.21</v>
      </c>
      <c r="I46" s="64">
        <v>5.05</v>
      </c>
      <c r="J46" s="64">
        <v>1.36</v>
      </c>
      <c r="K46" s="64">
        <v>340.33</v>
      </c>
      <c r="L46" s="64">
        <v>32.72</v>
      </c>
      <c r="M46" s="64">
        <v>53.88</v>
      </c>
      <c r="N46" s="64">
        <v>532.20000000000005</v>
      </c>
      <c r="O46" s="64">
        <v>0</v>
      </c>
      <c r="P46" s="64">
        <v>1.02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2302</v>
      </c>
      <c r="B47" s="64">
        <v>13.15</v>
      </c>
      <c r="C47" s="64">
        <v>14.55</v>
      </c>
      <c r="D47" s="64">
        <v>18.149999999999999</v>
      </c>
      <c r="E47" s="64">
        <v>6.73</v>
      </c>
      <c r="F47" s="64">
        <v>4.08</v>
      </c>
      <c r="G47" s="64">
        <v>110.61</v>
      </c>
      <c r="H47" s="64">
        <v>48.76</v>
      </c>
      <c r="I47" s="64">
        <v>5.63</v>
      </c>
      <c r="J47" s="64">
        <v>0.23</v>
      </c>
      <c r="K47" s="64">
        <v>53.48</v>
      </c>
      <c r="L47" s="64">
        <v>32.31</v>
      </c>
      <c r="M47" s="64">
        <v>55.86</v>
      </c>
      <c r="N47" s="64">
        <v>553.1</v>
      </c>
      <c r="O47" s="64">
        <v>0</v>
      </c>
      <c r="P47" s="64">
        <v>1.1399999999999999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2303</v>
      </c>
      <c r="B48" s="64">
        <v>12.85</v>
      </c>
      <c r="C48" s="64">
        <v>14.25</v>
      </c>
      <c r="D48" s="64">
        <v>17.75</v>
      </c>
      <c r="E48" s="64">
        <v>6.52</v>
      </c>
      <c r="F48" s="64">
        <v>4.0999999999999996</v>
      </c>
      <c r="G48" s="64">
        <v>111.82</v>
      </c>
      <c r="H48" s="64">
        <v>48.97</v>
      </c>
      <c r="I48" s="64">
        <v>4.7300000000000004</v>
      </c>
      <c r="J48" s="64">
        <v>0.38</v>
      </c>
      <c r="K48" s="64">
        <v>88.73</v>
      </c>
      <c r="L48" s="64">
        <v>31.19</v>
      </c>
      <c r="M48" s="64">
        <v>59.54</v>
      </c>
      <c r="N48" s="64">
        <v>602.20000000000005</v>
      </c>
      <c r="O48" s="64">
        <v>0</v>
      </c>
      <c r="P48" s="64">
        <v>0.98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5" t="s">
        <v>2304</v>
      </c>
      <c r="B49" s="64">
        <v>12.08</v>
      </c>
      <c r="C49" s="64">
        <v>14.51</v>
      </c>
      <c r="D49" s="64">
        <v>17.27</v>
      </c>
      <c r="E49" s="64">
        <v>6.38</v>
      </c>
      <c r="F49" s="64">
        <v>4.09</v>
      </c>
      <c r="G49" s="64">
        <v>111.82</v>
      </c>
      <c r="H49" s="64">
        <v>48.97</v>
      </c>
      <c r="I49" s="64">
        <v>4.17</v>
      </c>
      <c r="J49" s="64">
        <v>0.91</v>
      </c>
      <c r="K49" s="64">
        <v>124.42</v>
      </c>
      <c r="L49" s="64">
        <v>29.87</v>
      </c>
      <c r="M49" s="64">
        <v>62.35</v>
      </c>
      <c r="N49" s="64">
        <v>639.5</v>
      </c>
      <c r="O49" s="64">
        <v>0</v>
      </c>
      <c r="P49" s="64">
        <v>1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2305</v>
      </c>
      <c r="B50" s="64">
        <v>10.49</v>
      </c>
      <c r="C50" s="64">
        <v>14.95</v>
      </c>
      <c r="D50" s="64">
        <v>16.22</v>
      </c>
      <c r="E50" s="64">
        <v>6.09</v>
      </c>
      <c r="F50" s="64">
        <v>4.5199999999999996</v>
      </c>
      <c r="G50" s="64">
        <v>111.82</v>
      </c>
      <c r="H50" s="64">
        <v>48.97</v>
      </c>
      <c r="I50" s="64">
        <v>5.36</v>
      </c>
      <c r="J50" s="64">
        <v>0.54</v>
      </c>
      <c r="K50" s="64">
        <v>0.83</v>
      </c>
      <c r="L50" s="64">
        <v>31.38</v>
      </c>
      <c r="M50" s="64">
        <v>56.61</v>
      </c>
      <c r="N50" s="64">
        <v>654.9</v>
      </c>
      <c r="O50" s="64">
        <v>0</v>
      </c>
      <c r="P50" s="64">
        <v>0.99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2306</v>
      </c>
      <c r="B51" s="64">
        <v>8.86</v>
      </c>
      <c r="C51" s="64">
        <v>15.42</v>
      </c>
      <c r="D51" s="64">
        <v>15.16</v>
      </c>
      <c r="E51" s="64">
        <v>5.91</v>
      </c>
      <c r="F51" s="64">
        <v>4.4800000000000004</v>
      </c>
      <c r="G51" s="64">
        <v>107.16</v>
      </c>
      <c r="H51" s="64">
        <v>46.71</v>
      </c>
      <c r="I51" s="64">
        <v>6.51</v>
      </c>
      <c r="J51" s="64">
        <v>1.07</v>
      </c>
      <c r="K51" s="64">
        <v>118.39</v>
      </c>
      <c r="L51" s="64">
        <v>31.11</v>
      </c>
      <c r="M51" s="64">
        <v>54.87</v>
      </c>
      <c r="N51" s="64">
        <v>694.4</v>
      </c>
      <c r="O51" s="64">
        <v>0</v>
      </c>
      <c r="P51" s="64">
        <v>0.97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5" t="s">
        <v>2307</v>
      </c>
      <c r="B52" s="64">
        <v>7.32</v>
      </c>
      <c r="C52" s="64">
        <v>16</v>
      </c>
      <c r="D52" s="64">
        <v>14.23</v>
      </c>
      <c r="E52" s="64">
        <v>6.25</v>
      </c>
      <c r="F52" s="64">
        <v>4.3099999999999996</v>
      </c>
      <c r="G52" s="64">
        <v>105.17</v>
      </c>
      <c r="H52" s="64">
        <v>46.41</v>
      </c>
      <c r="I52" s="64">
        <v>6.77</v>
      </c>
      <c r="J52" s="64">
        <v>0.45</v>
      </c>
      <c r="K52" s="64">
        <v>87.45</v>
      </c>
      <c r="L52" s="64">
        <v>31.57</v>
      </c>
      <c r="M52" s="64">
        <v>53.33</v>
      </c>
      <c r="N52" s="64">
        <v>710.3</v>
      </c>
      <c r="O52" s="64">
        <v>0</v>
      </c>
      <c r="P52" s="64">
        <v>0.94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2308</v>
      </c>
      <c r="B53" s="64">
        <v>5.47</v>
      </c>
      <c r="C53" s="64">
        <v>18.5</v>
      </c>
      <c r="D53" s="64">
        <v>14.06</v>
      </c>
      <c r="E53" s="64">
        <v>6.91</v>
      </c>
      <c r="F53" s="64">
        <v>9.08</v>
      </c>
      <c r="G53" s="64">
        <v>105.17</v>
      </c>
      <c r="H53" s="64">
        <v>46.41</v>
      </c>
      <c r="I53" s="64">
        <v>6.69</v>
      </c>
      <c r="J53" s="64">
        <v>0.99</v>
      </c>
      <c r="K53" s="64">
        <v>121.48</v>
      </c>
      <c r="L53" s="64">
        <v>30.33</v>
      </c>
      <c r="M53" s="64">
        <v>54.98</v>
      </c>
      <c r="N53" s="64">
        <v>714.2</v>
      </c>
      <c r="O53" s="64">
        <v>0</v>
      </c>
      <c r="P53" s="64">
        <v>0.89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2309</v>
      </c>
      <c r="B54" s="64">
        <v>1.58</v>
      </c>
      <c r="C54" s="64">
        <v>27.38</v>
      </c>
      <c r="D54" s="64">
        <v>15.57</v>
      </c>
      <c r="E54" s="64">
        <v>7.89</v>
      </c>
      <c r="F54" s="64">
        <v>10</v>
      </c>
      <c r="G54" s="64">
        <v>105.17</v>
      </c>
      <c r="H54" s="64">
        <v>46.41</v>
      </c>
      <c r="I54" s="64">
        <v>6.86</v>
      </c>
      <c r="J54" s="64">
        <v>0.88</v>
      </c>
      <c r="K54" s="64">
        <v>112.03</v>
      </c>
      <c r="L54" s="64">
        <v>30.71</v>
      </c>
      <c r="M54" s="64">
        <v>50.95</v>
      </c>
      <c r="N54" s="64">
        <v>728.5</v>
      </c>
      <c r="O54" s="64">
        <v>0</v>
      </c>
      <c r="P54" s="64">
        <v>0.81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2310</v>
      </c>
      <c r="B55" s="64">
        <v>0.08</v>
      </c>
      <c r="C55" s="64">
        <v>28.52</v>
      </c>
      <c r="D55" s="64">
        <v>14.97</v>
      </c>
      <c r="E55" s="64">
        <v>8.23</v>
      </c>
      <c r="F55" s="64">
        <v>13.75</v>
      </c>
      <c r="G55" s="64">
        <v>84.07</v>
      </c>
      <c r="H55" s="64">
        <v>44.13</v>
      </c>
      <c r="I55" s="64">
        <v>6.21</v>
      </c>
      <c r="J55" s="64">
        <v>1.47</v>
      </c>
      <c r="K55" s="64">
        <v>119.67</v>
      </c>
      <c r="L55" s="64">
        <v>30.24</v>
      </c>
      <c r="M55" s="64">
        <v>50.76</v>
      </c>
      <c r="N55" s="64">
        <v>730.3</v>
      </c>
      <c r="O55" s="64">
        <v>0</v>
      </c>
      <c r="P55" s="64">
        <v>0.69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2311</v>
      </c>
      <c r="B56" s="64">
        <v>0.96</v>
      </c>
      <c r="C56" s="64">
        <v>35.869999999999997</v>
      </c>
      <c r="D56" s="64">
        <v>18.16</v>
      </c>
      <c r="E56" s="64">
        <v>8.8000000000000007</v>
      </c>
      <c r="F56" s="64">
        <v>15.93</v>
      </c>
      <c r="G56" s="64">
        <v>75.03</v>
      </c>
      <c r="H56" s="64">
        <v>43.94</v>
      </c>
      <c r="I56" s="64">
        <v>5.34</v>
      </c>
      <c r="J56" s="64">
        <v>1.26</v>
      </c>
      <c r="K56" s="64">
        <v>110.84</v>
      </c>
      <c r="L56" s="64">
        <v>30.55</v>
      </c>
      <c r="M56" s="64">
        <v>48.61</v>
      </c>
      <c r="N56" s="64">
        <v>733.8</v>
      </c>
      <c r="O56" s="64">
        <v>0</v>
      </c>
      <c r="P56" s="64">
        <v>0.65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5" t="s">
        <v>2312</v>
      </c>
      <c r="B57" s="64">
        <v>1.1499999999999999</v>
      </c>
      <c r="C57" s="64">
        <v>39.090000000000003</v>
      </c>
      <c r="D57" s="64">
        <v>19.97</v>
      </c>
      <c r="E57" s="64">
        <v>9.6199999999999992</v>
      </c>
      <c r="F57" s="64">
        <v>9.83</v>
      </c>
      <c r="G57" s="64">
        <v>75.03</v>
      </c>
      <c r="H57" s="64">
        <v>43.94</v>
      </c>
      <c r="I57" s="64">
        <v>4.72</v>
      </c>
      <c r="J57" s="64">
        <v>0.49</v>
      </c>
      <c r="K57" s="64">
        <v>106.55</v>
      </c>
      <c r="L57" s="64">
        <v>30.53</v>
      </c>
      <c r="M57" s="64">
        <v>50.59</v>
      </c>
      <c r="N57" s="64">
        <v>726.6</v>
      </c>
      <c r="O57" s="64">
        <v>0</v>
      </c>
      <c r="P57" s="64">
        <v>0.59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2313</v>
      </c>
      <c r="B58" s="64">
        <v>2.17</v>
      </c>
      <c r="C58" s="64">
        <v>37.9</v>
      </c>
      <c r="D58" s="64">
        <v>20.170000000000002</v>
      </c>
      <c r="E58" s="64">
        <v>10.06</v>
      </c>
      <c r="F58" s="64">
        <v>9.27</v>
      </c>
      <c r="G58" s="64">
        <v>75.03</v>
      </c>
      <c r="H58" s="64">
        <v>43.94</v>
      </c>
      <c r="I58" s="64">
        <v>4.2300000000000004</v>
      </c>
      <c r="J58" s="64">
        <v>0.3</v>
      </c>
      <c r="K58" s="64">
        <v>52.67</v>
      </c>
      <c r="L58" s="64">
        <v>31.24</v>
      </c>
      <c r="M58" s="64">
        <v>47.02</v>
      </c>
      <c r="N58" s="64">
        <v>657.8</v>
      </c>
      <c r="O58" s="64">
        <v>0</v>
      </c>
      <c r="P58" s="64">
        <v>0.52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5" t="s">
        <v>2314</v>
      </c>
      <c r="B59" s="64">
        <v>1.56</v>
      </c>
      <c r="C59" s="64">
        <v>43.64</v>
      </c>
      <c r="D59" s="64">
        <v>22.67</v>
      </c>
      <c r="E59" s="64">
        <v>11.59</v>
      </c>
      <c r="F59" s="64">
        <v>13.78</v>
      </c>
      <c r="G59" s="64">
        <v>64.33</v>
      </c>
      <c r="H59" s="64">
        <v>39.01</v>
      </c>
      <c r="I59" s="64">
        <v>3.48</v>
      </c>
      <c r="J59" s="64">
        <v>1.2</v>
      </c>
      <c r="K59" s="64">
        <v>326.8</v>
      </c>
      <c r="L59" s="64">
        <v>33.090000000000003</v>
      </c>
      <c r="M59" s="64">
        <v>40.020000000000003</v>
      </c>
      <c r="N59" s="64">
        <v>691.3</v>
      </c>
      <c r="O59" s="64">
        <v>0</v>
      </c>
      <c r="P59" s="64">
        <v>0.52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2315</v>
      </c>
      <c r="B60" s="64">
        <v>1.26</v>
      </c>
      <c r="C60" s="64">
        <v>43.05</v>
      </c>
      <c r="D60" s="64">
        <v>22.13</v>
      </c>
      <c r="E60" s="64">
        <v>8.8800000000000008</v>
      </c>
      <c r="F60" s="64">
        <v>8.17</v>
      </c>
      <c r="G60" s="64">
        <v>59.74</v>
      </c>
      <c r="H60" s="64">
        <v>38.69</v>
      </c>
      <c r="I60" s="64">
        <v>2.41</v>
      </c>
      <c r="J60" s="64">
        <v>0.46</v>
      </c>
      <c r="K60" s="64">
        <v>86.31</v>
      </c>
      <c r="L60" s="64">
        <v>32.5</v>
      </c>
      <c r="M60" s="64">
        <v>39.409999999999997</v>
      </c>
      <c r="N60" s="64">
        <v>605.29999999999995</v>
      </c>
      <c r="O60" s="64">
        <v>0</v>
      </c>
      <c r="P60" s="64">
        <v>0.51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2316</v>
      </c>
      <c r="B61" s="64">
        <v>1.29</v>
      </c>
      <c r="C61" s="64">
        <v>36.68</v>
      </c>
      <c r="D61" s="64">
        <v>18.82</v>
      </c>
      <c r="E61" s="64">
        <v>8.42</v>
      </c>
      <c r="F61" s="64">
        <v>6.78</v>
      </c>
      <c r="G61" s="64">
        <v>59.74</v>
      </c>
      <c r="H61" s="64">
        <v>38.69</v>
      </c>
      <c r="I61" s="64">
        <v>2.67</v>
      </c>
      <c r="J61" s="64">
        <v>0.52</v>
      </c>
      <c r="K61" s="64">
        <v>37.159999999999997</v>
      </c>
      <c r="L61" s="64">
        <v>32.15</v>
      </c>
      <c r="M61" s="64">
        <v>35.24</v>
      </c>
      <c r="N61" s="64">
        <v>294.5</v>
      </c>
      <c r="O61" s="64">
        <v>0</v>
      </c>
      <c r="P61" s="64">
        <v>0.51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2317</v>
      </c>
      <c r="B62" s="64">
        <v>1.53</v>
      </c>
      <c r="C62" s="64">
        <v>30.93</v>
      </c>
      <c r="D62" s="64">
        <v>16.010000000000002</v>
      </c>
      <c r="E62" s="64">
        <v>8.14</v>
      </c>
      <c r="F62" s="64">
        <v>6.1</v>
      </c>
      <c r="G62" s="64">
        <v>59.74</v>
      </c>
      <c r="H62" s="64">
        <v>38.69</v>
      </c>
      <c r="I62" s="64">
        <v>3</v>
      </c>
      <c r="J62" s="64">
        <v>0.82</v>
      </c>
      <c r="K62" s="64">
        <v>8.26</v>
      </c>
      <c r="L62" s="64">
        <v>31.69</v>
      </c>
      <c r="M62" s="64">
        <v>33.869999999999997</v>
      </c>
      <c r="N62" s="64">
        <v>222.9</v>
      </c>
      <c r="O62" s="64">
        <v>0</v>
      </c>
      <c r="P62" s="64">
        <v>0.52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2318</v>
      </c>
      <c r="B63" s="64">
        <v>1.87</v>
      </c>
      <c r="C63" s="64">
        <v>26.49</v>
      </c>
      <c r="D63" s="64">
        <v>13.96</v>
      </c>
      <c r="E63" s="64">
        <v>8.2100000000000009</v>
      </c>
      <c r="F63" s="64">
        <v>6.26</v>
      </c>
      <c r="G63" s="64">
        <v>77.239999999999995</v>
      </c>
      <c r="H63" s="64">
        <v>30.39</v>
      </c>
      <c r="I63" s="64">
        <v>3.03</v>
      </c>
      <c r="J63" s="64">
        <v>0.96</v>
      </c>
      <c r="K63" s="64">
        <v>104.23</v>
      </c>
      <c r="L63" s="64">
        <v>31.6</v>
      </c>
      <c r="M63" s="64">
        <v>37.99</v>
      </c>
      <c r="N63" s="64">
        <v>189.4</v>
      </c>
      <c r="O63" s="64">
        <v>0</v>
      </c>
      <c r="P63" s="64">
        <v>0.47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5" t="s">
        <v>2319</v>
      </c>
      <c r="B64" s="64">
        <v>1.89</v>
      </c>
      <c r="C64" s="64">
        <v>22.9</v>
      </c>
      <c r="D64" s="64">
        <v>12.1</v>
      </c>
      <c r="E64" s="64">
        <v>7.97</v>
      </c>
      <c r="F64" s="64">
        <v>6.39</v>
      </c>
      <c r="G64" s="64">
        <v>84.74</v>
      </c>
      <c r="H64" s="64">
        <v>29.85</v>
      </c>
      <c r="I64" s="64">
        <v>3.62</v>
      </c>
      <c r="J64" s="64">
        <v>0.88</v>
      </c>
      <c r="K64" s="64">
        <v>94.92</v>
      </c>
      <c r="L64" s="64">
        <v>30.41</v>
      </c>
      <c r="M64" s="64">
        <v>42.5</v>
      </c>
      <c r="N64" s="64">
        <v>200.6</v>
      </c>
      <c r="O64" s="64">
        <v>0</v>
      </c>
      <c r="P64" s="64">
        <v>0.48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2320</v>
      </c>
      <c r="B65" s="64">
        <v>1.82</v>
      </c>
      <c r="C65" s="64">
        <v>22.65</v>
      </c>
      <c r="D65" s="64">
        <v>11.91</v>
      </c>
      <c r="E65" s="64">
        <v>7.88</v>
      </c>
      <c r="F65" s="64">
        <v>7.28</v>
      </c>
      <c r="G65" s="64">
        <v>84.74</v>
      </c>
      <c r="H65" s="64">
        <v>29.85</v>
      </c>
      <c r="I65" s="64">
        <v>3.39</v>
      </c>
      <c r="J65" s="64">
        <v>0.54</v>
      </c>
      <c r="K65" s="64">
        <v>339</v>
      </c>
      <c r="L65" s="64">
        <v>30.9</v>
      </c>
      <c r="M65" s="64">
        <v>41.35</v>
      </c>
      <c r="N65" s="64">
        <v>177.1</v>
      </c>
      <c r="O65" s="64">
        <v>0</v>
      </c>
      <c r="P65" s="64">
        <v>0.51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2321</v>
      </c>
      <c r="B66" s="64">
        <v>1.42</v>
      </c>
      <c r="C66" s="64">
        <v>23.42</v>
      </c>
      <c r="D66" s="64">
        <v>12</v>
      </c>
      <c r="E66" s="64">
        <v>8.02</v>
      </c>
      <c r="F66" s="64">
        <v>9.56</v>
      </c>
      <c r="G66" s="64">
        <v>84.74</v>
      </c>
      <c r="H66" s="64">
        <v>29.85</v>
      </c>
      <c r="I66" s="64">
        <v>3.37</v>
      </c>
      <c r="J66" s="64">
        <v>0.92</v>
      </c>
      <c r="K66" s="64">
        <v>107.57</v>
      </c>
      <c r="L66" s="64">
        <v>30.51</v>
      </c>
      <c r="M66" s="64">
        <v>41.77</v>
      </c>
      <c r="N66" s="64">
        <v>160.5</v>
      </c>
      <c r="O66" s="64">
        <v>0</v>
      </c>
      <c r="P66" s="64">
        <v>0.49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5" t="s">
        <v>2322</v>
      </c>
      <c r="B67" s="64">
        <v>0.6</v>
      </c>
      <c r="C67" s="64">
        <v>21.55</v>
      </c>
      <c r="D67" s="64">
        <v>10.36</v>
      </c>
      <c r="E67" s="64">
        <v>8.11</v>
      </c>
      <c r="F67" s="64">
        <v>11.18</v>
      </c>
      <c r="G67" s="64">
        <v>72.069999999999993</v>
      </c>
      <c r="H67" s="64">
        <v>30.04</v>
      </c>
      <c r="I67" s="64">
        <v>4.03</v>
      </c>
      <c r="J67" s="64">
        <v>0.64</v>
      </c>
      <c r="K67" s="64">
        <v>354.68</v>
      </c>
      <c r="L67" s="64">
        <v>30.2</v>
      </c>
      <c r="M67" s="64">
        <v>42.92</v>
      </c>
      <c r="N67" s="64">
        <v>156.1</v>
      </c>
      <c r="O67" s="64">
        <v>0</v>
      </c>
      <c r="P67" s="64">
        <v>0.5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5" t="s">
        <v>2323</v>
      </c>
      <c r="B68" s="64">
        <v>0.59</v>
      </c>
      <c r="C68" s="64">
        <v>19.55</v>
      </c>
      <c r="D68" s="64">
        <v>9.31</v>
      </c>
      <c r="E68" s="64">
        <v>7.4</v>
      </c>
      <c r="F68" s="64">
        <v>7.62</v>
      </c>
      <c r="G68" s="64">
        <v>66.650000000000006</v>
      </c>
      <c r="H68" s="64">
        <v>30.06</v>
      </c>
      <c r="I68" s="64">
        <v>3.57</v>
      </c>
      <c r="J68" s="64">
        <v>1.52</v>
      </c>
      <c r="K68" s="64">
        <v>338.06</v>
      </c>
      <c r="L68" s="64">
        <v>30.78</v>
      </c>
      <c r="M68" s="64">
        <v>43.97</v>
      </c>
      <c r="N68" s="64">
        <v>129.30000000000001</v>
      </c>
      <c r="O68" s="64">
        <v>0</v>
      </c>
      <c r="P68" s="64">
        <v>0.53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2324</v>
      </c>
      <c r="B69" s="64">
        <v>0.82</v>
      </c>
      <c r="C69" s="64">
        <v>18.920000000000002</v>
      </c>
      <c r="D69" s="64">
        <v>9.16</v>
      </c>
      <c r="E69" s="64">
        <v>7.26</v>
      </c>
      <c r="F69" s="64">
        <v>8.15</v>
      </c>
      <c r="G69" s="64">
        <v>66.650000000000006</v>
      </c>
      <c r="H69" s="64">
        <v>30.06</v>
      </c>
      <c r="I69" s="64">
        <v>3.35</v>
      </c>
      <c r="J69" s="64">
        <v>0.95</v>
      </c>
      <c r="K69" s="64">
        <v>105.09</v>
      </c>
      <c r="L69" s="64">
        <v>29.98</v>
      </c>
      <c r="M69" s="64">
        <v>45.17</v>
      </c>
      <c r="N69" s="64">
        <v>120.7</v>
      </c>
      <c r="O69" s="64">
        <v>0</v>
      </c>
      <c r="P69" s="64">
        <v>0.5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2325</v>
      </c>
      <c r="B70" s="64">
        <v>0.65</v>
      </c>
      <c r="C70" s="64">
        <v>19.02</v>
      </c>
      <c r="D70" s="64">
        <v>9.08</v>
      </c>
      <c r="E70" s="64">
        <v>7.37</v>
      </c>
      <c r="F70" s="64">
        <v>8.2899999999999991</v>
      </c>
      <c r="G70" s="64">
        <v>66.650000000000006</v>
      </c>
      <c r="H70" s="64">
        <v>30.06</v>
      </c>
      <c r="I70" s="64">
        <v>3.79</v>
      </c>
      <c r="J70" s="64">
        <v>0.42</v>
      </c>
      <c r="K70" s="64">
        <v>358.8</v>
      </c>
      <c r="L70" s="64">
        <v>29.62</v>
      </c>
      <c r="M70" s="64">
        <v>47.95</v>
      </c>
      <c r="N70" s="64">
        <v>110.7</v>
      </c>
      <c r="O70" s="64">
        <v>0</v>
      </c>
      <c r="P70" s="64">
        <v>0.51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2326</v>
      </c>
      <c r="B71" s="64">
        <v>1.01</v>
      </c>
      <c r="C71" s="64">
        <v>20.29</v>
      </c>
      <c r="D71" s="64">
        <v>10.029999999999999</v>
      </c>
      <c r="E71" s="64">
        <v>7.74</v>
      </c>
      <c r="F71" s="64">
        <v>6.01</v>
      </c>
      <c r="G71" s="64">
        <v>69.540000000000006</v>
      </c>
      <c r="H71" s="64">
        <v>496.72</v>
      </c>
      <c r="I71" s="64">
        <v>3.32</v>
      </c>
      <c r="J71" s="64">
        <v>1.51</v>
      </c>
      <c r="K71" s="64">
        <v>339.09</v>
      </c>
      <c r="L71" s="64">
        <v>29.81</v>
      </c>
      <c r="M71" s="64">
        <v>45.65</v>
      </c>
      <c r="N71" s="64">
        <v>93.2</v>
      </c>
      <c r="O71" s="64">
        <v>0</v>
      </c>
      <c r="P71" s="64">
        <v>0.56000000000000005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2327</v>
      </c>
      <c r="B72" s="64">
        <v>1.46</v>
      </c>
      <c r="C72" s="64">
        <v>20.170000000000002</v>
      </c>
      <c r="D72" s="64">
        <v>10.33</v>
      </c>
      <c r="E72" s="64">
        <v>6.6</v>
      </c>
      <c r="F72" s="64">
        <v>6.26</v>
      </c>
      <c r="G72" s="64">
        <v>70.78</v>
      </c>
      <c r="H72" s="64">
        <v>526.35</v>
      </c>
      <c r="I72" s="64">
        <v>3.58</v>
      </c>
      <c r="J72" s="64">
        <v>1.65</v>
      </c>
      <c r="K72" s="64">
        <v>337.01</v>
      </c>
      <c r="L72" s="64">
        <v>29.96</v>
      </c>
      <c r="M72" s="64">
        <v>43.86</v>
      </c>
      <c r="N72" s="64">
        <v>82.9</v>
      </c>
      <c r="O72" s="64">
        <v>0</v>
      </c>
      <c r="P72" s="64">
        <v>0.55000000000000004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2328</v>
      </c>
      <c r="B73" s="64">
        <v>1.79</v>
      </c>
      <c r="C73" s="64">
        <v>19.989999999999998</v>
      </c>
      <c r="D73" s="64">
        <v>10.5</v>
      </c>
      <c r="E73" s="64">
        <v>7.19</v>
      </c>
      <c r="F73" s="64">
        <v>6.8</v>
      </c>
      <c r="G73" s="64">
        <v>70.78</v>
      </c>
      <c r="H73" s="64">
        <v>526.35</v>
      </c>
      <c r="I73" s="64">
        <v>3.86</v>
      </c>
      <c r="J73" s="64">
        <v>0.78</v>
      </c>
      <c r="K73" s="64">
        <v>342.34</v>
      </c>
      <c r="L73" s="64">
        <v>29.62</v>
      </c>
      <c r="M73" s="64">
        <v>43.72</v>
      </c>
      <c r="N73" s="64">
        <v>74</v>
      </c>
      <c r="O73" s="64">
        <v>0</v>
      </c>
      <c r="P73" s="64">
        <v>0.56000000000000005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5" t="s">
        <v>2329</v>
      </c>
      <c r="B74" s="64">
        <v>1.97</v>
      </c>
      <c r="C74" s="64">
        <v>22.52</v>
      </c>
      <c r="D74" s="64">
        <v>11.97</v>
      </c>
      <c r="E74" s="64">
        <v>7.17</v>
      </c>
      <c r="F74" s="64">
        <v>5.86</v>
      </c>
      <c r="G74" s="64">
        <v>70.78</v>
      </c>
      <c r="H74" s="64">
        <v>526.35</v>
      </c>
      <c r="I74" s="64">
        <v>3.56</v>
      </c>
      <c r="J74" s="64">
        <v>0.53</v>
      </c>
      <c r="K74" s="64">
        <v>356.34</v>
      </c>
      <c r="L74" s="64">
        <v>29.12</v>
      </c>
      <c r="M74" s="64">
        <v>46.02</v>
      </c>
      <c r="N74" s="64">
        <v>65.099999999999994</v>
      </c>
      <c r="O74" s="64">
        <v>0</v>
      </c>
      <c r="P74" s="64">
        <v>0.61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5" t="s">
        <v>2330</v>
      </c>
      <c r="B75" s="64">
        <v>2.86</v>
      </c>
      <c r="C75" s="64">
        <v>22.35</v>
      </c>
      <c r="D75" s="64">
        <v>12.59</v>
      </c>
      <c r="E75" s="64">
        <v>7.13</v>
      </c>
      <c r="F75" s="64">
        <v>6.31</v>
      </c>
      <c r="G75" s="64">
        <v>1.59</v>
      </c>
      <c r="H75" s="64">
        <v>16.45</v>
      </c>
      <c r="I75" s="64">
        <v>3.47</v>
      </c>
      <c r="J75" s="64">
        <v>1.52</v>
      </c>
      <c r="K75" s="64">
        <v>339.05</v>
      </c>
      <c r="L75" s="64">
        <v>29.05</v>
      </c>
      <c r="M75" s="64">
        <v>46.64</v>
      </c>
      <c r="N75" s="64">
        <v>57</v>
      </c>
      <c r="O75" s="64">
        <v>0</v>
      </c>
      <c r="P75" s="64">
        <v>0.66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5" t="s">
        <v>2331</v>
      </c>
      <c r="B76" s="64">
        <v>4</v>
      </c>
      <c r="C76" s="64">
        <v>26.32</v>
      </c>
      <c r="D76" s="64">
        <v>15.58</v>
      </c>
      <c r="E76" s="64">
        <v>7.46</v>
      </c>
      <c r="F76" s="64">
        <v>7.94</v>
      </c>
      <c r="G76" s="210" t="s">
        <v>40</v>
      </c>
      <c r="H76" s="210" t="s">
        <v>40</v>
      </c>
      <c r="I76" s="64">
        <v>2.98</v>
      </c>
      <c r="J76" s="64">
        <v>1.44</v>
      </c>
      <c r="K76" s="64">
        <v>340.91</v>
      </c>
      <c r="L76" s="64">
        <v>28.91</v>
      </c>
      <c r="M76" s="64">
        <v>47.21</v>
      </c>
      <c r="N76" s="64">
        <v>48.8</v>
      </c>
      <c r="O76" s="64">
        <v>0</v>
      </c>
      <c r="P76" s="64">
        <v>0.75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2332</v>
      </c>
      <c r="B77" s="64">
        <v>4.25</v>
      </c>
      <c r="C77" s="64">
        <v>31.25</v>
      </c>
      <c r="D77" s="64">
        <v>18.36</v>
      </c>
      <c r="E77" s="64">
        <v>8.06</v>
      </c>
      <c r="F77" s="64">
        <v>6.9</v>
      </c>
      <c r="G77" s="210" t="s">
        <v>40</v>
      </c>
      <c r="H77" s="210" t="s">
        <v>40</v>
      </c>
      <c r="I77" s="64">
        <v>2.87</v>
      </c>
      <c r="J77" s="64">
        <v>1.17</v>
      </c>
      <c r="K77" s="64">
        <v>334.54</v>
      </c>
      <c r="L77" s="64">
        <v>27.41</v>
      </c>
      <c r="M77" s="64">
        <v>59.91</v>
      </c>
      <c r="N77" s="64">
        <v>40</v>
      </c>
      <c r="O77" s="64">
        <v>0</v>
      </c>
      <c r="P77" s="64">
        <v>0.84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2333</v>
      </c>
      <c r="B78" s="64">
        <v>4.1399999999999997</v>
      </c>
      <c r="C78" s="64">
        <v>31.22</v>
      </c>
      <c r="D78" s="64">
        <v>18.260000000000002</v>
      </c>
      <c r="E78" s="64">
        <v>7.58</v>
      </c>
      <c r="F78" s="64">
        <v>5.95</v>
      </c>
      <c r="G78" s="210" t="s">
        <v>40</v>
      </c>
      <c r="H78" s="210" t="s">
        <v>40</v>
      </c>
      <c r="I78" s="64">
        <v>2.96</v>
      </c>
      <c r="J78" s="64">
        <v>0.74</v>
      </c>
      <c r="K78" s="64">
        <v>336.57</v>
      </c>
      <c r="L78" s="64">
        <v>26.58</v>
      </c>
      <c r="M78" s="64">
        <v>63.28</v>
      </c>
      <c r="N78" s="64">
        <v>32.299999999999997</v>
      </c>
      <c r="O78" s="64">
        <v>0</v>
      </c>
      <c r="P78" s="64">
        <v>1.03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2334</v>
      </c>
      <c r="B79" s="64">
        <v>4.2300000000000004</v>
      </c>
      <c r="C79" s="64">
        <v>29.21</v>
      </c>
      <c r="D79" s="64">
        <v>17.27</v>
      </c>
      <c r="E79" s="64">
        <v>7.45</v>
      </c>
      <c r="F79" s="64">
        <v>5.96</v>
      </c>
      <c r="G79" s="64">
        <v>86.04</v>
      </c>
      <c r="H79" s="64">
        <v>72.290000000000006</v>
      </c>
      <c r="I79" s="64">
        <v>3.65</v>
      </c>
      <c r="J79" s="64">
        <v>0.24</v>
      </c>
      <c r="K79" s="64">
        <v>22.16</v>
      </c>
      <c r="L79" s="64">
        <v>26.38</v>
      </c>
      <c r="M79" s="64">
        <v>62.86</v>
      </c>
      <c r="N79" s="64">
        <v>27.9</v>
      </c>
      <c r="O79" s="64">
        <v>0</v>
      </c>
      <c r="P79" s="64">
        <v>0.76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5" t="s">
        <v>2335</v>
      </c>
      <c r="B80" s="64">
        <v>4.04</v>
      </c>
      <c r="C80" s="64">
        <v>26.47</v>
      </c>
      <c r="D80" s="64">
        <v>15.69</v>
      </c>
      <c r="E80" s="64">
        <v>7.02</v>
      </c>
      <c r="F80" s="64">
        <v>6.35</v>
      </c>
      <c r="G80" s="64">
        <v>93.29</v>
      </c>
      <c r="H80" s="64">
        <v>72.290000000000006</v>
      </c>
      <c r="I80" s="64">
        <v>4.0199999999999996</v>
      </c>
      <c r="J80" s="64">
        <v>0.31</v>
      </c>
      <c r="K80" s="64">
        <v>55.41</v>
      </c>
      <c r="L80" s="64">
        <v>26.31</v>
      </c>
      <c r="M80" s="64">
        <v>58.37</v>
      </c>
      <c r="N80" s="64">
        <v>26.5</v>
      </c>
      <c r="O80" s="64">
        <v>0</v>
      </c>
      <c r="P80" s="64">
        <v>0.88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2336</v>
      </c>
      <c r="B81" s="64">
        <v>3.85</v>
      </c>
      <c r="C81" s="64">
        <v>24.41</v>
      </c>
      <c r="D81" s="64">
        <v>14.46</v>
      </c>
      <c r="E81" s="64">
        <v>6.98</v>
      </c>
      <c r="F81" s="64">
        <v>5.5</v>
      </c>
      <c r="G81" s="64">
        <v>93.29</v>
      </c>
      <c r="H81" s="64">
        <v>72.290000000000006</v>
      </c>
      <c r="I81" s="64">
        <v>3.11</v>
      </c>
      <c r="J81" s="64">
        <v>0.5</v>
      </c>
      <c r="K81" s="64">
        <v>111.64</v>
      </c>
      <c r="L81" s="64">
        <v>26.45</v>
      </c>
      <c r="M81" s="64">
        <v>57.02</v>
      </c>
      <c r="N81" s="64">
        <v>26.2</v>
      </c>
      <c r="O81" s="64">
        <v>0</v>
      </c>
      <c r="P81" s="64">
        <v>0.85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2337</v>
      </c>
      <c r="B82" s="64">
        <v>3.64</v>
      </c>
      <c r="C82" s="64">
        <v>23.07</v>
      </c>
      <c r="D82" s="64">
        <v>13.59</v>
      </c>
      <c r="E82" s="64">
        <v>6.43</v>
      </c>
      <c r="F82" s="64">
        <v>5.28</v>
      </c>
      <c r="G82" s="64">
        <v>93.29</v>
      </c>
      <c r="H82" s="64">
        <v>72.290000000000006</v>
      </c>
      <c r="I82" s="64">
        <v>3.53</v>
      </c>
      <c r="J82" s="64">
        <v>0.65</v>
      </c>
      <c r="K82" s="64">
        <v>100.31</v>
      </c>
      <c r="L82" s="64">
        <v>26.74</v>
      </c>
      <c r="M82" s="64">
        <v>55.84</v>
      </c>
      <c r="N82" s="64">
        <v>25.7</v>
      </c>
      <c r="O82" s="64">
        <v>0</v>
      </c>
      <c r="P82" s="64">
        <v>0.69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2338</v>
      </c>
      <c r="B83" s="64">
        <v>3.1</v>
      </c>
      <c r="C83" s="64">
        <v>21.53</v>
      </c>
      <c r="D83" s="64">
        <v>12.36</v>
      </c>
      <c r="E83" s="64">
        <v>6.33</v>
      </c>
      <c r="F83" s="64">
        <v>5.1100000000000003</v>
      </c>
      <c r="G83" s="64">
        <v>94.83</v>
      </c>
      <c r="H83" s="64">
        <v>63.39</v>
      </c>
      <c r="I83" s="64">
        <v>3.36</v>
      </c>
      <c r="J83" s="64">
        <v>0.15</v>
      </c>
      <c r="K83" s="64">
        <v>91.97</v>
      </c>
      <c r="L83" s="64">
        <v>26.54</v>
      </c>
      <c r="M83" s="64">
        <v>57.36</v>
      </c>
      <c r="N83" s="64">
        <v>26.2</v>
      </c>
      <c r="O83" s="64">
        <v>0</v>
      </c>
      <c r="P83" s="64">
        <v>0.65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2339</v>
      </c>
      <c r="B84" s="64">
        <v>3.13</v>
      </c>
      <c r="C84" s="64">
        <v>21.34</v>
      </c>
      <c r="D84" s="64">
        <v>12.28</v>
      </c>
      <c r="E84" s="64">
        <v>6.5</v>
      </c>
      <c r="F84" s="64">
        <v>5.1100000000000003</v>
      </c>
      <c r="G84" s="64">
        <v>94.96</v>
      </c>
      <c r="H84" s="64">
        <v>63.39</v>
      </c>
      <c r="I84" s="64">
        <v>3.09</v>
      </c>
      <c r="J84" s="64">
        <v>0.56999999999999995</v>
      </c>
      <c r="K84" s="64">
        <v>328.79</v>
      </c>
      <c r="L84" s="64">
        <v>25.89</v>
      </c>
      <c r="M84" s="64">
        <v>64.86</v>
      </c>
      <c r="N84" s="64">
        <v>26.4</v>
      </c>
      <c r="O84" s="64">
        <v>0</v>
      </c>
      <c r="P84" s="64">
        <v>1.1100000000000001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2340</v>
      </c>
      <c r="B85" s="64">
        <v>6.52</v>
      </c>
      <c r="C85" s="64">
        <v>22.03</v>
      </c>
      <c r="D85" s="64">
        <v>15.37</v>
      </c>
      <c r="E85" s="64">
        <v>6.91</v>
      </c>
      <c r="F85" s="64">
        <v>4.55</v>
      </c>
      <c r="G85" s="64">
        <v>94.96</v>
      </c>
      <c r="H85" s="64">
        <v>63.39</v>
      </c>
      <c r="I85" s="64">
        <v>2.86</v>
      </c>
      <c r="J85" s="64">
        <v>0.46</v>
      </c>
      <c r="K85" s="64">
        <v>315.08</v>
      </c>
      <c r="L85" s="64">
        <v>25.28</v>
      </c>
      <c r="M85" s="64">
        <v>67.23</v>
      </c>
      <c r="N85" s="64">
        <v>26.4</v>
      </c>
      <c r="O85" s="64">
        <v>0</v>
      </c>
      <c r="P85" s="64">
        <v>1.47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5" t="s">
        <v>2341</v>
      </c>
      <c r="B86" s="64">
        <v>10.51</v>
      </c>
      <c r="C86" s="64">
        <v>23.12</v>
      </c>
      <c r="D86" s="64">
        <v>19.13</v>
      </c>
      <c r="E86" s="64">
        <v>7.08</v>
      </c>
      <c r="F86" s="64">
        <v>4.2300000000000004</v>
      </c>
      <c r="G86" s="64">
        <v>94.96</v>
      </c>
      <c r="H86" s="64">
        <v>63.39</v>
      </c>
      <c r="I86" s="64">
        <v>4.59</v>
      </c>
      <c r="J86" s="64">
        <v>0.51</v>
      </c>
      <c r="K86" s="64">
        <v>326.7</v>
      </c>
      <c r="L86" s="64">
        <v>24.89</v>
      </c>
      <c r="M86" s="64">
        <v>72.25</v>
      </c>
      <c r="N86" s="64">
        <v>26.4</v>
      </c>
      <c r="O86" s="64">
        <v>0</v>
      </c>
      <c r="P86" s="64">
        <v>1.43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5" t="s">
        <v>2342</v>
      </c>
      <c r="B87" s="64">
        <v>16.399999999999999</v>
      </c>
      <c r="C87" s="64">
        <v>22.89</v>
      </c>
      <c r="D87" s="64">
        <v>23.73</v>
      </c>
      <c r="E87" s="64">
        <v>6.95</v>
      </c>
      <c r="F87" s="64">
        <v>3.2</v>
      </c>
      <c r="G87" s="64">
        <v>93.19</v>
      </c>
      <c r="H87" s="64">
        <v>46.64</v>
      </c>
      <c r="I87" s="64">
        <v>5.77</v>
      </c>
      <c r="J87" s="64">
        <v>0.56000000000000005</v>
      </c>
      <c r="K87" s="64">
        <v>306.63</v>
      </c>
      <c r="L87" s="64">
        <v>24.53</v>
      </c>
      <c r="M87" s="64">
        <v>71.88</v>
      </c>
      <c r="N87" s="64">
        <v>26.2</v>
      </c>
      <c r="O87" s="64">
        <v>0</v>
      </c>
      <c r="P87" s="64">
        <v>1.59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2343</v>
      </c>
      <c r="B88" s="64">
        <v>21.61</v>
      </c>
      <c r="C88" s="64">
        <v>23.62</v>
      </c>
      <c r="D88" s="64">
        <v>28.3</v>
      </c>
      <c r="E88" s="64">
        <v>6.42</v>
      </c>
      <c r="F88" s="64">
        <v>3.86</v>
      </c>
      <c r="G88" s="64">
        <v>93.04</v>
      </c>
      <c r="H88" s="64">
        <v>46.64</v>
      </c>
      <c r="I88" s="64">
        <v>6.46</v>
      </c>
      <c r="J88" s="64">
        <v>0.56000000000000005</v>
      </c>
      <c r="K88" s="64">
        <v>323.02</v>
      </c>
      <c r="L88" s="64">
        <v>24.33</v>
      </c>
      <c r="M88" s="64">
        <v>76.62</v>
      </c>
      <c r="N88" s="64">
        <v>26.2</v>
      </c>
      <c r="O88" s="64">
        <v>0</v>
      </c>
      <c r="P88" s="64">
        <v>1.69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5" t="s">
        <v>2344</v>
      </c>
      <c r="B89" s="64">
        <v>27.07</v>
      </c>
      <c r="C89" s="64">
        <v>22.51</v>
      </c>
      <c r="D89" s="64">
        <v>32.090000000000003</v>
      </c>
      <c r="E89" s="64">
        <v>7.96</v>
      </c>
      <c r="F89" s="64">
        <v>3.85</v>
      </c>
      <c r="G89" s="64">
        <v>93.04</v>
      </c>
      <c r="H89" s="64">
        <v>46.64</v>
      </c>
      <c r="I89" s="64">
        <v>6.54</v>
      </c>
      <c r="J89" s="64">
        <v>0.55000000000000004</v>
      </c>
      <c r="K89" s="64">
        <v>331.21</v>
      </c>
      <c r="L89" s="64">
        <v>24.21</v>
      </c>
      <c r="M89" s="64">
        <v>76.31</v>
      </c>
      <c r="N89" s="64">
        <v>26.1</v>
      </c>
      <c r="O89" s="64">
        <v>0</v>
      </c>
      <c r="P89" s="64">
        <v>2.11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2345</v>
      </c>
      <c r="B90" s="64">
        <v>31.96</v>
      </c>
      <c r="C90" s="64">
        <v>23.23</v>
      </c>
      <c r="D90" s="64">
        <v>36.39</v>
      </c>
      <c r="E90" s="64">
        <v>8.75</v>
      </c>
      <c r="F90" s="64">
        <v>3.96</v>
      </c>
      <c r="G90" s="64">
        <v>93.04</v>
      </c>
      <c r="H90" s="64">
        <v>46.64</v>
      </c>
      <c r="I90" s="64">
        <v>7.34</v>
      </c>
      <c r="J90" s="64">
        <v>0.5</v>
      </c>
      <c r="K90" s="64">
        <v>317.08</v>
      </c>
      <c r="L90" s="64">
        <v>23.96</v>
      </c>
      <c r="M90" s="64">
        <v>76.099999999999994</v>
      </c>
      <c r="N90" s="64">
        <v>26.1</v>
      </c>
      <c r="O90" s="64">
        <v>0</v>
      </c>
      <c r="P90" s="64">
        <v>1.96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2346</v>
      </c>
      <c r="B91" s="64">
        <v>36.86</v>
      </c>
      <c r="C91" s="64">
        <v>22.21</v>
      </c>
      <c r="D91" s="64">
        <v>39.79</v>
      </c>
      <c r="E91" s="64">
        <v>8.5399999999999991</v>
      </c>
      <c r="F91" s="64">
        <v>3.69</v>
      </c>
      <c r="G91" s="64">
        <v>101.46</v>
      </c>
      <c r="H91" s="64">
        <v>58.49</v>
      </c>
      <c r="I91" s="64">
        <v>7.53</v>
      </c>
      <c r="J91" s="64">
        <v>0.56000000000000005</v>
      </c>
      <c r="K91" s="64">
        <v>302.56</v>
      </c>
      <c r="L91" s="64">
        <v>23.88</v>
      </c>
      <c r="M91" s="64">
        <v>75.430000000000007</v>
      </c>
      <c r="N91" s="64">
        <v>26.1</v>
      </c>
      <c r="O91" s="64">
        <v>0</v>
      </c>
      <c r="P91" s="64">
        <v>2.2400000000000002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5" t="s">
        <v>2347</v>
      </c>
      <c r="B92" s="64">
        <v>40.56</v>
      </c>
      <c r="C92" s="64">
        <v>20.95</v>
      </c>
      <c r="D92" s="64">
        <v>42.09</v>
      </c>
      <c r="E92" s="64">
        <v>8.7200000000000006</v>
      </c>
      <c r="F92" s="64">
        <v>3.48</v>
      </c>
      <c r="G92" s="64">
        <v>102.16</v>
      </c>
      <c r="H92" s="64">
        <v>58.49</v>
      </c>
      <c r="I92" s="64">
        <v>8.66</v>
      </c>
      <c r="J92" s="64">
        <v>0.49</v>
      </c>
      <c r="K92" s="64">
        <v>275.10000000000002</v>
      </c>
      <c r="L92" s="64">
        <v>23.73</v>
      </c>
      <c r="M92" s="64">
        <v>78.650000000000006</v>
      </c>
      <c r="N92" s="64">
        <v>26.1</v>
      </c>
      <c r="O92" s="64">
        <v>0</v>
      </c>
      <c r="P92" s="64">
        <v>1.96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5" t="s">
        <v>2348</v>
      </c>
      <c r="B93" s="64">
        <v>43.92</v>
      </c>
      <c r="C93" s="64">
        <v>20.100000000000001</v>
      </c>
      <c r="D93" s="64">
        <v>44.34</v>
      </c>
      <c r="E93" s="64">
        <v>8.4600000000000009</v>
      </c>
      <c r="F93" s="64">
        <v>3.4</v>
      </c>
      <c r="G93" s="64">
        <v>102.16</v>
      </c>
      <c r="H93" s="64">
        <v>58.49</v>
      </c>
      <c r="I93" s="64">
        <v>8.48</v>
      </c>
      <c r="J93" s="64">
        <v>0.52</v>
      </c>
      <c r="K93" s="64">
        <v>301.17</v>
      </c>
      <c r="L93" s="64">
        <v>23.71</v>
      </c>
      <c r="M93" s="64">
        <v>80.66</v>
      </c>
      <c r="N93" s="64">
        <v>26.1</v>
      </c>
      <c r="O93" s="64">
        <v>0</v>
      </c>
      <c r="P93" s="64">
        <v>1.96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5" t="s">
        <v>2349</v>
      </c>
      <c r="B94" s="64">
        <v>46.72</v>
      </c>
      <c r="C94" s="64">
        <v>18.899999999999999</v>
      </c>
      <c r="D94" s="64">
        <v>45.97</v>
      </c>
      <c r="E94" s="64">
        <v>8.4700000000000006</v>
      </c>
      <c r="F94" s="64">
        <v>3.33</v>
      </c>
      <c r="G94" s="64">
        <v>102.16</v>
      </c>
      <c r="H94" s="64">
        <v>58.49</v>
      </c>
      <c r="I94" s="64">
        <v>8.1300000000000008</v>
      </c>
      <c r="J94" s="64">
        <v>0.44</v>
      </c>
      <c r="K94" s="64">
        <v>272.75</v>
      </c>
      <c r="L94" s="64">
        <v>23.6</v>
      </c>
      <c r="M94" s="64">
        <v>79.69</v>
      </c>
      <c r="N94" s="64">
        <v>26.1</v>
      </c>
      <c r="O94" s="64">
        <v>0</v>
      </c>
      <c r="P94" s="64">
        <v>1.68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2350</v>
      </c>
      <c r="B95" s="64">
        <v>48.39</v>
      </c>
      <c r="C95" s="64">
        <v>17.63</v>
      </c>
      <c r="D95" s="64">
        <v>46.64</v>
      </c>
      <c r="E95" s="64">
        <v>8.52</v>
      </c>
      <c r="F95" s="64">
        <v>3.86</v>
      </c>
      <c r="G95" s="64">
        <v>105.51</v>
      </c>
      <c r="H95" s="64">
        <v>60.47</v>
      </c>
      <c r="I95" s="64">
        <v>7.88</v>
      </c>
      <c r="J95" s="64">
        <v>0.43</v>
      </c>
      <c r="K95" s="64">
        <v>283.74</v>
      </c>
      <c r="L95" s="64">
        <v>23.77</v>
      </c>
      <c r="M95" s="64">
        <v>79.209999999999994</v>
      </c>
      <c r="N95" s="64">
        <v>25.9</v>
      </c>
      <c r="O95" s="64">
        <v>0</v>
      </c>
      <c r="P95" s="64">
        <v>1.99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2351</v>
      </c>
      <c r="B96" s="64">
        <v>51</v>
      </c>
      <c r="C96" s="64">
        <v>16.97</v>
      </c>
      <c r="D96" s="64">
        <v>48.39</v>
      </c>
      <c r="E96" s="64">
        <v>8.44</v>
      </c>
      <c r="F96" s="64">
        <v>3.78</v>
      </c>
      <c r="G96" s="64">
        <v>105.79</v>
      </c>
      <c r="H96" s="64">
        <v>60.47</v>
      </c>
      <c r="I96" s="64">
        <v>6.47</v>
      </c>
      <c r="J96" s="64">
        <v>0.48</v>
      </c>
      <c r="K96" s="64">
        <v>257.48</v>
      </c>
      <c r="L96" s="64">
        <v>23.51</v>
      </c>
      <c r="M96" s="64">
        <v>80.95</v>
      </c>
      <c r="N96" s="64">
        <v>26.1</v>
      </c>
      <c r="O96" s="64">
        <v>0</v>
      </c>
      <c r="P96" s="64">
        <v>1.62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2352</v>
      </c>
      <c r="B97" s="64">
        <v>53.14</v>
      </c>
      <c r="C97" s="64">
        <v>16.239999999999998</v>
      </c>
      <c r="D97" s="64">
        <v>49.73</v>
      </c>
      <c r="E97" s="64">
        <v>8.44</v>
      </c>
      <c r="F97" s="64">
        <v>3.76</v>
      </c>
      <c r="G97" s="64">
        <v>105.79</v>
      </c>
      <c r="H97" s="64">
        <v>60.47</v>
      </c>
      <c r="I97" s="64">
        <v>7.74</v>
      </c>
      <c r="J97" s="64">
        <v>0.35</v>
      </c>
      <c r="K97" s="64">
        <v>175.95</v>
      </c>
      <c r="L97" s="64">
        <v>23.49</v>
      </c>
      <c r="M97" s="64">
        <v>81.41</v>
      </c>
      <c r="N97" s="64">
        <v>26.1</v>
      </c>
      <c r="O97" s="64">
        <v>0</v>
      </c>
      <c r="P97" s="64">
        <v>1.24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5" t="s">
        <v>2353</v>
      </c>
      <c r="B98" s="64">
        <v>53.96</v>
      </c>
      <c r="C98" s="64">
        <v>15.65</v>
      </c>
      <c r="D98" s="64">
        <v>50.07</v>
      </c>
      <c r="E98" s="64">
        <v>7.92</v>
      </c>
      <c r="F98" s="64">
        <v>3.38</v>
      </c>
      <c r="G98" s="64">
        <v>105.79</v>
      </c>
      <c r="H98" s="64">
        <v>60.47</v>
      </c>
      <c r="I98" s="64">
        <v>6.32</v>
      </c>
      <c r="J98" s="64">
        <v>0.49</v>
      </c>
      <c r="K98" s="64">
        <v>259.20999999999998</v>
      </c>
      <c r="L98" s="64">
        <v>23.25</v>
      </c>
      <c r="M98" s="64">
        <v>79.959999999999994</v>
      </c>
      <c r="N98" s="64">
        <v>26.3</v>
      </c>
      <c r="O98" s="64">
        <v>0</v>
      </c>
      <c r="P98" s="64">
        <v>1.08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2354</v>
      </c>
      <c r="B99" s="64">
        <v>52.59</v>
      </c>
      <c r="C99" s="64">
        <v>15.96</v>
      </c>
      <c r="D99" s="64">
        <v>49.14</v>
      </c>
      <c r="E99" s="64">
        <v>7.61</v>
      </c>
      <c r="F99" s="64">
        <v>4.04</v>
      </c>
      <c r="G99" s="64">
        <v>108.83</v>
      </c>
      <c r="H99" s="64">
        <v>56.95</v>
      </c>
      <c r="I99" s="64">
        <v>4.7</v>
      </c>
      <c r="J99" s="64">
        <v>0.21</v>
      </c>
      <c r="K99" s="64">
        <v>28.89</v>
      </c>
      <c r="L99" s="64">
        <v>23.09</v>
      </c>
      <c r="M99" s="64">
        <v>80.44</v>
      </c>
      <c r="N99" s="64">
        <v>26.1</v>
      </c>
      <c r="O99" s="64">
        <v>0</v>
      </c>
      <c r="P99" s="64">
        <v>1.52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2355</v>
      </c>
      <c r="B100" s="64">
        <v>50.97</v>
      </c>
      <c r="C100" s="64">
        <v>15.66</v>
      </c>
      <c r="D100" s="64">
        <v>47.68</v>
      </c>
      <c r="E100" s="64">
        <v>7.82</v>
      </c>
      <c r="F100" s="64">
        <v>4.12</v>
      </c>
      <c r="G100" s="64">
        <v>109.08</v>
      </c>
      <c r="H100" s="64">
        <v>56.95</v>
      </c>
      <c r="I100" s="64">
        <v>4.91</v>
      </c>
      <c r="J100" s="64">
        <v>0.61</v>
      </c>
      <c r="K100" s="64">
        <v>308.70999999999998</v>
      </c>
      <c r="L100" s="64">
        <v>22.79</v>
      </c>
      <c r="M100" s="64">
        <v>84.82</v>
      </c>
      <c r="N100" s="64">
        <v>26.1</v>
      </c>
      <c r="O100" s="64">
        <v>0</v>
      </c>
      <c r="P100" s="64">
        <v>1.31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2356</v>
      </c>
      <c r="B101" s="64">
        <v>50.16</v>
      </c>
      <c r="C101" s="64">
        <v>15.61</v>
      </c>
      <c r="D101" s="64">
        <v>47</v>
      </c>
      <c r="E101" s="64">
        <v>7.72</v>
      </c>
      <c r="F101" s="64">
        <v>3.97</v>
      </c>
      <c r="G101" s="64">
        <v>109.08</v>
      </c>
      <c r="H101" s="64">
        <v>56.95</v>
      </c>
      <c r="I101" s="64">
        <v>6.11</v>
      </c>
      <c r="J101" s="64">
        <v>0.55000000000000004</v>
      </c>
      <c r="K101" s="64">
        <v>322.49</v>
      </c>
      <c r="L101" s="64">
        <v>22.64</v>
      </c>
      <c r="M101" s="64">
        <v>87.3</v>
      </c>
      <c r="N101" s="64">
        <v>26.1</v>
      </c>
      <c r="O101" s="64">
        <v>0</v>
      </c>
      <c r="P101" s="64">
        <v>1.45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5" t="s">
        <v>2357</v>
      </c>
      <c r="B102" s="64">
        <v>50.11</v>
      </c>
      <c r="C102" s="64">
        <v>15.12</v>
      </c>
      <c r="D102" s="64">
        <v>46.71</v>
      </c>
      <c r="E102" s="64">
        <v>8.18</v>
      </c>
      <c r="F102" s="64">
        <v>4.5999999999999996</v>
      </c>
      <c r="G102" s="64">
        <v>109.08</v>
      </c>
      <c r="H102" s="64">
        <v>56.95</v>
      </c>
      <c r="I102" s="64">
        <v>6.11</v>
      </c>
      <c r="J102" s="64">
        <v>0.59</v>
      </c>
      <c r="K102" s="64">
        <v>290.32</v>
      </c>
      <c r="L102" s="64">
        <v>22.53</v>
      </c>
      <c r="M102" s="64">
        <v>87.45</v>
      </c>
      <c r="N102" s="64">
        <v>26.1</v>
      </c>
      <c r="O102" s="64">
        <v>0</v>
      </c>
      <c r="P102" s="64">
        <v>1.36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2358</v>
      </c>
      <c r="B103" s="64">
        <v>49.86</v>
      </c>
      <c r="C103" s="64">
        <v>15.73</v>
      </c>
      <c r="D103" s="64">
        <v>46.82</v>
      </c>
      <c r="E103" s="64">
        <v>7.88</v>
      </c>
      <c r="F103" s="64">
        <v>3.37</v>
      </c>
      <c r="G103" s="64">
        <v>101.75</v>
      </c>
      <c r="H103" s="64">
        <v>51.77</v>
      </c>
      <c r="I103" s="64">
        <v>5.0599999999999996</v>
      </c>
      <c r="J103" s="64">
        <v>0.56000000000000005</v>
      </c>
      <c r="K103" s="64">
        <v>289.77</v>
      </c>
      <c r="L103" s="64">
        <v>22.29</v>
      </c>
      <c r="M103" s="64">
        <v>87.07</v>
      </c>
      <c r="N103" s="64">
        <v>26.1</v>
      </c>
      <c r="O103" s="64">
        <v>0</v>
      </c>
      <c r="P103" s="64">
        <v>1.31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2359</v>
      </c>
      <c r="B104" s="64">
        <v>50.59</v>
      </c>
      <c r="C104" s="64">
        <v>15.26</v>
      </c>
      <c r="D104" s="64">
        <v>47.16</v>
      </c>
      <c r="E104" s="64">
        <v>6.03</v>
      </c>
      <c r="F104" s="64">
        <v>4.3499999999999996</v>
      </c>
      <c r="G104" s="64">
        <v>101.14</v>
      </c>
      <c r="H104" s="64">
        <v>51.77</v>
      </c>
      <c r="I104" s="64">
        <v>6.27</v>
      </c>
      <c r="J104" s="64">
        <v>0.24</v>
      </c>
      <c r="K104" s="64">
        <v>276.69</v>
      </c>
      <c r="L104" s="64">
        <v>22.12</v>
      </c>
      <c r="M104" s="64">
        <v>86.47</v>
      </c>
      <c r="N104" s="64">
        <v>26.1</v>
      </c>
      <c r="O104" s="64">
        <v>0</v>
      </c>
      <c r="P104" s="64">
        <v>1.32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0.08</v>
      </c>
      <c r="C106" s="67">
        <f>MIN(C9:C104)</f>
        <v>7.13</v>
      </c>
      <c r="D106" s="67">
        <f t="shared" ref="D106:Q106" si="0">MIN(D9:D104)</f>
        <v>5.94</v>
      </c>
      <c r="E106" s="67">
        <f t="shared" si="0"/>
        <v>4.22</v>
      </c>
      <c r="F106" s="67">
        <f t="shared" si="0"/>
        <v>3.13</v>
      </c>
      <c r="G106" s="67">
        <f t="shared" si="0"/>
        <v>1.59</v>
      </c>
      <c r="H106" s="67">
        <f t="shared" si="0"/>
        <v>16.45</v>
      </c>
      <c r="I106" s="67">
        <f t="shared" si="0"/>
        <v>2.0499999999999998</v>
      </c>
      <c r="J106" s="67">
        <f t="shared" si="0"/>
        <v>0.15</v>
      </c>
      <c r="K106" s="67">
        <f t="shared" si="0"/>
        <v>0.83</v>
      </c>
      <c r="L106" s="67">
        <f t="shared" si="0"/>
        <v>21.6</v>
      </c>
      <c r="M106" s="67">
        <f t="shared" si="0"/>
        <v>33.869999999999997</v>
      </c>
      <c r="N106" s="67">
        <f t="shared" si="0"/>
        <v>25.5</v>
      </c>
      <c r="O106" s="67">
        <f t="shared" si="0"/>
        <v>0</v>
      </c>
      <c r="P106" s="67">
        <f t="shared" si="0"/>
        <v>0.47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53.96</v>
      </c>
      <c r="C107" s="66">
        <f t="shared" ref="C107:Q107" si="1">MAX(C9:C104)</f>
        <v>43.64</v>
      </c>
      <c r="D107" s="66">
        <f t="shared" si="1"/>
        <v>50.07</v>
      </c>
      <c r="E107" s="66">
        <f t="shared" si="1"/>
        <v>11.59</v>
      </c>
      <c r="F107" s="66">
        <f t="shared" si="1"/>
        <v>15.93</v>
      </c>
      <c r="G107" s="66">
        <f t="shared" si="1"/>
        <v>111.82</v>
      </c>
      <c r="H107" s="66">
        <f t="shared" si="1"/>
        <v>526.35</v>
      </c>
      <c r="I107" s="66">
        <f t="shared" si="1"/>
        <v>8.66</v>
      </c>
      <c r="J107" s="66">
        <f t="shared" si="1"/>
        <v>1.65</v>
      </c>
      <c r="K107" s="66">
        <f t="shared" si="1"/>
        <v>358.9</v>
      </c>
      <c r="L107" s="66">
        <f t="shared" si="1"/>
        <v>33.090000000000003</v>
      </c>
      <c r="M107" s="66">
        <f t="shared" si="1"/>
        <v>102.72</v>
      </c>
      <c r="N107" s="66">
        <f t="shared" si="1"/>
        <v>733.8</v>
      </c>
      <c r="O107" s="66">
        <f t="shared" si="1"/>
        <v>0</v>
      </c>
      <c r="P107" s="66">
        <f t="shared" si="1"/>
        <v>2.2400000000000002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11.957395833333331</v>
      </c>
      <c r="C108" s="67">
        <f t="shared" ref="C108:Q108" si="2">AVERAGE(C9:C104)</f>
        <v>17.484374999999996</v>
      </c>
      <c r="D108" s="67">
        <f t="shared" si="2"/>
        <v>18.020937500000006</v>
      </c>
      <c r="E108" s="67">
        <f t="shared" si="2"/>
        <v>6.6520833333333336</v>
      </c>
      <c r="F108" s="67">
        <f t="shared" si="2"/>
        <v>5.2108333333333343</v>
      </c>
      <c r="G108" s="67">
        <f t="shared" si="2"/>
        <v>83.170322580645134</v>
      </c>
      <c r="H108" s="67">
        <f t="shared" si="2"/>
        <v>64.430430107526902</v>
      </c>
      <c r="I108" s="67">
        <f t="shared" si="2"/>
        <v>4.6712499999999997</v>
      </c>
      <c r="J108" s="67">
        <f t="shared" si="2"/>
        <v>0.68031250000000021</v>
      </c>
      <c r="K108" s="67">
        <f t="shared" si="2"/>
        <v>244.88322916666672</v>
      </c>
      <c r="L108" s="67">
        <f t="shared" si="2"/>
        <v>26.275208333333339</v>
      </c>
      <c r="M108" s="67">
        <f t="shared" si="2"/>
        <v>70.603854166666665</v>
      </c>
      <c r="N108" s="67">
        <f t="shared" si="2"/>
        <v>174.46145833333318</v>
      </c>
      <c r="O108" s="67">
        <f t="shared" si="2"/>
        <v>0</v>
      </c>
      <c r="P108" s="67">
        <f t="shared" si="2"/>
        <v>0.91697916666666657</v>
      </c>
      <c r="Q108" s="67">
        <f t="shared" si="2"/>
        <v>9.6150000000000073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16.205623536277812</v>
      </c>
      <c r="C109" s="67">
        <f t="shared" ref="C109:Q109" si="3">STDEV(C9:C104)</f>
        <v>8.8096664388135544</v>
      </c>
      <c r="D109" s="67">
        <f t="shared" si="3"/>
        <v>13.156856533712149</v>
      </c>
      <c r="E109" s="67">
        <f t="shared" si="3"/>
        <v>1.5644746329656387</v>
      </c>
      <c r="F109" s="67">
        <f t="shared" si="3"/>
        <v>2.4732772490922232</v>
      </c>
      <c r="G109" s="67">
        <f t="shared" si="3"/>
        <v>20.437142096406863</v>
      </c>
      <c r="H109" s="67">
        <f t="shared" si="3"/>
        <v>97.683681405117369</v>
      </c>
      <c r="I109" s="67">
        <f t="shared" si="3"/>
        <v>1.4908911146658155</v>
      </c>
      <c r="J109" s="67">
        <f t="shared" si="3"/>
        <v>0.34995173539398716</v>
      </c>
      <c r="K109" s="67">
        <f t="shared" si="3"/>
        <v>116.33634689753106</v>
      </c>
      <c r="L109" s="67">
        <f t="shared" si="3"/>
        <v>3.8472781846162611</v>
      </c>
      <c r="M109" s="67">
        <f t="shared" si="3"/>
        <v>20.665905426433696</v>
      </c>
      <c r="N109" s="67">
        <f t="shared" si="3"/>
        <v>235.9555463796616</v>
      </c>
      <c r="O109" s="67">
        <f t="shared" si="3"/>
        <v>0</v>
      </c>
      <c r="P109" s="67">
        <f t="shared" si="3"/>
        <v>0.42178098530090669</v>
      </c>
      <c r="Q109" s="67">
        <f t="shared" si="3"/>
        <v>8.0785616228843289E-3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2360</v>
      </c>
      <c r="B9" s="64">
        <v>49.79</v>
      </c>
      <c r="C9" s="64">
        <v>15.09</v>
      </c>
      <c r="D9" s="64">
        <v>46.43</v>
      </c>
      <c r="E9" s="64">
        <v>7</v>
      </c>
      <c r="F9" s="64">
        <v>3.27</v>
      </c>
      <c r="G9" s="64">
        <v>101.14</v>
      </c>
      <c r="H9" s="64">
        <v>51.77</v>
      </c>
      <c r="I9" s="64">
        <v>5.65</v>
      </c>
      <c r="J9" s="64">
        <v>0.48</v>
      </c>
      <c r="K9" s="64">
        <v>312.41000000000003</v>
      </c>
      <c r="L9" s="64">
        <v>22.16</v>
      </c>
      <c r="M9" s="64">
        <v>88.38</v>
      </c>
      <c r="N9" s="64">
        <v>26</v>
      </c>
      <c r="O9" s="64">
        <v>0</v>
      </c>
      <c r="P9" s="64">
        <v>1.1499999999999999</v>
      </c>
      <c r="Q9" s="64">
        <v>9.6199999999999992</v>
      </c>
      <c r="S9" s="198"/>
      <c r="T9" s="198"/>
      <c r="U9" s="198"/>
    </row>
    <row r="10" spans="1:21" s="12" customFormat="1" x14ac:dyDescent="0.25">
      <c r="A10" s="215" t="s">
        <v>2361</v>
      </c>
      <c r="B10" s="64">
        <v>48.61</v>
      </c>
      <c r="C10" s="64">
        <v>15.12</v>
      </c>
      <c r="D10" s="64">
        <v>45.51</v>
      </c>
      <c r="E10" s="64">
        <v>6.78</v>
      </c>
      <c r="F10" s="64">
        <v>4.03</v>
      </c>
      <c r="G10" s="64">
        <v>101.14</v>
      </c>
      <c r="H10" s="64">
        <v>51.77</v>
      </c>
      <c r="I10" s="64">
        <v>4.92</v>
      </c>
      <c r="J10" s="64">
        <v>0.54</v>
      </c>
      <c r="K10" s="64">
        <v>308.76</v>
      </c>
      <c r="L10" s="64">
        <v>21.86</v>
      </c>
      <c r="M10" s="64">
        <v>90.82</v>
      </c>
      <c r="N10" s="64">
        <v>26.1</v>
      </c>
      <c r="O10" s="64">
        <v>0</v>
      </c>
      <c r="P10" s="64">
        <v>1.34</v>
      </c>
      <c r="Q10" s="64">
        <v>9.6199999999999992</v>
      </c>
      <c r="S10" s="198"/>
      <c r="T10" s="198"/>
      <c r="U10" s="198"/>
    </row>
    <row r="11" spans="1:21" s="12" customFormat="1" x14ac:dyDescent="0.25">
      <c r="A11" s="215" t="s">
        <v>2362</v>
      </c>
      <c r="B11" s="64">
        <v>47.49</v>
      </c>
      <c r="C11" s="64">
        <v>14.71</v>
      </c>
      <c r="D11" s="64">
        <v>44.39</v>
      </c>
      <c r="E11" s="64">
        <v>6.41</v>
      </c>
      <c r="F11" s="64">
        <v>4.2300000000000004</v>
      </c>
      <c r="G11" s="64">
        <v>100.68</v>
      </c>
      <c r="H11" s="64">
        <v>48.13</v>
      </c>
      <c r="I11" s="64">
        <v>5.37</v>
      </c>
      <c r="J11" s="64">
        <v>0.4</v>
      </c>
      <c r="K11" s="64">
        <v>260.27</v>
      </c>
      <c r="L11" s="64">
        <v>21.79</v>
      </c>
      <c r="M11" s="64">
        <v>87.14</v>
      </c>
      <c r="N11" s="64">
        <v>26</v>
      </c>
      <c r="O11" s="64">
        <v>0</v>
      </c>
      <c r="P11" s="64">
        <v>1.2</v>
      </c>
      <c r="Q11" s="64">
        <v>9.6199999999999992</v>
      </c>
      <c r="S11" s="198"/>
      <c r="T11" s="198"/>
      <c r="U11" s="198"/>
    </row>
    <row r="12" spans="1:21" s="12" customFormat="1" x14ac:dyDescent="0.25">
      <c r="A12" s="215" t="s">
        <v>2363</v>
      </c>
      <c r="B12" s="64">
        <v>45.36</v>
      </c>
      <c r="C12" s="64">
        <v>14.34</v>
      </c>
      <c r="D12" s="64">
        <v>42.49</v>
      </c>
      <c r="E12" s="64">
        <v>6.51</v>
      </c>
      <c r="F12" s="64">
        <v>3.91</v>
      </c>
      <c r="G12" s="64">
        <v>100.64</v>
      </c>
      <c r="H12" s="64">
        <v>48.13</v>
      </c>
      <c r="I12" s="64">
        <v>5.04</v>
      </c>
      <c r="J12" s="64">
        <v>0.71</v>
      </c>
      <c r="K12" s="64">
        <v>325.25</v>
      </c>
      <c r="L12" s="64">
        <v>21.88</v>
      </c>
      <c r="M12" s="64">
        <v>88.89</v>
      </c>
      <c r="N12" s="64">
        <v>25.6</v>
      </c>
      <c r="O12" s="64">
        <v>0</v>
      </c>
      <c r="P12" s="64">
        <v>1.03</v>
      </c>
      <c r="Q12" s="64">
        <v>9.6300000000000008</v>
      </c>
      <c r="S12" s="198"/>
      <c r="T12" s="198"/>
      <c r="U12" s="198"/>
    </row>
    <row r="13" spans="1:21" s="12" customFormat="1" x14ac:dyDescent="0.25">
      <c r="A13" s="215" t="s">
        <v>2364</v>
      </c>
      <c r="B13" s="64">
        <v>43.51</v>
      </c>
      <c r="C13" s="64">
        <v>13.09</v>
      </c>
      <c r="D13" s="64">
        <v>40.35</v>
      </c>
      <c r="E13" s="64">
        <v>6.35</v>
      </c>
      <c r="F13" s="64">
        <v>4.0999999999999996</v>
      </c>
      <c r="G13" s="64">
        <v>100.64</v>
      </c>
      <c r="H13" s="64">
        <v>48.13</v>
      </c>
      <c r="I13" s="64">
        <v>5.44</v>
      </c>
      <c r="J13" s="64">
        <v>1.27</v>
      </c>
      <c r="K13" s="64">
        <v>330.81</v>
      </c>
      <c r="L13" s="64">
        <v>22.21</v>
      </c>
      <c r="M13" s="64">
        <v>86.1</v>
      </c>
      <c r="N13" s="64">
        <v>25</v>
      </c>
      <c r="O13" s="64">
        <v>0</v>
      </c>
      <c r="P13" s="64">
        <v>1.04</v>
      </c>
      <c r="Q13" s="64">
        <v>9.6300000000000008</v>
      </c>
      <c r="S13" s="198"/>
      <c r="T13" s="198"/>
      <c r="U13" s="198"/>
    </row>
    <row r="14" spans="1:21" s="12" customFormat="1" x14ac:dyDescent="0.25">
      <c r="A14" s="215" t="s">
        <v>2365</v>
      </c>
      <c r="B14" s="64">
        <v>41.14</v>
      </c>
      <c r="C14" s="64">
        <v>12.74</v>
      </c>
      <c r="D14" s="64">
        <v>38.270000000000003</v>
      </c>
      <c r="E14" s="64">
        <v>6.33</v>
      </c>
      <c r="F14" s="64">
        <v>4.05</v>
      </c>
      <c r="G14" s="64">
        <v>100.64</v>
      </c>
      <c r="H14" s="64">
        <v>48.13</v>
      </c>
      <c r="I14" s="64">
        <v>5.18</v>
      </c>
      <c r="J14" s="64">
        <v>1.41</v>
      </c>
      <c r="K14" s="64">
        <v>332.45</v>
      </c>
      <c r="L14" s="64">
        <v>22.19</v>
      </c>
      <c r="M14" s="64">
        <v>86.08</v>
      </c>
      <c r="N14" s="64">
        <v>25.5</v>
      </c>
      <c r="O14" s="64">
        <v>0</v>
      </c>
      <c r="P14" s="64">
        <v>1.08</v>
      </c>
      <c r="Q14" s="64">
        <v>9.65</v>
      </c>
      <c r="S14" s="198"/>
      <c r="T14" s="198"/>
      <c r="U14" s="198"/>
    </row>
    <row r="15" spans="1:21" s="12" customFormat="1" x14ac:dyDescent="0.25">
      <c r="A15" s="215" t="s">
        <v>2366</v>
      </c>
      <c r="B15" s="64">
        <v>38.86</v>
      </c>
      <c r="C15" s="64">
        <v>12.59</v>
      </c>
      <c r="D15" s="64">
        <v>36.369999999999997</v>
      </c>
      <c r="E15" s="64">
        <v>6.12</v>
      </c>
      <c r="F15" s="64">
        <v>3.71</v>
      </c>
      <c r="G15" s="64">
        <v>93.06</v>
      </c>
      <c r="H15" s="64">
        <v>42.01</v>
      </c>
      <c r="I15" s="64">
        <v>5.65</v>
      </c>
      <c r="J15" s="64">
        <v>0.89</v>
      </c>
      <c r="K15" s="64">
        <v>331.1</v>
      </c>
      <c r="L15" s="64">
        <v>22.04</v>
      </c>
      <c r="M15" s="64">
        <v>85.84</v>
      </c>
      <c r="N15" s="64">
        <v>26.1</v>
      </c>
      <c r="O15" s="64">
        <v>0</v>
      </c>
      <c r="P15" s="64">
        <v>1.06</v>
      </c>
      <c r="Q15" s="64">
        <v>9.64</v>
      </c>
      <c r="S15" s="198"/>
      <c r="T15" s="198"/>
      <c r="U15" s="198"/>
    </row>
    <row r="16" spans="1:21" s="12" customFormat="1" x14ac:dyDescent="0.25">
      <c r="A16" s="215" t="s">
        <v>2367</v>
      </c>
      <c r="B16" s="64">
        <v>36.93</v>
      </c>
      <c r="C16" s="64">
        <v>11.99</v>
      </c>
      <c r="D16" s="64">
        <v>34.51</v>
      </c>
      <c r="E16" s="64">
        <v>6.35</v>
      </c>
      <c r="F16" s="64">
        <v>3.78</v>
      </c>
      <c r="G16" s="64">
        <v>92.42</v>
      </c>
      <c r="H16" s="64">
        <v>42.01</v>
      </c>
      <c r="I16" s="64">
        <v>5.84</v>
      </c>
      <c r="J16" s="64">
        <v>0.91</v>
      </c>
      <c r="K16" s="64">
        <v>332.31</v>
      </c>
      <c r="L16" s="64">
        <v>21.7</v>
      </c>
      <c r="M16" s="64">
        <v>86.98</v>
      </c>
      <c r="N16" s="64">
        <v>25.9</v>
      </c>
      <c r="O16" s="64">
        <v>0</v>
      </c>
      <c r="P16" s="64">
        <v>1.02</v>
      </c>
      <c r="Q16" s="64">
        <v>9.6199999999999992</v>
      </c>
      <c r="S16" s="198"/>
      <c r="T16" s="198"/>
      <c r="U16" s="198"/>
    </row>
    <row r="17" spans="1:21" s="12" customFormat="1" x14ac:dyDescent="0.25">
      <c r="A17" s="215" t="s">
        <v>2368</v>
      </c>
      <c r="B17" s="64">
        <v>35.090000000000003</v>
      </c>
      <c r="C17" s="64">
        <v>11.63</v>
      </c>
      <c r="D17" s="64">
        <v>32.840000000000003</v>
      </c>
      <c r="E17" s="64">
        <v>6.52</v>
      </c>
      <c r="F17" s="64">
        <v>3.84</v>
      </c>
      <c r="G17" s="64">
        <v>92.42</v>
      </c>
      <c r="H17" s="64">
        <v>42.01</v>
      </c>
      <c r="I17" s="64">
        <v>5.16</v>
      </c>
      <c r="J17" s="64">
        <v>1.08</v>
      </c>
      <c r="K17" s="64">
        <v>328.84</v>
      </c>
      <c r="L17" s="64">
        <v>21.66</v>
      </c>
      <c r="M17" s="64">
        <v>86.76</v>
      </c>
      <c r="N17" s="64">
        <v>25.7</v>
      </c>
      <c r="O17" s="64">
        <v>0</v>
      </c>
      <c r="P17" s="64">
        <v>0.99</v>
      </c>
      <c r="Q17" s="64">
        <v>9.6199999999999992</v>
      </c>
      <c r="S17" s="198"/>
      <c r="T17" s="198"/>
      <c r="U17" s="198"/>
    </row>
    <row r="18" spans="1:21" s="12" customFormat="1" x14ac:dyDescent="0.25">
      <c r="A18" s="215" t="s">
        <v>2369</v>
      </c>
      <c r="B18" s="64">
        <v>33.36</v>
      </c>
      <c r="C18" s="64">
        <v>11.21</v>
      </c>
      <c r="D18" s="64">
        <v>31.23</v>
      </c>
      <c r="E18" s="64">
        <v>6.65</v>
      </c>
      <c r="F18" s="64">
        <v>3.71</v>
      </c>
      <c r="G18" s="64">
        <v>92.42</v>
      </c>
      <c r="H18" s="64">
        <v>42.01</v>
      </c>
      <c r="I18" s="64">
        <v>5.3</v>
      </c>
      <c r="J18" s="64">
        <v>0.45</v>
      </c>
      <c r="K18" s="64">
        <v>339.45</v>
      </c>
      <c r="L18" s="64">
        <v>21.59</v>
      </c>
      <c r="M18" s="64">
        <v>85.57</v>
      </c>
      <c r="N18" s="64">
        <v>26.2</v>
      </c>
      <c r="O18" s="64">
        <v>0</v>
      </c>
      <c r="P18" s="64">
        <v>0.96</v>
      </c>
      <c r="Q18" s="64">
        <v>9.6199999999999992</v>
      </c>
      <c r="S18" s="198"/>
      <c r="T18" s="198"/>
      <c r="U18" s="198"/>
    </row>
    <row r="19" spans="1:21" s="12" customFormat="1" x14ac:dyDescent="0.25">
      <c r="A19" s="215" t="s">
        <v>2370</v>
      </c>
      <c r="B19" s="64">
        <v>31.93</v>
      </c>
      <c r="C19" s="64">
        <v>11.05</v>
      </c>
      <c r="D19" s="64">
        <v>30</v>
      </c>
      <c r="E19" s="64">
        <v>6.3</v>
      </c>
      <c r="F19" s="64">
        <v>3.98</v>
      </c>
      <c r="G19" s="64">
        <v>99</v>
      </c>
      <c r="H19" s="64">
        <v>51.35</v>
      </c>
      <c r="I19" s="64">
        <v>5.54</v>
      </c>
      <c r="J19" s="64">
        <v>0.36</v>
      </c>
      <c r="K19" s="64">
        <v>346.02</v>
      </c>
      <c r="L19" s="64">
        <v>21.46</v>
      </c>
      <c r="M19" s="64">
        <v>85.56</v>
      </c>
      <c r="N19" s="64">
        <v>26.1</v>
      </c>
      <c r="O19" s="64">
        <v>0</v>
      </c>
      <c r="P19" s="64">
        <v>0.98</v>
      </c>
      <c r="Q19" s="64">
        <v>9.6300000000000008</v>
      </c>
      <c r="S19" s="198"/>
      <c r="T19" s="198"/>
      <c r="U19" s="198"/>
    </row>
    <row r="20" spans="1:21" s="12" customFormat="1" x14ac:dyDescent="0.25">
      <c r="A20" s="215" t="s">
        <v>2371</v>
      </c>
      <c r="B20" s="64">
        <v>30.31</v>
      </c>
      <c r="C20" s="64">
        <v>11.61</v>
      </c>
      <c r="D20" s="64">
        <v>29</v>
      </c>
      <c r="E20" s="64">
        <v>6.5</v>
      </c>
      <c r="F20" s="64">
        <v>3.78</v>
      </c>
      <c r="G20" s="64">
        <v>99.64</v>
      </c>
      <c r="H20" s="64">
        <v>51.35</v>
      </c>
      <c r="I20" s="64">
        <v>4.9000000000000004</v>
      </c>
      <c r="J20" s="64">
        <v>0.42</v>
      </c>
      <c r="K20" s="64">
        <v>315.2</v>
      </c>
      <c r="L20" s="64">
        <v>21.41</v>
      </c>
      <c r="M20" s="64">
        <v>84.26</v>
      </c>
      <c r="N20" s="64">
        <v>25.9</v>
      </c>
      <c r="O20" s="64">
        <v>0</v>
      </c>
      <c r="P20" s="64">
        <v>1.02</v>
      </c>
      <c r="Q20" s="64">
        <v>9.64</v>
      </c>
      <c r="S20" s="198"/>
      <c r="T20" s="198"/>
      <c r="U20" s="198"/>
    </row>
    <row r="21" spans="1:21" s="12" customFormat="1" x14ac:dyDescent="0.25">
      <c r="A21" s="215" t="s">
        <v>2372</v>
      </c>
      <c r="B21" s="64">
        <v>28.22</v>
      </c>
      <c r="C21" s="64">
        <v>11.66</v>
      </c>
      <c r="D21" s="64">
        <v>27.34</v>
      </c>
      <c r="E21" s="64">
        <v>6.58</v>
      </c>
      <c r="F21" s="64">
        <v>4.3899999999999997</v>
      </c>
      <c r="G21" s="64">
        <v>99.64</v>
      </c>
      <c r="H21" s="64">
        <v>51.35</v>
      </c>
      <c r="I21" s="64">
        <v>6.19</v>
      </c>
      <c r="J21" s="64">
        <v>0.84</v>
      </c>
      <c r="K21" s="64">
        <v>322.31</v>
      </c>
      <c r="L21" s="64">
        <v>21.36</v>
      </c>
      <c r="M21" s="64">
        <v>83.18</v>
      </c>
      <c r="N21" s="64">
        <v>25.5</v>
      </c>
      <c r="O21" s="64">
        <v>0</v>
      </c>
      <c r="P21" s="64">
        <v>1.01</v>
      </c>
      <c r="Q21" s="64">
        <v>9.6300000000000008</v>
      </c>
      <c r="S21" s="198"/>
      <c r="T21" s="198"/>
      <c r="U21" s="198"/>
    </row>
    <row r="22" spans="1:21" s="12" customFormat="1" x14ac:dyDescent="0.25">
      <c r="A22" s="215" t="s">
        <v>2373</v>
      </c>
      <c r="B22" s="64">
        <v>25.9</v>
      </c>
      <c r="C22" s="64">
        <v>12.2</v>
      </c>
      <c r="D22" s="64">
        <v>25.77</v>
      </c>
      <c r="E22" s="64">
        <v>6.55</v>
      </c>
      <c r="F22" s="64">
        <v>3.9</v>
      </c>
      <c r="G22" s="64">
        <v>99.64</v>
      </c>
      <c r="H22" s="64">
        <v>51.35</v>
      </c>
      <c r="I22" s="64">
        <v>6.45</v>
      </c>
      <c r="J22" s="64">
        <v>0.87</v>
      </c>
      <c r="K22" s="64">
        <v>339.48</v>
      </c>
      <c r="L22" s="64">
        <v>21.53</v>
      </c>
      <c r="M22" s="64">
        <v>82.94</v>
      </c>
      <c r="N22" s="64">
        <v>25.6</v>
      </c>
      <c r="O22" s="64">
        <v>0</v>
      </c>
      <c r="P22" s="64">
        <v>0.98</v>
      </c>
      <c r="Q22" s="64">
        <v>9.61</v>
      </c>
      <c r="S22" s="198"/>
      <c r="T22" s="198"/>
      <c r="U22" s="198"/>
    </row>
    <row r="23" spans="1:21" s="12" customFormat="1" x14ac:dyDescent="0.25">
      <c r="A23" s="215" t="s">
        <v>2374</v>
      </c>
      <c r="B23" s="64">
        <v>24.15</v>
      </c>
      <c r="C23" s="64">
        <v>12.74</v>
      </c>
      <c r="D23" s="64">
        <v>24.65</v>
      </c>
      <c r="E23" s="64">
        <v>6.51</v>
      </c>
      <c r="F23" s="64">
        <v>3.64</v>
      </c>
      <c r="G23" s="64">
        <v>106.74</v>
      </c>
      <c r="H23" s="64">
        <v>57.79</v>
      </c>
      <c r="I23" s="64">
        <v>6.2</v>
      </c>
      <c r="J23" s="64">
        <v>1.03</v>
      </c>
      <c r="K23" s="64">
        <v>337.07</v>
      </c>
      <c r="L23" s="64">
        <v>21.49</v>
      </c>
      <c r="M23" s="64">
        <v>83.59</v>
      </c>
      <c r="N23" s="64">
        <v>25.6</v>
      </c>
      <c r="O23" s="64">
        <v>0</v>
      </c>
      <c r="P23" s="64">
        <v>0.96</v>
      </c>
      <c r="Q23" s="64">
        <v>9.6300000000000008</v>
      </c>
      <c r="S23" s="198"/>
      <c r="T23" s="198"/>
      <c r="U23" s="198"/>
    </row>
    <row r="24" spans="1:21" s="12" customFormat="1" x14ac:dyDescent="0.25">
      <c r="A24" s="215" t="s">
        <v>2375</v>
      </c>
      <c r="B24" s="64">
        <v>22.68</v>
      </c>
      <c r="C24" s="64">
        <v>12.72</v>
      </c>
      <c r="D24" s="64">
        <v>23.46</v>
      </c>
      <c r="E24" s="64">
        <v>6.69</v>
      </c>
      <c r="F24" s="64">
        <v>4.13</v>
      </c>
      <c r="G24" s="64">
        <v>107.34</v>
      </c>
      <c r="H24" s="64">
        <v>57.79</v>
      </c>
      <c r="I24" s="64">
        <v>6.18</v>
      </c>
      <c r="J24" s="64">
        <v>0.87</v>
      </c>
      <c r="K24" s="64">
        <v>339.76</v>
      </c>
      <c r="L24" s="64">
        <v>21.36</v>
      </c>
      <c r="M24" s="64">
        <v>85.09</v>
      </c>
      <c r="N24" s="64">
        <v>26</v>
      </c>
      <c r="O24" s="64">
        <v>0</v>
      </c>
      <c r="P24" s="64">
        <v>0.95</v>
      </c>
      <c r="Q24" s="64">
        <v>9.64</v>
      </c>
      <c r="S24" s="198"/>
      <c r="T24" s="198"/>
      <c r="U24" s="198"/>
    </row>
    <row r="25" spans="1:21" s="12" customFormat="1" x14ac:dyDescent="0.25">
      <c r="A25" s="215" t="s">
        <v>2376</v>
      </c>
      <c r="B25" s="64">
        <v>21.47</v>
      </c>
      <c r="C25" s="64">
        <v>12.65</v>
      </c>
      <c r="D25" s="64">
        <v>22.45</v>
      </c>
      <c r="E25" s="64">
        <v>6.82</v>
      </c>
      <c r="F25" s="64">
        <v>4.46</v>
      </c>
      <c r="G25" s="64">
        <v>107.34</v>
      </c>
      <c r="H25" s="64">
        <v>57.79</v>
      </c>
      <c r="I25" s="64">
        <v>6.08</v>
      </c>
      <c r="J25" s="64">
        <v>0.88</v>
      </c>
      <c r="K25" s="64">
        <v>335.42</v>
      </c>
      <c r="L25" s="64">
        <v>21.18</v>
      </c>
      <c r="M25" s="64">
        <v>85.76</v>
      </c>
      <c r="N25" s="64">
        <v>25.8</v>
      </c>
      <c r="O25" s="64">
        <v>0</v>
      </c>
      <c r="P25" s="64">
        <v>0.93</v>
      </c>
      <c r="Q25" s="64">
        <v>9.6199999999999992</v>
      </c>
      <c r="S25" s="198"/>
      <c r="T25" s="198"/>
      <c r="U25" s="198"/>
    </row>
    <row r="26" spans="1:21" s="12" customFormat="1" x14ac:dyDescent="0.25">
      <c r="A26" s="215" t="s">
        <v>2377</v>
      </c>
      <c r="B26" s="64">
        <v>20.77</v>
      </c>
      <c r="C26" s="64">
        <v>12.92</v>
      </c>
      <c r="D26" s="64">
        <v>22.03</v>
      </c>
      <c r="E26" s="64">
        <v>6.96</v>
      </c>
      <c r="F26" s="64">
        <v>3.67</v>
      </c>
      <c r="G26" s="64">
        <v>107.34</v>
      </c>
      <c r="H26" s="64">
        <v>57.79</v>
      </c>
      <c r="I26" s="64">
        <v>5.89</v>
      </c>
      <c r="J26" s="64">
        <v>0.78</v>
      </c>
      <c r="K26" s="64">
        <v>344.25</v>
      </c>
      <c r="L26" s="64">
        <v>21.28</v>
      </c>
      <c r="M26" s="64">
        <v>84.11</v>
      </c>
      <c r="N26" s="64">
        <v>25.8</v>
      </c>
      <c r="O26" s="64">
        <v>0</v>
      </c>
      <c r="P26" s="64">
        <v>0.92</v>
      </c>
      <c r="Q26" s="64">
        <v>9.6199999999999992</v>
      </c>
      <c r="S26" s="198"/>
      <c r="T26" s="198"/>
      <c r="U26" s="198"/>
    </row>
    <row r="27" spans="1:21" s="12" customFormat="1" x14ac:dyDescent="0.25">
      <c r="A27" s="215" t="s">
        <v>2378</v>
      </c>
      <c r="B27" s="64">
        <v>19.75</v>
      </c>
      <c r="C27" s="64">
        <v>13.47</v>
      </c>
      <c r="D27" s="64">
        <v>21.5</v>
      </c>
      <c r="E27" s="64">
        <v>6.74</v>
      </c>
      <c r="F27" s="64">
        <v>4.2</v>
      </c>
      <c r="G27" s="64">
        <v>111.76</v>
      </c>
      <c r="H27" s="64">
        <v>37.57</v>
      </c>
      <c r="I27" s="64">
        <v>5.79</v>
      </c>
      <c r="J27" s="64">
        <v>0.8</v>
      </c>
      <c r="K27" s="64">
        <v>346.61</v>
      </c>
      <c r="L27" s="64">
        <v>21.28</v>
      </c>
      <c r="M27" s="64">
        <v>83.33</v>
      </c>
      <c r="N27" s="64">
        <v>25.8</v>
      </c>
      <c r="O27" s="64">
        <v>0</v>
      </c>
      <c r="P27" s="64">
        <v>0.9</v>
      </c>
      <c r="Q27" s="64">
        <v>9.6199999999999992</v>
      </c>
      <c r="S27" s="198"/>
      <c r="T27" s="198"/>
      <c r="U27" s="198"/>
    </row>
    <row r="28" spans="1:21" s="12" customFormat="1" x14ac:dyDescent="0.25">
      <c r="A28" s="215" t="s">
        <v>2379</v>
      </c>
      <c r="B28" s="64">
        <v>18.809999999999999</v>
      </c>
      <c r="C28" s="64">
        <v>13.09</v>
      </c>
      <c r="D28" s="64">
        <v>20.55</v>
      </c>
      <c r="E28" s="64">
        <v>6.79</v>
      </c>
      <c r="F28" s="64">
        <v>4.34</v>
      </c>
      <c r="G28" s="64">
        <v>112.19</v>
      </c>
      <c r="H28" s="64">
        <v>37.57</v>
      </c>
      <c r="I28" s="64">
        <v>5.74</v>
      </c>
      <c r="J28" s="64">
        <v>0.75</v>
      </c>
      <c r="K28" s="64">
        <v>327.74</v>
      </c>
      <c r="L28" s="64">
        <v>21.27</v>
      </c>
      <c r="M28" s="64">
        <v>83.94</v>
      </c>
      <c r="N28" s="64">
        <v>25.9</v>
      </c>
      <c r="O28" s="64">
        <v>0</v>
      </c>
      <c r="P28" s="64">
        <v>0.88</v>
      </c>
      <c r="Q28" s="64">
        <v>9.61</v>
      </c>
      <c r="S28" s="198"/>
      <c r="T28" s="198"/>
      <c r="U28" s="198"/>
    </row>
    <row r="29" spans="1:21" s="12" customFormat="1" x14ac:dyDescent="0.25">
      <c r="A29" s="215" t="s">
        <v>2380</v>
      </c>
      <c r="B29" s="64">
        <v>18.260000000000002</v>
      </c>
      <c r="C29" s="64">
        <v>12.57</v>
      </c>
      <c r="D29" s="64">
        <v>19.829999999999998</v>
      </c>
      <c r="E29" s="64">
        <v>6.83</v>
      </c>
      <c r="F29" s="64">
        <v>4.0599999999999996</v>
      </c>
      <c r="G29" s="64">
        <v>112.19</v>
      </c>
      <c r="H29" s="64">
        <v>37.57</v>
      </c>
      <c r="I29" s="64">
        <v>5.58</v>
      </c>
      <c r="J29" s="64">
        <v>0.75</v>
      </c>
      <c r="K29" s="64">
        <v>328.34</v>
      </c>
      <c r="L29" s="64">
        <v>21.03</v>
      </c>
      <c r="M29" s="64">
        <v>86.02</v>
      </c>
      <c r="N29" s="64">
        <v>26</v>
      </c>
      <c r="O29" s="64">
        <v>0</v>
      </c>
      <c r="P29" s="64">
        <v>0.84</v>
      </c>
      <c r="Q29" s="64">
        <v>9.61</v>
      </c>
      <c r="S29" s="198"/>
      <c r="T29" s="198"/>
      <c r="U29" s="198"/>
    </row>
    <row r="30" spans="1:21" s="12" customFormat="1" x14ac:dyDescent="0.25">
      <c r="A30" s="215" t="s">
        <v>2381</v>
      </c>
      <c r="B30" s="64">
        <v>18.170000000000002</v>
      </c>
      <c r="C30" s="64">
        <v>12.24</v>
      </c>
      <c r="D30" s="64">
        <v>19.59</v>
      </c>
      <c r="E30" s="64">
        <v>6.47</v>
      </c>
      <c r="F30" s="64">
        <v>3.81</v>
      </c>
      <c r="G30" s="64">
        <v>112.19</v>
      </c>
      <c r="H30" s="64">
        <v>37.57</v>
      </c>
      <c r="I30" s="64">
        <v>5.1100000000000003</v>
      </c>
      <c r="J30" s="64">
        <v>0.86</v>
      </c>
      <c r="K30" s="64">
        <v>331.6</v>
      </c>
      <c r="L30" s="64">
        <v>20.82</v>
      </c>
      <c r="M30" s="64">
        <v>86.83</v>
      </c>
      <c r="N30" s="64">
        <v>25.7</v>
      </c>
      <c r="O30" s="64">
        <v>0</v>
      </c>
      <c r="P30" s="64">
        <v>0.82</v>
      </c>
      <c r="Q30" s="64">
        <v>9.6199999999999992</v>
      </c>
      <c r="S30" s="198"/>
      <c r="T30" s="198"/>
      <c r="U30" s="198"/>
    </row>
    <row r="31" spans="1:21" s="12" customFormat="1" x14ac:dyDescent="0.25">
      <c r="A31" s="215" t="s">
        <v>2382</v>
      </c>
      <c r="B31" s="64">
        <v>18.149999999999999</v>
      </c>
      <c r="C31" s="64">
        <v>12.16</v>
      </c>
      <c r="D31" s="64">
        <v>19.53</v>
      </c>
      <c r="E31" s="64">
        <v>6.83</v>
      </c>
      <c r="F31" s="64">
        <v>3.56</v>
      </c>
      <c r="G31" s="64">
        <v>115.63</v>
      </c>
      <c r="H31" s="64">
        <v>523.16999999999996</v>
      </c>
      <c r="I31" s="64">
        <v>4.62</v>
      </c>
      <c r="J31" s="64">
        <v>1.18</v>
      </c>
      <c r="K31" s="64">
        <v>341.5</v>
      </c>
      <c r="L31" s="64">
        <v>21</v>
      </c>
      <c r="M31" s="64">
        <v>85.62</v>
      </c>
      <c r="N31" s="64">
        <v>25.4</v>
      </c>
      <c r="O31" s="64">
        <v>0</v>
      </c>
      <c r="P31" s="64">
        <v>0.81</v>
      </c>
      <c r="Q31" s="64">
        <v>9.6300000000000008</v>
      </c>
      <c r="S31" s="198"/>
      <c r="T31" s="198"/>
      <c r="U31" s="198"/>
    </row>
    <row r="32" spans="1:21" s="12" customFormat="1" x14ac:dyDescent="0.25">
      <c r="A32" s="215" t="s">
        <v>2383</v>
      </c>
      <c r="B32" s="64">
        <v>17.75</v>
      </c>
      <c r="C32" s="64">
        <v>12.3</v>
      </c>
      <c r="D32" s="64">
        <v>19.29</v>
      </c>
      <c r="E32" s="64">
        <v>7.12</v>
      </c>
      <c r="F32" s="64">
        <v>3.9</v>
      </c>
      <c r="G32" s="64">
        <v>115.92</v>
      </c>
      <c r="H32" s="64">
        <v>523.16999999999996</v>
      </c>
      <c r="I32" s="64">
        <v>4.54</v>
      </c>
      <c r="J32" s="64">
        <v>1.59</v>
      </c>
      <c r="K32" s="64">
        <v>340.26</v>
      </c>
      <c r="L32" s="64">
        <v>21.22</v>
      </c>
      <c r="M32" s="64">
        <v>82.57</v>
      </c>
      <c r="N32" s="64">
        <v>25.8</v>
      </c>
      <c r="O32" s="64">
        <v>0</v>
      </c>
      <c r="P32" s="64">
        <v>0.84</v>
      </c>
      <c r="Q32" s="64">
        <v>9.6300000000000008</v>
      </c>
      <c r="S32" s="198"/>
      <c r="T32" s="198"/>
      <c r="U32" s="198"/>
    </row>
    <row r="33" spans="1:21" s="12" customFormat="1" x14ac:dyDescent="0.25">
      <c r="A33" s="215" t="s">
        <v>2384</v>
      </c>
      <c r="B33" s="64">
        <v>17</v>
      </c>
      <c r="C33" s="64">
        <v>12.76</v>
      </c>
      <c r="D33" s="64">
        <v>18.920000000000002</v>
      </c>
      <c r="E33" s="64">
        <v>6.79</v>
      </c>
      <c r="F33" s="64">
        <v>4.12</v>
      </c>
      <c r="G33" s="64">
        <v>115.92</v>
      </c>
      <c r="H33" s="64">
        <v>523.16999999999996</v>
      </c>
      <c r="I33" s="64">
        <v>5</v>
      </c>
      <c r="J33" s="64">
        <v>1.1399999999999999</v>
      </c>
      <c r="K33" s="64">
        <v>337.07</v>
      </c>
      <c r="L33" s="64">
        <v>21.33</v>
      </c>
      <c r="M33" s="64">
        <v>81.069999999999993</v>
      </c>
      <c r="N33" s="64">
        <v>29.3</v>
      </c>
      <c r="O33" s="64">
        <v>0</v>
      </c>
      <c r="P33" s="64">
        <v>0.8</v>
      </c>
      <c r="Q33" s="64">
        <v>9.6199999999999992</v>
      </c>
      <c r="S33" s="198"/>
      <c r="T33" s="198"/>
      <c r="U33" s="198"/>
    </row>
    <row r="34" spans="1:21" s="12" customFormat="1" x14ac:dyDescent="0.25">
      <c r="A34" s="215" t="s">
        <v>2385</v>
      </c>
      <c r="B34" s="64">
        <v>16.46</v>
      </c>
      <c r="C34" s="64">
        <v>12.88</v>
      </c>
      <c r="D34" s="64">
        <v>18.55</v>
      </c>
      <c r="E34" s="64">
        <v>7.08</v>
      </c>
      <c r="F34" s="64">
        <v>3.71</v>
      </c>
      <c r="G34" s="64">
        <v>115.92</v>
      </c>
      <c r="H34" s="64">
        <v>523.16999999999996</v>
      </c>
      <c r="I34" s="64">
        <v>5.23</v>
      </c>
      <c r="J34" s="64">
        <v>1.01</v>
      </c>
      <c r="K34" s="64">
        <v>346.01</v>
      </c>
      <c r="L34" s="64">
        <v>21.36</v>
      </c>
      <c r="M34" s="64">
        <v>80.150000000000006</v>
      </c>
      <c r="N34" s="64">
        <v>36.799999999999997</v>
      </c>
      <c r="O34" s="64">
        <v>0</v>
      </c>
      <c r="P34" s="64">
        <v>0.74</v>
      </c>
      <c r="Q34" s="64">
        <v>9.6199999999999992</v>
      </c>
      <c r="S34" s="198"/>
      <c r="T34" s="198"/>
      <c r="U34" s="198"/>
    </row>
    <row r="35" spans="1:21" s="12" customFormat="1" x14ac:dyDescent="0.25">
      <c r="A35" s="215" t="s">
        <v>2386</v>
      </c>
      <c r="B35" s="64">
        <v>16.36</v>
      </c>
      <c r="C35" s="64">
        <v>12.83</v>
      </c>
      <c r="D35" s="64">
        <v>18.440000000000001</v>
      </c>
      <c r="E35" s="64">
        <v>7.13</v>
      </c>
      <c r="F35" s="64">
        <v>3.76</v>
      </c>
      <c r="G35" s="64">
        <v>117.96</v>
      </c>
      <c r="H35" s="64">
        <v>485.86</v>
      </c>
      <c r="I35" s="64">
        <v>4.6399999999999997</v>
      </c>
      <c r="J35" s="64">
        <v>1.01</v>
      </c>
      <c r="K35" s="64">
        <v>342.99</v>
      </c>
      <c r="L35" s="64">
        <v>21.54</v>
      </c>
      <c r="M35" s="64">
        <v>81.22</v>
      </c>
      <c r="N35" s="64">
        <v>61.9</v>
      </c>
      <c r="O35" s="64">
        <v>0</v>
      </c>
      <c r="P35" s="64">
        <v>0.77</v>
      </c>
      <c r="Q35" s="64">
        <v>9.61</v>
      </c>
      <c r="S35" s="198"/>
      <c r="T35" s="198"/>
      <c r="U35" s="198"/>
    </row>
    <row r="36" spans="1:21" s="12" customFormat="1" x14ac:dyDescent="0.25">
      <c r="A36" s="215" t="s">
        <v>2387</v>
      </c>
      <c r="B36" s="64">
        <v>16.8</v>
      </c>
      <c r="C36" s="64">
        <v>13.16</v>
      </c>
      <c r="D36" s="64">
        <v>18.97</v>
      </c>
      <c r="E36" s="64">
        <v>7.1</v>
      </c>
      <c r="F36" s="64">
        <v>3.8</v>
      </c>
      <c r="G36" s="64">
        <v>118.13</v>
      </c>
      <c r="H36" s="64">
        <v>485.86</v>
      </c>
      <c r="I36" s="64">
        <v>4.5199999999999996</v>
      </c>
      <c r="J36" s="64">
        <v>0.39</v>
      </c>
      <c r="K36" s="64">
        <v>162.04</v>
      </c>
      <c r="L36" s="64">
        <v>22.1</v>
      </c>
      <c r="M36" s="64">
        <v>79.900000000000006</v>
      </c>
      <c r="N36" s="64">
        <v>107.2</v>
      </c>
      <c r="O36" s="64">
        <v>0</v>
      </c>
      <c r="P36" s="64">
        <v>0.8</v>
      </c>
      <c r="Q36" s="64">
        <v>9.61</v>
      </c>
      <c r="S36" s="198"/>
      <c r="T36" s="198"/>
      <c r="U36" s="198"/>
    </row>
    <row r="37" spans="1:21" s="12" customFormat="1" x14ac:dyDescent="0.25">
      <c r="A37" s="215" t="s">
        <v>2388</v>
      </c>
      <c r="B37" s="64">
        <v>17.32</v>
      </c>
      <c r="C37" s="64">
        <v>13.99</v>
      </c>
      <c r="D37" s="64">
        <v>19.82</v>
      </c>
      <c r="E37" s="64">
        <v>7.05</v>
      </c>
      <c r="F37" s="64">
        <v>4.0199999999999996</v>
      </c>
      <c r="G37" s="64">
        <v>118.13</v>
      </c>
      <c r="H37" s="64">
        <v>485.86</v>
      </c>
      <c r="I37" s="64">
        <v>4.5</v>
      </c>
      <c r="J37" s="64">
        <v>0.47</v>
      </c>
      <c r="K37" s="64">
        <v>329.89</v>
      </c>
      <c r="L37" s="64">
        <v>23.84</v>
      </c>
      <c r="M37" s="64">
        <v>72.010000000000005</v>
      </c>
      <c r="N37" s="64">
        <v>159.5</v>
      </c>
      <c r="O37" s="64">
        <v>0</v>
      </c>
      <c r="P37" s="64">
        <v>0.79</v>
      </c>
      <c r="Q37" s="64">
        <v>9.6</v>
      </c>
      <c r="S37" s="198"/>
      <c r="T37" s="198"/>
      <c r="U37" s="198"/>
    </row>
    <row r="38" spans="1:21" s="12" customFormat="1" x14ac:dyDescent="0.25">
      <c r="A38" s="215" t="s">
        <v>2389</v>
      </c>
      <c r="B38" s="64">
        <v>18.29</v>
      </c>
      <c r="C38" s="64">
        <v>14.2</v>
      </c>
      <c r="D38" s="64">
        <v>20.72</v>
      </c>
      <c r="E38" s="64">
        <v>7.08</v>
      </c>
      <c r="F38" s="64">
        <v>4.53</v>
      </c>
      <c r="G38" s="64">
        <v>118.13</v>
      </c>
      <c r="H38" s="64">
        <v>485.86</v>
      </c>
      <c r="I38" s="64">
        <v>5.4</v>
      </c>
      <c r="J38" s="64">
        <v>0.32</v>
      </c>
      <c r="K38" s="64">
        <v>100.26</v>
      </c>
      <c r="L38" s="64">
        <v>24.98</v>
      </c>
      <c r="M38" s="64">
        <v>67.56</v>
      </c>
      <c r="N38" s="64">
        <v>201.4</v>
      </c>
      <c r="O38" s="64">
        <v>0</v>
      </c>
      <c r="P38" s="64">
        <v>0.8</v>
      </c>
      <c r="Q38" s="64">
        <v>9.61</v>
      </c>
      <c r="S38" s="198"/>
      <c r="T38" s="198"/>
      <c r="U38" s="198"/>
    </row>
    <row r="39" spans="1:21" s="12" customFormat="1" x14ac:dyDescent="0.25">
      <c r="A39" s="215" t="s">
        <v>2390</v>
      </c>
      <c r="B39" s="64">
        <v>18.95</v>
      </c>
      <c r="C39" s="64">
        <v>13.87</v>
      </c>
      <c r="D39" s="64">
        <v>21.07</v>
      </c>
      <c r="E39" s="64">
        <v>6.91</v>
      </c>
      <c r="F39" s="64">
        <v>4.3099999999999996</v>
      </c>
      <c r="G39" s="64">
        <v>120.48</v>
      </c>
      <c r="H39" s="64">
        <v>589.30999999999995</v>
      </c>
      <c r="I39" s="64">
        <v>5.73</v>
      </c>
      <c r="J39" s="64">
        <v>1.08</v>
      </c>
      <c r="K39" s="64">
        <v>110.36</v>
      </c>
      <c r="L39" s="64">
        <v>24.59</v>
      </c>
      <c r="M39" s="64">
        <v>69.86</v>
      </c>
      <c r="N39" s="64">
        <v>249.4</v>
      </c>
      <c r="O39" s="64">
        <v>0</v>
      </c>
      <c r="P39" s="64">
        <v>0.8</v>
      </c>
      <c r="Q39" s="64">
        <v>9.6199999999999992</v>
      </c>
      <c r="S39" s="198"/>
      <c r="T39" s="198"/>
      <c r="U39" s="198"/>
    </row>
    <row r="40" spans="1:21" s="12" customFormat="1" x14ac:dyDescent="0.25">
      <c r="A40" s="215" t="s">
        <v>2391</v>
      </c>
      <c r="B40" s="64">
        <v>18.89</v>
      </c>
      <c r="C40" s="64">
        <v>14.18</v>
      </c>
      <c r="D40" s="64">
        <v>21.18</v>
      </c>
      <c r="E40" s="64">
        <v>7.65</v>
      </c>
      <c r="F40" s="64">
        <v>3.98</v>
      </c>
      <c r="G40" s="64">
        <v>120.68</v>
      </c>
      <c r="H40" s="64">
        <v>589.30999999999995</v>
      </c>
      <c r="I40" s="64">
        <v>5.71</v>
      </c>
      <c r="J40" s="64">
        <v>0.53</v>
      </c>
      <c r="K40" s="64">
        <v>6.38</v>
      </c>
      <c r="L40" s="64">
        <v>25.88</v>
      </c>
      <c r="M40" s="64">
        <v>65.5</v>
      </c>
      <c r="N40" s="64">
        <v>304.89999999999998</v>
      </c>
      <c r="O40" s="64">
        <v>0</v>
      </c>
      <c r="P40" s="64">
        <v>0.83</v>
      </c>
      <c r="Q40" s="64">
        <v>9.6300000000000008</v>
      </c>
      <c r="S40" s="198"/>
      <c r="T40" s="198"/>
      <c r="U40" s="198"/>
    </row>
    <row r="41" spans="1:21" s="12" customFormat="1" x14ac:dyDescent="0.25">
      <c r="A41" s="215" t="s">
        <v>2392</v>
      </c>
      <c r="B41" s="64">
        <v>19.8</v>
      </c>
      <c r="C41" s="64">
        <v>14.58</v>
      </c>
      <c r="D41" s="64">
        <v>22.12</v>
      </c>
      <c r="E41" s="64">
        <v>6.99</v>
      </c>
      <c r="F41" s="64">
        <v>4.3899999999999997</v>
      </c>
      <c r="G41" s="64">
        <v>120.68</v>
      </c>
      <c r="H41" s="64">
        <v>589.30999999999995</v>
      </c>
      <c r="I41" s="64">
        <v>6.2</v>
      </c>
      <c r="J41" s="64">
        <v>1.1200000000000001</v>
      </c>
      <c r="K41" s="64">
        <v>115.36</v>
      </c>
      <c r="L41" s="64">
        <v>26.76</v>
      </c>
      <c r="M41" s="64">
        <v>61.7</v>
      </c>
      <c r="N41" s="64">
        <v>363.7</v>
      </c>
      <c r="O41" s="64">
        <v>0</v>
      </c>
      <c r="P41" s="64">
        <v>0.88</v>
      </c>
      <c r="Q41" s="64">
        <v>9.6199999999999992</v>
      </c>
      <c r="S41" s="198"/>
      <c r="T41" s="198"/>
      <c r="U41" s="198"/>
    </row>
    <row r="42" spans="1:21" s="12" customFormat="1" x14ac:dyDescent="0.25">
      <c r="A42" s="215" t="s">
        <v>2393</v>
      </c>
      <c r="B42" s="64">
        <v>20.25</v>
      </c>
      <c r="C42" s="64">
        <v>14.91</v>
      </c>
      <c r="D42" s="64">
        <v>22.65</v>
      </c>
      <c r="E42" s="64">
        <v>6.78</v>
      </c>
      <c r="F42" s="64">
        <v>4.1500000000000004</v>
      </c>
      <c r="G42" s="64">
        <v>120.68</v>
      </c>
      <c r="H42" s="64">
        <v>589.30999999999995</v>
      </c>
      <c r="I42" s="64">
        <v>6.52</v>
      </c>
      <c r="J42" s="64">
        <v>0.89</v>
      </c>
      <c r="K42" s="64">
        <v>341.18</v>
      </c>
      <c r="L42" s="64">
        <v>28.27</v>
      </c>
      <c r="M42" s="64">
        <v>54.53</v>
      </c>
      <c r="N42" s="64">
        <v>420.8</v>
      </c>
      <c r="O42" s="64">
        <v>0</v>
      </c>
      <c r="P42" s="64">
        <v>0.85</v>
      </c>
      <c r="Q42" s="64">
        <v>9.6199999999999992</v>
      </c>
      <c r="S42" s="198"/>
      <c r="T42" s="198"/>
      <c r="U42" s="198"/>
    </row>
    <row r="43" spans="1:21" s="12" customFormat="1" x14ac:dyDescent="0.25">
      <c r="A43" s="215" t="s">
        <v>2394</v>
      </c>
      <c r="B43" s="64">
        <v>21.41</v>
      </c>
      <c r="C43" s="64">
        <v>16.350000000000001</v>
      </c>
      <c r="D43" s="64">
        <v>24.33</v>
      </c>
      <c r="E43" s="64">
        <v>7.17</v>
      </c>
      <c r="F43" s="64">
        <v>4.38</v>
      </c>
      <c r="G43" s="64">
        <v>116.59</v>
      </c>
      <c r="H43" s="64">
        <v>42.59</v>
      </c>
      <c r="I43" s="64">
        <v>6.72</v>
      </c>
      <c r="J43" s="64">
        <v>0.87</v>
      </c>
      <c r="K43" s="64">
        <v>333.6</v>
      </c>
      <c r="L43" s="64">
        <v>30.48</v>
      </c>
      <c r="M43" s="64">
        <v>48.23</v>
      </c>
      <c r="N43" s="64">
        <v>472</v>
      </c>
      <c r="O43" s="64">
        <v>0</v>
      </c>
      <c r="P43" s="64">
        <v>0.85</v>
      </c>
      <c r="Q43" s="64">
        <v>9.61</v>
      </c>
      <c r="S43" s="198"/>
      <c r="T43" s="198"/>
      <c r="U43" s="198"/>
    </row>
    <row r="44" spans="1:21" s="12" customFormat="1" x14ac:dyDescent="0.25">
      <c r="A44" s="215" t="s">
        <v>2395</v>
      </c>
      <c r="B44" s="64">
        <v>22.69</v>
      </c>
      <c r="C44" s="64">
        <v>16.39</v>
      </c>
      <c r="D44" s="64">
        <v>25.38</v>
      </c>
      <c r="E44" s="64">
        <v>7.38</v>
      </c>
      <c r="F44" s="64">
        <v>4.2699999999999996</v>
      </c>
      <c r="G44" s="64">
        <v>116.19</v>
      </c>
      <c r="H44" s="64">
        <v>42.59</v>
      </c>
      <c r="I44" s="64">
        <v>6.82</v>
      </c>
      <c r="J44" s="64">
        <v>0.91</v>
      </c>
      <c r="K44" s="64">
        <v>322.04000000000002</v>
      </c>
      <c r="L44" s="64">
        <v>28.51</v>
      </c>
      <c r="M44" s="64">
        <v>59.57</v>
      </c>
      <c r="N44" s="64">
        <v>516.1</v>
      </c>
      <c r="O44" s="64">
        <v>0</v>
      </c>
      <c r="P44" s="64">
        <v>0.84</v>
      </c>
      <c r="Q44" s="64">
        <v>9.61</v>
      </c>
      <c r="S44" s="198"/>
      <c r="T44" s="198"/>
      <c r="U44" s="198"/>
    </row>
    <row r="45" spans="1:21" s="12" customFormat="1" x14ac:dyDescent="0.25">
      <c r="A45" s="215" t="s">
        <v>2396</v>
      </c>
      <c r="B45" s="64">
        <v>22.56</v>
      </c>
      <c r="C45" s="64">
        <v>17.309999999999999</v>
      </c>
      <c r="D45" s="64">
        <v>25.75</v>
      </c>
      <c r="E45" s="64">
        <v>6.94</v>
      </c>
      <c r="F45" s="64">
        <v>4.07</v>
      </c>
      <c r="G45" s="64">
        <v>116.19</v>
      </c>
      <c r="H45" s="64">
        <v>42.59</v>
      </c>
      <c r="I45" s="64">
        <v>6.44</v>
      </c>
      <c r="J45" s="64">
        <v>0.82</v>
      </c>
      <c r="K45" s="64">
        <v>321.14999999999998</v>
      </c>
      <c r="L45" s="64">
        <v>28.56</v>
      </c>
      <c r="M45" s="64">
        <v>57.8</v>
      </c>
      <c r="N45" s="64">
        <v>551.9</v>
      </c>
      <c r="O45" s="64">
        <v>0</v>
      </c>
      <c r="P45" s="64">
        <v>0.81</v>
      </c>
      <c r="Q45" s="64">
        <v>9.6199999999999992</v>
      </c>
      <c r="S45" s="198"/>
      <c r="T45" s="198"/>
      <c r="U45" s="198"/>
    </row>
    <row r="46" spans="1:21" s="12" customFormat="1" x14ac:dyDescent="0.25">
      <c r="A46" s="215" t="s">
        <v>2397</v>
      </c>
      <c r="B46" s="64">
        <v>22.36</v>
      </c>
      <c r="C46" s="64">
        <v>16.03</v>
      </c>
      <c r="D46" s="64">
        <v>24.93</v>
      </c>
      <c r="E46" s="64">
        <v>6.94</v>
      </c>
      <c r="F46" s="64">
        <v>4.28</v>
      </c>
      <c r="G46" s="64">
        <v>116.19</v>
      </c>
      <c r="H46" s="64">
        <v>42.59</v>
      </c>
      <c r="I46" s="64">
        <v>6.68</v>
      </c>
      <c r="J46" s="64">
        <v>0.87</v>
      </c>
      <c r="K46" s="64">
        <v>103.97</v>
      </c>
      <c r="L46" s="64">
        <v>28.92</v>
      </c>
      <c r="M46" s="64">
        <v>49.6</v>
      </c>
      <c r="N46" s="64">
        <v>589</v>
      </c>
      <c r="O46" s="64">
        <v>0</v>
      </c>
      <c r="P46" s="64">
        <v>0.7</v>
      </c>
      <c r="Q46" s="64">
        <v>9.61</v>
      </c>
      <c r="S46" s="198"/>
      <c r="T46" s="198"/>
      <c r="U46" s="198"/>
    </row>
    <row r="47" spans="1:21" s="12" customFormat="1" x14ac:dyDescent="0.25">
      <c r="A47" s="215" t="s">
        <v>2398</v>
      </c>
      <c r="B47" s="64">
        <v>21.26</v>
      </c>
      <c r="C47" s="64">
        <v>15.59</v>
      </c>
      <c r="D47" s="64">
        <v>23.82</v>
      </c>
      <c r="E47" s="64">
        <v>6.52</v>
      </c>
      <c r="F47" s="64">
        <v>3.86</v>
      </c>
      <c r="G47" s="64">
        <v>100.84</v>
      </c>
      <c r="H47" s="211" t="s">
        <v>42</v>
      </c>
      <c r="I47" s="64">
        <v>5.96</v>
      </c>
      <c r="J47" s="64">
        <v>0.56000000000000005</v>
      </c>
      <c r="K47" s="64">
        <v>84.07</v>
      </c>
      <c r="L47" s="64">
        <v>29.8</v>
      </c>
      <c r="M47" s="64">
        <v>47.95</v>
      </c>
      <c r="N47" s="64">
        <v>619.29999999999995</v>
      </c>
      <c r="O47" s="64">
        <v>0</v>
      </c>
      <c r="P47" s="64">
        <v>0.78</v>
      </c>
      <c r="Q47" s="64">
        <v>9.61</v>
      </c>
      <c r="S47" s="198"/>
      <c r="T47" s="198"/>
      <c r="U47" s="198"/>
    </row>
    <row r="48" spans="1:21" s="12" customFormat="1" x14ac:dyDescent="0.25">
      <c r="A48" s="215" t="s">
        <v>2399</v>
      </c>
      <c r="B48" s="64">
        <v>20.02</v>
      </c>
      <c r="C48" s="64">
        <v>15.97</v>
      </c>
      <c r="D48" s="64">
        <v>23.02</v>
      </c>
      <c r="E48" s="64">
        <v>6.76</v>
      </c>
      <c r="F48" s="64">
        <v>4.0199999999999996</v>
      </c>
      <c r="G48" s="64">
        <v>99.55</v>
      </c>
      <c r="H48" s="211" t="s">
        <v>42</v>
      </c>
      <c r="I48" s="64">
        <v>5.84</v>
      </c>
      <c r="J48" s="64">
        <v>0.65</v>
      </c>
      <c r="K48" s="64">
        <v>1.34</v>
      </c>
      <c r="L48" s="64">
        <v>30.41</v>
      </c>
      <c r="M48" s="64">
        <v>46.33</v>
      </c>
      <c r="N48" s="64">
        <v>648.6</v>
      </c>
      <c r="O48" s="64">
        <v>0</v>
      </c>
      <c r="P48" s="64">
        <v>0.76</v>
      </c>
      <c r="Q48" s="64">
        <v>9.6199999999999992</v>
      </c>
      <c r="S48" s="198"/>
      <c r="T48" s="198"/>
      <c r="U48" s="198"/>
    </row>
    <row r="49" spans="1:21" s="12" customFormat="1" x14ac:dyDescent="0.25">
      <c r="A49" s="215" t="s">
        <v>2400</v>
      </c>
      <c r="B49" s="64">
        <v>18.829999999999998</v>
      </c>
      <c r="C49" s="64">
        <v>16.489999999999998</v>
      </c>
      <c r="D49" s="64">
        <v>22.34</v>
      </c>
      <c r="E49" s="64">
        <v>6.83</v>
      </c>
      <c r="F49" s="64">
        <v>4.12</v>
      </c>
      <c r="G49" s="64">
        <v>99.55</v>
      </c>
      <c r="H49" s="211" t="s">
        <v>42</v>
      </c>
      <c r="I49" s="64">
        <v>6.34</v>
      </c>
      <c r="J49" s="64">
        <v>0.52</v>
      </c>
      <c r="K49" s="64">
        <v>342.74</v>
      </c>
      <c r="L49" s="64">
        <v>31.83</v>
      </c>
      <c r="M49" s="64">
        <v>44.02</v>
      </c>
      <c r="N49" s="64">
        <v>671.7</v>
      </c>
      <c r="O49" s="64">
        <v>0</v>
      </c>
      <c r="P49" s="64">
        <v>0.73</v>
      </c>
      <c r="Q49" s="64">
        <v>9.6199999999999992</v>
      </c>
      <c r="S49" s="198"/>
      <c r="T49" s="198"/>
      <c r="U49" s="198"/>
    </row>
    <row r="50" spans="1:21" s="12" customFormat="1" x14ac:dyDescent="0.25">
      <c r="A50" s="215" t="s">
        <v>2401</v>
      </c>
      <c r="B50" s="64">
        <v>17.84</v>
      </c>
      <c r="C50" s="64">
        <v>16.75</v>
      </c>
      <c r="D50" s="64">
        <v>21.68</v>
      </c>
      <c r="E50" s="64">
        <v>6.5</v>
      </c>
      <c r="F50" s="64">
        <v>3.99</v>
      </c>
      <c r="G50" s="64">
        <v>99.55</v>
      </c>
      <c r="H50" s="211" t="s">
        <v>42</v>
      </c>
      <c r="I50" s="64">
        <v>6.54</v>
      </c>
      <c r="J50" s="64">
        <v>0.72</v>
      </c>
      <c r="K50" s="64">
        <v>329.84</v>
      </c>
      <c r="L50" s="64">
        <v>32.17</v>
      </c>
      <c r="M50" s="64">
        <v>44.03</v>
      </c>
      <c r="N50" s="64">
        <v>669.8</v>
      </c>
      <c r="O50" s="64">
        <v>0</v>
      </c>
      <c r="P50" s="64">
        <v>0.73</v>
      </c>
      <c r="Q50" s="64">
        <v>9.61</v>
      </c>
      <c r="S50" s="198"/>
      <c r="T50" s="198"/>
      <c r="U50" s="198"/>
    </row>
    <row r="51" spans="1:21" s="12" customFormat="1" x14ac:dyDescent="0.25">
      <c r="A51" s="215" t="s">
        <v>2402</v>
      </c>
      <c r="B51" s="64">
        <v>16.55</v>
      </c>
      <c r="C51" s="64">
        <v>17.82</v>
      </c>
      <c r="D51" s="64">
        <v>21.21</v>
      </c>
      <c r="E51" s="64">
        <v>6.62</v>
      </c>
      <c r="F51" s="64">
        <v>4.12</v>
      </c>
      <c r="G51" s="64">
        <v>81.569999999999993</v>
      </c>
      <c r="H51" s="211" t="s">
        <v>42</v>
      </c>
      <c r="I51" s="64">
        <v>6.35</v>
      </c>
      <c r="J51" s="64">
        <v>1.92</v>
      </c>
      <c r="K51" s="64">
        <v>336.74</v>
      </c>
      <c r="L51" s="64">
        <v>33.57</v>
      </c>
      <c r="M51" s="64">
        <v>41.09</v>
      </c>
      <c r="N51" s="64">
        <v>694.8</v>
      </c>
      <c r="O51" s="64">
        <v>0</v>
      </c>
      <c r="P51" s="64">
        <v>0.74</v>
      </c>
      <c r="Q51" s="64">
        <v>9.6199999999999992</v>
      </c>
      <c r="S51" s="198"/>
      <c r="T51" s="198"/>
      <c r="U51" s="198"/>
    </row>
    <row r="52" spans="1:21" s="12" customFormat="1" x14ac:dyDescent="0.25">
      <c r="A52" s="215" t="s">
        <v>2403</v>
      </c>
      <c r="B52" s="64">
        <v>14.74</v>
      </c>
      <c r="C52" s="64">
        <v>19.489999999999998</v>
      </c>
      <c r="D52" s="64">
        <v>20.62</v>
      </c>
      <c r="E52" s="64">
        <v>6.73</v>
      </c>
      <c r="F52" s="64">
        <v>4.6100000000000003</v>
      </c>
      <c r="G52" s="64">
        <v>80.05</v>
      </c>
      <c r="H52" s="211" t="s">
        <v>42</v>
      </c>
      <c r="I52" s="64">
        <v>6.9</v>
      </c>
      <c r="J52" s="64">
        <v>0.83</v>
      </c>
      <c r="K52" s="64">
        <v>355.05</v>
      </c>
      <c r="L52" s="64">
        <v>32.799999999999997</v>
      </c>
      <c r="M52" s="64">
        <v>42.55</v>
      </c>
      <c r="N52" s="64">
        <v>742.6</v>
      </c>
      <c r="O52" s="64">
        <v>0</v>
      </c>
      <c r="P52" s="64">
        <v>0.73</v>
      </c>
      <c r="Q52" s="64">
        <v>9.6199999999999992</v>
      </c>
      <c r="S52" s="198"/>
      <c r="T52" s="198"/>
      <c r="U52" s="198"/>
    </row>
    <row r="53" spans="1:21" s="12" customFormat="1" x14ac:dyDescent="0.25">
      <c r="A53" s="215" t="s">
        <v>2404</v>
      </c>
      <c r="B53" s="64">
        <v>12.86</v>
      </c>
      <c r="C53" s="64">
        <v>20.79</v>
      </c>
      <c r="D53" s="64">
        <v>19.79</v>
      </c>
      <c r="E53" s="64">
        <v>6.72</v>
      </c>
      <c r="F53" s="64">
        <v>4.13</v>
      </c>
      <c r="G53" s="64">
        <v>80.05</v>
      </c>
      <c r="H53" s="211" t="s">
        <v>42</v>
      </c>
      <c r="I53" s="64">
        <v>7.05</v>
      </c>
      <c r="J53" s="64">
        <v>0.76</v>
      </c>
      <c r="K53" s="64">
        <v>111.88</v>
      </c>
      <c r="L53" s="64">
        <v>30.07</v>
      </c>
      <c r="M53" s="64">
        <v>50.19</v>
      </c>
      <c r="N53" s="64">
        <v>739.1</v>
      </c>
      <c r="O53" s="64">
        <v>0</v>
      </c>
      <c r="P53" s="64">
        <v>0.72</v>
      </c>
      <c r="Q53" s="64">
        <v>9.6199999999999992</v>
      </c>
      <c r="S53" s="198"/>
      <c r="T53" s="198"/>
      <c r="U53" s="198"/>
    </row>
    <row r="54" spans="1:21" s="12" customFormat="1" x14ac:dyDescent="0.25">
      <c r="A54" s="215" t="s">
        <v>2405</v>
      </c>
      <c r="B54" s="64">
        <v>11.04</v>
      </c>
      <c r="C54" s="64">
        <v>21.13</v>
      </c>
      <c r="D54" s="64">
        <v>18.52</v>
      </c>
      <c r="E54" s="64">
        <v>6.52</v>
      </c>
      <c r="F54" s="64">
        <v>4.62</v>
      </c>
      <c r="G54" s="64">
        <v>80.05</v>
      </c>
      <c r="H54" s="211" t="s">
        <v>42</v>
      </c>
      <c r="I54" s="64">
        <v>6.55</v>
      </c>
      <c r="J54" s="64">
        <v>0.96</v>
      </c>
      <c r="K54" s="64">
        <v>331.48</v>
      </c>
      <c r="L54" s="64">
        <v>31.57</v>
      </c>
      <c r="M54" s="64">
        <v>45.22</v>
      </c>
      <c r="N54" s="64">
        <v>773.3</v>
      </c>
      <c r="O54" s="64">
        <v>0</v>
      </c>
      <c r="P54" s="64">
        <v>0.7</v>
      </c>
      <c r="Q54" s="64">
        <v>9.6199999999999992</v>
      </c>
      <c r="S54" s="198"/>
      <c r="T54" s="198"/>
      <c r="U54" s="198"/>
    </row>
    <row r="55" spans="1:21" s="12" customFormat="1" x14ac:dyDescent="0.25">
      <c r="A55" s="215" t="s">
        <v>2406</v>
      </c>
      <c r="B55" s="64">
        <v>9.91</v>
      </c>
      <c r="C55" s="64">
        <v>21.71</v>
      </c>
      <c r="D55" s="64">
        <v>17.920000000000002</v>
      </c>
      <c r="E55" s="64">
        <v>6.33</v>
      </c>
      <c r="F55" s="64">
        <v>4.5599999999999996</v>
      </c>
      <c r="G55" s="64">
        <v>81.459999999999994</v>
      </c>
      <c r="H55" s="211" t="s">
        <v>42</v>
      </c>
      <c r="I55" s="64">
        <v>6.67</v>
      </c>
      <c r="J55" s="64">
        <v>0.42</v>
      </c>
      <c r="K55" s="64">
        <v>344.21</v>
      </c>
      <c r="L55" s="64">
        <v>32.31</v>
      </c>
      <c r="M55" s="64">
        <v>42.9</v>
      </c>
      <c r="N55" s="64">
        <v>757.6</v>
      </c>
      <c r="O55" s="64">
        <v>0</v>
      </c>
      <c r="P55" s="64">
        <v>0.69</v>
      </c>
      <c r="Q55" s="64">
        <v>9.61</v>
      </c>
      <c r="S55" s="198"/>
      <c r="T55" s="198"/>
      <c r="U55" s="198"/>
    </row>
    <row r="56" spans="1:21" s="12" customFormat="1" x14ac:dyDescent="0.25">
      <c r="A56" s="215" t="s">
        <v>2407</v>
      </c>
      <c r="B56" s="64">
        <v>8.67</v>
      </c>
      <c r="C56" s="64">
        <v>21.64</v>
      </c>
      <c r="D56" s="64">
        <v>16.88</v>
      </c>
      <c r="E56" s="64">
        <v>5.86</v>
      </c>
      <c r="F56" s="64">
        <v>4.66</v>
      </c>
      <c r="G56" s="64">
        <v>81.58</v>
      </c>
      <c r="H56" s="211" t="s">
        <v>42</v>
      </c>
      <c r="I56" s="64">
        <v>6.55</v>
      </c>
      <c r="J56" s="64">
        <v>1.41</v>
      </c>
      <c r="K56" s="64">
        <v>337</v>
      </c>
      <c r="L56" s="64">
        <v>32.17</v>
      </c>
      <c r="M56" s="64">
        <v>42.49</v>
      </c>
      <c r="N56" s="64">
        <v>644.6</v>
      </c>
      <c r="O56" s="64">
        <v>0</v>
      </c>
      <c r="P56" s="64">
        <v>0.68</v>
      </c>
      <c r="Q56" s="64">
        <v>9.6199999999999992</v>
      </c>
      <c r="S56" s="198"/>
      <c r="T56" s="198"/>
      <c r="U56" s="198"/>
    </row>
    <row r="57" spans="1:21" s="12" customFormat="1" x14ac:dyDescent="0.25">
      <c r="A57" s="215" t="s">
        <v>2408</v>
      </c>
      <c r="B57" s="64">
        <v>7.41</v>
      </c>
      <c r="C57" s="64">
        <v>22.82</v>
      </c>
      <c r="D57" s="64">
        <v>16.489999999999998</v>
      </c>
      <c r="E57" s="64">
        <v>6.23</v>
      </c>
      <c r="F57" s="64">
        <v>4.93</v>
      </c>
      <c r="G57" s="64">
        <v>81.58</v>
      </c>
      <c r="H57" s="211" t="s">
        <v>42</v>
      </c>
      <c r="I57" s="64">
        <v>6.41</v>
      </c>
      <c r="J57" s="64">
        <v>1.24</v>
      </c>
      <c r="K57" s="64">
        <v>344.12</v>
      </c>
      <c r="L57" s="64">
        <v>32.520000000000003</v>
      </c>
      <c r="M57" s="64">
        <v>41.27</v>
      </c>
      <c r="N57" s="64">
        <v>546.4</v>
      </c>
      <c r="O57" s="64">
        <v>0</v>
      </c>
      <c r="P57" s="64">
        <v>0.68</v>
      </c>
      <c r="Q57" s="64">
        <v>9.6300000000000008</v>
      </c>
      <c r="S57" s="198"/>
      <c r="T57" s="198"/>
      <c r="U57" s="198"/>
    </row>
    <row r="58" spans="1:21" s="12" customFormat="1" x14ac:dyDescent="0.25">
      <c r="A58" s="215" t="s">
        <v>2409</v>
      </c>
      <c r="B58" s="64">
        <v>6.5</v>
      </c>
      <c r="C58" s="64">
        <v>22.95</v>
      </c>
      <c r="D58" s="64">
        <v>15.82</v>
      </c>
      <c r="E58" s="64">
        <v>6.1</v>
      </c>
      <c r="F58" s="64">
        <v>4.96</v>
      </c>
      <c r="G58" s="64">
        <v>81.58</v>
      </c>
      <c r="H58" s="211" t="s">
        <v>42</v>
      </c>
      <c r="I58" s="64">
        <v>6.49</v>
      </c>
      <c r="J58" s="64">
        <v>1.67</v>
      </c>
      <c r="K58" s="64">
        <v>336.88</v>
      </c>
      <c r="L58" s="64">
        <v>32.479999999999997</v>
      </c>
      <c r="M58" s="64">
        <v>41.43</v>
      </c>
      <c r="N58" s="64">
        <v>600.4</v>
      </c>
      <c r="O58" s="64">
        <v>0</v>
      </c>
      <c r="P58" s="64">
        <v>0.66</v>
      </c>
      <c r="Q58" s="64">
        <v>9.6199999999999992</v>
      </c>
      <c r="S58" s="198"/>
      <c r="T58" s="198"/>
      <c r="U58" s="198"/>
    </row>
    <row r="59" spans="1:21" s="12" customFormat="1" x14ac:dyDescent="0.25">
      <c r="A59" s="215" t="s">
        <v>2410</v>
      </c>
      <c r="B59" s="64">
        <v>5.5</v>
      </c>
      <c r="C59" s="64">
        <v>24.22</v>
      </c>
      <c r="D59" s="64">
        <v>15.68</v>
      </c>
      <c r="E59" s="64">
        <v>6.56</v>
      </c>
      <c r="F59" s="64">
        <v>5.49</v>
      </c>
      <c r="G59" s="64">
        <v>78.05</v>
      </c>
      <c r="H59" s="211" t="s">
        <v>42</v>
      </c>
      <c r="I59" s="64">
        <v>5.84</v>
      </c>
      <c r="J59" s="64">
        <v>0.84</v>
      </c>
      <c r="K59" s="64">
        <v>346</v>
      </c>
      <c r="L59" s="64">
        <v>32.729999999999997</v>
      </c>
      <c r="M59" s="64">
        <v>38.57</v>
      </c>
      <c r="N59" s="64">
        <v>580.4</v>
      </c>
      <c r="O59" s="64">
        <v>0</v>
      </c>
      <c r="P59" s="64">
        <v>0.62</v>
      </c>
      <c r="Q59" s="64">
        <v>9.6199999999999992</v>
      </c>
      <c r="S59" s="198"/>
      <c r="T59" s="198"/>
      <c r="U59" s="198"/>
    </row>
    <row r="60" spans="1:21" s="12" customFormat="1" x14ac:dyDescent="0.25">
      <c r="A60" s="215" t="s">
        <v>2411</v>
      </c>
      <c r="B60" s="64">
        <v>4.3099999999999996</v>
      </c>
      <c r="C60" s="64">
        <v>22.71</v>
      </c>
      <c r="D60" s="64">
        <v>13.94</v>
      </c>
      <c r="E60" s="64">
        <v>6.15</v>
      </c>
      <c r="F60" s="64">
        <v>5.45</v>
      </c>
      <c r="G60" s="64">
        <v>77.75</v>
      </c>
      <c r="H60" s="211" t="s">
        <v>42</v>
      </c>
      <c r="I60" s="64">
        <v>5.78</v>
      </c>
      <c r="J60" s="64">
        <v>0.51</v>
      </c>
      <c r="K60" s="64">
        <v>87.79</v>
      </c>
      <c r="L60" s="64">
        <v>30.88</v>
      </c>
      <c r="M60" s="64">
        <v>42.68</v>
      </c>
      <c r="N60" s="64">
        <v>561.1</v>
      </c>
      <c r="O60" s="64">
        <v>0</v>
      </c>
      <c r="P60" s="64">
        <v>0.6</v>
      </c>
      <c r="Q60" s="64">
        <v>9.6</v>
      </c>
      <c r="S60" s="198"/>
      <c r="T60" s="198"/>
      <c r="U60" s="198"/>
    </row>
    <row r="61" spans="1:21" s="12" customFormat="1" x14ac:dyDescent="0.25">
      <c r="A61" s="215" t="s">
        <v>2412</v>
      </c>
      <c r="B61" s="64">
        <v>3.34</v>
      </c>
      <c r="C61" s="64">
        <v>22.48</v>
      </c>
      <c r="D61" s="64">
        <v>13.05</v>
      </c>
      <c r="E61" s="64">
        <v>6.27</v>
      </c>
      <c r="F61" s="64">
        <v>5.34</v>
      </c>
      <c r="G61" s="64">
        <v>77.75</v>
      </c>
      <c r="H61" s="211" t="s">
        <v>42</v>
      </c>
      <c r="I61" s="64">
        <v>4.9000000000000004</v>
      </c>
      <c r="J61" s="64">
        <v>0.68</v>
      </c>
      <c r="K61" s="64">
        <v>338.77</v>
      </c>
      <c r="L61" s="64">
        <v>31.13</v>
      </c>
      <c r="M61" s="64">
        <v>41.17</v>
      </c>
      <c r="N61" s="64">
        <v>322.60000000000002</v>
      </c>
      <c r="O61" s="64">
        <v>0</v>
      </c>
      <c r="P61" s="64">
        <v>0.65</v>
      </c>
      <c r="Q61" s="64">
        <v>9.61</v>
      </c>
      <c r="S61" s="198"/>
      <c r="T61" s="198"/>
      <c r="U61" s="198"/>
    </row>
    <row r="62" spans="1:21" s="12" customFormat="1" x14ac:dyDescent="0.25">
      <c r="A62" s="215" t="s">
        <v>2413</v>
      </c>
      <c r="B62" s="64">
        <v>2.65</v>
      </c>
      <c r="C62" s="64">
        <v>20.51</v>
      </c>
      <c r="D62" s="64">
        <v>11.46</v>
      </c>
      <c r="E62" s="64">
        <v>6.34</v>
      </c>
      <c r="F62" s="64">
        <v>5.31</v>
      </c>
      <c r="G62" s="64">
        <v>77.75</v>
      </c>
      <c r="H62" s="211" t="s">
        <v>42</v>
      </c>
      <c r="I62" s="64">
        <v>4.8899999999999997</v>
      </c>
      <c r="J62" s="64">
        <v>0.57999999999999996</v>
      </c>
      <c r="K62" s="64">
        <v>357.18</v>
      </c>
      <c r="L62" s="64">
        <v>30.89</v>
      </c>
      <c r="M62" s="64">
        <v>42.06</v>
      </c>
      <c r="N62" s="64">
        <v>219</v>
      </c>
      <c r="O62" s="64">
        <v>0</v>
      </c>
      <c r="P62" s="64">
        <v>0.62</v>
      </c>
      <c r="Q62" s="64">
        <v>9.6199999999999992</v>
      </c>
      <c r="S62" s="198"/>
      <c r="T62" s="198"/>
      <c r="U62" s="198"/>
    </row>
    <row r="63" spans="1:21" s="12" customFormat="1" x14ac:dyDescent="0.25">
      <c r="A63" s="215" t="s">
        <v>2414</v>
      </c>
      <c r="B63" s="64">
        <v>2.2200000000000002</v>
      </c>
      <c r="C63" s="64">
        <v>18.760000000000002</v>
      </c>
      <c r="D63" s="64">
        <v>10.199999999999999</v>
      </c>
      <c r="E63" s="64">
        <v>6.83</v>
      </c>
      <c r="F63" s="64">
        <v>5.69</v>
      </c>
      <c r="G63" s="64">
        <v>76.77</v>
      </c>
      <c r="H63" s="64">
        <v>62.07</v>
      </c>
      <c r="I63" s="64">
        <v>4.8099999999999996</v>
      </c>
      <c r="J63" s="64">
        <v>1.67</v>
      </c>
      <c r="K63" s="64">
        <v>338.42</v>
      </c>
      <c r="L63" s="64">
        <v>30.93</v>
      </c>
      <c r="M63" s="64">
        <v>41.52</v>
      </c>
      <c r="N63" s="64">
        <v>204.4</v>
      </c>
      <c r="O63" s="64">
        <v>0</v>
      </c>
      <c r="P63" s="64">
        <v>0.65</v>
      </c>
      <c r="Q63" s="64">
        <v>9.61</v>
      </c>
      <c r="S63" s="198"/>
      <c r="T63" s="198"/>
      <c r="U63" s="198"/>
    </row>
    <row r="64" spans="1:21" s="12" customFormat="1" x14ac:dyDescent="0.25">
      <c r="A64" s="215" t="s">
        <v>2415</v>
      </c>
      <c r="B64" s="64">
        <v>2.21</v>
      </c>
      <c r="C64" s="64">
        <v>18.600000000000001</v>
      </c>
      <c r="D64" s="64">
        <v>10.11</v>
      </c>
      <c r="E64" s="64">
        <v>6.1</v>
      </c>
      <c r="F64" s="64">
        <v>6.49</v>
      </c>
      <c r="G64" s="64">
        <v>76.69</v>
      </c>
      <c r="H64" s="64">
        <v>62.07</v>
      </c>
      <c r="I64" s="64">
        <v>4.3899999999999997</v>
      </c>
      <c r="J64" s="64">
        <v>0.94</v>
      </c>
      <c r="K64" s="64">
        <v>347.2</v>
      </c>
      <c r="L64" s="64">
        <v>31.23</v>
      </c>
      <c r="M64" s="64">
        <v>38.700000000000003</v>
      </c>
      <c r="N64" s="64">
        <v>192.8</v>
      </c>
      <c r="O64" s="64">
        <v>0</v>
      </c>
      <c r="P64" s="64">
        <v>0.62</v>
      </c>
      <c r="Q64" s="64">
        <v>9.61</v>
      </c>
      <c r="S64" s="198"/>
      <c r="T64" s="198"/>
      <c r="U64" s="198"/>
    </row>
    <row r="65" spans="1:21" s="12" customFormat="1" x14ac:dyDescent="0.25">
      <c r="A65" s="215" t="s">
        <v>2416</v>
      </c>
      <c r="B65" s="64">
        <v>2.12</v>
      </c>
      <c r="C65" s="64">
        <v>18.260000000000002</v>
      </c>
      <c r="D65" s="64">
        <v>9.86</v>
      </c>
      <c r="E65" s="64">
        <v>5.78</v>
      </c>
      <c r="F65" s="64">
        <v>6.56</v>
      </c>
      <c r="G65" s="64">
        <v>76.69</v>
      </c>
      <c r="H65" s="64">
        <v>62.07</v>
      </c>
      <c r="I65" s="64">
        <v>4.91</v>
      </c>
      <c r="J65" s="64">
        <v>1.23</v>
      </c>
      <c r="K65" s="64">
        <v>333.55</v>
      </c>
      <c r="L65" s="64">
        <v>30.48</v>
      </c>
      <c r="M65" s="64">
        <v>40.53</v>
      </c>
      <c r="N65" s="64">
        <v>185.7</v>
      </c>
      <c r="O65" s="64">
        <v>0</v>
      </c>
      <c r="P65" s="64">
        <v>0.64</v>
      </c>
      <c r="Q65" s="64">
        <v>9.61</v>
      </c>
      <c r="S65" s="198"/>
      <c r="T65" s="198"/>
      <c r="U65" s="198"/>
    </row>
    <row r="66" spans="1:21" s="12" customFormat="1" x14ac:dyDescent="0.25">
      <c r="A66" s="215" t="s">
        <v>2417</v>
      </c>
      <c r="B66" s="64">
        <v>2.02</v>
      </c>
      <c r="C66" s="64">
        <v>17.93</v>
      </c>
      <c r="D66" s="64">
        <v>9.6199999999999992</v>
      </c>
      <c r="E66" s="64">
        <v>6.26</v>
      </c>
      <c r="F66" s="64">
        <v>5.68</v>
      </c>
      <c r="G66" s="64">
        <v>76.69</v>
      </c>
      <c r="H66" s="64">
        <v>62.07</v>
      </c>
      <c r="I66" s="64">
        <v>3.87</v>
      </c>
      <c r="J66" s="64">
        <v>1.5</v>
      </c>
      <c r="K66" s="64">
        <v>339.38</v>
      </c>
      <c r="L66" s="64">
        <v>30.46</v>
      </c>
      <c r="M66" s="64">
        <v>40.76</v>
      </c>
      <c r="N66" s="64">
        <v>176.5</v>
      </c>
      <c r="O66" s="64">
        <v>0</v>
      </c>
      <c r="P66" s="64">
        <v>0.64</v>
      </c>
      <c r="Q66" s="64">
        <v>9.6199999999999992</v>
      </c>
      <c r="S66" s="198"/>
      <c r="T66" s="198"/>
      <c r="U66" s="198"/>
    </row>
    <row r="67" spans="1:21" s="12" customFormat="1" x14ac:dyDescent="0.25">
      <c r="A67" s="215" t="s">
        <v>2418</v>
      </c>
      <c r="B67" s="64">
        <v>1.9</v>
      </c>
      <c r="C67" s="64">
        <v>17.63</v>
      </c>
      <c r="D67" s="64">
        <v>9.36</v>
      </c>
      <c r="E67" s="64">
        <v>6.26</v>
      </c>
      <c r="F67" s="64">
        <v>5.76</v>
      </c>
      <c r="G67" s="64">
        <v>66.13</v>
      </c>
      <c r="H67" s="64">
        <v>19.329999999999998</v>
      </c>
      <c r="I67" s="64">
        <v>3.89</v>
      </c>
      <c r="J67" s="64">
        <v>0.89</v>
      </c>
      <c r="K67" s="64">
        <v>338.48</v>
      </c>
      <c r="L67" s="64">
        <v>30.06</v>
      </c>
      <c r="M67" s="64">
        <v>44.11</v>
      </c>
      <c r="N67" s="64">
        <v>155.5</v>
      </c>
      <c r="O67" s="64">
        <v>0</v>
      </c>
      <c r="P67" s="64">
        <v>0.56999999999999995</v>
      </c>
      <c r="Q67" s="64">
        <v>9.6199999999999992</v>
      </c>
      <c r="S67" s="198"/>
      <c r="T67" s="198"/>
      <c r="U67" s="198"/>
    </row>
    <row r="68" spans="1:21" s="12" customFormat="1" x14ac:dyDescent="0.25">
      <c r="A68" s="215" t="s">
        <v>2419</v>
      </c>
      <c r="B68" s="64">
        <v>1.86</v>
      </c>
      <c r="C68" s="64">
        <v>16.89</v>
      </c>
      <c r="D68" s="64">
        <v>8.94</v>
      </c>
      <c r="E68" s="64">
        <v>5.72</v>
      </c>
      <c r="F68" s="64">
        <v>5.93</v>
      </c>
      <c r="G68" s="64">
        <v>65.239999999999995</v>
      </c>
      <c r="H68" s="64">
        <v>19.329999999999998</v>
      </c>
      <c r="I68" s="64">
        <v>4</v>
      </c>
      <c r="J68" s="64">
        <v>0.73</v>
      </c>
      <c r="K68" s="64">
        <v>327.79</v>
      </c>
      <c r="L68" s="64">
        <v>29.35</v>
      </c>
      <c r="M68" s="64">
        <v>47.63</v>
      </c>
      <c r="N68" s="64">
        <v>164.4</v>
      </c>
      <c r="O68" s="64">
        <v>0</v>
      </c>
      <c r="P68" s="64">
        <v>0.56000000000000005</v>
      </c>
      <c r="Q68" s="64">
        <v>9.6199999999999992</v>
      </c>
      <c r="S68" s="198"/>
      <c r="T68" s="198"/>
      <c r="U68" s="198"/>
    </row>
    <row r="69" spans="1:21" s="12" customFormat="1" x14ac:dyDescent="0.25">
      <c r="A69" s="215" t="s">
        <v>2420</v>
      </c>
      <c r="B69" s="64">
        <v>1.83</v>
      </c>
      <c r="C69" s="64">
        <v>16.36</v>
      </c>
      <c r="D69" s="64">
        <v>8.64</v>
      </c>
      <c r="E69" s="64">
        <v>5.96</v>
      </c>
      <c r="F69" s="64">
        <v>5.31</v>
      </c>
      <c r="G69" s="64">
        <v>65.239999999999995</v>
      </c>
      <c r="H69" s="64">
        <v>19.329999999999998</v>
      </c>
      <c r="I69" s="64">
        <v>3.51</v>
      </c>
      <c r="J69" s="64">
        <v>0.93</v>
      </c>
      <c r="K69" s="64">
        <v>341.42</v>
      </c>
      <c r="L69" s="64">
        <v>29.52</v>
      </c>
      <c r="M69" s="64">
        <v>43.92</v>
      </c>
      <c r="N69" s="64">
        <v>138.6</v>
      </c>
      <c r="O69" s="64">
        <v>0</v>
      </c>
      <c r="P69" s="64">
        <v>0.63</v>
      </c>
      <c r="Q69" s="64">
        <v>9.6199999999999992</v>
      </c>
      <c r="S69" s="198"/>
      <c r="T69" s="198"/>
      <c r="U69" s="198"/>
    </row>
    <row r="70" spans="1:21" s="12" customFormat="1" x14ac:dyDescent="0.25">
      <c r="A70" s="215" t="s">
        <v>2421</v>
      </c>
      <c r="B70" s="64">
        <v>1.99</v>
      </c>
      <c r="C70" s="64">
        <v>16.77</v>
      </c>
      <c r="D70" s="64">
        <v>8.98</v>
      </c>
      <c r="E70" s="64">
        <v>6.34</v>
      </c>
      <c r="F70" s="64">
        <v>5.05</v>
      </c>
      <c r="G70" s="64">
        <v>65.239999999999995</v>
      </c>
      <c r="H70" s="64">
        <v>19.329999999999998</v>
      </c>
      <c r="I70" s="64">
        <v>3.3</v>
      </c>
      <c r="J70" s="64">
        <v>1.01</v>
      </c>
      <c r="K70" s="64">
        <v>332.56</v>
      </c>
      <c r="L70" s="64">
        <v>29.47</v>
      </c>
      <c r="M70" s="64">
        <v>43.55</v>
      </c>
      <c r="N70" s="64">
        <v>126.8</v>
      </c>
      <c r="O70" s="64">
        <v>0</v>
      </c>
      <c r="P70" s="64">
        <v>0.6</v>
      </c>
      <c r="Q70" s="64">
        <v>9.6</v>
      </c>
      <c r="S70" s="198"/>
      <c r="T70" s="198"/>
      <c r="U70" s="198"/>
    </row>
    <row r="71" spans="1:21" s="12" customFormat="1" x14ac:dyDescent="0.25">
      <c r="A71" s="215" t="s">
        <v>2422</v>
      </c>
      <c r="B71" s="64">
        <v>2.2999999999999998</v>
      </c>
      <c r="C71" s="64">
        <v>17.25</v>
      </c>
      <c r="D71" s="64">
        <v>9.48</v>
      </c>
      <c r="E71" s="64">
        <v>6.06</v>
      </c>
      <c r="F71" s="64">
        <v>5.0599999999999996</v>
      </c>
      <c r="G71" s="64">
        <v>64.92</v>
      </c>
      <c r="H71" s="64">
        <v>1.1599999999999999</v>
      </c>
      <c r="I71" s="64">
        <v>4.08</v>
      </c>
      <c r="J71" s="64">
        <v>0.96</v>
      </c>
      <c r="K71" s="64">
        <v>329.99</v>
      </c>
      <c r="L71" s="64">
        <v>29.55</v>
      </c>
      <c r="M71" s="64">
        <v>44.48</v>
      </c>
      <c r="N71" s="64">
        <v>122.5</v>
      </c>
      <c r="O71" s="64">
        <v>0</v>
      </c>
      <c r="P71" s="64">
        <v>0.64</v>
      </c>
      <c r="Q71" s="64">
        <v>9.61</v>
      </c>
      <c r="S71" s="198"/>
      <c r="T71" s="198"/>
      <c r="U71" s="198"/>
    </row>
    <row r="72" spans="1:21" s="12" customFormat="1" x14ac:dyDescent="0.25">
      <c r="A72" s="215" t="s">
        <v>2423</v>
      </c>
      <c r="B72" s="64">
        <v>2.63</v>
      </c>
      <c r="C72" s="64">
        <v>17.57</v>
      </c>
      <c r="D72" s="64">
        <v>9.91</v>
      </c>
      <c r="E72" s="64">
        <v>4.9000000000000004</v>
      </c>
      <c r="F72" s="64">
        <v>5.25</v>
      </c>
      <c r="G72" s="64">
        <v>64.89</v>
      </c>
      <c r="H72" s="64">
        <v>1.1599999999999999</v>
      </c>
      <c r="I72" s="64">
        <v>3.75</v>
      </c>
      <c r="J72" s="64">
        <v>0.5</v>
      </c>
      <c r="K72" s="64">
        <v>11.75</v>
      </c>
      <c r="L72" s="64">
        <v>29.35</v>
      </c>
      <c r="M72" s="64">
        <v>45.7</v>
      </c>
      <c r="N72" s="64">
        <v>109.7</v>
      </c>
      <c r="O72" s="64">
        <v>0</v>
      </c>
      <c r="P72" s="64">
        <v>0.63</v>
      </c>
      <c r="Q72" s="64">
        <v>9.61</v>
      </c>
      <c r="S72" s="198"/>
      <c r="T72" s="198"/>
      <c r="U72" s="198"/>
    </row>
    <row r="73" spans="1:21" s="12" customFormat="1" x14ac:dyDescent="0.25">
      <c r="A73" s="215" t="s">
        <v>2424</v>
      </c>
      <c r="B73" s="64">
        <v>2.66</v>
      </c>
      <c r="C73" s="64">
        <v>18.04</v>
      </c>
      <c r="D73" s="64">
        <v>10.18</v>
      </c>
      <c r="E73" s="64">
        <v>4.7699999999999996</v>
      </c>
      <c r="F73" s="64">
        <v>5.09</v>
      </c>
      <c r="G73" s="64">
        <v>64.89</v>
      </c>
      <c r="H73" s="64">
        <v>1.1599999999999999</v>
      </c>
      <c r="I73" s="64">
        <v>3.63</v>
      </c>
      <c r="J73" s="64">
        <v>0.51</v>
      </c>
      <c r="K73" s="64">
        <v>357.31</v>
      </c>
      <c r="L73" s="64">
        <v>28.66</v>
      </c>
      <c r="M73" s="64">
        <v>47.79</v>
      </c>
      <c r="N73" s="64">
        <v>93.4</v>
      </c>
      <c r="O73" s="64">
        <v>0</v>
      </c>
      <c r="P73" s="64">
        <v>0.6</v>
      </c>
      <c r="Q73" s="64">
        <v>9.61</v>
      </c>
      <c r="S73" s="198"/>
      <c r="T73" s="198"/>
      <c r="U73" s="198"/>
    </row>
    <row r="74" spans="1:21" s="12" customFormat="1" x14ac:dyDescent="0.25">
      <c r="A74" s="215" t="s">
        <v>2425</v>
      </c>
      <c r="B74" s="64">
        <v>2.61</v>
      </c>
      <c r="C74" s="64">
        <v>17.36</v>
      </c>
      <c r="D74" s="64">
        <v>9.7799999999999994</v>
      </c>
      <c r="E74" s="64">
        <v>4.97</v>
      </c>
      <c r="F74" s="64">
        <v>4.75</v>
      </c>
      <c r="G74" s="64">
        <v>64.89</v>
      </c>
      <c r="H74" s="64">
        <v>1.1599999999999999</v>
      </c>
      <c r="I74" s="64">
        <v>3.98</v>
      </c>
      <c r="J74" s="64">
        <v>0.36</v>
      </c>
      <c r="K74" s="64">
        <v>3.41</v>
      </c>
      <c r="L74" s="64">
        <v>28.74</v>
      </c>
      <c r="M74" s="64">
        <v>47.74</v>
      </c>
      <c r="N74" s="64">
        <v>78.599999999999994</v>
      </c>
      <c r="O74" s="64">
        <v>0</v>
      </c>
      <c r="P74" s="64">
        <v>0.62</v>
      </c>
      <c r="Q74" s="64">
        <v>9.61</v>
      </c>
      <c r="S74" s="198"/>
      <c r="T74" s="198"/>
      <c r="U74" s="198"/>
    </row>
    <row r="75" spans="1:21" s="12" customFormat="1" x14ac:dyDescent="0.25">
      <c r="A75" s="215" t="s">
        <v>2426</v>
      </c>
      <c r="B75" s="64">
        <v>2.57</v>
      </c>
      <c r="C75" s="64">
        <v>18.190000000000001</v>
      </c>
      <c r="D75" s="64">
        <v>10.19</v>
      </c>
      <c r="E75" s="64">
        <v>5.15</v>
      </c>
      <c r="F75" s="64">
        <v>4.5</v>
      </c>
      <c r="G75" s="64">
        <v>60.53</v>
      </c>
      <c r="H75" s="64">
        <v>38.24</v>
      </c>
      <c r="I75" s="64">
        <v>3.73</v>
      </c>
      <c r="J75" s="64">
        <v>0.37</v>
      </c>
      <c r="K75" s="64">
        <v>338.76</v>
      </c>
      <c r="L75" s="64">
        <v>28.39</v>
      </c>
      <c r="M75" s="64">
        <v>49.45</v>
      </c>
      <c r="N75" s="64">
        <v>69.3</v>
      </c>
      <c r="O75" s="64">
        <v>0</v>
      </c>
      <c r="P75" s="64">
        <v>0.69</v>
      </c>
      <c r="Q75" s="64">
        <v>9.61</v>
      </c>
      <c r="S75" s="198"/>
      <c r="T75" s="198"/>
      <c r="U75" s="198"/>
    </row>
    <row r="76" spans="1:21" s="12" customFormat="1" x14ac:dyDescent="0.25">
      <c r="A76" s="215" t="s">
        <v>2427</v>
      </c>
      <c r="B76" s="64">
        <v>2.72</v>
      </c>
      <c r="C76" s="64">
        <v>17.71</v>
      </c>
      <c r="D76" s="64">
        <v>10.06</v>
      </c>
      <c r="E76" s="64">
        <v>5</v>
      </c>
      <c r="F76" s="64">
        <v>4.28</v>
      </c>
      <c r="G76" s="64">
        <v>60.16</v>
      </c>
      <c r="H76" s="64">
        <v>38.24</v>
      </c>
      <c r="I76" s="64">
        <v>3.18</v>
      </c>
      <c r="J76" s="64">
        <v>1.01</v>
      </c>
      <c r="K76" s="64">
        <v>337.05</v>
      </c>
      <c r="L76" s="64">
        <v>27.97</v>
      </c>
      <c r="M76" s="64">
        <v>56.31</v>
      </c>
      <c r="N76" s="64">
        <v>58.2</v>
      </c>
      <c r="O76" s="64">
        <v>0</v>
      </c>
      <c r="P76" s="64">
        <v>0.69</v>
      </c>
      <c r="Q76" s="64">
        <v>9.6199999999999992</v>
      </c>
      <c r="S76" s="198"/>
      <c r="T76" s="198"/>
      <c r="U76" s="198"/>
    </row>
    <row r="77" spans="1:21" s="12" customFormat="1" x14ac:dyDescent="0.25">
      <c r="A77" s="215" t="s">
        <v>2428</v>
      </c>
      <c r="B77" s="64">
        <v>3.06</v>
      </c>
      <c r="C77" s="64">
        <v>18.66</v>
      </c>
      <c r="D77" s="64">
        <v>10.82</v>
      </c>
      <c r="E77" s="64">
        <v>4.68</v>
      </c>
      <c r="F77" s="64">
        <v>4.41</v>
      </c>
      <c r="G77" s="64">
        <v>60.16</v>
      </c>
      <c r="H77" s="64">
        <v>38.24</v>
      </c>
      <c r="I77" s="64">
        <v>2.8</v>
      </c>
      <c r="J77" s="64">
        <v>1.28</v>
      </c>
      <c r="K77" s="64">
        <v>335.71</v>
      </c>
      <c r="L77" s="64">
        <v>27.16</v>
      </c>
      <c r="M77" s="64">
        <v>62.28</v>
      </c>
      <c r="N77" s="64">
        <v>45.7</v>
      </c>
      <c r="O77" s="64">
        <v>0</v>
      </c>
      <c r="P77" s="64">
        <v>0.67</v>
      </c>
      <c r="Q77" s="64">
        <v>9.61</v>
      </c>
      <c r="S77" s="198"/>
      <c r="T77" s="198"/>
      <c r="U77" s="198"/>
    </row>
    <row r="78" spans="1:21" s="12" customFormat="1" x14ac:dyDescent="0.25">
      <c r="A78" s="215" t="s">
        <v>2429</v>
      </c>
      <c r="B78" s="64">
        <v>4</v>
      </c>
      <c r="C78" s="64">
        <v>19.059999999999999</v>
      </c>
      <c r="D78" s="64">
        <v>11.79</v>
      </c>
      <c r="E78" s="64">
        <v>5.1100000000000003</v>
      </c>
      <c r="F78" s="64">
        <v>4.45</v>
      </c>
      <c r="G78" s="64">
        <v>60.16</v>
      </c>
      <c r="H78" s="64">
        <v>38.24</v>
      </c>
      <c r="I78" s="64">
        <v>4</v>
      </c>
      <c r="J78" s="64">
        <v>0.95</v>
      </c>
      <c r="K78" s="64">
        <v>334.68</v>
      </c>
      <c r="L78" s="64">
        <v>26.65</v>
      </c>
      <c r="M78" s="64">
        <v>66.08</v>
      </c>
      <c r="N78" s="64">
        <v>34.6</v>
      </c>
      <c r="O78" s="64">
        <v>0</v>
      </c>
      <c r="P78" s="64">
        <v>0.85</v>
      </c>
      <c r="Q78" s="64">
        <v>9.61</v>
      </c>
      <c r="S78" s="198"/>
      <c r="T78" s="198"/>
      <c r="U78" s="198"/>
    </row>
    <row r="79" spans="1:21" s="12" customFormat="1" x14ac:dyDescent="0.25">
      <c r="A79" s="215" t="s">
        <v>2430</v>
      </c>
      <c r="B79" s="64">
        <v>4.9800000000000004</v>
      </c>
      <c r="C79" s="64">
        <v>19.09</v>
      </c>
      <c r="D79" s="64">
        <v>12.59</v>
      </c>
      <c r="E79" s="64">
        <v>4.91</v>
      </c>
      <c r="F79" s="64">
        <v>4.0599999999999996</v>
      </c>
      <c r="G79" s="64">
        <v>60.85</v>
      </c>
      <c r="H79" s="64">
        <v>60.36</v>
      </c>
      <c r="I79" s="64">
        <v>4.67</v>
      </c>
      <c r="J79" s="64">
        <v>0.55000000000000004</v>
      </c>
      <c r="K79" s="64">
        <v>321.68</v>
      </c>
      <c r="L79" s="64">
        <v>26.21</v>
      </c>
      <c r="M79" s="64">
        <v>67.150000000000006</v>
      </c>
      <c r="N79" s="64">
        <v>28.7</v>
      </c>
      <c r="O79" s="64">
        <v>0</v>
      </c>
      <c r="P79" s="64">
        <v>0.99</v>
      </c>
      <c r="Q79" s="64">
        <v>9.61</v>
      </c>
      <c r="S79" s="198"/>
      <c r="T79" s="198"/>
      <c r="U79" s="198"/>
    </row>
    <row r="80" spans="1:21" s="12" customFormat="1" x14ac:dyDescent="0.25">
      <c r="A80" s="215" t="s">
        <v>2431</v>
      </c>
      <c r="B80" s="64">
        <v>5.66</v>
      </c>
      <c r="C80" s="64">
        <v>19.100000000000001</v>
      </c>
      <c r="D80" s="64">
        <v>13.14</v>
      </c>
      <c r="E80" s="64">
        <v>4.8499999999999996</v>
      </c>
      <c r="F80" s="64">
        <v>4.3899999999999997</v>
      </c>
      <c r="G80" s="64">
        <v>60.91</v>
      </c>
      <c r="H80" s="64">
        <v>60.36</v>
      </c>
      <c r="I80" s="64">
        <v>4.13</v>
      </c>
      <c r="J80" s="64">
        <v>0.42</v>
      </c>
      <c r="K80" s="64">
        <v>331.1</v>
      </c>
      <c r="L80" s="64">
        <v>25.95</v>
      </c>
      <c r="M80" s="64">
        <v>66.95</v>
      </c>
      <c r="N80" s="64">
        <v>26.3</v>
      </c>
      <c r="O80" s="64">
        <v>0</v>
      </c>
      <c r="P80" s="64">
        <v>1.07</v>
      </c>
      <c r="Q80" s="64">
        <v>9.6199999999999992</v>
      </c>
      <c r="S80" s="198"/>
      <c r="T80" s="198"/>
      <c r="U80" s="198"/>
    </row>
    <row r="81" spans="1:26" s="12" customFormat="1" x14ac:dyDescent="0.25">
      <c r="A81" s="215" t="s">
        <v>2432</v>
      </c>
      <c r="B81" s="64">
        <v>5.94</v>
      </c>
      <c r="C81" s="64">
        <v>19.010000000000002</v>
      </c>
      <c r="D81" s="64">
        <v>13.32</v>
      </c>
      <c r="E81" s="64">
        <v>4.4800000000000004</v>
      </c>
      <c r="F81" s="64">
        <v>4.45</v>
      </c>
      <c r="G81" s="64">
        <v>60.91</v>
      </c>
      <c r="H81" s="64">
        <v>60.36</v>
      </c>
      <c r="I81" s="64">
        <v>4.25</v>
      </c>
      <c r="J81" s="64">
        <v>0.28999999999999998</v>
      </c>
      <c r="K81" s="64">
        <v>326.35000000000002</v>
      </c>
      <c r="L81" s="64">
        <v>26.04</v>
      </c>
      <c r="M81" s="64">
        <v>61</v>
      </c>
      <c r="N81" s="64">
        <v>26.1</v>
      </c>
      <c r="O81" s="64">
        <v>0</v>
      </c>
      <c r="P81" s="64">
        <v>1.19</v>
      </c>
      <c r="Q81" s="64">
        <v>9.6199999999999992</v>
      </c>
      <c r="S81" s="198"/>
      <c r="T81" s="198"/>
      <c r="U81" s="198"/>
    </row>
    <row r="82" spans="1:26" s="12" customFormat="1" x14ac:dyDescent="0.25">
      <c r="A82" s="215" t="s">
        <v>2433</v>
      </c>
      <c r="B82" s="64">
        <v>6.5</v>
      </c>
      <c r="C82" s="64">
        <v>18.98</v>
      </c>
      <c r="D82" s="64">
        <v>13.75</v>
      </c>
      <c r="E82" s="64">
        <v>4.7300000000000004</v>
      </c>
      <c r="F82" s="64">
        <v>3.8</v>
      </c>
      <c r="G82" s="64">
        <v>60.91</v>
      </c>
      <c r="H82" s="64">
        <v>60.36</v>
      </c>
      <c r="I82" s="64">
        <v>4.7300000000000004</v>
      </c>
      <c r="J82" s="64">
        <v>0.41</v>
      </c>
      <c r="K82" s="64">
        <v>340.66</v>
      </c>
      <c r="L82" s="64">
        <v>25.94</v>
      </c>
      <c r="M82" s="64">
        <v>63.53</v>
      </c>
      <c r="N82" s="64">
        <v>26.2</v>
      </c>
      <c r="O82" s="64">
        <v>0</v>
      </c>
      <c r="P82" s="64">
        <v>1.49</v>
      </c>
      <c r="Q82" s="64">
        <v>9.59</v>
      </c>
      <c r="S82" s="198"/>
      <c r="T82" s="198"/>
      <c r="U82" s="198"/>
    </row>
    <row r="83" spans="1:26" s="12" customFormat="1" x14ac:dyDescent="0.25">
      <c r="A83" s="215" t="s">
        <v>2434</v>
      </c>
      <c r="B83" s="64">
        <v>7.64</v>
      </c>
      <c r="C83" s="64">
        <v>18.86</v>
      </c>
      <c r="D83" s="64">
        <v>14.6</v>
      </c>
      <c r="E83" s="64">
        <v>4.91</v>
      </c>
      <c r="F83" s="64">
        <v>3.47</v>
      </c>
      <c r="G83" s="64">
        <v>62.67</v>
      </c>
      <c r="H83" s="64">
        <v>61.99</v>
      </c>
      <c r="I83" s="64">
        <v>5.03</v>
      </c>
      <c r="J83" s="64">
        <v>0.7</v>
      </c>
      <c r="K83" s="64">
        <v>346.05</v>
      </c>
      <c r="L83" s="64">
        <v>25.72</v>
      </c>
      <c r="M83" s="64">
        <v>64.88</v>
      </c>
      <c r="N83" s="64">
        <v>26</v>
      </c>
      <c r="O83" s="64">
        <v>0</v>
      </c>
      <c r="P83" s="64">
        <v>1.56</v>
      </c>
      <c r="Q83" s="64">
        <v>9.6</v>
      </c>
      <c r="S83" s="198"/>
      <c r="T83" s="198"/>
      <c r="U83" s="198"/>
    </row>
    <row r="84" spans="1:26" s="12" customFormat="1" x14ac:dyDescent="0.25">
      <c r="A84" s="215" t="s">
        <v>2435</v>
      </c>
      <c r="B84" s="64">
        <v>9.73</v>
      </c>
      <c r="C84" s="64">
        <v>18.61</v>
      </c>
      <c r="D84" s="64">
        <v>16.149999999999999</v>
      </c>
      <c r="E84" s="64">
        <v>5.46</v>
      </c>
      <c r="F84" s="64">
        <v>4.1500000000000004</v>
      </c>
      <c r="G84" s="64">
        <v>62.82</v>
      </c>
      <c r="H84" s="64">
        <v>61.99</v>
      </c>
      <c r="I84" s="64">
        <v>5.26</v>
      </c>
      <c r="J84" s="64">
        <v>0.46</v>
      </c>
      <c r="K84" s="64">
        <v>345.61</v>
      </c>
      <c r="L84" s="64">
        <v>25.32</v>
      </c>
      <c r="M84" s="64">
        <v>66.930000000000007</v>
      </c>
      <c r="N84" s="64">
        <v>26.2</v>
      </c>
      <c r="O84" s="64">
        <v>0</v>
      </c>
      <c r="P84" s="64">
        <v>1.62</v>
      </c>
      <c r="Q84" s="64">
        <v>9.6199999999999992</v>
      </c>
      <c r="S84" s="198"/>
      <c r="T84" s="198"/>
      <c r="U84" s="198"/>
    </row>
    <row r="85" spans="1:26" s="12" customFormat="1" x14ac:dyDescent="0.25">
      <c r="A85" s="215" t="s">
        <v>2436</v>
      </c>
      <c r="B85" s="64">
        <v>11.31</v>
      </c>
      <c r="C85" s="64">
        <v>18.57</v>
      </c>
      <c r="D85" s="64">
        <v>17.39</v>
      </c>
      <c r="E85" s="64">
        <v>5.0999999999999996</v>
      </c>
      <c r="F85" s="64">
        <v>3.6</v>
      </c>
      <c r="G85" s="64">
        <v>62.82</v>
      </c>
      <c r="H85" s="64">
        <v>61.99</v>
      </c>
      <c r="I85" s="64">
        <v>5.82</v>
      </c>
      <c r="J85" s="64">
        <v>0.62</v>
      </c>
      <c r="K85" s="64">
        <v>338.81</v>
      </c>
      <c r="L85" s="64">
        <v>25.09</v>
      </c>
      <c r="M85" s="64">
        <v>68.849999999999994</v>
      </c>
      <c r="N85" s="64">
        <v>26</v>
      </c>
      <c r="O85" s="64">
        <v>0</v>
      </c>
      <c r="P85" s="64">
        <v>1.73</v>
      </c>
      <c r="Q85" s="64">
        <v>9.6</v>
      </c>
      <c r="S85" s="198"/>
      <c r="T85" s="198"/>
      <c r="U85" s="198"/>
    </row>
    <row r="86" spans="1:26" s="12" customFormat="1" x14ac:dyDescent="0.25">
      <c r="A86" s="215" t="s">
        <v>2437</v>
      </c>
      <c r="B86" s="64">
        <v>13.05</v>
      </c>
      <c r="C86" s="64">
        <v>18.73</v>
      </c>
      <c r="D86" s="64">
        <v>18.87</v>
      </c>
      <c r="E86" s="64">
        <v>5.21</v>
      </c>
      <c r="F86" s="64">
        <v>3.8</v>
      </c>
      <c r="G86" s="64">
        <v>62.82</v>
      </c>
      <c r="H86" s="64">
        <v>61.99</v>
      </c>
      <c r="I86" s="64">
        <v>6.18</v>
      </c>
      <c r="J86" s="64">
        <v>0.49</v>
      </c>
      <c r="K86" s="64">
        <v>330.92</v>
      </c>
      <c r="L86" s="64">
        <v>24.86</v>
      </c>
      <c r="M86" s="64">
        <v>70.459999999999994</v>
      </c>
      <c r="N86" s="64">
        <v>26.2</v>
      </c>
      <c r="O86" s="64">
        <v>0</v>
      </c>
      <c r="P86" s="64">
        <v>1.42</v>
      </c>
      <c r="Q86" s="64">
        <v>9.61</v>
      </c>
      <c r="S86" s="198"/>
      <c r="T86" s="198"/>
      <c r="U86" s="198"/>
    </row>
    <row r="87" spans="1:26" s="12" customFormat="1" x14ac:dyDescent="0.25">
      <c r="A87" s="215" t="s">
        <v>2438</v>
      </c>
      <c r="B87" s="64">
        <v>15.29</v>
      </c>
      <c r="C87" s="64">
        <v>19.16</v>
      </c>
      <c r="D87" s="64">
        <v>20.89</v>
      </c>
      <c r="E87" s="64">
        <v>5.69</v>
      </c>
      <c r="F87" s="64">
        <v>3.3</v>
      </c>
      <c r="G87" s="64">
        <v>73.97</v>
      </c>
      <c r="H87" s="64">
        <v>41.04</v>
      </c>
      <c r="I87" s="64">
        <v>6.83</v>
      </c>
      <c r="J87" s="64">
        <v>0.43</v>
      </c>
      <c r="K87" s="64">
        <v>329</v>
      </c>
      <c r="L87" s="64">
        <v>24.69</v>
      </c>
      <c r="M87" s="64">
        <v>71.17</v>
      </c>
      <c r="N87" s="64">
        <v>26.1</v>
      </c>
      <c r="O87" s="64">
        <v>0</v>
      </c>
      <c r="P87" s="64">
        <v>1.98</v>
      </c>
      <c r="Q87" s="64">
        <v>9.61</v>
      </c>
      <c r="S87" s="198"/>
      <c r="T87" s="198"/>
      <c r="U87" s="198"/>
    </row>
    <row r="88" spans="1:26" s="12" customFormat="1" x14ac:dyDescent="0.25">
      <c r="A88" s="215" t="s">
        <v>2439</v>
      </c>
      <c r="B88" s="64">
        <v>18.850000000000001</v>
      </c>
      <c r="C88" s="64">
        <v>19.11</v>
      </c>
      <c r="D88" s="64">
        <v>23.73</v>
      </c>
      <c r="E88" s="64">
        <v>5.07</v>
      </c>
      <c r="F88" s="64">
        <v>4.2</v>
      </c>
      <c r="G88" s="64">
        <v>74.91</v>
      </c>
      <c r="H88" s="64">
        <v>41.04</v>
      </c>
      <c r="I88" s="64">
        <v>7.28</v>
      </c>
      <c r="J88" s="64">
        <v>0.48</v>
      </c>
      <c r="K88" s="64">
        <v>320.13</v>
      </c>
      <c r="L88" s="64">
        <v>24.51</v>
      </c>
      <c r="M88" s="64">
        <v>75.709999999999994</v>
      </c>
      <c r="N88" s="64">
        <v>26.2</v>
      </c>
      <c r="O88" s="64">
        <v>0</v>
      </c>
      <c r="P88" s="64">
        <v>1.72</v>
      </c>
      <c r="Q88" s="64">
        <v>9.61</v>
      </c>
      <c r="S88" s="198"/>
      <c r="T88" s="198"/>
      <c r="U88" s="198"/>
    </row>
    <row r="89" spans="1:26" s="12" customFormat="1" x14ac:dyDescent="0.25">
      <c r="A89" s="215" t="s">
        <v>2440</v>
      </c>
      <c r="B89" s="64">
        <v>22.04</v>
      </c>
      <c r="C89" s="64">
        <v>20</v>
      </c>
      <c r="D89" s="64">
        <v>26.75</v>
      </c>
      <c r="E89" s="64">
        <v>5.97</v>
      </c>
      <c r="F89" s="64">
        <v>3.93</v>
      </c>
      <c r="G89" s="64">
        <v>74.91</v>
      </c>
      <c r="H89" s="64">
        <v>41.04</v>
      </c>
      <c r="I89" s="64">
        <v>9.5299999999999994</v>
      </c>
      <c r="J89" s="64">
        <v>0.45</v>
      </c>
      <c r="K89" s="64">
        <v>320.68</v>
      </c>
      <c r="L89" s="64">
        <v>24.37</v>
      </c>
      <c r="M89" s="64">
        <v>74.53</v>
      </c>
      <c r="N89" s="64">
        <v>25.9</v>
      </c>
      <c r="O89" s="64">
        <v>0</v>
      </c>
      <c r="P89" s="64">
        <v>1.77</v>
      </c>
      <c r="Q89" s="64">
        <v>9.6199999999999992</v>
      </c>
      <c r="S89" s="198"/>
      <c r="T89" s="198"/>
      <c r="U89" s="198"/>
    </row>
    <row r="90" spans="1:26" s="12" customFormat="1" x14ac:dyDescent="0.25">
      <c r="A90" s="215" t="s">
        <v>2441</v>
      </c>
      <c r="B90" s="64">
        <v>24.47</v>
      </c>
      <c r="C90" s="64">
        <v>19.510000000000002</v>
      </c>
      <c r="D90" s="64">
        <v>28.44</v>
      </c>
      <c r="E90" s="64">
        <v>5.84</v>
      </c>
      <c r="F90" s="64">
        <v>4.71</v>
      </c>
      <c r="G90" s="64">
        <v>74.91</v>
      </c>
      <c r="H90" s="64">
        <v>41.04</v>
      </c>
      <c r="I90" s="64">
        <v>8.65</v>
      </c>
      <c r="J90" s="64">
        <v>0.26</v>
      </c>
      <c r="K90" s="64">
        <v>353.49</v>
      </c>
      <c r="L90" s="64">
        <v>24.4</v>
      </c>
      <c r="M90" s="64">
        <v>72.34</v>
      </c>
      <c r="N90" s="64">
        <v>26</v>
      </c>
      <c r="O90" s="64">
        <v>0</v>
      </c>
      <c r="P90" s="64">
        <v>1.58</v>
      </c>
      <c r="Q90" s="64">
        <v>9.6</v>
      </c>
      <c r="S90" s="198"/>
      <c r="T90" s="198"/>
      <c r="U90" s="198"/>
    </row>
    <row r="91" spans="1:26" s="12" customFormat="1" x14ac:dyDescent="0.25">
      <c r="A91" s="215" t="s">
        <v>2442</v>
      </c>
      <c r="B91" s="64">
        <v>25.9</v>
      </c>
      <c r="C91" s="64">
        <v>20.27</v>
      </c>
      <c r="D91" s="64">
        <v>29.99</v>
      </c>
      <c r="E91" s="64">
        <v>6.58</v>
      </c>
      <c r="F91" s="64">
        <v>3.2</v>
      </c>
      <c r="G91" s="64">
        <v>96.82</v>
      </c>
      <c r="H91" s="64">
        <v>32.76</v>
      </c>
      <c r="I91" s="64">
        <v>8.31</v>
      </c>
      <c r="J91" s="64">
        <v>0.46</v>
      </c>
      <c r="K91" s="64">
        <v>301.29000000000002</v>
      </c>
      <c r="L91" s="64">
        <v>24.23</v>
      </c>
      <c r="M91" s="64">
        <v>74.260000000000005</v>
      </c>
      <c r="N91" s="64">
        <v>26.1</v>
      </c>
      <c r="O91" s="64">
        <v>0</v>
      </c>
      <c r="P91" s="64">
        <v>2.15</v>
      </c>
      <c r="Q91" s="64">
        <v>9.61</v>
      </c>
      <c r="S91" s="198"/>
      <c r="T91" s="198"/>
      <c r="U91" s="198"/>
    </row>
    <row r="92" spans="1:26" s="12" customFormat="1" x14ac:dyDescent="0.25">
      <c r="A92" s="215" t="s">
        <v>2443</v>
      </c>
      <c r="B92" s="64">
        <v>28.35</v>
      </c>
      <c r="C92" s="64">
        <v>20.29</v>
      </c>
      <c r="D92" s="64">
        <v>31.96</v>
      </c>
      <c r="E92" s="64">
        <v>6.55</v>
      </c>
      <c r="F92" s="64">
        <v>3.91</v>
      </c>
      <c r="G92" s="64">
        <v>98.67</v>
      </c>
      <c r="H92" s="64">
        <v>32.76</v>
      </c>
      <c r="I92" s="64">
        <v>7.98</v>
      </c>
      <c r="J92" s="64">
        <v>0.5</v>
      </c>
      <c r="K92" s="64">
        <v>14.94</v>
      </c>
      <c r="L92" s="64">
        <v>24</v>
      </c>
      <c r="M92" s="64">
        <v>76.09</v>
      </c>
      <c r="N92" s="64">
        <v>26.1</v>
      </c>
      <c r="O92" s="64">
        <v>0</v>
      </c>
      <c r="P92" s="64">
        <v>1.75</v>
      </c>
      <c r="Q92" s="64">
        <v>9.6</v>
      </c>
      <c r="S92" s="198"/>
      <c r="T92" s="198"/>
      <c r="U92" s="198"/>
    </row>
    <row r="93" spans="1:26" s="12" customFormat="1" x14ac:dyDescent="0.25">
      <c r="A93" s="215" t="s">
        <v>2444</v>
      </c>
      <c r="B93" s="64">
        <v>30.95</v>
      </c>
      <c r="C93" s="64">
        <v>19.86</v>
      </c>
      <c r="D93" s="64">
        <v>33.81</v>
      </c>
      <c r="E93" s="64">
        <v>6.34</v>
      </c>
      <c r="F93" s="64">
        <v>4.3</v>
      </c>
      <c r="G93" s="64">
        <v>98.67</v>
      </c>
      <c r="H93" s="64">
        <v>32.76</v>
      </c>
      <c r="I93" s="64">
        <v>8.17</v>
      </c>
      <c r="J93" s="64">
        <v>0.49</v>
      </c>
      <c r="K93" s="64">
        <v>0.9</v>
      </c>
      <c r="L93" s="64">
        <v>23.93</v>
      </c>
      <c r="M93" s="64">
        <v>77</v>
      </c>
      <c r="N93" s="64">
        <v>26.1</v>
      </c>
      <c r="O93" s="64">
        <v>0</v>
      </c>
      <c r="P93" s="64">
        <v>2.0299999999999998</v>
      </c>
      <c r="Q93" s="64">
        <v>9.6199999999999992</v>
      </c>
      <c r="S93" s="198"/>
      <c r="T93" s="198"/>
      <c r="U93" s="198"/>
    </row>
    <row r="94" spans="1:26" s="12" customFormat="1" x14ac:dyDescent="0.25">
      <c r="A94" s="215" t="s">
        <v>2445</v>
      </c>
      <c r="B94" s="64">
        <v>32.020000000000003</v>
      </c>
      <c r="C94" s="64">
        <v>20.350000000000001</v>
      </c>
      <c r="D94" s="64">
        <v>34.93</v>
      </c>
      <c r="E94" s="64">
        <v>6.32</v>
      </c>
      <c r="F94" s="64">
        <v>4.45</v>
      </c>
      <c r="G94" s="64">
        <v>98.67</v>
      </c>
      <c r="H94" s="64">
        <v>32.76</v>
      </c>
      <c r="I94" s="64">
        <v>8.23</v>
      </c>
      <c r="J94" s="64">
        <v>0.35</v>
      </c>
      <c r="K94" s="64">
        <v>336.98</v>
      </c>
      <c r="L94" s="64">
        <v>23.87</v>
      </c>
      <c r="M94" s="64">
        <v>78.39</v>
      </c>
      <c r="N94" s="64">
        <v>26</v>
      </c>
      <c r="O94" s="64">
        <v>0</v>
      </c>
      <c r="P94" s="64">
        <v>2.2599999999999998</v>
      </c>
      <c r="Q94" s="64">
        <v>9.6199999999999992</v>
      </c>
      <c r="S94" s="198"/>
      <c r="T94" s="198"/>
      <c r="U94" s="198"/>
    </row>
    <row r="95" spans="1:26" s="12" customFormat="1" x14ac:dyDescent="0.25">
      <c r="A95" s="215" t="s">
        <v>2446</v>
      </c>
      <c r="B95" s="64">
        <v>35.25</v>
      </c>
      <c r="C95" s="64">
        <v>19.100000000000001</v>
      </c>
      <c r="D95" s="64">
        <v>36.869999999999997</v>
      </c>
      <c r="E95" s="64">
        <v>6.87</v>
      </c>
      <c r="F95" s="64">
        <v>3.49</v>
      </c>
      <c r="G95" s="64">
        <v>123.64</v>
      </c>
      <c r="H95" s="64">
        <v>251.7</v>
      </c>
      <c r="I95" s="64">
        <v>8.1999999999999993</v>
      </c>
      <c r="J95" s="64">
        <v>0.37</v>
      </c>
      <c r="K95" s="64">
        <v>339.35</v>
      </c>
      <c r="L95" s="64">
        <v>23.66</v>
      </c>
      <c r="M95" s="64">
        <v>79.52</v>
      </c>
      <c r="N95" s="64">
        <v>26.1</v>
      </c>
      <c r="O95" s="64">
        <v>0</v>
      </c>
      <c r="P95" s="64">
        <v>2.19</v>
      </c>
      <c r="Q95" s="64">
        <v>9.6300000000000008</v>
      </c>
      <c r="S95" s="198"/>
      <c r="T95" s="198"/>
      <c r="U95" s="198"/>
    </row>
    <row r="96" spans="1:26" s="12" customFormat="1" x14ac:dyDescent="0.25">
      <c r="A96" s="215" t="s">
        <v>2447</v>
      </c>
      <c r="B96" s="64">
        <v>37.43</v>
      </c>
      <c r="C96" s="64">
        <v>17.89</v>
      </c>
      <c r="D96" s="64">
        <v>37.99</v>
      </c>
      <c r="E96" s="64">
        <v>6.52</v>
      </c>
      <c r="F96" s="64">
        <v>4.07</v>
      </c>
      <c r="G96" s="64">
        <v>125.74</v>
      </c>
      <c r="H96" s="64">
        <v>251.7</v>
      </c>
      <c r="I96" s="64">
        <v>9.02</v>
      </c>
      <c r="J96" s="64">
        <v>0.48</v>
      </c>
      <c r="K96" s="64">
        <v>271.08999999999997</v>
      </c>
      <c r="L96" s="64">
        <v>23.53</v>
      </c>
      <c r="M96" s="64">
        <v>79.56</v>
      </c>
      <c r="N96" s="64">
        <v>26.1</v>
      </c>
      <c r="O96" s="64">
        <v>0</v>
      </c>
      <c r="P96" s="64">
        <v>2.13</v>
      </c>
      <c r="Q96" s="64">
        <v>9.61</v>
      </c>
      <c r="S96" s="198"/>
      <c r="T96" s="198"/>
      <c r="U96" s="198"/>
      <c r="Z96" s="109"/>
    </row>
    <row r="97" spans="1:33" s="12" customFormat="1" x14ac:dyDescent="0.25">
      <c r="A97" s="215" t="s">
        <v>2448</v>
      </c>
      <c r="B97" s="64">
        <v>38.42</v>
      </c>
      <c r="C97" s="64">
        <v>17.05</v>
      </c>
      <c r="D97" s="64">
        <v>38.340000000000003</v>
      </c>
      <c r="E97" s="64">
        <v>6.36</v>
      </c>
      <c r="F97" s="64">
        <v>4.22</v>
      </c>
      <c r="G97" s="64">
        <v>125.74</v>
      </c>
      <c r="H97" s="64">
        <v>251.7</v>
      </c>
      <c r="I97" s="64">
        <v>8.5399999999999991</v>
      </c>
      <c r="J97" s="64">
        <v>0.53</v>
      </c>
      <c r="K97" s="64">
        <v>319.08</v>
      </c>
      <c r="L97" s="64">
        <v>23.49</v>
      </c>
      <c r="M97" s="64">
        <v>80.59</v>
      </c>
      <c r="N97" s="64">
        <v>25.4</v>
      </c>
      <c r="O97" s="64">
        <v>0</v>
      </c>
      <c r="P97" s="64">
        <v>2.0099999999999998</v>
      </c>
      <c r="Q97" s="64">
        <v>9.61</v>
      </c>
      <c r="S97" s="198"/>
      <c r="T97" s="198"/>
      <c r="U97" s="198"/>
    </row>
    <row r="98" spans="1:33" s="12" customFormat="1" x14ac:dyDescent="0.25">
      <c r="A98" s="215" t="s">
        <v>2449</v>
      </c>
      <c r="B98" s="64">
        <v>38.61</v>
      </c>
      <c r="C98" s="64">
        <v>16.61</v>
      </c>
      <c r="D98" s="64">
        <v>38.26</v>
      </c>
      <c r="E98" s="64">
        <v>6.42</v>
      </c>
      <c r="F98" s="64">
        <v>4.03</v>
      </c>
      <c r="G98" s="64">
        <v>125.74</v>
      </c>
      <c r="H98" s="64">
        <v>251.7</v>
      </c>
      <c r="I98" s="64">
        <v>8.34</v>
      </c>
      <c r="J98" s="64">
        <v>1.1399999999999999</v>
      </c>
      <c r="K98" s="64">
        <v>340.14</v>
      </c>
      <c r="L98" s="64">
        <v>24.08</v>
      </c>
      <c r="M98" s="64">
        <v>69.52</v>
      </c>
      <c r="N98" s="64">
        <v>24.6</v>
      </c>
      <c r="O98" s="64">
        <v>0</v>
      </c>
      <c r="P98" s="64">
        <v>1.57</v>
      </c>
      <c r="Q98" s="64">
        <v>9.61</v>
      </c>
      <c r="S98" s="198"/>
      <c r="T98" s="198"/>
      <c r="U98" s="198"/>
    </row>
    <row r="99" spans="1:33" s="12" customFormat="1" x14ac:dyDescent="0.25">
      <c r="A99" s="215" t="s">
        <v>2450</v>
      </c>
      <c r="B99" s="64">
        <v>38</v>
      </c>
      <c r="C99" s="64">
        <v>16.559999999999999</v>
      </c>
      <c r="D99" s="64">
        <v>37.75</v>
      </c>
      <c r="E99" s="64">
        <v>6.17</v>
      </c>
      <c r="F99" s="64">
        <v>4.41</v>
      </c>
      <c r="G99" s="64">
        <v>120.5</v>
      </c>
      <c r="H99" s="64">
        <v>14.06</v>
      </c>
      <c r="I99" s="64">
        <v>7.88</v>
      </c>
      <c r="J99" s="64">
        <v>1.24</v>
      </c>
      <c r="K99" s="64">
        <v>343.19</v>
      </c>
      <c r="L99" s="64">
        <v>24.4</v>
      </c>
      <c r="M99" s="64">
        <v>67.290000000000006</v>
      </c>
      <c r="N99" s="64">
        <v>25.4</v>
      </c>
      <c r="O99" s="64">
        <v>0</v>
      </c>
      <c r="P99" s="64">
        <v>1.51</v>
      </c>
      <c r="Q99" s="64">
        <v>9.61</v>
      </c>
      <c r="S99" s="198"/>
      <c r="T99" s="198"/>
      <c r="U99" s="198"/>
    </row>
    <row r="100" spans="1:33" s="12" customFormat="1" x14ac:dyDescent="0.25">
      <c r="A100" s="215" t="s">
        <v>2451</v>
      </c>
      <c r="B100" s="64">
        <v>37.49</v>
      </c>
      <c r="C100" s="64">
        <v>16.28</v>
      </c>
      <c r="D100" s="64">
        <v>37.19</v>
      </c>
      <c r="E100" s="64">
        <v>6.12</v>
      </c>
      <c r="F100" s="64">
        <v>3.82</v>
      </c>
      <c r="G100" s="64">
        <v>120.06</v>
      </c>
      <c r="H100" s="64">
        <v>14.06</v>
      </c>
      <c r="I100" s="64">
        <v>6.61</v>
      </c>
      <c r="J100" s="64">
        <v>1.06</v>
      </c>
      <c r="K100" s="64">
        <v>339.31</v>
      </c>
      <c r="L100" s="64">
        <v>24.03</v>
      </c>
      <c r="M100" s="64">
        <v>70.930000000000007</v>
      </c>
      <c r="N100" s="64">
        <v>26</v>
      </c>
      <c r="O100" s="64">
        <v>0</v>
      </c>
      <c r="P100" s="64">
        <v>1.52</v>
      </c>
      <c r="Q100" s="64">
        <v>9.61</v>
      </c>
      <c r="S100" s="198"/>
      <c r="T100" s="198"/>
      <c r="U100" s="198"/>
      <c r="AB100" s="110"/>
      <c r="AG100" s="109"/>
    </row>
    <row r="101" spans="1:33" s="12" customFormat="1" x14ac:dyDescent="0.25">
      <c r="A101" s="215" t="s">
        <v>2452</v>
      </c>
      <c r="B101" s="64">
        <v>36.99</v>
      </c>
      <c r="C101" s="64">
        <v>15.89</v>
      </c>
      <c r="D101" s="64">
        <v>36.590000000000003</v>
      </c>
      <c r="E101" s="64">
        <v>5.8</v>
      </c>
      <c r="F101" s="64">
        <v>3.62</v>
      </c>
      <c r="G101" s="64">
        <v>120.06</v>
      </c>
      <c r="H101" s="64">
        <v>14.06</v>
      </c>
      <c r="I101" s="64">
        <v>6.09</v>
      </c>
      <c r="J101" s="64">
        <v>1.31</v>
      </c>
      <c r="K101" s="64">
        <v>336.75</v>
      </c>
      <c r="L101" s="64">
        <v>23.74</v>
      </c>
      <c r="M101" s="64">
        <v>75.069999999999993</v>
      </c>
      <c r="N101" s="64">
        <v>25.9</v>
      </c>
      <c r="O101" s="64">
        <v>0</v>
      </c>
      <c r="P101" s="64">
        <v>1.47</v>
      </c>
      <c r="Q101" s="64">
        <v>9.6199999999999992</v>
      </c>
      <c r="S101" s="198"/>
      <c r="T101" s="198"/>
      <c r="U101" s="198"/>
    </row>
    <row r="102" spans="1:33" s="12" customFormat="1" x14ac:dyDescent="0.25">
      <c r="A102" s="215" t="s">
        <v>2453</v>
      </c>
      <c r="B102" s="64">
        <v>35.58</v>
      </c>
      <c r="C102" s="64">
        <v>15.51</v>
      </c>
      <c r="D102" s="64">
        <v>35.26</v>
      </c>
      <c r="E102" s="64">
        <v>6.18</v>
      </c>
      <c r="F102" s="64">
        <v>4.46</v>
      </c>
      <c r="G102" s="64">
        <v>120.06</v>
      </c>
      <c r="H102" s="64">
        <v>14.06</v>
      </c>
      <c r="I102" s="64">
        <v>6.41</v>
      </c>
      <c r="J102" s="64">
        <v>1.51</v>
      </c>
      <c r="K102" s="64">
        <v>330.73</v>
      </c>
      <c r="L102" s="64">
        <v>23.4</v>
      </c>
      <c r="M102" s="64">
        <v>80.150000000000006</v>
      </c>
      <c r="N102" s="64">
        <v>26.2</v>
      </c>
      <c r="O102" s="64">
        <v>0</v>
      </c>
      <c r="P102" s="64">
        <v>1.59</v>
      </c>
      <c r="Q102" s="64">
        <v>9.61</v>
      </c>
      <c r="S102" s="198"/>
      <c r="T102" s="198"/>
      <c r="U102" s="198"/>
    </row>
    <row r="103" spans="1:33" s="12" customFormat="1" x14ac:dyDescent="0.25">
      <c r="A103" s="215" t="s">
        <v>2454</v>
      </c>
      <c r="B103" s="64">
        <v>33.76</v>
      </c>
      <c r="C103" s="64">
        <v>16.28</v>
      </c>
      <c r="D103" s="64">
        <v>34.200000000000003</v>
      </c>
      <c r="E103" s="64">
        <v>5.65</v>
      </c>
      <c r="F103" s="64">
        <v>4.71</v>
      </c>
      <c r="G103" s="64">
        <v>114.87</v>
      </c>
      <c r="H103" s="64">
        <v>89.39</v>
      </c>
      <c r="I103" s="64">
        <v>7.03</v>
      </c>
      <c r="J103" s="64">
        <v>1.54</v>
      </c>
      <c r="K103" s="64">
        <v>337.99</v>
      </c>
      <c r="L103" s="64">
        <v>23.08</v>
      </c>
      <c r="M103" s="64">
        <v>83.26</v>
      </c>
      <c r="N103" s="64">
        <v>26</v>
      </c>
      <c r="O103" s="64">
        <v>0</v>
      </c>
      <c r="P103" s="64">
        <v>1.6</v>
      </c>
      <c r="Q103" s="64">
        <v>9.61</v>
      </c>
      <c r="S103" s="198"/>
      <c r="T103" s="198"/>
      <c r="U103" s="198"/>
    </row>
    <row r="104" spans="1:33" s="12" customFormat="1" x14ac:dyDescent="0.25">
      <c r="A104" s="215" t="s">
        <v>2455</v>
      </c>
      <c r="B104" s="64">
        <v>31.23</v>
      </c>
      <c r="C104" s="64">
        <v>16.5</v>
      </c>
      <c r="D104" s="64">
        <v>32.29</v>
      </c>
      <c r="E104" s="64">
        <v>5.21</v>
      </c>
      <c r="F104" s="64">
        <v>4.3600000000000003</v>
      </c>
      <c r="G104" s="64">
        <v>114.44</v>
      </c>
      <c r="H104" s="64">
        <v>89.39</v>
      </c>
      <c r="I104" s="64">
        <v>7.54</v>
      </c>
      <c r="J104" s="64">
        <v>1.67</v>
      </c>
      <c r="K104" s="64">
        <v>332.31</v>
      </c>
      <c r="L104" s="64">
        <v>22.92</v>
      </c>
      <c r="M104" s="64">
        <v>85.6</v>
      </c>
      <c r="N104" s="64">
        <v>25.9</v>
      </c>
      <c r="O104" s="64">
        <v>0</v>
      </c>
      <c r="P104" s="64">
        <v>1.54</v>
      </c>
      <c r="Q104" s="64">
        <v>9.6199999999999992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1.83</v>
      </c>
      <c r="C106" s="67">
        <f>MIN(C9:C104)</f>
        <v>11.05</v>
      </c>
      <c r="D106" s="67">
        <f t="shared" ref="D106:Q106" si="0">MIN(D9:D104)</f>
        <v>8.64</v>
      </c>
      <c r="E106" s="67">
        <f t="shared" si="0"/>
        <v>4.4800000000000004</v>
      </c>
      <c r="F106" s="67">
        <f t="shared" si="0"/>
        <v>3.2</v>
      </c>
      <c r="G106" s="67">
        <f t="shared" si="0"/>
        <v>60.16</v>
      </c>
      <c r="H106" s="67">
        <f t="shared" si="0"/>
        <v>1.1599999999999999</v>
      </c>
      <c r="I106" s="67">
        <f t="shared" si="0"/>
        <v>2.8</v>
      </c>
      <c r="J106" s="67">
        <f t="shared" si="0"/>
        <v>0.26</v>
      </c>
      <c r="K106" s="67">
        <f t="shared" si="0"/>
        <v>0.9</v>
      </c>
      <c r="L106" s="67">
        <f t="shared" si="0"/>
        <v>20.82</v>
      </c>
      <c r="M106" s="67">
        <f t="shared" si="0"/>
        <v>38.57</v>
      </c>
      <c r="N106" s="67">
        <f t="shared" si="0"/>
        <v>24.6</v>
      </c>
      <c r="O106" s="67">
        <f t="shared" si="0"/>
        <v>0</v>
      </c>
      <c r="P106" s="67">
        <f t="shared" si="0"/>
        <v>0.56000000000000005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49.79</v>
      </c>
      <c r="C107" s="66">
        <f t="shared" ref="C107:Q107" si="1">MAX(C9:C104)</f>
        <v>24.22</v>
      </c>
      <c r="D107" s="66">
        <f t="shared" si="1"/>
        <v>46.43</v>
      </c>
      <c r="E107" s="66">
        <f t="shared" si="1"/>
        <v>7.65</v>
      </c>
      <c r="F107" s="66">
        <f t="shared" si="1"/>
        <v>6.56</v>
      </c>
      <c r="G107" s="66">
        <f t="shared" si="1"/>
        <v>125.74</v>
      </c>
      <c r="H107" s="66">
        <f t="shared" si="1"/>
        <v>589.30999999999995</v>
      </c>
      <c r="I107" s="66">
        <f t="shared" si="1"/>
        <v>9.5299999999999994</v>
      </c>
      <c r="J107" s="66">
        <f t="shared" si="1"/>
        <v>1.92</v>
      </c>
      <c r="K107" s="66">
        <f t="shared" si="1"/>
        <v>357.31</v>
      </c>
      <c r="L107" s="66">
        <f t="shared" si="1"/>
        <v>33.57</v>
      </c>
      <c r="M107" s="66">
        <f t="shared" si="1"/>
        <v>90.82</v>
      </c>
      <c r="N107" s="66">
        <f t="shared" si="1"/>
        <v>773.3</v>
      </c>
      <c r="O107" s="66">
        <f t="shared" si="1"/>
        <v>0</v>
      </c>
      <c r="P107" s="66">
        <f t="shared" si="1"/>
        <v>2.2599999999999998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19.283020833333328</v>
      </c>
      <c r="C108" s="67">
        <f t="shared" ref="C108:Q108" si="2">AVERAGE(C9:C104)</f>
        <v>16.610520833333329</v>
      </c>
      <c r="D108" s="67">
        <f t="shared" si="2"/>
        <v>22.764791666666667</v>
      </c>
      <c r="E108" s="67">
        <f t="shared" si="2"/>
        <v>6.2493749999999997</v>
      </c>
      <c r="F108" s="67">
        <f t="shared" si="2"/>
        <v>4.3287500000000012</v>
      </c>
      <c r="G108" s="67">
        <f t="shared" si="2"/>
        <v>93.32</v>
      </c>
      <c r="H108" s="67">
        <f t="shared" si="2"/>
        <v>126.55349999999999</v>
      </c>
      <c r="I108" s="67">
        <f t="shared" si="2"/>
        <v>5.771562499999999</v>
      </c>
      <c r="J108" s="67">
        <f t="shared" si="2"/>
        <v>0.8215625000000002</v>
      </c>
      <c r="K108" s="67">
        <f t="shared" si="2"/>
        <v>294.27697916666671</v>
      </c>
      <c r="L108" s="67">
        <f t="shared" si="2"/>
        <v>25.881770833333334</v>
      </c>
      <c r="M108" s="67">
        <f t="shared" si="2"/>
        <v>66.034270833333366</v>
      </c>
      <c r="N108" s="67">
        <f t="shared" si="2"/>
        <v>178.21562499999996</v>
      </c>
      <c r="O108" s="67">
        <f t="shared" si="2"/>
        <v>0</v>
      </c>
      <c r="P108" s="67">
        <f t="shared" si="2"/>
        <v>1.0395833333333335</v>
      </c>
      <c r="Q108" s="67">
        <f t="shared" si="2"/>
        <v>9.6165625000000077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13.226833660148806</v>
      </c>
      <c r="C109" s="67">
        <f t="shared" ref="C109:Q109" si="3">STDEV(C9:C104)</f>
        <v>3.1917315445057639</v>
      </c>
      <c r="D109" s="67">
        <f t="shared" si="3"/>
        <v>9.924703466779679</v>
      </c>
      <c r="E109" s="67">
        <f t="shared" si="3"/>
        <v>0.71012795362971926</v>
      </c>
      <c r="F109" s="67">
        <f t="shared" si="3"/>
        <v>0.66004026990383347</v>
      </c>
      <c r="G109" s="67">
        <f t="shared" si="3"/>
        <v>21.449306895929993</v>
      </c>
      <c r="H109" s="67">
        <f t="shared" si="3"/>
        <v>179.28692031263714</v>
      </c>
      <c r="I109" s="67">
        <f t="shared" si="3"/>
        <v>1.4026766353729101</v>
      </c>
      <c r="J109" s="67">
        <f t="shared" si="3"/>
        <v>0.37820998936124228</v>
      </c>
      <c r="K109" s="67">
        <f t="shared" si="3"/>
        <v>98.272236011899494</v>
      </c>
      <c r="L109" s="67">
        <f t="shared" si="3"/>
        <v>3.8832327809623228</v>
      </c>
      <c r="M109" s="67">
        <f t="shared" si="3"/>
        <v>17.199015745693416</v>
      </c>
      <c r="N109" s="67">
        <f t="shared" si="3"/>
        <v>236.03168891981886</v>
      </c>
      <c r="O109" s="67">
        <f t="shared" si="3"/>
        <v>0</v>
      </c>
      <c r="P109" s="67">
        <f t="shared" si="3"/>
        <v>0.44522476090093843</v>
      </c>
      <c r="Q109" s="67">
        <f t="shared" si="3"/>
        <v>9.8224367220104518E-3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2456</v>
      </c>
      <c r="B9" s="64">
        <v>28.46</v>
      </c>
      <c r="C9" s="64">
        <v>16.48</v>
      </c>
      <c r="D9" s="64">
        <v>30.06</v>
      </c>
      <c r="E9" s="64">
        <v>5.22</v>
      </c>
      <c r="F9" s="64">
        <v>4.4400000000000004</v>
      </c>
      <c r="G9" s="64">
        <v>114.44</v>
      </c>
      <c r="H9" s="64">
        <v>89.39</v>
      </c>
      <c r="I9" s="64">
        <v>7.69</v>
      </c>
      <c r="J9" s="64">
        <v>1.63</v>
      </c>
      <c r="K9" s="64">
        <v>335.3</v>
      </c>
      <c r="L9" s="64">
        <v>22.77</v>
      </c>
      <c r="M9" s="64">
        <v>85.62</v>
      </c>
      <c r="N9" s="64">
        <v>25.8</v>
      </c>
      <c r="O9" s="64">
        <v>0</v>
      </c>
      <c r="P9" s="64">
        <v>1.48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2457</v>
      </c>
      <c r="B10" s="64">
        <v>26.06</v>
      </c>
      <c r="C10" s="64">
        <v>16.260000000000002</v>
      </c>
      <c r="D10" s="64">
        <v>28.02</v>
      </c>
      <c r="E10" s="64">
        <v>4.9800000000000004</v>
      </c>
      <c r="F10" s="64">
        <v>4.66</v>
      </c>
      <c r="G10" s="64">
        <v>114.44</v>
      </c>
      <c r="H10" s="64">
        <v>89.39</v>
      </c>
      <c r="I10" s="64">
        <v>7.46</v>
      </c>
      <c r="J10" s="64">
        <v>1.45</v>
      </c>
      <c r="K10" s="64">
        <v>333.57</v>
      </c>
      <c r="L10" s="64">
        <v>22.7</v>
      </c>
      <c r="M10" s="64">
        <v>84.21</v>
      </c>
      <c r="N10" s="64">
        <v>25.9</v>
      </c>
      <c r="O10" s="64">
        <v>0</v>
      </c>
      <c r="P10" s="64">
        <v>1.43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2458</v>
      </c>
      <c r="B11" s="64">
        <v>24.1</v>
      </c>
      <c r="C11" s="64">
        <v>15.78</v>
      </c>
      <c r="D11" s="64">
        <v>26.2</v>
      </c>
      <c r="E11" s="64">
        <v>5.18</v>
      </c>
      <c r="F11" s="64">
        <v>4.22</v>
      </c>
      <c r="G11" s="64">
        <v>108.62</v>
      </c>
      <c r="H11" s="64">
        <v>59.59</v>
      </c>
      <c r="I11" s="64">
        <v>7.07</v>
      </c>
      <c r="J11" s="64">
        <v>1.4</v>
      </c>
      <c r="K11" s="64">
        <v>329.33</v>
      </c>
      <c r="L11" s="64">
        <v>22.5</v>
      </c>
      <c r="M11" s="64">
        <v>83.91</v>
      </c>
      <c r="N11" s="64">
        <v>25.8</v>
      </c>
      <c r="O11" s="64">
        <v>0</v>
      </c>
      <c r="P11" s="64">
        <v>1.38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2459</v>
      </c>
      <c r="B12" s="64">
        <v>22.26</v>
      </c>
      <c r="C12" s="64">
        <v>15.94</v>
      </c>
      <c r="D12" s="64">
        <v>24.8</v>
      </c>
      <c r="E12" s="64">
        <v>5.01</v>
      </c>
      <c r="F12" s="64">
        <v>4.0199999999999996</v>
      </c>
      <c r="G12" s="64">
        <v>108.13</v>
      </c>
      <c r="H12" s="64">
        <v>59.59</v>
      </c>
      <c r="I12" s="64">
        <v>6.72</v>
      </c>
      <c r="J12" s="64">
        <v>1.39</v>
      </c>
      <c r="K12" s="64">
        <v>336.07</v>
      </c>
      <c r="L12" s="64">
        <v>22.35</v>
      </c>
      <c r="M12" s="64">
        <v>80.61</v>
      </c>
      <c r="N12" s="64">
        <v>25.8</v>
      </c>
      <c r="O12" s="64">
        <v>0</v>
      </c>
      <c r="P12" s="64">
        <v>1.34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5" t="s">
        <v>2460</v>
      </c>
      <c r="B13" s="64">
        <v>20.55</v>
      </c>
      <c r="C13" s="64">
        <v>15.51</v>
      </c>
      <c r="D13" s="64">
        <v>23.2</v>
      </c>
      <c r="E13" s="64">
        <v>4.9000000000000004</v>
      </c>
      <c r="F13" s="64">
        <v>5.43</v>
      </c>
      <c r="G13" s="64">
        <v>108.13</v>
      </c>
      <c r="H13" s="64">
        <v>59.59</v>
      </c>
      <c r="I13" s="64">
        <v>6.47</v>
      </c>
      <c r="J13" s="64">
        <v>1.52</v>
      </c>
      <c r="K13" s="64">
        <v>331.58</v>
      </c>
      <c r="L13" s="64">
        <v>22.33</v>
      </c>
      <c r="M13" s="64">
        <v>77.569999999999993</v>
      </c>
      <c r="N13" s="64">
        <v>25.9</v>
      </c>
      <c r="O13" s="64">
        <v>0</v>
      </c>
      <c r="P13" s="64">
        <v>1.1200000000000001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5" t="s">
        <v>2461</v>
      </c>
      <c r="B14" s="64">
        <v>18.670000000000002</v>
      </c>
      <c r="C14" s="64">
        <v>15.27</v>
      </c>
      <c r="D14" s="64">
        <v>21.58</v>
      </c>
      <c r="E14" s="64">
        <v>5.0199999999999996</v>
      </c>
      <c r="F14" s="64">
        <v>3.92</v>
      </c>
      <c r="G14" s="64">
        <v>108.13</v>
      </c>
      <c r="H14" s="64">
        <v>59.59</v>
      </c>
      <c r="I14" s="64">
        <v>6.24</v>
      </c>
      <c r="J14" s="64">
        <v>1.44</v>
      </c>
      <c r="K14" s="64">
        <v>330.05</v>
      </c>
      <c r="L14" s="64">
        <v>22.22</v>
      </c>
      <c r="M14" s="64">
        <v>76.680000000000007</v>
      </c>
      <c r="N14" s="64">
        <v>26</v>
      </c>
      <c r="O14" s="64">
        <v>0</v>
      </c>
      <c r="P14" s="64">
        <v>1.1200000000000001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2462</v>
      </c>
      <c r="B15" s="64">
        <v>16.88</v>
      </c>
      <c r="C15" s="64">
        <v>15.23</v>
      </c>
      <c r="D15" s="64">
        <v>20.12</v>
      </c>
      <c r="E15" s="64">
        <v>4.83</v>
      </c>
      <c r="F15" s="64">
        <v>5.14</v>
      </c>
      <c r="G15" s="64">
        <v>99.28</v>
      </c>
      <c r="H15" s="64">
        <v>41.14</v>
      </c>
      <c r="I15" s="64">
        <v>5.97</v>
      </c>
      <c r="J15" s="64">
        <v>1.07</v>
      </c>
      <c r="K15" s="64">
        <v>339.88</v>
      </c>
      <c r="L15" s="64">
        <v>22</v>
      </c>
      <c r="M15" s="64">
        <v>76.86</v>
      </c>
      <c r="N15" s="64">
        <v>26.1</v>
      </c>
      <c r="O15" s="64">
        <v>0</v>
      </c>
      <c r="P15" s="64">
        <v>1.0900000000000001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5" t="s">
        <v>2463</v>
      </c>
      <c r="B16" s="64">
        <v>15.61</v>
      </c>
      <c r="C16" s="64">
        <v>15.68</v>
      </c>
      <c r="D16" s="64">
        <v>19.329999999999998</v>
      </c>
      <c r="E16" s="64">
        <v>4.97</v>
      </c>
      <c r="F16" s="64">
        <v>3.69</v>
      </c>
      <c r="G16" s="64">
        <v>98.54</v>
      </c>
      <c r="H16" s="64">
        <v>41.14</v>
      </c>
      <c r="I16" s="64">
        <v>5.74</v>
      </c>
      <c r="J16" s="64">
        <v>1.55</v>
      </c>
      <c r="K16" s="64">
        <v>338.25</v>
      </c>
      <c r="L16" s="64">
        <v>22.14</v>
      </c>
      <c r="M16" s="64">
        <v>73.290000000000006</v>
      </c>
      <c r="N16" s="64">
        <v>25.7</v>
      </c>
      <c r="O16" s="64">
        <v>0</v>
      </c>
      <c r="P16" s="64">
        <v>1.04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2464</v>
      </c>
      <c r="B17" s="64">
        <v>14.64</v>
      </c>
      <c r="C17" s="64">
        <v>14.7</v>
      </c>
      <c r="D17" s="64">
        <v>18.04</v>
      </c>
      <c r="E17" s="64">
        <v>4.95</v>
      </c>
      <c r="F17" s="64">
        <v>4.2</v>
      </c>
      <c r="G17" s="64">
        <v>98.54</v>
      </c>
      <c r="H17" s="64">
        <v>41.14</v>
      </c>
      <c r="I17" s="64">
        <v>5.56</v>
      </c>
      <c r="J17" s="64">
        <v>1.49</v>
      </c>
      <c r="K17" s="64">
        <v>332.44</v>
      </c>
      <c r="L17" s="64">
        <v>22.05</v>
      </c>
      <c r="M17" s="64">
        <v>74.8</v>
      </c>
      <c r="N17" s="64">
        <v>26</v>
      </c>
      <c r="O17" s="64">
        <v>0</v>
      </c>
      <c r="P17" s="64">
        <v>1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2465</v>
      </c>
      <c r="B18" s="64">
        <v>13.81</v>
      </c>
      <c r="C18" s="64">
        <v>14.19</v>
      </c>
      <c r="D18" s="64">
        <v>17.11</v>
      </c>
      <c r="E18" s="64">
        <v>4.59</v>
      </c>
      <c r="F18" s="64">
        <v>4.2</v>
      </c>
      <c r="G18" s="64">
        <v>98.54</v>
      </c>
      <c r="H18" s="64">
        <v>41.14</v>
      </c>
      <c r="I18" s="64">
        <v>5.33</v>
      </c>
      <c r="J18" s="64">
        <v>1.24</v>
      </c>
      <c r="K18" s="64">
        <v>331.02</v>
      </c>
      <c r="L18" s="64">
        <v>21.73</v>
      </c>
      <c r="M18" s="64">
        <v>76.08</v>
      </c>
      <c r="N18" s="64">
        <v>26.1</v>
      </c>
      <c r="O18" s="64">
        <v>0</v>
      </c>
      <c r="P18" s="64">
        <v>0.94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2466</v>
      </c>
      <c r="B19" s="64">
        <v>13.01</v>
      </c>
      <c r="C19" s="64">
        <v>13.85</v>
      </c>
      <c r="D19" s="64">
        <v>16.29</v>
      </c>
      <c r="E19" s="64">
        <v>4.5599999999999996</v>
      </c>
      <c r="F19" s="64">
        <v>4.0199999999999996</v>
      </c>
      <c r="G19" s="64">
        <v>98.19</v>
      </c>
      <c r="H19" s="64">
        <v>52.88</v>
      </c>
      <c r="I19" s="64">
        <v>5.15</v>
      </c>
      <c r="J19" s="64">
        <v>1.31</v>
      </c>
      <c r="K19" s="64">
        <v>330.89</v>
      </c>
      <c r="L19" s="64">
        <v>21.62</v>
      </c>
      <c r="M19" s="64">
        <v>75.67</v>
      </c>
      <c r="N19" s="64">
        <v>25.9</v>
      </c>
      <c r="O19" s="64">
        <v>0</v>
      </c>
      <c r="P19" s="64">
        <v>0.91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5" t="s">
        <v>2467</v>
      </c>
      <c r="B20" s="64">
        <v>12.33</v>
      </c>
      <c r="C20" s="64">
        <v>13.44</v>
      </c>
      <c r="D20" s="64">
        <v>15.53</v>
      </c>
      <c r="E20" s="64">
        <v>4.51</v>
      </c>
      <c r="F20" s="64">
        <v>3.91</v>
      </c>
      <c r="G20" s="64">
        <v>98.16</v>
      </c>
      <c r="H20" s="64">
        <v>52.88</v>
      </c>
      <c r="I20" s="64">
        <v>5.04</v>
      </c>
      <c r="J20" s="64">
        <v>1.24</v>
      </c>
      <c r="K20" s="64">
        <v>331.14</v>
      </c>
      <c r="L20" s="64">
        <v>21.36</v>
      </c>
      <c r="M20" s="64">
        <v>78.08</v>
      </c>
      <c r="N20" s="64">
        <v>26.1</v>
      </c>
      <c r="O20" s="64">
        <v>0</v>
      </c>
      <c r="P20" s="64">
        <v>0.81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5" t="s">
        <v>2468</v>
      </c>
      <c r="B21" s="64">
        <v>11.63</v>
      </c>
      <c r="C21" s="64">
        <v>13.01</v>
      </c>
      <c r="D21" s="64">
        <v>14.74</v>
      </c>
      <c r="E21" s="64">
        <v>4.92</v>
      </c>
      <c r="F21" s="64">
        <v>4.1500000000000004</v>
      </c>
      <c r="G21" s="64">
        <v>98.16</v>
      </c>
      <c r="H21" s="64">
        <v>52.88</v>
      </c>
      <c r="I21" s="64">
        <v>4.7300000000000004</v>
      </c>
      <c r="J21" s="64">
        <v>1.43</v>
      </c>
      <c r="K21" s="64">
        <v>334.81</v>
      </c>
      <c r="L21" s="64">
        <v>21.16</v>
      </c>
      <c r="M21" s="64">
        <v>78.53</v>
      </c>
      <c r="N21" s="64">
        <v>25.9</v>
      </c>
      <c r="O21" s="64">
        <v>0</v>
      </c>
      <c r="P21" s="64">
        <v>0.89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2469</v>
      </c>
      <c r="B22" s="64">
        <v>10.89</v>
      </c>
      <c r="C22" s="64">
        <v>13.07</v>
      </c>
      <c r="D22" s="64">
        <v>14.18</v>
      </c>
      <c r="E22" s="64">
        <v>4.82</v>
      </c>
      <c r="F22" s="64">
        <v>3.64</v>
      </c>
      <c r="G22" s="64">
        <v>98.16</v>
      </c>
      <c r="H22" s="64">
        <v>52.88</v>
      </c>
      <c r="I22" s="64">
        <v>4.63</v>
      </c>
      <c r="J22" s="64">
        <v>2.0499999999999998</v>
      </c>
      <c r="K22" s="64">
        <v>341.68</v>
      </c>
      <c r="L22" s="64">
        <v>21.35</v>
      </c>
      <c r="M22" s="64">
        <v>74.87</v>
      </c>
      <c r="N22" s="64">
        <v>25.1</v>
      </c>
      <c r="O22" s="64">
        <v>0</v>
      </c>
      <c r="P22" s="64">
        <v>0.83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2470</v>
      </c>
      <c r="B23" s="64">
        <v>9.89</v>
      </c>
      <c r="C23" s="64">
        <v>13.99</v>
      </c>
      <c r="D23" s="64">
        <v>13.86</v>
      </c>
      <c r="E23" s="64">
        <v>4.9000000000000004</v>
      </c>
      <c r="F23" s="64">
        <v>3.97</v>
      </c>
      <c r="G23" s="64">
        <v>90.27</v>
      </c>
      <c r="H23" s="64">
        <v>41.65</v>
      </c>
      <c r="I23" s="64">
        <v>4.63</v>
      </c>
      <c r="J23" s="64">
        <v>1.86</v>
      </c>
      <c r="K23" s="64">
        <v>341.81</v>
      </c>
      <c r="L23" s="64">
        <v>21.46</v>
      </c>
      <c r="M23" s="64">
        <v>73.11</v>
      </c>
      <c r="N23" s="64">
        <v>26</v>
      </c>
      <c r="O23" s="64">
        <v>0</v>
      </c>
      <c r="P23" s="64">
        <v>0.82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5" t="s">
        <v>2471</v>
      </c>
      <c r="B24" s="64">
        <v>8.6300000000000008</v>
      </c>
      <c r="C24" s="64">
        <v>15</v>
      </c>
      <c r="D24" s="64">
        <v>13.38</v>
      </c>
      <c r="E24" s="64">
        <v>6.33</v>
      </c>
      <c r="F24" s="64">
        <v>4.37</v>
      </c>
      <c r="G24" s="64">
        <v>89.6</v>
      </c>
      <c r="H24" s="64">
        <v>41.65</v>
      </c>
      <c r="I24" s="64">
        <v>4.76</v>
      </c>
      <c r="J24" s="64">
        <v>1.94</v>
      </c>
      <c r="K24" s="64">
        <v>342.32</v>
      </c>
      <c r="L24" s="64">
        <v>21.33</v>
      </c>
      <c r="M24" s="64">
        <v>73.11</v>
      </c>
      <c r="N24" s="64">
        <v>25.8</v>
      </c>
      <c r="O24" s="64">
        <v>0</v>
      </c>
      <c r="P24" s="64">
        <v>0.78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5" t="s">
        <v>2472</v>
      </c>
      <c r="B25" s="64">
        <v>7.26</v>
      </c>
      <c r="C25" s="64">
        <v>15.41</v>
      </c>
      <c r="D25" s="64">
        <v>12.49</v>
      </c>
      <c r="E25" s="64">
        <v>7.44</v>
      </c>
      <c r="F25" s="64">
        <v>4.63</v>
      </c>
      <c r="G25" s="64">
        <v>89.6</v>
      </c>
      <c r="H25" s="64">
        <v>41.65</v>
      </c>
      <c r="I25" s="64">
        <v>4.78</v>
      </c>
      <c r="J25" s="64">
        <v>2.06</v>
      </c>
      <c r="K25" s="64">
        <v>342.16</v>
      </c>
      <c r="L25" s="64">
        <v>21.36</v>
      </c>
      <c r="M25" s="64">
        <v>73.180000000000007</v>
      </c>
      <c r="N25" s="64">
        <v>25.8</v>
      </c>
      <c r="O25" s="64">
        <v>0</v>
      </c>
      <c r="P25" s="64">
        <v>0.74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2473</v>
      </c>
      <c r="B26" s="64">
        <v>6.25</v>
      </c>
      <c r="C26" s="64">
        <v>16.53</v>
      </c>
      <c r="D26" s="64">
        <v>12.27</v>
      </c>
      <c r="E26" s="64">
        <v>6.96</v>
      </c>
      <c r="F26" s="64">
        <v>4.55</v>
      </c>
      <c r="G26" s="64">
        <v>89.6</v>
      </c>
      <c r="H26" s="64">
        <v>41.65</v>
      </c>
      <c r="I26" s="64">
        <v>4.66</v>
      </c>
      <c r="J26" s="64">
        <v>1.84</v>
      </c>
      <c r="K26" s="64">
        <v>342.3</v>
      </c>
      <c r="L26" s="64">
        <v>21.35</v>
      </c>
      <c r="M26" s="64">
        <v>74.3</v>
      </c>
      <c r="N26" s="64">
        <v>26</v>
      </c>
      <c r="O26" s="64">
        <v>0</v>
      </c>
      <c r="P26" s="64">
        <v>0.72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2474</v>
      </c>
      <c r="B27" s="64">
        <v>6.65</v>
      </c>
      <c r="C27" s="64">
        <v>17.95</v>
      </c>
      <c r="D27" s="64">
        <v>13.33</v>
      </c>
      <c r="E27" s="64">
        <v>6.66</v>
      </c>
      <c r="F27" s="64">
        <v>4.1500000000000004</v>
      </c>
      <c r="G27" s="64">
        <v>78.680000000000007</v>
      </c>
      <c r="H27" s="64">
        <v>5.65</v>
      </c>
      <c r="I27" s="64">
        <v>4.5</v>
      </c>
      <c r="J27" s="64">
        <v>1.56</v>
      </c>
      <c r="K27" s="64">
        <v>338.78</v>
      </c>
      <c r="L27" s="64">
        <v>21.21</v>
      </c>
      <c r="M27" s="64">
        <v>78.19</v>
      </c>
      <c r="N27" s="64">
        <v>26</v>
      </c>
      <c r="O27" s="64">
        <v>0</v>
      </c>
      <c r="P27" s="64">
        <v>0.7</v>
      </c>
      <c r="Q27" s="64">
        <v>9.6</v>
      </c>
      <c r="R27" s="198"/>
      <c r="S27" s="198"/>
      <c r="T27" s="198"/>
      <c r="U27" s="198"/>
    </row>
    <row r="28" spans="1:21" s="12" customFormat="1" x14ac:dyDescent="0.25">
      <c r="A28" s="215" t="s">
        <v>2475</v>
      </c>
      <c r="B28" s="64">
        <v>7.61</v>
      </c>
      <c r="C28" s="64">
        <v>18.5</v>
      </c>
      <c r="D28" s="64">
        <v>14.39</v>
      </c>
      <c r="E28" s="64">
        <v>6.91</v>
      </c>
      <c r="F28" s="64">
        <v>4.1399999999999997</v>
      </c>
      <c r="G28" s="64">
        <v>77.61</v>
      </c>
      <c r="H28" s="64">
        <v>5.65</v>
      </c>
      <c r="I28" s="64">
        <v>4.28</v>
      </c>
      <c r="J28" s="64">
        <v>1.52</v>
      </c>
      <c r="K28" s="64">
        <v>333.84</v>
      </c>
      <c r="L28" s="64">
        <v>20.96</v>
      </c>
      <c r="M28" s="64">
        <v>80.64</v>
      </c>
      <c r="N28" s="64">
        <v>26.1</v>
      </c>
      <c r="O28" s="64">
        <v>0</v>
      </c>
      <c r="P28" s="64">
        <v>0.7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5" t="s">
        <v>2476</v>
      </c>
      <c r="B29" s="64">
        <v>8.1300000000000008</v>
      </c>
      <c r="C29" s="64">
        <v>18.38</v>
      </c>
      <c r="D29" s="64">
        <v>14.75</v>
      </c>
      <c r="E29" s="64">
        <v>7.18</v>
      </c>
      <c r="F29" s="64">
        <v>4.2699999999999996</v>
      </c>
      <c r="G29" s="64">
        <v>77.61</v>
      </c>
      <c r="H29" s="64">
        <v>5.65</v>
      </c>
      <c r="I29" s="64">
        <v>4.24</v>
      </c>
      <c r="J29" s="64">
        <v>1.6</v>
      </c>
      <c r="K29" s="64">
        <v>329.64</v>
      </c>
      <c r="L29" s="64">
        <v>20.63</v>
      </c>
      <c r="M29" s="64">
        <v>82.58</v>
      </c>
      <c r="N29" s="64">
        <v>26.1</v>
      </c>
      <c r="O29" s="64">
        <v>0</v>
      </c>
      <c r="P29" s="64">
        <v>0.7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2477</v>
      </c>
      <c r="B30" s="64">
        <v>8.19</v>
      </c>
      <c r="C30" s="64">
        <v>17.88</v>
      </c>
      <c r="D30" s="64">
        <v>14.53</v>
      </c>
      <c r="E30" s="64">
        <v>7.33</v>
      </c>
      <c r="F30" s="64">
        <v>4.21</v>
      </c>
      <c r="G30" s="64">
        <v>77.61</v>
      </c>
      <c r="H30" s="64">
        <v>5.65</v>
      </c>
      <c r="I30" s="64">
        <v>4.2</v>
      </c>
      <c r="J30" s="64">
        <v>1.71</v>
      </c>
      <c r="K30" s="64">
        <v>332.96</v>
      </c>
      <c r="L30" s="64">
        <v>20.420000000000002</v>
      </c>
      <c r="M30" s="64">
        <v>83.15</v>
      </c>
      <c r="N30" s="64">
        <v>25.9</v>
      </c>
      <c r="O30" s="64">
        <v>0</v>
      </c>
      <c r="P30" s="64">
        <v>0.7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2478</v>
      </c>
      <c r="B31" s="64">
        <v>7.8</v>
      </c>
      <c r="C31" s="64">
        <v>17.37</v>
      </c>
      <c r="D31" s="64">
        <v>13.95</v>
      </c>
      <c r="E31" s="64">
        <v>7.38</v>
      </c>
      <c r="F31" s="64">
        <v>4.95</v>
      </c>
      <c r="G31" s="64">
        <v>83.98</v>
      </c>
      <c r="H31" s="64">
        <v>40.869999999999997</v>
      </c>
      <c r="I31" s="64">
        <v>4.13</v>
      </c>
      <c r="J31" s="64">
        <v>1.75</v>
      </c>
      <c r="K31" s="64">
        <v>337.07</v>
      </c>
      <c r="L31" s="64">
        <v>20.27</v>
      </c>
      <c r="M31" s="64">
        <v>84.78</v>
      </c>
      <c r="N31" s="64">
        <v>26</v>
      </c>
      <c r="O31" s="64">
        <v>0</v>
      </c>
      <c r="P31" s="64">
        <v>0.68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2479</v>
      </c>
      <c r="B32" s="64">
        <v>7.57</v>
      </c>
      <c r="C32" s="64">
        <v>16.87</v>
      </c>
      <c r="D32" s="64">
        <v>13.51</v>
      </c>
      <c r="E32" s="64">
        <v>7.65</v>
      </c>
      <c r="F32" s="64">
        <v>4.71</v>
      </c>
      <c r="G32" s="64">
        <v>84.51</v>
      </c>
      <c r="H32" s="64">
        <v>40.869999999999997</v>
      </c>
      <c r="I32" s="64">
        <v>4.04</v>
      </c>
      <c r="J32" s="64">
        <v>1.65</v>
      </c>
      <c r="K32" s="64">
        <v>333.54</v>
      </c>
      <c r="L32" s="64">
        <v>20.190000000000001</v>
      </c>
      <c r="M32" s="64">
        <v>85.95</v>
      </c>
      <c r="N32" s="64">
        <v>26.4</v>
      </c>
      <c r="O32" s="64">
        <v>0</v>
      </c>
      <c r="P32" s="64">
        <v>0.65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2480</v>
      </c>
      <c r="B33" s="64">
        <v>7.92</v>
      </c>
      <c r="C33" s="64">
        <v>16.29</v>
      </c>
      <c r="D33" s="64">
        <v>13.48</v>
      </c>
      <c r="E33" s="64">
        <v>7.31</v>
      </c>
      <c r="F33" s="64">
        <v>4.0599999999999996</v>
      </c>
      <c r="G33" s="64">
        <v>84.51</v>
      </c>
      <c r="H33" s="64">
        <v>40.869999999999997</v>
      </c>
      <c r="I33" s="64">
        <v>3.92</v>
      </c>
      <c r="J33" s="64">
        <v>1.46</v>
      </c>
      <c r="K33" s="64">
        <v>340.88</v>
      </c>
      <c r="L33" s="64">
        <v>20.190000000000001</v>
      </c>
      <c r="M33" s="64">
        <v>85.81</v>
      </c>
      <c r="N33" s="64">
        <v>30.7</v>
      </c>
      <c r="O33" s="64">
        <v>0</v>
      </c>
      <c r="P33" s="64">
        <v>0.64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2481</v>
      </c>
      <c r="B34" s="64">
        <v>8.1999999999999993</v>
      </c>
      <c r="C34" s="64">
        <v>15.62</v>
      </c>
      <c r="D34" s="64">
        <v>13.36</v>
      </c>
      <c r="E34" s="64">
        <v>7.21</v>
      </c>
      <c r="F34" s="64">
        <v>4.3499999999999996</v>
      </c>
      <c r="G34" s="64">
        <v>84.51</v>
      </c>
      <c r="H34" s="64">
        <v>40.869999999999997</v>
      </c>
      <c r="I34" s="64">
        <v>3.77</v>
      </c>
      <c r="J34" s="64">
        <v>1.49</v>
      </c>
      <c r="K34" s="64">
        <v>339.88</v>
      </c>
      <c r="L34" s="64">
        <v>20.440000000000001</v>
      </c>
      <c r="M34" s="64">
        <v>84.61</v>
      </c>
      <c r="N34" s="64">
        <v>44.7</v>
      </c>
      <c r="O34" s="64">
        <v>0</v>
      </c>
      <c r="P34" s="64">
        <v>0.64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2482</v>
      </c>
      <c r="B35" s="64">
        <v>8.61</v>
      </c>
      <c r="C35" s="64">
        <v>15.69</v>
      </c>
      <c r="D35" s="64">
        <v>13.72</v>
      </c>
      <c r="E35" s="64">
        <v>6.95</v>
      </c>
      <c r="F35" s="64">
        <v>4.63</v>
      </c>
      <c r="G35" s="64">
        <v>86.34</v>
      </c>
      <c r="H35" s="64">
        <v>41.77</v>
      </c>
      <c r="I35" s="64">
        <v>3.74</v>
      </c>
      <c r="J35" s="64">
        <v>1.52</v>
      </c>
      <c r="K35" s="64">
        <v>342.61</v>
      </c>
      <c r="L35" s="64">
        <v>20.81</v>
      </c>
      <c r="M35" s="64">
        <v>82.08</v>
      </c>
      <c r="N35" s="64">
        <v>69.2</v>
      </c>
      <c r="O35" s="64">
        <v>0</v>
      </c>
      <c r="P35" s="64">
        <v>0.63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5" t="s">
        <v>2483</v>
      </c>
      <c r="B36" s="64">
        <v>8.93</v>
      </c>
      <c r="C36" s="64">
        <v>16.14</v>
      </c>
      <c r="D36" s="64">
        <v>14.22</v>
      </c>
      <c r="E36" s="64">
        <v>7.23</v>
      </c>
      <c r="F36" s="64">
        <v>4.0199999999999996</v>
      </c>
      <c r="G36" s="64">
        <v>86.5</v>
      </c>
      <c r="H36" s="64">
        <v>41.77</v>
      </c>
      <c r="I36" s="64">
        <v>3.76</v>
      </c>
      <c r="J36" s="64">
        <v>2.08</v>
      </c>
      <c r="K36" s="64">
        <v>339.84</v>
      </c>
      <c r="L36" s="64">
        <v>21.25</v>
      </c>
      <c r="M36" s="64">
        <v>79.849999999999994</v>
      </c>
      <c r="N36" s="64">
        <v>89.7</v>
      </c>
      <c r="O36" s="64">
        <v>0</v>
      </c>
      <c r="P36" s="64">
        <v>0.61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2484</v>
      </c>
      <c r="B37" s="64">
        <v>8.58</v>
      </c>
      <c r="C37" s="64">
        <v>16.39</v>
      </c>
      <c r="D37" s="64">
        <v>14.06</v>
      </c>
      <c r="E37" s="64">
        <v>7.25</v>
      </c>
      <c r="F37" s="64">
        <v>3.96</v>
      </c>
      <c r="G37" s="64">
        <v>86.5</v>
      </c>
      <c r="H37" s="64">
        <v>41.77</v>
      </c>
      <c r="I37" s="64">
        <v>3.78</v>
      </c>
      <c r="J37" s="64">
        <v>2.06</v>
      </c>
      <c r="K37" s="64">
        <v>340.23</v>
      </c>
      <c r="L37" s="64">
        <v>22.23</v>
      </c>
      <c r="M37" s="64">
        <v>75.81</v>
      </c>
      <c r="N37" s="64">
        <v>164</v>
      </c>
      <c r="O37" s="64">
        <v>0</v>
      </c>
      <c r="P37" s="64">
        <v>0.68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2485</v>
      </c>
      <c r="B38" s="64">
        <v>8.18</v>
      </c>
      <c r="C38" s="64">
        <v>16.670000000000002</v>
      </c>
      <c r="D38" s="64">
        <v>13.9</v>
      </c>
      <c r="E38" s="64">
        <v>7.36</v>
      </c>
      <c r="F38" s="64">
        <v>4.18</v>
      </c>
      <c r="G38" s="64">
        <v>86.5</v>
      </c>
      <c r="H38" s="64">
        <v>41.77</v>
      </c>
      <c r="I38" s="64">
        <v>3.81</v>
      </c>
      <c r="J38" s="64">
        <v>1.69</v>
      </c>
      <c r="K38" s="64">
        <v>340.62</v>
      </c>
      <c r="L38" s="64">
        <v>23.96</v>
      </c>
      <c r="M38" s="64">
        <v>69.11</v>
      </c>
      <c r="N38" s="64">
        <v>222.3</v>
      </c>
      <c r="O38" s="64">
        <v>0</v>
      </c>
      <c r="P38" s="64">
        <v>0.7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5" t="s">
        <v>2486</v>
      </c>
      <c r="B39" s="64">
        <v>8.32</v>
      </c>
      <c r="C39" s="64">
        <v>17.100000000000001</v>
      </c>
      <c r="D39" s="64">
        <v>14.23</v>
      </c>
      <c r="E39" s="64">
        <v>7.6</v>
      </c>
      <c r="F39" s="64">
        <v>4.1900000000000004</v>
      </c>
      <c r="G39" s="64">
        <v>74.680000000000007</v>
      </c>
      <c r="H39" s="64">
        <v>29.44</v>
      </c>
      <c r="I39" s="64">
        <v>3.77</v>
      </c>
      <c r="J39" s="64">
        <v>1.75</v>
      </c>
      <c r="K39" s="64">
        <v>342.75</v>
      </c>
      <c r="L39" s="64">
        <v>25.56</v>
      </c>
      <c r="M39" s="64">
        <v>63.32</v>
      </c>
      <c r="N39" s="64">
        <v>276.2</v>
      </c>
      <c r="O39" s="64">
        <v>0</v>
      </c>
      <c r="P39" s="64">
        <v>0.71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2487</v>
      </c>
      <c r="B40" s="64">
        <v>9.11</v>
      </c>
      <c r="C40" s="64">
        <v>18.13</v>
      </c>
      <c r="D40" s="64">
        <v>15.4</v>
      </c>
      <c r="E40" s="64">
        <v>5.78</v>
      </c>
      <c r="F40" s="64">
        <v>4.33</v>
      </c>
      <c r="G40" s="64">
        <v>73.680000000000007</v>
      </c>
      <c r="H40" s="64">
        <v>29.44</v>
      </c>
      <c r="I40" s="64">
        <v>3.7</v>
      </c>
      <c r="J40" s="64">
        <v>1.9</v>
      </c>
      <c r="K40" s="64">
        <v>339.58</v>
      </c>
      <c r="L40" s="64">
        <v>27.04</v>
      </c>
      <c r="M40" s="64">
        <v>58.5</v>
      </c>
      <c r="N40" s="64">
        <v>316.60000000000002</v>
      </c>
      <c r="O40" s="64">
        <v>0</v>
      </c>
      <c r="P40" s="64">
        <v>0.71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2488</v>
      </c>
      <c r="B41" s="64">
        <v>10.55</v>
      </c>
      <c r="C41" s="64">
        <v>19.68</v>
      </c>
      <c r="D41" s="64">
        <v>17.36</v>
      </c>
      <c r="E41" s="64">
        <v>6</v>
      </c>
      <c r="F41" s="64">
        <v>4.47</v>
      </c>
      <c r="G41" s="64">
        <v>73.680000000000007</v>
      </c>
      <c r="H41" s="64">
        <v>29.44</v>
      </c>
      <c r="I41" s="64">
        <v>3.78</v>
      </c>
      <c r="J41" s="64">
        <v>1.94</v>
      </c>
      <c r="K41" s="64">
        <v>338.17</v>
      </c>
      <c r="L41" s="64">
        <v>27.92</v>
      </c>
      <c r="M41" s="64">
        <v>56.85</v>
      </c>
      <c r="N41" s="64">
        <v>356.1</v>
      </c>
      <c r="O41" s="64">
        <v>0</v>
      </c>
      <c r="P41" s="64">
        <v>0.71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5" t="s">
        <v>2489</v>
      </c>
      <c r="B42" s="64">
        <v>11.84</v>
      </c>
      <c r="C42" s="64">
        <v>20.65</v>
      </c>
      <c r="D42" s="64">
        <v>18.91</v>
      </c>
      <c r="E42" s="64">
        <v>6.43</v>
      </c>
      <c r="F42" s="64">
        <v>5.05</v>
      </c>
      <c r="G42" s="64">
        <v>73.680000000000007</v>
      </c>
      <c r="H42" s="64">
        <v>29.44</v>
      </c>
      <c r="I42" s="64">
        <v>3.94</v>
      </c>
      <c r="J42" s="64">
        <v>1.84</v>
      </c>
      <c r="K42" s="64">
        <v>339.61</v>
      </c>
      <c r="L42" s="64">
        <v>29.36</v>
      </c>
      <c r="M42" s="64">
        <v>53.82</v>
      </c>
      <c r="N42" s="64">
        <v>396.5</v>
      </c>
      <c r="O42" s="64">
        <v>0</v>
      </c>
      <c r="P42" s="64">
        <v>0.73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2490</v>
      </c>
      <c r="B43" s="64">
        <v>12.84</v>
      </c>
      <c r="C43" s="64">
        <v>21.58</v>
      </c>
      <c r="D43" s="64">
        <v>20.2</v>
      </c>
      <c r="E43" s="64">
        <v>6.23</v>
      </c>
      <c r="F43" s="64">
        <v>4.5999999999999996</v>
      </c>
      <c r="G43" s="64">
        <v>81.510000000000005</v>
      </c>
      <c r="H43" s="64">
        <v>38.08</v>
      </c>
      <c r="I43" s="64">
        <v>3.96</v>
      </c>
      <c r="J43" s="64">
        <v>1.78</v>
      </c>
      <c r="K43" s="64">
        <v>334.92</v>
      </c>
      <c r="L43" s="64">
        <v>29.98</v>
      </c>
      <c r="M43" s="64">
        <v>54.33</v>
      </c>
      <c r="N43" s="64">
        <v>442.4</v>
      </c>
      <c r="O43" s="64">
        <v>0</v>
      </c>
      <c r="P43" s="64">
        <v>0.76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2491</v>
      </c>
      <c r="B44" s="64">
        <v>13.09</v>
      </c>
      <c r="C44" s="64">
        <v>21.34</v>
      </c>
      <c r="D44" s="64">
        <v>20.27</v>
      </c>
      <c r="E44" s="64">
        <v>6.29</v>
      </c>
      <c r="F44" s="64">
        <v>5.1100000000000003</v>
      </c>
      <c r="G44" s="64">
        <v>82.17</v>
      </c>
      <c r="H44" s="64">
        <v>38.08</v>
      </c>
      <c r="I44" s="64">
        <v>3.93</v>
      </c>
      <c r="J44" s="64">
        <v>2.06</v>
      </c>
      <c r="K44" s="64">
        <v>339.45</v>
      </c>
      <c r="L44" s="64">
        <v>28.2</v>
      </c>
      <c r="M44" s="64">
        <v>61.21</v>
      </c>
      <c r="N44" s="64">
        <v>476.9</v>
      </c>
      <c r="O44" s="64">
        <v>0</v>
      </c>
      <c r="P44" s="64">
        <v>0.75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2492</v>
      </c>
      <c r="B45" s="64">
        <v>12.38</v>
      </c>
      <c r="C45" s="64">
        <v>21.84</v>
      </c>
      <c r="D45" s="64">
        <v>19.96</v>
      </c>
      <c r="E45" s="64">
        <v>6.42</v>
      </c>
      <c r="F45" s="64">
        <v>4.8099999999999996</v>
      </c>
      <c r="G45" s="64">
        <v>82.17</v>
      </c>
      <c r="H45" s="64">
        <v>38.08</v>
      </c>
      <c r="I45" s="64">
        <v>3.86</v>
      </c>
      <c r="J45" s="64">
        <v>1.98</v>
      </c>
      <c r="K45" s="64">
        <v>336.07</v>
      </c>
      <c r="L45" s="64">
        <v>28.12</v>
      </c>
      <c r="M45" s="64">
        <v>62.76</v>
      </c>
      <c r="N45" s="64">
        <v>520.70000000000005</v>
      </c>
      <c r="O45" s="64">
        <v>0</v>
      </c>
      <c r="P45" s="64">
        <v>0.74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5" t="s">
        <v>2493</v>
      </c>
      <c r="B46" s="64">
        <v>11.37</v>
      </c>
      <c r="C46" s="64">
        <v>21.99</v>
      </c>
      <c r="D46" s="64">
        <v>19.23</v>
      </c>
      <c r="E46" s="64">
        <v>6.52</v>
      </c>
      <c r="F46" s="64">
        <v>4.59</v>
      </c>
      <c r="G46" s="64">
        <v>82.17</v>
      </c>
      <c r="H46" s="64">
        <v>38.08</v>
      </c>
      <c r="I46" s="64">
        <v>3.82</v>
      </c>
      <c r="J46" s="64">
        <v>1.92</v>
      </c>
      <c r="K46" s="64">
        <v>338.06</v>
      </c>
      <c r="L46" s="64">
        <v>28.46</v>
      </c>
      <c r="M46" s="64">
        <v>61.98</v>
      </c>
      <c r="N46" s="64">
        <v>561.79999999999995</v>
      </c>
      <c r="O46" s="64">
        <v>0</v>
      </c>
      <c r="P46" s="64">
        <v>0.74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2494</v>
      </c>
      <c r="B47" s="64">
        <v>10.36</v>
      </c>
      <c r="C47" s="64">
        <v>21.8</v>
      </c>
      <c r="D47" s="64">
        <v>18.32</v>
      </c>
      <c r="E47" s="64">
        <v>6.07</v>
      </c>
      <c r="F47" s="64">
        <v>4.75</v>
      </c>
      <c r="G47" s="64">
        <v>80.69</v>
      </c>
      <c r="H47" s="64">
        <v>8.3800000000000008</v>
      </c>
      <c r="I47" s="64">
        <v>3.78</v>
      </c>
      <c r="J47" s="64">
        <v>2.2000000000000002</v>
      </c>
      <c r="K47" s="64">
        <v>337.59</v>
      </c>
      <c r="L47" s="64">
        <v>29.74</v>
      </c>
      <c r="M47" s="64">
        <v>55.12</v>
      </c>
      <c r="N47" s="64">
        <v>575.79999999999995</v>
      </c>
      <c r="O47" s="64">
        <v>0</v>
      </c>
      <c r="P47" s="64">
        <v>0.73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2495</v>
      </c>
      <c r="B48" s="64">
        <v>9.7799999999999994</v>
      </c>
      <c r="C48" s="64">
        <v>22.92</v>
      </c>
      <c r="D48" s="64">
        <v>18.440000000000001</v>
      </c>
      <c r="E48" s="64">
        <v>6.21</v>
      </c>
      <c r="F48" s="64">
        <v>4.42</v>
      </c>
      <c r="G48" s="64">
        <v>80.56</v>
      </c>
      <c r="H48" s="64">
        <v>8.3800000000000008</v>
      </c>
      <c r="I48" s="64">
        <v>3.7</v>
      </c>
      <c r="J48" s="64">
        <v>2.4</v>
      </c>
      <c r="K48" s="64">
        <v>338.5</v>
      </c>
      <c r="L48" s="64">
        <v>31.49</v>
      </c>
      <c r="M48" s="64">
        <v>48.77</v>
      </c>
      <c r="N48" s="64">
        <v>623.9</v>
      </c>
      <c r="O48" s="64">
        <v>0</v>
      </c>
      <c r="P48" s="64">
        <v>0.72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2496</v>
      </c>
      <c r="B49" s="64">
        <v>9.3000000000000007</v>
      </c>
      <c r="C49" s="64">
        <v>23.81</v>
      </c>
      <c r="D49" s="64">
        <v>18.52</v>
      </c>
      <c r="E49" s="64">
        <v>6.04</v>
      </c>
      <c r="F49" s="64">
        <v>5.18</v>
      </c>
      <c r="G49" s="64">
        <v>80.56</v>
      </c>
      <c r="H49" s="64">
        <v>8.3800000000000008</v>
      </c>
      <c r="I49" s="64">
        <v>3.58</v>
      </c>
      <c r="J49" s="64">
        <v>2.3199999999999998</v>
      </c>
      <c r="K49" s="64">
        <v>336.98</v>
      </c>
      <c r="L49" s="64">
        <v>32.07</v>
      </c>
      <c r="M49" s="64">
        <v>47.88</v>
      </c>
      <c r="N49" s="64">
        <v>598.79999999999995</v>
      </c>
      <c r="O49" s="64">
        <v>0</v>
      </c>
      <c r="P49" s="64">
        <v>0.73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2497</v>
      </c>
      <c r="B50" s="64">
        <v>8.91</v>
      </c>
      <c r="C50" s="64">
        <v>23.68</v>
      </c>
      <c r="D50" s="64">
        <v>18.13</v>
      </c>
      <c r="E50" s="64">
        <v>6.41</v>
      </c>
      <c r="F50" s="64">
        <v>4.55</v>
      </c>
      <c r="G50" s="64">
        <v>80.56</v>
      </c>
      <c r="H50" s="64">
        <v>8.3800000000000008</v>
      </c>
      <c r="I50" s="64">
        <v>3.56</v>
      </c>
      <c r="J50" s="64">
        <v>1.52</v>
      </c>
      <c r="K50" s="64">
        <v>338.94</v>
      </c>
      <c r="L50" s="64">
        <v>32.409999999999997</v>
      </c>
      <c r="M50" s="64">
        <v>46.54</v>
      </c>
      <c r="N50" s="64">
        <v>656.4</v>
      </c>
      <c r="O50" s="64">
        <v>0</v>
      </c>
      <c r="P50" s="64">
        <v>0.73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5" t="s">
        <v>2498</v>
      </c>
      <c r="B51" s="64">
        <v>8.43</v>
      </c>
      <c r="C51" s="64">
        <v>23.37</v>
      </c>
      <c r="D51" s="64">
        <v>17.59</v>
      </c>
      <c r="E51" s="64">
        <v>6.29</v>
      </c>
      <c r="F51" s="64">
        <v>6.07</v>
      </c>
      <c r="G51" s="64">
        <v>82.56</v>
      </c>
      <c r="H51" s="64">
        <v>25.32</v>
      </c>
      <c r="I51" s="64">
        <v>3.43</v>
      </c>
      <c r="J51" s="64">
        <v>2.16</v>
      </c>
      <c r="K51" s="64">
        <v>333.62</v>
      </c>
      <c r="L51" s="64">
        <v>32.26</v>
      </c>
      <c r="M51" s="64">
        <v>46.96</v>
      </c>
      <c r="N51" s="64">
        <v>636.5</v>
      </c>
      <c r="O51" s="64">
        <v>0</v>
      </c>
      <c r="P51" s="64">
        <v>0.73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2499</v>
      </c>
      <c r="B52" s="64">
        <v>5.16</v>
      </c>
      <c r="C52" s="64">
        <v>29.14</v>
      </c>
      <c r="D52" s="64">
        <v>17.98</v>
      </c>
      <c r="E52" s="64">
        <v>8.3000000000000007</v>
      </c>
      <c r="F52" s="64">
        <v>7.75</v>
      </c>
      <c r="G52" s="64">
        <v>82.73</v>
      </c>
      <c r="H52" s="64">
        <v>25.32</v>
      </c>
      <c r="I52" s="64">
        <v>3.32</v>
      </c>
      <c r="J52" s="64">
        <v>1.65</v>
      </c>
      <c r="K52" s="64">
        <v>333.96</v>
      </c>
      <c r="L52" s="64">
        <v>32.65</v>
      </c>
      <c r="M52" s="64">
        <v>44.69</v>
      </c>
      <c r="N52" s="64">
        <v>691.3</v>
      </c>
      <c r="O52" s="64">
        <v>0</v>
      </c>
      <c r="P52" s="64">
        <v>0.69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2500</v>
      </c>
      <c r="B53" s="64">
        <v>3.62</v>
      </c>
      <c r="C53" s="64">
        <v>30.53</v>
      </c>
      <c r="D53" s="64">
        <v>17.47</v>
      </c>
      <c r="E53" s="64">
        <v>7.47</v>
      </c>
      <c r="F53" s="64">
        <v>6.93</v>
      </c>
      <c r="G53" s="64">
        <v>82.73</v>
      </c>
      <c r="H53" s="64">
        <v>25.32</v>
      </c>
      <c r="I53" s="64">
        <v>3.17</v>
      </c>
      <c r="J53" s="64">
        <v>1.68</v>
      </c>
      <c r="K53" s="64">
        <v>338.62</v>
      </c>
      <c r="L53" s="64">
        <v>32.17</v>
      </c>
      <c r="M53" s="64">
        <v>45.85</v>
      </c>
      <c r="N53" s="64">
        <v>718.2</v>
      </c>
      <c r="O53" s="64">
        <v>0</v>
      </c>
      <c r="P53" s="64">
        <v>0.7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2501</v>
      </c>
      <c r="B54" s="64">
        <v>3.76</v>
      </c>
      <c r="C54" s="64">
        <v>30.92</v>
      </c>
      <c r="D54" s="64">
        <v>17.79</v>
      </c>
      <c r="E54" s="64">
        <v>7.67</v>
      </c>
      <c r="F54" s="64">
        <v>6.67</v>
      </c>
      <c r="G54" s="64">
        <v>82.73</v>
      </c>
      <c r="H54" s="64">
        <v>25.32</v>
      </c>
      <c r="I54" s="64">
        <v>3.17</v>
      </c>
      <c r="J54" s="64">
        <v>2.5299999999999998</v>
      </c>
      <c r="K54" s="64">
        <v>335.37</v>
      </c>
      <c r="L54" s="64">
        <v>32.450000000000003</v>
      </c>
      <c r="M54" s="64">
        <v>45.02</v>
      </c>
      <c r="N54" s="64">
        <v>668.4</v>
      </c>
      <c r="O54" s="64">
        <v>0</v>
      </c>
      <c r="P54" s="64">
        <v>0.68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2502</v>
      </c>
      <c r="B55" s="64">
        <v>3.3</v>
      </c>
      <c r="C55" s="64">
        <v>29.77</v>
      </c>
      <c r="D55" s="64">
        <v>16.82</v>
      </c>
      <c r="E55" s="64">
        <v>7.08</v>
      </c>
      <c r="F55" s="64">
        <v>6.12</v>
      </c>
      <c r="G55" s="64">
        <v>81.94</v>
      </c>
      <c r="H55" s="64">
        <v>19</v>
      </c>
      <c r="I55" s="64">
        <v>2.91</v>
      </c>
      <c r="J55" s="64">
        <v>1.58</v>
      </c>
      <c r="K55" s="64">
        <v>335.88</v>
      </c>
      <c r="L55" s="64">
        <v>32.42</v>
      </c>
      <c r="M55" s="64">
        <v>44.13</v>
      </c>
      <c r="N55" s="64">
        <v>653.79999999999995</v>
      </c>
      <c r="O55" s="64">
        <v>0</v>
      </c>
      <c r="P55" s="64">
        <v>0.67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2503</v>
      </c>
      <c r="B56" s="64">
        <v>3.19</v>
      </c>
      <c r="C56" s="64">
        <v>26.95</v>
      </c>
      <c r="D56" s="64">
        <v>15.26</v>
      </c>
      <c r="E56" s="64">
        <v>7.63</v>
      </c>
      <c r="F56" s="64">
        <v>5.9</v>
      </c>
      <c r="G56" s="64">
        <v>81.87</v>
      </c>
      <c r="H56" s="64">
        <v>19</v>
      </c>
      <c r="I56" s="64">
        <v>2.9</v>
      </c>
      <c r="J56" s="64">
        <v>0.84</v>
      </c>
      <c r="K56" s="64">
        <v>339.61</v>
      </c>
      <c r="L56" s="64">
        <v>31.8</v>
      </c>
      <c r="M56" s="64">
        <v>46.37</v>
      </c>
      <c r="N56" s="64">
        <v>551.29999999999995</v>
      </c>
      <c r="O56" s="64">
        <v>0</v>
      </c>
      <c r="P56" s="64">
        <v>0.65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2504</v>
      </c>
      <c r="B57" s="64">
        <v>2.89</v>
      </c>
      <c r="C57" s="64">
        <v>25.87</v>
      </c>
      <c r="D57" s="64">
        <v>14.45</v>
      </c>
      <c r="E57" s="64">
        <v>7.66</v>
      </c>
      <c r="F57" s="64">
        <v>6.63</v>
      </c>
      <c r="G57" s="64">
        <v>81.87</v>
      </c>
      <c r="H57" s="64">
        <v>19</v>
      </c>
      <c r="I57" s="64">
        <v>2.84</v>
      </c>
      <c r="J57" s="64">
        <v>1.69</v>
      </c>
      <c r="K57" s="64">
        <v>335.42</v>
      </c>
      <c r="L57" s="64">
        <v>31.53</v>
      </c>
      <c r="M57" s="64">
        <v>46.38</v>
      </c>
      <c r="N57" s="64">
        <v>599.1</v>
      </c>
      <c r="O57" s="64">
        <v>0</v>
      </c>
      <c r="P57" s="64">
        <v>0.66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5" t="s">
        <v>2505</v>
      </c>
      <c r="B58" s="64">
        <v>2.44</v>
      </c>
      <c r="C58" s="64">
        <v>25.36</v>
      </c>
      <c r="D58" s="64">
        <v>13.83</v>
      </c>
      <c r="E58" s="64">
        <v>7.22</v>
      </c>
      <c r="F58" s="64">
        <v>5.84</v>
      </c>
      <c r="G58" s="64">
        <v>81.87</v>
      </c>
      <c r="H58" s="64">
        <v>19</v>
      </c>
      <c r="I58" s="64">
        <v>2.78</v>
      </c>
      <c r="J58" s="64">
        <v>1.58</v>
      </c>
      <c r="K58" s="64">
        <v>338.63</v>
      </c>
      <c r="L58" s="64">
        <v>32.479999999999997</v>
      </c>
      <c r="M58" s="64">
        <v>43.41</v>
      </c>
      <c r="N58" s="64">
        <v>555.4</v>
      </c>
      <c r="O58" s="64">
        <v>0</v>
      </c>
      <c r="P58" s="64">
        <v>0.66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2506</v>
      </c>
      <c r="B59" s="64">
        <v>2.59</v>
      </c>
      <c r="C59" s="64">
        <v>23.71</v>
      </c>
      <c r="D59" s="64">
        <v>13.09</v>
      </c>
      <c r="E59" s="64">
        <v>6.82</v>
      </c>
      <c r="F59" s="64">
        <v>5.48</v>
      </c>
      <c r="G59" s="64">
        <v>58.93</v>
      </c>
      <c r="H59" s="64">
        <v>36.93</v>
      </c>
      <c r="I59" s="64">
        <v>2.99</v>
      </c>
      <c r="J59" s="64">
        <v>0.67</v>
      </c>
      <c r="K59" s="64">
        <v>339.66</v>
      </c>
      <c r="L59" s="64">
        <v>31.6</v>
      </c>
      <c r="M59" s="64">
        <v>44</v>
      </c>
      <c r="N59" s="64">
        <v>565.79999999999995</v>
      </c>
      <c r="O59" s="64">
        <v>0</v>
      </c>
      <c r="P59" s="64">
        <v>0.67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5" t="s">
        <v>2507</v>
      </c>
      <c r="B60" s="64">
        <v>2.67</v>
      </c>
      <c r="C60" s="64">
        <v>23.77</v>
      </c>
      <c r="D60" s="64">
        <v>13.19</v>
      </c>
      <c r="E60" s="64">
        <v>7.27</v>
      </c>
      <c r="F60" s="64">
        <v>6.16</v>
      </c>
      <c r="G60" s="64">
        <v>56.99</v>
      </c>
      <c r="H60" s="64">
        <v>36.93</v>
      </c>
      <c r="I60" s="64">
        <v>3.04</v>
      </c>
      <c r="J60" s="64">
        <v>1.33</v>
      </c>
      <c r="K60" s="64">
        <v>335.11</v>
      </c>
      <c r="L60" s="64">
        <v>30.13</v>
      </c>
      <c r="M60" s="64">
        <v>53.8</v>
      </c>
      <c r="N60" s="64">
        <v>403.7</v>
      </c>
      <c r="O60" s="64">
        <v>0</v>
      </c>
      <c r="P60" s="64">
        <v>0.67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2508</v>
      </c>
      <c r="B61" s="64">
        <v>1.87</v>
      </c>
      <c r="C61" s="64">
        <v>23.18</v>
      </c>
      <c r="D61" s="64">
        <v>12.23</v>
      </c>
      <c r="E61" s="64">
        <v>7.5</v>
      </c>
      <c r="F61" s="64">
        <v>6.66</v>
      </c>
      <c r="G61" s="64">
        <v>56.99</v>
      </c>
      <c r="H61" s="64">
        <v>36.93</v>
      </c>
      <c r="I61" s="64">
        <v>3.27</v>
      </c>
      <c r="J61" s="64">
        <v>2.2400000000000002</v>
      </c>
      <c r="K61" s="64">
        <v>332.16</v>
      </c>
      <c r="L61" s="64">
        <v>30.6</v>
      </c>
      <c r="M61" s="64">
        <v>50.4</v>
      </c>
      <c r="N61" s="64">
        <v>310.10000000000002</v>
      </c>
      <c r="O61" s="64">
        <v>0</v>
      </c>
      <c r="P61" s="64">
        <v>0.64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2509</v>
      </c>
      <c r="B62" s="64">
        <v>1.57</v>
      </c>
      <c r="C62" s="64">
        <v>24.12</v>
      </c>
      <c r="D62" s="64">
        <v>12.48</v>
      </c>
      <c r="E62" s="64">
        <v>7.27</v>
      </c>
      <c r="F62" s="64">
        <v>8.0399999999999991</v>
      </c>
      <c r="G62" s="64">
        <v>56.99</v>
      </c>
      <c r="H62" s="64">
        <v>36.93</v>
      </c>
      <c r="I62" s="64">
        <v>3.52</v>
      </c>
      <c r="J62" s="64">
        <v>1.98</v>
      </c>
      <c r="K62" s="64">
        <v>340.52</v>
      </c>
      <c r="L62" s="64">
        <v>31.46</v>
      </c>
      <c r="M62" s="64">
        <v>46.01</v>
      </c>
      <c r="N62" s="64">
        <v>244.7</v>
      </c>
      <c r="O62" s="64">
        <v>0</v>
      </c>
      <c r="P62" s="64">
        <v>0.66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2510</v>
      </c>
      <c r="B63" s="64">
        <v>1.34</v>
      </c>
      <c r="C63" s="64">
        <v>24.22</v>
      </c>
      <c r="D63" s="64">
        <v>12.36</v>
      </c>
      <c r="E63" s="64">
        <v>7.57</v>
      </c>
      <c r="F63" s="64">
        <v>6.14</v>
      </c>
      <c r="G63" s="64">
        <v>60.76</v>
      </c>
      <c r="H63" s="64">
        <v>21.35</v>
      </c>
      <c r="I63" s="64">
        <v>3.32</v>
      </c>
      <c r="J63" s="64">
        <v>2.11</v>
      </c>
      <c r="K63" s="64">
        <v>334.49</v>
      </c>
      <c r="L63" s="64">
        <v>31.31</v>
      </c>
      <c r="M63" s="64">
        <v>45.49</v>
      </c>
      <c r="N63" s="64">
        <v>225.6</v>
      </c>
      <c r="O63" s="64">
        <v>0</v>
      </c>
      <c r="P63" s="64">
        <v>0.66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2511</v>
      </c>
      <c r="B64" s="64">
        <v>1.3</v>
      </c>
      <c r="C64" s="64">
        <v>22.98</v>
      </c>
      <c r="D64" s="64">
        <v>11.67</v>
      </c>
      <c r="E64" s="64">
        <v>6.96</v>
      </c>
      <c r="F64" s="64">
        <v>6.46</v>
      </c>
      <c r="G64" s="64">
        <v>61.13</v>
      </c>
      <c r="H64" s="64">
        <v>21.35</v>
      </c>
      <c r="I64" s="64">
        <v>3.08</v>
      </c>
      <c r="J64" s="64">
        <v>1.82</v>
      </c>
      <c r="K64" s="64">
        <v>335.45</v>
      </c>
      <c r="L64" s="64">
        <v>30.81</v>
      </c>
      <c r="M64" s="64">
        <v>47.47</v>
      </c>
      <c r="N64" s="64">
        <v>210.1</v>
      </c>
      <c r="O64" s="64">
        <v>0</v>
      </c>
      <c r="P64" s="64">
        <v>0.64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2512</v>
      </c>
      <c r="B65" s="64">
        <v>1.33</v>
      </c>
      <c r="C65" s="64">
        <v>21.52</v>
      </c>
      <c r="D65" s="64">
        <v>10.94</v>
      </c>
      <c r="E65" s="64">
        <v>6.57</v>
      </c>
      <c r="F65" s="64">
        <v>6.01</v>
      </c>
      <c r="G65" s="64">
        <v>61.13</v>
      </c>
      <c r="H65" s="64">
        <v>21.35</v>
      </c>
      <c r="I65" s="64">
        <v>3.09</v>
      </c>
      <c r="J65" s="64">
        <v>2.09</v>
      </c>
      <c r="K65" s="64">
        <v>338.51</v>
      </c>
      <c r="L65" s="64">
        <v>30.83</v>
      </c>
      <c r="M65" s="64">
        <v>47.43</v>
      </c>
      <c r="N65" s="64">
        <v>217.6</v>
      </c>
      <c r="O65" s="64">
        <v>0</v>
      </c>
      <c r="P65" s="64">
        <v>0.65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5" t="s">
        <v>2513</v>
      </c>
      <c r="B66" s="64">
        <v>1.34</v>
      </c>
      <c r="C66" s="64">
        <v>20.74</v>
      </c>
      <c r="D66" s="64">
        <v>10.53</v>
      </c>
      <c r="E66" s="64">
        <v>6.57</v>
      </c>
      <c r="F66" s="64">
        <v>6.64</v>
      </c>
      <c r="G66" s="64">
        <v>61.13</v>
      </c>
      <c r="H66" s="64">
        <v>21.35</v>
      </c>
      <c r="I66" s="64">
        <v>2.93</v>
      </c>
      <c r="J66" s="64">
        <v>1.87</v>
      </c>
      <c r="K66" s="64">
        <v>337.84</v>
      </c>
      <c r="L66" s="64">
        <v>30.96</v>
      </c>
      <c r="M66" s="64">
        <v>47.61</v>
      </c>
      <c r="N66" s="64">
        <v>221.6</v>
      </c>
      <c r="O66" s="64">
        <v>0</v>
      </c>
      <c r="P66" s="64">
        <v>0.64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5" t="s">
        <v>2514</v>
      </c>
      <c r="B67" s="64">
        <v>1.59</v>
      </c>
      <c r="C67" s="64">
        <v>22.69</v>
      </c>
      <c r="D67" s="64">
        <v>11.75</v>
      </c>
      <c r="E67" s="64">
        <v>6.99</v>
      </c>
      <c r="F67" s="64">
        <v>8.3000000000000007</v>
      </c>
      <c r="G67" s="64">
        <v>49.75</v>
      </c>
      <c r="H67" s="64">
        <v>6.98</v>
      </c>
      <c r="I67" s="64">
        <v>2.76</v>
      </c>
      <c r="J67" s="64">
        <v>1.89</v>
      </c>
      <c r="K67" s="64">
        <v>329.48</v>
      </c>
      <c r="L67" s="64">
        <v>30.83</v>
      </c>
      <c r="M67" s="64">
        <v>45.93</v>
      </c>
      <c r="N67" s="64">
        <v>194.4</v>
      </c>
      <c r="O67" s="64">
        <v>0</v>
      </c>
      <c r="P67" s="64">
        <v>0.64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5" t="s">
        <v>2515</v>
      </c>
      <c r="B68" s="64">
        <v>1.62</v>
      </c>
      <c r="C68" s="64">
        <v>24.74</v>
      </c>
      <c r="D68" s="64">
        <v>12.85</v>
      </c>
      <c r="E68" s="64">
        <v>7.21</v>
      </c>
      <c r="F68" s="64">
        <v>6.71</v>
      </c>
      <c r="G68" s="64">
        <v>48.79</v>
      </c>
      <c r="H68" s="64">
        <v>6.98</v>
      </c>
      <c r="I68" s="64">
        <v>2.5499999999999998</v>
      </c>
      <c r="J68" s="64">
        <v>1.78</v>
      </c>
      <c r="K68" s="64">
        <v>339.39</v>
      </c>
      <c r="L68" s="64">
        <v>30.5</v>
      </c>
      <c r="M68" s="64">
        <v>47.33</v>
      </c>
      <c r="N68" s="64">
        <v>184.7</v>
      </c>
      <c r="O68" s="64">
        <v>0</v>
      </c>
      <c r="P68" s="64">
        <v>0.63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2516</v>
      </c>
      <c r="B69" s="64">
        <v>2.2999999999999998</v>
      </c>
      <c r="C69" s="64">
        <v>23.84</v>
      </c>
      <c r="D69" s="64">
        <v>12.93</v>
      </c>
      <c r="E69" s="64">
        <v>6.68</v>
      </c>
      <c r="F69" s="64">
        <v>5.35</v>
      </c>
      <c r="G69" s="64">
        <v>48.79</v>
      </c>
      <c r="H69" s="64">
        <v>6.98</v>
      </c>
      <c r="I69" s="64">
        <v>2.4500000000000002</v>
      </c>
      <c r="J69" s="64">
        <v>1.59</v>
      </c>
      <c r="K69" s="64">
        <v>341.35</v>
      </c>
      <c r="L69" s="64">
        <v>30.51</v>
      </c>
      <c r="M69" s="64">
        <v>46.7</v>
      </c>
      <c r="N69" s="64">
        <v>180.2</v>
      </c>
      <c r="O69" s="64">
        <v>0</v>
      </c>
      <c r="P69" s="64">
        <v>0.66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5" t="s">
        <v>2517</v>
      </c>
      <c r="B70" s="64">
        <v>2.97</v>
      </c>
      <c r="C70" s="64">
        <v>22.53</v>
      </c>
      <c r="D70" s="64">
        <v>12.78</v>
      </c>
      <c r="E70" s="64">
        <v>6.55</v>
      </c>
      <c r="F70" s="64">
        <v>6.62</v>
      </c>
      <c r="G70" s="64">
        <v>48.79</v>
      </c>
      <c r="H70" s="64">
        <v>6.98</v>
      </c>
      <c r="I70" s="64">
        <v>2.2000000000000002</v>
      </c>
      <c r="J70" s="64">
        <v>1.69</v>
      </c>
      <c r="K70" s="64">
        <v>339.17</v>
      </c>
      <c r="L70" s="64">
        <v>30.22</v>
      </c>
      <c r="M70" s="64">
        <v>48.12</v>
      </c>
      <c r="N70" s="64">
        <v>145.19999999999999</v>
      </c>
      <c r="O70" s="64">
        <v>0</v>
      </c>
      <c r="P70" s="64">
        <v>0.64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5" t="s">
        <v>2518</v>
      </c>
      <c r="B71" s="64">
        <v>3.06</v>
      </c>
      <c r="C71" s="64">
        <v>26.12</v>
      </c>
      <c r="D71" s="64">
        <v>14.73</v>
      </c>
      <c r="E71" s="64">
        <v>8.4499999999999993</v>
      </c>
      <c r="F71" s="64">
        <v>9.84</v>
      </c>
      <c r="G71" s="64">
        <v>49.65</v>
      </c>
      <c r="H71" s="64">
        <v>2.37</v>
      </c>
      <c r="I71" s="64">
        <v>2.25</v>
      </c>
      <c r="J71" s="64">
        <v>1.91</v>
      </c>
      <c r="K71" s="64">
        <v>339.84</v>
      </c>
      <c r="L71" s="64">
        <v>29.89</v>
      </c>
      <c r="M71" s="64">
        <v>49.75</v>
      </c>
      <c r="N71" s="64">
        <v>120.8</v>
      </c>
      <c r="O71" s="64">
        <v>0</v>
      </c>
      <c r="P71" s="64">
        <v>0.64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2519</v>
      </c>
      <c r="B72" s="64">
        <v>1.89</v>
      </c>
      <c r="C72" s="64">
        <v>29.45</v>
      </c>
      <c r="D72" s="64">
        <v>15.53</v>
      </c>
      <c r="E72" s="64">
        <v>7.45</v>
      </c>
      <c r="F72" s="64">
        <v>9.75</v>
      </c>
      <c r="G72" s="64">
        <v>49.73</v>
      </c>
      <c r="H72" s="64">
        <v>2.37</v>
      </c>
      <c r="I72" s="64">
        <v>2.29</v>
      </c>
      <c r="J72" s="64">
        <v>1.61</v>
      </c>
      <c r="K72" s="64">
        <v>340.1</v>
      </c>
      <c r="L72" s="64">
        <v>29.3</v>
      </c>
      <c r="M72" s="64">
        <v>51.49</v>
      </c>
      <c r="N72" s="64">
        <v>94</v>
      </c>
      <c r="O72" s="64">
        <v>0</v>
      </c>
      <c r="P72" s="64">
        <v>0.64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2520</v>
      </c>
      <c r="B73" s="64">
        <v>1.51</v>
      </c>
      <c r="C73" s="64">
        <v>28.54</v>
      </c>
      <c r="D73" s="64">
        <v>14.74</v>
      </c>
      <c r="E73" s="64">
        <v>6.77</v>
      </c>
      <c r="F73" s="64">
        <v>7.12</v>
      </c>
      <c r="G73" s="64">
        <v>49.73</v>
      </c>
      <c r="H73" s="64">
        <v>2.37</v>
      </c>
      <c r="I73" s="64">
        <v>2.1800000000000002</v>
      </c>
      <c r="J73" s="64">
        <v>1.79</v>
      </c>
      <c r="K73" s="64">
        <v>340.91</v>
      </c>
      <c r="L73" s="64">
        <v>29.01</v>
      </c>
      <c r="M73" s="64">
        <v>52.68</v>
      </c>
      <c r="N73" s="64">
        <v>67.2</v>
      </c>
      <c r="O73" s="64">
        <v>0</v>
      </c>
      <c r="P73" s="64">
        <v>0.66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5" t="s">
        <v>2521</v>
      </c>
      <c r="B74" s="64">
        <v>2.1</v>
      </c>
      <c r="C74" s="64">
        <v>27.87</v>
      </c>
      <c r="D74" s="64">
        <v>14.87</v>
      </c>
      <c r="E74" s="64">
        <v>6.22</v>
      </c>
      <c r="F74" s="64">
        <v>5.79</v>
      </c>
      <c r="G74" s="64">
        <v>49.73</v>
      </c>
      <c r="H74" s="64">
        <v>2.37</v>
      </c>
      <c r="I74" s="64">
        <v>2.4700000000000002</v>
      </c>
      <c r="J74" s="64">
        <v>1.8</v>
      </c>
      <c r="K74" s="64">
        <v>338.68</v>
      </c>
      <c r="L74" s="64">
        <v>28.58</v>
      </c>
      <c r="M74" s="64">
        <v>54.72</v>
      </c>
      <c r="N74" s="64">
        <v>49.8</v>
      </c>
      <c r="O74" s="64">
        <v>0</v>
      </c>
      <c r="P74" s="64">
        <v>0.66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2522</v>
      </c>
      <c r="B75" s="64">
        <v>2.65</v>
      </c>
      <c r="C75" s="64">
        <v>25.12</v>
      </c>
      <c r="D75" s="64">
        <v>13.87</v>
      </c>
      <c r="E75" s="64">
        <v>6.08</v>
      </c>
      <c r="F75" s="64">
        <v>5.56</v>
      </c>
      <c r="G75" s="64">
        <v>65.989999999999995</v>
      </c>
      <c r="H75" s="64">
        <v>48.17</v>
      </c>
      <c r="I75" s="64">
        <v>2.79</v>
      </c>
      <c r="J75" s="64">
        <v>1.94</v>
      </c>
      <c r="K75" s="64">
        <v>337.63</v>
      </c>
      <c r="L75" s="64">
        <v>28.23</v>
      </c>
      <c r="M75" s="64">
        <v>55.69</v>
      </c>
      <c r="N75" s="64">
        <v>48.4</v>
      </c>
      <c r="O75" s="64">
        <v>0</v>
      </c>
      <c r="P75" s="64">
        <v>0.65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2523</v>
      </c>
      <c r="B76" s="64">
        <v>2.97</v>
      </c>
      <c r="C76" s="64">
        <v>24.43</v>
      </c>
      <c r="D76" s="64">
        <v>13.77</v>
      </c>
      <c r="E76" s="64">
        <v>6.02</v>
      </c>
      <c r="F76" s="64">
        <v>4.54</v>
      </c>
      <c r="G76" s="64">
        <v>67.36</v>
      </c>
      <c r="H76" s="64">
        <v>48.17</v>
      </c>
      <c r="I76" s="64">
        <v>2.89</v>
      </c>
      <c r="J76" s="64">
        <v>1.63</v>
      </c>
      <c r="K76" s="64">
        <v>339.03</v>
      </c>
      <c r="L76" s="64">
        <v>28.02</v>
      </c>
      <c r="M76" s="64">
        <v>55.76</v>
      </c>
      <c r="N76" s="64">
        <v>41.9</v>
      </c>
      <c r="O76" s="64">
        <v>0</v>
      </c>
      <c r="P76" s="64">
        <v>0.67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2524</v>
      </c>
      <c r="B77" s="64">
        <v>3.56</v>
      </c>
      <c r="C77" s="64">
        <v>24</v>
      </c>
      <c r="D77" s="64">
        <v>14.02</v>
      </c>
      <c r="E77" s="64">
        <v>6.02</v>
      </c>
      <c r="F77" s="64">
        <v>6.2</v>
      </c>
      <c r="G77" s="64">
        <v>67.36</v>
      </c>
      <c r="H77" s="64">
        <v>48.17</v>
      </c>
      <c r="I77" s="64">
        <v>3.12</v>
      </c>
      <c r="J77" s="64">
        <v>1.47</v>
      </c>
      <c r="K77" s="64">
        <v>337.47</v>
      </c>
      <c r="L77" s="64">
        <v>27.35</v>
      </c>
      <c r="M77" s="64">
        <v>60.55</v>
      </c>
      <c r="N77" s="64">
        <v>36</v>
      </c>
      <c r="O77" s="64">
        <v>0</v>
      </c>
      <c r="P77" s="64">
        <v>0.7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5" t="s">
        <v>2525</v>
      </c>
      <c r="B78" s="64">
        <v>2.83</v>
      </c>
      <c r="C78" s="64">
        <v>32.14</v>
      </c>
      <c r="D78" s="64">
        <v>17.68</v>
      </c>
      <c r="E78" s="64">
        <v>7.43</v>
      </c>
      <c r="F78" s="64">
        <v>8.2899999999999991</v>
      </c>
      <c r="G78" s="64">
        <v>67.36</v>
      </c>
      <c r="H78" s="64">
        <v>48.17</v>
      </c>
      <c r="I78" s="64">
        <v>3.04</v>
      </c>
      <c r="J78" s="64">
        <v>1.99</v>
      </c>
      <c r="K78" s="64">
        <v>339.33</v>
      </c>
      <c r="L78" s="64">
        <v>27.28</v>
      </c>
      <c r="M78" s="64">
        <v>57.7</v>
      </c>
      <c r="N78" s="64">
        <v>29.4</v>
      </c>
      <c r="O78" s="64">
        <v>0</v>
      </c>
      <c r="P78" s="64">
        <v>0.77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2526</v>
      </c>
      <c r="B79" s="64">
        <v>2.04</v>
      </c>
      <c r="C79" s="64">
        <v>33.54</v>
      </c>
      <c r="D79" s="64">
        <v>17.78</v>
      </c>
      <c r="E79" s="64">
        <v>6.74</v>
      </c>
      <c r="F79" s="64">
        <v>5.7</v>
      </c>
      <c r="G79" s="64">
        <v>42.89</v>
      </c>
      <c r="H79" s="64">
        <v>19.07</v>
      </c>
      <c r="I79" s="64">
        <v>2.98</v>
      </c>
      <c r="J79" s="64">
        <v>1.47</v>
      </c>
      <c r="K79" s="64">
        <v>337.22</v>
      </c>
      <c r="L79" s="64">
        <v>27.02</v>
      </c>
      <c r="M79" s="64">
        <v>62.72</v>
      </c>
      <c r="N79" s="64">
        <v>27</v>
      </c>
      <c r="O79" s="64">
        <v>0</v>
      </c>
      <c r="P79" s="64">
        <v>0.78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5" t="s">
        <v>2527</v>
      </c>
      <c r="B80" s="64">
        <v>2.2999999999999998</v>
      </c>
      <c r="C80" s="64">
        <v>31.51</v>
      </c>
      <c r="D80" s="64">
        <v>16.93</v>
      </c>
      <c r="E80" s="64">
        <v>6.33</v>
      </c>
      <c r="F80" s="64">
        <v>5.5</v>
      </c>
      <c r="G80" s="64">
        <v>40.83</v>
      </c>
      <c r="H80" s="64">
        <v>19.07</v>
      </c>
      <c r="I80" s="64">
        <v>3.11</v>
      </c>
      <c r="J80" s="64">
        <v>1.59</v>
      </c>
      <c r="K80" s="64">
        <v>337.39</v>
      </c>
      <c r="L80" s="64">
        <v>26.7</v>
      </c>
      <c r="M80" s="64">
        <v>65.040000000000006</v>
      </c>
      <c r="N80" s="64">
        <v>26.5</v>
      </c>
      <c r="O80" s="64">
        <v>0</v>
      </c>
      <c r="P80" s="64">
        <v>0.81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5" t="s">
        <v>2528</v>
      </c>
      <c r="B81" s="64">
        <v>3.02</v>
      </c>
      <c r="C81" s="64">
        <v>29.51</v>
      </c>
      <c r="D81" s="64">
        <v>16.46</v>
      </c>
      <c r="E81" s="64">
        <v>6.12</v>
      </c>
      <c r="F81" s="64">
        <v>5.43</v>
      </c>
      <c r="G81" s="64">
        <v>40.83</v>
      </c>
      <c r="H81" s="64">
        <v>19.07</v>
      </c>
      <c r="I81" s="64">
        <v>3.25</v>
      </c>
      <c r="J81" s="64">
        <v>1.4</v>
      </c>
      <c r="K81" s="64">
        <v>342.03</v>
      </c>
      <c r="L81" s="64">
        <v>26.95</v>
      </c>
      <c r="M81" s="64">
        <v>59.45</v>
      </c>
      <c r="N81" s="64">
        <v>26.5</v>
      </c>
      <c r="O81" s="64">
        <v>0</v>
      </c>
      <c r="P81" s="64">
        <v>0.86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5" t="s">
        <v>2529</v>
      </c>
      <c r="B82" s="64">
        <v>3.89</v>
      </c>
      <c r="C82" s="64">
        <v>28.03</v>
      </c>
      <c r="D82" s="64">
        <v>16.39</v>
      </c>
      <c r="E82" s="64">
        <v>5.52</v>
      </c>
      <c r="F82" s="64">
        <v>5.17</v>
      </c>
      <c r="G82" s="64">
        <v>40.83</v>
      </c>
      <c r="H82" s="64">
        <v>19.07</v>
      </c>
      <c r="I82" s="64">
        <v>3.38</v>
      </c>
      <c r="J82" s="64">
        <v>1.27</v>
      </c>
      <c r="K82" s="64">
        <v>343.7</v>
      </c>
      <c r="L82" s="64">
        <v>27.15</v>
      </c>
      <c r="M82" s="64">
        <v>59.51</v>
      </c>
      <c r="N82" s="64">
        <v>26.5</v>
      </c>
      <c r="O82" s="64">
        <v>0</v>
      </c>
      <c r="P82" s="64">
        <v>0.9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5" t="s">
        <v>2530</v>
      </c>
      <c r="B83" s="64">
        <v>4.6399999999999997</v>
      </c>
      <c r="C83" s="64">
        <v>26.27</v>
      </c>
      <c r="D83" s="64">
        <v>16.07</v>
      </c>
      <c r="E83" s="64">
        <v>5.82</v>
      </c>
      <c r="F83" s="64">
        <v>4.13</v>
      </c>
      <c r="G83" s="64">
        <v>73.47</v>
      </c>
      <c r="H83" s="64">
        <v>36.03</v>
      </c>
      <c r="I83" s="64">
        <v>3.62</v>
      </c>
      <c r="J83" s="64">
        <v>1.39</v>
      </c>
      <c r="K83" s="64">
        <v>340.04</v>
      </c>
      <c r="L83" s="64">
        <v>27.16</v>
      </c>
      <c r="M83" s="64">
        <v>60.23</v>
      </c>
      <c r="N83" s="64">
        <v>26.4</v>
      </c>
      <c r="O83" s="64">
        <v>0</v>
      </c>
      <c r="P83" s="64">
        <v>1.05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2531</v>
      </c>
      <c r="B84" s="64">
        <v>5.39</v>
      </c>
      <c r="C84" s="64">
        <v>23.88</v>
      </c>
      <c r="D84" s="64">
        <v>15.43</v>
      </c>
      <c r="E84" s="64">
        <v>6.08</v>
      </c>
      <c r="F84" s="64">
        <v>3.6</v>
      </c>
      <c r="G84" s="64">
        <v>76.22</v>
      </c>
      <c r="H84" s="64">
        <v>36.03</v>
      </c>
      <c r="I84" s="64">
        <v>3.82</v>
      </c>
      <c r="J84" s="64">
        <v>1.48</v>
      </c>
      <c r="K84" s="64">
        <v>337.39</v>
      </c>
      <c r="L84" s="64">
        <v>27.06</v>
      </c>
      <c r="M84" s="64">
        <v>60.95</v>
      </c>
      <c r="N84" s="64">
        <v>26.4</v>
      </c>
      <c r="O84" s="64">
        <v>0</v>
      </c>
      <c r="P84" s="64">
        <v>0.96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5" t="s">
        <v>2532</v>
      </c>
      <c r="B85" s="64">
        <v>5.85</v>
      </c>
      <c r="C85" s="64">
        <v>22.86</v>
      </c>
      <c r="D85" s="64">
        <v>15.26</v>
      </c>
      <c r="E85" s="64">
        <v>5.75</v>
      </c>
      <c r="F85" s="64">
        <v>4.8600000000000003</v>
      </c>
      <c r="G85" s="64">
        <v>76.22</v>
      </c>
      <c r="H85" s="64">
        <v>36.03</v>
      </c>
      <c r="I85" s="64">
        <v>4.0199999999999996</v>
      </c>
      <c r="J85" s="64">
        <v>1.28</v>
      </c>
      <c r="K85" s="64">
        <v>337.45</v>
      </c>
      <c r="L85" s="64">
        <v>26.9</v>
      </c>
      <c r="M85" s="64">
        <v>62.22</v>
      </c>
      <c r="N85" s="64">
        <v>26.5</v>
      </c>
      <c r="O85" s="64">
        <v>0</v>
      </c>
      <c r="P85" s="64">
        <v>1.03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2533</v>
      </c>
      <c r="B86" s="64">
        <v>6.34</v>
      </c>
      <c r="C86" s="64">
        <v>22.24</v>
      </c>
      <c r="D86" s="64">
        <v>15.32</v>
      </c>
      <c r="E86" s="64">
        <v>5.61</v>
      </c>
      <c r="F86" s="64">
        <v>3.66</v>
      </c>
      <c r="G86" s="64">
        <v>76.22</v>
      </c>
      <c r="H86" s="64">
        <v>36.03</v>
      </c>
      <c r="I86" s="64">
        <v>4.2</v>
      </c>
      <c r="J86" s="64">
        <v>1.4</v>
      </c>
      <c r="K86" s="64">
        <v>331.94</v>
      </c>
      <c r="L86" s="64">
        <v>26.65</v>
      </c>
      <c r="M86" s="64">
        <v>64.84</v>
      </c>
      <c r="N86" s="64">
        <v>26.3</v>
      </c>
      <c r="O86" s="64">
        <v>0</v>
      </c>
      <c r="P86" s="64">
        <v>1.08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2534</v>
      </c>
      <c r="B87" s="64">
        <v>6.93</v>
      </c>
      <c r="C87" s="64">
        <v>21.73</v>
      </c>
      <c r="D87" s="64">
        <v>15.53</v>
      </c>
      <c r="E87" s="64">
        <v>6.07</v>
      </c>
      <c r="F87" s="64">
        <v>3.79</v>
      </c>
      <c r="G87" s="64">
        <v>96.57</v>
      </c>
      <c r="H87" s="64">
        <v>40.15</v>
      </c>
      <c r="I87" s="64">
        <v>4.45</v>
      </c>
      <c r="J87" s="64">
        <v>1.45</v>
      </c>
      <c r="K87" s="64">
        <v>333.12</v>
      </c>
      <c r="L87" s="64">
        <v>26.57</v>
      </c>
      <c r="M87" s="64">
        <v>65.02</v>
      </c>
      <c r="N87" s="64">
        <v>26.3</v>
      </c>
      <c r="O87" s="64">
        <v>0</v>
      </c>
      <c r="P87" s="64">
        <v>0.97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5" t="s">
        <v>2535</v>
      </c>
      <c r="B88" s="64">
        <v>7.32</v>
      </c>
      <c r="C88" s="64">
        <v>21.28</v>
      </c>
      <c r="D88" s="64">
        <v>15.61</v>
      </c>
      <c r="E88" s="64">
        <v>6.79</v>
      </c>
      <c r="F88" s="64">
        <v>3.71</v>
      </c>
      <c r="G88" s="64">
        <v>98.28</v>
      </c>
      <c r="H88" s="64">
        <v>40.15</v>
      </c>
      <c r="I88" s="64">
        <v>4.47</v>
      </c>
      <c r="J88" s="64">
        <v>1.66</v>
      </c>
      <c r="K88" s="64">
        <v>332.81</v>
      </c>
      <c r="L88" s="64">
        <v>26.56</v>
      </c>
      <c r="M88" s="64">
        <v>65.23</v>
      </c>
      <c r="N88" s="64">
        <v>26.2</v>
      </c>
      <c r="O88" s="64">
        <v>0</v>
      </c>
      <c r="P88" s="64">
        <v>0.96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2536</v>
      </c>
      <c r="B89" s="64">
        <v>8.7899999999999991</v>
      </c>
      <c r="C89" s="64">
        <v>21.32</v>
      </c>
      <c r="D89" s="64">
        <v>16.809999999999999</v>
      </c>
      <c r="E89" s="64">
        <v>7.12</v>
      </c>
      <c r="F89" s="64">
        <v>3.42</v>
      </c>
      <c r="G89" s="64">
        <v>98.28</v>
      </c>
      <c r="H89" s="64">
        <v>40.15</v>
      </c>
      <c r="I89" s="64">
        <v>4.33</v>
      </c>
      <c r="J89" s="64">
        <v>1.56</v>
      </c>
      <c r="K89" s="64">
        <v>330.67</v>
      </c>
      <c r="L89" s="64">
        <v>26.5</v>
      </c>
      <c r="M89" s="64">
        <v>66.59</v>
      </c>
      <c r="N89" s="64">
        <v>26.5</v>
      </c>
      <c r="O89" s="64">
        <v>0</v>
      </c>
      <c r="P89" s="64">
        <v>1.04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2537</v>
      </c>
      <c r="B90" s="64">
        <v>13.21</v>
      </c>
      <c r="C90" s="64">
        <v>21.96</v>
      </c>
      <c r="D90" s="64">
        <v>20.69</v>
      </c>
      <c r="E90" s="64">
        <v>7.05</v>
      </c>
      <c r="F90" s="64">
        <v>4.43</v>
      </c>
      <c r="G90" s="64">
        <v>98.28</v>
      </c>
      <c r="H90" s="64">
        <v>40.15</v>
      </c>
      <c r="I90" s="64">
        <v>4.4000000000000004</v>
      </c>
      <c r="J90" s="64">
        <v>1.47</v>
      </c>
      <c r="K90" s="64">
        <v>327.12</v>
      </c>
      <c r="L90" s="64">
        <v>26.35</v>
      </c>
      <c r="M90" s="64">
        <v>67.72</v>
      </c>
      <c r="N90" s="64">
        <v>26.4</v>
      </c>
      <c r="O90" s="64">
        <v>0</v>
      </c>
      <c r="P90" s="64">
        <v>0.99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2538</v>
      </c>
      <c r="B91" s="64">
        <v>16.510000000000002</v>
      </c>
      <c r="C91" s="64">
        <v>23.1</v>
      </c>
      <c r="D91" s="64">
        <v>23.93</v>
      </c>
      <c r="E91" s="64">
        <v>8</v>
      </c>
      <c r="F91" s="64">
        <v>4.32</v>
      </c>
      <c r="G91" s="64">
        <v>103.08</v>
      </c>
      <c r="H91" s="64">
        <v>46.66</v>
      </c>
      <c r="I91" s="64">
        <v>4.42</v>
      </c>
      <c r="J91" s="64">
        <v>1.67</v>
      </c>
      <c r="K91" s="64">
        <v>332.96</v>
      </c>
      <c r="L91" s="64">
        <v>25.92</v>
      </c>
      <c r="M91" s="64">
        <v>69.78</v>
      </c>
      <c r="N91" s="64">
        <v>26.4</v>
      </c>
      <c r="O91" s="64">
        <v>0</v>
      </c>
      <c r="P91" s="64">
        <v>0.99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5" t="s">
        <v>2539</v>
      </c>
      <c r="B92" s="64">
        <v>17.53</v>
      </c>
      <c r="C92" s="64">
        <v>23.22</v>
      </c>
      <c r="D92" s="64">
        <v>24.82</v>
      </c>
      <c r="E92" s="64">
        <v>8.0500000000000007</v>
      </c>
      <c r="F92" s="64">
        <v>4.38</v>
      </c>
      <c r="G92" s="64">
        <v>103.48</v>
      </c>
      <c r="H92" s="64">
        <v>46.66</v>
      </c>
      <c r="I92" s="64">
        <v>4.46</v>
      </c>
      <c r="J92" s="64">
        <v>1.5</v>
      </c>
      <c r="K92" s="64">
        <v>337.38</v>
      </c>
      <c r="L92" s="64">
        <v>25.7</v>
      </c>
      <c r="M92" s="64">
        <v>69.92</v>
      </c>
      <c r="N92" s="64">
        <v>26.4</v>
      </c>
      <c r="O92" s="64">
        <v>0</v>
      </c>
      <c r="P92" s="64">
        <v>1.01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2540</v>
      </c>
      <c r="B93" s="64">
        <v>17.93</v>
      </c>
      <c r="C93" s="64">
        <v>23.26</v>
      </c>
      <c r="D93" s="64">
        <v>25.16</v>
      </c>
      <c r="E93" s="64">
        <v>7.59</v>
      </c>
      <c r="F93" s="64">
        <v>4.49</v>
      </c>
      <c r="G93" s="64">
        <v>103.48</v>
      </c>
      <c r="H93" s="64">
        <v>46.66</v>
      </c>
      <c r="I93" s="64">
        <v>4.46</v>
      </c>
      <c r="J93" s="64">
        <v>1.3</v>
      </c>
      <c r="K93" s="64">
        <v>339.12</v>
      </c>
      <c r="L93" s="64">
        <v>25.47</v>
      </c>
      <c r="M93" s="64">
        <v>71.66</v>
      </c>
      <c r="N93" s="64">
        <v>26.1</v>
      </c>
      <c r="O93" s="64">
        <v>0</v>
      </c>
      <c r="P93" s="64">
        <v>1.03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2541</v>
      </c>
      <c r="B94" s="64">
        <v>18.309999999999999</v>
      </c>
      <c r="C94" s="64">
        <v>22.91</v>
      </c>
      <c r="D94" s="64">
        <v>25.28</v>
      </c>
      <c r="E94" s="64">
        <v>7.66</v>
      </c>
      <c r="F94" s="64">
        <v>4.66</v>
      </c>
      <c r="G94" s="64">
        <v>103.48</v>
      </c>
      <c r="H94" s="64">
        <v>46.66</v>
      </c>
      <c r="I94" s="64">
        <v>4.43</v>
      </c>
      <c r="J94" s="64">
        <v>1.4</v>
      </c>
      <c r="K94" s="64">
        <v>337.47</v>
      </c>
      <c r="L94" s="64">
        <v>25.35</v>
      </c>
      <c r="M94" s="64">
        <v>72.69</v>
      </c>
      <c r="N94" s="64">
        <v>26.1</v>
      </c>
      <c r="O94" s="64">
        <v>0</v>
      </c>
      <c r="P94" s="64">
        <v>1.04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2542</v>
      </c>
      <c r="B95" s="64">
        <v>18.66</v>
      </c>
      <c r="C95" s="64">
        <v>22.81</v>
      </c>
      <c r="D95" s="64">
        <v>25.5</v>
      </c>
      <c r="E95" s="64">
        <v>7.76</v>
      </c>
      <c r="F95" s="64">
        <v>4.57</v>
      </c>
      <c r="G95" s="64">
        <v>103.72</v>
      </c>
      <c r="H95" s="64">
        <v>47.8</v>
      </c>
      <c r="I95" s="64">
        <v>4.46</v>
      </c>
      <c r="J95" s="64">
        <v>1.52</v>
      </c>
      <c r="K95" s="64">
        <v>340.88</v>
      </c>
      <c r="L95" s="64">
        <v>25.25</v>
      </c>
      <c r="M95" s="64">
        <v>73.94</v>
      </c>
      <c r="N95" s="64">
        <v>26</v>
      </c>
      <c r="O95" s="64">
        <v>0</v>
      </c>
      <c r="P95" s="64">
        <v>1.06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2543</v>
      </c>
      <c r="B96" s="64">
        <v>18.46</v>
      </c>
      <c r="C96" s="64">
        <v>22.99</v>
      </c>
      <c r="D96" s="64">
        <v>25.44</v>
      </c>
      <c r="E96" s="64">
        <v>7.54</v>
      </c>
      <c r="F96" s="64">
        <v>4.09</v>
      </c>
      <c r="G96" s="64">
        <v>103.74</v>
      </c>
      <c r="H96" s="64">
        <v>47.8</v>
      </c>
      <c r="I96" s="64">
        <v>4.49</v>
      </c>
      <c r="J96" s="64">
        <v>2.0299999999999998</v>
      </c>
      <c r="K96" s="64">
        <v>340.72</v>
      </c>
      <c r="L96" s="64">
        <v>25.37</v>
      </c>
      <c r="M96" s="64">
        <v>73.84</v>
      </c>
      <c r="N96" s="64">
        <v>25.8</v>
      </c>
      <c r="O96" s="64">
        <v>0</v>
      </c>
      <c r="P96" s="64">
        <v>1.07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2544</v>
      </c>
      <c r="B97" s="64">
        <v>17.559999999999999</v>
      </c>
      <c r="C97" s="64">
        <v>23</v>
      </c>
      <c r="D97" s="64">
        <v>24.72</v>
      </c>
      <c r="E97" s="64">
        <v>7.45</v>
      </c>
      <c r="F97" s="64">
        <v>4.43</v>
      </c>
      <c r="G97" s="64">
        <v>103.74</v>
      </c>
      <c r="H97" s="64">
        <v>47.8</v>
      </c>
      <c r="I97" s="64">
        <v>4.5599999999999996</v>
      </c>
      <c r="J97" s="64">
        <v>1.97</v>
      </c>
      <c r="K97" s="64">
        <v>340.02</v>
      </c>
      <c r="L97" s="64">
        <v>25.26</v>
      </c>
      <c r="M97" s="64">
        <v>75.599999999999994</v>
      </c>
      <c r="N97" s="64">
        <v>26.1</v>
      </c>
      <c r="O97" s="64">
        <v>0</v>
      </c>
      <c r="P97" s="64">
        <v>1.05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2545</v>
      </c>
      <c r="B98" s="64">
        <v>16.34</v>
      </c>
      <c r="C98" s="64">
        <v>22.92</v>
      </c>
      <c r="D98" s="64">
        <v>23.7</v>
      </c>
      <c r="E98" s="64">
        <v>8.15</v>
      </c>
      <c r="F98" s="64">
        <v>4.33</v>
      </c>
      <c r="G98" s="64">
        <v>103.74</v>
      </c>
      <c r="H98" s="64">
        <v>47.8</v>
      </c>
      <c r="I98" s="64">
        <v>4.5999999999999996</v>
      </c>
      <c r="J98" s="64">
        <v>2.0099999999999998</v>
      </c>
      <c r="K98" s="64">
        <v>338.83</v>
      </c>
      <c r="L98" s="64">
        <v>25.15</v>
      </c>
      <c r="M98" s="64">
        <v>77.53</v>
      </c>
      <c r="N98" s="64">
        <v>26.2</v>
      </c>
      <c r="O98" s="64">
        <v>0</v>
      </c>
      <c r="P98" s="64">
        <v>1.03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5" t="s">
        <v>2546</v>
      </c>
      <c r="B99" s="64">
        <v>15.43</v>
      </c>
      <c r="C99" s="64">
        <v>21.65</v>
      </c>
      <c r="D99" s="64">
        <v>22.31</v>
      </c>
      <c r="E99" s="64">
        <v>7.39</v>
      </c>
      <c r="F99" s="64">
        <v>3.67</v>
      </c>
      <c r="G99" s="64">
        <v>99.27</v>
      </c>
      <c r="H99" s="64">
        <v>41.76</v>
      </c>
      <c r="I99" s="64">
        <v>4.5599999999999996</v>
      </c>
      <c r="J99" s="64">
        <v>1.66</v>
      </c>
      <c r="K99" s="64">
        <v>339.76</v>
      </c>
      <c r="L99" s="64">
        <v>24.98</v>
      </c>
      <c r="M99" s="64">
        <v>79.040000000000006</v>
      </c>
      <c r="N99" s="64">
        <v>26.1</v>
      </c>
      <c r="O99" s="64">
        <v>0</v>
      </c>
      <c r="P99" s="64">
        <v>0.99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2547</v>
      </c>
      <c r="B100" s="64">
        <v>15.65</v>
      </c>
      <c r="C100" s="64">
        <v>20.04</v>
      </c>
      <c r="D100" s="64">
        <v>21.64</v>
      </c>
      <c r="E100" s="64">
        <v>7.48</v>
      </c>
      <c r="F100" s="64">
        <v>4.21</v>
      </c>
      <c r="G100" s="64">
        <v>98.89</v>
      </c>
      <c r="H100" s="64">
        <v>41.76</v>
      </c>
      <c r="I100" s="64">
        <v>4.51</v>
      </c>
      <c r="J100" s="64">
        <v>1.88</v>
      </c>
      <c r="K100" s="64">
        <v>342.15</v>
      </c>
      <c r="L100" s="64">
        <v>24.94</v>
      </c>
      <c r="M100" s="64">
        <v>79.5</v>
      </c>
      <c r="N100" s="64">
        <v>26.2</v>
      </c>
      <c r="O100" s="64">
        <v>0</v>
      </c>
      <c r="P100" s="64">
        <v>0.96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2548</v>
      </c>
      <c r="B101" s="64">
        <v>15.25</v>
      </c>
      <c r="C101" s="64">
        <v>19.18</v>
      </c>
      <c r="D101" s="64">
        <v>20.88</v>
      </c>
      <c r="E101" s="64">
        <v>6.89</v>
      </c>
      <c r="F101" s="64">
        <v>4.18</v>
      </c>
      <c r="G101" s="64">
        <v>98.89</v>
      </c>
      <c r="H101" s="64">
        <v>41.76</v>
      </c>
      <c r="I101" s="64">
        <v>4.47</v>
      </c>
      <c r="J101" s="64">
        <v>1.84</v>
      </c>
      <c r="K101" s="64">
        <v>341.88</v>
      </c>
      <c r="L101" s="64">
        <v>24.73</v>
      </c>
      <c r="M101" s="64">
        <v>80.95</v>
      </c>
      <c r="N101" s="64">
        <v>26.2</v>
      </c>
      <c r="O101" s="64">
        <v>0</v>
      </c>
      <c r="P101" s="64">
        <v>0.94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2549</v>
      </c>
      <c r="B102" s="64">
        <v>14.4</v>
      </c>
      <c r="C102" s="64">
        <v>18.62</v>
      </c>
      <c r="D102" s="64">
        <v>19.899999999999999</v>
      </c>
      <c r="E102" s="64">
        <v>7.12</v>
      </c>
      <c r="F102" s="64">
        <v>3.89</v>
      </c>
      <c r="G102" s="64">
        <v>98.89</v>
      </c>
      <c r="H102" s="64">
        <v>41.76</v>
      </c>
      <c r="I102" s="64">
        <v>4.47</v>
      </c>
      <c r="J102" s="64">
        <v>1.85</v>
      </c>
      <c r="K102" s="64">
        <v>343.3</v>
      </c>
      <c r="L102" s="64">
        <v>24.61</v>
      </c>
      <c r="M102" s="64">
        <v>81.010000000000005</v>
      </c>
      <c r="N102" s="64">
        <v>26.1</v>
      </c>
      <c r="O102" s="64">
        <v>0</v>
      </c>
      <c r="P102" s="64">
        <v>0.94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2550</v>
      </c>
      <c r="B103" s="64">
        <v>13.64</v>
      </c>
      <c r="C103" s="64">
        <v>18.12</v>
      </c>
      <c r="D103" s="64">
        <v>19.03</v>
      </c>
      <c r="E103" s="64">
        <v>6.74</v>
      </c>
      <c r="F103" s="64">
        <v>4.04</v>
      </c>
      <c r="G103" s="64">
        <v>89.87</v>
      </c>
      <c r="H103" s="64">
        <v>35.25</v>
      </c>
      <c r="I103" s="64">
        <v>4.47</v>
      </c>
      <c r="J103" s="64">
        <v>1.78</v>
      </c>
      <c r="K103" s="64">
        <v>337.76</v>
      </c>
      <c r="L103" s="64">
        <v>24.49</v>
      </c>
      <c r="M103" s="64">
        <v>81.790000000000006</v>
      </c>
      <c r="N103" s="64">
        <v>26.2</v>
      </c>
      <c r="O103" s="64">
        <v>0</v>
      </c>
      <c r="P103" s="64">
        <v>0.89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2551</v>
      </c>
      <c r="B104" s="64">
        <v>12.7</v>
      </c>
      <c r="C104" s="64">
        <v>17.46</v>
      </c>
      <c r="D104" s="64">
        <v>17.93</v>
      </c>
      <c r="E104" s="64">
        <v>6.37</v>
      </c>
      <c r="F104" s="64">
        <v>3.85</v>
      </c>
      <c r="G104" s="64">
        <v>89.11</v>
      </c>
      <c r="H104" s="64">
        <v>35.25</v>
      </c>
      <c r="I104" s="64">
        <v>4.3499999999999996</v>
      </c>
      <c r="J104" s="64">
        <v>2.37</v>
      </c>
      <c r="K104" s="64">
        <v>341.21</v>
      </c>
      <c r="L104" s="64">
        <v>24.31</v>
      </c>
      <c r="M104" s="64">
        <v>82.12</v>
      </c>
      <c r="N104" s="64">
        <v>26.1</v>
      </c>
      <c r="O104" s="64">
        <v>0</v>
      </c>
      <c r="P104" s="64">
        <v>0.9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</v>
      </c>
      <c r="C106" s="67">
        <f>MIN(C9:C104)</f>
        <v>13.01</v>
      </c>
      <c r="D106" s="67">
        <f t="shared" ref="D106:Q106" si="0">MIN(D9:D104)</f>
        <v>10.53</v>
      </c>
      <c r="E106" s="67">
        <f t="shared" si="0"/>
        <v>4.51</v>
      </c>
      <c r="F106" s="67">
        <f t="shared" si="0"/>
        <v>3.42</v>
      </c>
      <c r="G106" s="67">
        <f t="shared" si="0"/>
        <v>40.83</v>
      </c>
      <c r="H106" s="67">
        <f t="shared" si="0"/>
        <v>2.37</v>
      </c>
      <c r="I106" s="67">
        <f t="shared" si="0"/>
        <v>2.1800000000000002</v>
      </c>
      <c r="J106" s="67">
        <f t="shared" si="0"/>
        <v>0.67</v>
      </c>
      <c r="K106" s="67">
        <f t="shared" si="0"/>
        <v>327.12</v>
      </c>
      <c r="L106" s="67">
        <f t="shared" si="0"/>
        <v>20.190000000000001</v>
      </c>
      <c r="M106" s="67">
        <f t="shared" si="0"/>
        <v>43.41</v>
      </c>
      <c r="N106" s="67">
        <f t="shared" si="0"/>
        <v>25.1</v>
      </c>
      <c r="O106" s="67">
        <f t="shared" si="0"/>
        <v>0</v>
      </c>
      <c r="P106" s="67">
        <f t="shared" si="0"/>
        <v>0.61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28.46</v>
      </c>
      <c r="C107" s="66">
        <f t="shared" ref="C107:Q107" si="1">MAX(C9:C104)</f>
        <v>33.54</v>
      </c>
      <c r="D107" s="66">
        <f t="shared" si="1"/>
        <v>30.06</v>
      </c>
      <c r="E107" s="66">
        <f t="shared" si="1"/>
        <v>8.4499999999999993</v>
      </c>
      <c r="F107" s="66">
        <f t="shared" si="1"/>
        <v>9.84</v>
      </c>
      <c r="G107" s="66">
        <f t="shared" si="1"/>
        <v>114.44</v>
      </c>
      <c r="H107" s="66">
        <f t="shared" si="1"/>
        <v>89.39</v>
      </c>
      <c r="I107" s="66">
        <f t="shared" si="1"/>
        <v>7.69</v>
      </c>
      <c r="J107" s="66">
        <f t="shared" si="1"/>
        <v>2.5299999999999998</v>
      </c>
      <c r="K107" s="66">
        <f t="shared" si="1"/>
        <v>343.7</v>
      </c>
      <c r="L107" s="66">
        <f t="shared" si="1"/>
        <v>32.65</v>
      </c>
      <c r="M107" s="66">
        <f t="shared" si="1"/>
        <v>85.95</v>
      </c>
      <c r="N107" s="66">
        <f t="shared" si="1"/>
        <v>718.2</v>
      </c>
      <c r="O107" s="66">
        <f t="shared" si="1"/>
        <v>0</v>
      </c>
      <c r="P107" s="66">
        <f t="shared" si="1"/>
        <v>1.48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9.1571874999999974</v>
      </c>
      <c r="C108" s="67">
        <f t="shared" ref="C108:Q108" si="2">AVERAGE(C9:C104)</f>
        <v>21.339999999999993</v>
      </c>
      <c r="D108" s="67">
        <f t="shared" si="2"/>
        <v>17.115520833333338</v>
      </c>
      <c r="E108" s="67">
        <f t="shared" si="2"/>
        <v>6.5981249999999987</v>
      </c>
      <c r="F108" s="67">
        <f t="shared" si="2"/>
        <v>5.0512500000000005</v>
      </c>
      <c r="G108" s="67">
        <f t="shared" si="2"/>
        <v>81.324791666666627</v>
      </c>
      <c r="H108" s="67">
        <f t="shared" si="2"/>
        <v>33.890000000000022</v>
      </c>
      <c r="I108" s="67">
        <f t="shared" si="2"/>
        <v>4.0173958333333353</v>
      </c>
      <c r="J108" s="67">
        <f t="shared" si="2"/>
        <v>1.6950000000000001</v>
      </c>
      <c r="K108" s="67">
        <f t="shared" si="2"/>
        <v>337.36104166666667</v>
      </c>
      <c r="L108" s="67">
        <f t="shared" si="2"/>
        <v>26.301770833333336</v>
      </c>
      <c r="M108" s="67">
        <f t="shared" si="2"/>
        <v>64.942187499999989</v>
      </c>
      <c r="N108" s="67">
        <f t="shared" si="2"/>
        <v>170.76666666666668</v>
      </c>
      <c r="O108" s="67">
        <f t="shared" si="2"/>
        <v>0</v>
      </c>
      <c r="P108" s="67">
        <f t="shared" si="2"/>
        <v>0.82489583333333283</v>
      </c>
      <c r="Q108" s="67">
        <f t="shared" si="2"/>
        <v>9.6178125000000048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6.3029947273415052</v>
      </c>
      <c r="C109" s="67">
        <f t="shared" ref="C109:Q109" si="3">STDEV(C9:C104)</f>
        <v>4.8842265993383833</v>
      </c>
      <c r="D109" s="67">
        <f t="shared" si="3"/>
        <v>4.2454964051188151</v>
      </c>
      <c r="E109" s="67">
        <f t="shared" si="3"/>
        <v>0.96642293509297594</v>
      </c>
      <c r="F109" s="67">
        <f t="shared" si="3"/>
        <v>1.3166850320726657</v>
      </c>
      <c r="G109" s="67">
        <f t="shared" si="3"/>
        <v>18.92700092900802</v>
      </c>
      <c r="H109" s="67">
        <f t="shared" si="3"/>
        <v>17.575695778695721</v>
      </c>
      <c r="I109" s="67">
        <f t="shared" si="3"/>
        <v>1.1102178494537012</v>
      </c>
      <c r="J109" s="67">
        <f t="shared" si="3"/>
        <v>0.32085412327263857</v>
      </c>
      <c r="K109" s="67">
        <f t="shared" si="3"/>
        <v>3.7593606620965887</v>
      </c>
      <c r="L109" s="67">
        <f t="shared" si="3"/>
        <v>3.9020270021972938</v>
      </c>
      <c r="M109" s="67">
        <f t="shared" si="3"/>
        <v>13.626132493977222</v>
      </c>
      <c r="N109" s="67">
        <f t="shared" si="3"/>
        <v>218.71692383519348</v>
      </c>
      <c r="O109" s="67">
        <f t="shared" si="3"/>
        <v>0</v>
      </c>
      <c r="P109" s="67">
        <f t="shared" si="3"/>
        <v>0.19534043045905974</v>
      </c>
      <c r="Q109" s="67">
        <f t="shared" si="3"/>
        <v>8.8499925661584336E-3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 t="shared" ref="I110:J110" si="5">COUNT(I9:I104)</f>
        <v>96</v>
      </c>
      <c r="J110" s="66">
        <f t="shared" si="5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0" sqref="G13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2552</v>
      </c>
      <c r="B9" s="64">
        <v>11.34</v>
      </c>
      <c r="C9" s="64">
        <v>17.46</v>
      </c>
      <c r="D9" s="64">
        <v>16.84</v>
      </c>
      <c r="E9" s="64">
        <v>6.11</v>
      </c>
      <c r="F9" s="64">
        <v>3.91</v>
      </c>
      <c r="G9" s="64">
        <v>89.11</v>
      </c>
      <c r="H9" s="64">
        <v>35.25</v>
      </c>
      <c r="I9" s="64">
        <v>4.38</v>
      </c>
      <c r="J9" s="64">
        <v>2.0299999999999998</v>
      </c>
      <c r="K9" s="64">
        <v>339.18</v>
      </c>
      <c r="L9" s="64">
        <v>24.2</v>
      </c>
      <c r="M9" s="64">
        <v>82.66</v>
      </c>
      <c r="N9" s="64">
        <v>26.1</v>
      </c>
      <c r="O9" s="64">
        <v>0</v>
      </c>
      <c r="P9" s="64">
        <v>0.86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2553</v>
      </c>
      <c r="B10" s="64">
        <v>10.19</v>
      </c>
      <c r="C10" s="64">
        <v>17.61</v>
      </c>
      <c r="D10" s="64">
        <v>16</v>
      </c>
      <c r="E10" s="64">
        <v>6.09</v>
      </c>
      <c r="F10" s="64">
        <v>3.49</v>
      </c>
      <c r="G10" s="64">
        <v>89.11</v>
      </c>
      <c r="H10" s="64">
        <v>35.25</v>
      </c>
      <c r="I10" s="64">
        <v>4.4800000000000004</v>
      </c>
      <c r="J10" s="64">
        <v>2.0299999999999998</v>
      </c>
      <c r="K10" s="64">
        <v>342.2</v>
      </c>
      <c r="L10" s="64">
        <v>24.19</v>
      </c>
      <c r="M10" s="64">
        <v>82.5</v>
      </c>
      <c r="N10" s="64">
        <v>26.1</v>
      </c>
      <c r="O10" s="64">
        <v>0</v>
      </c>
      <c r="P10" s="64">
        <v>0.85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2554</v>
      </c>
      <c r="B11" s="64">
        <v>9.48</v>
      </c>
      <c r="C11" s="64">
        <v>18.68</v>
      </c>
      <c r="D11" s="64">
        <v>15.98</v>
      </c>
      <c r="E11" s="64">
        <v>6.33</v>
      </c>
      <c r="F11" s="64">
        <v>3.58</v>
      </c>
      <c r="G11" s="64">
        <v>77.7</v>
      </c>
      <c r="H11" s="64">
        <v>36.44</v>
      </c>
      <c r="I11" s="64">
        <v>4.45</v>
      </c>
      <c r="J11" s="64">
        <v>1.98</v>
      </c>
      <c r="K11" s="64">
        <v>334.01</v>
      </c>
      <c r="L11" s="64">
        <v>24.02</v>
      </c>
      <c r="M11" s="64">
        <v>84</v>
      </c>
      <c r="N11" s="64">
        <v>26.3</v>
      </c>
      <c r="O11" s="64">
        <v>0</v>
      </c>
      <c r="P11" s="64">
        <v>0.84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2555</v>
      </c>
      <c r="B12" s="64">
        <v>8.84</v>
      </c>
      <c r="C12" s="64">
        <v>18.93</v>
      </c>
      <c r="D12" s="64">
        <v>15.6</v>
      </c>
      <c r="E12" s="64">
        <v>6.89</v>
      </c>
      <c r="F12" s="64">
        <v>4.25</v>
      </c>
      <c r="G12" s="64">
        <v>76.739999999999995</v>
      </c>
      <c r="H12" s="64">
        <v>36.44</v>
      </c>
      <c r="I12" s="64">
        <v>4.3099999999999996</v>
      </c>
      <c r="J12" s="64">
        <v>1.99</v>
      </c>
      <c r="K12" s="64">
        <v>334.99</v>
      </c>
      <c r="L12" s="64">
        <v>23.73</v>
      </c>
      <c r="M12" s="64">
        <v>85.89</v>
      </c>
      <c r="N12" s="64">
        <v>26.4</v>
      </c>
      <c r="O12" s="64">
        <v>0</v>
      </c>
      <c r="P12" s="64">
        <v>0.82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5" t="s">
        <v>2556</v>
      </c>
      <c r="B13" s="64">
        <v>7.83</v>
      </c>
      <c r="C13" s="64">
        <v>18.100000000000001</v>
      </c>
      <c r="D13" s="64">
        <v>14.36</v>
      </c>
      <c r="E13" s="64">
        <v>6.65</v>
      </c>
      <c r="F13" s="64">
        <v>4.8</v>
      </c>
      <c r="G13" s="64">
        <v>76.739999999999995</v>
      </c>
      <c r="H13" s="64">
        <v>36.44</v>
      </c>
      <c r="I13" s="64">
        <v>4.3600000000000003</v>
      </c>
      <c r="J13" s="64">
        <v>2.09</v>
      </c>
      <c r="K13" s="64">
        <v>332.28</v>
      </c>
      <c r="L13" s="64">
        <v>23.46</v>
      </c>
      <c r="M13" s="64">
        <v>87.51</v>
      </c>
      <c r="N13" s="64">
        <v>26.3</v>
      </c>
      <c r="O13" s="64">
        <v>0</v>
      </c>
      <c r="P13" s="64">
        <v>0.76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2557</v>
      </c>
      <c r="B14" s="64">
        <v>6.67</v>
      </c>
      <c r="C14" s="64">
        <v>17.3</v>
      </c>
      <c r="D14" s="64">
        <v>13.01</v>
      </c>
      <c r="E14" s="64">
        <v>6.15</v>
      </c>
      <c r="F14" s="64">
        <v>4.7</v>
      </c>
      <c r="G14" s="64">
        <v>76.739999999999995</v>
      </c>
      <c r="H14" s="64">
        <v>36.44</v>
      </c>
      <c r="I14" s="64">
        <v>4.2699999999999996</v>
      </c>
      <c r="J14" s="64">
        <v>1.8</v>
      </c>
      <c r="K14" s="64">
        <v>331.04</v>
      </c>
      <c r="L14" s="64">
        <v>23.24</v>
      </c>
      <c r="M14" s="64">
        <v>88.68</v>
      </c>
      <c r="N14" s="64">
        <v>26.4</v>
      </c>
      <c r="O14" s="64">
        <v>0</v>
      </c>
      <c r="P14" s="64">
        <v>0.75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2558</v>
      </c>
      <c r="B15" s="64">
        <v>5.81</v>
      </c>
      <c r="C15" s="64">
        <v>16.53</v>
      </c>
      <c r="D15" s="64">
        <v>11.92</v>
      </c>
      <c r="E15" s="64">
        <v>6.23</v>
      </c>
      <c r="F15" s="64">
        <v>4.55</v>
      </c>
      <c r="G15" s="64">
        <v>72.849999999999994</v>
      </c>
      <c r="H15" s="64">
        <v>33.69</v>
      </c>
      <c r="I15" s="64">
        <v>4.05</v>
      </c>
      <c r="J15" s="64">
        <v>1.99</v>
      </c>
      <c r="K15" s="64">
        <v>335.68</v>
      </c>
      <c r="L15" s="64">
        <v>23.1</v>
      </c>
      <c r="M15" s="64">
        <v>89.1</v>
      </c>
      <c r="N15" s="64">
        <v>26.2</v>
      </c>
      <c r="O15" s="64">
        <v>0</v>
      </c>
      <c r="P15" s="64">
        <v>0.73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5" t="s">
        <v>2559</v>
      </c>
      <c r="B16" s="64">
        <v>5.03</v>
      </c>
      <c r="C16" s="64">
        <v>15.95</v>
      </c>
      <c r="D16" s="64">
        <v>10.99</v>
      </c>
      <c r="E16" s="64">
        <v>6.82</v>
      </c>
      <c r="F16" s="64">
        <v>4.8499999999999996</v>
      </c>
      <c r="G16" s="64">
        <v>72.47</v>
      </c>
      <c r="H16" s="64">
        <v>33.69</v>
      </c>
      <c r="I16" s="64">
        <v>3.86</v>
      </c>
      <c r="J16" s="64">
        <v>2.27</v>
      </c>
      <c r="K16" s="64">
        <v>334.3</v>
      </c>
      <c r="L16" s="64">
        <v>23.14</v>
      </c>
      <c r="M16" s="64">
        <v>88.83</v>
      </c>
      <c r="N16" s="64">
        <v>26.3</v>
      </c>
      <c r="O16" s="64">
        <v>0</v>
      </c>
      <c r="P16" s="64">
        <v>0.7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5" t="s">
        <v>2560</v>
      </c>
      <c r="B17" s="64">
        <v>4.3099999999999996</v>
      </c>
      <c r="C17" s="64">
        <v>15.89</v>
      </c>
      <c r="D17" s="64">
        <v>10.38</v>
      </c>
      <c r="E17" s="64">
        <v>6.44</v>
      </c>
      <c r="F17" s="64">
        <v>4.51</v>
      </c>
      <c r="G17" s="64">
        <v>72.47</v>
      </c>
      <c r="H17" s="64">
        <v>33.69</v>
      </c>
      <c r="I17" s="64">
        <v>3.73</v>
      </c>
      <c r="J17" s="64">
        <v>2.15</v>
      </c>
      <c r="K17" s="64">
        <v>334.68</v>
      </c>
      <c r="L17" s="64">
        <v>23.1</v>
      </c>
      <c r="M17" s="64">
        <v>89.12</v>
      </c>
      <c r="N17" s="64">
        <v>26.3</v>
      </c>
      <c r="O17" s="64">
        <v>0</v>
      </c>
      <c r="P17" s="64">
        <v>0.67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5" t="s">
        <v>2561</v>
      </c>
      <c r="B18" s="64">
        <v>3.81</v>
      </c>
      <c r="C18" s="64">
        <v>15.6</v>
      </c>
      <c r="D18" s="64">
        <v>9.83</v>
      </c>
      <c r="E18" s="64">
        <v>6.62</v>
      </c>
      <c r="F18" s="64">
        <v>4.45</v>
      </c>
      <c r="G18" s="64">
        <v>72.47</v>
      </c>
      <c r="H18" s="64">
        <v>33.69</v>
      </c>
      <c r="I18" s="64">
        <v>3.58</v>
      </c>
      <c r="J18" s="64">
        <v>2.1</v>
      </c>
      <c r="K18" s="64">
        <v>339.17</v>
      </c>
      <c r="L18" s="64">
        <v>23.16</v>
      </c>
      <c r="M18" s="64">
        <v>88.67</v>
      </c>
      <c r="N18" s="64">
        <v>26.1</v>
      </c>
      <c r="O18" s="64">
        <v>0</v>
      </c>
      <c r="P18" s="64">
        <v>0.65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2562</v>
      </c>
      <c r="B19" s="64">
        <v>3.31</v>
      </c>
      <c r="C19" s="64">
        <v>15.37</v>
      </c>
      <c r="D19" s="64">
        <v>9.31</v>
      </c>
      <c r="E19" s="64">
        <v>6.55</v>
      </c>
      <c r="F19" s="64">
        <v>4.9400000000000004</v>
      </c>
      <c r="G19" s="64">
        <v>67.48</v>
      </c>
      <c r="H19" s="64">
        <v>34.909999999999997</v>
      </c>
      <c r="I19" s="64">
        <v>3.43</v>
      </c>
      <c r="J19" s="64">
        <v>2.2200000000000002</v>
      </c>
      <c r="K19" s="64">
        <v>332.9</v>
      </c>
      <c r="L19" s="64">
        <v>23.14</v>
      </c>
      <c r="M19" s="64">
        <v>88.84</v>
      </c>
      <c r="N19" s="64">
        <v>26.3</v>
      </c>
      <c r="O19" s="64">
        <v>0</v>
      </c>
      <c r="P19" s="64">
        <v>0.64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2563</v>
      </c>
      <c r="B20" s="64">
        <v>2.93</v>
      </c>
      <c r="C20" s="64">
        <v>14.85</v>
      </c>
      <c r="D20" s="64">
        <v>8.73</v>
      </c>
      <c r="E20" s="64">
        <v>6.43</v>
      </c>
      <c r="F20" s="64">
        <v>3.76</v>
      </c>
      <c r="G20" s="64">
        <v>67.06</v>
      </c>
      <c r="H20" s="64">
        <v>34.909999999999997</v>
      </c>
      <c r="I20" s="64">
        <v>3.28</v>
      </c>
      <c r="J20" s="64">
        <v>2.25</v>
      </c>
      <c r="K20" s="64">
        <v>329.29</v>
      </c>
      <c r="L20" s="64">
        <v>23.04</v>
      </c>
      <c r="M20" s="64">
        <v>89.34</v>
      </c>
      <c r="N20" s="64">
        <v>26.4</v>
      </c>
      <c r="O20" s="64">
        <v>0</v>
      </c>
      <c r="P20" s="64">
        <v>0.61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2564</v>
      </c>
      <c r="B21" s="64">
        <v>2.68</v>
      </c>
      <c r="C21" s="64">
        <v>13.76</v>
      </c>
      <c r="D21" s="64">
        <v>7.96</v>
      </c>
      <c r="E21" s="64">
        <v>6.38</v>
      </c>
      <c r="F21" s="64">
        <v>4.34</v>
      </c>
      <c r="G21" s="64">
        <v>67.06</v>
      </c>
      <c r="H21" s="64">
        <v>34.909999999999997</v>
      </c>
      <c r="I21" s="64">
        <v>3.14</v>
      </c>
      <c r="J21" s="64">
        <v>2.34</v>
      </c>
      <c r="K21" s="64">
        <v>336.22</v>
      </c>
      <c r="L21" s="64">
        <v>23.01</v>
      </c>
      <c r="M21" s="64">
        <v>88.93</v>
      </c>
      <c r="N21" s="64">
        <v>26.1</v>
      </c>
      <c r="O21" s="64">
        <v>0</v>
      </c>
      <c r="P21" s="64">
        <v>0.59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2565</v>
      </c>
      <c r="B22" s="64">
        <v>2.4300000000000002</v>
      </c>
      <c r="C22" s="64">
        <v>13.24</v>
      </c>
      <c r="D22" s="64">
        <v>7.49</v>
      </c>
      <c r="E22" s="64">
        <v>6.14</v>
      </c>
      <c r="F22" s="64">
        <v>4.55</v>
      </c>
      <c r="G22" s="64">
        <v>67.06</v>
      </c>
      <c r="H22" s="64">
        <v>34.909999999999997</v>
      </c>
      <c r="I22" s="64">
        <v>2.96</v>
      </c>
      <c r="J22" s="64">
        <v>2.13</v>
      </c>
      <c r="K22" s="64">
        <v>339.91</v>
      </c>
      <c r="L22" s="64">
        <v>22.97</v>
      </c>
      <c r="M22" s="64">
        <v>88.96</v>
      </c>
      <c r="N22" s="64">
        <v>26</v>
      </c>
      <c r="O22" s="64">
        <v>0</v>
      </c>
      <c r="P22" s="64">
        <v>0.56000000000000005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2566</v>
      </c>
      <c r="B23" s="64">
        <v>2.2400000000000002</v>
      </c>
      <c r="C23" s="64">
        <v>12.81</v>
      </c>
      <c r="D23" s="64">
        <v>7.12</v>
      </c>
      <c r="E23" s="64">
        <v>6.23</v>
      </c>
      <c r="F23" s="64">
        <v>4.6500000000000004</v>
      </c>
      <c r="G23" s="64">
        <v>69.849999999999994</v>
      </c>
      <c r="H23" s="64">
        <v>34.42</v>
      </c>
      <c r="I23" s="64">
        <v>2.74</v>
      </c>
      <c r="J23" s="64">
        <v>2.2200000000000002</v>
      </c>
      <c r="K23" s="64">
        <v>336.96</v>
      </c>
      <c r="L23" s="64">
        <v>22.93</v>
      </c>
      <c r="M23" s="64">
        <v>89.65</v>
      </c>
      <c r="N23" s="64">
        <v>26.1</v>
      </c>
      <c r="O23" s="64">
        <v>0</v>
      </c>
      <c r="P23" s="64">
        <v>0.55000000000000004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2567</v>
      </c>
      <c r="B24" s="64">
        <v>2.0699999999999998</v>
      </c>
      <c r="C24" s="64">
        <v>12.39</v>
      </c>
      <c r="D24" s="64">
        <v>6.76</v>
      </c>
      <c r="E24" s="64">
        <v>5.9</v>
      </c>
      <c r="F24" s="64">
        <v>4.7300000000000004</v>
      </c>
      <c r="G24" s="64">
        <v>70.09</v>
      </c>
      <c r="H24" s="64">
        <v>34.42</v>
      </c>
      <c r="I24" s="64">
        <v>2.69</v>
      </c>
      <c r="J24" s="64">
        <v>2.15</v>
      </c>
      <c r="K24" s="64">
        <v>339.29</v>
      </c>
      <c r="L24" s="64">
        <v>22.79</v>
      </c>
      <c r="M24" s="64">
        <v>90.57</v>
      </c>
      <c r="N24" s="64">
        <v>26.1</v>
      </c>
      <c r="O24" s="64">
        <v>0</v>
      </c>
      <c r="P24" s="64">
        <v>0.54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2568</v>
      </c>
      <c r="B25" s="64">
        <v>1.96</v>
      </c>
      <c r="C25" s="64">
        <v>11.93</v>
      </c>
      <c r="D25" s="64">
        <v>6.43</v>
      </c>
      <c r="E25" s="64">
        <v>6.24</v>
      </c>
      <c r="F25" s="64">
        <v>4.2699999999999996</v>
      </c>
      <c r="G25" s="64">
        <v>70.09</v>
      </c>
      <c r="H25" s="64">
        <v>34.42</v>
      </c>
      <c r="I25" s="64">
        <v>2.73</v>
      </c>
      <c r="J25" s="64">
        <v>2.04</v>
      </c>
      <c r="K25" s="64">
        <v>333.27</v>
      </c>
      <c r="L25" s="64">
        <v>22.69</v>
      </c>
      <c r="M25" s="64">
        <v>91.31</v>
      </c>
      <c r="N25" s="64">
        <v>26.2</v>
      </c>
      <c r="O25" s="64">
        <v>0</v>
      </c>
      <c r="P25" s="64">
        <v>0.52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2569</v>
      </c>
      <c r="B26" s="64">
        <v>1.94</v>
      </c>
      <c r="C26" s="64">
        <v>11.68</v>
      </c>
      <c r="D26" s="64">
        <v>6.28</v>
      </c>
      <c r="E26" s="64">
        <v>6.23</v>
      </c>
      <c r="F26" s="64">
        <v>4.43</v>
      </c>
      <c r="G26" s="64">
        <v>70.09</v>
      </c>
      <c r="H26" s="64">
        <v>34.42</v>
      </c>
      <c r="I26" s="64">
        <v>2.64</v>
      </c>
      <c r="J26" s="64">
        <v>1.93</v>
      </c>
      <c r="K26" s="64">
        <v>340.81</v>
      </c>
      <c r="L26" s="64">
        <v>22.64</v>
      </c>
      <c r="M26" s="64">
        <v>91.71</v>
      </c>
      <c r="N26" s="64">
        <v>26</v>
      </c>
      <c r="O26" s="64">
        <v>0</v>
      </c>
      <c r="P26" s="64">
        <v>0.53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2570</v>
      </c>
      <c r="B27" s="64">
        <v>2.06</v>
      </c>
      <c r="C27" s="64">
        <v>11.87</v>
      </c>
      <c r="D27" s="64">
        <v>6.48</v>
      </c>
      <c r="E27" s="64">
        <v>6.1</v>
      </c>
      <c r="F27" s="64">
        <v>3.97</v>
      </c>
      <c r="G27" s="64">
        <v>64.45</v>
      </c>
      <c r="H27" s="64">
        <v>34.54</v>
      </c>
      <c r="I27" s="64">
        <v>2.57</v>
      </c>
      <c r="J27" s="64">
        <v>1.87</v>
      </c>
      <c r="K27" s="64">
        <v>341.6</v>
      </c>
      <c r="L27" s="64">
        <v>22.63</v>
      </c>
      <c r="M27" s="64">
        <v>92</v>
      </c>
      <c r="N27" s="64">
        <v>25.9</v>
      </c>
      <c r="O27" s="64">
        <v>0</v>
      </c>
      <c r="P27" s="64">
        <v>0.52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5" t="s">
        <v>2571</v>
      </c>
      <c r="B28" s="64">
        <v>2.39</v>
      </c>
      <c r="C28" s="64">
        <v>13.25</v>
      </c>
      <c r="D28" s="64">
        <v>7.46</v>
      </c>
      <c r="E28" s="64">
        <v>6.8</v>
      </c>
      <c r="F28" s="64">
        <v>4.42</v>
      </c>
      <c r="G28" s="64">
        <v>63.9</v>
      </c>
      <c r="H28" s="64">
        <v>34.54</v>
      </c>
      <c r="I28" s="64">
        <v>2.57</v>
      </c>
      <c r="J28" s="64">
        <v>1.82</v>
      </c>
      <c r="K28" s="64">
        <v>340.83</v>
      </c>
      <c r="L28" s="64">
        <v>22.66</v>
      </c>
      <c r="M28" s="64">
        <v>92.36</v>
      </c>
      <c r="N28" s="64">
        <v>26</v>
      </c>
      <c r="O28" s="64">
        <v>0</v>
      </c>
      <c r="P28" s="64">
        <v>0.53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2572</v>
      </c>
      <c r="B29" s="64">
        <v>2.92</v>
      </c>
      <c r="C29" s="64">
        <v>14.19</v>
      </c>
      <c r="D29" s="64">
        <v>8.3699999999999992</v>
      </c>
      <c r="E29" s="64">
        <v>6.61</v>
      </c>
      <c r="F29" s="64">
        <v>4.79</v>
      </c>
      <c r="G29" s="64">
        <v>63.9</v>
      </c>
      <c r="H29" s="64">
        <v>34.54</v>
      </c>
      <c r="I29" s="64">
        <v>2.61</v>
      </c>
      <c r="J29" s="64">
        <v>1.74</v>
      </c>
      <c r="K29" s="64">
        <v>336.43</v>
      </c>
      <c r="L29" s="64">
        <v>22.62</v>
      </c>
      <c r="M29" s="64">
        <v>93.31</v>
      </c>
      <c r="N29" s="64">
        <v>26.1</v>
      </c>
      <c r="O29" s="64">
        <v>0</v>
      </c>
      <c r="P29" s="64">
        <v>0.53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2573</v>
      </c>
      <c r="B30" s="64">
        <v>3.54</v>
      </c>
      <c r="C30" s="64">
        <v>14.69</v>
      </c>
      <c r="D30" s="64">
        <v>9.14</v>
      </c>
      <c r="E30" s="64">
        <v>6.17</v>
      </c>
      <c r="F30" s="64">
        <v>5.47</v>
      </c>
      <c r="G30" s="64">
        <v>63.9</v>
      </c>
      <c r="H30" s="64">
        <v>34.54</v>
      </c>
      <c r="I30" s="64">
        <v>2.63</v>
      </c>
      <c r="J30" s="64">
        <v>2.06</v>
      </c>
      <c r="K30" s="64">
        <v>331.53</v>
      </c>
      <c r="L30" s="64">
        <v>22.47</v>
      </c>
      <c r="M30" s="64">
        <v>94.1</v>
      </c>
      <c r="N30" s="64">
        <v>26.1</v>
      </c>
      <c r="O30" s="64">
        <v>0</v>
      </c>
      <c r="P30" s="64">
        <v>0.55000000000000004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2574</v>
      </c>
      <c r="B31" s="64">
        <v>3.75</v>
      </c>
      <c r="C31" s="64">
        <v>14.83</v>
      </c>
      <c r="D31" s="64">
        <v>9.3800000000000008</v>
      </c>
      <c r="E31" s="64">
        <v>5.83</v>
      </c>
      <c r="F31" s="64">
        <v>4.51</v>
      </c>
      <c r="G31" s="64">
        <v>64.87</v>
      </c>
      <c r="H31" s="64">
        <v>35.93</v>
      </c>
      <c r="I31" s="64">
        <v>2.65</v>
      </c>
      <c r="J31" s="64">
        <v>1.6</v>
      </c>
      <c r="K31" s="64">
        <v>330.7</v>
      </c>
      <c r="L31" s="64">
        <v>22.3</v>
      </c>
      <c r="M31" s="64">
        <v>94.98</v>
      </c>
      <c r="N31" s="64">
        <v>26.2</v>
      </c>
      <c r="O31" s="64">
        <v>0</v>
      </c>
      <c r="P31" s="64">
        <v>0.54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2575</v>
      </c>
      <c r="B32" s="64">
        <v>3.91</v>
      </c>
      <c r="C32" s="64">
        <v>14.97</v>
      </c>
      <c r="D32" s="64">
        <v>9.58</v>
      </c>
      <c r="E32" s="64">
        <v>6.51</v>
      </c>
      <c r="F32" s="64">
        <v>5.08</v>
      </c>
      <c r="G32" s="64">
        <v>64.959999999999994</v>
      </c>
      <c r="H32" s="64">
        <v>35.93</v>
      </c>
      <c r="I32" s="64">
        <v>2.63</v>
      </c>
      <c r="J32" s="64">
        <v>1.87</v>
      </c>
      <c r="K32" s="64">
        <v>333.01</v>
      </c>
      <c r="L32" s="64">
        <v>22.11</v>
      </c>
      <c r="M32" s="64">
        <v>96.04</v>
      </c>
      <c r="N32" s="64">
        <v>26.4</v>
      </c>
      <c r="O32" s="64">
        <v>0</v>
      </c>
      <c r="P32" s="64">
        <v>0.53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2576</v>
      </c>
      <c r="B33" s="64">
        <v>4.08</v>
      </c>
      <c r="C33" s="64">
        <v>14.96</v>
      </c>
      <c r="D33" s="64">
        <v>9.7200000000000006</v>
      </c>
      <c r="E33" s="64">
        <v>6.34</v>
      </c>
      <c r="F33" s="64">
        <v>4.42</v>
      </c>
      <c r="G33" s="64">
        <v>64.959999999999994</v>
      </c>
      <c r="H33" s="64">
        <v>35.93</v>
      </c>
      <c r="I33" s="64">
        <v>2.58</v>
      </c>
      <c r="J33" s="64">
        <v>1.69</v>
      </c>
      <c r="K33" s="64">
        <v>331.75</v>
      </c>
      <c r="L33" s="64">
        <v>22.01</v>
      </c>
      <c r="M33" s="64">
        <v>96.77</v>
      </c>
      <c r="N33" s="64">
        <v>30.4</v>
      </c>
      <c r="O33" s="64">
        <v>0</v>
      </c>
      <c r="P33" s="64">
        <v>0.53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5" t="s">
        <v>2577</v>
      </c>
      <c r="B34" s="64">
        <v>4.58</v>
      </c>
      <c r="C34" s="64">
        <v>14.81</v>
      </c>
      <c r="D34" s="64">
        <v>10.029999999999999</v>
      </c>
      <c r="E34" s="64">
        <v>6.66</v>
      </c>
      <c r="F34" s="64">
        <v>3.82</v>
      </c>
      <c r="G34" s="64">
        <v>64.959999999999994</v>
      </c>
      <c r="H34" s="64">
        <v>35.93</v>
      </c>
      <c r="I34" s="64">
        <v>2.54</v>
      </c>
      <c r="J34" s="64">
        <v>1.36</v>
      </c>
      <c r="K34" s="64">
        <v>332.46</v>
      </c>
      <c r="L34" s="64">
        <v>22.09</v>
      </c>
      <c r="M34" s="64">
        <v>96.66</v>
      </c>
      <c r="N34" s="64">
        <v>42.1</v>
      </c>
      <c r="O34" s="64">
        <v>0</v>
      </c>
      <c r="P34" s="64">
        <v>0.54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5" t="s">
        <v>2578</v>
      </c>
      <c r="B35" s="64">
        <v>5.77</v>
      </c>
      <c r="C35" s="64">
        <v>14.62</v>
      </c>
      <c r="D35" s="64">
        <v>10.89</v>
      </c>
      <c r="E35" s="64">
        <v>6.2</v>
      </c>
      <c r="F35" s="64">
        <v>4.5199999999999996</v>
      </c>
      <c r="G35" s="64">
        <v>67.36</v>
      </c>
      <c r="H35" s="64">
        <v>34.51</v>
      </c>
      <c r="I35" s="64">
        <v>2.65</v>
      </c>
      <c r="J35" s="64">
        <v>1.37</v>
      </c>
      <c r="K35" s="64">
        <v>333.26</v>
      </c>
      <c r="L35" s="64">
        <v>22.34</v>
      </c>
      <c r="M35" s="64">
        <v>95.83</v>
      </c>
      <c r="N35" s="64">
        <v>57</v>
      </c>
      <c r="O35" s="64">
        <v>0</v>
      </c>
      <c r="P35" s="64">
        <v>0.55000000000000004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2579</v>
      </c>
      <c r="B36" s="64">
        <v>7.25</v>
      </c>
      <c r="C36" s="64">
        <v>14.86</v>
      </c>
      <c r="D36" s="64">
        <v>12.2</v>
      </c>
      <c r="E36" s="64">
        <v>6.66</v>
      </c>
      <c r="F36" s="64">
        <v>5.36</v>
      </c>
      <c r="G36" s="64">
        <v>67.56</v>
      </c>
      <c r="H36" s="64">
        <v>34.51</v>
      </c>
      <c r="I36" s="64">
        <v>2.73</v>
      </c>
      <c r="J36" s="64">
        <v>1.72</v>
      </c>
      <c r="K36" s="64">
        <v>334.94</v>
      </c>
      <c r="L36" s="64">
        <v>22.6</v>
      </c>
      <c r="M36" s="64">
        <v>94.83</v>
      </c>
      <c r="N36" s="64">
        <v>76.2</v>
      </c>
      <c r="O36" s="64">
        <v>0</v>
      </c>
      <c r="P36" s="64">
        <v>0.56999999999999995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2580</v>
      </c>
      <c r="B37" s="64">
        <v>8.3800000000000008</v>
      </c>
      <c r="C37" s="64">
        <v>14.65</v>
      </c>
      <c r="D37" s="64">
        <v>13</v>
      </c>
      <c r="E37" s="64">
        <v>6.66</v>
      </c>
      <c r="F37" s="64">
        <v>3.36</v>
      </c>
      <c r="G37" s="64">
        <v>67.56</v>
      </c>
      <c r="H37" s="64">
        <v>34.51</v>
      </c>
      <c r="I37" s="64">
        <v>2.81</v>
      </c>
      <c r="J37" s="64">
        <v>1.9</v>
      </c>
      <c r="K37" s="64">
        <v>334.64</v>
      </c>
      <c r="L37" s="64">
        <v>23.06</v>
      </c>
      <c r="M37" s="64">
        <v>92.19</v>
      </c>
      <c r="N37" s="64">
        <v>101.4</v>
      </c>
      <c r="O37" s="64">
        <v>0</v>
      </c>
      <c r="P37" s="64">
        <v>0.6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2581</v>
      </c>
      <c r="B38" s="64">
        <v>9.31</v>
      </c>
      <c r="C38" s="64">
        <v>13.96</v>
      </c>
      <c r="D38" s="64">
        <v>13.38</v>
      </c>
      <c r="E38" s="64">
        <v>6.78</v>
      </c>
      <c r="F38" s="64">
        <v>4.32</v>
      </c>
      <c r="G38" s="64">
        <v>67.56</v>
      </c>
      <c r="H38" s="64">
        <v>34.51</v>
      </c>
      <c r="I38" s="64">
        <v>2.77</v>
      </c>
      <c r="J38" s="64">
        <v>1.74</v>
      </c>
      <c r="K38" s="64">
        <v>333.88</v>
      </c>
      <c r="L38" s="64">
        <v>23.85</v>
      </c>
      <c r="M38" s="64">
        <v>88.44</v>
      </c>
      <c r="N38" s="64">
        <v>157.30000000000001</v>
      </c>
      <c r="O38" s="64">
        <v>0</v>
      </c>
      <c r="P38" s="64">
        <v>0.64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5" t="s">
        <v>2582</v>
      </c>
      <c r="B39" s="64">
        <v>10.09</v>
      </c>
      <c r="C39" s="64">
        <v>14.03</v>
      </c>
      <c r="D39" s="64">
        <v>14.05</v>
      </c>
      <c r="E39" s="64">
        <v>6.43</v>
      </c>
      <c r="F39" s="64">
        <v>4.08</v>
      </c>
      <c r="G39" s="64">
        <v>78.75</v>
      </c>
      <c r="H39" s="64">
        <v>43.24</v>
      </c>
      <c r="I39" s="64">
        <v>2.75</v>
      </c>
      <c r="J39" s="64">
        <v>1.83</v>
      </c>
      <c r="K39" s="64">
        <v>341.76</v>
      </c>
      <c r="L39" s="64">
        <v>25.6</v>
      </c>
      <c r="M39" s="64">
        <v>79.599999999999994</v>
      </c>
      <c r="N39" s="64">
        <v>220.5</v>
      </c>
      <c r="O39" s="64">
        <v>0</v>
      </c>
      <c r="P39" s="64">
        <v>0.66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5" t="s">
        <v>2583</v>
      </c>
      <c r="B40" s="64">
        <v>10.65</v>
      </c>
      <c r="C40" s="64">
        <v>14.15</v>
      </c>
      <c r="D40" s="64">
        <v>14.56</v>
      </c>
      <c r="E40" s="64">
        <v>6.1</v>
      </c>
      <c r="F40" s="64">
        <v>3.83</v>
      </c>
      <c r="G40" s="64">
        <v>79.69</v>
      </c>
      <c r="H40" s="64">
        <v>43.24</v>
      </c>
      <c r="I40" s="64">
        <v>2.77</v>
      </c>
      <c r="J40" s="64">
        <v>2.0699999999999998</v>
      </c>
      <c r="K40" s="64">
        <v>341.5</v>
      </c>
      <c r="L40" s="64">
        <v>26.57</v>
      </c>
      <c r="M40" s="64">
        <v>73.44</v>
      </c>
      <c r="N40" s="64">
        <v>250.6</v>
      </c>
      <c r="O40" s="64">
        <v>0</v>
      </c>
      <c r="P40" s="64">
        <v>0.66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2584</v>
      </c>
      <c r="B41" s="64">
        <v>10.86</v>
      </c>
      <c r="C41" s="64">
        <v>14.33</v>
      </c>
      <c r="D41" s="64">
        <v>14.82</v>
      </c>
      <c r="E41" s="64">
        <v>6.31</v>
      </c>
      <c r="F41" s="64">
        <v>4.2300000000000004</v>
      </c>
      <c r="G41" s="64">
        <v>79.69</v>
      </c>
      <c r="H41" s="64">
        <v>43.24</v>
      </c>
      <c r="I41" s="64">
        <v>2.8</v>
      </c>
      <c r="J41" s="64">
        <v>1.84</v>
      </c>
      <c r="K41" s="64">
        <v>340.93</v>
      </c>
      <c r="L41" s="64">
        <v>27.07</v>
      </c>
      <c r="M41" s="64">
        <v>71.3</v>
      </c>
      <c r="N41" s="64">
        <v>277.89999999999998</v>
      </c>
      <c r="O41" s="64">
        <v>0</v>
      </c>
      <c r="P41" s="64">
        <v>0.63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2585</v>
      </c>
      <c r="B42" s="64">
        <v>10.86</v>
      </c>
      <c r="C42" s="64">
        <v>14.5</v>
      </c>
      <c r="D42" s="64">
        <v>14.91</v>
      </c>
      <c r="E42" s="64">
        <v>5.72</v>
      </c>
      <c r="F42" s="64">
        <v>4.05</v>
      </c>
      <c r="G42" s="64">
        <v>79.69</v>
      </c>
      <c r="H42" s="64">
        <v>43.24</v>
      </c>
      <c r="I42" s="64">
        <v>2.89</v>
      </c>
      <c r="J42" s="64">
        <v>2.13</v>
      </c>
      <c r="K42" s="64">
        <v>341.48</v>
      </c>
      <c r="L42" s="64">
        <v>27.87</v>
      </c>
      <c r="M42" s="64">
        <v>67.8</v>
      </c>
      <c r="N42" s="64">
        <v>360.4</v>
      </c>
      <c r="O42" s="64">
        <v>0</v>
      </c>
      <c r="P42" s="64">
        <v>0.62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2586</v>
      </c>
      <c r="B43" s="64">
        <v>10.83</v>
      </c>
      <c r="C43" s="64">
        <v>14.8</v>
      </c>
      <c r="D43" s="64">
        <v>15.04</v>
      </c>
      <c r="E43" s="64">
        <v>5.67</v>
      </c>
      <c r="F43" s="64">
        <v>3.81</v>
      </c>
      <c r="G43" s="64">
        <v>63.03</v>
      </c>
      <c r="H43" s="64">
        <v>32</v>
      </c>
      <c r="I43" s="64">
        <v>2.84</v>
      </c>
      <c r="J43" s="64">
        <v>2.57</v>
      </c>
      <c r="K43" s="64">
        <v>341.31</v>
      </c>
      <c r="L43" s="64">
        <v>28.93</v>
      </c>
      <c r="M43" s="64">
        <v>63.11</v>
      </c>
      <c r="N43" s="64">
        <v>438.4</v>
      </c>
      <c r="O43" s="64">
        <v>0</v>
      </c>
      <c r="P43" s="64">
        <v>0.61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2587</v>
      </c>
      <c r="B44" s="64">
        <v>10.51</v>
      </c>
      <c r="C44" s="64">
        <v>15.46</v>
      </c>
      <c r="D44" s="64">
        <v>15.13</v>
      </c>
      <c r="E44" s="64">
        <v>5.82</v>
      </c>
      <c r="F44" s="64">
        <v>3.87</v>
      </c>
      <c r="G44" s="64">
        <v>61.62</v>
      </c>
      <c r="H44" s="64">
        <v>32</v>
      </c>
      <c r="I44" s="64">
        <v>2.89</v>
      </c>
      <c r="J44" s="64">
        <v>2.59</v>
      </c>
      <c r="K44" s="64">
        <v>337.08</v>
      </c>
      <c r="L44" s="64">
        <v>29.07</v>
      </c>
      <c r="M44" s="64">
        <v>64.67</v>
      </c>
      <c r="N44" s="64">
        <v>425.3</v>
      </c>
      <c r="O44" s="64">
        <v>0</v>
      </c>
      <c r="P44" s="64">
        <v>0.61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2588</v>
      </c>
      <c r="B45" s="64">
        <v>10.220000000000001</v>
      </c>
      <c r="C45" s="64">
        <v>16.62</v>
      </c>
      <c r="D45" s="64">
        <v>15.5</v>
      </c>
      <c r="E45" s="64">
        <v>6.23</v>
      </c>
      <c r="F45" s="64">
        <v>4.3</v>
      </c>
      <c r="G45" s="64">
        <v>61.62</v>
      </c>
      <c r="H45" s="64">
        <v>32</v>
      </c>
      <c r="I45" s="64">
        <v>3.05</v>
      </c>
      <c r="J45" s="64">
        <v>2.57</v>
      </c>
      <c r="K45" s="64">
        <v>338.69</v>
      </c>
      <c r="L45" s="64">
        <v>28.62</v>
      </c>
      <c r="M45" s="64">
        <v>66.58</v>
      </c>
      <c r="N45" s="64">
        <v>479.9</v>
      </c>
      <c r="O45" s="64">
        <v>0</v>
      </c>
      <c r="P45" s="64">
        <v>0.59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2589</v>
      </c>
      <c r="B46" s="64">
        <v>9.83</v>
      </c>
      <c r="C46" s="64">
        <v>16.93</v>
      </c>
      <c r="D46" s="64">
        <v>15.35</v>
      </c>
      <c r="E46" s="64">
        <v>5.92</v>
      </c>
      <c r="F46" s="64">
        <v>4.43</v>
      </c>
      <c r="G46" s="64">
        <v>61.62</v>
      </c>
      <c r="H46" s="64">
        <v>32</v>
      </c>
      <c r="I46" s="64">
        <v>3.12</v>
      </c>
      <c r="J46" s="64">
        <v>2.5499999999999998</v>
      </c>
      <c r="K46" s="64">
        <v>338.17</v>
      </c>
      <c r="L46" s="64">
        <v>28.53</v>
      </c>
      <c r="M46" s="64">
        <v>66.81</v>
      </c>
      <c r="N46" s="64">
        <v>530.6</v>
      </c>
      <c r="O46" s="64">
        <v>0</v>
      </c>
      <c r="P46" s="64">
        <v>0.57999999999999996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2590</v>
      </c>
      <c r="B47" s="64">
        <v>9.3699999999999992</v>
      </c>
      <c r="C47" s="64">
        <v>17.13</v>
      </c>
      <c r="D47" s="64">
        <v>15.08</v>
      </c>
      <c r="E47" s="64">
        <v>5.53</v>
      </c>
      <c r="F47" s="64">
        <v>4.32</v>
      </c>
      <c r="G47" s="64">
        <v>56.85</v>
      </c>
      <c r="H47" s="64">
        <v>18.03</v>
      </c>
      <c r="I47" s="64">
        <v>3.02</v>
      </c>
      <c r="J47" s="64">
        <v>2.48</v>
      </c>
      <c r="K47" s="64">
        <v>337.81</v>
      </c>
      <c r="L47" s="64">
        <v>29.99</v>
      </c>
      <c r="M47" s="64">
        <v>59.92</v>
      </c>
      <c r="N47" s="64">
        <v>578.6</v>
      </c>
      <c r="O47" s="64">
        <v>0</v>
      </c>
      <c r="P47" s="64">
        <v>0.56000000000000005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2591</v>
      </c>
      <c r="B48" s="64">
        <v>8.9</v>
      </c>
      <c r="C48" s="64">
        <v>17.37</v>
      </c>
      <c r="D48" s="64">
        <v>14.84</v>
      </c>
      <c r="E48" s="64">
        <v>5.75</v>
      </c>
      <c r="F48" s="64">
        <v>4.0999999999999996</v>
      </c>
      <c r="G48" s="64">
        <v>56.45</v>
      </c>
      <c r="H48" s="64">
        <v>18.03</v>
      </c>
      <c r="I48" s="64">
        <v>2.86</v>
      </c>
      <c r="J48" s="64">
        <v>1.53</v>
      </c>
      <c r="K48" s="64">
        <v>340.3</v>
      </c>
      <c r="L48" s="64">
        <v>30.91</v>
      </c>
      <c r="M48" s="64">
        <v>57.5</v>
      </c>
      <c r="N48" s="64">
        <v>600.9</v>
      </c>
      <c r="O48" s="64">
        <v>0</v>
      </c>
      <c r="P48" s="64">
        <v>0.55000000000000004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5" t="s">
        <v>2592</v>
      </c>
      <c r="B49" s="64">
        <v>8.6</v>
      </c>
      <c r="C49" s="64">
        <v>17.02</v>
      </c>
      <c r="D49" s="64">
        <v>14.23</v>
      </c>
      <c r="E49" s="64">
        <v>6.17</v>
      </c>
      <c r="F49" s="64">
        <v>4.88</v>
      </c>
      <c r="G49" s="64">
        <v>56.45</v>
      </c>
      <c r="H49" s="64">
        <v>18.03</v>
      </c>
      <c r="I49" s="64">
        <v>2.71</v>
      </c>
      <c r="J49" s="64">
        <v>2.98</v>
      </c>
      <c r="K49" s="64">
        <v>338.48</v>
      </c>
      <c r="L49" s="64">
        <v>31.54</v>
      </c>
      <c r="M49" s="64">
        <v>55.24</v>
      </c>
      <c r="N49" s="64">
        <v>644.70000000000005</v>
      </c>
      <c r="O49" s="64">
        <v>0</v>
      </c>
      <c r="P49" s="64">
        <v>0.56000000000000005</v>
      </c>
      <c r="Q49" s="64">
        <v>0</v>
      </c>
      <c r="R49" s="198"/>
      <c r="S49" s="198"/>
      <c r="T49" s="198"/>
      <c r="U49" s="198"/>
    </row>
    <row r="50" spans="1:21" s="12" customFormat="1" x14ac:dyDescent="0.25">
      <c r="A50" s="215" t="s">
        <v>2593</v>
      </c>
      <c r="B50" s="64">
        <v>8.0299999999999994</v>
      </c>
      <c r="C50" s="64">
        <v>17.420000000000002</v>
      </c>
      <c r="D50" s="64">
        <v>14.16</v>
      </c>
      <c r="E50" s="64">
        <v>5.7</v>
      </c>
      <c r="F50" s="64">
        <v>4.3899999999999997</v>
      </c>
      <c r="G50" s="64">
        <v>56.45</v>
      </c>
      <c r="H50" s="64">
        <v>18.03</v>
      </c>
      <c r="I50" s="64">
        <v>2.69</v>
      </c>
      <c r="J50" s="64">
        <v>2.29</v>
      </c>
      <c r="K50" s="64">
        <v>336.45</v>
      </c>
      <c r="L50" s="64">
        <v>31.34</v>
      </c>
      <c r="M50" s="64">
        <v>56.11</v>
      </c>
      <c r="N50" s="64">
        <v>664.8</v>
      </c>
      <c r="O50" s="64">
        <v>0</v>
      </c>
      <c r="P50" s="64">
        <v>0.56000000000000005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5" t="s">
        <v>2594</v>
      </c>
      <c r="B51" s="64">
        <v>7.67</v>
      </c>
      <c r="C51" s="64">
        <v>17.62</v>
      </c>
      <c r="D51" s="64">
        <v>13.98</v>
      </c>
      <c r="E51" s="64">
        <v>5.55</v>
      </c>
      <c r="F51" s="64">
        <v>5.16</v>
      </c>
      <c r="G51" s="64">
        <v>47.17</v>
      </c>
      <c r="H51" s="64">
        <v>18.62</v>
      </c>
      <c r="I51" s="64">
        <v>2.7</v>
      </c>
      <c r="J51" s="64">
        <v>2.64</v>
      </c>
      <c r="K51" s="64">
        <v>333.48</v>
      </c>
      <c r="L51" s="64">
        <v>31.6</v>
      </c>
      <c r="M51" s="64">
        <v>55.45</v>
      </c>
      <c r="N51" s="64">
        <v>631.79999999999995</v>
      </c>
      <c r="O51" s="64">
        <v>0</v>
      </c>
      <c r="P51" s="64">
        <v>0.56000000000000005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5" t="s">
        <v>2595</v>
      </c>
      <c r="B52" s="64">
        <v>7.2</v>
      </c>
      <c r="C52" s="64">
        <v>18.13</v>
      </c>
      <c r="D52" s="64">
        <v>13.87</v>
      </c>
      <c r="E52" s="64">
        <v>5.22</v>
      </c>
      <c r="F52" s="64">
        <v>5.03</v>
      </c>
      <c r="G52" s="64">
        <v>46.39</v>
      </c>
      <c r="H52" s="64">
        <v>18.62</v>
      </c>
      <c r="I52" s="64">
        <v>2.57</v>
      </c>
      <c r="J52" s="64">
        <v>2.37</v>
      </c>
      <c r="K52" s="64">
        <v>336.57</v>
      </c>
      <c r="L52" s="64">
        <v>31.34</v>
      </c>
      <c r="M52" s="64">
        <v>56.85</v>
      </c>
      <c r="N52" s="64">
        <v>527.1</v>
      </c>
      <c r="O52" s="64">
        <v>0</v>
      </c>
      <c r="P52" s="64">
        <v>0.56000000000000005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2596</v>
      </c>
      <c r="B53" s="64">
        <v>6.89</v>
      </c>
      <c r="C53" s="64">
        <v>17.63</v>
      </c>
      <c r="D53" s="64">
        <v>13.36</v>
      </c>
      <c r="E53" s="64">
        <v>5.53</v>
      </c>
      <c r="F53" s="64">
        <v>4.2</v>
      </c>
      <c r="G53" s="64">
        <v>46.39</v>
      </c>
      <c r="H53" s="64">
        <v>18.62</v>
      </c>
      <c r="I53" s="64">
        <v>2.48</v>
      </c>
      <c r="J53" s="64">
        <v>1.71</v>
      </c>
      <c r="K53" s="64">
        <v>337.82</v>
      </c>
      <c r="L53" s="64">
        <v>31.13</v>
      </c>
      <c r="M53" s="64">
        <v>57.02</v>
      </c>
      <c r="N53" s="64">
        <v>541.20000000000005</v>
      </c>
      <c r="O53" s="64">
        <v>0</v>
      </c>
      <c r="P53" s="64">
        <v>0.56000000000000005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2597</v>
      </c>
      <c r="B54" s="64">
        <v>6.77</v>
      </c>
      <c r="C54" s="64">
        <v>16.48</v>
      </c>
      <c r="D54" s="64">
        <v>12.67</v>
      </c>
      <c r="E54" s="64">
        <v>5.08</v>
      </c>
      <c r="F54" s="64">
        <v>3.7</v>
      </c>
      <c r="G54" s="64">
        <v>46.39</v>
      </c>
      <c r="H54" s="64">
        <v>18.62</v>
      </c>
      <c r="I54" s="64">
        <v>2.4</v>
      </c>
      <c r="J54" s="64">
        <v>1.98</v>
      </c>
      <c r="K54" s="64">
        <v>336.4</v>
      </c>
      <c r="L54" s="64">
        <v>29.9</v>
      </c>
      <c r="M54" s="64">
        <v>60.71</v>
      </c>
      <c r="N54" s="64">
        <v>335.1</v>
      </c>
      <c r="O54" s="64">
        <v>0</v>
      </c>
      <c r="P54" s="64">
        <v>0.55000000000000004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5" t="s">
        <v>2598</v>
      </c>
      <c r="B55" s="64">
        <v>6.73</v>
      </c>
      <c r="C55" s="64">
        <v>16.079999999999998</v>
      </c>
      <c r="D55" s="64">
        <v>12.42</v>
      </c>
      <c r="E55" s="64">
        <v>5.17</v>
      </c>
      <c r="F55" s="64">
        <v>4.1500000000000004</v>
      </c>
      <c r="G55" s="64">
        <v>50.08</v>
      </c>
      <c r="H55" s="64">
        <v>16.32</v>
      </c>
      <c r="I55" s="64">
        <v>2.1800000000000002</v>
      </c>
      <c r="J55" s="64">
        <v>2.2999999999999998</v>
      </c>
      <c r="K55" s="64">
        <v>339.13</v>
      </c>
      <c r="L55" s="64">
        <v>29.96</v>
      </c>
      <c r="M55" s="64">
        <v>61.16</v>
      </c>
      <c r="N55" s="64">
        <v>536.79999999999995</v>
      </c>
      <c r="O55" s="64">
        <v>0</v>
      </c>
      <c r="P55" s="64">
        <v>0.55000000000000004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2599</v>
      </c>
      <c r="B56" s="64">
        <v>6.61</v>
      </c>
      <c r="C56" s="64">
        <v>16.14</v>
      </c>
      <c r="D56" s="64">
        <v>12.36</v>
      </c>
      <c r="E56" s="64">
        <v>5.49</v>
      </c>
      <c r="F56" s="64">
        <v>4.1399999999999997</v>
      </c>
      <c r="G56" s="64">
        <v>50.44</v>
      </c>
      <c r="H56" s="64">
        <v>16.32</v>
      </c>
      <c r="I56" s="64">
        <v>2.17</v>
      </c>
      <c r="J56" s="64">
        <v>2.14</v>
      </c>
      <c r="K56" s="64">
        <v>337.44</v>
      </c>
      <c r="L56" s="64">
        <v>31.33</v>
      </c>
      <c r="M56" s="64">
        <v>56.14</v>
      </c>
      <c r="N56" s="64">
        <v>519.1</v>
      </c>
      <c r="O56" s="64">
        <v>0</v>
      </c>
      <c r="P56" s="64">
        <v>0.56000000000000005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5" t="s">
        <v>2600</v>
      </c>
      <c r="B57" s="64">
        <v>6.29</v>
      </c>
      <c r="C57" s="64">
        <v>16.100000000000001</v>
      </c>
      <c r="D57" s="64">
        <v>12.07</v>
      </c>
      <c r="E57" s="64">
        <v>5.28</v>
      </c>
      <c r="F57" s="64">
        <v>4.2</v>
      </c>
      <c r="G57" s="64">
        <v>50.44</v>
      </c>
      <c r="H57" s="64">
        <v>16.32</v>
      </c>
      <c r="I57" s="64">
        <v>2.2200000000000002</v>
      </c>
      <c r="J57" s="64">
        <v>2.02</v>
      </c>
      <c r="K57" s="64">
        <v>336.81</v>
      </c>
      <c r="L57" s="64">
        <v>31.03</v>
      </c>
      <c r="M57" s="64">
        <v>60.08</v>
      </c>
      <c r="N57" s="64">
        <v>410.2</v>
      </c>
      <c r="O57" s="64">
        <v>0</v>
      </c>
      <c r="P57" s="64">
        <v>0.55000000000000004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5" t="s">
        <v>2601</v>
      </c>
      <c r="B58" s="64">
        <v>6.22</v>
      </c>
      <c r="C58" s="64">
        <v>15.95</v>
      </c>
      <c r="D58" s="64">
        <v>11.94</v>
      </c>
      <c r="E58" s="64">
        <v>5.41</v>
      </c>
      <c r="F58" s="64">
        <v>4.33</v>
      </c>
      <c r="G58" s="64">
        <v>50.44</v>
      </c>
      <c r="H58" s="64">
        <v>16.32</v>
      </c>
      <c r="I58" s="64">
        <v>2.27</v>
      </c>
      <c r="J58" s="64">
        <v>1.18</v>
      </c>
      <c r="K58" s="64">
        <v>337.86</v>
      </c>
      <c r="L58" s="64">
        <v>29.82</v>
      </c>
      <c r="M58" s="64">
        <v>64.03</v>
      </c>
      <c r="N58" s="64">
        <v>515.6</v>
      </c>
      <c r="O58" s="64">
        <v>0</v>
      </c>
      <c r="P58" s="64">
        <v>0.54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2602</v>
      </c>
      <c r="B59" s="64">
        <v>6.32</v>
      </c>
      <c r="C59" s="64">
        <v>15.67</v>
      </c>
      <c r="D59" s="64">
        <v>11.88</v>
      </c>
      <c r="E59" s="64">
        <v>4.9400000000000004</v>
      </c>
      <c r="F59" s="64">
        <v>3.76</v>
      </c>
      <c r="G59" s="64">
        <v>44.07</v>
      </c>
      <c r="H59" s="64">
        <v>16.3</v>
      </c>
      <c r="I59" s="64">
        <v>2.3199999999999998</v>
      </c>
      <c r="J59" s="64">
        <v>1.9</v>
      </c>
      <c r="K59" s="64">
        <v>337.76</v>
      </c>
      <c r="L59" s="64">
        <v>30.71</v>
      </c>
      <c r="M59" s="64">
        <v>58.42</v>
      </c>
      <c r="N59" s="64">
        <v>253.9</v>
      </c>
      <c r="O59" s="64">
        <v>0</v>
      </c>
      <c r="P59" s="64">
        <v>0.52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5" t="s">
        <v>2603</v>
      </c>
      <c r="B60" s="64">
        <v>6.45</v>
      </c>
      <c r="C60" s="64">
        <v>15.45</v>
      </c>
      <c r="D60" s="64">
        <v>11.87</v>
      </c>
      <c r="E60" s="64">
        <v>5.32</v>
      </c>
      <c r="F60" s="64">
        <v>4.07</v>
      </c>
      <c r="G60" s="64">
        <v>43.45</v>
      </c>
      <c r="H60" s="64">
        <v>16.3</v>
      </c>
      <c r="I60" s="64">
        <v>2.0299999999999998</v>
      </c>
      <c r="J60" s="64">
        <v>1.93</v>
      </c>
      <c r="K60" s="64">
        <v>335.57</v>
      </c>
      <c r="L60" s="64">
        <v>30.43</v>
      </c>
      <c r="M60" s="64">
        <v>59.42</v>
      </c>
      <c r="N60" s="64">
        <v>270.2</v>
      </c>
      <c r="O60" s="64">
        <v>0</v>
      </c>
      <c r="P60" s="64">
        <v>0.55000000000000004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2604</v>
      </c>
      <c r="B61" s="64">
        <v>6.47</v>
      </c>
      <c r="C61" s="64">
        <v>15.96</v>
      </c>
      <c r="D61" s="64">
        <v>12.15</v>
      </c>
      <c r="E61" s="64">
        <v>5.4</v>
      </c>
      <c r="F61" s="64">
        <v>5.0999999999999996</v>
      </c>
      <c r="G61" s="64">
        <v>43.45</v>
      </c>
      <c r="H61" s="64">
        <v>16.3</v>
      </c>
      <c r="I61" s="64">
        <v>2.41</v>
      </c>
      <c r="J61" s="64">
        <v>1.31</v>
      </c>
      <c r="K61" s="64">
        <v>342.99</v>
      </c>
      <c r="L61" s="64">
        <v>29.77</v>
      </c>
      <c r="M61" s="64">
        <v>61.05</v>
      </c>
      <c r="N61" s="64">
        <v>195.5</v>
      </c>
      <c r="O61" s="64">
        <v>0</v>
      </c>
      <c r="P61" s="64">
        <v>0.53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2605</v>
      </c>
      <c r="B62" s="64">
        <v>6.59</v>
      </c>
      <c r="C62" s="64">
        <v>16.41</v>
      </c>
      <c r="D62" s="64">
        <v>12.49</v>
      </c>
      <c r="E62" s="64">
        <v>5.01</v>
      </c>
      <c r="F62" s="64">
        <v>4.6500000000000004</v>
      </c>
      <c r="G62" s="64">
        <v>43.45</v>
      </c>
      <c r="H62" s="64">
        <v>16.3</v>
      </c>
      <c r="I62" s="64">
        <v>2.4</v>
      </c>
      <c r="J62" s="64">
        <v>1.8</v>
      </c>
      <c r="K62" s="64">
        <v>338.68</v>
      </c>
      <c r="L62" s="64">
        <v>29.95</v>
      </c>
      <c r="M62" s="64">
        <v>61.18</v>
      </c>
      <c r="N62" s="64">
        <v>180.2</v>
      </c>
      <c r="O62" s="64">
        <v>0</v>
      </c>
      <c r="P62" s="64">
        <v>0.56999999999999995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2606</v>
      </c>
      <c r="B63" s="64">
        <v>6.71</v>
      </c>
      <c r="C63" s="64">
        <v>16.46</v>
      </c>
      <c r="D63" s="64">
        <v>12.61</v>
      </c>
      <c r="E63" s="64">
        <v>5.83</v>
      </c>
      <c r="F63" s="64">
        <v>4.1900000000000004</v>
      </c>
      <c r="G63" s="64">
        <v>43.22</v>
      </c>
      <c r="H63" s="64">
        <v>15.04</v>
      </c>
      <c r="I63" s="64">
        <v>2.68</v>
      </c>
      <c r="J63" s="64">
        <v>1.97</v>
      </c>
      <c r="K63" s="64">
        <v>337.91</v>
      </c>
      <c r="L63" s="64">
        <v>30.31</v>
      </c>
      <c r="M63" s="64">
        <v>59.86</v>
      </c>
      <c r="N63" s="64">
        <v>203.3</v>
      </c>
      <c r="O63" s="64">
        <v>0</v>
      </c>
      <c r="P63" s="64">
        <v>0.56000000000000005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2607</v>
      </c>
      <c r="B64" s="64">
        <v>6.68</v>
      </c>
      <c r="C64" s="64">
        <v>16.63</v>
      </c>
      <c r="D64" s="64">
        <v>12.67</v>
      </c>
      <c r="E64" s="64">
        <v>5.03</v>
      </c>
      <c r="F64" s="64">
        <v>4.46</v>
      </c>
      <c r="G64" s="64">
        <v>43.19</v>
      </c>
      <c r="H64" s="64">
        <v>15.04</v>
      </c>
      <c r="I64" s="64">
        <v>2.85</v>
      </c>
      <c r="J64" s="64">
        <v>2.4300000000000002</v>
      </c>
      <c r="K64" s="64">
        <v>340.75</v>
      </c>
      <c r="L64" s="64">
        <v>29.62</v>
      </c>
      <c r="M64" s="64">
        <v>61.49</v>
      </c>
      <c r="N64" s="64">
        <v>128.80000000000001</v>
      </c>
      <c r="O64" s="64">
        <v>0</v>
      </c>
      <c r="P64" s="64">
        <v>0.56000000000000005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2608</v>
      </c>
      <c r="B65" s="64">
        <v>6.68</v>
      </c>
      <c r="C65" s="64">
        <v>16.920000000000002</v>
      </c>
      <c r="D65" s="64">
        <v>12.82</v>
      </c>
      <c r="E65" s="64">
        <v>4.9400000000000004</v>
      </c>
      <c r="F65" s="64">
        <v>4.18</v>
      </c>
      <c r="G65" s="64">
        <v>43.19</v>
      </c>
      <c r="H65" s="64">
        <v>15.04</v>
      </c>
      <c r="I65" s="64">
        <v>2.93</v>
      </c>
      <c r="J65" s="64">
        <v>2.4300000000000002</v>
      </c>
      <c r="K65" s="64">
        <v>340.43</v>
      </c>
      <c r="L65" s="64">
        <v>29.27</v>
      </c>
      <c r="M65" s="64">
        <v>62.31</v>
      </c>
      <c r="N65" s="64">
        <v>179.8</v>
      </c>
      <c r="O65" s="64">
        <v>0</v>
      </c>
      <c r="P65" s="64">
        <v>0.55000000000000004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2609</v>
      </c>
      <c r="B66" s="64">
        <v>6.51</v>
      </c>
      <c r="C66" s="64">
        <v>17.18</v>
      </c>
      <c r="D66" s="64">
        <v>12.82</v>
      </c>
      <c r="E66" s="64">
        <v>5.25</v>
      </c>
      <c r="F66" s="64">
        <v>4.1100000000000003</v>
      </c>
      <c r="G66" s="64">
        <v>43.19</v>
      </c>
      <c r="H66" s="64">
        <v>15.04</v>
      </c>
      <c r="I66" s="64">
        <v>2.95</v>
      </c>
      <c r="J66" s="64">
        <v>2.39</v>
      </c>
      <c r="K66" s="64">
        <v>340.97</v>
      </c>
      <c r="L66" s="64">
        <v>29.33</v>
      </c>
      <c r="M66" s="64">
        <v>61.01</v>
      </c>
      <c r="N66" s="64">
        <v>205.4</v>
      </c>
      <c r="O66" s="64">
        <v>0</v>
      </c>
      <c r="P66" s="64">
        <v>0.56000000000000005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2610</v>
      </c>
      <c r="B67" s="64">
        <v>6.31</v>
      </c>
      <c r="C67" s="64">
        <v>17.22</v>
      </c>
      <c r="D67" s="64">
        <v>12.68</v>
      </c>
      <c r="E67" s="64">
        <v>4.82</v>
      </c>
      <c r="F67" s="64">
        <v>4.76</v>
      </c>
      <c r="G67" s="64">
        <v>40.04</v>
      </c>
      <c r="H67" s="64">
        <v>13.13</v>
      </c>
      <c r="I67" s="64">
        <v>2.7</v>
      </c>
      <c r="J67" s="64">
        <v>1.97</v>
      </c>
      <c r="K67" s="64">
        <v>339.74</v>
      </c>
      <c r="L67" s="64">
        <v>29.18</v>
      </c>
      <c r="M67" s="64">
        <v>62.43</v>
      </c>
      <c r="N67" s="64">
        <v>151.4</v>
      </c>
      <c r="O67" s="64">
        <v>0</v>
      </c>
      <c r="P67" s="64">
        <v>0.55000000000000004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5" t="s">
        <v>2611</v>
      </c>
      <c r="B68" s="64">
        <v>6.38</v>
      </c>
      <c r="C68" s="64">
        <v>16.88</v>
      </c>
      <c r="D68" s="64">
        <v>12.56</v>
      </c>
      <c r="E68" s="64">
        <v>4.67</v>
      </c>
      <c r="F68" s="64">
        <v>3.96</v>
      </c>
      <c r="G68" s="64">
        <v>39.770000000000003</v>
      </c>
      <c r="H68" s="64">
        <v>13.13</v>
      </c>
      <c r="I68" s="64">
        <v>2.46</v>
      </c>
      <c r="J68" s="64">
        <v>1.86</v>
      </c>
      <c r="K68" s="64">
        <v>337.49</v>
      </c>
      <c r="L68" s="64">
        <v>29.19</v>
      </c>
      <c r="M68" s="64">
        <v>63.55</v>
      </c>
      <c r="N68" s="64">
        <v>148.9</v>
      </c>
      <c r="O68" s="64">
        <v>0</v>
      </c>
      <c r="P68" s="64">
        <v>0.55000000000000004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2612</v>
      </c>
      <c r="B69" s="64">
        <v>6.67</v>
      </c>
      <c r="C69" s="64">
        <v>16.87</v>
      </c>
      <c r="D69" s="64">
        <v>12.79</v>
      </c>
      <c r="E69" s="64">
        <v>4.88</v>
      </c>
      <c r="F69" s="64">
        <v>3.11</v>
      </c>
      <c r="G69" s="64">
        <v>39.770000000000003</v>
      </c>
      <c r="H69" s="64">
        <v>13.13</v>
      </c>
      <c r="I69" s="64">
        <v>2.37</v>
      </c>
      <c r="J69" s="64">
        <v>1.3</v>
      </c>
      <c r="K69" s="64">
        <v>337.74</v>
      </c>
      <c r="L69" s="64">
        <v>29.04</v>
      </c>
      <c r="M69" s="64">
        <v>63.13</v>
      </c>
      <c r="N69" s="64">
        <v>119.2</v>
      </c>
      <c r="O69" s="64">
        <v>0</v>
      </c>
      <c r="P69" s="64">
        <v>0.55000000000000004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2613</v>
      </c>
      <c r="B70" s="64">
        <v>6.96</v>
      </c>
      <c r="C70" s="64">
        <v>15.87</v>
      </c>
      <c r="D70" s="64">
        <v>12.5</v>
      </c>
      <c r="E70" s="64">
        <v>4.76</v>
      </c>
      <c r="F70" s="64">
        <v>3.64</v>
      </c>
      <c r="G70" s="64">
        <v>39.770000000000003</v>
      </c>
      <c r="H70" s="64">
        <v>13.13</v>
      </c>
      <c r="I70" s="64">
        <v>2.4300000000000002</v>
      </c>
      <c r="J70" s="64">
        <v>1.06</v>
      </c>
      <c r="K70" s="64">
        <v>334.31</v>
      </c>
      <c r="L70" s="64">
        <v>28.21</v>
      </c>
      <c r="M70" s="64">
        <v>65.61</v>
      </c>
      <c r="N70" s="64">
        <v>91.5</v>
      </c>
      <c r="O70" s="64">
        <v>0</v>
      </c>
      <c r="P70" s="64">
        <v>0.52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2614</v>
      </c>
      <c r="B71" s="64">
        <v>7.34</v>
      </c>
      <c r="C71" s="64">
        <v>15.01</v>
      </c>
      <c r="D71" s="64">
        <v>12.35</v>
      </c>
      <c r="E71" s="64">
        <v>4.6500000000000004</v>
      </c>
      <c r="F71" s="64">
        <v>3.77</v>
      </c>
      <c r="G71" s="64">
        <v>38.04</v>
      </c>
      <c r="H71" s="64">
        <v>9</v>
      </c>
      <c r="I71" s="64">
        <v>2.2999999999999998</v>
      </c>
      <c r="J71" s="64">
        <v>2.06</v>
      </c>
      <c r="K71" s="64">
        <v>337.52</v>
      </c>
      <c r="L71" s="64">
        <v>28.47</v>
      </c>
      <c r="M71" s="64">
        <v>63.59</v>
      </c>
      <c r="N71" s="64">
        <v>121.2</v>
      </c>
      <c r="O71" s="64">
        <v>0</v>
      </c>
      <c r="P71" s="64">
        <v>0.55000000000000004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2615</v>
      </c>
      <c r="B72" s="64">
        <v>7.42</v>
      </c>
      <c r="C72" s="64">
        <v>14.86</v>
      </c>
      <c r="D72" s="64">
        <v>12.34</v>
      </c>
      <c r="E72" s="64">
        <v>4.4000000000000004</v>
      </c>
      <c r="F72" s="64">
        <v>3.77</v>
      </c>
      <c r="G72" s="64">
        <v>37.9</v>
      </c>
      <c r="H72" s="64">
        <v>9</v>
      </c>
      <c r="I72" s="64">
        <v>2.0299999999999998</v>
      </c>
      <c r="J72" s="64">
        <v>1.66</v>
      </c>
      <c r="K72" s="64">
        <v>337.24</v>
      </c>
      <c r="L72" s="64">
        <v>28.54</v>
      </c>
      <c r="M72" s="64">
        <v>65.11</v>
      </c>
      <c r="N72" s="64">
        <v>100.9</v>
      </c>
      <c r="O72" s="64">
        <v>0</v>
      </c>
      <c r="P72" s="64">
        <v>0.56999999999999995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2616</v>
      </c>
      <c r="B73" s="64">
        <v>7.59</v>
      </c>
      <c r="C73" s="64">
        <v>14.82</v>
      </c>
      <c r="D73" s="64">
        <v>12.45</v>
      </c>
      <c r="E73" s="64">
        <v>5.09</v>
      </c>
      <c r="F73" s="64">
        <v>3.74</v>
      </c>
      <c r="G73" s="64">
        <v>37.9</v>
      </c>
      <c r="H73" s="64">
        <v>9</v>
      </c>
      <c r="I73" s="64">
        <v>2.14</v>
      </c>
      <c r="J73" s="64">
        <v>1.39</v>
      </c>
      <c r="K73" s="64">
        <v>330.72</v>
      </c>
      <c r="L73" s="64">
        <v>27.92</v>
      </c>
      <c r="M73" s="64">
        <v>68.25</v>
      </c>
      <c r="N73" s="64">
        <v>76.900000000000006</v>
      </c>
      <c r="O73" s="64">
        <v>0</v>
      </c>
      <c r="P73" s="64">
        <v>0.57999999999999996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2617</v>
      </c>
      <c r="B74" s="64">
        <v>7.77</v>
      </c>
      <c r="C74" s="64">
        <v>14.55</v>
      </c>
      <c r="D74" s="64">
        <v>12.46</v>
      </c>
      <c r="E74" s="64">
        <v>5.14</v>
      </c>
      <c r="F74" s="64">
        <v>3.83</v>
      </c>
      <c r="G74" s="64">
        <v>37.9</v>
      </c>
      <c r="H74" s="64">
        <v>9</v>
      </c>
      <c r="I74" s="64">
        <v>2.29</v>
      </c>
      <c r="J74" s="64">
        <v>1.72</v>
      </c>
      <c r="K74" s="64">
        <v>335.62</v>
      </c>
      <c r="L74" s="64">
        <v>28.07</v>
      </c>
      <c r="M74" s="64">
        <v>63.99</v>
      </c>
      <c r="N74" s="64">
        <v>76.099999999999994</v>
      </c>
      <c r="O74" s="64">
        <v>0</v>
      </c>
      <c r="P74" s="64">
        <v>0.57999999999999996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2618</v>
      </c>
      <c r="B75" s="64">
        <v>7.98</v>
      </c>
      <c r="C75" s="64">
        <v>14.49</v>
      </c>
      <c r="D75" s="64">
        <v>12.59</v>
      </c>
      <c r="E75" s="64">
        <v>5.09</v>
      </c>
      <c r="F75" s="64">
        <v>3.74</v>
      </c>
      <c r="G75" s="64">
        <v>36.840000000000003</v>
      </c>
      <c r="H75" s="64">
        <v>12.91</v>
      </c>
      <c r="I75" s="64">
        <v>2.36</v>
      </c>
      <c r="J75" s="64">
        <v>1.53</v>
      </c>
      <c r="K75" s="64">
        <v>334.77</v>
      </c>
      <c r="L75" s="64">
        <v>28.21</v>
      </c>
      <c r="M75" s="64">
        <v>63.26</v>
      </c>
      <c r="N75" s="64">
        <v>62</v>
      </c>
      <c r="O75" s="64">
        <v>0</v>
      </c>
      <c r="P75" s="64">
        <v>0.6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5" t="s">
        <v>2619</v>
      </c>
      <c r="B76" s="64">
        <v>8.23</v>
      </c>
      <c r="C76" s="64">
        <v>14.39</v>
      </c>
      <c r="D76" s="64">
        <v>12.74</v>
      </c>
      <c r="E76" s="64">
        <v>5.47</v>
      </c>
      <c r="F76" s="64">
        <v>3.79</v>
      </c>
      <c r="G76" s="64">
        <v>36.75</v>
      </c>
      <c r="H76" s="64">
        <v>12.91</v>
      </c>
      <c r="I76" s="64">
        <v>2.5</v>
      </c>
      <c r="J76" s="64">
        <v>1.55</v>
      </c>
      <c r="K76" s="64">
        <v>337.94</v>
      </c>
      <c r="L76" s="64">
        <v>28.09</v>
      </c>
      <c r="M76" s="64">
        <v>63.14</v>
      </c>
      <c r="N76" s="64">
        <v>52.5</v>
      </c>
      <c r="O76" s="64">
        <v>0</v>
      </c>
      <c r="P76" s="64">
        <v>0.59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2620</v>
      </c>
      <c r="B77" s="64">
        <v>8.48</v>
      </c>
      <c r="C77" s="64">
        <v>14.23</v>
      </c>
      <c r="D77" s="64">
        <v>12.85</v>
      </c>
      <c r="E77" s="64">
        <v>4.8600000000000003</v>
      </c>
      <c r="F77" s="64">
        <v>3.6</v>
      </c>
      <c r="G77" s="64">
        <v>36.75</v>
      </c>
      <c r="H77" s="64">
        <v>12.91</v>
      </c>
      <c r="I77" s="64">
        <v>2.5</v>
      </c>
      <c r="J77" s="64">
        <v>1.28</v>
      </c>
      <c r="K77" s="64">
        <v>328.74</v>
      </c>
      <c r="L77" s="64">
        <v>27.6</v>
      </c>
      <c r="M77" s="64">
        <v>69.069999999999993</v>
      </c>
      <c r="N77" s="64">
        <v>40.299999999999997</v>
      </c>
      <c r="O77" s="64">
        <v>0</v>
      </c>
      <c r="P77" s="64">
        <v>0.59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2621</v>
      </c>
      <c r="B78" s="64">
        <v>9.26</v>
      </c>
      <c r="C78" s="64">
        <v>15.27</v>
      </c>
      <c r="D78" s="64">
        <v>14.02</v>
      </c>
      <c r="E78" s="64">
        <v>5.0999999999999996</v>
      </c>
      <c r="F78" s="64">
        <v>3.9</v>
      </c>
      <c r="G78" s="64">
        <v>36.75</v>
      </c>
      <c r="H78" s="64">
        <v>12.91</v>
      </c>
      <c r="I78" s="64">
        <v>2.48</v>
      </c>
      <c r="J78" s="64">
        <v>1.24</v>
      </c>
      <c r="K78" s="64">
        <v>326.04000000000002</v>
      </c>
      <c r="L78" s="64">
        <v>26.7</v>
      </c>
      <c r="M78" s="64">
        <v>76.06</v>
      </c>
      <c r="N78" s="64">
        <v>32.799999999999997</v>
      </c>
      <c r="O78" s="64">
        <v>0</v>
      </c>
      <c r="P78" s="64">
        <v>0.63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2622</v>
      </c>
      <c r="B79" s="64">
        <v>10.52</v>
      </c>
      <c r="C79" s="64">
        <v>15.26</v>
      </c>
      <c r="D79" s="64">
        <v>15.03</v>
      </c>
      <c r="E79" s="64">
        <v>5.46</v>
      </c>
      <c r="F79" s="64">
        <v>4.42</v>
      </c>
      <c r="G79" s="64">
        <v>36.159999999999997</v>
      </c>
      <c r="H79" s="64">
        <v>22.27</v>
      </c>
      <c r="I79" s="64">
        <v>2.68</v>
      </c>
      <c r="J79" s="64">
        <v>0.57999999999999996</v>
      </c>
      <c r="K79" s="64">
        <v>320.37</v>
      </c>
      <c r="L79" s="64">
        <v>26.29</v>
      </c>
      <c r="M79" s="64">
        <v>77.650000000000006</v>
      </c>
      <c r="N79" s="64">
        <v>27.7</v>
      </c>
      <c r="O79" s="64">
        <v>0</v>
      </c>
      <c r="P79" s="64">
        <v>0.68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2623</v>
      </c>
      <c r="B80" s="64">
        <v>12.23</v>
      </c>
      <c r="C80" s="64">
        <v>15.06</v>
      </c>
      <c r="D80" s="64">
        <v>16.3</v>
      </c>
      <c r="E80" s="64">
        <v>5.57</v>
      </c>
      <c r="F80" s="64">
        <v>4.1500000000000004</v>
      </c>
      <c r="G80" s="64">
        <v>36.1</v>
      </c>
      <c r="H80" s="64">
        <v>22.27</v>
      </c>
      <c r="I80" s="64">
        <v>3.1</v>
      </c>
      <c r="J80" s="64">
        <v>0.22</v>
      </c>
      <c r="K80" s="64">
        <v>320.27999999999997</v>
      </c>
      <c r="L80" s="64">
        <v>25.99</v>
      </c>
      <c r="M80" s="64">
        <v>77.709999999999994</v>
      </c>
      <c r="N80" s="64">
        <v>26.4</v>
      </c>
      <c r="O80" s="64">
        <v>0</v>
      </c>
      <c r="P80" s="64">
        <v>0.73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2624</v>
      </c>
      <c r="B81" s="64">
        <v>13.4</v>
      </c>
      <c r="C81" s="64">
        <v>15.16</v>
      </c>
      <c r="D81" s="64">
        <v>17.29</v>
      </c>
      <c r="E81" s="64">
        <v>5.53</v>
      </c>
      <c r="F81" s="64">
        <v>3.64</v>
      </c>
      <c r="G81" s="64">
        <v>36.1</v>
      </c>
      <c r="H81" s="64">
        <v>22.27</v>
      </c>
      <c r="I81" s="64">
        <v>3.27</v>
      </c>
      <c r="J81" s="64">
        <v>0.08</v>
      </c>
      <c r="K81" s="64">
        <v>4.74</v>
      </c>
      <c r="L81" s="64">
        <v>25.94</v>
      </c>
      <c r="M81" s="64">
        <v>75.41</v>
      </c>
      <c r="N81" s="64">
        <v>26.2</v>
      </c>
      <c r="O81" s="64">
        <v>0</v>
      </c>
      <c r="P81" s="64">
        <v>0.66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2625</v>
      </c>
      <c r="B82" s="64">
        <v>13.75</v>
      </c>
      <c r="C82" s="64">
        <v>14.87</v>
      </c>
      <c r="D82" s="64">
        <v>17.420000000000002</v>
      </c>
      <c r="E82" s="64">
        <v>5.35</v>
      </c>
      <c r="F82" s="64">
        <v>3.38</v>
      </c>
      <c r="G82" s="64">
        <v>36.1</v>
      </c>
      <c r="H82" s="64">
        <v>22.27</v>
      </c>
      <c r="I82" s="64">
        <v>3.5</v>
      </c>
      <c r="J82" s="64">
        <v>0.1</v>
      </c>
      <c r="K82" s="64">
        <v>307.27999999999997</v>
      </c>
      <c r="L82" s="64">
        <v>25.91</v>
      </c>
      <c r="M82" s="64">
        <v>73.56</v>
      </c>
      <c r="N82" s="64">
        <v>26.1</v>
      </c>
      <c r="O82" s="64">
        <v>0</v>
      </c>
      <c r="P82" s="64">
        <v>0.71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2626</v>
      </c>
      <c r="B83" s="64">
        <v>14.53</v>
      </c>
      <c r="C83" s="64">
        <v>14.46</v>
      </c>
      <c r="D83" s="64">
        <v>17.829999999999998</v>
      </c>
      <c r="E83" s="64">
        <v>5.03</v>
      </c>
      <c r="F83" s="64">
        <v>3.83</v>
      </c>
      <c r="G83" s="64">
        <v>33.270000000000003</v>
      </c>
      <c r="H83" s="64">
        <v>16.399999999999999</v>
      </c>
      <c r="I83" s="64">
        <v>3.53</v>
      </c>
      <c r="J83" s="64">
        <v>0.09</v>
      </c>
      <c r="K83" s="64">
        <v>319.36</v>
      </c>
      <c r="L83" s="64">
        <v>25.75</v>
      </c>
      <c r="M83" s="64">
        <v>73.98</v>
      </c>
      <c r="N83" s="64">
        <v>26.1</v>
      </c>
      <c r="O83" s="64">
        <v>0</v>
      </c>
      <c r="P83" s="64">
        <v>0.76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2627</v>
      </c>
      <c r="B84" s="64">
        <v>15.24</v>
      </c>
      <c r="C84" s="64">
        <v>14.79</v>
      </c>
      <c r="D84" s="64">
        <v>18.57</v>
      </c>
      <c r="E84" s="64">
        <v>5.12</v>
      </c>
      <c r="F84" s="64">
        <v>4.16</v>
      </c>
      <c r="G84" s="64">
        <v>32.99</v>
      </c>
      <c r="H84" s="64">
        <v>16.399999999999999</v>
      </c>
      <c r="I84" s="64">
        <v>3.22</v>
      </c>
      <c r="J84" s="64">
        <v>0.03</v>
      </c>
      <c r="K84" s="64">
        <v>106.33</v>
      </c>
      <c r="L84" s="64">
        <v>25.55</v>
      </c>
      <c r="M84" s="64">
        <v>74.790000000000006</v>
      </c>
      <c r="N84" s="64">
        <v>26.1</v>
      </c>
      <c r="O84" s="64">
        <v>0</v>
      </c>
      <c r="P84" s="64">
        <v>0.71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5" t="s">
        <v>2628</v>
      </c>
      <c r="B85" s="64">
        <v>15.22</v>
      </c>
      <c r="C85" s="64">
        <v>14.54</v>
      </c>
      <c r="D85" s="64">
        <v>18.43</v>
      </c>
      <c r="E85" s="64">
        <v>5.42</v>
      </c>
      <c r="F85" s="64">
        <v>3.74</v>
      </c>
      <c r="G85" s="64">
        <v>32.99</v>
      </c>
      <c r="H85" s="64">
        <v>16.399999999999999</v>
      </c>
      <c r="I85" s="64">
        <v>3.62</v>
      </c>
      <c r="J85" s="64">
        <v>0.39</v>
      </c>
      <c r="K85" s="64">
        <v>115.4</v>
      </c>
      <c r="L85" s="64">
        <v>25.31</v>
      </c>
      <c r="M85" s="64">
        <v>75.87</v>
      </c>
      <c r="N85" s="64">
        <v>26.1</v>
      </c>
      <c r="O85" s="64">
        <v>0</v>
      </c>
      <c r="P85" s="64">
        <v>0.63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2629</v>
      </c>
      <c r="B86" s="64">
        <v>15.03</v>
      </c>
      <c r="C86" s="64">
        <v>14.43</v>
      </c>
      <c r="D86" s="64">
        <v>18.22</v>
      </c>
      <c r="E86" s="64">
        <v>5.2</v>
      </c>
      <c r="F86" s="64">
        <v>3.98</v>
      </c>
      <c r="G86" s="64">
        <v>32.99</v>
      </c>
      <c r="H86" s="64">
        <v>16.399999999999999</v>
      </c>
      <c r="I86" s="64">
        <v>3.7</v>
      </c>
      <c r="J86" s="64">
        <v>0.15</v>
      </c>
      <c r="K86" s="64">
        <v>105.91</v>
      </c>
      <c r="L86" s="64">
        <v>25.12</v>
      </c>
      <c r="M86" s="64">
        <v>75.97</v>
      </c>
      <c r="N86" s="64">
        <v>26.1</v>
      </c>
      <c r="O86" s="64">
        <v>0</v>
      </c>
      <c r="P86" s="64">
        <v>0.7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2630</v>
      </c>
      <c r="B87" s="64">
        <v>14.99</v>
      </c>
      <c r="C87" s="64">
        <v>13.7</v>
      </c>
      <c r="D87" s="64">
        <v>17.8</v>
      </c>
      <c r="E87" s="64">
        <v>5.35</v>
      </c>
      <c r="F87" s="64">
        <v>3.27</v>
      </c>
      <c r="G87" s="64">
        <v>30.83</v>
      </c>
      <c r="H87" s="64">
        <v>13.42</v>
      </c>
      <c r="I87" s="64">
        <v>3.39</v>
      </c>
      <c r="J87" s="64">
        <v>0.36</v>
      </c>
      <c r="K87" s="64">
        <v>125.84</v>
      </c>
      <c r="L87" s="64">
        <v>24.97</v>
      </c>
      <c r="M87" s="64">
        <v>76.599999999999994</v>
      </c>
      <c r="N87" s="64">
        <v>26.1</v>
      </c>
      <c r="O87" s="64">
        <v>0</v>
      </c>
      <c r="P87" s="64">
        <v>0.74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2631</v>
      </c>
      <c r="B88" s="64">
        <v>14.94</v>
      </c>
      <c r="C88" s="64">
        <v>12.36</v>
      </c>
      <c r="D88" s="64">
        <v>17.059999999999999</v>
      </c>
      <c r="E88" s="64">
        <v>3.22</v>
      </c>
      <c r="F88" s="64">
        <v>3.85</v>
      </c>
      <c r="G88" s="64">
        <v>30.65</v>
      </c>
      <c r="H88" s="64">
        <v>13.42</v>
      </c>
      <c r="I88" s="64">
        <v>2.95</v>
      </c>
      <c r="J88" s="64">
        <v>0.14000000000000001</v>
      </c>
      <c r="K88" s="64">
        <v>183.47</v>
      </c>
      <c r="L88" s="64">
        <v>24.81</v>
      </c>
      <c r="M88" s="64">
        <v>77.08</v>
      </c>
      <c r="N88" s="64">
        <v>26</v>
      </c>
      <c r="O88" s="64">
        <v>0</v>
      </c>
      <c r="P88" s="64">
        <v>0.79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5" t="s">
        <v>2632</v>
      </c>
      <c r="B89" s="64">
        <v>15.26</v>
      </c>
      <c r="C89" s="64">
        <v>11.94</v>
      </c>
      <c r="D89" s="64">
        <v>17.100000000000001</v>
      </c>
      <c r="E89" s="64">
        <v>3.58</v>
      </c>
      <c r="F89" s="64">
        <v>3.48</v>
      </c>
      <c r="G89" s="64">
        <v>30.65</v>
      </c>
      <c r="H89" s="64">
        <v>13.42</v>
      </c>
      <c r="I89" s="64">
        <v>2.95</v>
      </c>
      <c r="J89" s="64">
        <v>0.09</v>
      </c>
      <c r="K89" s="64">
        <v>33.270000000000003</v>
      </c>
      <c r="L89" s="64">
        <v>24.78</v>
      </c>
      <c r="M89" s="64">
        <v>76.73</v>
      </c>
      <c r="N89" s="64">
        <v>26</v>
      </c>
      <c r="O89" s="64">
        <v>0</v>
      </c>
      <c r="P89" s="64">
        <v>1.05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5" t="s">
        <v>2633</v>
      </c>
      <c r="B90" s="64">
        <v>15.93</v>
      </c>
      <c r="C90" s="64">
        <v>11.91</v>
      </c>
      <c r="D90" s="64">
        <v>17.62</v>
      </c>
      <c r="E90" s="64">
        <v>3.57</v>
      </c>
      <c r="F90" s="64">
        <v>3.69</v>
      </c>
      <c r="G90" s="64">
        <v>30.65</v>
      </c>
      <c r="H90" s="64">
        <v>13.42</v>
      </c>
      <c r="I90" s="64">
        <v>3.03</v>
      </c>
      <c r="J90" s="64">
        <v>0.48</v>
      </c>
      <c r="K90" s="64">
        <v>312.69</v>
      </c>
      <c r="L90" s="64">
        <v>24.69</v>
      </c>
      <c r="M90" s="64">
        <v>76.77</v>
      </c>
      <c r="N90" s="64">
        <v>25.8</v>
      </c>
      <c r="O90" s="64">
        <v>0</v>
      </c>
      <c r="P90" s="64">
        <v>0.92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2634</v>
      </c>
      <c r="B91" s="64">
        <v>17.03</v>
      </c>
      <c r="C91" s="64">
        <v>11.85</v>
      </c>
      <c r="D91" s="64">
        <v>18.47</v>
      </c>
      <c r="E91" s="64">
        <v>4.18</v>
      </c>
      <c r="F91" s="64">
        <v>3.38</v>
      </c>
      <c r="G91" s="64">
        <v>62.02</v>
      </c>
      <c r="H91" s="64">
        <v>15.82</v>
      </c>
      <c r="I91" s="64">
        <v>3.58</v>
      </c>
      <c r="J91" s="64">
        <v>0.16</v>
      </c>
      <c r="K91" s="64">
        <v>308.14</v>
      </c>
      <c r="L91" s="64">
        <v>24.58</v>
      </c>
      <c r="M91" s="64">
        <v>77.55</v>
      </c>
      <c r="N91" s="64">
        <v>25.9</v>
      </c>
      <c r="O91" s="64">
        <v>0</v>
      </c>
      <c r="P91" s="64">
        <v>0.97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5" t="s">
        <v>2635</v>
      </c>
      <c r="B92" s="64">
        <v>18.2</v>
      </c>
      <c r="C92" s="64">
        <v>11.65</v>
      </c>
      <c r="D92" s="64">
        <v>19.309999999999999</v>
      </c>
      <c r="E92" s="64">
        <v>4.4000000000000004</v>
      </c>
      <c r="F92" s="64">
        <v>3.09</v>
      </c>
      <c r="G92" s="64">
        <v>64.67</v>
      </c>
      <c r="H92" s="64">
        <v>15.82</v>
      </c>
      <c r="I92" s="64">
        <v>3.63</v>
      </c>
      <c r="J92" s="64">
        <v>0.12</v>
      </c>
      <c r="K92" s="64">
        <v>142.49</v>
      </c>
      <c r="L92" s="64">
        <v>24.4</v>
      </c>
      <c r="M92" s="64">
        <v>78.459999999999994</v>
      </c>
      <c r="N92" s="64">
        <v>26.1</v>
      </c>
      <c r="O92" s="64">
        <v>0</v>
      </c>
      <c r="P92" s="64">
        <v>0.8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2636</v>
      </c>
      <c r="B93" s="64">
        <v>18.96</v>
      </c>
      <c r="C93" s="64">
        <v>11.3</v>
      </c>
      <c r="D93" s="64">
        <v>19.73</v>
      </c>
      <c r="E93" s="64">
        <v>4.13</v>
      </c>
      <c r="F93" s="64">
        <v>3.32</v>
      </c>
      <c r="G93" s="64">
        <v>64.67</v>
      </c>
      <c r="H93" s="64">
        <v>15.82</v>
      </c>
      <c r="I93" s="64">
        <v>3.42</v>
      </c>
      <c r="J93" s="64">
        <v>7.0000000000000007E-2</v>
      </c>
      <c r="K93" s="64">
        <v>154.84</v>
      </c>
      <c r="L93" s="64">
        <v>24.22</v>
      </c>
      <c r="M93" s="64">
        <v>79.88</v>
      </c>
      <c r="N93" s="64">
        <v>26.1</v>
      </c>
      <c r="O93" s="64">
        <v>0</v>
      </c>
      <c r="P93" s="64">
        <v>0.88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2637</v>
      </c>
      <c r="B94" s="64">
        <v>20.12</v>
      </c>
      <c r="C94" s="64">
        <v>11.45</v>
      </c>
      <c r="D94" s="64">
        <v>20.74</v>
      </c>
      <c r="E94" s="64">
        <v>4.1900000000000004</v>
      </c>
      <c r="F94" s="64">
        <v>3.53</v>
      </c>
      <c r="G94" s="64">
        <v>64.67</v>
      </c>
      <c r="H94" s="64">
        <v>15.82</v>
      </c>
      <c r="I94" s="64">
        <v>2.81</v>
      </c>
      <c r="J94" s="64">
        <v>0.14000000000000001</v>
      </c>
      <c r="K94" s="64">
        <v>54.63</v>
      </c>
      <c r="L94" s="64">
        <v>24.22</v>
      </c>
      <c r="M94" s="64">
        <v>79.62</v>
      </c>
      <c r="N94" s="64">
        <v>25.6</v>
      </c>
      <c r="O94" s="64">
        <v>0</v>
      </c>
      <c r="P94" s="64">
        <v>0.88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2638</v>
      </c>
      <c r="B95" s="64">
        <v>21.47</v>
      </c>
      <c r="C95" s="64">
        <v>12.43</v>
      </c>
      <c r="D95" s="64">
        <v>22.33</v>
      </c>
      <c r="E95" s="64">
        <v>4.28</v>
      </c>
      <c r="F95" s="64">
        <v>3.74</v>
      </c>
      <c r="G95" s="64">
        <v>57.03</v>
      </c>
      <c r="H95" s="64">
        <v>11.31</v>
      </c>
      <c r="I95" s="64">
        <v>3.21</v>
      </c>
      <c r="J95" s="64">
        <v>0.33</v>
      </c>
      <c r="K95" s="64">
        <v>337.07</v>
      </c>
      <c r="L95" s="64">
        <v>24.29</v>
      </c>
      <c r="M95" s="64">
        <v>78.89</v>
      </c>
      <c r="N95" s="64">
        <v>25.8</v>
      </c>
      <c r="O95" s="64">
        <v>0</v>
      </c>
      <c r="P95" s="64">
        <v>0.82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2639</v>
      </c>
      <c r="B96" s="64">
        <v>22.18</v>
      </c>
      <c r="C96" s="64">
        <v>12.68</v>
      </c>
      <c r="D96" s="64">
        <v>23.04</v>
      </c>
      <c r="E96" s="64">
        <v>4.03</v>
      </c>
      <c r="F96" s="64">
        <v>3.63</v>
      </c>
      <c r="G96" s="64">
        <v>56.38</v>
      </c>
      <c r="H96" s="64">
        <v>11.31</v>
      </c>
      <c r="I96" s="64">
        <v>4.5599999999999996</v>
      </c>
      <c r="J96" s="64">
        <v>0.99</v>
      </c>
      <c r="K96" s="64">
        <v>337.83</v>
      </c>
      <c r="L96" s="64">
        <v>24.19</v>
      </c>
      <c r="M96" s="64">
        <v>80.040000000000006</v>
      </c>
      <c r="N96" s="64">
        <v>25.8</v>
      </c>
      <c r="O96" s="64">
        <v>0</v>
      </c>
      <c r="P96" s="64">
        <v>0.83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2640</v>
      </c>
      <c r="B97" s="64">
        <v>22.67</v>
      </c>
      <c r="C97" s="64">
        <v>13.2</v>
      </c>
      <c r="D97" s="64">
        <v>23.7</v>
      </c>
      <c r="E97" s="64">
        <v>4.28</v>
      </c>
      <c r="F97" s="64">
        <v>4.4800000000000004</v>
      </c>
      <c r="G97" s="64">
        <v>56.38</v>
      </c>
      <c r="H97" s="64">
        <v>11.31</v>
      </c>
      <c r="I97" s="64">
        <v>4.87</v>
      </c>
      <c r="J97" s="64">
        <v>1.34</v>
      </c>
      <c r="K97" s="64">
        <v>335.15</v>
      </c>
      <c r="L97" s="64">
        <v>24.13</v>
      </c>
      <c r="M97" s="64">
        <v>79.36</v>
      </c>
      <c r="N97" s="64">
        <v>25.8</v>
      </c>
      <c r="O97" s="64">
        <v>0</v>
      </c>
      <c r="P97" s="64">
        <v>0.82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2641</v>
      </c>
      <c r="B98" s="64">
        <v>23.09</v>
      </c>
      <c r="C98" s="64">
        <v>13.86</v>
      </c>
      <c r="D98" s="64">
        <v>24.38</v>
      </c>
      <c r="E98" s="64">
        <v>4.21</v>
      </c>
      <c r="F98" s="64">
        <v>4.17</v>
      </c>
      <c r="G98" s="64">
        <v>56.38</v>
      </c>
      <c r="H98" s="64">
        <v>11.31</v>
      </c>
      <c r="I98" s="64">
        <v>5.07</v>
      </c>
      <c r="J98" s="64">
        <v>1.25</v>
      </c>
      <c r="K98" s="64">
        <v>335.66</v>
      </c>
      <c r="L98" s="64">
        <v>23.97</v>
      </c>
      <c r="M98" s="64">
        <v>79.16</v>
      </c>
      <c r="N98" s="64">
        <v>26.1</v>
      </c>
      <c r="O98" s="64">
        <v>0</v>
      </c>
      <c r="P98" s="64">
        <v>0.8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2642</v>
      </c>
      <c r="B99" s="64">
        <v>23.01</v>
      </c>
      <c r="C99" s="64">
        <v>14.27</v>
      </c>
      <c r="D99" s="64">
        <v>24.54</v>
      </c>
      <c r="E99" s="64">
        <v>4.03</v>
      </c>
      <c r="F99" s="64">
        <v>3.5</v>
      </c>
      <c r="G99" s="64">
        <v>49.3</v>
      </c>
      <c r="H99" s="64">
        <v>10.65</v>
      </c>
      <c r="I99" s="64">
        <v>5.01</v>
      </c>
      <c r="J99" s="64">
        <v>1.32</v>
      </c>
      <c r="K99" s="64">
        <v>334.89</v>
      </c>
      <c r="L99" s="64">
        <v>23.72</v>
      </c>
      <c r="M99" s="64">
        <v>80.599999999999994</v>
      </c>
      <c r="N99" s="64">
        <v>26.1</v>
      </c>
      <c r="O99" s="64">
        <v>0</v>
      </c>
      <c r="P99" s="64">
        <v>0.8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2643</v>
      </c>
      <c r="B100" s="64">
        <v>23.06</v>
      </c>
      <c r="C100" s="64">
        <v>14.26</v>
      </c>
      <c r="D100" s="64">
        <v>24.56</v>
      </c>
      <c r="E100" s="64">
        <v>4.03</v>
      </c>
      <c r="F100" s="64">
        <v>3.45</v>
      </c>
      <c r="G100" s="64">
        <v>48.7</v>
      </c>
      <c r="H100" s="64">
        <v>10.65</v>
      </c>
      <c r="I100" s="64">
        <v>4.8899999999999997</v>
      </c>
      <c r="J100" s="64">
        <v>0.6</v>
      </c>
      <c r="K100" s="64">
        <v>329.84</v>
      </c>
      <c r="L100" s="64">
        <v>23.43</v>
      </c>
      <c r="M100" s="64">
        <v>81.84</v>
      </c>
      <c r="N100" s="64">
        <v>26.1</v>
      </c>
      <c r="O100" s="64">
        <v>0</v>
      </c>
      <c r="P100" s="64">
        <v>0.78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2644</v>
      </c>
      <c r="B101" s="64">
        <v>23.02</v>
      </c>
      <c r="C101" s="64">
        <v>14.03</v>
      </c>
      <c r="D101" s="64">
        <v>24.41</v>
      </c>
      <c r="E101" s="64">
        <v>4.25</v>
      </c>
      <c r="F101" s="64">
        <v>4.05</v>
      </c>
      <c r="G101" s="64">
        <v>48.7</v>
      </c>
      <c r="H101" s="64">
        <v>10.65</v>
      </c>
      <c r="I101" s="64">
        <v>4.8099999999999996</v>
      </c>
      <c r="J101" s="64">
        <v>0.56000000000000005</v>
      </c>
      <c r="K101" s="64">
        <v>326.68</v>
      </c>
      <c r="L101" s="64">
        <v>23.16</v>
      </c>
      <c r="M101" s="64">
        <v>83.05</v>
      </c>
      <c r="N101" s="64">
        <v>26</v>
      </c>
      <c r="O101" s="64">
        <v>0</v>
      </c>
      <c r="P101" s="64">
        <v>0.77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2645</v>
      </c>
      <c r="B102" s="64">
        <v>22.92</v>
      </c>
      <c r="C102" s="64">
        <v>13.77</v>
      </c>
      <c r="D102" s="64">
        <v>24.2</v>
      </c>
      <c r="E102" s="64">
        <v>3.78</v>
      </c>
      <c r="F102" s="64">
        <v>4.25</v>
      </c>
      <c r="G102" s="64">
        <v>48.7</v>
      </c>
      <c r="H102" s="64">
        <v>10.65</v>
      </c>
      <c r="I102" s="64">
        <v>4.6399999999999997</v>
      </c>
      <c r="J102" s="64">
        <v>0.56000000000000005</v>
      </c>
      <c r="K102" s="64">
        <v>331.37</v>
      </c>
      <c r="L102" s="64">
        <v>23.16</v>
      </c>
      <c r="M102" s="64">
        <v>82.9</v>
      </c>
      <c r="N102" s="64">
        <v>26</v>
      </c>
      <c r="O102" s="64">
        <v>0</v>
      </c>
      <c r="P102" s="64">
        <v>0.76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5" t="s">
        <v>2646</v>
      </c>
      <c r="B103" s="64">
        <v>22.6</v>
      </c>
      <c r="C103" s="64">
        <v>13.57</v>
      </c>
      <c r="D103" s="64">
        <v>23.83</v>
      </c>
      <c r="E103" s="64">
        <v>3.63</v>
      </c>
      <c r="F103" s="64">
        <v>3.89</v>
      </c>
      <c r="G103" s="64">
        <v>44.88</v>
      </c>
      <c r="H103" s="64">
        <v>12.38</v>
      </c>
      <c r="I103" s="64">
        <v>4.5999999999999996</v>
      </c>
      <c r="J103" s="64">
        <v>1.07</v>
      </c>
      <c r="K103" s="64">
        <v>335.27</v>
      </c>
      <c r="L103" s="64">
        <v>23.05</v>
      </c>
      <c r="M103" s="64">
        <v>84.08</v>
      </c>
      <c r="N103" s="64">
        <v>25.9</v>
      </c>
      <c r="O103" s="64">
        <v>0</v>
      </c>
      <c r="P103" s="64">
        <v>0.76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2647</v>
      </c>
      <c r="B104" s="64">
        <v>22.86</v>
      </c>
      <c r="C104" s="64">
        <v>12.44</v>
      </c>
      <c r="D104" s="64">
        <v>23.45</v>
      </c>
      <c r="E104" s="64">
        <v>4.74</v>
      </c>
      <c r="F104" s="64">
        <v>3.43</v>
      </c>
      <c r="G104" s="64">
        <v>44.56</v>
      </c>
      <c r="H104" s="64">
        <v>12.38</v>
      </c>
      <c r="I104" s="64">
        <v>4.59</v>
      </c>
      <c r="J104" s="64">
        <v>0.3</v>
      </c>
      <c r="K104" s="64">
        <v>106.81</v>
      </c>
      <c r="L104" s="64">
        <v>22.63</v>
      </c>
      <c r="M104" s="64">
        <v>86.73</v>
      </c>
      <c r="N104" s="64">
        <v>26.3</v>
      </c>
      <c r="O104" s="64">
        <v>0</v>
      </c>
      <c r="P104" s="64">
        <v>0.76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1.94</v>
      </c>
      <c r="C106" s="67">
        <f>MIN(C9:C104)</f>
        <v>11.3</v>
      </c>
      <c r="D106" s="67">
        <f t="shared" ref="D106:Q106" si="0">MIN(D9:D104)</f>
        <v>6.28</v>
      </c>
      <c r="E106" s="67">
        <f t="shared" si="0"/>
        <v>3.22</v>
      </c>
      <c r="F106" s="67">
        <f t="shared" si="0"/>
        <v>3.09</v>
      </c>
      <c r="G106" s="67">
        <f t="shared" si="0"/>
        <v>30.65</v>
      </c>
      <c r="H106" s="67">
        <f t="shared" si="0"/>
        <v>9</v>
      </c>
      <c r="I106" s="67">
        <f t="shared" si="0"/>
        <v>2.0299999999999998</v>
      </c>
      <c r="J106" s="67">
        <f t="shared" si="0"/>
        <v>0.03</v>
      </c>
      <c r="K106" s="67">
        <f t="shared" si="0"/>
        <v>4.74</v>
      </c>
      <c r="L106" s="67">
        <f t="shared" si="0"/>
        <v>22.01</v>
      </c>
      <c r="M106" s="67">
        <f t="shared" si="0"/>
        <v>55.24</v>
      </c>
      <c r="N106" s="67">
        <f t="shared" si="0"/>
        <v>25.6</v>
      </c>
      <c r="O106" s="67">
        <f t="shared" si="0"/>
        <v>0</v>
      </c>
      <c r="P106" s="67">
        <f t="shared" si="0"/>
        <v>0.52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23.09</v>
      </c>
      <c r="C107" s="66">
        <f t="shared" ref="C107:Q107" si="1">MAX(C9:C104)</f>
        <v>18.93</v>
      </c>
      <c r="D107" s="66">
        <f t="shared" si="1"/>
        <v>24.56</v>
      </c>
      <c r="E107" s="66">
        <f t="shared" si="1"/>
        <v>6.89</v>
      </c>
      <c r="F107" s="66">
        <f t="shared" si="1"/>
        <v>5.47</v>
      </c>
      <c r="G107" s="66">
        <f t="shared" si="1"/>
        <v>89.11</v>
      </c>
      <c r="H107" s="66">
        <f t="shared" si="1"/>
        <v>43.24</v>
      </c>
      <c r="I107" s="66">
        <f t="shared" si="1"/>
        <v>5.07</v>
      </c>
      <c r="J107" s="66">
        <f t="shared" si="1"/>
        <v>2.98</v>
      </c>
      <c r="K107" s="66">
        <f t="shared" si="1"/>
        <v>342.99</v>
      </c>
      <c r="L107" s="66">
        <f t="shared" si="1"/>
        <v>31.6</v>
      </c>
      <c r="M107" s="66">
        <f t="shared" si="1"/>
        <v>96.77</v>
      </c>
      <c r="N107" s="66">
        <f t="shared" si="1"/>
        <v>664.8</v>
      </c>
      <c r="O107" s="66">
        <f t="shared" si="1"/>
        <v>0</v>
      </c>
      <c r="P107" s="66">
        <f t="shared" si="1"/>
        <v>1.05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9.7809375000000003</v>
      </c>
      <c r="C108" s="67">
        <f t="shared" ref="C108:Q108" si="2">AVERAGE(C9:C104)</f>
        <v>14.979270833333333</v>
      </c>
      <c r="D108" s="67">
        <f t="shared" si="2"/>
        <v>14.291249999999998</v>
      </c>
      <c r="E108" s="67">
        <f t="shared" si="2"/>
        <v>5.4483333333333297</v>
      </c>
      <c r="F108" s="67">
        <f t="shared" si="2"/>
        <v>4.1211458333333324</v>
      </c>
      <c r="G108" s="67">
        <f t="shared" si="2"/>
        <v>54.819583333333327</v>
      </c>
      <c r="H108" s="67">
        <f t="shared" si="2"/>
        <v>23.029791666666672</v>
      </c>
      <c r="I108" s="67">
        <f t="shared" si="2"/>
        <v>3.1037499999999985</v>
      </c>
      <c r="J108" s="67">
        <f t="shared" si="2"/>
        <v>1.5470833333333338</v>
      </c>
      <c r="K108" s="67">
        <f t="shared" si="2"/>
        <v>308.22104166666685</v>
      </c>
      <c r="L108" s="67">
        <f t="shared" si="2"/>
        <v>26.024062499999989</v>
      </c>
      <c r="M108" s="67">
        <f t="shared" si="2"/>
        <v>75.869895833333331</v>
      </c>
      <c r="N108" s="67">
        <f t="shared" si="2"/>
        <v>145.32708333333335</v>
      </c>
      <c r="O108" s="67">
        <f t="shared" si="2"/>
        <v>0</v>
      </c>
      <c r="P108" s="67">
        <f t="shared" si="2"/>
        <v>0.64781249999999979</v>
      </c>
      <c r="Q108" s="67">
        <f t="shared" si="2"/>
        <v>9.5160416666666716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5.9770327223860606</v>
      </c>
      <c r="C109" s="67">
        <f t="shared" ref="C109:Q109" si="3">STDEV(C9:C104)</f>
        <v>1.800922129174644</v>
      </c>
      <c r="D109" s="67">
        <f t="shared" si="3"/>
        <v>4.5453572032639222</v>
      </c>
      <c r="E109" s="67">
        <f t="shared" si="3"/>
        <v>0.89081354498563592</v>
      </c>
      <c r="F109" s="67">
        <f t="shared" si="3"/>
        <v>0.51038039434311133</v>
      </c>
      <c r="G109" s="67">
        <f t="shared" si="3"/>
        <v>15.29080417951069</v>
      </c>
      <c r="H109" s="67">
        <f t="shared" si="3"/>
        <v>10.643812433241925</v>
      </c>
      <c r="I109" s="67">
        <f t="shared" si="3"/>
        <v>0.78133118525542111</v>
      </c>
      <c r="J109" s="67">
        <f t="shared" si="3"/>
        <v>0.78359081248028128</v>
      </c>
      <c r="K109" s="67">
        <f t="shared" si="3"/>
        <v>76.436698357173185</v>
      </c>
      <c r="L109" s="67">
        <f t="shared" si="3"/>
        <v>3.0396040525129537</v>
      </c>
      <c r="M109" s="67">
        <f t="shared" si="3"/>
        <v>12.528725771710338</v>
      </c>
      <c r="N109" s="67">
        <f t="shared" si="3"/>
        <v>187.45936681355863</v>
      </c>
      <c r="O109" s="67">
        <f t="shared" si="3"/>
        <v>0</v>
      </c>
      <c r="P109" s="67">
        <f t="shared" si="3"/>
        <v>0.12076251705854708</v>
      </c>
      <c r="Q109" s="67">
        <f t="shared" si="3"/>
        <v>0.98148488919551247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2648</v>
      </c>
      <c r="B9" s="64">
        <v>22.63</v>
      </c>
      <c r="C9" s="64">
        <v>11.69</v>
      </c>
      <c r="D9" s="64">
        <v>22.88</v>
      </c>
      <c r="E9" s="64">
        <v>4.74</v>
      </c>
      <c r="F9" s="64">
        <v>3.61</v>
      </c>
      <c r="G9" s="64">
        <v>44.56</v>
      </c>
      <c r="H9" s="64">
        <v>12.38</v>
      </c>
      <c r="I9" s="64">
        <v>3.81</v>
      </c>
      <c r="J9" s="64">
        <v>0.77</v>
      </c>
      <c r="K9" s="64">
        <v>340.75</v>
      </c>
      <c r="L9" s="64">
        <v>22.49</v>
      </c>
      <c r="M9" s="64">
        <v>88.21</v>
      </c>
      <c r="N9" s="64">
        <v>25.9</v>
      </c>
      <c r="O9" s="64">
        <v>0</v>
      </c>
      <c r="P9" s="64">
        <v>0.81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5" t="s">
        <v>2649</v>
      </c>
      <c r="B10" s="64">
        <v>22.29</v>
      </c>
      <c r="C10" s="64">
        <v>11.33</v>
      </c>
      <c r="D10" s="64">
        <v>22.41</v>
      </c>
      <c r="E10" s="64">
        <v>4.7699999999999996</v>
      </c>
      <c r="F10" s="64">
        <v>3.43</v>
      </c>
      <c r="G10" s="64">
        <v>44.56</v>
      </c>
      <c r="H10" s="64">
        <v>12.38</v>
      </c>
      <c r="I10" s="64">
        <v>3.2</v>
      </c>
      <c r="J10" s="64">
        <v>0.21</v>
      </c>
      <c r="K10" s="64">
        <v>357.12</v>
      </c>
      <c r="L10" s="64">
        <v>22.37</v>
      </c>
      <c r="M10" s="64">
        <v>88.87</v>
      </c>
      <c r="N10" s="64">
        <v>26</v>
      </c>
      <c r="O10" s="64">
        <v>0</v>
      </c>
      <c r="P10" s="64">
        <v>0.72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2650</v>
      </c>
      <c r="B11" s="64">
        <v>21.63</v>
      </c>
      <c r="C11" s="64">
        <v>10.87</v>
      </c>
      <c r="D11" s="64">
        <v>21.65</v>
      </c>
      <c r="E11" s="64">
        <v>4.7699999999999996</v>
      </c>
      <c r="F11" s="64">
        <v>3.31</v>
      </c>
      <c r="G11" s="64">
        <v>45.51</v>
      </c>
      <c r="H11" s="64">
        <v>15.19</v>
      </c>
      <c r="I11" s="64">
        <v>3.46</v>
      </c>
      <c r="J11" s="64">
        <v>1.1399999999999999</v>
      </c>
      <c r="K11" s="64">
        <v>341.22</v>
      </c>
      <c r="L11" s="64">
        <v>22.34</v>
      </c>
      <c r="M11" s="64">
        <v>89.67</v>
      </c>
      <c r="N11" s="64">
        <v>25.8</v>
      </c>
      <c r="O11" s="64">
        <v>0</v>
      </c>
      <c r="P11" s="64">
        <v>0.65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2651</v>
      </c>
      <c r="B12" s="64">
        <v>20.76</v>
      </c>
      <c r="C12" s="64">
        <v>10.64</v>
      </c>
      <c r="D12" s="64">
        <v>20.83</v>
      </c>
      <c r="E12" s="64">
        <v>5.01</v>
      </c>
      <c r="F12" s="64">
        <v>3.46</v>
      </c>
      <c r="G12" s="64">
        <v>45.59</v>
      </c>
      <c r="H12" s="64">
        <v>15.19</v>
      </c>
      <c r="I12" s="64">
        <v>3.44</v>
      </c>
      <c r="J12" s="64">
        <v>0.93</v>
      </c>
      <c r="K12" s="64">
        <v>332.32</v>
      </c>
      <c r="L12" s="64">
        <v>22.24</v>
      </c>
      <c r="M12" s="64">
        <v>90.69</v>
      </c>
      <c r="N12" s="64">
        <v>25.8</v>
      </c>
      <c r="O12" s="64">
        <v>0</v>
      </c>
      <c r="P12" s="64">
        <v>0.67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2652</v>
      </c>
      <c r="B13" s="64">
        <v>19.86</v>
      </c>
      <c r="C13" s="64">
        <v>10.26</v>
      </c>
      <c r="D13" s="64">
        <v>19.899999999999999</v>
      </c>
      <c r="E13" s="64">
        <v>4.6500000000000004</v>
      </c>
      <c r="F13" s="64">
        <v>3.22</v>
      </c>
      <c r="G13" s="64">
        <v>45.59</v>
      </c>
      <c r="H13" s="64">
        <v>15.19</v>
      </c>
      <c r="I13" s="64">
        <v>3.93</v>
      </c>
      <c r="J13" s="64">
        <v>0.91</v>
      </c>
      <c r="K13" s="64">
        <v>337.82</v>
      </c>
      <c r="L13" s="64">
        <v>22.25</v>
      </c>
      <c r="M13" s="64">
        <v>90.62</v>
      </c>
      <c r="N13" s="64">
        <v>25.9</v>
      </c>
      <c r="O13" s="64">
        <v>0</v>
      </c>
      <c r="P13" s="64">
        <v>0.62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2653</v>
      </c>
      <c r="B14" s="64">
        <v>19.04</v>
      </c>
      <c r="C14" s="64">
        <v>9.9600000000000009</v>
      </c>
      <c r="D14" s="64">
        <v>19.100000000000001</v>
      </c>
      <c r="E14" s="64">
        <v>4.79</v>
      </c>
      <c r="F14" s="64">
        <v>3.58</v>
      </c>
      <c r="G14" s="64">
        <v>45.59</v>
      </c>
      <c r="H14" s="64">
        <v>15.19</v>
      </c>
      <c r="I14" s="64">
        <v>4.03</v>
      </c>
      <c r="J14" s="64">
        <v>0.96</v>
      </c>
      <c r="K14" s="64">
        <v>337.64</v>
      </c>
      <c r="L14" s="64">
        <v>22.16</v>
      </c>
      <c r="M14" s="64">
        <v>91.19</v>
      </c>
      <c r="N14" s="64">
        <v>25.9</v>
      </c>
      <c r="O14" s="64">
        <v>0</v>
      </c>
      <c r="P14" s="64">
        <v>0.62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5" t="s">
        <v>2654</v>
      </c>
      <c r="B15" s="64">
        <v>18.190000000000001</v>
      </c>
      <c r="C15" s="64">
        <v>10.24</v>
      </c>
      <c r="D15" s="64">
        <v>18.57</v>
      </c>
      <c r="E15" s="64">
        <v>4.7300000000000004</v>
      </c>
      <c r="F15" s="64">
        <v>4.01</v>
      </c>
      <c r="G15" s="64">
        <v>44.5</v>
      </c>
      <c r="H15" s="64">
        <v>12.56</v>
      </c>
      <c r="I15" s="64">
        <v>3.73</v>
      </c>
      <c r="J15" s="64">
        <v>0.81</v>
      </c>
      <c r="K15" s="64">
        <v>332.89</v>
      </c>
      <c r="L15" s="64">
        <v>21.9</v>
      </c>
      <c r="M15" s="64">
        <v>92.97</v>
      </c>
      <c r="N15" s="64">
        <v>26</v>
      </c>
      <c r="O15" s="64">
        <v>0</v>
      </c>
      <c r="P15" s="64">
        <v>0.66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5" t="s">
        <v>2655</v>
      </c>
      <c r="B16" s="64">
        <v>17.27</v>
      </c>
      <c r="C16" s="64">
        <v>10.61</v>
      </c>
      <c r="D16" s="64">
        <v>18.02</v>
      </c>
      <c r="E16" s="64">
        <v>4.93</v>
      </c>
      <c r="F16" s="64">
        <v>3.69</v>
      </c>
      <c r="G16" s="64">
        <v>44.41</v>
      </c>
      <c r="H16" s="64">
        <v>12.56</v>
      </c>
      <c r="I16" s="64">
        <v>3.6</v>
      </c>
      <c r="J16" s="64">
        <v>0.53</v>
      </c>
      <c r="K16" s="64">
        <v>339.89</v>
      </c>
      <c r="L16" s="64">
        <v>21.78</v>
      </c>
      <c r="M16" s="64">
        <v>93.49</v>
      </c>
      <c r="N16" s="64">
        <v>26</v>
      </c>
      <c r="O16" s="64">
        <v>0</v>
      </c>
      <c r="P16" s="64">
        <v>0.67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5" t="s">
        <v>2656</v>
      </c>
      <c r="B17" s="64">
        <v>16.079999999999998</v>
      </c>
      <c r="C17" s="64">
        <v>10.59</v>
      </c>
      <c r="D17" s="64">
        <v>17.05</v>
      </c>
      <c r="E17" s="64">
        <v>4.71</v>
      </c>
      <c r="F17" s="64">
        <v>3.82</v>
      </c>
      <c r="G17" s="64">
        <v>44.41</v>
      </c>
      <c r="H17" s="64">
        <v>12.56</v>
      </c>
      <c r="I17" s="64">
        <v>4.4000000000000004</v>
      </c>
      <c r="J17" s="64">
        <v>1.1599999999999999</v>
      </c>
      <c r="K17" s="64">
        <v>340.97</v>
      </c>
      <c r="L17" s="64">
        <v>21.76</v>
      </c>
      <c r="M17" s="64">
        <v>93.7</v>
      </c>
      <c r="N17" s="64">
        <v>25.7</v>
      </c>
      <c r="O17" s="64">
        <v>0</v>
      </c>
      <c r="P17" s="64">
        <v>0.66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2657</v>
      </c>
      <c r="B18" s="64">
        <v>15.07</v>
      </c>
      <c r="C18" s="64">
        <v>11.02</v>
      </c>
      <c r="D18" s="64">
        <v>16.47</v>
      </c>
      <c r="E18" s="64">
        <v>4.76</v>
      </c>
      <c r="F18" s="64">
        <v>3.76</v>
      </c>
      <c r="G18" s="64">
        <v>44.41</v>
      </c>
      <c r="H18" s="64">
        <v>12.56</v>
      </c>
      <c r="I18" s="64">
        <v>4.76</v>
      </c>
      <c r="J18" s="64">
        <v>1.51</v>
      </c>
      <c r="K18" s="64">
        <v>341.1</v>
      </c>
      <c r="L18" s="64">
        <v>21.78</v>
      </c>
      <c r="M18" s="64">
        <v>94.21</v>
      </c>
      <c r="N18" s="64">
        <v>25.6</v>
      </c>
      <c r="O18" s="64">
        <v>0</v>
      </c>
      <c r="P18" s="64">
        <v>0.65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2658</v>
      </c>
      <c r="B19" s="64">
        <v>14.28</v>
      </c>
      <c r="C19" s="64">
        <v>11.75</v>
      </c>
      <c r="D19" s="64">
        <v>16.21</v>
      </c>
      <c r="E19" s="64">
        <v>5.2</v>
      </c>
      <c r="F19" s="64">
        <v>3.8</v>
      </c>
      <c r="G19" s="64">
        <v>43.98</v>
      </c>
      <c r="H19" s="64">
        <v>13.22</v>
      </c>
      <c r="I19" s="64">
        <v>4.68</v>
      </c>
      <c r="J19" s="64">
        <v>1.27</v>
      </c>
      <c r="K19" s="64">
        <v>341.09</v>
      </c>
      <c r="L19" s="64">
        <v>21.78</v>
      </c>
      <c r="M19" s="64">
        <v>94.19</v>
      </c>
      <c r="N19" s="64">
        <v>25.9</v>
      </c>
      <c r="O19" s="64">
        <v>0</v>
      </c>
      <c r="P19" s="64">
        <v>0.65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15" t="s">
        <v>2659</v>
      </c>
      <c r="B20" s="64">
        <v>13.96</v>
      </c>
      <c r="C20" s="64">
        <v>12.35</v>
      </c>
      <c r="D20" s="64">
        <v>16.27</v>
      </c>
      <c r="E20" s="64">
        <v>4.7300000000000004</v>
      </c>
      <c r="F20" s="64">
        <v>3.47</v>
      </c>
      <c r="G20" s="64">
        <v>43.93</v>
      </c>
      <c r="H20" s="64">
        <v>13.22</v>
      </c>
      <c r="I20" s="64">
        <v>4.5199999999999996</v>
      </c>
      <c r="J20" s="64">
        <v>1.35</v>
      </c>
      <c r="K20" s="64">
        <v>341.37</v>
      </c>
      <c r="L20" s="64">
        <v>21.72</v>
      </c>
      <c r="M20" s="64">
        <v>94.69</v>
      </c>
      <c r="N20" s="64">
        <v>25.8</v>
      </c>
      <c r="O20" s="64">
        <v>0</v>
      </c>
      <c r="P20" s="64">
        <v>0.65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5" t="s">
        <v>2660</v>
      </c>
      <c r="B21" s="64">
        <v>13.94</v>
      </c>
      <c r="C21" s="64">
        <v>12.63</v>
      </c>
      <c r="D21" s="64">
        <v>16.399999999999999</v>
      </c>
      <c r="E21" s="64">
        <v>4.95</v>
      </c>
      <c r="F21" s="64">
        <v>3.37</v>
      </c>
      <c r="G21" s="64">
        <v>43.93</v>
      </c>
      <c r="H21" s="64">
        <v>13.22</v>
      </c>
      <c r="I21" s="64">
        <v>4.43</v>
      </c>
      <c r="J21" s="64">
        <v>1.62</v>
      </c>
      <c r="K21" s="64">
        <v>335.68</v>
      </c>
      <c r="L21" s="64">
        <v>21.59</v>
      </c>
      <c r="M21" s="64">
        <v>96.18</v>
      </c>
      <c r="N21" s="64">
        <v>25.8</v>
      </c>
      <c r="O21" s="64">
        <v>0</v>
      </c>
      <c r="P21" s="64">
        <v>0.64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2661</v>
      </c>
      <c r="B22" s="64">
        <v>13.53</v>
      </c>
      <c r="C22" s="64">
        <v>12.78</v>
      </c>
      <c r="D22" s="64">
        <v>16.149999999999999</v>
      </c>
      <c r="E22" s="64">
        <v>5.0599999999999996</v>
      </c>
      <c r="F22" s="64">
        <v>3.73</v>
      </c>
      <c r="G22" s="64">
        <v>43.93</v>
      </c>
      <c r="H22" s="64">
        <v>13.22</v>
      </c>
      <c r="I22" s="64">
        <v>4.38</v>
      </c>
      <c r="J22" s="64">
        <v>1.51</v>
      </c>
      <c r="K22" s="64">
        <v>337.69</v>
      </c>
      <c r="L22" s="64">
        <v>21.49</v>
      </c>
      <c r="M22" s="64">
        <v>96.06</v>
      </c>
      <c r="N22" s="64">
        <v>25.9</v>
      </c>
      <c r="O22" s="64">
        <v>0</v>
      </c>
      <c r="P22" s="64">
        <v>0.64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2662</v>
      </c>
      <c r="B23" s="64">
        <v>13.38</v>
      </c>
      <c r="C23" s="64">
        <v>12.52</v>
      </c>
      <c r="D23" s="64">
        <v>15.89</v>
      </c>
      <c r="E23" s="64">
        <v>5.16</v>
      </c>
      <c r="F23" s="64">
        <v>3.84</v>
      </c>
      <c r="G23" s="64">
        <v>45.48</v>
      </c>
      <c r="H23" s="64">
        <v>17.96</v>
      </c>
      <c r="I23" s="64">
        <v>4.3</v>
      </c>
      <c r="J23" s="64">
        <v>1.05</v>
      </c>
      <c r="K23" s="64">
        <v>342.8</v>
      </c>
      <c r="L23" s="64">
        <v>21.39</v>
      </c>
      <c r="M23" s="64">
        <v>96.33</v>
      </c>
      <c r="N23" s="64">
        <v>25.8</v>
      </c>
      <c r="O23" s="64">
        <v>0</v>
      </c>
      <c r="P23" s="64">
        <v>0.64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2663</v>
      </c>
      <c r="B24" s="64">
        <v>13.49</v>
      </c>
      <c r="C24" s="64">
        <v>12.42</v>
      </c>
      <c r="D24" s="64">
        <v>15.93</v>
      </c>
      <c r="E24" s="64">
        <v>5.57</v>
      </c>
      <c r="F24" s="64">
        <v>3.38</v>
      </c>
      <c r="G24" s="64">
        <v>45.63</v>
      </c>
      <c r="H24" s="64">
        <v>17.96</v>
      </c>
      <c r="I24" s="64">
        <v>4.2300000000000004</v>
      </c>
      <c r="J24" s="64">
        <v>1.3</v>
      </c>
      <c r="K24" s="64">
        <v>341.96</v>
      </c>
      <c r="L24" s="64">
        <v>21.42</v>
      </c>
      <c r="M24" s="64">
        <v>95.57</v>
      </c>
      <c r="N24" s="64">
        <v>25.8</v>
      </c>
      <c r="O24" s="64">
        <v>0</v>
      </c>
      <c r="P24" s="64">
        <v>0.61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2664</v>
      </c>
      <c r="B25" s="64">
        <v>13.55</v>
      </c>
      <c r="C25" s="64">
        <v>10.95</v>
      </c>
      <c r="D25" s="64">
        <v>15.21</v>
      </c>
      <c r="E25" s="64">
        <v>5.4</v>
      </c>
      <c r="F25" s="64">
        <v>3.66</v>
      </c>
      <c r="G25" s="64">
        <v>45.63</v>
      </c>
      <c r="H25" s="64">
        <v>17.96</v>
      </c>
      <c r="I25" s="64">
        <v>4.25</v>
      </c>
      <c r="J25" s="64">
        <v>1.24</v>
      </c>
      <c r="K25" s="64">
        <v>341.61</v>
      </c>
      <c r="L25" s="64">
        <v>21.41</v>
      </c>
      <c r="M25" s="64">
        <v>95.98</v>
      </c>
      <c r="N25" s="64">
        <v>25.9</v>
      </c>
      <c r="O25" s="64">
        <v>0</v>
      </c>
      <c r="P25" s="64">
        <v>0.62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2665</v>
      </c>
      <c r="B26" s="64">
        <v>13.94</v>
      </c>
      <c r="C26" s="64">
        <v>10.46</v>
      </c>
      <c r="D26" s="64">
        <v>15.27</v>
      </c>
      <c r="E26" s="64">
        <v>5.51</v>
      </c>
      <c r="F26" s="64">
        <v>3.57</v>
      </c>
      <c r="G26" s="64">
        <v>45.63</v>
      </c>
      <c r="H26" s="64">
        <v>17.96</v>
      </c>
      <c r="I26" s="64">
        <v>3.66</v>
      </c>
      <c r="J26" s="64">
        <v>1.26</v>
      </c>
      <c r="K26" s="64">
        <v>334.4</v>
      </c>
      <c r="L26" s="64">
        <v>21.22</v>
      </c>
      <c r="M26" s="64">
        <v>98.24</v>
      </c>
      <c r="N26" s="64">
        <v>26.2</v>
      </c>
      <c r="O26" s="64">
        <v>0</v>
      </c>
      <c r="P26" s="64">
        <v>0.61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5" t="s">
        <v>2666</v>
      </c>
      <c r="B27" s="64">
        <v>14.44</v>
      </c>
      <c r="C27" s="64">
        <v>10.35</v>
      </c>
      <c r="D27" s="64">
        <v>15.61</v>
      </c>
      <c r="E27" s="64">
        <v>5.57</v>
      </c>
      <c r="F27" s="64">
        <v>3.43</v>
      </c>
      <c r="G27" s="64">
        <v>56.94</v>
      </c>
      <c r="H27" s="64">
        <v>21.61</v>
      </c>
      <c r="I27" s="64">
        <v>3.45</v>
      </c>
      <c r="J27" s="64">
        <v>1.2</v>
      </c>
      <c r="K27" s="64">
        <v>326.39</v>
      </c>
      <c r="L27" s="64">
        <v>20.79</v>
      </c>
      <c r="M27" s="64">
        <v>101.22</v>
      </c>
      <c r="N27" s="64">
        <v>26.1</v>
      </c>
      <c r="O27" s="64">
        <v>0</v>
      </c>
      <c r="P27" s="64">
        <v>0.6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2667</v>
      </c>
      <c r="B28" s="64">
        <v>14.87</v>
      </c>
      <c r="C28" s="64">
        <v>10.210000000000001</v>
      </c>
      <c r="D28" s="64">
        <v>15.88</v>
      </c>
      <c r="E28" s="64">
        <v>5.46</v>
      </c>
      <c r="F28" s="64">
        <v>3.19</v>
      </c>
      <c r="G28" s="64">
        <v>57.9</v>
      </c>
      <c r="H28" s="64">
        <v>21.61</v>
      </c>
      <c r="I28" s="64">
        <v>3.64</v>
      </c>
      <c r="J28" s="64">
        <v>1.41</v>
      </c>
      <c r="K28" s="64">
        <v>336.16</v>
      </c>
      <c r="L28" s="64">
        <v>20.63</v>
      </c>
      <c r="M28" s="64">
        <v>102.12</v>
      </c>
      <c r="N28" s="64">
        <v>25.7</v>
      </c>
      <c r="O28" s="64">
        <v>0</v>
      </c>
      <c r="P28" s="64">
        <v>0.61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5" t="s">
        <v>2668</v>
      </c>
      <c r="B29" s="64">
        <v>15.3</v>
      </c>
      <c r="C29" s="64">
        <v>10</v>
      </c>
      <c r="D29" s="64">
        <v>16.12</v>
      </c>
      <c r="E29" s="64">
        <v>5.69</v>
      </c>
      <c r="F29" s="64">
        <v>3.38</v>
      </c>
      <c r="G29" s="64">
        <v>57.9</v>
      </c>
      <c r="H29" s="64">
        <v>21.61</v>
      </c>
      <c r="I29" s="64">
        <v>3.82</v>
      </c>
      <c r="J29" s="64">
        <v>1.67</v>
      </c>
      <c r="K29" s="64">
        <v>342.57</v>
      </c>
      <c r="L29" s="64">
        <v>20.75</v>
      </c>
      <c r="M29" s="64">
        <v>100.41</v>
      </c>
      <c r="N29" s="64">
        <v>25.3</v>
      </c>
      <c r="O29" s="64">
        <v>0</v>
      </c>
      <c r="P29" s="64">
        <v>0.63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2669</v>
      </c>
      <c r="B30" s="64">
        <v>15.55</v>
      </c>
      <c r="C30" s="64">
        <v>10.130000000000001</v>
      </c>
      <c r="D30" s="64">
        <v>16.38</v>
      </c>
      <c r="E30" s="64">
        <v>5.8</v>
      </c>
      <c r="F30" s="64">
        <v>3.36</v>
      </c>
      <c r="G30" s="64">
        <v>57.9</v>
      </c>
      <c r="H30" s="64">
        <v>21.61</v>
      </c>
      <c r="I30" s="64">
        <v>3.92</v>
      </c>
      <c r="J30" s="64">
        <v>1.35</v>
      </c>
      <c r="K30" s="64">
        <v>343</v>
      </c>
      <c r="L30" s="64">
        <v>20.91</v>
      </c>
      <c r="M30" s="64">
        <v>98.53</v>
      </c>
      <c r="N30" s="64">
        <v>25.7</v>
      </c>
      <c r="O30" s="64">
        <v>0</v>
      </c>
      <c r="P30" s="64">
        <v>0.63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2670</v>
      </c>
      <c r="B31" s="64">
        <v>15.99</v>
      </c>
      <c r="C31" s="64">
        <v>10.119999999999999</v>
      </c>
      <c r="D31" s="64">
        <v>16.73</v>
      </c>
      <c r="E31" s="64">
        <v>5.98</v>
      </c>
      <c r="F31" s="64">
        <v>3.02</v>
      </c>
      <c r="G31" s="64">
        <v>59.8</v>
      </c>
      <c r="H31" s="64">
        <v>21.61</v>
      </c>
      <c r="I31" s="64">
        <v>4.0999999999999996</v>
      </c>
      <c r="J31" s="64">
        <v>1.41</v>
      </c>
      <c r="K31" s="64">
        <v>342.98</v>
      </c>
      <c r="L31" s="64">
        <v>20.99</v>
      </c>
      <c r="M31" s="64">
        <v>97.63</v>
      </c>
      <c r="N31" s="64">
        <v>25.8</v>
      </c>
      <c r="O31" s="64">
        <v>0</v>
      </c>
      <c r="P31" s="64">
        <v>0.64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2671</v>
      </c>
      <c r="B32" s="64">
        <v>16.95</v>
      </c>
      <c r="C32" s="64">
        <v>10.8</v>
      </c>
      <c r="D32" s="64">
        <v>17.86</v>
      </c>
      <c r="E32" s="64">
        <v>6.21</v>
      </c>
      <c r="F32" s="64">
        <v>3.48</v>
      </c>
      <c r="G32" s="64">
        <v>59.98</v>
      </c>
      <c r="H32" s="64">
        <v>21.61</v>
      </c>
      <c r="I32" s="64">
        <v>3.83</v>
      </c>
      <c r="J32" s="64">
        <v>1.36</v>
      </c>
      <c r="K32" s="64">
        <v>344.24</v>
      </c>
      <c r="L32" s="64">
        <v>20.99</v>
      </c>
      <c r="M32" s="64">
        <v>97.33</v>
      </c>
      <c r="N32" s="64">
        <v>26.9</v>
      </c>
      <c r="O32" s="64">
        <v>0</v>
      </c>
      <c r="P32" s="64">
        <v>0.63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2672</v>
      </c>
      <c r="B33" s="64">
        <v>18.190000000000001</v>
      </c>
      <c r="C33" s="64">
        <v>11.24</v>
      </c>
      <c r="D33" s="64">
        <v>19.09</v>
      </c>
      <c r="E33" s="64">
        <v>6.39</v>
      </c>
      <c r="F33" s="64">
        <v>3.54</v>
      </c>
      <c r="G33" s="64">
        <v>59.98</v>
      </c>
      <c r="H33" s="64">
        <v>21.61</v>
      </c>
      <c r="I33" s="64">
        <v>4.1100000000000003</v>
      </c>
      <c r="J33" s="64">
        <v>1.3</v>
      </c>
      <c r="K33" s="64">
        <v>346.1</v>
      </c>
      <c r="L33" s="64">
        <v>20.98</v>
      </c>
      <c r="M33" s="64">
        <v>97.47</v>
      </c>
      <c r="N33" s="64">
        <v>31.8</v>
      </c>
      <c r="O33" s="64">
        <v>0</v>
      </c>
      <c r="P33" s="64">
        <v>0.66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5" t="s">
        <v>2673</v>
      </c>
      <c r="B34" s="64">
        <v>19.48</v>
      </c>
      <c r="C34" s="64">
        <v>11.38</v>
      </c>
      <c r="D34" s="64">
        <v>20.190000000000001</v>
      </c>
      <c r="E34" s="64">
        <v>6</v>
      </c>
      <c r="F34" s="64">
        <v>3.97</v>
      </c>
      <c r="G34" s="64">
        <v>59.98</v>
      </c>
      <c r="H34" s="64">
        <v>21.61</v>
      </c>
      <c r="I34" s="64">
        <v>4.1500000000000004</v>
      </c>
      <c r="J34" s="64">
        <v>0.48</v>
      </c>
      <c r="K34" s="64">
        <v>356.56</v>
      </c>
      <c r="L34" s="64">
        <v>21.09</v>
      </c>
      <c r="M34" s="64">
        <v>96.63</v>
      </c>
      <c r="N34" s="64">
        <v>46.8</v>
      </c>
      <c r="O34" s="64">
        <v>0</v>
      </c>
      <c r="P34" s="64">
        <v>0.67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2674</v>
      </c>
      <c r="B35" s="64">
        <v>20.46</v>
      </c>
      <c r="C35" s="64">
        <v>11.28</v>
      </c>
      <c r="D35" s="64">
        <v>20.92</v>
      </c>
      <c r="E35" s="64">
        <v>6.32</v>
      </c>
      <c r="F35" s="64">
        <v>4.2300000000000004</v>
      </c>
      <c r="G35" s="64">
        <v>64.12</v>
      </c>
      <c r="H35" s="64">
        <v>29.47</v>
      </c>
      <c r="I35" s="64">
        <v>4.07</v>
      </c>
      <c r="J35" s="64">
        <v>0.97</v>
      </c>
      <c r="K35" s="64">
        <v>111.64</v>
      </c>
      <c r="L35" s="64">
        <v>21.15</v>
      </c>
      <c r="M35" s="64">
        <v>97.09</v>
      </c>
      <c r="N35" s="64">
        <v>65.5</v>
      </c>
      <c r="O35" s="64">
        <v>0</v>
      </c>
      <c r="P35" s="64">
        <v>0.68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2675</v>
      </c>
      <c r="B36" s="64">
        <v>21.03</v>
      </c>
      <c r="C36" s="64">
        <v>11.07</v>
      </c>
      <c r="D36" s="64">
        <v>21.27</v>
      </c>
      <c r="E36" s="64">
        <v>5.88</v>
      </c>
      <c r="F36" s="64">
        <v>4.3600000000000003</v>
      </c>
      <c r="G36" s="64">
        <v>64.47</v>
      </c>
      <c r="H36" s="64">
        <v>29.47</v>
      </c>
      <c r="I36" s="64">
        <v>4.0999999999999996</v>
      </c>
      <c r="J36" s="64">
        <v>0.2</v>
      </c>
      <c r="K36" s="64">
        <v>55.19</v>
      </c>
      <c r="L36" s="64">
        <v>21.38</v>
      </c>
      <c r="M36" s="64">
        <v>96.03</v>
      </c>
      <c r="N36" s="64">
        <v>92.7</v>
      </c>
      <c r="O36" s="64">
        <v>0</v>
      </c>
      <c r="P36" s="64">
        <v>0.68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2676</v>
      </c>
      <c r="B37" s="64">
        <v>23.01</v>
      </c>
      <c r="C37" s="64">
        <v>11.25</v>
      </c>
      <c r="D37" s="64">
        <v>22.95</v>
      </c>
      <c r="E37" s="64">
        <v>6.12</v>
      </c>
      <c r="F37" s="64">
        <v>4</v>
      </c>
      <c r="G37" s="64">
        <v>64.47</v>
      </c>
      <c r="H37" s="64">
        <v>29.47</v>
      </c>
      <c r="I37" s="64">
        <v>4.28</v>
      </c>
      <c r="J37" s="64">
        <v>0.91</v>
      </c>
      <c r="K37" s="64">
        <v>343.76</v>
      </c>
      <c r="L37" s="64">
        <v>22.65</v>
      </c>
      <c r="M37" s="64">
        <v>89.42</v>
      </c>
      <c r="N37" s="64">
        <v>132</v>
      </c>
      <c r="O37" s="64">
        <v>0</v>
      </c>
      <c r="P37" s="64">
        <v>0.63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2677</v>
      </c>
      <c r="B38" s="64">
        <v>25.49</v>
      </c>
      <c r="C38" s="64">
        <v>11.6</v>
      </c>
      <c r="D38" s="64">
        <v>25.13</v>
      </c>
      <c r="E38" s="64">
        <v>6.24</v>
      </c>
      <c r="F38" s="64">
        <v>3.93</v>
      </c>
      <c r="G38" s="64">
        <v>64.47</v>
      </c>
      <c r="H38" s="64">
        <v>29.47</v>
      </c>
      <c r="I38" s="64">
        <v>4.5</v>
      </c>
      <c r="J38" s="64">
        <v>0.7</v>
      </c>
      <c r="K38" s="64">
        <v>336.07</v>
      </c>
      <c r="L38" s="64">
        <v>24.18</v>
      </c>
      <c r="M38" s="64">
        <v>82.33</v>
      </c>
      <c r="N38" s="64">
        <v>197.3</v>
      </c>
      <c r="O38" s="64">
        <v>0</v>
      </c>
      <c r="P38" s="64">
        <v>0.7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2678</v>
      </c>
      <c r="B39" s="64">
        <v>27.94</v>
      </c>
      <c r="C39" s="64">
        <v>11.96</v>
      </c>
      <c r="D39" s="64">
        <v>27.28</v>
      </c>
      <c r="E39" s="64">
        <v>6.23</v>
      </c>
      <c r="F39" s="64">
        <v>3.9</v>
      </c>
      <c r="G39" s="64">
        <v>77.87</v>
      </c>
      <c r="H39" s="64">
        <v>35.450000000000003</v>
      </c>
      <c r="I39" s="64">
        <v>4.57</v>
      </c>
      <c r="J39" s="64">
        <v>0.28000000000000003</v>
      </c>
      <c r="K39" s="64">
        <v>33.08</v>
      </c>
      <c r="L39" s="64">
        <v>25.33</v>
      </c>
      <c r="M39" s="64">
        <v>76.48</v>
      </c>
      <c r="N39" s="64">
        <v>251.9</v>
      </c>
      <c r="O39" s="64">
        <v>0</v>
      </c>
      <c r="P39" s="64">
        <v>0.75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2679</v>
      </c>
      <c r="B40" s="64">
        <v>28.96</v>
      </c>
      <c r="C40" s="64">
        <v>12.07</v>
      </c>
      <c r="D40" s="64">
        <v>28.15</v>
      </c>
      <c r="E40" s="64">
        <v>5.64</v>
      </c>
      <c r="F40" s="64">
        <v>3.19</v>
      </c>
      <c r="G40" s="64">
        <v>79</v>
      </c>
      <c r="H40" s="64">
        <v>35.450000000000003</v>
      </c>
      <c r="I40" s="64">
        <v>4.51</v>
      </c>
      <c r="J40" s="64">
        <v>0.78</v>
      </c>
      <c r="K40" s="64">
        <v>323.07</v>
      </c>
      <c r="L40" s="64">
        <v>25.72</v>
      </c>
      <c r="M40" s="64">
        <v>73.47</v>
      </c>
      <c r="N40" s="64">
        <v>299.2</v>
      </c>
      <c r="O40" s="64">
        <v>0</v>
      </c>
      <c r="P40" s="64">
        <v>0.72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5" t="s">
        <v>2680</v>
      </c>
      <c r="B41" s="64">
        <v>29.61</v>
      </c>
      <c r="C41" s="64">
        <v>11.52</v>
      </c>
      <c r="D41" s="64">
        <v>28.38</v>
      </c>
      <c r="E41" s="64">
        <v>5.08</v>
      </c>
      <c r="F41" s="64">
        <v>3.11</v>
      </c>
      <c r="G41" s="64">
        <v>79</v>
      </c>
      <c r="H41" s="64">
        <v>35.450000000000003</v>
      </c>
      <c r="I41" s="64">
        <v>4.6100000000000003</v>
      </c>
      <c r="J41" s="64">
        <v>0.89</v>
      </c>
      <c r="K41" s="64">
        <v>336.28</v>
      </c>
      <c r="L41" s="64">
        <v>27.53</v>
      </c>
      <c r="M41" s="64">
        <v>65.72</v>
      </c>
      <c r="N41" s="64">
        <v>363.7</v>
      </c>
      <c r="O41" s="64">
        <v>0</v>
      </c>
      <c r="P41" s="64">
        <v>0.67</v>
      </c>
      <c r="Q41" s="64">
        <v>9.61</v>
      </c>
      <c r="R41" s="198"/>
      <c r="S41" s="198"/>
      <c r="T41" s="198"/>
      <c r="U41" s="198"/>
    </row>
    <row r="42" spans="1:21" s="12" customFormat="1" x14ac:dyDescent="0.25">
      <c r="A42" s="215" t="s">
        <v>2681</v>
      </c>
      <c r="B42" s="64">
        <v>29.95</v>
      </c>
      <c r="C42" s="64">
        <v>11.11</v>
      </c>
      <c r="D42" s="64">
        <v>28.44</v>
      </c>
      <c r="E42" s="64">
        <v>5.29</v>
      </c>
      <c r="F42" s="64">
        <v>3.9</v>
      </c>
      <c r="G42" s="64">
        <v>79</v>
      </c>
      <c r="H42" s="64">
        <v>35.450000000000003</v>
      </c>
      <c r="I42" s="64">
        <v>4.5</v>
      </c>
      <c r="J42" s="64">
        <v>1.52</v>
      </c>
      <c r="K42" s="64">
        <v>337.98</v>
      </c>
      <c r="L42" s="64">
        <v>28.64</v>
      </c>
      <c r="M42" s="64">
        <v>60.32</v>
      </c>
      <c r="N42" s="64">
        <v>420.7</v>
      </c>
      <c r="O42" s="64">
        <v>0</v>
      </c>
      <c r="P42" s="64">
        <v>0.67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5" t="s">
        <v>2682</v>
      </c>
      <c r="B43" s="64">
        <v>29.55</v>
      </c>
      <c r="C43" s="64">
        <v>11.7</v>
      </c>
      <c r="D43" s="64">
        <v>28.44</v>
      </c>
      <c r="E43" s="64">
        <v>4.9800000000000004</v>
      </c>
      <c r="F43" s="64">
        <v>4.38</v>
      </c>
      <c r="G43" s="64">
        <v>64.33</v>
      </c>
      <c r="H43" s="64">
        <v>32.39</v>
      </c>
      <c r="I43" s="64">
        <v>4.12</v>
      </c>
      <c r="J43" s="64">
        <v>2.0099999999999998</v>
      </c>
      <c r="K43" s="64">
        <v>339.38</v>
      </c>
      <c r="L43" s="64">
        <v>29.9</v>
      </c>
      <c r="M43" s="64">
        <v>56.66</v>
      </c>
      <c r="N43" s="64">
        <v>462.8</v>
      </c>
      <c r="O43" s="64">
        <v>0</v>
      </c>
      <c r="P43" s="64">
        <v>0.68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5" t="s">
        <v>2683</v>
      </c>
      <c r="B44" s="64">
        <v>29.07</v>
      </c>
      <c r="C44" s="64">
        <v>12.22</v>
      </c>
      <c r="D44" s="64">
        <v>28.32</v>
      </c>
      <c r="E44" s="64">
        <v>5.14</v>
      </c>
      <c r="F44" s="64">
        <v>3.76</v>
      </c>
      <c r="G44" s="64">
        <v>63.09</v>
      </c>
      <c r="H44" s="64">
        <v>32.39</v>
      </c>
      <c r="I44" s="64">
        <v>4.22</v>
      </c>
      <c r="J44" s="64">
        <v>1.57</v>
      </c>
      <c r="K44" s="64">
        <v>338.55</v>
      </c>
      <c r="L44" s="64">
        <v>29.99</v>
      </c>
      <c r="M44" s="64">
        <v>55.65</v>
      </c>
      <c r="N44" s="64">
        <v>514.6</v>
      </c>
      <c r="O44" s="64">
        <v>0</v>
      </c>
      <c r="P44" s="64">
        <v>0.64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2684</v>
      </c>
      <c r="B45" s="64">
        <v>28.35</v>
      </c>
      <c r="C45" s="64">
        <v>12.85</v>
      </c>
      <c r="D45" s="64">
        <v>28.07</v>
      </c>
      <c r="E45" s="64">
        <v>5.76</v>
      </c>
      <c r="F45" s="64">
        <v>3.7</v>
      </c>
      <c r="G45" s="64">
        <v>63.09</v>
      </c>
      <c r="H45" s="64">
        <v>32.39</v>
      </c>
      <c r="I45" s="64">
        <v>4.07</v>
      </c>
      <c r="J45" s="64">
        <v>2.15</v>
      </c>
      <c r="K45" s="64">
        <v>338.29</v>
      </c>
      <c r="L45" s="64">
        <v>30.04</v>
      </c>
      <c r="M45" s="64">
        <v>53.26</v>
      </c>
      <c r="N45" s="64">
        <v>563</v>
      </c>
      <c r="O45" s="64">
        <v>0</v>
      </c>
      <c r="P45" s="64">
        <v>0.64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2685</v>
      </c>
      <c r="B46" s="64">
        <v>27.17</v>
      </c>
      <c r="C46" s="64">
        <v>13.26</v>
      </c>
      <c r="D46" s="64">
        <v>27.34</v>
      </c>
      <c r="E46" s="64">
        <v>5.3</v>
      </c>
      <c r="F46" s="64">
        <v>3.83</v>
      </c>
      <c r="G46" s="64">
        <v>63.09</v>
      </c>
      <c r="H46" s="64">
        <v>32.39</v>
      </c>
      <c r="I46" s="64">
        <v>3.93</v>
      </c>
      <c r="J46" s="64">
        <v>1.01</v>
      </c>
      <c r="K46" s="64">
        <v>332.74</v>
      </c>
      <c r="L46" s="64">
        <v>29.33</v>
      </c>
      <c r="M46" s="64">
        <v>55.79</v>
      </c>
      <c r="N46" s="64">
        <v>563.4</v>
      </c>
      <c r="O46" s="64">
        <v>0</v>
      </c>
      <c r="P46" s="64">
        <v>0.63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5" t="s">
        <v>2686</v>
      </c>
      <c r="B47" s="64">
        <v>26.32</v>
      </c>
      <c r="C47" s="64">
        <v>13.26</v>
      </c>
      <c r="D47" s="64">
        <v>26.66</v>
      </c>
      <c r="E47" s="64">
        <v>5.14</v>
      </c>
      <c r="F47" s="64">
        <v>3.69</v>
      </c>
      <c r="G47" s="64">
        <v>60.82</v>
      </c>
      <c r="H47" s="64">
        <v>21.83</v>
      </c>
      <c r="I47" s="64">
        <v>3.91</v>
      </c>
      <c r="J47" s="64">
        <v>1.1299999999999999</v>
      </c>
      <c r="K47" s="64">
        <v>329.11</v>
      </c>
      <c r="L47" s="64">
        <v>29.86</v>
      </c>
      <c r="M47" s="64">
        <v>54.47</v>
      </c>
      <c r="N47" s="64">
        <v>593.29999999999995</v>
      </c>
      <c r="O47" s="64">
        <v>0</v>
      </c>
      <c r="P47" s="64">
        <v>0.63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5" t="s">
        <v>2687</v>
      </c>
      <c r="B48" s="64">
        <v>26.08</v>
      </c>
      <c r="C48" s="64">
        <v>13.59</v>
      </c>
      <c r="D48" s="64">
        <v>26.64</v>
      </c>
      <c r="E48" s="64">
        <v>5.24</v>
      </c>
      <c r="F48" s="64">
        <v>3.92</v>
      </c>
      <c r="G48" s="64">
        <v>60.63</v>
      </c>
      <c r="H48" s="64">
        <v>21.83</v>
      </c>
      <c r="I48" s="64">
        <v>3.95</v>
      </c>
      <c r="J48" s="64">
        <v>2.4700000000000002</v>
      </c>
      <c r="K48" s="64">
        <v>333.92</v>
      </c>
      <c r="L48" s="64">
        <v>31.44</v>
      </c>
      <c r="M48" s="64">
        <v>51.26</v>
      </c>
      <c r="N48" s="64">
        <v>624.9</v>
      </c>
      <c r="O48" s="64">
        <v>0</v>
      </c>
      <c r="P48" s="64">
        <v>0.63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5" t="s">
        <v>2688</v>
      </c>
      <c r="B49" s="64">
        <v>25.23</v>
      </c>
      <c r="C49" s="64">
        <v>15.33</v>
      </c>
      <c r="D49" s="64">
        <v>26.87</v>
      </c>
      <c r="E49" s="64">
        <v>5.16</v>
      </c>
      <c r="F49" s="64">
        <v>4.41</v>
      </c>
      <c r="G49" s="64">
        <v>60.63</v>
      </c>
      <c r="H49" s="64">
        <v>21.83</v>
      </c>
      <c r="I49" s="64">
        <v>4.1500000000000004</v>
      </c>
      <c r="J49" s="64">
        <v>2.75</v>
      </c>
      <c r="K49" s="64">
        <v>330.13</v>
      </c>
      <c r="L49" s="64">
        <v>31.85</v>
      </c>
      <c r="M49" s="64">
        <v>50.36</v>
      </c>
      <c r="N49" s="64">
        <v>654</v>
      </c>
      <c r="O49" s="64">
        <v>0</v>
      </c>
      <c r="P49" s="64">
        <v>0.63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5" t="s">
        <v>2689</v>
      </c>
      <c r="B50" s="64">
        <v>23.45</v>
      </c>
      <c r="C50" s="64">
        <v>16.46</v>
      </c>
      <c r="D50" s="64">
        <v>26.03</v>
      </c>
      <c r="E50" s="64">
        <v>5.58</v>
      </c>
      <c r="F50" s="64">
        <v>4.22</v>
      </c>
      <c r="G50" s="64">
        <v>60.63</v>
      </c>
      <c r="H50" s="64">
        <v>21.83</v>
      </c>
      <c r="I50" s="64">
        <v>4.42</v>
      </c>
      <c r="J50" s="64">
        <v>2.2799999999999998</v>
      </c>
      <c r="K50" s="64">
        <v>337.11</v>
      </c>
      <c r="L50" s="64">
        <v>32.090000000000003</v>
      </c>
      <c r="M50" s="64">
        <v>49.77</v>
      </c>
      <c r="N50" s="64">
        <v>666.3</v>
      </c>
      <c r="O50" s="64">
        <v>0</v>
      </c>
      <c r="P50" s="64">
        <v>0.62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2690</v>
      </c>
      <c r="B51" s="64">
        <v>22.1</v>
      </c>
      <c r="C51" s="64">
        <v>17.149999999999999</v>
      </c>
      <c r="D51" s="64">
        <v>25.31</v>
      </c>
      <c r="E51" s="64">
        <v>5.0199999999999996</v>
      </c>
      <c r="F51" s="64">
        <v>3.95</v>
      </c>
      <c r="G51" s="64">
        <v>63.78</v>
      </c>
      <c r="H51" s="64">
        <v>21.39</v>
      </c>
      <c r="I51" s="64">
        <v>4.3099999999999996</v>
      </c>
      <c r="J51" s="64">
        <v>1.89</v>
      </c>
      <c r="K51" s="64">
        <v>335.67</v>
      </c>
      <c r="L51" s="64">
        <v>31.94</v>
      </c>
      <c r="M51" s="64">
        <v>49.7</v>
      </c>
      <c r="N51" s="64">
        <v>703.3</v>
      </c>
      <c r="O51" s="64">
        <v>0</v>
      </c>
      <c r="P51" s="64">
        <v>0.61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5" t="s">
        <v>2691</v>
      </c>
      <c r="B52" s="64">
        <v>21.34</v>
      </c>
      <c r="C52" s="64">
        <v>17.25</v>
      </c>
      <c r="D52" s="64">
        <v>24.75</v>
      </c>
      <c r="E52" s="64">
        <v>5.43</v>
      </c>
      <c r="F52" s="64">
        <v>4.51</v>
      </c>
      <c r="G52" s="64">
        <v>64.05</v>
      </c>
      <c r="H52" s="64">
        <v>21.39</v>
      </c>
      <c r="I52" s="64">
        <v>3.97</v>
      </c>
      <c r="J52" s="64">
        <v>1.46</v>
      </c>
      <c r="K52" s="64">
        <v>337.2</v>
      </c>
      <c r="L52" s="64">
        <v>32.299999999999997</v>
      </c>
      <c r="M52" s="64">
        <v>49.4</v>
      </c>
      <c r="N52" s="64">
        <v>728.6</v>
      </c>
      <c r="O52" s="64">
        <v>0</v>
      </c>
      <c r="P52" s="64">
        <v>0.61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2692</v>
      </c>
      <c r="B53" s="64">
        <v>20.8</v>
      </c>
      <c r="C53" s="64">
        <v>17.28</v>
      </c>
      <c r="D53" s="64">
        <v>24.33</v>
      </c>
      <c r="E53" s="64">
        <v>4.95</v>
      </c>
      <c r="F53" s="64">
        <v>4.6900000000000004</v>
      </c>
      <c r="G53" s="64">
        <v>64.05</v>
      </c>
      <c r="H53" s="64">
        <v>21.39</v>
      </c>
      <c r="I53" s="64">
        <v>3.85</v>
      </c>
      <c r="J53" s="64">
        <v>1.31</v>
      </c>
      <c r="K53" s="64">
        <v>328.95</v>
      </c>
      <c r="L53" s="64">
        <v>32.36</v>
      </c>
      <c r="M53" s="64">
        <v>48.93</v>
      </c>
      <c r="N53" s="64">
        <v>723.8</v>
      </c>
      <c r="O53" s="64">
        <v>0</v>
      </c>
      <c r="P53" s="64">
        <v>0.62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5" t="s">
        <v>2693</v>
      </c>
      <c r="B54" s="64">
        <v>20</v>
      </c>
      <c r="C54" s="64">
        <v>17.940000000000001</v>
      </c>
      <c r="D54" s="64">
        <v>24.04</v>
      </c>
      <c r="E54" s="64">
        <v>5.19</v>
      </c>
      <c r="F54" s="64">
        <v>4.1100000000000003</v>
      </c>
      <c r="G54" s="64">
        <v>64.05</v>
      </c>
      <c r="H54" s="64">
        <v>21.39</v>
      </c>
      <c r="I54" s="64">
        <v>3.82</v>
      </c>
      <c r="J54" s="64">
        <v>2.3199999999999998</v>
      </c>
      <c r="K54" s="64">
        <v>340.13</v>
      </c>
      <c r="L54" s="64">
        <v>32.28</v>
      </c>
      <c r="M54" s="64">
        <v>47.47</v>
      </c>
      <c r="N54" s="64">
        <v>768.4</v>
      </c>
      <c r="O54" s="64">
        <v>0</v>
      </c>
      <c r="P54" s="64">
        <v>0.62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5" t="s">
        <v>2694</v>
      </c>
      <c r="B55" s="64">
        <v>18.66</v>
      </c>
      <c r="C55" s="64">
        <v>18.739999999999998</v>
      </c>
      <c r="D55" s="64">
        <v>23.38</v>
      </c>
      <c r="E55" s="64">
        <v>5.53</v>
      </c>
      <c r="F55" s="64">
        <v>3.36</v>
      </c>
      <c r="G55" s="64">
        <v>68.67</v>
      </c>
      <c r="H55" s="64">
        <v>21.87</v>
      </c>
      <c r="I55" s="64">
        <v>3.75</v>
      </c>
      <c r="J55" s="64">
        <v>2.21</v>
      </c>
      <c r="K55" s="64">
        <v>336.4</v>
      </c>
      <c r="L55" s="64">
        <v>32.11</v>
      </c>
      <c r="M55" s="64">
        <v>47.66</v>
      </c>
      <c r="N55" s="64">
        <v>758</v>
      </c>
      <c r="O55" s="64">
        <v>0</v>
      </c>
      <c r="P55" s="64">
        <v>0.61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2695</v>
      </c>
      <c r="B56" s="64">
        <v>17.04</v>
      </c>
      <c r="C56" s="64">
        <v>19.75</v>
      </c>
      <c r="D56" s="64">
        <v>22.61</v>
      </c>
      <c r="E56" s="64">
        <v>6.88</v>
      </c>
      <c r="F56" s="64">
        <v>4.34</v>
      </c>
      <c r="G56" s="64">
        <v>69.06</v>
      </c>
      <c r="H56" s="64">
        <v>21.87</v>
      </c>
      <c r="I56" s="64">
        <v>3.62</v>
      </c>
      <c r="J56" s="64">
        <v>2.04</v>
      </c>
      <c r="K56" s="64">
        <v>332.76</v>
      </c>
      <c r="L56" s="64">
        <v>31.48</v>
      </c>
      <c r="M56" s="64">
        <v>48.61</v>
      </c>
      <c r="N56" s="64">
        <v>528.29999999999995</v>
      </c>
      <c r="O56" s="64">
        <v>0</v>
      </c>
      <c r="P56" s="64">
        <v>0.6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5" t="s">
        <v>2696</v>
      </c>
      <c r="B57" s="64">
        <v>15.31</v>
      </c>
      <c r="C57" s="64">
        <v>20.440000000000001</v>
      </c>
      <c r="D57" s="64">
        <v>21.58</v>
      </c>
      <c r="E57" s="64">
        <v>6.48</v>
      </c>
      <c r="F57" s="64">
        <v>3.76</v>
      </c>
      <c r="G57" s="64">
        <v>69.06</v>
      </c>
      <c r="H57" s="64">
        <v>21.87</v>
      </c>
      <c r="I57" s="64">
        <v>3.5</v>
      </c>
      <c r="J57" s="64">
        <v>1.86</v>
      </c>
      <c r="K57" s="64">
        <v>335.49</v>
      </c>
      <c r="L57" s="64">
        <v>31.61</v>
      </c>
      <c r="M57" s="64">
        <v>48.86</v>
      </c>
      <c r="N57" s="64">
        <v>508.3</v>
      </c>
      <c r="O57" s="64">
        <v>0</v>
      </c>
      <c r="P57" s="64">
        <v>0.6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2697</v>
      </c>
      <c r="B58" s="64">
        <v>14.2</v>
      </c>
      <c r="C58" s="64">
        <v>19.84</v>
      </c>
      <c r="D58" s="64">
        <v>20.37</v>
      </c>
      <c r="E58" s="64">
        <v>6.52</v>
      </c>
      <c r="F58" s="64">
        <v>3.66</v>
      </c>
      <c r="G58" s="64">
        <v>69.06</v>
      </c>
      <c r="H58" s="64">
        <v>21.87</v>
      </c>
      <c r="I58" s="64">
        <v>3.35</v>
      </c>
      <c r="J58" s="64">
        <v>1.69</v>
      </c>
      <c r="K58" s="64">
        <v>342.47</v>
      </c>
      <c r="L58" s="64">
        <v>31.11</v>
      </c>
      <c r="M58" s="64">
        <v>50.91</v>
      </c>
      <c r="N58" s="64">
        <v>466.6</v>
      </c>
      <c r="O58" s="64">
        <v>0</v>
      </c>
      <c r="P58" s="64">
        <v>0.57999999999999996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2698</v>
      </c>
      <c r="B59" s="64">
        <v>13.22</v>
      </c>
      <c r="C59" s="64">
        <v>19.510000000000002</v>
      </c>
      <c r="D59" s="64">
        <v>19.420000000000002</v>
      </c>
      <c r="E59" s="64">
        <v>6.37</v>
      </c>
      <c r="F59" s="64">
        <v>4.09</v>
      </c>
      <c r="G59" s="64">
        <v>62.95</v>
      </c>
      <c r="H59" s="64">
        <v>21.13</v>
      </c>
      <c r="I59" s="64">
        <v>3.04</v>
      </c>
      <c r="J59" s="64">
        <v>2.2599999999999998</v>
      </c>
      <c r="K59" s="64">
        <v>335.85</v>
      </c>
      <c r="L59" s="64">
        <v>30.91</v>
      </c>
      <c r="M59" s="64">
        <v>52.33</v>
      </c>
      <c r="N59" s="64">
        <v>422.6</v>
      </c>
      <c r="O59" s="64">
        <v>0</v>
      </c>
      <c r="P59" s="64">
        <v>0.54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5" t="s">
        <v>2699</v>
      </c>
      <c r="B60" s="64">
        <v>12.17</v>
      </c>
      <c r="C60" s="64">
        <v>19.66</v>
      </c>
      <c r="D60" s="64">
        <v>18.649999999999999</v>
      </c>
      <c r="E60" s="64">
        <v>6.32</v>
      </c>
      <c r="F60" s="64">
        <v>3.86</v>
      </c>
      <c r="G60" s="64">
        <v>62.44</v>
      </c>
      <c r="H60" s="64">
        <v>21.13</v>
      </c>
      <c r="I60" s="64">
        <v>2.57</v>
      </c>
      <c r="J60" s="64">
        <v>2.46</v>
      </c>
      <c r="K60" s="64">
        <v>339.46</v>
      </c>
      <c r="L60" s="64">
        <v>30.9</v>
      </c>
      <c r="M60" s="64">
        <v>51.72</v>
      </c>
      <c r="N60" s="64">
        <v>494.1</v>
      </c>
      <c r="O60" s="64">
        <v>0</v>
      </c>
      <c r="P60" s="64">
        <v>0.57999999999999996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2700</v>
      </c>
      <c r="B61" s="64">
        <v>10.71</v>
      </c>
      <c r="C61" s="64">
        <v>20.239999999999998</v>
      </c>
      <c r="D61" s="64">
        <v>17.79</v>
      </c>
      <c r="E61" s="64">
        <v>6.42</v>
      </c>
      <c r="F61" s="64">
        <v>3.59</v>
      </c>
      <c r="G61" s="64">
        <v>62.44</v>
      </c>
      <c r="H61" s="64">
        <v>21.13</v>
      </c>
      <c r="I61" s="64">
        <v>2.65</v>
      </c>
      <c r="J61" s="64">
        <v>2.29</v>
      </c>
      <c r="K61" s="64">
        <v>337.17</v>
      </c>
      <c r="L61" s="64">
        <v>31.25</v>
      </c>
      <c r="M61" s="64">
        <v>49.27</v>
      </c>
      <c r="N61" s="64">
        <v>323.10000000000002</v>
      </c>
      <c r="O61" s="64">
        <v>0</v>
      </c>
      <c r="P61" s="64">
        <v>0.56999999999999995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5" t="s">
        <v>2701</v>
      </c>
      <c r="B62" s="64">
        <v>9.25</v>
      </c>
      <c r="C62" s="64">
        <v>20.94</v>
      </c>
      <c r="D62" s="64">
        <v>16.989999999999998</v>
      </c>
      <c r="E62" s="64">
        <v>6.58</v>
      </c>
      <c r="F62" s="64">
        <v>4.1399999999999997</v>
      </c>
      <c r="G62" s="64">
        <v>62.44</v>
      </c>
      <c r="H62" s="64">
        <v>21.13</v>
      </c>
      <c r="I62" s="64">
        <v>3</v>
      </c>
      <c r="J62" s="64">
        <v>2.37</v>
      </c>
      <c r="K62" s="64">
        <v>339.94</v>
      </c>
      <c r="L62" s="64">
        <v>31.37</v>
      </c>
      <c r="M62" s="64">
        <v>48.56</v>
      </c>
      <c r="N62" s="64">
        <v>227.6</v>
      </c>
      <c r="O62" s="64">
        <v>0</v>
      </c>
      <c r="P62" s="64">
        <v>0.6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2702</v>
      </c>
      <c r="B63" s="64">
        <v>7.82</v>
      </c>
      <c r="C63" s="64">
        <v>21.34</v>
      </c>
      <c r="D63" s="64">
        <v>16.05</v>
      </c>
      <c r="E63" s="64">
        <v>7.1</v>
      </c>
      <c r="F63" s="64">
        <v>4.57</v>
      </c>
      <c r="G63" s="64">
        <v>69</v>
      </c>
      <c r="H63" s="64">
        <v>16.399999999999999</v>
      </c>
      <c r="I63" s="64">
        <v>2.88</v>
      </c>
      <c r="J63" s="64">
        <v>2.2799999999999998</v>
      </c>
      <c r="K63" s="64">
        <v>337.89</v>
      </c>
      <c r="L63" s="64">
        <v>30.42</v>
      </c>
      <c r="M63" s="64">
        <v>49.92</v>
      </c>
      <c r="N63" s="64">
        <v>181.6</v>
      </c>
      <c r="O63" s="64">
        <v>0</v>
      </c>
      <c r="P63" s="64">
        <v>0.56999999999999995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15" t="s">
        <v>2703</v>
      </c>
      <c r="B64" s="64">
        <v>6.61</v>
      </c>
      <c r="C64" s="64">
        <v>21.33</v>
      </c>
      <c r="D64" s="64">
        <v>15.07</v>
      </c>
      <c r="E64" s="64">
        <v>6.27</v>
      </c>
      <c r="F64" s="64">
        <v>5.39</v>
      </c>
      <c r="G64" s="64">
        <v>69.56</v>
      </c>
      <c r="H64" s="64">
        <v>16.399999999999999</v>
      </c>
      <c r="I64" s="64">
        <v>2.58</v>
      </c>
      <c r="J64" s="64">
        <v>1.25</v>
      </c>
      <c r="K64" s="64">
        <v>330.95</v>
      </c>
      <c r="L64" s="64">
        <v>29.55</v>
      </c>
      <c r="M64" s="64">
        <v>52.88</v>
      </c>
      <c r="N64" s="64">
        <v>168</v>
      </c>
      <c r="O64" s="64">
        <v>0</v>
      </c>
      <c r="P64" s="64">
        <v>0.55000000000000004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2704</v>
      </c>
      <c r="B65" s="64">
        <v>5.93</v>
      </c>
      <c r="C65" s="64">
        <v>21.14</v>
      </c>
      <c r="D65" s="64">
        <v>14.42</v>
      </c>
      <c r="E65" s="64">
        <v>6.26</v>
      </c>
      <c r="F65" s="64">
        <v>4.6900000000000004</v>
      </c>
      <c r="G65" s="64">
        <v>69.56</v>
      </c>
      <c r="H65" s="64">
        <v>16.399999999999999</v>
      </c>
      <c r="I65" s="64">
        <v>2.3199999999999998</v>
      </c>
      <c r="J65" s="64">
        <v>1.65</v>
      </c>
      <c r="K65" s="64">
        <v>337.33</v>
      </c>
      <c r="L65" s="64">
        <v>29.42</v>
      </c>
      <c r="M65" s="64">
        <v>53.4</v>
      </c>
      <c r="N65" s="64">
        <v>171.3</v>
      </c>
      <c r="O65" s="64">
        <v>0</v>
      </c>
      <c r="P65" s="64">
        <v>0.59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5" t="s">
        <v>2705</v>
      </c>
      <c r="B66" s="64">
        <v>5.55</v>
      </c>
      <c r="C66" s="64">
        <v>21.11</v>
      </c>
      <c r="D66" s="64">
        <v>14.11</v>
      </c>
      <c r="E66" s="64">
        <v>5.65</v>
      </c>
      <c r="F66" s="64">
        <v>4.53</v>
      </c>
      <c r="G66" s="64">
        <v>69.56</v>
      </c>
      <c r="H66" s="64">
        <v>16.399999999999999</v>
      </c>
      <c r="I66" s="64">
        <v>2.19</v>
      </c>
      <c r="J66" s="64">
        <v>1.59</v>
      </c>
      <c r="K66" s="64">
        <v>333.46</v>
      </c>
      <c r="L66" s="64">
        <v>29.42</v>
      </c>
      <c r="M66" s="64">
        <v>53.81</v>
      </c>
      <c r="N66" s="64">
        <v>133.4</v>
      </c>
      <c r="O66" s="64">
        <v>0</v>
      </c>
      <c r="P66" s="64">
        <v>0.6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2706</v>
      </c>
      <c r="B67" s="64">
        <v>5.23</v>
      </c>
      <c r="C67" s="64">
        <v>20.63</v>
      </c>
      <c r="D67" s="64">
        <v>13.6</v>
      </c>
      <c r="E67" s="64">
        <v>5.74</v>
      </c>
      <c r="F67" s="64">
        <v>4.74</v>
      </c>
      <c r="G67" s="64">
        <v>61.08</v>
      </c>
      <c r="H67" s="64">
        <v>33.57</v>
      </c>
      <c r="I67" s="64">
        <v>2.62</v>
      </c>
      <c r="J67" s="64">
        <v>1.83</v>
      </c>
      <c r="K67" s="64">
        <v>340.62</v>
      </c>
      <c r="L67" s="64">
        <v>29</v>
      </c>
      <c r="M67" s="64">
        <v>54.87</v>
      </c>
      <c r="N67" s="64">
        <v>128.9</v>
      </c>
      <c r="O67" s="64">
        <v>0</v>
      </c>
      <c r="P67" s="64">
        <v>0.57999999999999996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5" t="s">
        <v>2707</v>
      </c>
      <c r="B68" s="64">
        <v>4.99</v>
      </c>
      <c r="C68" s="64">
        <v>20.69</v>
      </c>
      <c r="D68" s="64">
        <v>13.43</v>
      </c>
      <c r="E68" s="64">
        <v>5.76</v>
      </c>
      <c r="F68" s="64">
        <v>4.82</v>
      </c>
      <c r="G68" s="64">
        <v>60.36</v>
      </c>
      <c r="H68" s="64">
        <v>33.57</v>
      </c>
      <c r="I68" s="64">
        <v>2.74</v>
      </c>
      <c r="J68" s="64">
        <v>0.93</v>
      </c>
      <c r="K68" s="64">
        <v>340.31</v>
      </c>
      <c r="L68" s="64">
        <v>28.86</v>
      </c>
      <c r="M68" s="64">
        <v>54.91</v>
      </c>
      <c r="N68" s="64">
        <v>124.4</v>
      </c>
      <c r="O68" s="64">
        <v>0</v>
      </c>
      <c r="P68" s="64">
        <v>0.6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2708</v>
      </c>
      <c r="B69" s="64">
        <v>4.93</v>
      </c>
      <c r="C69" s="64">
        <v>20.86</v>
      </c>
      <c r="D69" s="64">
        <v>13.48</v>
      </c>
      <c r="E69" s="64">
        <v>5.69</v>
      </c>
      <c r="F69" s="64">
        <v>4.6100000000000003</v>
      </c>
      <c r="G69" s="64">
        <v>60.36</v>
      </c>
      <c r="H69" s="64">
        <v>33.57</v>
      </c>
      <c r="I69" s="64">
        <v>2.77</v>
      </c>
      <c r="J69" s="64">
        <v>0.89</v>
      </c>
      <c r="K69" s="64">
        <v>343.56</v>
      </c>
      <c r="L69" s="64">
        <v>28.5</v>
      </c>
      <c r="M69" s="64">
        <v>55.82</v>
      </c>
      <c r="N69" s="64">
        <v>109.2</v>
      </c>
      <c r="O69" s="64">
        <v>0</v>
      </c>
      <c r="P69" s="64">
        <v>0.57999999999999996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2709</v>
      </c>
      <c r="B70" s="64">
        <v>4.99</v>
      </c>
      <c r="C70" s="64">
        <v>20.61</v>
      </c>
      <c r="D70" s="64">
        <v>13.39</v>
      </c>
      <c r="E70" s="64">
        <v>5.69</v>
      </c>
      <c r="F70" s="64">
        <v>4.54</v>
      </c>
      <c r="G70" s="64">
        <v>60.36</v>
      </c>
      <c r="H70" s="64">
        <v>33.57</v>
      </c>
      <c r="I70" s="64">
        <v>2.59</v>
      </c>
      <c r="J70" s="64">
        <v>1.72</v>
      </c>
      <c r="K70" s="64">
        <v>336.04</v>
      </c>
      <c r="L70" s="64">
        <v>28.66</v>
      </c>
      <c r="M70" s="64">
        <v>55.02</v>
      </c>
      <c r="N70" s="64">
        <v>95.4</v>
      </c>
      <c r="O70" s="64">
        <v>0</v>
      </c>
      <c r="P70" s="64">
        <v>0.57999999999999996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2710</v>
      </c>
      <c r="B71" s="64">
        <v>4.76</v>
      </c>
      <c r="C71" s="64">
        <v>20.85</v>
      </c>
      <c r="D71" s="64">
        <v>13.33</v>
      </c>
      <c r="E71" s="64">
        <v>5.83</v>
      </c>
      <c r="F71" s="64">
        <v>4.1900000000000004</v>
      </c>
      <c r="G71" s="64">
        <v>57.19</v>
      </c>
      <c r="H71" s="64">
        <v>29.66</v>
      </c>
      <c r="I71" s="64">
        <v>2.71</v>
      </c>
      <c r="J71" s="64">
        <v>1.18</v>
      </c>
      <c r="K71" s="64">
        <v>333.07</v>
      </c>
      <c r="L71" s="64">
        <v>28.32</v>
      </c>
      <c r="M71" s="64">
        <v>56.34</v>
      </c>
      <c r="N71" s="64">
        <v>83</v>
      </c>
      <c r="O71" s="64">
        <v>0</v>
      </c>
      <c r="P71" s="64">
        <v>0.59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2711</v>
      </c>
      <c r="B72" s="64">
        <v>4.32</v>
      </c>
      <c r="C72" s="64">
        <v>20.36</v>
      </c>
      <c r="D72" s="64">
        <v>12.72</v>
      </c>
      <c r="E72" s="64">
        <v>5.26</v>
      </c>
      <c r="F72" s="64">
        <v>4.87</v>
      </c>
      <c r="G72" s="64">
        <v>56.93</v>
      </c>
      <c r="H72" s="64">
        <v>29.66</v>
      </c>
      <c r="I72" s="64">
        <v>2.85</v>
      </c>
      <c r="J72" s="64">
        <v>0.78</v>
      </c>
      <c r="K72" s="64">
        <v>331.77</v>
      </c>
      <c r="L72" s="64">
        <v>27.95</v>
      </c>
      <c r="M72" s="64">
        <v>57.76</v>
      </c>
      <c r="N72" s="64">
        <v>74.400000000000006</v>
      </c>
      <c r="O72" s="64">
        <v>0</v>
      </c>
      <c r="P72" s="64">
        <v>0.57999999999999996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5" t="s">
        <v>2712</v>
      </c>
      <c r="B73" s="64">
        <v>4.01</v>
      </c>
      <c r="C73" s="64">
        <v>19.89</v>
      </c>
      <c r="D73" s="64">
        <v>12.23</v>
      </c>
      <c r="E73" s="64">
        <v>4.4400000000000004</v>
      </c>
      <c r="F73" s="64">
        <v>4.6399999999999997</v>
      </c>
      <c r="G73" s="64">
        <v>56.93</v>
      </c>
      <c r="H73" s="64">
        <v>29.66</v>
      </c>
      <c r="I73" s="64">
        <v>2.73</v>
      </c>
      <c r="J73" s="64">
        <v>1.49</v>
      </c>
      <c r="K73" s="64">
        <v>334.35</v>
      </c>
      <c r="L73" s="64">
        <v>28.01</v>
      </c>
      <c r="M73" s="64">
        <v>57.71</v>
      </c>
      <c r="N73" s="64">
        <v>69.7</v>
      </c>
      <c r="O73" s="64">
        <v>0</v>
      </c>
      <c r="P73" s="64">
        <v>0.59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5" t="s">
        <v>2713</v>
      </c>
      <c r="B74" s="64">
        <v>4.03</v>
      </c>
      <c r="C74" s="64">
        <v>19.420000000000002</v>
      </c>
      <c r="D74" s="64">
        <v>12</v>
      </c>
      <c r="E74" s="64">
        <v>4.34</v>
      </c>
      <c r="F74" s="64">
        <v>3.8</v>
      </c>
      <c r="G74" s="64">
        <v>56.93</v>
      </c>
      <c r="H74" s="64">
        <v>29.66</v>
      </c>
      <c r="I74" s="64">
        <v>2.77</v>
      </c>
      <c r="J74" s="64">
        <v>1.25</v>
      </c>
      <c r="K74" s="64">
        <v>335.06</v>
      </c>
      <c r="L74" s="64">
        <v>27.85</v>
      </c>
      <c r="M74" s="64">
        <v>58.05</v>
      </c>
      <c r="N74" s="64">
        <v>62</v>
      </c>
      <c r="O74" s="64">
        <v>0</v>
      </c>
      <c r="P74" s="64">
        <v>0.59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5" t="s">
        <v>2714</v>
      </c>
      <c r="B75" s="64">
        <v>3.9</v>
      </c>
      <c r="C75" s="64">
        <v>18.53</v>
      </c>
      <c r="D75" s="64">
        <v>11.43</v>
      </c>
      <c r="E75" s="64">
        <v>4.25</v>
      </c>
      <c r="F75" s="64">
        <v>4.6399999999999997</v>
      </c>
      <c r="G75" s="64">
        <v>55.37</v>
      </c>
      <c r="H75" s="64">
        <v>24.68</v>
      </c>
      <c r="I75" s="64">
        <v>2.67</v>
      </c>
      <c r="J75" s="64">
        <v>1.33</v>
      </c>
      <c r="K75" s="64">
        <v>334.45</v>
      </c>
      <c r="L75" s="64">
        <v>27.6</v>
      </c>
      <c r="M75" s="64">
        <v>59.01</v>
      </c>
      <c r="N75" s="64">
        <v>52.6</v>
      </c>
      <c r="O75" s="64">
        <v>0</v>
      </c>
      <c r="P75" s="64">
        <v>0.59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5" t="s">
        <v>2715</v>
      </c>
      <c r="B76" s="64">
        <v>4.07</v>
      </c>
      <c r="C76" s="64">
        <v>18.489999999999998</v>
      </c>
      <c r="D76" s="64">
        <v>11.55</v>
      </c>
      <c r="E76" s="64">
        <v>4.22</v>
      </c>
      <c r="F76" s="64">
        <v>4.22</v>
      </c>
      <c r="G76" s="64">
        <v>55.24</v>
      </c>
      <c r="H76" s="64">
        <v>24.68</v>
      </c>
      <c r="I76" s="64">
        <v>2.46</v>
      </c>
      <c r="J76" s="64">
        <v>1.65</v>
      </c>
      <c r="K76" s="64">
        <v>341.32</v>
      </c>
      <c r="L76" s="64">
        <v>27.43</v>
      </c>
      <c r="M76" s="64">
        <v>60.13</v>
      </c>
      <c r="N76" s="64">
        <v>44.6</v>
      </c>
      <c r="O76" s="64">
        <v>0</v>
      </c>
      <c r="P76" s="64">
        <v>0.62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2716</v>
      </c>
      <c r="B77" s="64">
        <v>4.6900000000000004</v>
      </c>
      <c r="C77" s="64">
        <v>18.829999999999998</v>
      </c>
      <c r="D77" s="64">
        <v>12.23</v>
      </c>
      <c r="E77" s="64">
        <v>4.71</v>
      </c>
      <c r="F77" s="64">
        <v>4.2</v>
      </c>
      <c r="G77" s="64">
        <v>55.24</v>
      </c>
      <c r="H77" s="64">
        <v>24.68</v>
      </c>
      <c r="I77" s="64">
        <v>2.3199999999999998</v>
      </c>
      <c r="J77" s="64">
        <v>1.08</v>
      </c>
      <c r="K77" s="64">
        <v>338.33</v>
      </c>
      <c r="L77" s="64">
        <v>27.14</v>
      </c>
      <c r="M77" s="64">
        <v>61.63</v>
      </c>
      <c r="N77" s="64">
        <v>37.299999999999997</v>
      </c>
      <c r="O77" s="64">
        <v>0</v>
      </c>
      <c r="P77" s="64">
        <v>0.73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2717</v>
      </c>
      <c r="B78" s="64">
        <v>5.41</v>
      </c>
      <c r="C78" s="64">
        <v>18.8</v>
      </c>
      <c r="D78" s="64">
        <v>12.79</v>
      </c>
      <c r="E78" s="64">
        <v>4.8099999999999996</v>
      </c>
      <c r="F78" s="64">
        <v>3.74</v>
      </c>
      <c r="G78" s="64">
        <v>55.24</v>
      </c>
      <c r="H78" s="64">
        <v>24.68</v>
      </c>
      <c r="I78" s="64">
        <v>2.59</v>
      </c>
      <c r="J78" s="64">
        <v>1.1599999999999999</v>
      </c>
      <c r="K78" s="64">
        <v>334.41</v>
      </c>
      <c r="L78" s="64">
        <v>26.74</v>
      </c>
      <c r="M78" s="64">
        <v>63.58</v>
      </c>
      <c r="N78" s="64">
        <v>30.5</v>
      </c>
      <c r="O78" s="64">
        <v>0</v>
      </c>
      <c r="P78" s="64">
        <v>0.82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5" t="s">
        <v>2718</v>
      </c>
      <c r="B79" s="64">
        <v>6.06</v>
      </c>
      <c r="C79" s="64">
        <v>18.989999999999998</v>
      </c>
      <c r="D79" s="64">
        <v>13.41</v>
      </c>
      <c r="E79" s="64">
        <v>4.8499999999999996</v>
      </c>
      <c r="F79" s="64">
        <v>3.7</v>
      </c>
      <c r="G79" s="64">
        <v>47.28</v>
      </c>
      <c r="H79" s="64">
        <v>20.8</v>
      </c>
      <c r="I79" s="64">
        <v>2.75</v>
      </c>
      <c r="J79" s="64">
        <v>1.65</v>
      </c>
      <c r="K79" s="64">
        <v>341.71</v>
      </c>
      <c r="L79" s="64">
        <v>26.53</v>
      </c>
      <c r="M79" s="64">
        <v>63.18</v>
      </c>
      <c r="N79" s="64">
        <v>26.8</v>
      </c>
      <c r="O79" s="64">
        <v>0</v>
      </c>
      <c r="P79" s="64">
        <v>0.73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2719</v>
      </c>
      <c r="B80" s="64">
        <v>6.64</v>
      </c>
      <c r="C80" s="64">
        <v>19.43</v>
      </c>
      <c r="D80" s="64">
        <v>14.1</v>
      </c>
      <c r="E80" s="64">
        <v>5.24</v>
      </c>
      <c r="F80" s="64">
        <v>4.6100000000000003</v>
      </c>
      <c r="G80" s="64">
        <v>46.61</v>
      </c>
      <c r="H80" s="64">
        <v>20.8</v>
      </c>
      <c r="I80" s="64">
        <v>3.02</v>
      </c>
      <c r="J80" s="64">
        <v>1.56</v>
      </c>
      <c r="K80" s="64">
        <v>338.67</v>
      </c>
      <c r="L80" s="64">
        <v>26.42</v>
      </c>
      <c r="M80" s="64">
        <v>63.68</v>
      </c>
      <c r="N80" s="64">
        <v>26.1</v>
      </c>
      <c r="O80" s="64">
        <v>0</v>
      </c>
      <c r="P80" s="64">
        <v>0.74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5" t="s">
        <v>2720</v>
      </c>
      <c r="B81" s="64">
        <v>7.55</v>
      </c>
      <c r="C81" s="64">
        <v>19.260000000000002</v>
      </c>
      <c r="D81" s="64">
        <v>14.74</v>
      </c>
      <c r="E81" s="64">
        <v>5.03</v>
      </c>
      <c r="F81" s="64">
        <v>3.96</v>
      </c>
      <c r="G81" s="64">
        <v>46.61</v>
      </c>
      <c r="H81" s="64">
        <v>20.8</v>
      </c>
      <c r="I81" s="64">
        <v>3.16</v>
      </c>
      <c r="J81" s="64">
        <v>0.91</v>
      </c>
      <c r="K81" s="64">
        <v>338.04</v>
      </c>
      <c r="L81" s="64">
        <v>26.21</v>
      </c>
      <c r="M81" s="64">
        <v>65.510000000000005</v>
      </c>
      <c r="N81" s="64">
        <v>26.2</v>
      </c>
      <c r="O81" s="64">
        <v>0</v>
      </c>
      <c r="P81" s="64">
        <v>1.23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5" t="s">
        <v>2721</v>
      </c>
      <c r="B82" s="64">
        <v>9.84</v>
      </c>
      <c r="C82" s="64">
        <v>19.63</v>
      </c>
      <c r="D82" s="64">
        <v>16.77</v>
      </c>
      <c r="E82" s="64">
        <v>5.67</v>
      </c>
      <c r="F82" s="64">
        <v>4.55</v>
      </c>
      <c r="G82" s="64">
        <v>46.61</v>
      </c>
      <c r="H82" s="64">
        <v>20.8</v>
      </c>
      <c r="I82" s="64">
        <v>3.33</v>
      </c>
      <c r="J82" s="64">
        <v>0.72</v>
      </c>
      <c r="K82" s="64">
        <v>335.05</v>
      </c>
      <c r="L82" s="64">
        <v>25.73</v>
      </c>
      <c r="M82" s="64">
        <v>68.67</v>
      </c>
      <c r="N82" s="64">
        <v>26.2</v>
      </c>
      <c r="O82" s="64">
        <v>0</v>
      </c>
      <c r="P82" s="64">
        <v>1.03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2722</v>
      </c>
      <c r="B83" s="64">
        <v>12.01</v>
      </c>
      <c r="C83" s="64">
        <v>19.940000000000001</v>
      </c>
      <c r="D83" s="64">
        <v>18.670000000000002</v>
      </c>
      <c r="E83" s="64">
        <v>6.16</v>
      </c>
      <c r="F83" s="64">
        <v>4.01</v>
      </c>
      <c r="G83" s="64">
        <v>51.09</v>
      </c>
      <c r="H83" s="64">
        <v>22.69</v>
      </c>
      <c r="I83" s="64">
        <v>3.91</v>
      </c>
      <c r="J83" s="64">
        <v>0.85</v>
      </c>
      <c r="K83" s="64">
        <v>340.49</v>
      </c>
      <c r="L83" s="64">
        <v>25.56</v>
      </c>
      <c r="M83" s="64">
        <v>69.28</v>
      </c>
      <c r="N83" s="64">
        <v>26</v>
      </c>
      <c r="O83" s="64">
        <v>0</v>
      </c>
      <c r="P83" s="64">
        <v>1.22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5" t="s">
        <v>2723</v>
      </c>
      <c r="B84" s="64">
        <v>13.96</v>
      </c>
      <c r="C84" s="64">
        <v>19.91</v>
      </c>
      <c r="D84" s="64">
        <v>20.22</v>
      </c>
      <c r="E84" s="64">
        <v>5.65</v>
      </c>
      <c r="F84" s="64">
        <v>3.19</v>
      </c>
      <c r="G84" s="64">
        <v>51.47</v>
      </c>
      <c r="H84" s="64">
        <v>22.69</v>
      </c>
      <c r="I84" s="64">
        <v>4.4000000000000004</v>
      </c>
      <c r="J84" s="64">
        <v>0.7</v>
      </c>
      <c r="K84" s="64">
        <v>339.54</v>
      </c>
      <c r="L84" s="64">
        <v>25.51</v>
      </c>
      <c r="M84" s="64">
        <v>70.33</v>
      </c>
      <c r="N84" s="64">
        <v>26.1</v>
      </c>
      <c r="O84" s="64">
        <v>0</v>
      </c>
      <c r="P84" s="64">
        <v>1.5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2724</v>
      </c>
      <c r="B85" s="64">
        <v>16.18</v>
      </c>
      <c r="C85" s="64">
        <v>20.13</v>
      </c>
      <c r="D85" s="64">
        <v>22.11</v>
      </c>
      <c r="E85" s="64">
        <v>5.67</v>
      </c>
      <c r="F85" s="64">
        <v>4.84</v>
      </c>
      <c r="G85" s="64">
        <v>51.47</v>
      </c>
      <c r="H85" s="64">
        <v>22.69</v>
      </c>
      <c r="I85" s="64">
        <v>4.87</v>
      </c>
      <c r="J85" s="64">
        <v>0.94</v>
      </c>
      <c r="K85" s="64">
        <v>343.43</v>
      </c>
      <c r="L85" s="64">
        <v>25.12</v>
      </c>
      <c r="M85" s="64">
        <v>72.260000000000005</v>
      </c>
      <c r="N85" s="64">
        <v>25.8</v>
      </c>
      <c r="O85" s="64">
        <v>0</v>
      </c>
      <c r="P85" s="64">
        <v>1.24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5" t="s">
        <v>2725</v>
      </c>
      <c r="B86" s="64">
        <v>18.3</v>
      </c>
      <c r="C86" s="64">
        <v>20.28</v>
      </c>
      <c r="D86" s="64">
        <v>23.9</v>
      </c>
      <c r="E86" s="64">
        <v>5.96</v>
      </c>
      <c r="F86" s="64">
        <v>3.4</v>
      </c>
      <c r="G86" s="64">
        <v>51.47</v>
      </c>
      <c r="H86" s="64">
        <v>22.69</v>
      </c>
      <c r="I86" s="64">
        <v>5.13</v>
      </c>
      <c r="J86" s="64">
        <v>0.87</v>
      </c>
      <c r="K86" s="64">
        <v>340.01</v>
      </c>
      <c r="L86" s="64">
        <v>25.27</v>
      </c>
      <c r="M86" s="64">
        <v>70.540000000000006</v>
      </c>
      <c r="N86" s="64">
        <v>25.9</v>
      </c>
      <c r="O86" s="64">
        <v>0</v>
      </c>
      <c r="P86" s="64">
        <v>1.55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5" t="s">
        <v>2726</v>
      </c>
      <c r="B87" s="64">
        <v>21.13</v>
      </c>
      <c r="C87" s="64">
        <v>19.989999999999998</v>
      </c>
      <c r="D87" s="64">
        <v>26.01</v>
      </c>
      <c r="E87" s="64">
        <v>5.78</v>
      </c>
      <c r="F87" s="64">
        <v>4.04</v>
      </c>
      <c r="G87" s="64">
        <v>68.069999999999993</v>
      </c>
      <c r="H87" s="64">
        <v>25.96</v>
      </c>
      <c r="I87" s="64">
        <v>5.14</v>
      </c>
      <c r="J87" s="64">
        <v>0.85</v>
      </c>
      <c r="K87" s="64">
        <v>340.01</v>
      </c>
      <c r="L87" s="64">
        <v>25.28</v>
      </c>
      <c r="M87" s="64">
        <v>70.64</v>
      </c>
      <c r="N87" s="64">
        <v>25.9</v>
      </c>
      <c r="O87" s="64">
        <v>0</v>
      </c>
      <c r="P87" s="64">
        <v>1.49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2727</v>
      </c>
      <c r="B88" s="64">
        <v>25.73</v>
      </c>
      <c r="C88" s="64">
        <v>20.67</v>
      </c>
      <c r="D88" s="64">
        <v>30.05</v>
      </c>
      <c r="E88" s="64">
        <v>4.59</v>
      </c>
      <c r="F88" s="64">
        <v>4.07</v>
      </c>
      <c r="G88" s="64">
        <v>69.459999999999994</v>
      </c>
      <c r="H88" s="64">
        <v>25.96</v>
      </c>
      <c r="I88" s="64">
        <v>5.53</v>
      </c>
      <c r="J88" s="64">
        <v>0.32</v>
      </c>
      <c r="K88" s="64">
        <v>354.57</v>
      </c>
      <c r="L88" s="64">
        <v>25.14</v>
      </c>
      <c r="M88" s="64">
        <v>71.72</v>
      </c>
      <c r="N88" s="64">
        <v>26.3</v>
      </c>
      <c r="O88" s="64">
        <v>0</v>
      </c>
      <c r="P88" s="64">
        <v>1.65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5" t="s">
        <v>2728</v>
      </c>
      <c r="B89" s="64">
        <v>29.32</v>
      </c>
      <c r="C89" s="64">
        <v>20.48</v>
      </c>
      <c r="D89" s="64">
        <v>32.840000000000003</v>
      </c>
      <c r="E89" s="64">
        <v>4.3499999999999996</v>
      </c>
      <c r="F89" s="64">
        <v>4.76</v>
      </c>
      <c r="G89" s="64">
        <v>69.459999999999994</v>
      </c>
      <c r="H89" s="64">
        <v>25.96</v>
      </c>
      <c r="I89" s="64">
        <v>5.99</v>
      </c>
      <c r="J89" s="64">
        <v>0.78</v>
      </c>
      <c r="K89" s="64">
        <v>335.5</v>
      </c>
      <c r="L89" s="64">
        <v>25.03</v>
      </c>
      <c r="M89" s="64">
        <v>72.900000000000006</v>
      </c>
      <c r="N89" s="64">
        <v>25.8</v>
      </c>
      <c r="O89" s="64">
        <v>0</v>
      </c>
      <c r="P89" s="64">
        <v>1.64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5" t="s">
        <v>2729</v>
      </c>
      <c r="B90" s="64">
        <v>32.159999999999997</v>
      </c>
      <c r="C90" s="64">
        <v>20.82</v>
      </c>
      <c r="D90" s="64">
        <v>35.29</v>
      </c>
      <c r="E90" s="64">
        <v>4.63</v>
      </c>
      <c r="F90" s="64">
        <v>3.72</v>
      </c>
      <c r="G90" s="64">
        <v>69.459999999999994</v>
      </c>
      <c r="H90" s="64">
        <v>25.96</v>
      </c>
      <c r="I90" s="64">
        <v>6.96</v>
      </c>
      <c r="J90" s="64">
        <v>1.33</v>
      </c>
      <c r="K90" s="64">
        <v>338.67</v>
      </c>
      <c r="L90" s="64">
        <v>25.29</v>
      </c>
      <c r="M90" s="64">
        <v>70.849999999999994</v>
      </c>
      <c r="N90" s="64">
        <v>25.4</v>
      </c>
      <c r="O90" s="64">
        <v>0</v>
      </c>
      <c r="P90" s="64">
        <v>1.46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5" t="s">
        <v>2730</v>
      </c>
      <c r="B91" s="64">
        <v>34.14</v>
      </c>
      <c r="C91" s="64">
        <v>19.89</v>
      </c>
      <c r="D91" s="64">
        <v>36.39</v>
      </c>
      <c r="E91" s="64">
        <v>4.55</v>
      </c>
      <c r="F91" s="64">
        <v>2.86</v>
      </c>
      <c r="G91" s="64">
        <v>76.91</v>
      </c>
      <c r="H91" s="64">
        <v>28.86</v>
      </c>
      <c r="I91" s="64">
        <v>6.81</v>
      </c>
      <c r="J91" s="64">
        <v>0.95</v>
      </c>
      <c r="K91" s="64">
        <v>340.8</v>
      </c>
      <c r="L91" s="64">
        <v>25.23</v>
      </c>
      <c r="M91" s="64">
        <v>71.819999999999993</v>
      </c>
      <c r="N91" s="64">
        <v>26.1</v>
      </c>
      <c r="O91" s="64">
        <v>0</v>
      </c>
      <c r="P91" s="64">
        <v>1.67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5" t="s">
        <v>2731</v>
      </c>
      <c r="B92" s="64">
        <v>36.32</v>
      </c>
      <c r="C92" s="64">
        <v>18.5</v>
      </c>
      <c r="D92" s="64">
        <v>37.409999999999997</v>
      </c>
      <c r="E92" s="64">
        <v>4.21</v>
      </c>
      <c r="F92" s="64">
        <v>3.48</v>
      </c>
      <c r="G92" s="64">
        <v>77.540000000000006</v>
      </c>
      <c r="H92" s="64">
        <v>28.86</v>
      </c>
      <c r="I92" s="64">
        <v>5.87</v>
      </c>
      <c r="J92" s="64">
        <v>1.1200000000000001</v>
      </c>
      <c r="K92" s="64">
        <v>338.97</v>
      </c>
      <c r="L92" s="64">
        <v>25.2</v>
      </c>
      <c r="M92" s="64">
        <v>72.27</v>
      </c>
      <c r="N92" s="64">
        <v>25.9</v>
      </c>
      <c r="O92" s="64">
        <v>0</v>
      </c>
      <c r="P92" s="64">
        <v>1.51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5" t="s">
        <v>2732</v>
      </c>
      <c r="B93" s="64">
        <v>38.090000000000003</v>
      </c>
      <c r="C93" s="64">
        <v>17.940000000000001</v>
      </c>
      <c r="D93" s="64">
        <v>38.54</v>
      </c>
      <c r="E93" s="64">
        <v>4.47</v>
      </c>
      <c r="F93" s="64">
        <v>3.26</v>
      </c>
      <c r="G93" s="64">
        <v>77.540000000000006</v>
      </c>
      <c r="H93" s="64">
        <v>28.86</v>
      </c>
      <c r="I93" s="64">
        <v>5.64</v>
      </c>
      <c r="J93" s="64">
        <v>1.01</v>
      </c>
      <c r="K93" s="64">
        <v>342.53</v>
      </c>
      <c r="L93" s="64">
        <v>25.03</v>
      </c>
      <c r="M93" s="64">
        <v>74.010000000000005</v>
      </c>
      <c r="N93" s="64">
        <v>26.1</v>
      </c>
      <c r="O93" s="64">
        <v>0</v>
      </c>
      <c r="P93" s="64">
        <v>1.68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5" t="s">
        <v>2733</v>
      </c>
      <c r="B94" s="64">
        <v>39.869999999999997</v>
      </c>
      <c r="C94" s="64">
        <v>17.43</v>
      </c>
      <c r="D94" s="64">
        <v>39.700000000000003</v>
      </c>
      <c r="E94" s="64">
        <v>4.21</v>
      </c>
      <c r="F94" s="64">
        <v>3.71</v>
      </c>
      <c r="G94" s="64">
        <v>77.540000000000006</v>
      </c>
      <c r="H94" s="64">
        <v>28.86</v>
      </c>
      <c r="I94" s="64">
        <v>5.7</v>
      </c>
      <c r="J94" s="64">
        <v>1.26</v>
      </c>
      <c r="K94" s="64">
        <v>341</v>
      </c>
      <c r="L94" s="64">
        <v>25.03</v>
      </c>
      <c r="M94" s="64">
        <v>74.25</v>
      </c>
      <c r="N94" s="64">
        <v>26</v>
      </c>
      <c r="O94" s="64">
        <v>0</v>
      </c>
      <c r="P94" s="64">
        <v>1.49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5" t="s">
        <v>2734</v>
      </c>
      <c r="B95" s="64">
        <v>41.12</v>
      </c>
      <c r="C95" s="64">
        <v>16.920000000000002</v>
      </c>
      <c r="D95" s="64">
        <v>40.44</v>
      </c>
      <c r="E95" s="64">
        <v>4.16</v>
      </c>
      <c r="F95" s="64">
        <v>4.0199999999999996</v>
      </c>
      <c r="G95" s="64">
        <v>82.5</v>
      </c>
      <c r="H95" s="64">
        <v>29.61</v>
      </c>
      <c r="I95" s="64">
        <v>5.46</v>
      </c>
      <c r="J95" s="64">
        <v>1.21</v>
      </c>
      <c r="K95" s="64">
        <v>340.65</v>
      </c>
      <c r="L95" s="64">
        <v>24.81</v>
      </c>
      <c r="M95" s="64">
        <v>78.5</v>
      </c>
      <c r="N95" s="64">
        <v>26.1</v>
      </c>
      <c r="O95" s="64">
        <v>0</v>
      </c>
      <c r="P95" s="64">
        <v>1.48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2735</v>
      </c>
      <c r="B96" s="64">
        <v>42.21</v>
      </c>
      <c r="C96" s="64">
        <v>16.45</v>
      </c>
      <c r="D96" s="64">
        <v>41.07</v>
      </c>
      <c r="E96" s="64">
        <v>4.74</v>
      </c>
      <c r="F96" s="64">
        <v>4.25</v>
      </c>
      <c r="G96" s="64">
        <v>82.92</v>
      </c>
      <c r="H96" s="64">
        <v>29.61</v>
      </c>
      <c r="I96" s="64">
        <v>5.38</v>
      </c>
      <c r="J96" s="64">
        <v>1.21</v>
      </c>
      <c r="K96" s="64">
        <v>340.65</v>
      </c>
      <c r="L96" s="64">
        <v>24.79</v>
      </c>
      <c r="M96" s="64">
        <v>76.39</v>
      </c>
      <c r="N96" s="64">
        <v>25.9</v>
      </c>
      <c r="O96" s="64">
        <v>0</v>
      </c>
      <c r="P96" s="64">
        <v>1.32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2736</v>
      </c>
      <c r="B97" s="64">
        <v>42.56</v>
      </c>
      <c r="C97" s="64">
        <v>16</v>
      </c>
      <c r="D97" s="64">
        <v>41.11</v>
      </c>
      <c r="E97" s="64">
        <v>4.21</v>
      </c>
      <c r="F97" s="64">
        <v>3.86</v>
      </c>
      <c r="G97" s="64">
        <v>82.92</v>
      </c>
      <c r="H97" s="64">
        <v>29.61</v>
      </c>
      <c r="I97" s="64">
        <v>5.55</v>
      </c>
      <c r="J97" s="64">
        <v>1.36</v>
      </c>
      <c r="K97" s="64">
        <v>337.76</v>
      </c>
      <c r="L97" s="64">
        <v>24.88</v>
      </c>
      <c r="M97" s="64">
        <v>74.819999999999993</v>
      </c>
      <c r="N97" s="64">
        <v>25.8</v>
      </c>
      <c r="O97" s="64">
        <v>0</v>
      </c>
      <c r="P97" s="64">
        <v>1.32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2737</v>
      </c>
      <c r="B98" s="64">
        <v>42.66</v>
      </c>
      <c r="C98" s="64">
        <v>15.95</v>
      </c>
      <c r="D98" s="64">
        <v>41.17</v>
      </c>
      <c r="E98" s="64">
        <v>4.18</v>
      </c>
      <c r="F98" s="64">
        <v>3.64</v>
      </c>
      <c r="G98" s="64">
        <v>82.92</v>
      </c>
      <c r="H98" s="64">
        <v>29.61</v>
      </c>
      <c r="I98" s="64">
        <v>5.51</v>
      </c>
      <c r="J98" s="64">
        <v>1.33</v>
      </c>
      <c r="K98" s="64">
        <v>336.61</v>
      </c>
      <c r="L98" s="64">
        <v>24.84</v>
      </c>
      <c r="M98" s="64">
        <v>74.489999999999995</v>
      </c>
      <c r="N98" s="64">
        <v>26</v>
      </c>
      <c r="O98" s="64">
        <v>0</v>
      </c>
      <c r="P98" s="64">
        <v>1.3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5" t="s">
        <v>2738</v>
      </c>
      <c r="B99" s="64">
        <v>42.75</v>
      </c>
      <c r="C99" s="64">
        <v>16.96</v>
      </c>
      <c r="D99" s="64">
        <v>41.77</v>
      </c>
      <c r="E99" s="64">
        <v>4.62</v>
      </c>
      <c r="F99" s="64">
        <v>3.77</v>
      </c>
      <c r="G99" s="64">
        <v>90.81</v>
      </c>
      <c r="H99" s="64">
        <v>32.68</v>
      </c>
      <c r="I99" s="64">
        <v>5.59</v>
      </c>
      <c r="J99" s="64">
        <v>1.7</v>
      </c>
      <c r="K99" s="64">
        <v>338.69</v>
      </c>
      <c r="L99" s="64">
        <v>24.76</v>
      </c>
      <c r="M99" s="64">
        <v>73.55</v>
      </c>
      <c r="N99" s="64">
        <v>25.9</v>
      </c>
      <c r="O99" s="64">
        <v>0</v>
      </c>
      <c r="P99" s="64">
        <v>1.39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5" t="s">
        <v>2739</v>
      </c>
      <c r="B100" s="64">
        <v>41.69</v>
      </c>
      <c r="C100" s="64">
        <v>17.579999999999998</v>
      </c>
      <c r="D100" s="64">
        <v>41.24</v>
      </c>
      <c r="E100" s="64">
        <v>4.03</v>
      </c>
      <c r="F100" s="64">
        <v>4.08</v>
      </c>
      <c r="G100" s="64">
        <v>91.48</v>
      </c>
      <c r="H100" s="64">
        <v>32.68</v>
      </c>
      <c r="I100" s="64">
        <v>5.83</v>
      </c>
      <c r="J100" s="64">
        <v>1.5</v>
      </c>
      <c r="K100" s="64">
        <v>342.83</v>
      </c>
      <c r="L100" s="64">
        <v>24.69</v>
      </c>
      <c r="M100" s="64">
        <v>74.23</v>
      </c>
      <c r="N100" s="64">
        <v>26.2</v>
      </c>
      <c r="O100" s="64">
        <v>0</v>
      </c>
      <c r="P100" s="64">
        <v>1.33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2740</v>
      </c>
      <c r="B101" s="64">
        <v>40.76</v>
      </c>
      <c r="C101" s="64">
        <v>17.87</v>
      </c>
      <c r="D101" s="64">
        <v>40.65</v>
      </c>
      <c r="E101" s="64">
        <v>4.0599999999999996</v>
      </c>
      <c r="F101" s="64">
        <v>3.87</v>
      </c>
      <c r="G101" s="64">
        <v>91.48</v>
      </c>
      <c r="H101" s="64">
        <v>32.68</v>
      </c>
      <c r="I101" s="64">
        <v>6.01</v>
      </c>
      <c r="J101" s="64">
        <v>1.71</v>
      </c>
      <c r="K101" s="64">
        <v>342.81</v>
      </c>
      <c r="L101" s="64">
        <v>24.4</v>
      </c>
      <c r="M101" s="64">
        <v>77.11</v>
      </c>
      <c r="N101" s="64">
        <v>26.3</v>
      </c>
      <c r="O101" s="64">
        <v>0</v>
      </c>
      <c r="P101" s="64">
        <v>1.28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5" t="s">
        <v>2741</v>
      </c>
      <c r="B102" s="64">
        <v>39.42</v>
      </c>
      <c r="C102" s="64">
        <v>18.010000000000002</v>
      </c>
      <c r="D102" s="64">
        <v>39.64</v>
      </c>
      <c r="E102" s="64">
        <v>4.34</v>
      </c>
      <c r="F102" s="64">
        <v>4.2300000000000004</v>
      </c>
      <c r="G102" s="64">
        <v>91.48</v>
      </c>
      <c r="H102" s="64">
        <v>32.68</v>
      </c>
      <c r="I102" s="64">
        <v>5.88</v>
      </c>
      <c r="J102" s="64">
        <v>1.45</v>
      </c>
      <c r="K102" s="64">
        <v>340.66</v>
      </c>
      <c r="L102" s="64">
        <v>24.22</v>
      </c>
      <c r="M102" s="64">
        <v>78.12</v>
      </c>
      <c r="N102" s="64">
        <v>26.2</v>
      </c>
      <c r="O102" s="64">
        <v>0</v>
      </c>
      <c r="P102" s="64">
        <v>1.25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5" t="s">
        <v>2742</v>
      </c>
      <c r="B103" s="64">
        <v>38</v>
      </c>
      <c r="C103" s="64">
        <v>18.07</v>
      </c>
      <c r="D103" s="64">
        <v>38.54</v>
      </c>
      <c r="E103" s="64">
        <v>4.0599999999999996</v>
      </c>
      <c r="F103" s="64">
        <v>4.09</v>
      </c>
      <c r="G103" s="64">
        <v>88.37</v>
      </c>
      <c r="H103" s="64">
        <v>34.15</v>
      </c>
      <c r="I103" s="64">
        <v>5.75</v>
      </c>
      <c r="J103" s="64">
        <v>1.47</v>
      </c>
      <c r="K103" s="64">
        <v>340.74</v>
      </c>
      <c r="L103" s="64">
        <v>23.97</v>
      </c>
      <c r="M103" s="64">
        <v>79.52</v>
      </c>
      <c r="N103" s="64">
        <v>26.1</v>
      </c>
      <c r="O103" s="64">
        <v>0</v>
      </c>
      <c r="P103" s="64">
        <v>1.2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5" t="s">
        <v>2743</v>
      </c>
      <c r="B104" s="64">
        <v>36.68</v>
      </c>
      <c r="C104" s="64">
        <v>17.649999999999999</v>
      </c>
      <c r="D104" s="64">
        <v>37.26</v>
      </c>
      <c r="E104" s="64">
        <v>5.85</v>
      </c>
      <c r="F104" s="64">
        <v>4.54</v>
      </c>
      <c r="G104" s="64">
        <v>88.11</v>
      </c>
      <c r="H104" s="64">
        <v>34.15</v>
      </c>
      <c r="I104" s="64">
        <v>5.54</v>
      </c>
      <c r="J104" s="64">
        <v>1.46</v>
      </c>
      <c r="K104" s="64">
        <v>341.87</v>
      </c>
      <c r="L104" s="64">
        <v>23.82</v>
      </c>
      <c r="M104" s="64">
        <v>80.010000000000005</v>
      </c>
      <c r="N104" s="64">
        <v>26.1</v>
      </c>
      <c r="O104" s="64">
        <v>0</v>
      </c>
      <c r="P104" s="64">
        <v>1.18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</v>
      </c>
      <c r="C106" s="67">
        <f>MIN(C9:C104)</f>
        <v>9.9600000000000009</v>
      </c>
      <c r="D106" s="67">
        <f t="shared" ref="D106:Q106" si="0">MIN(D9:D104)</f>
        <v>11.43</v>
      </c>
      <c r="E106" s="67">
        <f t="shared" si="0"/>
        <v>4.03</v>
      </c>
      <c r="F106" s="67">
        <f t="shared" si="0"/>
        <v>2.86</v>
      </c>
      <c r="G106" s="67">
        <f t="shared" si="0"/>
        <v>43.93</v>
      </c>
      <c r="H106" s="67">
        <f t="shared" si="0"/>
        <v>12.38</v>
      </c>
      <c r="I106" s="67">
        <f t="shared" si="0"/>
        <v>2.19</v>
      </c>
      <c r="J106" s="67">
        <f t="shared" si="0"/>
        <v>0.2</v>
      </c>
      <c r="K106" s="67">
        <f t="shared" si="0"/>
        <v>33.08</v>
      </c>
      <c r="L106" s="67">
        <f t="shared" si="0"/>
        <v>20.63</v>
      </c>
      <c r="M106" s="67">
        <f t="shared" si="0"/>
        <v>47.47</v>
      </c>
      <c r="N106" s="67">
        <f t="shared" si="0"/>
        <v>25.3</v>
      </c>
      <c r="O106" s="67">
        <f t="shared" si="0"/>
        <v>0</v>
      </c>
      <c r="P106" s="67">
        <f t="shared" si="0"/>
        <v>0.54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42.75</v>
      </c>
      <c r="C107" s="66">
        <f t="shared" ref="C107:Q107" si="1">MAX(C9:C104)</f>
        <v>21.34</v>
      </c>
      <c r="D107" s="66">
        <f t="shared" si="1"/>
        <v>41.77</v>
      </c>
      <c r="E107" s="66">
        <f t="shared" si="1"/>
        <v>7.1</v>
      </c>
      <c r="F107" s="66">
        <f t="shared" si="1"/>
        <v>5.39</v>
      </c>
      <c r="G107" s="66">
        <f t="shared" si="1"/>
        <v>91.48</v>
      </c>
      <c r="H107" s="66">
        <f t="shared" si="1"/>
        <v>35.450000000000003</v>
      </c>
      <c r="I107" s="66">
        <f t="shared" si="1"/>
        <v>6.96</v>
      </c>
      <c r="J107" s="66">
        <f t="shared" si="1"/>
        <v>2.75</v>
      </c>
      <c r="K107" s="66">
        <f t="shared" si="1"/>
        <v>357.12</v>
      </c>
      <c r="L107" s="66">
        <f t="shared" si="1"/>
        <v>32.36</v>
      </c>
      <c r="M107" s="66">
        <f t="shared" si="1"/>
        <v>102.12</v>
      </c>
      <c r="N107" s="66">
        <f t="shared" si="1"/>
        <v>768.4</v>
      </c>
      <c r="O107" s="66">
        <f t="shared" si="1"/>
        <v>0</v>
      </c>
      <c r="P107" s="66">
        <f t="shared" si="1"/>
        <v>1.68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19.651250000000005</v>
      </c>
      <c r="C108" s="67">
        <f t="shared" ref="C108:Q108" si="2">AVERAGE(C9:C104)</f>
        <v>15.877083333333344</v>
      </c>
      <c r="D108" s="67">
        <f t="shared" si="2"/>
        <v>22.677604166666669</v>
      </c>
      <c r="E108" s="67">
        <f t="shared" si="2"/>
        <v>5.2981249999999989</v>
      </c>
      <c r="F108" s="67">
        <f t="shared" si="2"/>
        <v>3.9309374999999989</v>
      </c>
      <c r="G108" s="67">
        <f t="shared" si="2"/>
        <v>61.96770833333332</v>
      </c>
      <c r="H108" s="67">
        <f t="shared" si="2"/>
        <v>23.910625000000007</v>
      </c>
      <c r="I108" s="67">
        <f t="shared" si="2"/>
        <v>4.0590624999999987</v>
      </c>
      <c r="J108" s="67">
        <f t="shared" si="2"/>
        <v>1.3309375000000003</v>
      </c>
      <c r="K108" s="67">
        <f t="shared" si="2"/>
        <v>330.09677083333332</v>
      </c>
      <c r="L108" s="67">
        <f t="shared" si="2"/>
        <v>25.92239583333334</v>
      </c>
      <c r="M108" s="67">
        <f t="shared" si="2"/>
        <v>72.158229166666686</v>
      </c>
      <c r="N108" s="67">
        <f t="shared" si="2"/>
        <v>167.3052083333333</v>
      </c>
      <c r="O108" s="67">
        <f t="shared" si="2"/>
        <v>0</v>
      </c>
      <c r="P108" s="67">
        <f t="shared" si="2"/>
        <v>0.82541666666666658</v>
      </c>
      <c r="Q108" s="67">
        <f t="shared" si="2"/>
        <v>9.6192708333333368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11.149240828533186</v>
      </c>
      <c r="C109" s="67">
        <f t="shared" ref="C109:Q109" si="3">STDEV(C9:C104)</f>
        <v>4.0390415529759407</v>
      </c>
      <c r="D109" s="67">
        <f t="shared" si="3"/>
        <v>8.7610744047677755</v>
      </c>
      <c r="E109" s="67">
        <f t="shared" si="3"/>
        <v>0.73104296439366701</v>
      </c>
      <c r="F109" s="67">
        <f t="shared" si="3"/>
        <v>0.49349895349967499</v>
      </c>
      <c r="G109" s="67">
        <f t="shared" si="3"/>
        <v>13.12023591565554</v>
      </c>
      <c r="H109" s="67">
        <f t="shared" si="3"/>
        <v>6.7284803653065488</v>
      </c>
      <c r="I109" s="67">
        <f t="shared" si="3"/>
        <v>1.0797027642877182</v>
      </c>
      <c r="J109" s="67">
        <f t="shared" si="3"/>
        <v>0.53078309203428231</v>
      </c>
      <c r="K109" s="67">
        <f t="shared" si="3"/>
        <v>48.204068085474468</v>
      </c>
      <c r="L109" s="67">
        <f t="shared" si="3"/>
        <v>3.6866755084797118</v>
      </c>
      <c r="M109" s="67">
        <f t="shared" si="3"/>
        <v>17.605715638590915</v>
      </c>
      <c r="N109" s="67">
        <f t="shared" si="3"/>
        <v>225.87762097383225</v>
      </c>
      <c r="O109" s="67">
        <f t="shared" si="3"/>
        <v>0</v>
      </c>
      <c r="P109" s="67">
        <f t="shared" si="3"/>
        <v>0.3433547089240962</v>
      </c>
      <c r="Q109" s="67">
        <f t="shared" si="3"/>
        <v>1.0487565736991975E-2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2744</v>
      </c>
      <c r="B9" s="64">
        <v>35.14</v>
      </c>
      <c r="C9" s="64">
        <v>17.46</v>
      </c>
      <c r="D9" s="64">
        <v>35.92</v>
      </c>
      <c r="E9" s="64">
        <v>6.13</v>
      </c>
      <c r="F9" s="64">
        <v>4.53</v>
      </c>
      <c r="G9" s="64">
        <v>88.11</v>
      </c>
      <c r="H9" s="64">
        <v>34.15</v>
      </c>
      <c r="I9" s="64">
        <v>5.45</v>
      </c>
      <c r="J9" s="64">
        <v>1.52</v>
      </c>
      <c r="K9" s="64">
        <v>343.17</v>
      </c>
      <c r="L9" s="64">
        <v>23.71</v>
      </c>
      <c r="M9" s="64">
        <v>81.11</v>
      </c>
      <c r="N9" s="64">
        <v>26.1</v>
      </c>
      <c r="O9" s="64">
        <v>0</v>
      </c>
      <c r="P9" s="64">
        <v>1.1399999999999999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2745</v>
      </c>
      <c r="B10" s="64">
        <v>33.19</v>
      </c>
      <c r="C10" s="64">
        <v>17.47</v>
      </c>
      <c r="D10" s="64">
        <v>34.36</v>
      </c>
      <c r="E10" s="64">
        <v>6.49</v>
      </c>
      <c r="F10" s="64">
        <v>5.1100000000000003</v>
      </c>
      <c r="G10" s="64">
        <v>88.11</v>
      </c>
      <c r="H10" s="64">
        <v>34.15</v>
      </c>
      <c r="I10" s="64">
        <v>5.42</v>
      </c>
      <c r="J10" s="64">
        <v>1.9</v>
      </c>
      <c r="K10" s="64">
        <v>341.02</v>
      </c>
      <c r="L10" s="64">
        <v>23.67</v>
      </c>
      <c r="M10" s="64">
        <v>80.2</v>
      </c>
      <c r="N10" s="64">
        <v>26</v>
      </c>
      <c r="O10" s="64">
        <v>0</v>
      </c>
      <c r="P10" s="64">
        <v>1.1100000000000001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2746</v>
      </c>
      <c r="B11" s="64">
        <v>30.68</v>
      </c>
      <c r="C11" s="64">
        <v>17.670000000000002</v>
      </c>
      <c r="D11" s="64">
        <v>32.46</v>
      </c>
      <c r="E11" s="64">
        <v>6.26</v>
      </c>
      <c r="F11" s="64">
        <v>4.34</v>
      </c>
      <c r="G11" s="64">
        <v>81.62</v>
      </c>
      <c r="H11" s="64">
        <v>33.770000000000003</v>
      </c>
      <c r="I11" s="64">
        <v>5.24</v>
      </c>
      <c r="J11" s="64">
        <v>1.94</v>
      </c>
      <c r="K11" s="64">
        <v>341.55</v>
      </c>
      <c r="L11" s="64">
        <v>23.58</v>
      </c>
      <c r="M11" s="64">
        <v>80.430000000000007</v>
      </c>
      <c r="N11" s="64">
        <v>26.1</v>
      </c>
      <c r="O11" s="64">
        <v>0</v>
      </c>
      <c r="P11" s="64">
        <v>1.05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5" t="s">
        <v>2747</v>
      </c>
      <c r="B12" s="64">
        <v>28.52</v>
      </c>
      <c r="C12" s="64">
        <v>15.95</v>
      </c>
      <c r="D12" s="64">
        <v>29.83</v>
      </c>
      <c r="E12" s="64">
        <v>6.46</v>
      </c>
      <c r="F12" s="64">
        <v>3.77</v>
      </c>
      <c r="G12" s="64">
        <v>81.069999999999993</v>
      </c>
      <c r="H12" s="64">
        <v>33.770000000000003</v>
      </c>
      <c r="I12" s="64">
        <v>5.13</v>
      </c>
      <c r="J12" s="64">
        <v>2</v>
      </c>
      <c r="K12" s="64">
        <v>340.61</v>
      </c>
      <c r="L12" s="64">
        <v>23.47</v>
      </c>
      <c r="M12" s="64">
        <v>81.58</v>
      </c>
      <c r="N12" s="64">
        <v>26.1</v>
      </c>
      <c r="O12" s="64">
        <v>0</v>
      </c>
      <c r="P12" s="64">
        <v>0.99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2748</v>
      </c>
      <c r="B13" s="64">
        <v>26.17</v>
      </c>
      <c r="C13" s="64">
        <v>15.07</v>
      </c>
      <c r="D13" s="64">
        <v>27.48</v>
      </c>
      <c r="E13" s="64">
        <v>6.12</v>
      </c>
      <c r="F13" s="64">
        <v>3.87</v>
      </c>
      <c r="G13" s="64">
        <v>81.069999999999993</v>
      </c>
      <c r="H13" s="64">
        <v>33.770000000000003</v>
      </c>
      <c r="I13" s="64">
        <v>4.8099999999999996</v>
      </c>
      <c r="J13" s="64">
        <v>1.95</v>
      </c>
      <c r="K13" s="64">
        <v>340.62</v>
      </c>
      <c r="L13" s="64">
        <v>23.36</v>
      </c>
      <c r="M13" s="64">
        <v>82.5</v>
      </c>
      <c r="N13" s="64">
        <v>26.1</v>
      </c>
      <c r="O13" s="64">
        <v>0</v>
      </c>
      <c r="P13" s="64">
        <v>0.9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2749</v>
      </c>
      <c r="B14" s="64">
        <v>23.88</v>
      </c>
      <c r="C14" s="64">
        <v>14.85</v>
      </c>
      <c r="D14" s="64">
        <v>25.53</v>
      </c>
      <c r="E14" s="64">
        <v>5.81</v>
      </c>
      <c r="F14" s="64">
        <v>3.73</v>
      </c>
      <c r="G14" s="64">
        <v>81.069999999999993</v>
      </c>
      <c r="H14" s="64">
        <v>33.770000000000003</v>
      </c>
      <c r="I14" s="64">
        <v>4.6399999999999997</v>
      </c>
      <c r="J14" s="64">
        <v>2.1</v>
      </c>
      <c r="K14" s="64">
        <v>340.59</v>
      </c>
      <c r="L14" s="64">
        <v>23.27</v>
      </c>
      <c r="M14" s="64">
        <v>82.12</v>
      </c>
      <c r="N14" s="64">
        <v>26.1</v>
      </c>
      <c r="O14" s="64">
        <v>0</v>
      </c>
      <c r="P14" s="64">
        <v>0.87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5" t="s">
        <v>2750</v>
      </c>
      <c r="B15" s="64">
        <v>21.69</v>
      </c>
      <c r="C15" s="64">
        <v>14.52</v>
      </c>
      <c r="D15" s="64">
        <v>23.6</v>
      </c>
      <c r="E15" s="64">
        <v>5.73</v>
      </c>
      <c r="F15" s="64">
        <v>3.54</v>
      </c>
      <c r="G15" s="64">
        <v>66.739999999999995</v>
      </c>
      <c r="H15" s="64">
        <v>28.52</v>
      </c>
      <c r="I15" s="64">
        <v>4.49</v>
      </c>
      <c r="J15" s="64">
        <v>1.62</v>
      </c>
      <c r="K15" s="64">
        <v>341.72</v>
      </c>
      <c r="L15" s="64">
        <v>23.19</v>
      </c>
      <c r="M15" s="64">
        <v>82.08</v>
      </c>
      <c r="N15" s="64">
        <v>26.1</v>
      </c>
      <c r="O15" s="64">
        <v>0</v>
      </c>
      <c r="P15" s="64">
        <v>0.8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5" t="s">
        <v>2751</v>
      </c>
      <c r="B16" s="64">
        <v>19.899999999999999</v>
      </c>
      <c r="C16" s="64">
        <v>14.13</v>
      </c>
      <c r="D16" s="64">
        <v>21.97</v>
      </c>
      <c r="E16" s="64">
        <v>5.66</v>
      </c>
      <c r="F16" s="64">
        <v>3.66</v>
      </c>
      <c r="G16" s="64">
        <v>65.34</v>
      </c>
      <c r="H16" s="64">
        <v>28.52</v>
      </c>
      <c r="I16" s="64">
        <v>4.3</v>
      </c>
      <c r="J16" s="64">
        <v>1.45</v>
      </c>
      <c r="K16" s="64">
        <v>341.62</v>
      </c>
      <c r="L16" s="64">
        <v>23.17</v>
      </c>
      <c r="M16" s="64">
        <v>81.819999999999993</v>
      </c>
      <c r="N16" s="64">
        <v>26.1</v>
      </c>
      <c r="O16" s="64">
        <v>0</v>
      </c>
      <c r="P16" s="64">
        <v>0.72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5" t="s">
        <v>2752</v>
      </c>
      <c r="B17" s="64">
        <v>18.47</v>
      </c>
      <c r="C17" s="64">
        <v>13.3</v>
      </c>
      <c r="D17" s="64">
        <v>20.39</v>
      </c>
      <c r="E17" s="64">
        <v>5.81</v>
      </c>
      <c r="F17" s="64">
        <v>3.49</v>
      </c>
      <c r="G17" s="64">
        <v>65.34</v>
      </c>
      <c r="H17" s="64">
        <v>28.52</v>
      </c>
      <c r="I17" s="64">
        <v>3.83</v>
      </c>
      <c r="J17" s="64">
        <v>1.67</v>
      </c>
      <c r="K17" s="64">
        <v>343.92</v>
      </c>
      <c r="L17" s="64">
        <v>23.02</v>
      </c>
      <c r="M17" s="64">
        <v>83.43</v>
      </c>
      <c r="N17" s="64">
        <v>26.1</v>
      </c>
      <c r="O17" s="64">
        <v>0</v>
      </c>
      <c r="P17" s="64">
        <v>0.77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5" t="s">
        <v>2753</v>
      </c>
      <c r="B18" s="64">
        <v>17.11</v>
      </c>
      <c r="C18" s="64">
        <v>13.04</v>
      </c>
      <c r="D18" s="64">
        <v>19.16</v>
      </c>
      <c r="E18" s="64">
        <v>5.32</v>
      </c>
      <c r="F18" s="64">
        <v>3.42</v>
      </c>
      <c r="G18" s="64">
        <v>65.34</v>
      </c>
      <c r="H18" s="64">
        <v>28.52</v>
      </c>
      <c r="I18" s="64">
        <v>3.55</v>
      </c>
      <c r="J18" s="64">
        <v>1.26</v>
      </c>
      <c r="K18" s="64">
        <v>340.58</v>
      </c>
      <c r="L18" s="64">
        <v>22.99</v>
      </c>
      <c r="M18" s="64">
        <v>84.44</v>
      </c>
      <c r="N18" s="64">
        <v>26.2</v>
      </c>
      <c r="O18" s="64">
        <v>0</v>
      </c>
      <c r="P18" s="64">
        <v>0.74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2754</v>
      </c>
      <c r="B19" s="64">
        <v>16.3</v>
      </c>
      <c r="C19" s="64">
        <v>13.02</v>
      </c>
      <c r="D19" s="64">
        <v>18.5</v>
      </c>
      <c r="E19" s="64">
        <v>5.47</v>
      </c>
      <c r="F19" s="64">
        <v>4.1500000000000004</v>
      </c>
      <c r="G19" s="64">
        <v>61.46</v>
      </c>
      <c r="H19" s="64">
        <v>29.76</v>
      </c>
      <c r="I19" s="64">
        <v>3.87</v>
      </c>
      <c r="J19" s="64">
        <v>1.23</v>
      </c>
      <c r="K19" s="64">
        <v>342.64</v>
      </c>
      <c r="L19" s="64">
        <v>22.76</v>
      </c>
      <c r="M19" s="64">
        <v>87.23</v>
      </c>
      <c r="N19" s="64">
        <v>26.1</v>
      </c>
      <c r="O19" s="64">
        <v>0</v>
      </c>
      <c r="P19" s="64">
        <v>0.75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2755</v>
      </c>
      <c r="B20" s="64">
        <v>15.92</v>
      </c>
      <c r="C20" s="64">
        <v>13.89</v>
      </c>
      <c r="D20" s="64">
        <v>18.649999999999999</v>
      </c>
      <c r="E20" s="64">
        <v>5.99</v>
      </c>
      <c r="F20" s="64">
        <v>4.45</v>
      </c>
      <c r="G20" s="64">
        <v>61.08</v>
      </c>
      <c r="H20" s="64">
        <v>29.76</v>
      </c>
      <c r="I20" s="64">
        <v>3.74</v>
      </c>
      <c r="J20" s="64">
        <v>1.2</v>
      </c>
      <c r="K20" s="64">
        <v>342.52</v>
      </c>
      <c r="L20" s="64">
        <v>22.76</v>
      </c>
      <c r="M20" s="64">
        <v>85.69</v>
      </c>
      <c r="N20" s="64">
        <v>26</v>
      </c>
      <c r="O20" s="64">
        <v>0</v>
      </c>
      <c r="P20" s="64">
        <v>0.77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5" t="s">
        <v>2756</v>
      </c>
      <c r="B21" s="64">
        <v>15.35</v>
      </c>
      <c r="C21" s="64">
        <v>14.08</v>
      </c>
      <c r="D21" s="64">
        <v>18.29</v>
      </c>
      <c r="E21" s="64">
        <v>5.85</v>
      </c>
      <c r="F21" s="64">
        <v>4.7699999999999996</v>
      </c>
      <c r="G21" s="64">
        <v>61.08</v>
      </c>
      <c r="H21" s="64">
        <v>29.76</v>
      </c>
      <c r="I21" s="64">
        <v>4.37</v>
      </c>
      <c r="J21" s="64">
        <v>1.54</v>
      </c>
      <c r="K21" s="64">
        <v>343.04</v>
      </c>
      <c r="L21" s="64">
        <v>22.76</v>
      </c>
      <c r="M21" s="64">
        <v>85.21</v>
      </c>
      <c r="N21" s="64">
        <v>26</v>
      </c>
      <c r="O21" s="64">
        <v>0</v>
      </c>
      <c r="P21" s="64">
        <v>0.76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2757</v>
      </c>
      <c r="B22" s="64">
        <v>14.6</v>
      </c>
      <c r="C22" s="64">
        <v>14.29</v>
      </c>
      <c r="D22" s="64">
        <v>17.79</v>
      </c>
      <c r="E22" s="64">
        <v>5.94</v>
      </c>
      <c r="F22" s="64">
        <v>3.86</v>
      </c>
      <c r="G22" s="64">
        <v>61.08</v>
      </c>
      <c r="H22" s="64">
        <v>29.76</v>
      </c>
      <c r="I22" s="64">
        <v>4.6900000000000004</v>
      </c>
      <c r="J22" s="64">
        <v>1.44</v>
      </c>
      <c r="K22" s="64">
        <v>343.34</v>
      </c>
      <c r="L22" s="64">
        <v>22.65</v>
      </c>
      <c r="M22" s="64">
        <v>85.4</v>
      </c>
      <c r="N22" s="64">
        <v>26.1</v>
      </c>
      <c r="O22" s="64">
        <v>0</v>
      </c>
      <c r="P22" s="64">
        <v>0.76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5" t="s">
        <v>2758</v>
      </c>
      <c r="B23" s="64">
        <v>13.77</v>
      </c>
      <c r="C23" s="64">
        <v>14.14</v>
      </c>
      <c r="D23" s="64">
        <v>17.059999999999999</v>
      </c>
      <c r="E23" s="64">
        <v>5.97</v>
      </c>
      <c r="F23" s="64">
        <v>3.43</v>
      </c>
      <c r="G23" s="64">
        <v>73.08</v>
      </c>
      <c r="H23" s="64">
        <v>35.729999999999997</v>
      </c>
      <c r="I23" s="64">
        <v>4.5999999999999996</v>
      </c>
      <c r="J23" s="64">
        <v>1.19</v>
      </c>
      <c r="K23" s="64">
        <v>343.44</v>
      </c>
      <c r="L23" s="64">
        <v>22.57</v>
      </c>
      <c r="M23" s="64">
        <v>85.88</v>
      </c>
      <c r="N23" s="64">
        <v>26.1</v>
      </c>
      <c r="O23" s="64">
        <v>0</v>
      </c>
      <c r="P23" s="64">
        <v>0.75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2759</v>
      </c>
      <c r="B24" s="64">
        <v>13.2</v>
      </c>
      <c r="C24" s="64">
        <v>13.84</v>
      </c>
      <c r="D24" s="64">
        <v>16.440000000000001</v>
      </c>
      <c r="E24" s="64">
        <v>4.47</v>
      </c>
      <c r="F24" s="64">
        <v>4.28</v>
      </c>
      <c r="G24" s="64">
        <v>74.25</v>
      </c>
      <c r="H24" s="64">
        <v>35.729999999999997</v>
      </c>
      <c r="I24" s="64">
        <v>4.58</v>
      </c>
      <c r="J24" s="64">
        <v>1.21</v>
      </c>
      <c r="K24" s="64">
        <v>341.09</v>
      </c>
      <c r="L24" s="64">
        <v>22.55</v>
      </c>
      <c r="M24" s="64">
        <v>86.31</v>
      </c>
      <c r="N24" s="64">
        <v>26.1</v>
      </c>
      <c r="O24" s="64">
        <v>0</v>
      </c>
      <c r="P24" s="64">
        <v>0.74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5" t="s">
        <v>2760</v>
      </c>
      <c r="B25" s="64">
        <v>12.9</v>
      </c>
      <c r="C25" s="64">
        <v>13.73</v>
      </c>
      <c r="D25" s="64">
        <v>16.14</v>
      </c>
      <c r="E25" s="64">
        <v>5.15</v>
      </c>
      <c r="F25" s="64">
        <v>4.05</v>
      </c>
      <c r="G25" s="64">
        <v>74.25</v>
      </c>
      <c r="H25" s="64">
        <v>35.729999999999997</v>
      </c>
      <c r="I25" s="64">
        <v>4.59</v>
      </c>
      <c r="J25" s="64">
        <v>0.9</v>
      </c>
      <c r="K25" s="64">
        <v>340.95</v>
      </c>
      <c r="L25" s="64">
        <v>22.43</v>
      </c>
      <c r="M25" s="64">
        <v>87.48</v>
      </c>
      <c r="N25" s="64">
        <v>26.1</v>
      </c>
      <c r="O25" s="64">
        <v>0</v>
      </c>
      <c r="P25" s="64">
        <v>0.73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2761</v>
      </c>
      <c r="B26" s="64">
        <v>12.69</v>
      </c>
      <c r="C26" s="64">
        <v>13.64</v>
      </c>
      <c r="D26" s="64">
        <v>15.93</v>
      </c>
      <c r="E26" s="64">
        <v>5.09</v>
      </c>
      <c r="F26" s="64">
        <v>3.89</v>
      </c>
      <c r="G26" s="64">
        <v>74.25</v>
      </c>
      <c r="H26" s="64">
        <v>35.729999999999997</v>
      </c>
      <c r="I26" s="64">
        <v>4.34</v>
      </c>
      <c r="J26" s="64">
        <v>1.36</v>
      </c>
      <c r="K26" s="64">
        <v>341.18</v>
      </c>
      <c r="L26" s="64">
        <v>22.36</v>
      </c>
      <c r="M26" s="64">
        <v>88.68</v>
      </c>
      <c r="N26" s="64">
        <v>26.1</v>
      </c>
      <c r="O26" s="64">
        <v>0</v>
      </c>
      <c r="P26" s="64">
        <v>0.73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2762</v>
      </c>
      <c r="B27" s="64">
        <v>12.92</v>
      </c>
      <c r="C27" s="64">
        <v>13.6</v>
      </c>
      <c r="D27" s="64">
        <v>16.09</v>
      </c>
      <c r="E27" s="64">
        <v>4.83</v>
      </c>
      <c r="F27" s="64">
        <v>3.51</v>
      </c>
      <c r="G27" s="64">
        <v>73.61</v>
      </c>
      <c r="H27" s="64">
        <v>34.479999999999997</v>
      </c>
      <c r="I27" s="64">
        <v>4.51</v>
      </c>
      <c r="J27" s="64">
        <v>0.95</v>
      </c>
      <c r="K27" s="64">
        <v>338.14</v>
      </c>
      <c r="L27" s="64">
        <v>22.28</v>
      </c>
      <c r="M27" s="64">
        <v>89.96</v>
      </c>
      <c r="N27" s="64">
        <v>26.1</v>
      </c>
      <c r="O27" s="64">
        <v>0</v>
      </c>
      <c r="P27" s="64">
        <v>0.71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2763</v>
      </c>
      <c r="B28" s="64">
        <v>13.64</v>
      </c>
      <c r="C28" s="64">
        <v>13.39</v>
      </c>
      <c r="D28" s="64">
        <v>16.559999999999999</v>
      </c>
      <c r="E28" s="64">
        <v>5.04</v>
      </c>
      <c r="F28" s="64">
        <v>3.08</v>
      </c>
      <c r="G28" s="64">
        <v>73.56</v>
      </c>
      <c r="H28" s="64">
        <v>34.479999999999997</v>
      </c>
      <c r="I28" s="64">
        <v>4.3099999999999996</v>
      </c>
      <c r="J28" s="64">
        <v>0.69</v>
      </c>
      <c r="K28" s="64">
        <v>339.8</v>
      </c>
      <c r="L28" s="64">
        <v>22.02</v>
      </c>
      <c r="M28" s="64">
        <v>91.65</v>
      </c>
      <c r="N28" s="64">
        <v>26.2</v>
      </c>
      <c r="O28" s="64">
        <v>0</v>
      </c>
      <c r="P28" s="64">
        <v>0.66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5" t="s">
        <v>2764</v>
      </c>
      <c r="B29" s="64">
        <v>14.36</v>
      </c>
      <c r="C29" s="64">
        <v>11.82</v>
      </c>
      <c r="D29" s="64">
        <v>16.309999999999999</v>
      </c>
      <c r="E29" s="64">
        <v>4.6900000000000004</v>
      </c>
      <c r="F29" s="64">
        <v>3.76</v>
      </c>
      <c r="G29" s="64">
        <v>73.56</v>
      </c>
      <c r="H29" s="64">
        <v>34.479999999999997</v>
      </c>
      <c r="I29" s="64">
        <v>4.38</v>
      </c>
      <c r="J29" s="64">
        <v>1.08</v>
      </c>
      <c r="K29" s="64">
        <v>344.19</v>
      </c>
      <c r="L29" s="64">
        <v>21.99</v>
      </c>
      <c r="M29" s="64">
        <v>92.77</v>
      </c>
      <c r="N29" s="64">
        <v>26</v>
      </c>
      <c r="O29" s="64">
        <v>0</v>
      </c>
      <c r="P29" s="64">
        <v>0.66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5" t="s">
        <v>2765</v>
      </c>
      <c r="B30" s="64">
        <v>15.17</v>
      </c>
      <c r="C30" s="64">
        <v>11.25</v>
      </c>
      <c r="D30" s="64">
        <v>16.66</v>
      </c>
      <c r="E30" s="64">
        <v>5.0599999999999996</v>
      </c>
      <c r="F30" s="64">
        <v>3.72</v>
      </c>
      <c r="G30" s="64">
        <v>73.56</v>
      </c>
      <c r="H30" s="64">
        <v>34.479999999999997</v>
      </c>
      <c r="I30" s="64">
        <v>3.63</v>
      </c>
      <c r="J30" s="64">
        <v>1.6</v>
      </c>
      <c r="K30" s="64">
        <v>340.26</v>
      </c>
      <c r="L30" s="64">
        <v>22.22</v>
      </c>
      <c r="M30" s="64">
        <v>91.4</v>
      </c>
      <c r="N30" s="64">
        <v>25.6</v>
      </c>
      <c r="O30" s="64">
        <v>0</v>
      </c>
      <c r="P30" s="64">
        <v>0.7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2766</v>
      </c>
      <c r="B31" s="64">
        <v>16.09</v>
      </c>
      <c r="C31" s="64">
        <v>11.55</v>
      </c>
      <c r="D31" s="64">
        <v>17.559999999999999</v>
      </c>
      <c r="E31" s="64">
        <v>5.29</v>
      </c>
      <c r="F31" s="64">
        <v>4.12</v>
      </c>
      <c r="G31" s="64">
        <v>76.319999999999993</v>
      </c>
      <c r="H31" s="64">
        <v>36.409999999999997</v>
      </c>
      <c r="I31" s="64">
        <v>3.62</v>
      </c>
      <c r="J31" s="64">
        <v>1.56</v>
      </c>
      <c r="K31" s="64">
        <v>339.36</v>
      </c>
      <c r="L31" s="64">
        <v>22.22</v>
      </c>
      <c r="M31" s="64">
        <v>91.93</v>
      </c>
      <c r="N31" s="64">
        <v>26.1</v>
      </c>
      <c r="O31" s="64">
        <v>0</v>
      </c>
      <c r="P31" s="64">
        <v>0.71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2767</v>
      </c>
      <c r="B32" s="64">
        <v>16.95</v>
      </c>
      <c r="C32" s="64">
        <v>11.63</v>
      </c>
      <c r="D32" s="64">
        <v>18.29</v>
      </c>
      <c r="E32" s="64">
        <v>5.43</v>
      </c>
      <c r="F32" s="64">
        <v>3.95</v>
      </c>
      <c r="G32" s="64">
        <v>76.59</v>
      </c>
      <c r="H32" s="64">
        <v>36.409999999999997</v>
      </c>
      <c r="I32" s="64">
        <v>3.9</v>
      </c>
      <c r="J32" s="64">
        <v>1.49</v>
      </c>
      <c r="K32" s="64">
        <v>340.93</v>
      </c>
      <c r="L32" s="64">
        <v>22.18</v>
      </c>
      <c r="M32" s="64">
        <v>92.52</v>
      </c>
      <c r="N32" s="64">
        <v>26.8</v>
      </c>
      <c r="O32" s="64">
        <v>0</v>
      </c>
      <c r="P32" s="64">
        <v>0.72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2768</v>
      </c>
      <c r="B33" s="64">
        <v>17.79</v>
      </c>
      <c r="C33" s="64">
        <v>11.44</v>
      </c>
      <c r="D33" s="64">
        <v>18.86</v>
      </c>
      <c r="E33" s="64">
        <v>5.86</v>
      </c>
      <c r="F33" s="64">
        <v>3.57</v>
      </c>
      <c r="G33" s="64">
        <v>76.59</v>
      </c>
      <c r="H33" s="64">
        <v>36.409999999999997</v>
      </c>
      <c r="I33" s="64">
        <v>3.98</v>
      </c>
      <c r="J33" s="64">
        <v>0.85</v>
      </c>
      <c r="K33" s="64">
        <v>344.65</v>
      </c>
      <c r="L33" s="64">
        <v>22.12</v>
      </c>
      <c r="M33" s="64">
        <v>92.73</v>
      </c>
      <c r="N33" s="64">
        <v>30.4</v>
      </c>
      <c r="O33" s="64">
        <v>0</v>
      </c>
      <c r="P33" s="64">
        <v>0.71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5" t="s">
        <v>2769</v>
      </c>
      <c r="B34" s="64">
        <v>19.149999999999999</v>
      </c>
      <c r="C34" s="64">
        <v>11.18</v>
      </c>
      <c r="D34" s="64">
        <v>19.82</v>
      </c>
      <c r="E34" s="64">
        <v>5.6</v>
      </c>
      <c r="F34" s="64">
        <v>3.22</v>
      </c>
      <c r="G34" s="64">
        <v>76.59</v>
      </c>
      <c r="H34" s="64">
        <v>36.409999999999997</v>
      </c>
      <c r="I34" s="64">
        <v>4.04</v>
      </c>
      <c r="J34" s="64">
        <v>1.01</v>
      </c>
      <c r="K34" s="64">
        <v>341.48</v>
      </c>
      <c r="L34" s="64">
        <v>22.05</v>
      </c>
      <c r="M34" s="64">
        <v>94.19</v>
      </c>
      <c r="N34" s="64">
        <v>41.4</v>
      </c>
      <c r="O34" s="64">
        <v>0</v>
      </c>
      <c r="P34" s="64">
        <v>0.84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2770</v>
      </c>
      <c r="B35" s="64">
        <v>21.31</v>
      </c>
      <c r="C35" s="64">
        <v>10.93</v>
      </c>
      <c r="D35" s="64">
        <v>21.42</v>
      </c>
      <c r="E35" s="64">
        <v>5.9</v>
      </c>
      <c r="F35" s="64">
        <v>3.21</v>
      </c>
      <c r="G35" s="64">
        <v>76.319999999999993</v>
      </c>
      <c r="H35" s="64">
        <v>39.25</v>
      </c>
      <c r="I35" s="64">
        <v>3.87</v>
      </c>
      <c r="J35" s="64">
        <v>1.29</v>
      </c>
      <c r="K35" s="64">
        <v>340.28</v>
      </c>
      <c r="L35" s="64">
        <v>22.49</v>
      </c>
      <c r="M35" s="64">
        <v>91.64</v>
      </c>
      <c r="N35" s="64">
        <v>57.7</v>
      </c>
      <c r="O35" s="64">
        <v>0</v>
      </c>
      <c r="P35" s="64">
        <v>0.8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5" t="s">
        <v>2771</v>
      </c>
      <c r="B36" s="64">
        <v>23.24</v>
      </c>
      <c r="C36" s="64">
        <v>11.43</v>
      </c>
      <c r="D36" s="64">
        <v>23.23</v>
      </c>
      <c r="E36" s="64">
        <v>5.63</v>
      </c>
      <c r="F36" s="64">
        <v>3.63</v>
      </c>
      <c r="G36" s="64">
        <v>76.3</v>
      </c>
      <c r="H36" s="64">
        <v>39.25</v>
      </c>
      <c r="I36" s="64">
        <v>4.1399999999999997</v>
      </c>
      <c r="J36" s="64">
        <v>1.4</v>
      </c>
      <c r="K36" s="64">
        <v>333.97</v>
      </c>
      <c r="L36" s="64">
        <v>22.93</v>
      </c>
      <c r="M36" s="64">
        <v>90.11</v>
      </c>
      <c r="N36" s="64">
        <v>80.7</v>
      </c>
      <c r="O36" s="64">
        <v>0</v>
      </c>
      <c r="P36" s="64">
        <v>0.76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5" t="s">
        <v>2772</v>
      </c>
      <c r="B37" s="64">
        <v>24.8</v>
      </c>
      <c r="C37" s="64">
        <v>12.11</v>
      </c>
      <c r="D37" s="64">
        <v>24.84</v>
      </c>
      <c r="E37" s="64">
        <v>5.85</v>
      </c>
      <c r="F37" s="64">
        <v>3.73</v>
      </c>
      <c r="G37" s="64">
        <v>76.3</v>
      </c>
      <c r="H37" s="64">
        <v>39.25</v>
      </c>
      <c r="I37" s="64">
        <v>4.55</v>
      </c>
      <c r="J37" s="64">
        <v>1.38</v>
      </c>
      <c r="K37" s="64">
        <v>336.04</v>
      </c>
      <c r="L37" s="64">
        <v>23.84</v>
      </c>
      <c r="M37" s="64">
        <v>85.86</v>
      </c>
      <c r="N37" s="64">
        <v>151.80000000000001</v>
      </c>
      <c r="O37" s="64">
        <v>0</v>
      </c>
      <c r="P37" s="64">
        <v>0.76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2773</v>
      </c>
      <c r="B38" s="64">
        <v>25.98</v>
      </c>
      <c r="C38" s="64">
        <v>12.61</v>
      </c>
      <c r="D38" s="64">
        <v>26.04</v>
      </c>
      <c r="E38" s="64">
        <v>6.03</v>
      </c>
      <c r="F38" s="64">
        <v>4.2</v>
      </c>
      <c r="G38" s="64">
        <v>76.3</v>
      </c>
      <c r="H38" s="64">
        <v>39.25</v>
      </c>
      <c r="I38" s="64">
        <v>4.95</v>
      </c>
      <c r="J38" s="64">
        <v>1.43</v>
      </c>
      <c r="K38" s="64">
        <v>342.96</v>
      </c>
      <c r="L38" s="64">
        <v>26.12</v>
      </c>
      <c r="M38" s="64">
        <v>75.099999999999994</v>
      </c>
      <c r="N38" s="64">
        <v>202.9</v>
      </c>
      <c r="O38" s="64">
        <v>0</v>
      </c>
      <c r="P38" s="64">
        <v>0.79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2774</v>
      </c>
      <c r="B39" s="64">
        <v>27.15</v>
      </c>
      <c r="C39" s="64">
        <v>13.04</v>
      </c>
      <c r="D39" s="64">
        <v>27.2</v>
      </c>
      <c r="E39" s="64">
        <v>6.5</v>
      </c>
      <c r="F39" s="64">
        <v>4.6500000000000004</v>
      </c>
      <c r="G39" s="64">
        <v>90.83</v>
      </c>
      <c r="H39" s="64">
        <v>42.88</v>
      </c>
      <c r="I39" s="64">
        <v>5.04</v>
      </c>
      <c r="J39" s="64">
        <v>1.74</v>
      </c>
      <c r="K39" s="64">
        <v>340.61</v>
      </c>
      <c r="L39" s="64">
        <v>27.82</v>
      </c>
      <c r="M39" s="64">
        <v>68.31</v>
      </c>
      <c r="N39" s="64">
        <v>261.7</v>
      </c>
      <c r="O39" s="64">
        <v>0</v>
      </c>
      <c r="P39" s="64">
        <v>0.8</v>
      </c>
      <c r="Q39" s="64">
        <v>9.61</v>
      </c>
      <c r="R39" s="198"/>
      <c r="S39" s="198"/>
      <c r="T39" s="198"/>
      <c r="U39" s="198"/>
    </row>
    <row r="40" spans="1:21" s="12" customFormat="1" x14ac:dyDescent="0.25">
      <c r="A40" s="215" t="s">
        <v>2775</v>
      </c>
      <c r="B40" s="64">
        <v>28.4</v>
      </c>
      <c r="C40" s="64">
        <v>13.77</v>
      </c>
      <c r="D40" s="64">
        <v>28.59</v>
      </c>
      <c r="E40" s="64">
        <v>7.09</v>
      </c>
      <c r="F40" s="64">
        <v>4.6399999999999997</v>
      </c>
      <c r="G40" s="64">
        <v>92.06</v>
      </c>
      <c r="H40" s="64">
        <v>42.88</v>
      </c>
      <c r="I40" s="64">
        <v>5.0199999999999996</v>
      </c>
      <c r="J40" s="64">
        <v>1.69</v>
      </c>
      <c r="K40" s="64">
        <v>341.45</v>
      </c>
      <c r="L40" s="64">
        <v>28.96</v>
      </c>
      <c r="M40" s="64">
        <v>63.79</v>
      </c>
      <c r="N40" s="64">
        <v>314.39999999999998</v>
      </c>
      <c r="O40" s="64">
        <v>0</v>
      </c>
      <c r="P40" s="64">
        <v>0.81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2776</v>
      </c>
      <c r="B41" s="64">
        <v>29.18</v>
      </c>
      <c r="C41" s="64">
        <v>14.54</v>
      </c>
      <c r="D41" s="64">
        <v>29.62</v>
      </c>
      <c r="E41" s="64">
        <v>6.54</v>
      </c>
      <c r="F41" s="64">
        <v>4.25</v>
      </c>
      <c r="G41" s="64">
        <v>92.06</v>
      </c>
      <c r="H41" s="64">
        <v>42.88</v>
      </c>
      <c r="I41" s="64">
        <v>4.78</v>
      </c>
      <c r="J41" s="64">
        <v>1.67</v>
      </c>
      <c r="K41" s="64">
        <v>332.3</v>
      </c>
      <c r="L41" s="64">
        <v>30.21</v>
      </c>
      <c r="M41" s="64">
        <v>59.8</v>
      </c>
      <c r="N41" s="64">
        <v>346.2</v>
      </c>
      <c r="O41" s="64">
        <v>0</v>
      </c>
      <c r="P41" s="64">
        <v>0.82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5" t="s">
        <v>2777</v>
      </c>
      <c r="B42" s="64">
        <v>29.33</v>
      </c>
      <c r="C42" s="64">
        <v>15.29</v>
      </c>
      <c r="D42" s="64">
        <v>30.13</v>
      </c>
      <c r="E42" s="64">
        <v>6.48</v>
      </c>
      <c r="F42" s="64">
        <v>4.1500000000000004</v>
      </c>
      <c r="G42" s="64">
        <v>92.06</v>
      </c>
      <c r="H42" s="64">
        <v>42.88</v>
      </c>
      <c r="I42" s="64">
        <v>4.6100000000000003</v>
      </c>
      <c r="J42" s="64">
        <v>1.9</v>
      </c>
      <c r="K42" s="64">
        <v>338.47</v>
      </c>
      <c r="L42" s="64">
        <v>30.84</v>
      </c>
      <c r="M42" s="64">
        <v>58.15</v>
      </c>
      <c r="N42" s="64">
        <v>405.4</v>
      </c>
      <c r="O42" s="64">
        <v>0</v>
      </c>
      <c r="P42" s="64">
        <v>0.82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2778</v>
      </c>
      <c r="B43" s="64">
        <v>28.42</v>
      </c>
      <c r="C43" s="64">
        <v>15.72</v>
      </c>
      <c r="D43" s="64">
        <v>29.63</v>
      </c>
      <c r="E43" s="64">
        <v>6.23</v>
      </c>
      <c r="F43" s="64">
        <v>4.55</v>
      </c>
      <c r="G43" s="64">
        <v>94.62</v>
      </c>
      <c r="H43" s="64">
        <v>41.35</v>
      </c>
      <c r="I43" s="64">
        <v>4.5</v>
      </c>
      <c r="J43" s="64">
        <v>2.06</v>
      </c>
      <c r="K43" s="64">
        <v>340.94</v>
      </c>
      <c r="L43" s="64">
        <v>31.29</v>
      </c>
      <c r="M43" s="64">
        <v>56.44</v>
      </c>
      <c r="N43" s="64">
        <v>479</v>
      </c>
      <c r="O43" s="64">
        <v>0</v>
      </c>
      <c r="P43" s="64">
        <v>0.8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2779</v>
      </c>
      <c r="B44" s="64">
        <v>26.97</v>
      </c>
      <c r="C44" s="64">
        <v>16.88</v>
      </c>
      <c r="D44" s="64">
        <v>29.07</v>
      </c>
      <c r="E44" s="64">
        <v>6.03</v>
      </c>
      <c r="F44" s="64">
        <v>4.49</v>
      </c>
      <c r="G44" s="64">
        <v>94.87</v>
      </c>
      <c r="H44" s="64">
        <v>41.35</v>
      </c>
      <c r="I44" s="64">
        <v>4.3499999999999996</v>
      </c>
      <c r="J44" s="64">
        <v>1.67</v>
      </c>
      <c r="K44" s="64">
        <v>335.49</v>
      </c>
      <c r="L44" s="64">
        <v>30.5</v>
      </c>
      <c r="M44" s="64">
        <v>62.51</v>
      </c>
      <c r="N44" s="64">
        <v>523.70000000000005</v>
      </c>
      <c r="O44" s="64">
        <v>0</v>
      </c>
      <c r="P44" s="64">
        <v>0.78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2780</v>
      </c>
      <c r="B45" s="64">
        <v>26.05</v>
      </c>
      <c r="C45" s="64">
        <v>16.89</v>
      </c>
      <c r="D45" s="64">
        <v>28.34</v>
      </c>
      <c r="E45" s="64">
        <v>5.76</v>
      </c>
      <c r="F45" s="64">
        <v>3.47</v>
      </c>
      <c r="G45" s="64">
        <v>94.87</v>
      </c>
      <c r="H45" s="64">
        <v>41.35</v>
      </c>
      <c r="I45" s="64">
        <v>4.22</v>
      </c>
      <c r="J45" s="64">
        <v>1.44</v>
      </c>
      <c r="K45" s="64">
        <v>337.98</v>
      </c>
      <c r="L45" s="64">
        <v>30.05</v>
      </c>
      <c r="M45" s="64">
        <v>64.709999999999994</v>
      </c>
      <c r="N45" s="64">
        <v>471.2</v>
      </c>
      <c r="O45" s="64">
        <v>0</v>
      </c>
      <c r="P45" s="64">
        <v>0.75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5" t="s">
        <v>2781</v>
      </c>
      <c r="B46" s="64">
        <v>25.48</v>
      </c>
      <c r="C46" s="64">
        <v>15.6</v>
      </c>
      <c r="D46" s="64">
        <v>27.21</v>
      </c>
      <c r="E46" s="64">
        <v>5.68</v>
      </c>
      <c r="F46" s="64">
        <v>4.4800000000000004</v>
      </c>
      <c r="G46" s="64">
        <v>94.87</v>
      </c>
      <c r="H46" s="64">
        <v>41.35</v>
      </c>
      <c r="I46" s="64">
        <v>4.1100000000000003</v>
      </c>
      <c r="J46" s="64">
        <v>0.55000000000000004</v>
      </c>
      <c r="K46" s="64">
        <v>328.94</v>
      </c>
      <c r="L46" s="64">
        <v>27.43</v>
      </c>
      <c r="M46" s="64">
        <v>76.56</v>
      </c>
      <c r="N46" s="64">
        <v>222.3</v>
      </c>
      <c r="O46" s="64">
        <v>0</v>
      </c>
      <c r="P46" s="64">
        <v>0.68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2782</v>
      </c>
      <c r="B47" s="64">
        <v>24.85</v>
      </c>
      <c r="C47" s="64">
        <v>14.94</v>
      </c>
      <c r="D47" s="64">
        <v>26.36</v>
      </c>
      <c r="E47" s="64">
        <v>5.6</v>
      </c>
      <c r="F47" s="64">
        <v>3.46</v>
      </c>
      <c r="G47" s="64">
        <v>81.290000000000006</v>
      </c>
      <c r="H47" s="64">
        <v>38.270000000000003</v>
      </c>
      <c r="I47" s="64">
        <v>3.69</v>
      </c>
      <c r="J47" s="64">
        <v>0.33</v>
      </c>
      <c r="K47" s="64">
        <v>2.15</v>
      </c>
      <c r="L47" s="64">
        <v>26.5</v>
      </c>
      <c r="M47" s="64">
        <v>77.95</v>
      </c>
      <c r="N47" s="64">
        <v>186</v>
      </c>
      <c r="O47" s="64">
        <v>0</v>
      </c>
      <c r="P47" s="64">
        <v>0.7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2783</v>
      </c>
      <c r="B48" s="64">
        <v>24.48</v>
      </c>
      <c r="C48" s="64">
        <v>14.73</v>
      </c>
      <c r="D48" s="64">
        <v>25.95</v>
      </c>
      <c r="E48" s="64">
        <v>5.5</v>
      </c>
      <c r="F48" s="64">
        <v>3.95</v>
      </c>
      <c r="G48" s="64">
        <v>80.150000000000006</v>
      </c>
      <c r="H48" s="64">
        <v>38.270000000000003</v>
      </c>
      <c r="I48" s="64">
        <v>3.38</v>
      </c>
      <c r="J48" s="64">
        <v>0.92</v>
      </c>
      <c r="K48" s="64">
        <v>341.61</v>
      </c>
      <c r="L48" s="64">
        <v>26.53</v>
      </c>
      <c r="M48" s="64">
        <v>76.73</v>
      </c>
      <c r="N48" s="64">
        <v>253.7</v>
      </c>
      <c r="O48" s="64">
        <v>0</v>
      </c>
      <c r="P48" s="64">
        <v>0.68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2784</v>
      </c>
      <c r="B49" s="64">
        <v>23.94</v>
      </c>
      <c r="C49" s="64">
        <v>14.69</v>
      </c>
      <c r="D49" s="64">
        <v>25.5</v>
      </c>
      <c r="E49" s="64">
        <v>5.42</v>
      </c>
      <c r="F49" s="64">
        <v>4.28</v>
      </c>
      <c r="G49" s="64">
        <v>80.150000000000006</v>
      </c>
      <c r="H49" s="64">
        <v>38.270000000000003</v>
      </c>
      <c r="I49" s="64">
        <v>3.41</v>
      </c>
      <c r="J49" s="64">
        <v>1.39</v>
      </c>
      <c r="K49" s="64">
        <v>341.25</v>
      </c>
      <c r="L49" s="64">
        <v>27.61</v>
      </c>
      <c r="M49" s="64">
        <v>72.650000000000006</v>
      </c>
      <c r="N49" s="64">
        <v>257</v>
      </c>
      <c r="O49" s="64">
        <v>0</v>
      </c>
      <c r="P49" s="64">
        <v>0.68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2785</v>
      </c>
      <c r="B50" s="64">
        <v>23.21</v>
      </c>
      <c r="C50" s="64">
        <v>14.71</v>
      </c>
      <c r="D50" s="64">
        <v>24.92</v>
      </c>
      <c r="E50" s="64">
        <v>4.8899999999999997</v>
      </c>
      <c r="F50" s="64">
        <v>4.2</v>
      </c>
      <c r="G50" s="64">
        <v>80.150000000000006</v>
      </c>
      <c r="H50" s="64">
        <v>38.270000000000003</v>
      </c>
      <c r="I50" s="64">
        <v>3.84</v>
      </c>
      <c r="J50" s="64">
        <v>0.44</v>
      </c>
      <c r="K50" s="64">
        <v>67.3</v>
      </c>
      <c r="L50" s="64">
        <v>27.75</v>
      </c>
      <c r="M50" s="64">
        <v>72.569999999999993</v>
      </c>
      <c r="N50" s="64">
        <v>257.8</v>
      </c>
      <c r="O50" s="64">
        <v>0</v>
      </c>
      <c r="P50" s="64">
        <v>0.65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5" t="s">
        <v>2786</v>
      </c>
      <c r="B51" s="64">
        <v>22.43</v>
      </c>
      <c r="C51" s="64">
        <v>14.42</v>
      </c>
      <c r="D51" s="64">
        <v>24.14</v>
      </c>
      <c r="E51" s="64">
        <v>5.32</v>
      </c>
      <c r="F51" s="64">
        <v>3.56</v>
      </c>
      <c r="G51" s="64">
        <v>61.4</v>
      </c>
      <c r="H51" s="64">
        <v>30.12</v>
      </c>
      <c r="I51" s="64">
        <v>4.07</v>
      </c>
      <c r="J51" s="64">
        <v>0.35</v>
      </c>
      <c r="K51" s="64">
        <v>74</v>
      </c>
      <c r="L51" s="64">
        <v>26.51</v>
      </c>
      <c r="M51" s="64">
        <v>78.34</v>
      </c>
      <c r="N51" s="64">
        <v>224.6</v>
      </c>
      <c r="O51" s="64">
        <v>0</v>
      </c>
      <c r="P51" s="64">
        <v>0.57999999999999996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5" t="s">
        <v>2787</v>
      </c>
      <c r="B52" s="64">
        <v>21.52</v>
      </c>
      <c r="C52" s="64">
        <v>13.95</v>
      </c>
      <c r="D52" s="64">
        <v>23.17</v>
      </c>
      <c r="E52" s="64">
        <v>4.92</v>
      </c>
      <c r="F52" s="64">
        <v>3.3</v>
      </c>
      <c r="G52" s="64">
        <v>59.82</v>
      </c>
      <c r="H52" s="64">
        <v>30.12</v>
      </c>
      <c r="I52" s="64">
        <v>3.66</v>
      </c>
      <c r="J52" s="64">
        <v>0.26</v>
      </c>
      <c r="K52" s="64">
        <v>24.62</v>
      </c>
      <c r="L52" s="64">
        <v>27.07</v>
      </c>
      <c r="M52" s="64">
        <v>75.099999999999994</v>
      </c>
      <c r="N52" s="64">
        <v>221.7</v>
      </c>
      <c r="O52" s="64">
        <v>0</v>
      </c>
      <c r="P52" s="64">
        <v>0.66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2788</v>
      </c>
      <c r="B53" s="64">
        <v>20.91</v>
      </c>
      <c r="C53" s="64">
        <v>14.86</v>
      </c>
      <c r="D53" s="64">
        <v>23.15</v>
      </c>
      <c r="E53" s="64">
        <v>5.37</v>
      </c>
      <c r="F53" s="64">
        <v>3.73</v>
      </c>
      <c r="G53" s="64">
        <v>59.82</v>
      </c>
      <c r="H53" s="64">
        <v>30.12</v>
      </c>
      <c r="I53" s="64">
        <v>3.28</v>
      </c>
      <c r="J53" s="64">
        <v>1.02</v>
      </c>
      <c r="K53" s="64">
        <v>348.87</v>
      </c>
      <c r="L53" s="64">
        <v>28.21</v>
      </c>
      <c r="M53" s="64">
        <v>70.08</v>
      </c>
      <c r="N53" s="64">
        <v>210</v>
      </c>
      <c r="O53" s="64">
        <v>0</v>
      </c>
      <c r="P53" s="64">
        <v>0.7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2789</v>
      </c>
      <c r="B54" s="64">
        <v>20.65</v>
      </c>
      <c r="C54" s="64">
        <v>15.23</v>
      </c>
      <c r="D54" s="64">
        <v>23.14</v>
      </c>
      <c r="E54" s="64">
        <v>5.6</v>
      </c>
      <c r="F54" s="64">
        <v>3.58</v>
      </c>
      <c r="G54" s="64">
        <v>59.82</v>
      </c>
      <c r="H54" s="64">
        <v>30.12</v>
      </c>
      <c r="I54" s="64">
        <v>4.6900000000000004</v>
      </c>
      <c r="J54" s="64">
        <v>0.27</v>
      </c>
      <c r="K54" s="64">
        <v>99.47</v>
      </c>
      <c r="L54" s="64">
        <v>27.74</v>
      </c>
      <c r="M54" s="64">
        <v>72.260000000000005</v>
      </c>
      <c r="N54" s="64">
        <v>236.7</v>
      </c>
      <c r="O54" s="64">
        <v>0</v>
      </c>
      <c r="P54" s="64">
        <v>0.72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5" t="s">
        <v>2790</v>
      </c>
      <c r="B55" s="64">
        <v>19.84</v>
      </c>
      <c r="C55" s="64">
        <v>15.31</v>
      </c>
      <c r="D55" s="64">
        <v>22.54</v>
      </c>
      <c r="E55" s="64">
        <v>5.15</v>
      </c>
      <c r="F55" s="64">
        <v>4.07</v>
      </c>
      <c r="G55" s="64">
        <v>56.65</v>
      </c>
      <c r="H55" s="64">
        <v>23.8</v>
      </c>
      <c r="I55" s="64">
        <v>5.17</v>
      </c>
      <c r="J55" s="64">
        <v>0.25</v>
      </c>
      <c r="K55" s="64">
        <v>100.03</v>
      </c>
      <c r="L55" s="64">
        <v>26.99</v>
      </c>
      <c r="M55" s="64">
        <v>75.25</v>
      </c>
      <c r="N55" s="64">
        <v>202.8</v>
      </c>
      <c r="O55" s="64">
        <v>0</v>
      </c>
      <c r="P55" s="64">
        <v>0.67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2791</v>
      </c>
      <c r="B56" s="64">
        <v>19.079999999999998</v>
      </c>
      <c r="C56" s="64">
        <v>15.84</v>
      </c>
      <c r="D56" s="64">
        <v>22.19</v>
      </c>
      <c r="E56" s="64">
        <v>3.3</v>
      </c>
      <c r="F56" s="64">
        <v>3.98</v>
      </c>
      <c r="G56" s="64">
        <v>56.38</v>
      </c>
      <c r="H56" s="64">
        <v>23.8</v>
      </c>
      <c r="I56" s="64">
        <v>4.7300000000000004</v>
      </c>
      <c r="J56" s="64">
        <v>0.63</v>
      </c>
      <c r="K56" s="64">
        <v>122.31</v>
      </c>
      <c r="L56" s="64">
        <v>27.8</v>
      </c>
      <c r="M56" s="64">
        <v>72.47</v>
      </c>
      <c r="N56" s="64">
        <v>410.4</v>
      </c>
      <c r="O56" s="64">
        <v>0</v>
      </c>
      <c r="P56" s="64">
        <v>0.66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5" t="s">
        <v>2792</v>
      </c>
      <c r="B57" s="64">
        <v>18.11</v>
      </c>
      <c r="C57" s="64">
        <v>15.91</v>
      </c>
      <c r="D57" s="64">
        <v>21.46</v>
      </c>
      <c r="E57" s="64">
        <v>3.92</v>
      </c>
      <c r="F57" s="64">
        <v>4.1100000000000003</v>
      </c>
      <c r="G57" s="64">
        <v>56.38</v>
      </c>
      <c r="H57" s="64">
        <v>23.8</v>
      </c>
      <c r="I57" s="64">
        <v>4.51</v>
      </c>
      <c r="J57" s="64">
        <v>0.82</v>
      </c>
      <c r="K57" s="64">
        <v>317.5</v>
      </c>
      <c r="L57" s="64">
        <v>29.42</v>
      </c>
      <c r="M57" s="64">
        <v>66.98</v>
      </c>
      <c r="N57" s="64">
        <v>313.10000000000002</v>
      </c>
      <c r="O57" s="64">
        <v>0</v>
      </c>
      <c r="P57" s="64">
        <v>0.66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5" t="s">
        <v>2793</v>
      </c>
      <c r="B58" s="64">
        <v>17.21</v>
      </c>
      <c r="C58" s="64">
        <v>16.77</v>
      </c>
      <c r="D58" s="64">
        <v>21.19</v>
      </c>
      <c r="E58" s="64">
        <v>3.91</v>
      </c>
      <c r="F58" s="64">
        <v>3.89</v>
      </c>
      <c r="G58" s="64">
        <v>56.38</v>
      </c>
      <c r="H58" s="64">
        <v>23.8</v>
      </c>
      <c r="I58" s="64">
        <v>5.12</v>
      </c>
      <c r="J58" s="64">
        <v>0.78</v>
      </c>
      <c r="K58" s="64">
        <v>333.63</v>
      </c>
      <c r="L58" s="64">
        <v>28.74</v>
      </c>
      <c r="M58" s="64">
        <v>72.81</v>
      </c>
      <c r="N58" s="64">
        <v>301.2</v>
      </c>
      <c r="O58" s="64">
        <v>0</v>
      </c>
      <c r="P58" s="64">
        <v>0.65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5" t="s">
        <v>2794</v>
      </c>
      <c r="B59" s="64">
        <v>16.260000000000002</v>
      </c>
      <c r="C59" s="64">
        <v>17.149999999999999</v>
      </c>
      <c r="D59" s="64">
        <v>20.62</v>
      </c>
      <c r="E59" s="64">
        <v>3.74</v>
      </c>
      <c r="F59" s="64">
        <v>3.68</v>
      </c>
      <c r="G59" s="64">
        <v>48.25</v>
      </c>
      <c r="H59" s="64">
        <v>21.19</v>
      </c>
      <c r="I59" s="64">
        <v>5.27</v>
      </c>
      <c r="J59" s="64">
        <v>0.46</v>
      </c>
      <c r="K59" s="64">
        <v>307.8</v>
      </c>
      <c r="L59" s="64">
        <v>29.24</v>
      </c>
      <c r="M59" s="64">
        <v>67.290000000000006</v>
      </c>
      <c r="N59" s="64">
        <v>376.6</v>
      </c>
      <c r="O59" s="64">
        <v>0</v>
      </c>
      <c r="P59" s="64">
        <v>0.66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5" t="s">
        <v>2795</v>
      </c>
      <c r="B60" s="64">
        <v>15.05</v>
      </c>
      <c r="C60" s="64">
        <v>17.649999999999999</v>
      </c>
      <c r="D60" s="64">
        <v>19.91</v>
      </c>
      <c r="E60" s="64">
        <v>3.82</v>
      </c>
      <c r="F60" s="64">
        <v>4.1399999999999997</v>
      </c>
      <c r="G60" s="64">
        <v>47.56</v>
      </c>
      <c r="H60" s="64">
        <v>21.19</v>
      </c>
      <c r="I60" s="64">
        <v>5.17</v>
      </c>
      <c r="J60" s="64">
        <v>0.28999999999999998</v>
      </c>
      <c r="K60" s="64">
        <v>14.82</v>
      </c>
      <c r="L60" s="64">
        <v>29.3</v>
      </c>
      <c r="M60" s="64">
        <v>65.75</v>
      </c>
      <c r="N60" s="64">
        <v>102.1</v>
      </c>
      <c r="O60" s="64">
        <v>0</v>
      </c>
      <c r="P60" s="64">
        <v>0.64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2796</v>
      </c>
      <c r="B61" s="64">
        <v>14.15</v>
      </c>
      <c r="C61" s="64">
        <v>17.89</v>
      </c>
      <c r="D61" s="64">
        <v>19.32</v>
      </c>
      <c r="E61" s="64">
        <v>3.86</v>
      </c>
      <c r="F61" s="64">
        <v>3.52</v>
      </c>
      <c r="G61" s="64">
        <v>47.56</v>
      </c>
      <c r="H61" s="64">
        <v>21.19</v>
      </c>
      <c r="I61" s="64">
        <v>4.93</v>
      </c>
      <c r="J61" s="64">
        <v>0.59</v>
      </c>
      <c r="K61" s="64">
        <v>339.72</v>
      </c>
      <c r="L61" s="64">
        <v>27.92</v>
      </c>
      <c r="M61" s="64">
        <v>72.930000000000007</v>
      </c>
      <c r="N61" s="64">
        <v>71.099999999999994</v>
      </c>
      <c r="O61" s="64">
        <v>0</v>
      </c>
      <c r="P61" s="64">
        <v>0.67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2797</v>
      </c>
      <c r="B62" s="64">
        <v>13.71</v>
      </c>
      <c r="C62" s="64">
        <v>17.100000000000001</v>
      </c>
      <c r="D62" s="64">
        <v>18.55</v>
      </c>
      <c r="E62" s="64">
        <v>3.62</v>
      </c>
      <c r="F62" s="64">
        <v>3.73</v>
      </c>
      <c r="G62" s="64">
        <v>47.56</v>
      </c>
      <c r="H62" s="64">
        <v>21.19</v>
      </c>
      <c r="I62" s="64">
        <v>4.4800000000000004</v>
      </c>
      <c r="J62" s="64">
        <v>0.96</v>
      </c>
      <c r="K62" s="64">
        <v>334.72</v>
      </c>
      <c r="L62" s="64">
        <v>28.13</v>
      </c>
      <c r="M62" s="64">
        <v>71.650000000000006</v>
      </c>
      <c r="N62" s="64">
        <v>125.3</v>
      </c>
      <c r="O62" s="64">
        <v>0</v>
      </c>
      <c r="P62" s="64">
        <v>0.72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2798</v>
      </c>
      <c r="B63" s="64">
        <v>13.38</v>
      </c>
      <c r="C63" s="64">
        <v>16.52</v>
      </c>
      <c r="D63" s="64">
        <v>17.98</v>
      </c>
      <c r="E63" s="64">
        <v>3.79</v>
      </c>
      <c r="F63" s="64">
        <v>4.43</v>
      </c>
      <c r="G63" s="64">
        <v>45.36</v>
      </c>
      <c r="H63" s="64">
        <v>29.28</v>
      </c>
      <c r="I63" s="64">
        <v>3.58</v>
      </c>
      <c r="J63" s="64">
        <v>0.52</v>
      </c>
      <c r="K63" s="64">
        <v>330.41</v>
      </c>
      <c r="L63" s="64">
        <v>28.49</v>
      </c>
      <c r="M63" s="64">
        <v>68.989999999999995</v>
      </c>
      <c r="N63" s="64">
        <v>147.30000000000001</v>
      </c>
      <c r="O63" s="64">
        <v>0</v>
      </c>
      <c r="P63" s="64">
        <v>0.7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2799</v>
      </c>
      <c r="B64" s="64">
        <v>13.26</v>
      </c>
      <c r="C64" s="64">
        <v>16.309999999999999</v>
      </c>
      <c r="D64" s="64">
        <v>17.78</v>
      </c>
      <c r="E64" s="64">
        <v>3.74</v>
      </c>
      <c r="F64" s="64">
        <v>5.2</v>
      </c>
      <c r="G64" s="64">
        <v>45.17</v>
      </c>
      <c r="H64" s="64">
        <v>29.28</v>
      </c>
      <c r="I64" s="64">
        <v>2.87</v>
      </c>
      <c r="J64" s="64">
        <v>0.43</v>
      </c>
      <c r="K64" s="64">
        <v>170.21</v>
      </c>
      <c r="L64" s="64">
        <v>28.22</v>
      </c>
      <c r="M64" s="64">
        <v>69.28</v>
      </c>
      <c r="N64" s="64">
        <v>204.1</v>
      </c>
      <c r="O64" s="64">
        <v>0</v>
      </c>
      <c r="P64" s="64">
        <v>0.61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2800</v>
      </c>
      <c r="B65" s="64">
        <v>12.48</v>
      </c>
      <c r="C65" s="64">
        <v>15.59</v>
      </c>
      <c r="D65" s="64">
        <v>16.78</v>
      </c>
      <c r="E65" s="64">
        <v>3.77</v>
      </c>
      <c r="F65" s="64">
        <v>4.6399999999999997</v>
      </c>
      <c r="G65" s="64">
        <v>45.17</v>
      </c>
      <c r="H65" s="64">
        <v>29.28</v>
      </c>
      <c r="I65" s="64">
        <v>2.71</v>
      </c>
      <c r="J65" s="64">
        <v>0.25</v>
      </c>
      <c r="K65" s="64">
        <v>150.47</v>
      </c>
      <c r="L65" s="64">
        <v>28.35</v>
      </c>
      <c r="M65" s="64">
        <v>68.69</v>
      </c>
      <c r="N65" s="64">
        <v>191.2</v>
      </c>
      <c r="O65" s="64">
        <v>0</v>
      </c>
      <c r="P65" s="64">
        <v>0.54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5" t="s">
        <v>2801</v>
      </c>
      <c r="B66" s="64">
        <v>11.53</v>
      </c>
      <c r="C66" s="64">
        <v>15.18</v>
      </c>
      <c r="D66" s="64">
        <v>15.8</v>
      </c>
      <c r="E66" s="64">
        <v>3.43</v>
      </c>
      <c r="F66" s="64">
        <v>4.66</v>
      </c>
      <c r="G66" s="64">
        <v>45.17</v>
      </c>
      <c r="H66" s="64">
        <v>29.28</v>
      </c>
      <c r="I66" s="64">
        <v>2.23</v>
      </c>
      <c r="J66" s="64">
        <v>0.71</v>
      </c>
      <c r="K66" s="64">
        <v>332.95</v>
      </c>
      <c r="L66" s="64">
        <v>28.63</v>
      </c>
      <c r="M66" s="64">
        <v>68.45</v>
      </c>
      <c r="N66" s="64">
        <v>82.8</v>
      </c>
      <c r="O66" s="64">
        <v>0</v>
      </c>
      <c r="P66" s="64">
        <v>0.67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2802</v>
      </c>
      <c r="B67" s="64">
        <v>11.05</v>
      </c>
      <c r="C67" s="64">
        <v>15.12</v>
      </c>
      <c r="D67" s="64">
        <v>15.38</v>
      </c>
      <c r="E67" s="64">
        <v>3.62</v>
      </c>
      <c r="F67" s="64">
        <v>4.09</v>
      </c>
      <c r="G67" s="64">
        <v>48.25</v>
      </c>
      <c r="H67" s="64">
        <v>29.19</v>
      </c>
      <c r="I67" s="64">
        <v>2.41</v>
      </c>
      <c r="J67" s="64">
        <v>0.4</v>
      </c>
      <c r="K67" s="64">
        <v>325.12</v>
      </c>
      <c r="L67" s="64">
        <v>27.68</v>
      </c>
      <c r="M67" s="64">
        <v>73.13</v>
      </c>
      <c r="N67" s="64">
        <v>63.1</v>
      </c>
      <c r="O67" s="64">
        <v>0</v>
      </c>
      <c r="P67" s="64">
        <v>0.69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5" t="s">
        <v>2803</v>
      </c>
      <c r="B68" s="64">
        <v>11.01</v>
      </c>
      <c r="C68" s="64">
        <v>15.06</v>
      </c>
      <c r="D68" s="64">
        <v>15.32</v>
      </c>
      <c r="E68" s="64">
        <v>3.73</v>
      </c>
      <c r="F68" s="64">
        <v>3.9</v>
      </c>
      <c r="G68" s="64">
        <v>48.51</v>
      </c>
      <c r="H68" s="64">
        <v>29.19</v>
      </c>
      <c r="I68" s="64">
        <v>3.09</v>
      </c>
      <c r="J68" s="64">
        <v>1.34</v>
      </c>
      <c r="K68" s="64">
        <v>345.04</v>
      </c>
      <c r="L68" s="64">
        <v>27.52</v>
      </c>
      <c r="M68" s="64">
        <v>73.569999999999993</v>
      </c>
      <c r="N68" s="64">
        <v>66.599999999999994</v>
      </c>
      <c r="O68" s="64">
        <v>0</v>
      </c>
      <c r="P68" s="64">
        <v>0.71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5" t="s">
        <v>2804</v>
      </c>
      <c r="B69" s="64">
        <v>11.33</v>
      </c>
      <c r="C69" s="64">
        <v>15.69</v>
      </c>
      <c r="D69" s="64">
        <v>15.91</v>
      </c>
      <c r="E69" s="64">
        <v>3.61</v>
      </c>
      <c r="F69" s="64">
        <v>4.91</v>
      </c>
      <c r="G69" s="64">
        <v>48.51</v>
      </c>
      <c r="H69" s="64">
        <v>29.19</v>
      </c>
      <c r="I69" s="64">
        <v>3.12</v>
      </c>
      <c r="J69" s="64">
        <v>0.96</v>
      </c>
      <c r="K69" s="64">
        <v>348.82</v>
      </c>
      <c r="L69" s="64">
        <v>27.72</v>
      </c>
      <c r="M69" s="64">
        <v>72.900000000000006</v>
      </c>
      <c r="N69" s="64">
        <v>92</v>
      </c>
      <c r="O69" s="64">
        <v>0</v>
      </c>
      <c r="P69" s="64">
        <v>0.73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2805</v>
      </c>
      <c r="B70" s="64">
        <v>12.26</v>
      </c>
      <c r="C70" s="64">
        <v>16.96</v>
      </c>
      <c r="D70" s="64">
        <v>17.32</v>
      </c>
      <c r="E70" s="64">
        <v>4.21</v>
      </c>
      <c r="F70" s="64">
        <v>3.95</v>
      </c>
      <c r="G70" s="64">
        <v>48.51</v>
      </c>
      <c r="H70" s="64">
        <v>29.19</v>
      </c>
      <c r="I70" s="64">
        <v>3.06</v>
      </c>
      <c r="J70" s="64">
        <v>1.1100000000000001</v>
      </c>
      <c r="K70" s="64">
        <v>343.16</v>
      </c>
      <c r="L70" s="64">
        <v>28</v>
      </c>
      <c r="M70" s="64">
        <v>71.83</v>
      </c>
      <c r="N70" s="64">
        <v>83.9</v>
      </c>
      <c r="O70" s="64">
        <v>0</v>
      </c>
      <c r="P70" s="64">
        <v>0.71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2806</v>
      </c>
      <c r="B71" s="64">
        <v>13.21</v>
      </c>
      <c r="C71" s="64">
        <v>17.34</v>
      </c>
      <c r="D71" s="64">
        <v>18.27</v>
      </c>
      <c r="E71" s="64">
        <v>4.13</v>
      </c>
      <c r="F71" s="64">
        <v>3.58</v>
      </c>
      <c r="G71" s="64">
        <v>59.54</v>
      </c>
      <c r="H71" s="64">
        <v>30.21</v>
      </c>
      <c r="I71" s="64">
        <v>4.41</v>
      </c>
      <c r="J71" s="64">
        <v>1.1399999999999999</v>
      </c>
      <c r="K71" s="64">
        <v>343.31</v>
      </c>
      <c r="L71" s="64">
        <v>27.91</v>
      </c>
      <c r="M71" s="64">
        <v>72.23</v>
      </c>
      <c r="N71" s="64">
        <v>86.6</v>
      </c>
      <c r="O71" s="64">
        <v>0</v>
      </c>
      <c r="P71" s="64">
        <v>0.78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2807</v>
      </c>
      <c r="B72" s="64">
        <v>13.84</v>
      </c>
      <c r="C72" s="64">
        <v>18</v>
      </c>
      <c r="D72" s="64">
        <v>19.12</v>
      </c>
      <c r="E72" s="64">
        <v>4.8</v>
      </c>
      <c r="F72" s="64">
        <v>3.98</v>
      </c>
      <c r="G72" s="64">
        <v>60.46</v>
      </c>
      <c r="H72" s="64">
        <v>30.21</v>
      </c>
      <c r="I72" s="64">
        <v>4.8899999999999997</v>
      </c>
      <c r="J72" s="64">
        <v>1.61</v>
      </c>
      <c r="K72" s="64">
        <v>342.57</v>
      </c>
      <c r="L72" s="64">
        <v>27.67</v>
      </c>
      <c r="M72" s="64">
        <v>74.03</v>
      </c>
      <c r="N72" s="64">
        <v>79.099999999999994</v>
      </c>
      <c r="O72" s="64">
        <v>0</v>
      </c>
      <c r="P72" s="64">
        <v>0.75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2808</v>
      </c>
      <c r="B73" s="64">
        <v>13.93</v>
      </c>
      <c r="C73" s="64">
        <v>18.46</v>
      </c>
      <c r="D73" s="64">
        <v>19.440000000000001</v>
      </c>
      <c r="E73" s="64">
        <v>5.65</v>
      </c>
      <c r="F73" s="64">
        <v>4.29</v>
      </c>
      <c r="G73" s="64">
        <v>60.46</v>
      </c>
      <c r="H73" s="64">
        <v>30.21</v>
      </c>
      <c r="I73" s="64">
        <v>4.87</v>
      </c>
      <c r="J73" s="64">
        <v>1.37</v>
      </c>
      <c r="K73" s="64">
        <v>341.88</v>
      </c>
      <c r="L73" s="64">
        <v>27.39</v>
      </c>
      <c r="M73" s="64">
        <v>75.83</v>
      </c>
      <c r="N73" s="64">
        <v>65.2</v>
      </c>
      <c r="O73" s="64">
        <v>0</v>
      </c>
      <c r="P73" s="64">
        <v>0.77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2809</v>
      </c>
      <c r="B74" s="64">
        <v>13.96</v>
      </c>
      <c r="C74" s="64">
        <v>18.88</v>
      </c>
      <c r="D74" s="64">
        <v>19.68</v>
      </c>
      <c r="E74" s="64">
        <v>5.14</v>
      </c>
      <c r="F74" s="64">
        <v>3.85</v>
      </c>
      <c r="G74" s="64">
        <v>60.46</v>
      </c>
      <c r="H74" s="64">
        <v>30.21</v>
      </c>
      <c r="I74" s="64">
        <v>4.97</v>
      </c>
      <c r="J74" s="64">
        <v>1.03</v>
      </c>
      <c r="K74" s="64">
        <v>346.12</v>
      </c>
      <c r="L74" s="64">
        <v>27.24</v>
      </c>
      <c r="M74" s="64">
        <v>77.069999999999993</v>
      </c>
      <c r="N74" s="64">
        <v>53.5</v>
      </c>
      <c r="O74" s="64">
        <v>0</v>
      </c>
      <c r="P74" s="64">
        <v>0.78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2810</v>
      </c>
      <c r="B75" s="64">
        <v>14.35</v>
      </c>
      <c r="C75" s="64">
        <v>18.38</v>
      </c>
      <c r="D75" s="64">
        <v>19.73</v>
      </c>
      <c r="E75" s="64">
        <v>5.38</v>
      </c>
      <c r="F75" s="64">
        <v>4.6500000000000004</v>
      </c>
      <c r="G75" s="64">
        <v>66.5</v>
      </c>
      <c r="H75" s="64">
        <v>32.130000000000003</v>
      </c>
      <c r="I75" s="64">
        <v>4.8099999999999996</v>
      </c>
      <c r="J75" s="64">
        <v>1.1299999999999999</v>
      </c>
      <c r="K75" s="64">
        <v>344.15</v>
      </c>
      <c r="L75" s="64">
        <v>27.02</v>
      </c>
      <c r="M75" s="64">
        <v>77.98</v>
      </c>
      <c r="N75" s="64">
        <v>52.7</v>
      </c>
      <c r="O75" s="64">
        <v>0</v>
      </c>
      <c r="P75" s="64">
        <v>0.8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5" t="s">
        <v>2811</v>
      </c>
      <c r="B76" s="64">
        <v>14.94</v>
      </c>
      <c r="C76" s="64">
        <v>18.52</v>
      </c>
      <c r="D76" s="64">
        <v>20.28</v>
      </c>
      <c r="E76" s="64">
        <v>5.49</v>
      </c>
      <c r="F76" s="64">
        <v>3.34</v>
      </c>
      <c r="G76" s="64">
        <v>67.010000000000005</v>
      </c>
      <c r="H76" s="64">
        <v>32.130000000000003</v>
      </c>
      <c r="I76" s="64">
        <v>4.12</v>
      </c>
      <c r="J76" s="64">
        <v>1.1200000000000001</v>
      </c>
      <c r="K76" s="64">
        <v>344.6</v>
      </c>
      <c r="L76" s="64">
        <v>26.74</v>
      </c>
      <c r="M76" s="64">
        <v>82.09</v>
      </c>
      <c r="N76" s="64">
        <v>47.2</v>
      </c>
      <c r="O76" s="64">
        <v>0</v>
      </c>
      <c r="P76" s="64">
        <v>0.83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5" t="s">
        <v>2812</v>
      </c>
      <c r="B77" s="64">
        <v>15.64</v>
      </c>
      <c r="C77" s="64">
        <v>18.32</v>
      </c>
      <c r="D77" s="64">
        <v>20.73</v>
      </c>
      <c r="E77" s="64">
        <v>5.01</v>
      </c>
      <c r="F77" s="64">
        <v>3.58</v>
      </c>
      <c r="G77" s="64">
        <v>67.010000000000005</v>
      </c>
      <c r="H77" s="64">
        <v>32.130000000000003</v>
      </c>
      <c r="I77" s="64">
        <v>4.51</v>
      </c>
      <c r="J77" s="64">
        <v>1.1100000000000001</v>
      </c>
      <c r="K77" s="64">
        <v>340.74</v>
      </c>
      <c r="L77" s="64">
        <v>25.94</v>
      </c>
      <c r="M77" s="64">
        <v>88.94</v>
      </c>
      <c r="N77" s="64">
        <v>36.9</v>
      </c>
      <c r="O77" s="64">
        <v>0</v>
      </c>
      <c r="P77" s="64">
        <v>0.92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2813</v>
      </c>
      <c r="B78" s="64">
        <v>16.690000000000001</v>
      </c>
      <c r="C78" s="64">
        <v>17.559999999999999</v>
      </c>
      <c r="D78" s="64">
        <v>21.18</v>
      </c>
      <c r="E78" s="64">
        <v>5.54</v>
      </c>
      <c r="F78" s="64">
        <v>4.16</v>
      </c>
      <c r="G78" s="64">
        <v>67.010000000000005</v>
      </c>
      <c r="H78" s="64">
        <v>32.130000000000003</v>
      </c>
      <c r="I78" s="64">
        <v>5.03</v>
      </c>
      <c r="J78" s="64">
        <v>0.88</v>
      </c>
      <c r="K78" s="64">
        <v>336.65</v>
      </c>
      <c r="L78" s="64">
        <v>25.72</v>
      </c>
      <c r="M78" s="64">
        <v>89.41</v>
      </c>
      <c r="N78" s="64">
        <v>29</v>
      </c>
      <c r="O78" s="64">
        <v>0</v>
      </c>
      <c r="P78" s="64">
        <v>1.1200000000000001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2814</v>
      </c>
      <c r="B79" s="64">
        <v>17.8</v>
      </c>
      <c r="C79" s="64">
        <v>16.54</v>
      </c>
      <c r="D79" s="64">
        <v>21.54</v>
      </c>
      <c r="E79" s="64">
        <v>5.76</v>
      </c>
      <c r="F79" s="64">
        <v>4.0199999999999996</v>
      </c>
      <c r="G79" s="64">
        <v>66.459999999999994</v>
      </c>
      <c r="H79" s="64">
        <v>29.3</v>
      </c>
      <c r="I79" s="64">
        <v>4.92</v>
      </c>
      <c r="J79" s="64">
        <v>0.5</v>
      </c>
      <c r="K79" s="64">
        <v>332.48</v>
      </c>
      <c r="L79" s="64">
        <v>25.56</v>
      </c>
      <c r="M79" s="64">
        <v>89.68</v>
      </c>
      <c r="N79" s="64">
        <v>27.1</v>
      </c>
      <c r="O79" s="64">
        <v>0</v>
      </c>
      <c r="P79" s="64">
        <v>1.27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2815</v>
      </c>
      <c r="B80" s="64">
        <v>18.32</v>
      </c>
      <c r="C80" s="64">
        <v>15.99</v>
      </c>
      <c r="D80" s="64">
        <v>21.67</v>
      </c>
      <c r="E80" s="64">
        <v>5.15</v>
      </c>
      <c r="F80" s="64">
        <v>3.46</v>
      </c>
      <c r="G80" s="64">
        <v>66.41</v>
      </c>
      <c r="H80" s="64">
        <v>29.3</v>
      </c>
      <c r="I80" s="64">
        <v>4.6100000000000003</v>
      </c>
      <c r="J80" s="64">
        <v>1.01</v>
      </c>
      <c r="K80" s="64">
        <v>119.58</v>
      </c>
      <c r="L80" s="64">
        <v>25.18</v>
      </c>
      <c r="M80" s="64">
        <v>92.5</v>
      </c>
      <c r="N80" s="64">
        <v>27.5</v>
      </c>
      <c r="O80" s="64">
        <v>0</v>
      </c>
      <c r="P80" s="64">
        <v>0.84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2816</v>
      </c>
      <c r="B81" s="64">
        <v>17.7</v>
      </c>
      <c r="C81" s="64">
        <v>15.53</v>
      </c>
      <c r="D81" s="64">
        <v>20.93</v>
      </c>
      <c r="E81" s="64">
        <v>5.29</v>
      </c>
      <c r="F81" s="64">
        <v>3.54</v>
      </c>
      <c r="G81" s="64">
        <v>66.41</v>
      </c>
      <c r="H81" s="64">
        <v>29.3</v>
      </c>
      <c r="I81" s="64">
        <v>4.54</v>
      </c>
      <c r="J81" s="64">
        <v>1.8</v>
      </c>
      <c r="K81" s="64">
        <v>117.86</v>
      </c>
      <c r="L81" s="64">
        <v>24.39</v>
      </c>
      <c r="M81" s="64">
        <v>97.64</v>
      </c>
      <c r="N81" s="64">
        <v>27.6</v>
      </c>
      <c r="O81" s="64">
        <v>0</v>
      </c>
      <c r="P81" s="64">
        <v>0.74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5" t="s">
        <v>2817</v>
      </c>
      <c r="B82" s="64">
        <v>16.59</v>
      </c>
      <c r="C82" s="64">
        <v>14.68</v>
      </c>
      <c r="D82" s="64">
        <v>19.59</v>
      </c>
      <c r="E82" s="64">
        <v>5.17</v>
      </c>
      <c r="F82" s="64">
        <v>4.95</v>
      </c>
      <c r="G82" s="64">
        <v>66.41</v>
      </c>
      <c r="H82" s="64">
        <v>29.3</v>
      </c>
      <c r="I82" s="64">
        <v>4.72</v>
      </c>
      <c r="J82" s="64">
        <v>1.71</v>
      </c>
      <c r="K82" s="64">
        <v>115.98</v>
      </c>
      <c r="L82" s="64">
        <v>24.15</v>
      </c>
      <c r="M82" s="64">
        <v>98.29</v>
      </c>
      <c r="N82" s="64">
        <v>26.8</v>
      </c>
      <c r="O82" s="64">
        <v>0</v>
      </c>
      <c r="P82" s="64">
        <v>0.77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5" t="s">
        <v>2818</v>
      </c>
      <c r="B83" s="64">
        <v>15.32</v>
      </c>
      <c r="C83" s="64">
        <v>13.97</v>
      </c>
      <c r="D83" s="64">
        <v>18.21</v>
      </c>
      <c r="E83" s="64">
        <v>4.93</v>
      </c>
      <c r="F83" s="64">
        <v>3.82</v>
      </c>
      <c r="G83" s="64">
        <v>64.319999999999993</v>
      </c>
      <c r="H83" s="64">
        <v>28.02</v>
      </c>
      <c r="I83" s="64">
        <v>4.8</v>
      </c>
      <c r="J83" s="64">
        <v>1.6</v>
      </c>
      <c r="K83" s="64">
        <v>112.18</v>
      </c>
      <c r="L83" s="64">
        <v>24.09</v>
      </c>
      <c r="M83" s="64">
        <v>96.87</v>
      </c>
      <c r="N83" s="64">
        <v>26.5</v>
      </c>
      <c r="O83" s="64">
        <v>0</v>
      </c>
      <c r="P83" s="64">
        <v>0.68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2819</v>
      </c>
      <c r="B84" s="64">
        <v>14.01</v>
      </c>
      <c r="C84" s="64">
        <v>13.29</v>
      </c>
      <c r="D84" s="64">
        <v>16.8</v>
      </c>
      <c r="E84" s="64">
        <v>4.8899999999999997</v>
      </c>
      <c r="F84" s="64">
        <v>3.51</v>
      </c>
      <c r="G84" s="64">
        <v>64.14</v>
      </c>
      <c r="H84" s="64">
        <v>28.02</v>
      </c>
      <c r="I84" s="64">
        <v>4.88</v>
      </c>
      <c r="J84" s="64">
        <v>1.79</v>
      </c>
      <c r="K84" s="64">
        <v>114.84</v>
      </c>
      <c r="L84" s="64">
        <v>23.96</v>
      </c>
      <c r="M84" s="64">
        <v>96.76</v>
      </c>
      <c r="N84" s="64">
        <v>26.5</v>
      </c>
      <c r="O84" s="64">
        <v>0</v>
      </c>
      <c r="P84" s="64">
        <v>0.71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2820</v>
      </c>
      <c r="B85" s="64">
        <v>12.73</v>
      </c>
      <c r="C85" s="64">
        <v>12.77</v>
      </c>
      <c r="D85" s="64">
        <v>15.51</v>
      </c>
      <c r="E85" s="64">
        <v>4.84</v>
      </c>
      <c r="F85" s="64">
        <v>3.75</v>
      </c>
      <c r="G85" s="64">
        <v>64.14</v>
      </c>
      <c r="H85" s="64">
        <v>28.02</v>
      </c>
      <c r="I85" s="64">
        <v>5.29</v>
      </c>
      <c r="J85" s="64">
        <v>1.19</v>
      </c>
      <c r="K85" s="64">
        <v>116.15</v>
      </c>
      <c r="L85" s="64">
        <v>23.89</v>
      </c>
      <c r="M85" s="64">
        <v>98.82</v>
      </c>
      <c r="N85" s="64">
        <v>26.5</v>
      </c>
      <c r="O85" s="64">
        <v>0</v>
      </c>
      <c r="P85" s="64">
        <v>0.54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5" t="s">
        <v>2821</v>
      </c>
      <c r="B86" s="64">
        <v>11.63</v>
      </c>
      <c r="C86" s="64">
        <v>12.96</v>
      </c>
      <c r="D86" s="64">
        <v>14.72</v>
      </c>
      <c r="E86" s="64">
        <v>4.8600000000000003</v>
      </c>
      <c r="F86" s="64">
        <v>4.2300000000000004</v>
      </c>
      <c r="G86" s="64">
        <v>64.14</v>
      </c>
      <c r="H86" s="64">
        <v>28.02</v>
      </c>
      <c r="I86" s="64">
        <v>5.21</v>
      </c>
      <c r="J86" s="64">
        <v>1.07</v>
      </c>
      <c r="K86" s="64">
        <v>114.91</v>
      </c>
      <c r="L86" s="64">
        <v>23.95</v>
      </c>
      <c r="M86" s="64">
        <v>98.85</v>
      </c>
      <c r="N86" s="64">
        <v>26.2</v>
      </c>
      <c r="O86" s="64">
        <v>0</v>
      </c>
      <c r="P86" s="64">
        <v>0.77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2822</v>
      </c>
      <c r="B87" s="64">
        <v>10.65</v>
      </c>
      <c r="C87" s="64">
        <v>13.3</v>
      </c>
      <c r="D87" s="64">
        <v>14.11</v>
      </c>
      <c r="E87" s="64">
        <v>4.42</v>
      </c>
      <c r="F87" s="64">
        <v>4.03</v>
      </c>
      <c r="G87" s="64">
        <v>49.35</v>
      </c>
      <c r="H87" s="64">
        <v>24.81</v>
      </c>
      <c r="I87" s="64">
        <v>5.17</v>
      </c>
      <c r="J87" s="64">
        <v>0.6</v>
      </c>
      <c r="K87" s="64">
        <v>109.89</v>
      </c>
      <c r="L87" s="64">
        <v>24.07</v>
      </c>
      <c r="M87" s="64">
        <v>98.58</v>
      </c>
      <c r="N87" s="64">
        <v>26.1</v>
      </c>
      <c r="O87" s="64">
        <v>0</v>
      </c>
      <c r="P87" s="64">
        <v>0.66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2823</v>
      </c>
      <c r="B88" s="64">
        <v>9.82</v>
      </c>
      <c r="C88" s="64">
        <v>12.92</v>
      </c>
      <c r="D88" s="64">
        <v>13.25</v>
      </c>
      <c r="E88" s="64">
        <v>4.97</v>
      </c>
      <c r="F88" s="64">
        <v>4.47</v>
      </c>
      <c r="G88" s="64">
        <v>48.1</v>
      </c>
      <c r="H88" s="64">
        <v>24.81</v>
      </c>
      <c r="I88" s="64">
        <v>6.32</v>
      </c>
      <c r="J88" s="64">
        <v>0.79</v>
      </c>
      <c r="K88" s="64">
        <v>103.83</v>
      </c>
      <c r="L88" s="64">
        <v>24.2</v>
      </c>
      <c r="M88" s="64">
        <v>98.23</v>
      </c>
      <c r="N88" s="64">
        <v>26.1</v>
      </c>
      <c r="O88" s="64">
        <v>0</v>
      </c>
      <c r="P88" s="64">
        <v>0.7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5" t="s">
        <v>2824</v>
      </c>
      <c r="B89" s="64">
        <v>9.08</v>
      </c>
      <c r="C89" s="64">
        <v>12.91</v>
      </c>
      <c r="D89" s="64">
        <v>12.64</v>
      </c>
      <c r="E89" s="64">
        <v>4.75</v>
      </c>
      <c r="F89" s="64">
        <v>4.01</v>
      </c>
      <c r="G89" s="64">
        <v>48.1</v>
      </c>
      <c r="H89" s="64">
        <v>24.81</v>
      </c>
      <c r="I89" s="64">
        <v>5.67</v>
      </c>
      <c r="J89" s="64">
        <v>0.98</v>
      </c>
      <c r="K89" s="64">
        <v>116.85</v>
      </c>
      <c r="L89" s="64">
        <v>24.23</v>
      </c>
      <c r="M89" s="64">
        <v>97.95</v>
      </c>
      <c r="N89" s="64">
        <v>26.2</v>
      </c>
      <c r="O89" s="64">
        <v>0</v>
      </c>
      <c r="P89" s="64">
        <v>0.68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2825</v>
      </c>
      <c r="B90" s="64">
        <v>8.27</v>
      </c>
      <c r="C90" s="64">
        <v>12.66</v>
      </c>
      <c r="D90" s="64">
        <v>11.87</v>
      </c>
      <c r="E90" s="64">
        <v>4.46</v>
      </c>
      <c r="F90" s="64">
        <v>3.66</v>
      </c>
      <c r="G90" s="64">
        <v>48.1</v>
      </c>
      <c r="H90" s="64">
        <v>24.81</v>
      </c>
      <c r="I90" s="64">
        <v>6.02</v>
      </c>
      <c r="J90" s="64">
        <v>0.98</v>
      </c>
      <c r="K90" s="64">
        <v>117.8</v>
      </c>
      <c r="L90" s="64">
        <v>24.28</v>
      </c>
      <c r="M90" s="64">
        <v>97.98</v>
      </c>
      <c r="N90" s="64">
        <v>26.2</v>
      </c>
      <c r="O90" s="64">
        <v>0</v>
      </c>
      <c r="P90" s="64">
        <v>0.64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2826</v>
      </c>
      <c r="B91" s="64">
        <v>7.74</v>
      </c>
      <c r="C91" s="64">
        <v>12.52</v>
      </c>
      <c r="D91" s="64">
        <v>11.37</v>
      </c>
      <c r="E91" s="64">
        <v>4.8</v>
      </c>
      <c r="F91" s="64">
        <v>4.99</v>
      </c>
      <c r="G91" s="64">
        <v>40.340000000000003</v>
      </c>
      <c r="H91" s="64">
        <v>22.24</v>
      </c>
      <c r="I91" s="64">
        <v>5.98</v>
      </c>
      <c r="J91" s="64">
        <v>0.66</v>
      </c>
      <c r="K91" s="64">
        <v>107.73</v>
      </c>
      <c r="L91" s="64">
        <v>24.3</v>
      </c>
      <c r="M91" s="64">
        <v>98.2</v>
      </c>
      <c r="N91" s="64">
        <v>26.3</v>
      </c>
      <c r="O91" s="64">
        <v>0</v>
      </c>
      <c r="P91" s="64">
        <v>0.68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5" t="s">
        <v>2827</v>
      </c>
      <c r="B92" s="64">
        <v>7.59</v>
      </c>
      <c r="C92" s="64">
        <v>12.68</v>
      </c>
      <c r="D92" s="64">
        <v>11.34</v>
      </c>
      <c r="E92" s="64">
        <v>4.59</v>
      </c>
      <c r="F92" s="64">
        <v>3.78</v>
      </c>
      <c r="G92" s="64">
        <v>39.68</v>
      </c>
      <c r="H92" s="64">
        <v>22.24</v>
      </c>
      <c r="I92" s="64">
        <v>4.37</v>
      </c>
      <c r="J92" s="64">
        <v>0.66</v>
      </c>
      <c r="K92" s="64">
        <v>114.73</v>
      </c>
      <c r="L92" s="64">
        <v>24.23</v>
      </c>
      <c r="M92" s="64">
        <v>99.25</v>
      </c>
      <c r="N92" s="64">
        <v>26.4</v>
      </c>
      <c r="O92" s="64">
        <v>0</v>
      </c>
      <c r="P92" s="64">
        <v>0.65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2828</v>
      </c>
      <c r="B93" s="64">
        <v>7.82</v>
      </c>
      <c r="C93" s="64">
        <v>12.92</v>
      </c>
      <c r="D93" s="64">
        <v>11.65</v>
      </c>
      <c r="E93" s="64">
        <v>4.72</v>
      </c>
      <c r="F93" s="64">
        <v>3.42</v>
      </c>
      <c r="G93" s="64">
        <v>39.68</v>
      </c>
      <c r="H93" s="64">
        <v>22.24</v>
      </c>
      <c r="I93" s="64">
        <v>4.82</v>
      </c>
      <c r="J93" s="64">
        <v>0.45</v>
      </c>
      <c r="K93" s="64">
        <v>109.43</v>
      </c>
      <c r="L93" s="64">
        <v>24.07</v>
      </c>
      <c r="M93" s="64">
        <v>100.7</v>
      </c>
      <c r="N93" s="64">
        <v>26.4</v>
      </c>
      <c r="O93" s="64">
        <v>0</v>
      </c>
      <c r="P93" s="64">
        <v>0.68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5" t="s">
        <v>2829</v>
      </c>
      <c r="B94" s="64">
        <v>8.4</v>
      </c>
      <c r="C94" s="64">
        <v>12.81</v>
      </c>
      <c r="D94" s="64">
        <v>12.06</v>
      </c>
      <c r="E94" s="64">
        <v>4.74</v>
      </c>
      <c r="F94" s="64">
        <v>4.03</v>
      </c>
      <c r="G94" s="64">
        <v>39.68</v>
      </c>
      <c r="H94" s="64">
        <v>22.24</v>
      </c>
      <c r="I94" s="64">
        <v>5.79</v>
      </c>
      <c r="J94" s="64">
        <v>0.68</v>
      </c>
      <c r="K94" s="64">
        <v>112.54</v>
      </c>
      <c r="L94" s="64">
        <v>24.03</v>
      </c>
      <c r="M94" s="64">
        <v>101.01</v>
      </c>
      <c r="N94" s="64">
        <v>26.5</v>
      </c>
      <c r="O94" s="64">
        <v>0</v>
      </c>
      <c r="P94" s="64">
        <v>0.68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5" t="s">
        <v>2830</v>
      </c>
      <c r="B95" s="64">
        <v>8.7200000000000006</v>
      </c>
      <c r="C95" s="64">
        <v>12.27</v>
      </c>
      <c r="D95" s="64">
        <v>12.02</v>
      </c>
      <c r="E95" s="64">
        <v>4.76</v>
      </c>
      <c r="F95" s="64">
        <v>3.77</v>
      </c>
      <c r="G95" s="64">
        <v>35.090000000000003</v>
      </c>
      <c r="H95" s="64">
        <v>18.670000000000002</v>
      </c>
      <c r="I95" s="64">
        <v>5.46</v>
      </c>
      <c r="J95" s="64">
        <v>0.51</v>
      </c>
      <c r="K95" s="64">
        <v>122.71</v>
      </c>
      <c r="L95" s="64">
        <v>23.91</v>
      </c>
      <c r="M95" s="64">
        <v>100.54</v>
      </c>
      <c r="N95" s="64">
        <v>26.5</v>
      </c>
      <c r="O95" s="64">
        <v>0</v>
      </c>
      <c r="P95" s="64">
        <v>0.59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2831</v>
      </c>
      <c r="B96" s="64">
        <v>8.65</v>
      </c>
      <c r="C96" s="64">
        <v>11.06</v>
      </c>
      <c r="D96" s="64">
        <v>11.34</v>
      </c>
      <c r="E96" s="64">
        <v>4.6100000000000003</v>
      </c>
      <c r="F96" s="64">
        <v>4.05</v>
      </c>
      <c r="G96" s="64">
        <v>34.71</v>
      </c>
      <c r="H96" s="64">
        <v>18.670000000000002</v>
      </c>
      <c r="I96" s="64">
        <v>4.6900000000000004</v>
      </c>
      <c r="J96" s="64">
        <v>0.39</v>
      </c>
      <c r="K96" s="64">
        <v>113.42</v>
      </c>
      <c r="L96" s="64">
        <v>23.83</v>
      </c>
      <c r="M96" s="64">
        <v>100.62</v>
      </c>
      <c r="N96" s="64">
        <v>26.3</v>
      </c>
      <c r="O96" s="64">
        <v>0</v>
      </c>
      <c r="P96" s="64">
        <v>0.57999999999999996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2832</v>
      </c>
      <c r="B97" s="64">
        <v>8.49</v>
      </c>
      <c r="C97" s="64">
        <v>10.62</v>
      </c>
      <c r="D97" s="64">
        <v>10.99</v>
      </c>
      <c r="E97" s="64">
        <v>4.45</v>
      </c>
      <c r="F97" s="64">
        <v>3.61</v>
      </c>
      <c r="G97" s="64">
        <v>34.71</v>
      </c>
      <c r="H97" s="64">
        <v>18.670000000000002</v>
      </c>
      <c r="I97" s="64">
        <v>3.15</v>
      </c>
      <c r="J97" s="64">
        <v>0.28000000000000003</v>
      </c>
      <c r="K97" s="64">
        <v>96.45</v>
      </c>
      <c r="L97" s="64">
        <v>23.83</v>
      </c>
      <c r="M97" s="64">
        <v>100.92</v>
      </c>
      <c r="N97" s="64">
        <v>26.1</v>
      </c>
      <c r="O97" s="64">
        <v>0</v>
      </c>
      <c r="P97" s="64">
        <v>0.6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2833</v>
      </c>
      <c r="B98" s="64">
        <v>8.6</v>
      </c>
      <c r="C98" s="64">
        <v>10.42</v>
      </c>
      <c r="D98" s="64">
        <v>10.97</v>
      </c>
      <c r="E98" s="64">
        <v>4.3899999999999997</v>
      </c>
      <c r="F98" s="64">
        <v>3.53</v>
      </c>
      <c r="G98" s="64">
        <v>34.71</v>
      </c>
      <c r="H98" s="64">
        <v>18.670000000000002</v>
      </c>
      <c r="I98" s="64">
        <v>2.4900000000000002</v>
      </c>
      <c r="J98" s="64">
        <v>0.96</v>
      </c>
      <c r="K98" s="64">
        <v>120.26</v>
      </c>
      <c r="L98" s="64">
        <v>23.83</v>
      </c>
      <c r="M98" s="64">
        <v>100.36</v>
      </c>
      <c r="N98" s="64">
        <v>26.2</v>
      </c>
      <c r="O98" s="64">
        <v>0</v>
      </c>
      <c r="P98" s="64">
        <v>0.52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2834</v>
      </c>
      <c r="B99" s="64">
        <v>8.59</v>
      </c>
      <c r="C99" s="64">
        <v>10.119999999999999</v>
      </c>
      <c r="D99" s="64">
        <v>10.8</v>
      </c>
      <c r="E99" s="64">
        <v>4.04</v>
      </c>
      <c r="F99" s="64">
        <v>4.13</v>
      </c>
      <c r="G99" s="64">
        <v>29.17</v>
      </c>
      <c r="H99" s="64">
        <v>15.88</v>
      </c>
      <c r="I99" s="64">
        <v>2.5099999999999998</v>
      </c>
      <c r="J99" s="64">
        <v>0.44</v>
      </c>
      <c r="K99" s="64">
        <v>105.46</v>
      </c>
      <c r="L99" s="64">
        <v>23.78</v>
      </c>
      <c r="M99" s="64">
        <v>100.82</v>
      </c>
      <c r="N99" s="64">
        <v>26.3</v>
      </c>
      <c r="O99" s="64">
        <v>0</v>
      </c>
      <c r="P99" s="64">
        <v>0.5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2835</v>
      </c>
      <c r="B100" s="64">
        <v>8.68</v>
      </c>
      <c r="C100" s="64">
        <v>9.98</v>
      </c>
      <c r="D100" s="64">
        <v>10.8</v>
      </c>
      <c r="E100" s="64">
        <v>4.83</v>
      </c>
      <c r="F100" s="64">
        <v>3.57</v>
      </c>
      <c r="G100" s="64">
        <v>28.71</v>
      </c>
      <c r="H100" s="64">
        <v>15.88</v>
      </c>
      <c r="I100" s="64">
        <v>2.1</v>
      </c>
      <c r="J100" s="64">
        <v>1.02</v>
      </c>
      <c r="K100" s="64">
        <v>121.22</v>
      </c>
      <c r="L100" s="64">
        <v>23.83</v>
      </c>
      <c r="M100" s="64">
        <v>100.31</v>
      </c>
      <c r="N100" s="64">
        <v>26.1</v>
      </c>
      <c r="O100" s="64">
        <v>0</v>
      </c>
      <c r="P100" s="64">
        <v>0.56999999999999995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2836</v>
      </c>
      <c r="B101" s="64">
        <v>8.74</v>
      </c>
      <c r="C101" s="64">
        <v>9.82</v>
      </c>
      <c r="D101" s="64">
        <v>10.76</v>
      </c>
      <c r="E101" s="64">
        <v>4.4800000000000004</v>
      </c>
      <c r="F101" s="64">
        <v>3.57</v>
      </c>
      <c r="G101" s="64">
        <v>28.71</v>
      </c>
      <c r="H101" s="64">
        <v>15.88</v>
      </c>
      <c r="I101" s="64">
        <v>2</v>
      </c>
      <c r="J101" s="64">
        <v>0.66</v>
      </c>
      <c r="K101" s="64">
        <v>111.44</v>
      </c>
      <c r="L101" s="64">
        <v>23.82</v>
      </c>
      <c r="M101" s="64">
        <v>100.56</v>
      </c>
      <c r="N101" s="64">
        <v>26.3</v>
      </c>
      <c r="O101" s="64">
        <v>0</v>
      </c>
      <c r="P101" s="64">
        <v>0.51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5" t="s">
        <v>2837</v>
      </c>
      <c r="B102" s="64">
        <v>9.0500000000000007</v>
      </c>
      <c r="C102" s="64">
        <v>9.74</v>
      </c>
      <c r="D102" s="64">
        <v>10.97</v>
      </c>
      <c r="E102" s="64">
        <v>4.5</v>
      </c>
      <c r="F102" s="64">
        <v>3.78</v>
      </c>
      <c r="G102" s="64">
        <v>28.71</v>
      </c>
      <c r="H102" s="64">
        <v>15.88</v>
      </c>
      <c r="I102" s="64">
        <v>2.69</v>
      </c>
      <c r="J102" s="64">
        <v>0.99</v>
      </c>
      <c r="K102" s="64">
        <v>109.39</v>
      </c>
      <c r="L102" s="64">
        <v>23.77</v>
      </c>
      <c r="M102" s="64">
        <v>101.48</v>
      </c>
      <c r="N102" s="64">
        <v>26.4</v>
      </c>
      <c r="O102" s="64">
        <v>0</v>
      </c>
      <c r="P102" s="64">
        <v>0.56000000000000005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5" t="s">
        <v>2838</v>
      </c>
      <c r="B103" s="64">
        <v>9.16</v>
      </c>
      <c r="C103" s="64">
        <v>10.85</v>
      </c>
      <c r="D103" s="64">
        <v>11.64</v>
      </c>
      <c r="E103" s="64">
        <v>4.75</v>
      </c>
      <c r="F103" s="64">
        <v>4.34</v>
      </c>
      <c r="G103" s="64">
        <v>39.909999999999997</v>
      </c>
      <c r="H103" s="64">
        <v>17.760000000000002</v>
      </c>
      <c r="I103" s="64">
        <v>2.79</v>
      </c>
      <c r="J103" s="64">
        <v>0.67</v>
      </c>
      <c r="K103" s="64">
        <v>111.18</v>
      </c>
      <c r="L103" s="64">
        <v>23.72</v>
      </c>
      <c r="M103" s="64">
        <v>101.44</v>
      </c>
      <c r="N103" s="64">
        <v>26.5</v>
      </c>
      <c r="O103" s="64">
        <v>0</v>
      </c>
      <c r="P103" s="64">
        <v>0.62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2839</v>
      </c>
      <c r="B104" s="64">
        <v>9.0399999999999991</v>
      </c>
      <c r="C104" s="64">
        <v>10.88</v>
      </c>
      <c r="D104" s="64">
        <v>11.56</v>
      </c>
      <c r="E104" s="64">
        <v>3.94</v>
      </c>
      <c r="F104" s="64">
        <v>4.2699999999999996</v>
      </c>
      <c r="G104" s="64">
        <v>40.86</v>
      </c>
      <c r="H104" s="64">
        <v>17.760000000000002</v>
      </c>
      <c r="I104" s="64">
        <v>4.42</v>
      </c>
      <c r="J104" s="64">
        <v>0.74</v>
      </c>
      <c r="K104" s="64">
        <v>100.8</v>
      </c>
      <c r="L104" s="64">
        <v>23.7</v>
      </c>
      <c r="M104" s="64">
        <v>100.87</v>
      </c>
      <c r="N104" s="64">
        <v>26.4</v>
      </c>
      <c r="O104" s="64">
        <v>0</v>
      </c>
      <c r="P104" s="64">
        <v>0.55000000000000004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7.59</v>
      </c>
      <c r="C106" s="67">
        <f>MIN(C9:C104)</f>
        <v>9.74</v>
      </c>
      <c r="D106" s="67">
        <f t="shared" ref="D106:Q106" si="0">MIN(D9:D104)</f>
        <v>10.76</v>
      </c>
      <c r="E106" s="67">
        <f t="shared" si="0"/>
        <v>3.3</v>
      </c>
      <c r="F106" s="67">
        <f t="shared" si="0"/>
        <v>3.08</v>
      </c>
      <c r="G106" s="67">
        <f t="shared" si="0"/>
        <v>28.71</v>
      </c>
      <c r="H106" s="67">
        <f t="shared" si="0"/>
        <v>15.88</v>
      </c>
      <c r="I106" s="67">
        <f t="shared" si="0"/>
        <v>2</v>
      </c>
      <c r="J106" s="67">
        <f t="shared" si="0"/>
        <v>0.25</v>
      </c>
      <c r="K106" s="67">
        <f t="shared" si="0"/>
        <v>2.15</v>
      </c>
      <c r="L106" s="67">
        <f t="shared" si="0"/>
        <v>21.99</v>
      </c>
      <c r="M106" s="67">
        <f t="shared" si="0"/>
        <v>56.44</v>
      </c>
      <c r="N106" s="67">
        <f t="shared" si="0"/>
        <v>25.6</v>
      </c>
      <c r="O106" s="67">
        <f t="shared" si="0"/>
        <v>0</v>
      </c>
      <c r="P106" s="67">
        <f t="shared" si="0"/>
        <v>0.5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35.14</v>
      </c>
      <c r="C107" s="66">
        <f t="shared" ref="C107:Q107" si="1">MAX(C9:C104)</f>
        <v>18.88</v>
      </c>
      <c r="D107" s="66">
        <f t="shared" si="1"/>
        <v>35.92</v>
      </c>
      <c r="E107" s="66">
        <f t="shared" si="1"/>
        <v>7.09</v>
      </c>
      <c r="F107" s="66">
        <f t="shared" si="1"/>
        <v>5.2</v>
      </c>
      <c r="G107" s="66">
        <f t="shared" si="1"/>
        <v>94.87</v>
      </c>
      <c r="H107" s="66">
        <f t="shared" si="1"/>
        <v>42.88</v>
      </c>
      <c r="I107" s="66">
        <f t="shared" si="1"/>
        <v>6.32</v>
      </c>
      <c r="J107" s="66">
        <f t="shared" si="1"/>
        <v>2.1</v>
      </c>
      <c r="K107" s="66">
        <f t="shared" si="1"/>
        <v>348.87</v>
      </c>
      <c r="L107" s="66">
        <f t="shared" si="1"/>
        <v>31.29</v>
      </c>
      <c r="M107" s="66">
        <f t="shared" si="1"/>
        <v>101.48</v>
      </c>
      <c r="N107" s="66">
        <f t="shared" si="1"/>
        <v>523.70000000000005</v>
      </c>
      <c r="O107" s="66">
        <f t="shared" si="1"/>
        <v>0</v>
      </c>
      <c r="P107" s="66">
        <f t="shared" si="1"/>
        <v>1.27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16.888645833333332</v>
      </c>
      <c r="C108" s="67">
        <f t="shared" ref="C108:Q108" si="2">AVERAGE(C9:C104)</f>
        <v>14.333437500000002</v>
      </c>
      <c r="D108" s="67">
        <f t="shared" si="2"/>
        <v>19.655104166666668</v>
      </c>
      <c r="E108" s="67">
        <f t="shared" si="2"/>
        <v>5.0761458333333342</v>
      </c>
      <c r="F108" s="67">
        <f t="shared" si="2"/>
        <v>3.9729166666666647</v>
      </c>
      <c r="G108" s="67">
        <f t="shared" si="2"/>
        <v>62.805729166666715</v>
      </c>
      <c r="H108" s="67">
        <f t="shared" si="2"/>
        <v>30.050625000000007</v>
      </c>
      <c r="I108" s="67">
        <f t="shared" si="2"/>
        <v>4.3087500000000016</v>
      </c>
      <c r="J108" s="67">
        <f t="shared" si="2"/>
        <v>1.0721874999999998</v>
      </c>
      <c r="K108" s="67">
        <f t="shared" si="2"/>
        <v>253.5098958333333</v>
      </c>
      <c r="L108" s="67">
        <f t="shared" si="2"/>
        <v>25.376354166666676</v>
      </c>
      <c r="M108" s="67">
        <f t="shared" si="2"/>
        <v>83.710208333333284</v>
      </c>
      <c r="N108" s="67">
        <f t="shared" si="2"/>
        <v>104.52604166666673</v>
      </c>
      <c r="O108" s="67">
        <f t="shared" si="2"/>
        <v>0</v>
      </c>
      <c r="P108" s="67">
        <f t="shared" si="2"/>
        <v>0.73187500000000005</v>
      </c>
      <c r="Q108" s="67">
        <f t="shared" si="2"/>
        <v>9.6193750000000033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6.638487402189984</v>
      </c>
      <c r="C109" s="67">
        <f t="shared" ref="C109:Q109" si="3">STDEV(C9:C104)</f>
        <v>2.3205738074994846</v>
      </c>
      <c r="D109" s="67">
        <f t="shared" si="3"/>
        <v>5.8538521720481764</v>
      </c>
      <c r="E109" s="67">
        <f t="shared" si="3"/>
        <v>0.8390161779905172</v>
      </c>
      <c r="F109" s="67">
        <f t="shared" si="3"/>
        <v>0.45617844307884164</v>
      </c>
      <c r="G109" s="67">
        <f t="shared" si="3"/>
        <v>17.421647559092566</v>
      </c>
      <c r="H109" s="67">
        <f t="shared" si="3"/>
        <v>7.0597943629661533</v>
      </c>
      <c r="I109" s="67">
        <f t="shared" si="3"/>
        <v>0.9126990049760052</v>
      </c>
      <c r="J109" s="67">
        <f t="shared" si="3"/>
        <v>0.5004276131995834</v>
      </c>
      <c r="K109" s="67">
        <f t="shared" si="3"/>
        <v>115.60663280456737</v>
      </c>
      <c r="L109" s="67">
        <f t="shared" si="3"/>
        <v>2.5262862778109962</v>
      </c>
      <c r="M109" s="67">
        <f t="shared" si="3"/>
        <v>12.330080204560149</v>
      </c>
      <c r="N109" s="67">
        <f t="shared" si="3"/>
        <v>123.55886749135246</v>
      </c>
      <c r="O109" s="67">
        <f t="shared" si="3"/>
        <v>0</v>
      </c>
      <c r="P109" s="67">
        <f t="shared" si="3"/>
        <v>0.13131971832536379</v>
      </c>
      <c r="Q109" s="67">
        <f t="shared" si="3"/>
        <v>8.1837451213080045E-3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2840</v>
      </c>
      <c r="B9" s="64">
        <v>8.5</v>
      </c>
      <c r="C9" s="64">
        <v>10.48</v>
      </c>
      <c r="D9" s="64">
        <v>10.91</v>
      </c>
      <c r="E9" s="64">
        <v>4.47</v>
      </c>
      <c r="F9" s="64">
        <v>3.8</v>
      </c>
      <c r="G9" s="64">
        <v>40.86</v>
      </c>
      <c r="H9" s="64">
        <v>17.760000000000002</v>
      </c>
      <c r="I9" s="64">
        <v>5.29</v>
      </c>
      <c r="J9" s="64">
        <v>1.05</v>
      </c>
      <c r="K9" s="64">
        <v>116</v>
      </c>
      <c r="L9" s="64">
        <v>23.68</v>
      </c>
      <c r="M9" s="64">
        <v>100.52</v>
      </c>
      <c r="N9" s="64">
        <v>26.5</v>
      </c>
      <c r="O9" s="64">
        <v>0</v>
      </c>
      <c r="P9" s="64">
        <v>0.55000000000000004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5" t="s">
        <v>2841</v>
      </c>
      <c r="B10" s="64">
        <v>7.87</v>
      </c>
      <c r="C10" s="64">
        <v>10.199999999999999</v>
      </c>
      <c r="D10" s="64">
        <v>10.27</v>
      </c>
      <c r="E10" s="64">
        <v>4.16</v>
      </c>
      <c r="F10" s="64">
        <v>3.72</v>
      </c>
      <c r="G10" s="64">
        <v>40.86</v>
      </c>
      <c r="H10" s="64">
        <v>17.760000000000002</v>
      </c>
      <c r="I10" s="64">
        <v>5.44</v>
      </c>
      <c r="J10" s="64">
        <v>1.32</v>
      </c>
      <c r="K10" s="64">
        <v>116.17</v>
      </c>
      <c r="L10" s="64">
        <v>23.68</v>
      </c>
      <c r="M10" s="64">
        <v>100.85</v>
      </c>
      <c r="N10" s="64">
        <v>26.4</v>
      </c>
      <c r="O10" s="64">
        <v>0</v>
      </c>
      <c r="P10" s="64">
        <v>0.54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2842</v>
      </c>
      <c r="B11" s="64">
        <v>7.3</v>
      </c>
      <c r="C11" s="64">
        <v>10.19</v>
      </c>
      <c r="D11" s="64">
        <v>9.8000000000000007</v>
      </c>
      <c r="E11" s="64">
        <v>4.9800000000000004</v>
      </c>
      <c r="F11" s="64">
        <v>2.91</v>
      </c>
      <c r="G11" s="64">
        <v>33.57</v>
      </c>
      <c r="H11" s="64">
        <v>12.98</v>
      </c>
      <c r="I11" s="64">
        <v>5.58</v>
      </c>
      <c r="J11" s="64">
        <v>1.1200000000000001</v>
      </c>
      <c r="K11" s="64">
        <v>119.28</v>
      </c>
      <c r="L11" s="64">
        <v>23.65</v>
      </c>
      <c r="M11" s="64">
        <v>100.75</v>
      </c>
      <c r="N11" s="64">
        <v>26.5</v>
      </c>
      <c r="O11" s="64">
        <v>0</v>
      </c>
      <c r="P11" s="64">
        <v>0.51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2843</v>
      </c>
      <c r="B12" s="64">
        <v>6.76</v>
      </c>
      <c r="C12" s="64">
        <v>9.9499999999999993</v>
      </c>
      <c r="D12" s="64">
        <v>9.24</v>
      </c>
      <c r="E12" s="64">
        <v>4.04</v>
      </c>
      <c r="F12" s="64">
        <v>3.33</v>
      </c>
      <c r="G12" s="64">
        <v>32.950000000000003</v>
      </c>
      <c r="H12" s="64">
        <v>12.98</v>
      </c>
      <c r="I12" s="64">
        <v>5.59</v>
      </c>
      <c r="J12" s="64">
        <v>1.55</v>
      </c>
      <c r="K12" s="64">
        <v>117.71</v>
      </c>
      <c r="L12" s="64">
        <v>23.67</v>
      </c>
      <c r="M12" s="64">
        <v>100.08</v>
      </c>
      <c r="N12" s="64">
        <v>26.3</v>
      </c>
      <c r="O12" s="64">
        <v>0</v>
      </c>
      <c r="P12" s="64">
        <v>0.54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2844</v>
      </c>
      <c r="B13" s="64">
        <v>6.19</v>
      </c>
      <c r="C13" s="64">
        <v>9.85</v>
      </c>
      <c r="D13" s="64">
        <v>8.73</v>
      </c>
      <c r="E13" s="64">
        <v>4.33</v>
      </c>
      <c r="F13" s="64">
        <v>4.51</v>
      </c>
      <c r="G13" s="64">
        <v>32.950000000000003</v>
      </c>
      <c r="H13" s="64">
        <v>12.98</v>
      </c>
      <c r="I13" s="64">
        <v>5.62</v>
      </c>
      <c r="J13" s="64">
        <v>0.8</v>
      </c>
      <c r="K13" s="64">
        <v>107.96</v>
      </c>
      <c r="L13" s="64">
        <v>23.65</v>
      </c>
      <c r="M13" s="64">
        <v>101.93</v>
      </c>
      <c r="N13" s="64">
        <v>26.5</v>
      </c>
      <c r="O13" s="64">
        <v>0</v>
      </c>
      <c r="P13" s="64">
        <v>0.47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2845</v>
      </c>
      <c r="B14" s="64">
        <v>5.69</v>
      </c>
      <c r="C14" s="64">
        <v>9.6199999999999992</v>
      </c>
      <c r="D14" s="64">
        <v>8.2100000000000009</v>
      </c>
      <c r="E14" s="64">
        <v>4.24</v>
      </c>
      <c r="F14" s="64">
        <v>4.3099999999999996</v>
      </c>
      <c r="G14" s="64">
        <v>32.950000000000003</v>
      </c>
      <c r="H14" s="64">
        <v>12.98</v>
      </c>
      <c r="I14" s="64">
        <v>6.02</v>
      </c>
      <c r="J14" s="64">
        <v>1.25</v>
      </c>
      <c r="K14" s="64">
        <v>115.74</v>
      </c>
      <c r="L14" s="64">
        <v>23.59</v>
      </c>
      <c r="M14" s="64">
        <v>101.51</v>
      </c>
      <c r="N14" s="64">
        <v>26.5</v>
      </c>
      <c r="O14" s="64">
        <v>0</v>
      </c>
      <c r="P14" s="64">
        <v>0.5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2846</v>
      </c>
      <c r="B15" s="64">
        <v>5.34</v>
      </c>
      <c r="C15" s="64">
        <v>9.93</v>
      </c>
      <c r="D15" s="64">
        <v>8.09</v>
      </c>
      <c r="E15" s="64">
        <v>4.3600000000000003</v>
      </c>
      <c r="F15" s="64">
        <v>3.01</v>
      </c>
      <c r="G15" s="64">
        <v>23.2</v>
      </c>
      <c r="H15" s="64">
        <v>9.2799999999999994</v>
      </c>
      <c r="I15" s="64">
        <v>5.15</v>
      </c>
      <c r="J15" s="64">
        <v>0.86</v>
      </c>
      <c r="K15" s="64">
        <v>109.95</v>
      </c>
      <c r="L15" s="64">
        <v>23.6</v>
      </c>
      <c r="M15" s="64">
        <v>101.67</v>
      </c>
      <c r="N15" s="64">
        <v>26.5</v>
      </c>
      <c r="O15" s="64">
        <v>0</v>
      </c>
      <c r="P15" s="64">
        <v>0.45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5" t="s">
        <v>2847</v>
      </c>
      <c r="B16" s="64">
        <v>5.0999999999999996</v>
      </c>
      <c r="C16" s="64">
        <v>8.98</v>
      </c>
      <c r="D16" s="64">
        <v>7.4</v>
      </c>
      <c r="E16" s="64">
        <v>4.17</v>
      </c>
      <c r="F16" s="64">
        <v>3.32</v>
      </c>
      <c r="G16" s="64">
        <v>22.25</v>
      </c>
      <c r="H16" s="64">
        <v>9.2799999999999994</v>
      </c>
      <c r="I16" s="64">
        <v>5.14</v>
      </c>
      <c r="J16" s="64">
        <v>0.9</v>
      </c>
      <c r="K16" s="64">
        <v>115.49</v>
      </c>
      <c r="L16" s="64">
        <v>23.59</v>
      </c>
      <c r="M16" s="64">
        <v>100.63</v>
      </c>
      <c r="N16" s="64">
        <v>26.3</v>
      </c>
      <c r="O16" s="64">
        <v>0</v>
      </c>
      <c r="P16" s="64">
        <v>0.36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5" t="s">
        <v>2848</v>
      </c>
      <c r="B17" s="64">
        <v>4.95</v>
      </c>
      <c r="C17" s="64">
        <v>8.31</v>
      </c>
      <c r="D17" s="64">
        <v>6.93</v>
      </c>
      <c r="E17" s="64">
        <v>3.79</v>
      </c>
      <c r="F17" s="64">
        <v>4.1900000000000004</v>
      </c>
      <c r="G17" s="64">
        <v>22.25</v>
      </c>
      <c r="H17" s="64">
        <v>9.2799999999999994</v>
      </c>
      <c r="I17" s="64">
        <v>3.97</v>
      </c>
      <c r="J17" s="64">
        <v>0.99</v>
      </c>
      <c r="K17" s="64">
        <v>103.78</v>
      </c>
      <c r="L17" s="64">
        <v>23.55</v>
      </c>
      <c r="M17" s="64">
        <v>99.15</v>
      </c>
      <c r="N17" s="64">
        <v>26.5</v>
      </c>
      <c r="O17" s="64">
        <v>0</v>
      </c>
      <c r="P17" s="64">
        <v>0.37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5" t="s">
        <v>2849</v>
      </c>
      <c r="B18" s="64">
        <v>4.82</v>
      </c>
      <c r="C18" s="64">
        <v>8.1999999999999993</v>
      </c>
      <c r="D18" s="64">
        <v>6.77</v>
      </c>
      <c r="E18" s="64">
        <v>3.96</v>
      </c>
      <c r="F18" s="64">
        <v>3.83</v>
      </c>
      <c r="G18" s="64">
        <v>22.25</v>
      </c>
      <c r="H18" s="64">
        <v>9.2799999999999994</v>
      </c>
      <c r="I18" s="64">
        <v>2.9</v>
      </c>
      <c r="J18" s="64">
        <v>0.49</v>
      </c>
      <c r="K18" s="64">
        <v>94.77</v>
      </c>
      <c r="L18" s="64">
        <v>23.46</v>
      </c>
      <c r="M18" s="64">
        <v>99.03</v>
      </c>
      <c r="N18" s="64">
        <v>26.3</v>
      </c>
      <c r="O18" s="64">
        <v>0</v>
      </c>
      <c r="P18" s="64">
        <v>0.33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2850</v>
      </c>
      <c r="B19" s="64">
        <v>4.7</v>
      </c>
      <c r="C19" s="64">
        <v>8.1199999999999992</v>
      </c>
      <c r="D19" s="64">
        <v>6.64</v>
      </c>
      <c r="E19" s="64">
        <v>3.76</v>
      </c>
      <c r="F19" s="64">
        <v>4.57</v>
      </c>
      <c r="G19" s="64">
        <v>21.3</v>
      </c>
      <c r="H19" s="64">
        <v>12.47</v>
      </c>
      <c r="I19" s="64">
        <v>2.4500000000000002</v>
      </c>
      <c r="J19" s="64">
        <v>0.37</v>
      </c>
      <c r="K19" s="64">
        <v>94.21</v>
      </c>
      <c r="L19" s="64">
        <v>23.43</v>
      </c>
      <c r="M19" s="64">
        <v>99.81</v>
      </c>
      <c r="N19" s="64">
        <v>26.2</v>
      </c>
      <c r="O19" s="64">
        <v>0</v>
      </c>
      <c r="P19" s="64">
        <v>0.33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2851</v>
      </c>
      <c r="B20" s="64">
        <v>4.63</v>
      </c>
      <c r="C20" s="64">
        <v>7.96</v>
      </c>
      <c r="D20" s="64">
        <v>6.49</v>
      </c>
      <c r="E20" s="64">
        <v>4.2</v>
      </c>
      <c r="F20" s="64">
        <v>3.8</v>
      </c>
      <c r="G20" s="64">
        <v>21.2</v>
      </c>
      <c r="H20" s="64">
        <v>12.47</v>
      </c>
      <c r="I20" s="64">
        <v>1.61</v>
      </c>
      <c r="J20" s="64">
        <v>0.71</v>
      </c>
      <c r="K20" s="64">
        <v>116.39</v>
      </c>
      <c r="L20" s="64">
        <v>23.41</v>
      </c>
      <c r="M20" s="64">
        <v>100.27</v>
      </c>
      <c r="N20" s="64">
        <v>26.3</v>
      </c>
      <c r="O20" s="64">
        <v>0</v>
      </c>
      <c r="P20" s="64">
        <v>0.33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2852</v>
      </c>
      <c r="B21" s="64">
        <v>4.5599999999999996</v>
      </c>
      <c r="C21" s="64">
        <v>7.7</v>
      </c>
      <c r="D21" s="64">
        <v>6.3</v>
      </c>
      <c r="E21" s="64">
        <v>4.32</v>
      </c>
      <c r="F21" s="64">
        <v>3.69</v>
      </c>
      <c r="G21" s="64">
        <v>21.2</v>
      </c>
      <c r="H21" s="64">
        <v>12.47</v>
      </c>
      <c r="I21" s="64">
        <v>1.67</v>
      </c>
      <c r="J21" s="64">
        <v>0.68</v>
      </c>
      <c r="K21" s="64">
        <v>110.05</v>
      </c>
      <c r="L21" s="64">
        <v>23.29</v>
      </c>
      <c r="M21" s="64">
        <v>100.69</v>
      </c>
      <c r="N21" s="64">
        <v>26.3</v>
      </c>
      <c r="O21" s="64">
        <v>0</v>
      </c>
      <c r="P21" s="64">
        <v>0.32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2853</v>
      </c>
      <c r="B22" s="64">
        <v>4.43</v>
      </c>
      <c r="C22" s="64">
        <v>7.48</v>
      </c>
      <c r="D22" s="64">
        <v>6.08</v>
      </c>
      <c r="E22" s="64">
        <v>4.1500000000000004</v>
      </c>
      <c r="F22" s="64">
        <v>3.52</v>
      </c>
      <c r="G22" s="64">
        <v>21.2</v>
      </c>
      <c r="H22" s="64">
        <v>12.47</v>
      </c>
      <c r="I22" s="64">
        <v>1.81</v>
      </c>
      <c r="J22" s="64">
        <v>1.04</v>
      </c>
      <c r="K22" s="64">
        <v>111.14</v>
      </c>
      <c r="L22" s="64">
        <v>23.22</v>
      </c>
      <c r="M22" s="64">
        <v>101.58</v>
      </c>
      <c r="N22" s="64">
        <v>26.1</v>
      </c>
      <c r="O22" s="64">
        <v>0</v>
      </c>
      <c r="P22" s="64">
        <v>0.35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2854</v>
      </c>
      <c r="B23" s="64">
        <v>4.37</v>
      </c>
      <c r="C23" s="64">
        <v>7.48</v>
      </c>
      <c r="D23" s="64">
        <v>6.03</v>
      </c>
      <c r="E23" s="64">
        <v>4.0999999999999996</v>
      </c>
      <c r="F23" s="64">
        <v>3.83</v>
      </c>
      <c r="G23" s="64">
        <v>23.63</v>
      </c>
      <c r="H23" s="64">
        <v>8.8800000000000008</v>
      </c>
      <c r="I23" s="64">
        <v>1.47</v>
      </c>
      <c r="J23" s="64">
        <v>1.4</v>
      </c>
      <c r="K23" s="64">
        <v>114.69</v>
      </c>
      <c r="L23" s="64">
        <v>23.18</v>
      </c>
      <c r="M23" s="64">
        <v>101.74</v>
      </c>
      <c r="N23" s="64">
        <v>26.1</v>
      </c>
      <c r="O23" s="64">
        <v>0</v>
      </c>
      <c r="P23" s="64">
        <v>0.41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2855</v>
      </c>
      <c r="B24" s="64">
        <v>4.24</v>
      </c>
      <c r="C24" s="64">
        <v>8.4700000000000006</v>
      </c>
      <c r="D24" s="64">
        <v>6.45</v>
      </c>
      <c r="E24" s="64">
        <v>3.66</v>
      </c>
      <c r="F24" s="64">
        <v>3.72</v>
      </c>
      <c r="G24" s="64">
        <v>23.87</v>
      </c>
      <c r="H24" s="64">
        <v>8.8800000000000008</v>
      </c>
      <c r="I24" s="64">
        <v>2.77</v>
      </c>
      <c r="J24" s="64">
        <v>1.01</v>
      </c>
      <c r="K24" s="64">
        <v>111.28</v>
      </c>
      <c r="L24" s="64">
        <v>23.15</v>
      </c>
      <c r="M24" s="64">
        <v>101.77</v>
      </c>
      <c r="N24" s="64">
        <v>26.1</v>
      </c>
      <c r="O24" s="64">
        <v>0</v>
      </c>
      <c r="P24" s="64">
        <v>0.42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2856</v>
      </c>
      <c r="B25" s="64">
        <v>4.03</v>
      </c>
      <c r="C25" s="64">
        <v>8.5</v>
      </c>
      <c r="D25" s="64">
        <v>6.3</v>
      </c>
      <c r="E25" s="64">
        <v>3.99</v>
      </c>
      <c r="F25" s="64">
        <v>3.68</v>
      </c>
      <c r="G25" s="64">
        <v>23.87</v>
      </c>
      <c r="H25" s="64">
        <v>8.8800000000000008</v>
      </c>
      <c r="I25" s="64">
        <v>5.24</v>
      </c>
      <c r="J25" s="64">
        <v>1.48</v>
      </c>
      <c r="K25" s="64">
        <v>107.2</v>
      </c>
      <c r="L25" s="64">
        <v>23.13</v>
      </c>
      <c r="M25" s="64">
        <v>100.62</v>
      </c>
      <c r="N25" s="64">
        <v>26.2</v>
      </c>
      <c r="O25" s="64">
        <v>0</v>
      </c>
      <c r="P25" s="64">
        <v>0.41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2857</v>
      </c>
      <c r="B26" s="64">
        <v>3.85</v>
      </c>
      <c r="C26" s="64">
        <v>8.4499999999999993</v>
      </c>
      <c r="D26" s="64">
        <v>6.13</v>
      </c>
      <c r="E26" s="64">
        <v>3.87</v>
      </c>
      <c r="F26" s="64">
        <v>3.95</v>
      </c>
      <c r="G26" s="64">
        <v>23.87</v>
      </c>
      <c r="H26" s="64">
        <v>8.8800000000000008</v>
      </c>
      <c r="I26" s="64">
        <v>6.05</v>
      </c>
      <c r="J26" s="64">
        <v>1.1000000000000001</v>
      </c>
      <c r="K26" s="64">
        <v>107.97</v>
      </c>
      <c r="L26" s="64">
        <v>23.1</v>
      </c>
      <c r="M26" s="64">
        <v>101.23</v>
      </c>
      <c r="N26" s="64">
        <v>26.4</v>
      </c>
      <c r="O26" s="64">
        <v>0</v>
      </c>
      <c r="P26" s="64">
        <v>0.4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2858</v>
      </c>
      <c r="B27" s="64">
        <v>3.71</v>
      </c>
      <c r="C27" s="64">
        <v>8.43</v>
      </c>
      <c r="D27" s="64">
        <v>6</v>
      </c>
      <c r="E27" s="64">
        <v>3.78</v>
      </c>
      <c r="F27" s="64">
        <v>3.72</v>
      </c>
      <c r="G27" s="64">
        <v>22.32</v>
      </c>
      <c r="H27" s="64">
        <v>14.48</v>
      </c>
      <c r="I27" s="64">
        <v>6.27</v>
      </c>
      <c r="J27" s="64">
        <v>0.88</v>
      </c>
      <c r="K27" s="64">
        <v>104.5</v>
      </c>
      <c r="L27" s="64">
        <v>23.14</v>
      </c>
      <c r="M27" s="64">
        <v>101.1</v>
      </c>
      <c r="N27" s="64">
        <v>26.2</v>
      </c>
      <c r="O27" s="64">
        <v>0</v>
      </c>
      <c r="P27" s="64">
        <v>0.38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2859</v>
      </c>
      <c r="B28" s="64">
        <v>3.68</v>
      </c>
      <c r="C28" s="64">
        <v>8.59</v>
      </c>
      <c r="D28" s="64">
        <v>6.06</v>
      </c>
      <c r="E28" s="64">
        <v>3.62</v>
      </c>
      <c r="F28" s="64">
        <v>3.73</v>
      </c>
      <c r="G28" s="64">
        <v>22.17</v>
      </c>
      <c r="H28" s="64">
        <v>14.48</v>
      </c>
      <c r="I28" s="64">
        <v>5.94</v>
      </c>
      <c r="J28" s="64">
        <v>1.01</v>
      </c>
      <c r="K28" s="64">
        <v>109.89</v>
      </c>
      <c r="L28" s="64">
        <v>23.18</v>
      </c>
      <c r="M28" s="64">
        <v>99.83</v>
      </c>
      <c r="N28" s="64">
        <v>26.3</v>
      </c>
      <c r="O28" s="64">
        <v>0</v>
      </c>
      <c r="P28" s="64">
        <v>0.37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2860</v>
      </c>
      <c r="B29" s="64">
        <v>3.66</v>
      </c>
      <c r="C29" s="64">
        <v>8.77</v>
      </c>
      <c r="D29" s="64">
        <v>6.14</v>
      </c>
      <c r="E29" s="64">
        <v>3.81</v>
      </c>
      <c r="F29" s="64">
        <v>3.04</v>
      </c>
      <c r="G29" s="64">
        <v>22.17</v>
      </c>
      <c r="H29" s="64">
        <v>14.48</v>
      </c>
      <c r="I29" s="64">
        <v>5.83</v>
      </c>
      <c r="J29" s="64">
        <v>0.65</v>
      </c>
      <c r="K29" s="64">
        <v>118.01</v>
      </c>
      <c r="L29" s="64">
        <v>23.18</v>
      </c>
      <c r="M29" s="64">
        <v>100.27</v>
      </c>
      <c r="N29" s="64">
        <v>26.5</v>
      </c>
      <c r="O29" s="64">
        <v>0</v>
      </c>
      <c r="P29" s="64">
        <v>0.37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2861</v>
      </c>
      <c r="B30" s="64">
        <v>3.68</v>
      </c>
      <c r="C30" s="64">
        <v>8.84</v>
      </c>
      <c r="D30" s="64">
        <v>6.19</v>
      </c>
      <c r="E30" s="64">
        <v>3.38</v>
      </c>
      <c r="F30" s="64">
        <v>3.88</v>
      </c>
      <c r="G30" s="64">
        <v>22.17</v>
      </c>
      <c r="H30" s="64">
        <v>14.48</v>
      </c>
      <c r="I30" s="64">
        <v>6.23</v>
      </c>
      <c r="J30" s="64">
        <v>1.06</v>
      </c>
      <c r="K30" s="64">
        <v>116.33</v>
      </c>
      <c r="L30" s="64">
        <v>23.14</v>
      </c>
      <c r="M30" s="64">
        <v>100.99</v>
      </c>
      <c r="N30" s="64">
        <v>26.4</v>
      </c>
      <c r="O30" s="64">
        <v>0</v>
      </c>
      <c r="P30" s="64">
        <v>0.37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2862</v>
      </c>
      <c r="B31" s="64">
        <v>3.73</v>
      </c>
      <c r="C31" s="64">
        <v>8.76</v>
      </c>
      <c r="D31" s="64">
        <v>6.19</v>
      </c>
      <c r="E31" s="64">
        <v>3.95</v>
      </c>
      <c r="F31" s="64">
        <v>4.22</v>
      </c>
      <c r="G31" s="64">
        <v>23.93</v>
      </c>
      <c r="H31" s="64">
        <v>15.69</v>
      </c>
      <c r="I31" s="64">
        <v>5.71</v>
      </c>
      <c r="J31" s="64">
        <v>1.1000000000000001</v>
      </c>
      <c r="K31" s="64">
        <v>106.39</v>
      </c>
      <c r="L31" s="64">
        <v>23.11</v>
      </c>
      <c r="M31" s="64">
        <v>101.97</v>
      </c>
      <c r="N31" s="64">
        <v>26.4</v>
      </c>
      <c r="O31" s="64">
        <v>0</v>
      </c>
      <c r="P31" s="64">
        <v>0.36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2863</v>
      </c>
      <c r="B32" s="64">
        <v>3.89</v>
      </c>
      <c r="C32" s="64">
        <v>9.2200000000000006</v>
      </c>
      <c r="D32" s="64">
        <v>6.56</v>
      </c>
      <c r="E32" s="64">
        <v>3.81</v>
      </c>
      <c r="F32" s="64">
        <v>3.18</v>
      </c>
      <c r="G32" s="64">
        <v>24.1</v>
      </c>
      <c r="H32" s="64">
        <v>15.69</v>
      </c>
      <c r="I32" s="64">
        <v>5.0999999999999996</v>
      </c>
      <c r="J32" s="64">
        <v>0.83</v>
      </c>
      <c r="K32" s="64">
        <v>114.53</v>
      </c>
      <c r="L32" s="64">
        <v>23.07</v>
      </c>
      <c r="M32" s="64">
        <v>102.7</v>
      </c>
      <c r="N32" s="64">
        <v>26.6</v>
      </c>
      <c r="O32" s="64">
        <v>0</v>
      </c>
      <c r="P32" s="64">
        <v>0.34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2864</v>
      </c>
      <c r="B33" s="64">
        <v>4.03</v>
      </c>
      <c r="C33" s="64">
        <v>8.32</v>
      </c>
      <c r="D33" s="64">
        <v>6.2</v>
      </c>
      <c r="E33" s="64">
        <v>3.43</v>
      </c>
      <c r="F33" s="64">
        <v>3.77</v>
      </c>
      <c r="G33" s="64">
        <v>24.1</v>
      </c>
      <c r="H33" s="64">
        <v>15.69</v>
      </c>
      <c r="I33" s="64">
        <v>5.64</v>
      </c>
      <c r="J33" s="64">
        <v>0.79</v>
      </c>
      <c r="K33" s="64">
        <v>100.9</v>
      </c>
      <c r="L33" s="64">
        <v>23.1</v>
      </c>
      <c r="M33" s="64">
        <v>102.71</v>
      </c>
      <c r="N33" s="64">
        <v>27.8</v>
      </c>
      <c r="O33" s="64">
        <v>0</v>
      </c>
      <c r="P33" s="64">
        <v>0.32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5" t="s">
        <v>2865</v>
      </c>
      <c r="B34" s="64">
        <v>4.18</v>
      </c>
      <c r="C34" s="64">
        <v>8.01</v>
      </c>
      <c r="D34" s="64">
        <v>6.16</v>
      </c>
      <c r="E34" s="64">
        <v>3.25</v>
      </c>
      <c r="F34" s="64">
        <v>3.63</v>
      </c>
      <c r="G34" s="64">
        <v>24.1</v>
      </c>
      <c r="H34" s="64">
        <v>15.69</v>
      </c>
      <c r="I34" s="64">
        <v>3.59</v>
      </c>
      <c r="J34" s="64">
        <v>1.1599999999999999</v>
      </c>
      <c r="K34" s="64">
        <v>114.07</v>
      </c>
      <c r="L34" s="64">
        <v>23.13</v>
      </c>
      <c r="M34" s="64">
        <v>102.7</v>
      </c>
      <c r="N34" s="64">
        <v>35.4</v>
      </c>
      <c r="O34" s="64">
        <v>0</v>
      </c>
      <c r="P34" s="64">
        <v>0.33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2866</v>
      </c>
      <c r="B35" s="64">
        <v>4.33</v>
      </c>
      <c r="C35" s="64">
        <v>7.99</v>
      </c>
      <c r="D35" s="64">
        <v>6.27</v>
      </c>
      <c r="E35" s="64">
        <v>3.53</v>
      </c>
      <c r="F35" s="64">
        <v>3.23</v>
      </c>
      <c r="G35" s="64">
        <v>21.05</v>
      </c>
      <c r="H35" s="64">
        <v>13.21</v>
      </c>
      <c r="I35" s="64">
        <v>2.94</v>
      </c>
      <c r="J35" s="64">
        <v>0.86</v>
      </c>
      <c r="K35" s="64">
        <v>109.71</v>
      </c>
      <c r="L35" s="64">
        <v>23.27</v>
      </c>
      <c r="M35" s="64">
        <v>102.28</v>
      </c>
      <c r="N35" s="64">
        <v>43.6</v>
      </c>
      <c r="O35" s="64">
        <v>0</v>
      </c>
      <c r="P35" s="64">
        <v>0.31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5" t="s">
        <v>2867</v>
      </c>
      <c r="B36" s="64">
        <v>4.45</v>
      </c>
      <c r="C36" s="64">
        <v>7.95</v>
      </c>
      <c r="D36" s="64">
        <v>6.34</v>
      </c>
      <c r="E36" s="64">
        <v>3.73</v>
      </c>
      <c r="F36" s="64">
        <v>3.59</v>
      </c>
      <c r="G36" s="64">
        <v>20.79</v>
      </c>
      <c r="H36" s="64">
        <v>13.21</v>
      </c>
      <c r="I36" s="64">
        <v>2.65</v>
      </c>
      <c r="J36" s="64">
        <v>0.88</v>
      </c>
      <c r="K36" s="64">
        <v>110.06</v>
      </c>
      <c r="L36" s="64">
        <v>23.32</v>
      </c>
      <c r="M36" s="64">
        <v>101.83</v>
      </c>
      <c r="N36" s="64">
        <v>50.4</v>
      </c>
      <c r="O36" s="64">
        <v>0</v>
      </c>
      <c r="P36" s="64">
        <v>0.31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2868</v>
      </c>
      <c r="B37" s="64">
        <v>4.49</v>
      </c>
      <c r="C37" s="64">
        <v>7.61</v>
      </c>
      <c r="D37" s="64">
        <v>6.2</v>
      </c>
      <c r="E37" s="64">
        <v>3.63</v>
      </c>
      <c r="F37" s="64">
        <v>4.09</v>
      </c>
      <c r="G37" s="64">
        <v>20.79</v>
      </c>
      <c r="H37" s="64">
        <v>13.21</v>
      </c>
      <c r="I37" s="64">
        <v>2.59</v>
      </c>
      <c r="J37" s="64">
        <v>0.65</v>
      </c>
      <c r="K37" s="64">
        <v>104.05</v>
      </c>
      <c r="L37" s="64">
        <v>23.56</v>
      </c>
      <c r="M37" s="64">
        <v>101.3</v>
      </c>
      <c r="N37" s="64">
        <v>73</v>
      </c>
      <c r="O37" s="64">
        <v>0</v>
      </c>
      <c r="P37" s="64">
        <v>0.38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2869</v>
      </c>
      <c r="B38" s="64">
        <v>4.6399999999999997</v>
      </c>
      <c r="C38" s="64">
        <v>7.43</v>
      </c>
      <c r="D38" s="64">
        <v>6.23</v>
      </c>
      <c r="E38" s="64">
        <v>3.69</v>
      </c>
      <c r="F38" s="64">
        <v>3.59</v>
      </c>
      <c r="G38" s="64">
        <v>20.79</v>
      </c>
      <c r="H38" s="64">
        <v>13.21</v>
      </c>
      <c r="I38" s="64">
        <v>2.12</v>
      </c>
      <c r="J38" s="64">
        <v>1</v>
      </c>
      <c r="K38" s="64">
        <v>109.1</v>
      </c>
      <c r="L38" s="64">
        <v>23.77</v>
      </c>
      <c r="M38" s="64">
        <v>100.13</v>
      </c>
      <c r="N38" s="64">
        <v>118</v>
      </c>
      <c r="O38" s="64">
        <v>0</v>
      </c>
      <c r="P38" s="64">
        <v>0.4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2870</v>
      </c>
      <c r="B39" s="64">
        <v>4.8</v>
      </c>
      <c r="C39" s="64">
        <v>7.43</v>
      </c>
      <c r="D39" s="64">
        <v>6.35</v>
      </c>
      <c r="E39" s="64">
        <v>3.74</v>
      </c>
      <c r="F39" s="64">
        <v>3.35</v>
      </c>
      <c r="G39" s="64">
        <v>22.34</v>
      </c>
      <c r="H39" s="64">
        <v>12.69</v>
      </c>
      <c r="I39" s="64">
        <v>1.78</v>
      </c>
      <c r="J39" s="64">
        <v>0.7</v>
      </c>
      <c r="K39" s="64">
        <v>121.59</v>
      </c>
      <c r="L39" s="64">
        <v>24.53</v>
      </c>
      <c r="M39" s="64">
        <v>96.48</v>
      </c>
      <c r="N39" s="64">
        <v>163</v>
      </c>
      <c r="O39" s="64">
        <v>0</v>
      </c>
      <c r="P39" s="64">
        <v>0.42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2871</v>
      </c>
      <c r="B40" s="64">
        <v>5.03</v>
      </c>
      <c r="C40" s="64">
        <v>7.88</v>
      </c>
      <c r="D40" s="64">
        <v>6.78</v>
      </c>
      <c r="E40" s="64">
        <v>4.6900000000000004</v>
      </c>
      <c r="F40" s="64">
        <v>3.51</v>
      </c>
      <c r="G40" s="64">
        <v>22.5</v>
      </c>
      <c r="H40" s="64">
        <v>12.69</v>
      </c>
      <c r="I40" s="64">
        <v>2.17</v>
      </c>
      <c r="J40" s="64">
        <v>1.22</v>
      </c>
      <c r="K40" s="64">
        <v>112.43</v>
      </c>
      <c r="L40" s="64">
        <v>24.53</v>
      </c>
      <c r="M40" s="64">
        <v>94.88</v>
      </c>
      <c r="N40" s="64">
        <v>174.5</v>
      </c>
      <c r="O40" s="64">
        <v>0</v>
      </c>
      <c r="P40" s="64">
        <v>0.42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2872</v>
      </c>
      <c r="B41" s="64">
        <v>5.54</v>
      </c>
      <c r="C41" s="64">
        <v>8.94</v>
      </c>
      <c r="D41" s="64">
        <v>7.73</v>
      </c>
      <c r="E41" s="64">
        <v>4.47</v>
      </c>
      <c r="F41" s="64">
        <v>3.28</v>
      </c>
      <c r="G41" s="64">
        <v>22.5</v>
      </c>
      <c r="H41" s="64">
        <v>12.69</v>
      </c>
      <c r="I41" s="64">
        <v>3.62</v>
      </c>
      <c r="J41" s="64">
        <v>0.72</v>
      </c>
      <c r="K41" s="64">
        <v>118.29</v>
      </c>
      <c r="L41" s="64">
        <v>25.13</v>
      </c>
      <c r="M41" s="64">
        <v>91.5</v>
      </c>
      <c r="N41" s="64">
        <v>174.1</v>
      </c>
      <c r="O41" s="64">
        <v>0</v>
      </c>
      <c r="P41" s="64">
        <v>0.44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2873</v>
      </c>
      <c r="B42" s="64">
        <v>6.71</v>
      </c>
      <c r="C42" s="64">
        <v>9.33</v>
      </c>
      <c r="D42" s="64">
        <v>8.8800000000000008</v>
      </c>
      <c r="E42" s="64">
        <v>4.95</v>
      </c>
      <c r="F42" s="64">
        <v>4.6100000000000003</v>
      </c>
      <c r="G42" s="64">
        <v>22.5</v>
      </c>
      <c r="H42" s="64">
        <v>12.69</v>
      </c>
      <c r="I42" s="64">
        <v>5.64</v>
      </c>
      <c r="J42" s="64">
        <v>0.43</v>
      </c>
      <c r="K42" s="64">
        <v>90.9</v>
      </c>
      <c r="L42" s="64">
        <v>25.49</v>
      </c>
      <c r="M42" s="64">
        <v>89.8</v>
      </c>
      <c r="N42" s="64">
        <v>174.9</v>
      </c>
      <c r="O42" s="64">
        <v>0</v>
      </c>
      <c r="P42" s="64">
        <v>0.48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2874</v>
      </c>
      <c r="B43" s="64">
        <v>7.94</v>
      </c>
      <c r="C43" s="64">
        <v>9.69</v>
      </c>
      <c r="D43" s="64">
        <v>10.050000000000001</v>
      </c>
      <c r="E43" s="64">
        <v>4.7300000000000004</v>
      </c>
      <c r="F43" s="64">
        <v>5.0999999999999996</v>
      </c>
      <c r="G43" s="64">
        <v>23.34</v>
      </c>
      <c r="H43" s="64">
        <v>12.9</v>
      </c>
      <c r="I43" s="64">
        <v>5.93</v>
      </c>
      <c r="J43" s="64">
        <v>0.99</v>
      </c>
      <c r="K43" s="64">
        <v>338.8</v>
      </c>
      <c r="L43" s="64">
        <v>26.18</v>
      </c>
      <c r="M43" s="64">
        <v>86.11</v>
      </c>
      <c r="N43" s="64">
        <v>148.6</v>
      </c>
      <c r="O43" s="64">
        <v>0</v>
      </c>
      <c r="P43" s="64">
        <v>0.47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5" t="s">
        <v>2875</v>
      </c>
      <c r="B44" s="64">
        <v>9.66</v>
      </c>
      <c r="C44" s="64">
        <v>10.61</v>
      </c>
      <c r="D44" s="64">
        <v>11.92</v>
      </c>
      <c r="E44" s="64">
        <v>4.82</v>
      </c>
      <c r="F44" s="64">
        <v>3.99</v>
      </c>
      <c r="G44" s="64">
        <v>23.42</v>
      </c>
      <c r="H44" s="64">
        <v>12.9</v>
      </c>
      <c r="I44" s="64">
        <v>4.78</v>
      </c>
      <c r="J44" s="64">
        <v>0.8</v>
      </c>
      <c r="K44" s="64">
        <v>334.57</v>
      </c>
      <c r="L44" s="64">
        <v>26.34</v>
      </c>
      <c r="M44" s="64">
        <v>88.68</v>
      </c>
      <c r="N44" s="64">
        <v>128.1</v>
      </c>
      <c r="O44" s="64">
        <v>0</v>
      </c>
      <c r="P44" s="64">
        <v>0.52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5" t="s">
        <v>2876</v>
      </c>
      <c r="B45" s="64">
        <v>10.91</v>
      </c>
      <c r="C45" s="64">
        <v>10.62</v>
      </c>
      <c r="D45" s="64">
        <v>12.92</v>
      </c>
      <c r="E45" s="64">
        <v>4.9000000000000004</v>
      </c>
      <c r="F45" s="64">
        <v>3.34</v>
      </c>
      <c r="G45" s="64">
        <v>23.42</v>
      </c>
      <c r="H45" s="64">
        <v>12.9</v>
      </c>
      <c r="I45" s="64">
        <v>4.95</v>
      </c>
      <c r="J45" s="64">
        <v>0.41</v>
      </c>
      <c r="K45" s="64">
        <v>142.91999999999999</v>
      </c>
      <c r="L45" s="64">
        <v>25.43</v>
      </c>
      <c r="M45" s="64">
        <v>93.17</v>
      </c>
      <c r="N45" s="64">
        <v>157.5</v>
      </c>
      <c r="O45" s="64">
        <v>0</v>
      </c>
      <c r="P45" s="64">
        <v>0.48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2877</v>
      </c>
      <c r="B46" s="64">
        <v>11.02</v>
      </c>
      <c r="C46" s="64">
        <v>10.44</v>
      </c>
      <c r="D46" s="64">
        <v>12.91</v>
      </c>
      <c r="E46" s="64">
        <v>4.6500000000000004</v>
      </c>
      <c r="F46" s="64">
        <v>3.28</v>
      </c>
      <c r="G46" s="64">
        <v>23.42</v>
      </c>
      <c r="H46" s="64">
        <v>12.9</v>
      </c>
      <c r="I46" s="64">
        <v>5.51</v>
      </c>
      <c r="J46" s="64">
        <v>0.51</v>
      </c>
      <c r="K46" s="64">
        <v>106.97</v>
      </c>
      <c r="L46" s="64">
        <v>25.3</v>
      </c>
      <c r="M46" s="64">
        <v>94.65</v>
      </c>
      <c r="N46" s="64">
        <v>146.80000000000001</v>
      </c>
      <c r="O46" s="64">
        <v>0</v>
      </c>
      <c r="P46" s="64">
        <v>0.48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2878</v>
      </c>
      <c r="B47" s="64">
        <v>10.66</v>
      </c>
      <c r="C47" s="64">
        <v>10.41</v>
      </c>
      <c r="D47" s="64">
        <v>12.61</v>
      </c>
      <c r="E47" s="64">
        <v>4.38</v>
      </c>
      <c r="F47" s="64">
        <v>3.41</v>
      </c>
      <c r="G47" s="64">
        <v>29.69</v>
      </c>
      <c r="H47" s="64">
        <v>11.42</v>
      </c>
      <c r="I47" s="64">
        <v>5.29</v>
      </c>
      <c r="J47" s="64">
        <v>0.78</v>
      </c>
      <c r="K47" s="64">
        <v>133.76</v>
      </c>
      <c r="L47" s="64">
        <v>25.41</v>
      </c>
      <c r="M47" s="64">
        <v>94.46</v>
      </c>
      <c r="N47" s="64">
        <v>169.2</v>
      </c>
      <c r="O47" s="64">
        <v>0</v>
      </c>
      <c r="P47" s="64">
        <v>0.48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2879</v>
      </c>
      <c r="B48" s="64">
        <v>10.18</v>
      </c>
      <c r="C48" s="64">
        <v>10.220000000000001</v>
      </c>
      <c r="D48" s="64">
        <v>12.13</v>
      </c>
      <c r="E48" s="64">
        <v>4.6100000000000003</v>
      </c>
      <c r="F48" s="64">
        <v>4.25</v>
      </c>
      <c r="G48" s="64">
        <v>30.22</v>
      </c>
      <c r="H48" s="64">
        <v>11.42</v>
      </c>
      <c r="I48" s="64">
        <v>5.57</v>
      </c>
      <c r="J48" s="64">
        <v>0.09</v>
      </c>
      <c r="K48" s="64">
        <v>100.31</v>
      </c>
      <c r="L48" s="64">
        <v>25.97</v>
      </c>
      <c r="M48" s="64">
        <v>90.04</v>
      </c>
      <c r="N48" s="64">
        <v>181.5</v>
      </c>
      <c r="O48" s="64">
        <v>0</v>
      </c>
      <c r="P48" s="64">
        <v>0.49</v>
      </c>
      <c r="Q48" s="64">
        <v>9.6</v>
      </c>
      <c r="R48" s="198"/>
      <c r="S48" s="198"/>
      <c r="T48" s="198"/>
      <c r="U48" s="198"/>
    </row>
    <row r="49" spans="1:21" s="12" customFormat="1" x14ac:dyDescent="0.25">
      <c r="A49" s="215" t="s">
        <v>2880</v>
      </c>
      <c r="B49" s="64">
        <v>10.199999999999999</v>
      </c>
      <c r="C49" s="64">
        <v>10.68</v>
      </c>
      <c r="D49" s="64">
        <v>12.39</v>
      </c>
      <c r="E49" s="64">
        <v>4.6399999999999997</v>
      </c>
      <c r="F49" s="64">
        <v>3.3</v>
      </c>
      <c r="G49" s="64">
        <v>30.22</v>
      </c>
      <c r="H49" s="64">
        <v>11.42</v>
      </c>
      <c r="I49" s="64">
        <v>5.1100000000000003</v>
      </c>
      <c r="J49" s="64">
        <v>0.68</v>
      </c>
      <c r="K49" s="64">
        <v>333.85</v>
      </c>
      <c r="L49" s="64">
        <v>27.55</v>
      </c>
      <c r="M49" s="64">
        <v>82.05</v>
      </c>
      <c r="N49" s="64">
        <v>217.6</v>
      </c>
      <c r="O49" s="64">
        <v>0</v>
      </c>
      <c r="P49" s="64">
        <v>0.6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2881</v>
      </c>
      <c r="B50" s="64">
        <v>10.67</v>
      </c>
      <c r="C50" s="64">
        <v>10.130000000000001</v>
      </c>
      <c r="D50" s="64">
        <v>12.47</v>
      </c>
      <c r="E50" s="64">
        <v>4.72</v>
      </c>
      <c r="F50" s="64">
        <v>3.63</v>
      </c>
      <c r="G50" s="64">
        <v>30.22</v>
      </c>
      <c r="H50" s="64">
        <v>11.42</v>
      </c>
      <c r="I50" s="64">
        <v>4.83</v>
      </c>
      <c r="J50" s="64">
        <v>0.38</v>
      </c>
      <c r="K50" s="64">
        <v>68.709999999999994</v>
      </c>
      <c r="L50" s="64">
        <v>27.41</v>
      </c>
      <c r="M50" s="64">
        <v>81.93</v>
      </c>
      <c r="N50" s="64">
        <v>240.7</v>
      </c>
      <c r="O50" s="64">
        <v>0</v>
      </c>
      <c r="P50" s="64">
        <v>0.69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2882</v>
      </c>
      <c r="B51" s="64">
        <v>10.87</v>
      </c>
      <c r="C51" s="64">
        <v>10.08</v>
      </c>
      <c r="D51" s="64">
        <v>12.61</v>
      </c>
      <c r="E51" s="64">
        <v>4.3600000000000003</v>
      </c>
      <c r="F51" s="64">
        <v>3.16</v>
      </c>
      <c r="G51" s="64">
        <v>29.8</v>
      </c>
      <c r="H51" s="64">
        <v>13.27</v>
      </c>
      <c r="I51" s="64">
        <v>3.8</v>
      </c>
      <c r="J51" s="64">
        <v>0.23</v>
      </c>
      <c r="K51" s="64">
        <v>302.41000000000003</v>
      </c>
      <c r="L51" s="64">
        <v>27.84</v>
      </c>
      <c r="M51" s="64">
        <v>80.53</v>
      </c>
      <c r="N51" s="64">
        <v>262.10000000000002</v>
      </c>
      <c r="O51" s="64">
        <v>0</v>
      </c>
      <c r="P51" s="64">
        <v>0.56999999999999995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5" t="s">
        <v>2883</v>
      </c>
      <c r="B52" s="64">
        <v>10.31</v>
      </c>
      <c r="C52" s="64">
        <v>11.33</v>
      </c>
      <c r="D52" s="64">
        <v>13.04</v>
      </c>
      <c r="E52" s="64">
        <v>6.13</v>
      </c>
      <c r="F52" s="64">
        <v>5.97</v>
      </c>
      <c r="G52" s="64">
        <v>29.77</v>
      </c>
      <c r="H52" s="64">
        <v>13.27</v>
      </c>
      <c r="I52" s="64">
        <v>2.72</v>
      </c>
      <c r="J52" s="64">
        <v>0.38</v>
      </c>
      <c r="K52" s="64">
        <v>26.02</v>
      </c>
      <c r="L52" s="64">
        <v>27.81</v>
      </c>
      <c r="M52" s="64">
        <v>78.819999999999993</v>
      </c>
      <c r="N52" s="64">
        <v>274</v>
      </c>
      <c r="O52" s="64">
        <v>0</v>
      </c>
      <c r="P52" s="64">
        <v>0.57999999999999996</v>
      </c>
      <c r="Q52" s="64">
        <v>9.61</v>
      </c>
      <c r="R52" s="198"/>
      <c r="S52" s="198"/>
      <c r="T52" s="198"/>
      <c r="U52" s="198"/>
    </row>
    <row r="53" spans="1:21" s="12" customFormat="1" x14ac:dyDescent="0.25">
      <c r="A53" s="215" t="s">
        <v>2884</v>
      </c>
      <c r="B53" s="64">
        <v>5.87</v>
      </c>
      <c r="C53" s="64">
        <v>19.670000000000002</v>
      </c>
      <c r="D53" s="64">
        <v>13.6</v>
      </c>
      <c r="E53" s="64">
        <v>6.31</v>
      </c>
      <c r="F53" s="64">
        <v>6.19</v>
      </c>
      <c r="G53" s="64">
        <v>29.77</v>
      </c>
      <c r="H53" s="64">
        <v>13.27</v>
      </c>
      <c r="I53" s="64">
        <v>3.34</v>
      </c>
      <c r="J53" s="64">
        <v>0.63</v>
      </c>
      <c r="K53" s="64">
        <v>115.97</v>
      </c>
      <c r="L53" s="64">
        <v>28.08</v>
      </c>
      <c r="M53" s="64">
        <v>76.59</v>
      </c>
      <c r="N53" s="64">
        <v>363.3</v>
      </c>
      <c r="O53" s="64">
        <v>0</v>
      </c>
      <c r="P53" s="64">
        <v>0.59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2885</v>
      </c>
      <c r="B54" s="64">
        <v>3.49</v>
      </c>
      <c r="C54" s="64">
        <v>21.29</v>
      </c>
      <c r="D54" s="64">
        <v>12.55</v>
      </c>
      <c r="E54" s="64">
        <v>6.24</v>
      </c>
      <c r="F54" s="64">
        <v>5.74</v>
      </c>
      <c r="G54" s="64">
        <v>29.77</v>
      </c>
      <c r="H54" s="64">
        <v>13.27</v>
      </c>
      <c r="I54" s="64">
        <v>3.06</v>
      </c>
      <c r="J54" s="64">
        <v>0.6</v>
      </c>
      <c r="K54" s="64">
        <v>117.69</v>
      </c>
      <c r="L54" s="64">
        <v>28.82</v>
      </c>
      <c r="M54" s="64">
        <v>73.89</v>
      </c>
      <c r="N54" s="64">
        <v>647.1</v>
      </c>
      <c r="O54" s="64">
        <v>0</v>
      </c>
      <c r="P54" s="64">
        <v>0.57999999999999996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5" t="s">
        <v>2886</v>
      </c>
      <c r="B55" s="64">
        <v>2.58</v>
      </c>
      <c r="C55" s="64">
        <v>21.7</v>
      </c>
      <c r="D55" s="64">
        <v>12.03</v>
      </c>
      <c r="E55" s="64">
        <v>6.23</v>
      </c>
      <c r="F55" s="64">
        <v>5.98</v>
      </c>
      <c r="G55" s="64">
        <v>21.82</v>
      </c>
      <c r="H55" s="64">
        <v>14.18</v>
      </c>
      <c r="I55" s="64">
        <v>2.41</v>
      </c>
      <c r="J55" s="64">
        <v>1.1499999999999999</v>
      </c>
      <c r="K55" s="64">
        <v>328.08</v>
      </c>
      <c r="L55" s="64">
        <v>31.63</v>
      </c>
      <c r="M55" s="64">
        <v>63.73</v>
      </c>
      <c r="N55" s="64">
        <v>750</v>
      </c>
      <c r="O55" s="64">
        <v>0</v>
      </c>
      <c r="P55" s="64">
        <v>0.62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2887</v>
      </c>
      <c r="B56" s="64">
        <v>3.68</v>
      </c>
      <c r="C56" s="64">
        <v>21.89</v>
      </c>
      <c r="D56" s="64">
        <v>13.01</v>
      </c>
      <c r="E56" s="64">
        <v>5.68</v>
      </c>
      <c r="F56" s="64">
        <v>5.61</v>
      </c>
      <c r="G56" s="64">
        <v>21.15</v>
      </c>
      <c r="H56" s="64">
        <v>14.18</v>
      </c>
      <c r="I56" s="64">
        <v>2.29</v>
      </c>
      <c r="J56" s="64">
        <v>1.32</v>
      </c>
      <c r="K56" s="64">
        <v>337.97</v>
      </c>
      <c r="L56" s="64">
        <v>33.39</v>
      </c>
      <c r="M56" s="64">
        <v>56.18</v>
      </c>
      <c r="N56" s="64">
        <v>454.8</v>
      </c>
      <c r="O56" s="64">
        <v>0</v>
      </c>
      <c r="P56" s="64">
        <v>0.64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5" t="s">
        <v>2888</v>
      </c>
      <c r="B57" s="64">
        <v>3.35</v>
      </c>
      <c r="C57" s="64">
        <v>23.64</v>
      </c>
      <c r="D57" s="64">
        <v>13.66</v>
      </c>
      <c r="E57" s="64">
        <v>5.73</v>
      </c>
      <c r="F57" s="64">
        <v>9.81</v>
      </c>
      <c r="G57" s="64">
        <v>21.15</v>
      </c>
      <c r="H57" s="64">
        <v>14.18</v>
      </c>
      <c r="I57" s="64">
        <v>3.43</v>
      </c>
      <c r="J57" s="64">
        <v>0.2</v>
      </c>
      <c r="K57" s="64">
        <v>123.47</v>
      </c>
      <c r="L57" s="64">
        <v>30.33</v>
      </c>
      <c r="M57" s="64">
        <v>68.069999999999993</v>
      </c>
      <c r="N57" s="64">
        <v>290.8</v>
      </c>
      <c r="O57" s="64">
        <v>0</v>
      </c>
      <c r="P57" s="64">
        <v>0.56000000000000005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2889</v>
      </c>
      <c r="B58" s="64">
        <v>1.42</v>
      </c>
      <c r="C58" s="64">
        <v>25.91</v>
      </c>
      <c r="D58" s="64">
        <v>13.3</v>
      </c>
      <c r="E58" s="64">
        <v>6.21</v>
      </c>
      <c r="F58" s="64">
        <v>9.58</v>
      </c>
      <c r="G58" s="64">
        <v>21.15</v>
      </c>
      <c r="H58" s="64">
        <v>14.18</v>
      </c>
      <c r="I58" s="64">
        <v>3.92</v>
      </c>
      <c r="J58" s="64">
        <v>1.1200000000000001</v>
      </c>
      <c r="K58" s="64">
        <v>333.64</v>
      </c>
      <c r="L58" s="64">
        <v>29.37</v>
      </c>
      <c r="M58" s="64">
        <v>73.95</v>
      </c>
      <c r="N58" s="64">
        <v>487.8</v>
      </c>
      <c r="O58" s="64">
        <v>0</v>
      </c>
      <c r="P58" s="64">
        <v>0.56999999999999995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2890</v>
      </c>
      <c r="B59" s="64">
        <v>1.17</v>
      </c>
      <c r="C59" s="64">
        <v>25.33</v>
      </c>
      <c r="D59" s="64">
        <v>12.8</v>
      </c>
      <c r="E59" s="64">
        <v>9.1999999999999993</v>
      </c>
      <c r="F59" s="64">
        <v>10.32</v>
      </c>
      <c r="G59" s="64">
        <v>24.1</v>
      </c>
      <c r="H59" s="64">
        <v>14.15</v>
      </c>
      <c r="I59" s="64">
        <v>3.27</v>
      </c>
      <c r="J59" s="64">
        <v>0.38</v>
      </c>
      <c r="K59" s="64">
        <v>74.59</v>
      </c>
      <c r="L59" s="64">
        <v>30.33</v>
      </c>
      <c r="M59" s="64">
        <v>67.16</v>
      </c>
      <c r="N59" s="64">
        <v>315.89999999999998</v>
      </c>
      <c r="O59" s="64">
        <v>0</v>
      </c>
      <c r="P59" s="64">
        <v>0.62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5" t="s">
        <v>2891</v>
      </c>
      <c r="B60" s="64">
        <v>0.98</v>
      </c>
      <c r="C60" s="64">
        <v>23.99</v>
      </c>
      <c r="D60" s="64">
        <v>11.95</v>
      </c>
      <c r="E60" s="64">
        <v>7.85</v>
      </c>
      <c r="F60" s="64">
        <v>8.18</v>
      </c>
      <c r="G60" s="64">
        <v>24.34</v>
      </c>
      <c r="H60" s="64">
        <v>14.15</v>
      </c>
      <c r="I60" s="64">
        <v>3.31</v>
      </c>
      <c r="J60" s="64">
        <v>0.36</v>
      </c>
      <c r="K60" s="64">
        <v>0.53</v>
      </c>
      <c r="L60" s="64">
        <v>29.42</v>
      </c>
      <c r="M60" s="64">
        <v>69.569999999999993</v>
      </c>
      <c r="N60" s="64">
        <v>137.6</v>
      </c>
      <c r="O60" s="64">
        <v>0</v>
      </c>
      <c r="P60" s="64">
        <v>0.65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5" t="s">
        <v>2892</v>
      </c>
      <c r="B61" s="64">
        <v>0.95</v>
      </c>
      <c r="C61" s="64">
        <v>21.6</v>
      </c>
      <c r="D61" s="64">
        <v>10.67</v>
      </c>
      <c r="E61" s="64">
        <v>6.75</v>
      </c>
      <c r="F61" s="64">
        <v>7.66</v>
      </c>
      <c r="G61" s="64">
        <v>24.34</v>
      </c>
      <c r="H61" s="64">
        <v>14.15</v>
      </c>
      <c r="I61" s="64">
        <v>3.46</v>
      </c>
      <c r="J61" s="64">
        <v>0.35</v>
      </c>
      <c r="K61" s="64">
        <v>113.64</v>
      </c>
      <c r="L61" s="64">
        <v>28.38</v>
      </c>
      <c r="M61" s="64">
        <v>75.3</v>
      </c>
      <c r="N61" s="64">
        <v>139.69999999999999</v>
      </c>
      <c r="O61" s="64">
        <v>0</v>
      </c>
      <c r="P61" s="64">
        <v>0.57999999999999996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5" t="s">
        <v>2893</v>
      </c>
      <c r="B62" s="64">
        <v>1.27</v>
      </c>
      <c r="C62" s="64">
        <v>18.7</v>
      </c>
      <c r="D62" s="64">
        <v>9.42</v>
      </c>
      <c r="E62" s="64">
        <v>6.68</v>
      </c>
      <c r="F62" s="64">
        <v>5.62</v>
      </c>
      <c r="G62" s="64">
        <v>24.34</v>
      </c>
      <c r="H62" s="64">
        <v>14.15</v>
      </c>
      <c r="I62" s="64">
        <v>3.37</v>
      </c>
      <c r="J62" s="64">
        <v>0.82</v>
      </c>
      <c r="K62" s="64">
        <v>108.72</v>
      </c>
      <c r="L62" s="64">
        <v>27.91</v>
      </c>
      <c r="M62" s="64">
        <v>75.739999999999995</v>
      </c>
      <c r="N62" s="64">
        <v>155.30000000000001</v>
      </c>
      <c r="O62" s="64">
        <v>0</v>
      </c>
      <c r="P62" s="64">
        <v>0.59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2894</v>
      </c>
      <c r="B63" s="64">
        <v>1.58</v>
      </c>
      <c r="C63" s="64">
        <v>17.100000000000001</v>
      </c>
      <c r="D63" s="64">
        <v>8.82</v>
      </c>
      <c r="E63" s="64">
        <v>6.16</v>
      </c>
      <c r="F63" s="64">
        <v>4.5</v>
      </c>
      <c r="G63" s="64">
        <v>39.49</v>
      </c>
      <c r="H63" s="64">
        <v>17.62</v>
      </c>
      <c r="I63" s="64">
        <v>2.99</v>
      </c>
      <c r="J63" s="64">
        <v>1.01</v>
      </c>
      <c r="K63" s="64">
        <v>108.47</v>
      </c>
      <c r="L63" s="64">
        <v>27.58</v>
      </c>
      <c r="M63" s="64">
        <v>77.3</v>
      </c>
      <c r="N63" s="64">
        <v>155.30000000000001</v>
      </c>
      <c r="O63" s="64">
        <v>0</v>
      </c>
      <c r="P63" s="64">
        <v>0.61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5" t="s">
        <v>2895</v>
      </c>
      <c r="B64" s="64">
        <v>1.9</v>
      </c>
      <c r="C64" s="64">
        <v>14.66</v>
      </c>
      <c r="D64" s="64">
        <v>7.81</v>
      </c>
      <c r="E64" s="64">
        <v>5.8</v>
      </c>
      <c r="F64" s="64">
        <v>4.42</v>
      </c>
      <c r="G64" s="64">
        <v>40.97</v>
      </c>
      <c r="H64" s="64">
        <v>17.62</v>
      </c>
      <c r="I64" s="64">
        <v>3.73</v>
      </c>
      <c r="J64" s="64">
        <v>0.18</v>
      </c>
      <c r="K64" s="64">
        <v>26</v>
      </c>
      <c r="L64" s="64">
        <v>27.99</v>
      </c>
      <c r="M64" s="64">
        <v>76.3</v>
      </c>
      <c r="N64" s="64">
        <v>153.4</v>
      </c>
      <c r="O64" s="64">
        <v>0</v>
      </c>
      <c r="P64" s="64">
        <v>0.61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5" t="s">
        <v>2896</v>
      </c>
      <c r="B65" s="64">
        <v>3.99</v>
      </c>
      <c r="C65" s="64">
        <v>18.2</v>
      </c>
      <c r="D65" s="64">
        <v>11.33</v>
      </c>
      <c r="E65" s="64">
        <v>6</v>
      </c>
      <c r="F65" s="64">
        <v>5.33</v>
      </c>
      <c r="G65" s="64">
        <v>40.97</v>
      </c>
      <c r="H65" s="64">
        <v>17.62</v>
      </c>
      <c r="I65" s="64">
        <v>3.65</v>
      </c>
      <c r="J65" s="64">
        <v>0.39</v>
      </c>
      <c r="K65" s="64">
        <v>37.950000000000003</v>
      </c>
      <c r="L65" s="64">
        <v>28.42</v>
      </c>
      <c r="M65" s="64">
        <v>73.08</v>
      </c>
      <c r="N65" s="64">
        <v>141.4</v>
      </c>
      <c r="O65" s="64">
        <v>0</v>
      </c>
      <c r="P65" s="64">
        <v>0.65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2897</v>
      </c>
      <c r="B66" s="64">
        <v>5.51</v>
      </c>
      <c r="C66" s="64">
        <v>23.73</v>
      </c>
      <c r="D66" s="64">
        <v>15.44</v>
      </c>
      <c r="E66" s="64">
        <v>5.64</v>
      </c>
      <c r="F66" s="64">
        <v>4.45</v>
      </c>
      <c r="G66" s="64">
        <v>40.97</v>
      </c>
      <c r="H66" s="64">
        <v>17.62</v>
      </c>
      <c r="I66" s="64">
        <v>2.88</v>
      </c>
      <c r="J66" s="64">
        <v>1.39</v>
      </c>
      <c r="K66" s="64">
        <v>340.24</v>
      </c>
      <c r="L66" s="64">
        <v>28.51</v>
      </c>
      <c r="M66" s="64">
        <v>74.760000000000005</v>
      </c>
      <c r="N66" s="64">
        <v>133.30000000000001</v>
      </c>
      <c r="O66" s="64">
        <v>0</v>
      </c>
      <c r="P66" s="64">
        <v>0.8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2898</v>
      </c>
      <c r="B67" s="64">
        <v>6.59</v>
      </c>
      <c r="C67" s="64">
        <v>23.45</v>
      </c>
      <c r="D67" s="64">
        <v>16.16</v>
      </c>
      <c r="E67" s="64">
        <v>5.72</v>
      </c>
      <c r="F67" s="64">
        <v>5.01</v>
      </c>
      <c r="G67" s="64">
        <v>43.02</v>
      </c>
      <c r="H67" s="64">
        <v>15.52</v>
      </c>
      <c r="I67" s="64">
        <v>2.25</v>
      </c>
      <c r="J67" s="64">
        <v>1.19</v>
      </c>
      <c r="K67" s="64">
        <v>341.23</v>
      </c>
      <c r="L67" s="64">
        <v>28.88</v>
      </c>
      <c r="M67" s="64">
        <v>73.489999999999995</v>
      </c>
      <c r="N67" s="64">
        <v>140.9</v>
      </c>
      <c r="O67" s="64">
        <v>0</v>
      </c>
      <c r="P67" s="64">
        <v>0.72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2899</v>
      </c>
      <c r="B68" s="64">
        <v>7.9</v>
      </c>
      <c r="C68" s="64">
        <v>23.92</v>
      </c>
      <c r="D68" s="64">
        <v>17.46</v>
      </c>
      <c r="E68" s="64">
        <v>6.04</v>
      </c>
      <c r="F68" s="64">
        <v>5.15</v>
      </c>
      <c r="G68" s="64">
        <v>43.22</v>
      </c>
      <c r="H68" s="64">
        <v>15.52</v>
      </c>
      <c r="I68" s="64">
        <v>2.75</v>
      </c>
      <c r="J68" s="64">
        <v>0.77</v>
      </c>
      <c r="K68" s="64">
        <v>337.64</v>
      </c>
      <c r="L68" s="64">
        <v>28.68</v>
      </c>
      <c r="M68" s="64">
        <v>73.739999999999995</v>
      </c>
      <c r="N68" s="64">
        <v>133</v>
      </c>
      <c r="O68" s="64">
        <v>0</v>
      </c>
      <c r="P68" s="64">
        <v>0.76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2900</v>
      </c>
      <c r="B69" s="64">
        <v>8.02</v>
      </c>
      <c r="C69" s="64">
        <v>23.34</v>
      </c>
      <c r="D69" s="64">
        <v>17.25</v>
      </c>
      <c r="E69" s="64">
        <v>5.75</v>
      </c>
      <c r="F69" s="64">
        <v>5.98</v>
      </c>
      <c r="G69" s="64">
        <v>43.22</v>
      </c>
      <c r="H69" s="64">
        <v>15.52</v>
      </c>
      <c r="I69" s="64">
        <v>2.57</v>
      </c>
      <c r="J69" s="64">
        <v>0.85</v>
      </c>
      <c r="K69" s="64">
        <v>330.73</v>
      </c>
      <c r="L69" s="64">
        <v>28.69</v>
      </c>
      <c r="M69" s="64">
        <v>73.8</v>
      </c>
      <c r="N69" s="64">
        <v>119.9</v>
      </c>
      <c r="O69" s="64">
        <v>0</v>
      </c>
      <c r="P69" s="64">
        <v>0.9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2901</v>
      </c>
      <c r="B70" s="64">
        <v>8.7100000000000009</v>
      </c>
      <c r="C70" s="64">
        <v>23.31</v>
      </c>
      <c r="D70" s="64">
        <v>17.79</v>
      </c>
      <c r="E70" s="64">
        <v>5.73</v>
      </c>
      <c r="F70" s="64">
        <v>5.04</v>
      </c>
      <c r="G70" s="64">
        <v>43.22</v>
      </c>
      <c r="H70" s="64">
        <v>15.52</v>
      </c>
      <c r="I70" s="64">
        <v>2.3199999999999998</v>
      </c>
      <c r="J70" s="64">
        <v>0.92</v>
      </c>
      <c r="K70" s="64">
        <v>336.98</v>
      </c>
      <c r="L70" s="64">
        <v>28.45</v>
      </c>
      <c r="M70" s="64">
        <v>73.900000000000006</v>
      </c>
      <c r="N70" s="64">
        <v>100.6</v>
      </c>
      <c r="O70" s="64">
        <v>0</v>
      </c>
      <c r="P70" s="64">
        <v>0.75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5" t="s">
        <v>2902</v>
      </c>
      <c r="B71" s="64">
        <v>10.46</v>
      </c>
      <c r="C71" s="64">
        <v>26.82</v>
      </c>
      <c r="D71" s="64">
        <v>21.03</v>
      </c>
      <c r="E71" s="64">
        <v>5.78</v>
      </c>
      <c r="F71" s="64">
        <v>6.76</v>
      </c>
      <c r="G71" s="64">
        <v>30.72</v>
      </c>
      <c r="H71" s="64">
        <v>14.71</v>
      </c>
      <c r="I71" s="64">
        <v>2.54</v>
      </c>
      <c r="J71" s="64">
        <v>1.29</v>
      </c>
      <c r="K71" s="64">
        <v>338.61</v>
      </c>
      <c r="L71" s="64">
        <v>28.34</v>
      </c>
      <c r="M71" s="64">
        <v>73.790000000000006</v>
      </c>
      <c r="N71" s="64">
        <v>87.6</v>
      </c>
      <c r="O71" s="64">
        <v>0</v>
      </c>
      <c r="P71" s="64">
        <v>0.81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5" t="s">
        <v>2903</v>
      </c>
      <c r="B72" s="64">
        <v>12.39</v>
      </c>
      <c r="C72" s="64">
        <v>38.549999999999997</v>
      </c>
      <c r="D72" s="64">
        <v>28.7</v>
      </c>
      <c r="E72" s="64">
        <v>5.91</v>
      </c>
      <c r="F72" s="64">
        <v>5.19</v>
      </c>
      <c r="G72" s="64">
        <v>29.66</v>
      </c>
      <c r="H72" s="64">
        <v>14.71</v>
      </c>
      <c r="I72" s="64">
        <v>2.69</v>
      </c>
      <c r="J72" s="64">
        <v>0.28999999999999998</v>
      </c>
      <c r="K72" s="64">
        <v>16.61</v>
      </c>
      <c r="L72" s="64">
        <v>28.07</v>
      </c>
      <c r="M72" s="64">
        <v>75.52</v>
      </c>
      <c r="N72" s="64">
        <v>83.2</v>
      </c>
      <c r="O72" s="64">
        <v>0</v>
      </c>
      <c r="P72" s="64">
        <v>0.9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5" t="s">
        <v>2904</v>
      </c>
      <c r="B73" s="64">
        <v>11.31</v>
      </c>
      <c r="C73" s="64">
        <v>35.96</v>
      </c>
      <c r="D73" s="64">
        <v>26.48</v>
      </c>
      <c r="E73" s="64">
        <v>5.89</v>
      </c>
      <c r="F73" s="64">
        <v>6.43</v>
      </c>
      <c r="G73" s="64">
        <v>29.66</v>
      </c>
      <c r="H73" s="64">
        <v>14.71</v>
      </c>
      <c r="I73" s="64">
        <v>2.85</v>
      </c>
      <c r="J73" s="64">
        <v>0.49</v>
      </c>
      <c r="K73" s="64">
        <v>1.37</v>
      </c>
      <c r="L73" s="64">
        <v>27.48</v>
      </c>
      <c r="M73" s="64">
        <v>78.010000000000005</v>
      </c>
      <c r="N73" s="64">
        <v>70.3</v>
      </c>
      <c r="O73" s="64">
        <v>0</v>
      </c>
      <c r="P73" s="64">
        <v>0.87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2905</v>
      </c>
      <c r="B74" s="64">
        <v>10.72</v>
      </c>
      <c r="C74" s="64">
        <v>31.45</v>
      </c>
      <c r="D74" s="64">
        <v>23.65</v>
      </c>
      <c r="E74" s="64">
        <v>6.17</v>
      </c>
      <c r="F74" s="64">
        <v>3.94</v>
      </c>
      <c r="G74" s="64">
        <v>29.66</v>
      </c>
      <c r="H74" s="64">
        <v>14.71</v>
      </c>
      <c r="I74" s="64">
        <v>2.4300000000000002</v>
      </c>
      <c r="J74" s="64">
        <v>0.78</v>
      </c>
      <c r="K74" s="64">
        <v>333.02</v>
      </c>
      <c r="L74" s="64">
        <v>27.58</v>
      </c>
      <c r="M74" s="64">
        <v>77.819999999999993</v>
      </c>
      <c r="N74" s="64">
        <v>70.7</v>
      </c>
      <c r="O74" s="64">
        <v>0</v>
      </c>
      <c r="P74" s="64">
        <v>0.9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5" t="s">
        <v>2906</v>
      </c>
      <c r="B75" s="64">
        <v>10.64</v>
      </c>
      <c r="C75" s="64">
        <v>26.94</v>
      </c>
      <c r="D75" s="64">
        <v>21.23</v>
      </c>
      <c r="E75" s="64">
        <v>6.23</v>
      </c>
      <c r="F75" s="64">
        <v>4.5999999999999996</v>
      </c>
      <c r="G75" s="64">
        <v>33.42</v>
      </c>
      <c r="H75" s="64">
        <v>13.45</v>
      </c>
      <c r="I75" s="64">
        <v>3.77</v>
      </c>
      <c r="J75" s="64">
        <v>0.2</v>
      </c>
      <c r="K75" s="64">
        <v>92.12</v>
      </c>
      <c r="L75" s="64">
        <v>27.35</v>
      </c>
      <c r="M75" s="64">
        <v>80.78</v>
      </c>
      <c r="N75" s="64">
        <v>57.4</v>
      </c>
      <c r="O75" s="64">
        <v>0</v>
      </c>
      <c r="P75" s="64">
        <v>0.8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5" t="s">
        <v>2907</v>
      </c>
      <c r="B76" s="64">
        <v>10.19</v>
      </c>
      <c r="C76" s="64">
        <v>25.14</v>
      </c>
      <c r="D76" s="64">
        <v>19.93</v>
      </c>
      <c r="E76" s="64">
        <v>5.64</v>
      </c>
      <c r="F76" s="64">
        <v>4.07</v>
      </c>
      <c r="G76" s="64">
        <v>33.74</v>
      </c>
      <c r="H76" s="64">
        <v>13.45</v>
      </c>
      <c r="I76" s="64">
        <v>3.35</v>
      </c>
      <c r="J76" s="64">
        <v>1</v>
      </c>
      <c r="K76" s="64">
        <v>335.65</v>
      </c>
      <c r="L76" s="64">
        <v>26.8</v>
      </c>
      <c r="M76" s="64">
        <v>88.28</v>
      </c>
      <c r="N76" s="64">
        <v>45.9</v>
      </c>
      <c r="O76" s="64">
        <v>0</v>
      </c>
      <c r="P76" s="64">
        <v>0.92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5" t="s">
        <v>2908</v>
      </c>
      <c r="B77" s="64">
        <v>10.48</v>
      </c>
      <c r="C77" s="64">
        <v>22.95</v>
      </c>
      <c r="D77" s="64">
        <v>19.02</v>
      </c>
      <c r="E77" s="64">
        <v>5.36</v>
      </c>
      <c r="F77" s="64">
        <v>3.41</v>
      </c>
      <c r="G77" s="64">
        <v>33.74</v>
      </c>
      <c r="H77" s="64">
        <v>13.45</v>
      </c>
      <c r="I77" s="64">
        <v>3.58</v>
      </c>
      <c r="J77" s="64">
        <v>0.92</v>
      </c>
      <c r="K77" s="64">
        <v>324.86</v>
      </c>
      <c r="L77" s="64">
        <v>26.51</v>
      </c>
      <c r="M77" s="64">
        <v>90.1</v>
      </c>
      <c r="N77" s="64">
        <v>36.6</v>
      </c>
      <c r="O77" s="64">
        <v>0</v>
      </c>
      <c r="P77" s="64">
        <v>0.95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2909</v>
      </c>
      <c r="B78" s="64">
        <v>11.37</v>
      </c>
      <c r="C78" s="64">
        <v>21.51</v>
      </c>
      <c r="D78" s="64">
        <v>18.98</v>
      </c>
      <c r="E78" s="64">
        <v>5.65</v>
      </c>
      <c r="F78" s="64">
        <v>4.8</v>
      </c>
      <c r="G78" s="64">
        <v>33.74</v>
      </c>
      <c r="H78" s="64">
        <v>13.45</v>
      </c>
      <c r="I78" s="64">
        <v>3.68</v>
      </c>
      <c r="J78" s="64">
        <v>0.41</v>
      </c>
      <c r="K78" s="64">
        <v>327.33</v>
      </c>
      <c r="L78" s="64">
        <v>26.23</v>
      </c>
      <c r="M78" s="64">
        <v>90.79</v>
      </c>
      <c r="N78" s="64">
        <v>30.1</v>
      </c>
      <c r="O78" s="64">
        <v>0</v>
      </c>
      <c r="P78" s="64">
        <v>0.92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2910</v>
      </c>
      <c r="B79" s="64">
        <v>11.43</v>
      </c>
      <c r="C79" s="64">
        <v>21.16</v>
      </c>
      <c r="D79" s="64">
        <v>18.850000000000001</v>
      </c>
      <c r="E79" s="64">
        <v>4.9000000000000004</v>
      </c>
      <c r="F79" s="64">
        <v>4.25</v>
      </c>
      <c r="G79" s="64">
        <v>51.48</v>
      </c>
      <c r="H79" s="64">
        <v>16.510000000000002</v>
      </c>
      <c r="I79" s="64">
        <v>3.65</v>
      </c>
      <c r="J79" s="64">
        <v>0.48</v>
      </c>
      <c r="K79" s="64">
        <v>323.89999999999998</v>
      </c>
      <c r="L79" s="64">
        <v>26.03</v>
      </c>
      <c r="M79" s="64">
        <v>91.61</v>
      </c>
      <c r="N79" s="64">
        <v>27.2</v>
      </c>
      <c r="O79" s="64">
        <v>0</v>
      </c>
      <c r="P79" s="64">
        <v>1.02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2911</v>
      </c>
      <c r="B80" s="64">
        <v>11.62</v>
      </c>
      <c r="C80" s="64">
        <v>19.670000000000002</v>
      </c>
      <c r="D80" s="64">
        <v>18.22</v>
      </c>
      <c r="E80" s="64">
        <v>5.12</v>
      </c>
      <c r="F80" s="64">
        <v>3.11</v>
      </c>
      <c r="G80" s="64">
        <v>53.21</v>
      </c>
      <c r="H80" s="64">
        <v>16.510000000000002</v>
      </c>
      <c r="I80" s="64">
        <v>3.7</v>
      </c>
      <c r="J80" s="64">
        <v>0.36</v>
      </c>
      <c r="K80" s="64">
        <v>320.99</v>
      </c>
      <c r="L80" s="64">
        <v>25.89</v>
      </c>
      <c r="M80" s="64">
        <v>91.43</v>
      </c>
      <c r="N80" s="64">
        <v>26.4</v>
      </c>
      <c r="O80" s="64">
        <v>0</v>
      </c>
      <c r="P80" s="64">
        <v>0.97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2912</v>
      </c>
      <c r="B81" s="64">
        <v>11.93</v>
      </c>
      <c r="C81" s="64">
        <v>18.61</v>
      </c>
      <c r="D81" s="64">
        <v>17.91</v>
      </c>
      <c r="E81" s="64">
        <v>4.4800000000000004</v>
      </c>
      <c r="F81" s="64">
        <v>5.19</v>
      </c>
      <c r="G81" s="64">
        <v>53.21</v>
      </c>
      <c r="H81" s="64">
        <v>16.510000000000002</v>
      </c>
      <c r="I81" s="64">
        <v>3.43</v>
      </c>
      <c r="J81" s="64">
        <v>0.55000000000000004</v>
      </c>
      <c r="K81" s="64">
        <v>105.98</v>
      </c>
      <c r="L81" s="64">
        <v>25.96</v>
      </c>
      <c r="M81" s="64">
        <v>88.07</v>
      </c>
      <c r="N81" s="64">
        <v>26.3</v>
      </c>
      <c r="O81" s="64">
        <v>0</v>
      </c>
      <c r="P81" s="64">
        <v>0.95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2913</v>
      </c>
      <c r="B82" s="64">
        <v>11.62</v>
      </c>
      <c r="C82" s="64">
        <v>18.37</v>
      </c>
      <c r="D82" s="64">
        <v>17.54</v>
      </c>
      <c r="E82" s="64">
        <v>4.83</v>
      </c>
      <c r="F82" s="64">
        <v>3.12</v>
      </c>
      <c r="G82" s="64">
        <v>53.21</v>
      </c>
      <c r="H82" s="64">
        <v>16.510000000000002</v>
      </c>
      <c r="I82" s="64">
        <v>3.76</v>
      </c>
      <c r="J82" s="64">
        <v>0.91</v>
      </c>
      <c r="K82" s="64">
        <v>116.12</v>
      </c>
      <c r="L82" s="64">
        <v>26.08</v>
      </c>
      <c r="M82" s="64">
        <v>88.16</v>
      </c>
      <c r="N82" s="64">
        <v>26.3</v>
      </c>
      <c r="O82" s="64">
        <v>0</v>
      </c>
      <c r="P82" s="64">
        <v>0.76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5" t="s">
        <v>2914</v>
      </c>
      <c r="B83" s="64">
        <v>11.2</v>
      </c>
      <c r="C83" s="64">
        <v>16.25</v>
      </c>
      <c r="D83" s="64">
        <v>16.09</v>
      </c>
      <c r="E83" s="64">
        <v>4.57</v>
      </c>
      <c r="F83" s="64">
        <v>4.6399999999999997</v>
      </c>
      <c r="G83" s="64">
        <v>47.52</v>
      </c>
      <c r="H83" s="64">
        <v>16.600000000000001</v>
      </c>
      <c r="I83" s="64">
        <v>3.94</v>
      </c>
      <c r="J83" s="64">
        <v>0.25</v>
      </c>
      <c r="K83" s="64">
        <v>129.66</v>
      </c>
      <c r="L83" s="64">
        <v>26.05</v>
      </c>
      <c r="M83" s="64">
        <v>89.43</v>
      </c>
      <c r="N83" s="64">
        <v>26.3</v>
      </c>
      <c r="O83" s="64">
        <v>0</v>
      </c>
      <c r="P83" s="64">
        <v>0.89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2915</v>
      </c>
      <c r="B84" s="64">
        <v>11.52</v>
      </c>
      <c r="C84" s="64">
        <v>15.08</v>
      </c>
      <c r="D84" s="64">
        <v>15.73</v>
      </c>
      <c r="E84" s="64">
        <v>4.6399999999999997</v>
      </c>
      <c r="F84" s="64">
        <v>4.38</v>
      </c>
      <c r="G84" s="64">
        <v>47.04</v>
      </c>
      <c r="H84" s="64">
        <v>16.600000000000001</v>
      </c>
      <c r="I84" s="64">
        <v>2.86</v>
      </c>
      <c r="J84" s="64">
        <v>0.26</v>
      </c>
      <c r="K84" s="64">
        <v>105.03</v>
      </c>
      <c r="L84" s="64">
        <v>25.97</v>
      </c>
      <c r="M84" s="64">
        <v>90.29</v>
      </c>
      <c r="N84" s="64">
        <v>26.3</v>
      </c>
      <c r="O84" s="64">
        <v>0</v>
      </c>
      <c r="P84" s="64">
        <v>0.98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5" t="s">
        <v>2916</v>
      </c>
      <c r="B85" s="64">
        <v>11.36</v>
      </c>
      <c r="C85" s="64">
        <v>14.46</v>
      </c>
      <c r="D85" s="64">
        <v>15.29</v>
      </c>
      <c r="E85" s="64">
        <v>4.42</v>
      </c>
      <c r="F85" s="64">
        <v>5.35</v>
      </c>
      <c r="G85" s="64">
        <v>47.04</v>
      </c>
      <c r="H85" s="64">
        <v>16.600000000000001</v>
      </c>
      <c r="I85" s="64">
        <v>3.16</v>
      </c>
      <c r="J85" s="64">
        <v>0.61</v>
      </c>
      <c r="K85" s="64">
        <v>105.49</v>
      </c>
      <c r="L85" s="64">
        <v>25.88</v>
      </c>
      <c r="M85" s="64">
        <v>89.84</v>
      </c>
      <c r="N85" s="64">
        <v>26.1</v>
      </c>
      <c r="O85" s="64">
        <v>0</v>
      </c>
      <c r="P85" s="64">
        <v>0.66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5" t="s">
        <v>2917</v>
      </c>
      <c r="B86" s="64">
        <v>11.02</v>
      </c>
      <c r="C86" s="64">
        <v>13.86</v>
      </c>
      <c r="D86" s="64">
        <v>14.7</v>
      </c>
      <c r="E86" s="64">
        <v>4.46</v>
      </c>
      <c r="F86" s="64">
        <v>4.08</v>
      </c>
      <c r="G86" s="64">
        <v>47.04</v>
      </c>
      <c r="H86" s="64">
        <v>16.600000000000001</v>
      </c>
      <c r="I86" s="64">
        <v>2.99</v>
      </c>
      <c r="J86" s="64">
        <v>0.17</v>
      </c>
      <c r="K86" s="64">
        <v>107.56</v>
      </c>
      <c r="L86" s="64">
        <v>25.83</v>
      </c>
      <c r="M86" s="64">
        <v>89.63</v>
      </c>
      <c r="N86" s="64">
        <v>26.2</v>
      </c>
      <c r="O86" s="64">
        <v>0</v>
      </c>
      <c r="P86" s="64">
        <v>0.77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2918</v>
      </c>
      <c r="B87" s="64">
        <v>11.39</v>
      </c>
      <c r="C87" s="64">
        <v>13.46</v>
      </c>
      <c r="D87" s="64">
        <v>14.79</v>
      </c>
      <c r="E87" s="64">
        <v>4.33</v>
      </c>
      <c r="F87" s="64">
        <v>3.67</v>
      </c>
      <c r="G87" s="64">
        <v>47.58</v>
      </c>
      <c r="H87" s="64">
        <v>19.89</v>
      </c>
      <c r="I87" s="64">
        <v>2.85</v>
      </c>
      <c r="J87" s="64">
        <v>0.28000000000000003</v>
      </c>
      <c r="K87" s="64">
        <v>310.27</v>
      </c>
      <c r="L87" s="64">
        <v>25.72</v>
      </c>
      <c r="M87" s="64">
        <v>91.06</v>
      </c>
      <c r="N87" s="64">
        <v>26.2</v>
      </c>
      <c r="O87" s="64">
        <v>0</v>
      </c>
      <c r="P87" s="64">
        <v>1.68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2919</v>
      </c>
      <c r="B88" s="64">
        <v>13.97</v>
      </c>
      <c r="C88" s="64">
        <v>13.62</v>
      </c>
      <c r="D88" s="64">
        <v>16.940000000000001</v>
      </c>
      <c r="E88" s="64">
        <v>5.31</v>
      </c>
      <c r="F88" s="64">
        <v>3.22</v>
      </c>
      <c r="G88" s="64">
        <v>47.63</v>
      </c>
      <c r="H88" s="64">
        <v>19.89</v>
      </c>
      <c r="I88" s="64">
        <v>3.36</v>
      </c>
      <c r="J88" s="64">
        <v>0.34</v>
      </c>
      <c r="K88" s="64">
        <v>103.98</v>
      </c>
      <c r="L88" s="64">
        <v>25.62</v>
      </c>
      <c r="M88" s="64">
        <v>92.56</v>
      </c>
      <c r="N88" s="64">
        <v>26.4</v>
      </c>
      <c r="O88" s="64">
        <v>0</v>
      </c>
      <c r="P88" s="64">
        <v>1.29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2920</v>
      </c>
      <c r="B89" s="64">
        <v>14.92</v>
      </c>
      <c r="C89" s="64">
        <v>13.17</v>
      </c>
      <c r="D89" s="64">
        <v>17.47</v>
      </c>
      <c r="E89" s="64">
        <v>5.41</v>
      </c>
      <c r="F89" s="64">
        <v>3.27</v>
      </c>
      <c r="G89" s="64">
        <v>47.63</v>
      </c>
      <c r="H89" s="64">
        <v>19.89</v>
      </c>
      <c r="I89" s="64">
        <v>5.01</v>
      </c>
      <c r="J89" s="64">
        <v>0.47</v>
      </c>
      <c r="K89" s="64">
        <v>107.76</v>
      </c>
      <c r="L89" s="64">
        <v>25.6</v>
      </c>
      <c r="M89" s="64">
        <v>93.01</v>
      </c>
      <c r="N89" s="64">
        <v>26.3</v>
      </c>
      <c r="O89" s="64">
        <v>0</v>
      </c>
      <c r="P89" s="64">
        <v>0.86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5" t="s">
        <v>2921</v>
      </c>
      <c r="B90" s="64">
        <v>14.7</v>
      </c>
      <c r="C90" s="64">
        <v>13.27</v>
      </c>
      <c r="D90" s="64">
        <v>17.350000000000001</v>
      </c>
      <c r="E90" s="64">
        <v>5.38</v>
      </c>
      <c r="F90" s="64">
        <v>4.47</v>
      </c>
      <c r="G90" s="64">
        <v>47.63</v>
      </c>
      <c r="H90" s="64">
        <v>19.89</v>
      </c>
      <c r="I90" s="64">
        <v>4.1100000000000003</v>
      </c>
      <c r="J90" s="64">
        <v>0.18</v>
      </c>
      <c r="K90" s="64">
        <v>124.3</v>
      </c>
      <c r="L90" s="64">
        <v>25.53</v>
      </c>
      <c r="M90" s="64">
        <v>93.09</v>
      </c>
      <c r="N90" s="64">
        <v>26.4</v>
      </c>
      <c r="O90" s="64">
        <v>0</v>
      </c>
      <c r="P90" s="64">
        <v>1.02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2922</v>
      </c>
      <c r="B91" s="64">
        <v>14.71</v>
      </c>
      <c r="C91" s="64">
        <v>14.15</v>
      </c>
      <c r="D91" s="64">
        <v>17.809999999999999</v>
      </c>
      <c r="E91" s="64">
        <v>5.74</v>
      </c>
      <c r="F91" s="64">
        <v>3.36</v>
      </c>
      <c r="G91" s="64">
        <v>51.23</v>
      </c>
      <c r="H91" s="64">
        <v>21.73</v>
      </c>
      <c r="I91" s="64">
        <v>3.62</v>
      </c>
      <c r="J91" s="64">
        <v>0.35</v>
      </c>
      <c r="K91" s="64">
        <v>3.13</v>
      </c>
      <c r="L91" s="64">
        <v>25.43</v>
      </c>
      <c r="M91" s="64">
        <v>93.79</v>
      </c>
      <c r="N91" s="64">
        <v>26.2</v>
      </c>
      <c r="O91" s="64">
        <v>0</v>
      </c>
      <c r="P91" s="64">
        <v>1.24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2923</v>
      </c>
      <c r="B92" s="64">
        <v>16.989999999999998</v>
      </c>
      <c r="C92" s="64">
        <v>12.95</v>
      </c>
      <c r="D92" s="64">
        <v>19.02</v>
      </c>
      <c r="E92" s="64">
        <v>5.72</v>
      </c>
      <c r="F92" s="64">
        <v>3.69</v>
      </c>
      <c r="G92" s="64">
        <v>51.53</v>
      </c>
      <c r="H92" s="64">
        <v>21.73</v>
      </c>
      <c r="I92" s="64">
        <v>4.25</v>
      </c>
      <c r="J92" s="64">
        <v>0.47</v>
      </c>
      <c r="K92" s="64">
        <v>19.57</v>
      </c>
      <c r="L92" s="64">
        <v>25.25</v>
      </c>
      <c r="M92" s="64">
        <v>95.63</v>
      </c>
      <c r="N92" s="64">
        <v>26.4</v>
      </c>
      <c r="O92" s="64">
        <v>0</v>
      </c>
      <c r="P92" s="64">
        <v>1.45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2924</v>
      </c>
      <c r="B93" s="64">
        <v>19.440000000000001</v>
      </c>
      <c r="C93" s="64">
        <v>13.52</v>
      </c>
      <c r="D93" s="64">
        <v>21.28</v>
      </c>
      <c r="E93" s="64">
        <v>6.26</v>
      </c>
      <c r="F93" s="64">
        <v>3.07</v>
      </c>
      <c r="G93" s="64">
        <v>51.53</v>
      </c>
      <c r="H93" s="64">
        <v>21.73</v>
      </c>
      <c r="I93" s="64">
        <v>5.21</v>
      </c>
      <c r="J93" s="64">
        <v>0.52</v>
      </c>
      <c r="K93" s="64">
        <v>335.92</v>
      </c>
      <c r="L93" s="64">
        <v>24.94</v>
      </c>
      <c r="M93" s="64">
        <v>97.93</v>
      </c>
      <c r="N93" s="64">
        <v>26.4</v>
      </c>
      <c r="O93" s="64">
        <v>0</v>
      </c>
      <c r="P93" s="64">
        <v>1.41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2925</v>
      </c>
      <c r="B94" s="64">
        <v>22.85</v>
      </c>
      <c r="C94" s="64">
        <v>12.91</v>
      </c>
      <c r="D94" s="64">
        <v>23.69</v>
      </c>
      <c r="E94" s="64">
        <v>6.34</v>
      </c>
      <c r="F94" s="64">
        <v>2.71</v>
      </c>
      <c r="G94" s="64">
        <v>51.53</v>
      </c>
      <c r="H94" s="64">
        <v>21.73</v>
      </c>
      <c r="I94" s="64">
        <v>5.47</v>
      </c>
      <c r="J94" s="64">
        <v>0.5</v>
      </c>
      <c r="K94" s="64">
        <v>249.66</v>
      </c>
      <c r="L94" s="64">
        <v>24.76</v>
      </c>
      <c r="M94" s="64">
        <v>98.01</v>
      </c>
      <c r="N94" s="64">
        <v>26.2</v>
      </c>
      <c r="O94" s="64">
        <v>0</v>
      </c>
      <c r="P94" s="64">
        <v>1.25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2926</v>
      </c>
      <c r="B95" s="64">
        <v>23.89</v>
      </c>
      <c r="C95" s="64">
        <v>13.48</v>
      </c>
      <c r="D95" s="64">
        <v>24.82</v>
      </c>
      <c r="E95" s="64">
        <v>5.83</v>
      </c>
      <c r="F95" s="64">
        <v>4.42</v>
      </c>
      <c r="G95" s="64">
        <v>49.61</v>
      </c>
      <c r="H95" s="64">
        <v>20.350000000000001</v>
      </c>
      <c r="I95" s="64">
        <v>5.48</v>
      </c>
      <c r="J95" s="64">
        <v>0.5</v>
      </c>
      <c r="K95" s="64">
        <v>303.17</v>
      </c>
      <c r="L95" s="64">
        <v>24.57</v>
      </c>
      <c r="M95" s="64">
        <v>98.63</v>
      </c>
      <c r="N95" s="64">
        <v>26.3</v>
      </c>
      <c r="O95" s="64">
        <v>0</v>
      </c>
      <c r="P95" s="64">
        <v>1.24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2927</v>
      </c>
      <c r="B96" s="64">
        <v>25.79</v>
      </c>
      <c r="C96" s="64">
        <v>13.42</v>
      </c>
      <c r="D96" s="64">
        <v>26.32</v>
      </c>
      <c r="E96" s="64">
        <v>6.3</v>
      </c>
      <c r="F96" s="64">
        <v>2.4</v>
      </c>
      <c r="G96" s="64">
        <v>49.45</v>
      </c>
      <c r="H96" s="64">
        <v>20.350000000000001</v>
      </c>
      <c r="I96" s="64">
        <v>5.14</v>
      </c>
      <c r="J96" s="64">
        <v>0.48</v>
      </c>
      <c r="K96" s="64">
        <v>301.77</v>
      </c>
      <c r="L96" s="64">
        <v>24.41</v>
      </c>
      <c r="M96" s="64">
        <v>100.7</v>
      </c>
      <c r="N96" s="64">
        <v>26.2</v>
      </c>
      <c r="O96" s="64">
        <v>0</v>
      </c>
      <c r="P96" s="64">
        <v>1.89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2928</v>
      </c>
      <c r="B97" s="64">
        <v>28.2</v>
      </c>
      <c r="C97" s="64">
        <v>13.22</v>
      </c>
      <c r="D97" s="64">
        <v>28.15</v>
      </c>
      <c r="E97" s="64">
        <v>6.11</v>
      </c>
      <c r="F97" s="64">
        <v>4.83</v>
      </c>
      <c r="G97" s="64">
        <v>49.45</v>
      </c>
      <c r="H97" s="64">
        <v>20.350000000000001</v>
      </c>
      <c r="I97" s="64">
        <v>5.83</v>
      </c>
      <c r="J97" s="64">
        <v>0.44</v>
      </c>
      <c r="K97" s="64">
        <v>301.85000000000002</v>
      </c>
      <c r="L97" s="64">
        <v>24.37</v>
      </c>
      <c r="M97" s="64">
        <v>100.26</v>
      </c>
      <c r="N97" s="64">
        <v>26.2</v>
      </c>
      <c r="O97" s="64">
        <v>0</v>
      </c>
      <c r="P97" s="64">
        <v>1.2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2929</v>
      </c>
      <c r="B98" s="64">
        <v>29.91</v>
      </c>
      <c r="C98" s="64">
        <v>13.22</v>
      </c>
      <c r="D98" s="64">
        <v>29.51</v>
      </c>
      <c r="E98" s="64">
        <v>6.4</v>
      </c>
      <c r="F98" s="64">
        <v>2.92</v>
      </c>
      <c r="G98" s="64">
        <v>49.45</v>
      </c>
      <c r="H98" s="64">
        <v>20.350000000000001</v>
      </c>
      <c r="I98" s="64">
        <v>6.23</v>
      </c>
      <c r="J98" s="64">
        <v>0.32</v>
      </c>
      <c r="K98" s="64">
        <v>144.34</v>
      </c>
      <c r="L98" s="64">
        <v>24.56</v>
      </c>
      <c r="M98" s="64">
        <v>97.95</v>
      </c>
      <c r="N98" s="64">
        <v>25.8</v>
      </c>
      <c r="O98" s="64">
        <v>0</v>
      </c>
      <c r="P98" s="64">
        <v>0.93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5" t="s">
        <v>2930</v>
      </c>
      <c r="B99" s="64">
        <v>30.33</v>
      </c>
      <c r="C99" s="64">
        <v>12.38</v>
      </c>
      <c r="D99" s="64">
        <v>29.41</v>
      </c>
      <c r="E99" s="64">
        <v>5.99</v>
      </c>
      <c r="F99" s="64">
        <v>3.8</v>
      </c>
      <c r="G99" s="64">
        <v>52.49</v>
      </c>
      <c r="H99" s="64">
        <v>21.65</v>
      </c>
      <c r="I99" s="64">
        <v>5.38</v>
      </c>
      <c r="J99" s="64">
        <v>0.41</v>
      </c>
      <c r="K99" s="64">
        <v>262.51</v>
      </c>
      <c r="L99" s="64">
        <v>24.75</v>
      </c>
      <c r="M99" s="64">
        <v>96.31</v>
      </c>
      <c r="N99" s="64">
        <v>26.1</v>
      </c>
      <c r="O99" s="64">
        <v>0</v>
      </c>
      <c r="P99" s="64">
        <v>0.84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2931</v>
      </c>
      <c r="B100" s="64">
        <v>32.159999999999997</v>
      </c>
      <c r="C100" s="64">
        <v>12.05</v>
      </c>
      <c r="D100" s="64">
        <v>30.71</v>
      </c>
      <c r="E100" s="64">
        <v>6.06</v>
      </c>
      <c r="F100" s="64">
        <v>3.94</v>
      </c>
      <c r="G100" s="64">
        <v>52.75</v>
      </c>
      <c r="H100" s="64">
        <v>21.65</v>
      </c>
      <c r="I100" s="64">
        <v>3.44</v>
      </c>
      <c r="J100" s="64">
        <v>0.43</v>
      </c>
      <c r="K100" s="64">
        <v>310.91000000000003</v>
      </c>
      <c r="L100" s="64">
        <v>24.5</v>
      </c>
      <c r="M100" s="64">
        <v>99.91</v>
      </c>
      <c r="N100" s="64">
        <v>26.2</v>
      </c>
      <c r="O100" s="64">
        <v>0</v>
      </c>
      <c r="P100" s="64">
        <v>1.64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2932</v>
      </c>
      <c r="B101" s="64">
        <v>35.6</v>
      </c>
      <c r="C101" s="64">
        <v>12.05</v>
      </c>
      <c r="D101" s="64">
        <v>33.47</v>
      </c>
      <c r="E101" s="64">
        <v>6.08</v>
      </c>
      <c r="F101" s="64">
        <v>3.74</v>
      </c>
      <c r="G101" s="64">
        <v>52.75</v>
      </c>
      <c r="H101" s="64">
        <v>21.65</v>
      </c>
      <c r="I101" s="64">
        <v>3.5</v>
      </c>
      <c r="J101" s="64">
        <v>0.56000000000000005</v>
      </c>
      <c r="K101" s="64">
        <v>342.5</v>
      </c>
      <c r="L101" s="64">
        <v>24.23</v>
      </c>
      <c r="M101" s="64">
        <v>102.26</v>
      </c>
      <c r="N101" s="64">
        <v>26.3</v>
      </c>
      <c r="O101" s="64">
        <v>0</v>
      </c>
      <c r="P101" s="64">
        <v>1.36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2933</v>
      </c>
      <c r="B102" s="64">
        <v>37.57</v>
      </c>
      <c r="C102" s="64">
        <v>11.87</v>
      </c>
      <c r="D102" s="64">
        <v>34.950000000000003</v>
      </c>
      <c r="E102" s="64">
        <v>6.03</v>
      </c>
      <c r="F102" s="64">
        <v>3.89</v>
      </c>
      <c r="G102" s="64">
        <v>52.75</v>
      </c>
      <c r="H102" s="64">
        <v>21.65</v>
      </c>
      <c r="I102" s="64">
        <v>5.1100000000000003</v>
      </c>
      <c r="J102" s="64">
        <v>0.37</v>
      </c>
      <c r="K102" s="64">
        <v>144.53</v>
      </c>
      <c r="L102" s="64">
        <v>24.16</v>
      </c>
      <c r="M102" s="64">
        <v>101.02</v>
      </c>
      <c r="N102" s="64">
        <v>26</v>
      </c>
      <c r="O102" s="64">
        <v>0</v>
      </c>
      <c r="P102" s="64">
        <v>0.93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5" t="s">
        <v>2934</v>
      </c>
      <c r="B103" s="64">
        <v>37.590000000000003</v>
      </c>
      <c r="C103" s="64">
        <v>11.69</v>
      </c>
      <c r="D103" s="64">
        <v>34.869999999999997</v>
      </c>
      <c r="E103" s="64">
        <v>6.13</v>
      </c>
      <c r="F103" s="64">
        <v>3</v>
      </c>
      <c r="G103" s="64">
        <v>49.67</v>
      </c>
      <c r="H103" s="64">
        <v>21.8</v>
      </c>
      <c r="I103" s="64">
        <v>5.13</v>
      </c>
      <c r="J103" s="64">
        <v>0.28000000000000003</v>
      </c>
      <c r="K103" s="64">
        <v>312.68</v>
      </c>
      <c r="L103" s="64">
        <v>24.39</v>
      </c>
      <c r="M103" s="64">
        <v>99.93</v>
      </c>
      <c r="N103" s="64">
        <v>26.1</v>
      </c>
      <c r="O103" s="64">
        <v>0</v>
      </c>
      <c r="P103" s="64">
        <v>0.92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5" t="s">
        <v>2935</v>
      </c>
      <c r="B104" s="64">
        <v>37.1</v>
      </c>
      <c r="C104" s="64">
        <v>11.36</v>
      </c>
      <c r="D104" s="64">
        <v>34.31</v>
      </c>
      <c r="E104" s="64">
        <v>5.46</v>
      </c>
      <c r="F104" s="64">
        <v>3.07</v>
      </c>
      <c r="G104" s="64">
        <v>49.41</v>
      </c>
      <c r="H104" s="64">
        <v>21.8</v>
      </c>
      <c r="I104" s="64">
        <v>3.56</v>
      </c>
      <c r="J104" s="64">
        <v>0.56000000000000005</v>
      </c>
      <c r="K104" s="64">
        <v>322.45999999999998</v>
      </c>
      <c r="L104" s="64">
        <v>24.13</v>
      </c>
      <c r="M104" s="64">
        <v>102.54</v>
      </c>
      <c r="N104" s="64">
        <v>26.2</v>
      </c>
      <c r="O104" s="64">
        <v>0</v>
      </c>
      <c r="P104" s="64">
        <v>1.1399999999999999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0.95</v>
      </c>
      <c r="C106" s="67">
        <f>MIN(C9:C104)</f>
        <v>7.43</v>
      </c>
      <c r="D106" s="67">
        <f t="shared" ref="D106:Q106" si="0">MIN(D9:D104)</f>
        <v>6</v>
      </c>
      <c r="E106" s="67">
        <f t="shared" si="0"/>
        <v>3.25</v>
      </c>
      <c r="F106" s="67">
        <f t="shared" si="0"/>
        <v>2.4</v>
      </c>
      <c r="G106" s="67">
        <f t="shared" si="0"/>
        <v>20.79</v>
      </c>
      <c r="H106" s="67">
        <f t="shared" si="0"/>
        <v>8.8800000000000008</v>
      </c>
      <c r="I106" s="67">
        <f t="shared" si="0"/>
        <v>1.47</v>
      </c>
      <c r="J106" s="67">
        <f t="shared" si="0"/>
        <v>0.09</v>
      </c>
      <c r="K106" s="67">
        <f t="shared" si="0"/>
        <v>0.53</v>
      </c>
      <c r="L106" s="67">
        <f t="shared" si="0"/>
        <v>23.07</v>
      </c>
      <c r="M106" s="67">
        <f t="shared" si="0"/>
        <v>56.18</v>
      </c>
      <c r="N106" s="67">
        <f t="shared" si="0"/>
        <v>25.8</v>
      </c>
      <c r="O106" s="67">
        <f t="shared" si="0"/>
        <v>0</v>
      </c>
      <c r="P106" s="67">
        <f t="shared" si="0"/>
        <v>0.31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37.590000000000003</v>
      </c>
      <c r="C107" s="66">
        <f t="shared" ref="C107:Q107" si="1">MAX(C9:C104)</f>
        <v>38.549999999999997</v>
      </c>
      <c r="D107" s="66">
        <f t="shared" si="1"/>
        <v>34.950000000000003</v>
      </c>
      <c r="E107" s="66">
        <f t="shared" si="1"/>
        <v>9.1999999999999993</v>
      </c>
      <c r="F107" s="66">
        <f t="shared" si="1"/>
        <v>10.32</v>
      </c>
      <c r="G107" s="66">
        <f t="shared" si="1"/>
        <v>53.21</v>
      </c>
      <c r="H107" s="66">
        <f t="shared" si="1"/>
        <v>21.8</v>
      </c>
      <c r="I107" s="66">
        <f t="shared" si="1"/>
        <v>6.27</v>
      </c>
      <c r="J107" s="66">
        <f t="shared" si="1"/>
        <v>1.55</v>
      </c>
      <c r="K107" s="66">
        <f t="shared" si="1"/>
        <v>342.5</v>
      </c>
      <c r="L107" s="66">
        <f t="shared" si="1"/>
        <v>33.39</v>
      </c>
      <c r="M107" s="66">
        <f t="shared" si="1"/>
        <v>102.71</v>
      </c>
      <c r="N107" s="66">
        <f t="shared" si="1"/>
        <v>750</v>
      </c>
      <c r="O107" s="66">
        <f t="shared" si="1"/>
        <v>0</v>
      </c>
      <c r="P107" s="66">
        <f t="shared" si="1"/>
        <v>1.89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10.058645833333335</v>
      </c>
      <c r="C108" s="67">
        <f t="shared" ref="C108:Q108" si="2">AVERAGE(C9:C104)</f>
        <v>14.453958333333338</v>
      </c>
      <c r="D108" s="67">
        <f t="shared" si="2"/>
        <v>14.243437500000004</v>
      </c>
      <c r="E108" s="67">
        <f t="shared" si="2"/>
        <v>5.0687499999999996</v>
      </c>
      <c r="F108" s="67">
        <f t="shared" si="2"/>
        <v>4.3427083333333352</v>
      </c>
      <c r="G108" s="67">
        <f t="shared" si="2"/>
        <v>33.867083333333333</v>
      </c>
      <c r="H108" s="67">
        <f t="shared" si="2"/>
        <v>15.14208333333333</v>
      </c>
      <c r="I108" s="67">
        <f t="shared" si="2"/>
        <v>3.9597916666666673</v>
      </c>
      <c r="J108" s="67">
        <f t="shared" si="2"/>
        <v>0.70177083333333334</v>
      </c>
      <c r="K108" s="67">
        <f t="shared" si="2"/>
        <v>169.1458333333334</v>
      </c>
      <c r="L108" s="67">
        <f t="shared" si="2"/>
        <v>25.6640625</v>
      </c>
      <c r="M108" s="67">
        <f t="shared" si="2"/>
        <v>90.619062500000027</v>
      </c>
      <c r="N108" s="67">
        <f t="shared" si="2"/>
        <v>99.771875000000009</v>
      </c>
      <c r="O108" s="67">
        <f t="shared" si="2"/>
        <v>0</v>
      </c>
      <c r="P108" s="67">
        <f t="shared" si="2"/>
        <v>0.69906250000000014</v>
      </c>
      <c r="Q108" s="67">
        <f t="shared" si="2"/>
        <v>9.6161458333333396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8.6673912325744684</v>
      </c>
      <c r="C109" s="67">
        <f t="shared" ref="C109:Q109" si="3">STDEV(C9:C104)</f>
        <v>6.8791361879949946</v>
      </c>
      <c r="D109" s="67">
        <f t="shared" si="3"/>
        <v>7.7579093532274932</v>
      </c>
      <c r="E109" s="67">
        <f t="shared" si="3"/>
        <v>1.0803120894104259</v>
      </c>
      <c r="F109" s="67">
        <f t="shared" si="3"/>
        <v>1.4536295619960269</v>
      </c>
      <c r="G109" s="67">
        <f t="shared" si="3"/>
        <v>11.679917169557291</v>
      </c>
      <c r="H109" s="67">
        <f t="shared" si="3"/>
        <v>3.5214279151224606</v>
      </c>
      <c r="I109" s="67">
        <f t="shared" si="3"/>
        <v>1.3240559529969549</v>
      </c>
      <c r="J109" s="67">
        <f t="shared" si="3"/>
        <v>0.35412158123763932</v>
      </c>
      <c r="K109" s="67">
        <f t="shared" si="3"/>
        <v>107.8886907947422</v>
      </c>
      <c r="L109" s="67">
        <f t="shared" si="3"/>
        <v>2.2464032436084884</v>
      </c>
      <c r="M109" s="67">
        <f t="shared" si="3"/>
        <v>11.480783402402917</v>
      </c>
      <c r="N109" s="67">
        <f t="shared" si="3"/>
        <v>129.88566932265741</v>
      </c>
      <c r="O109" s="67">
        <f t="shared" si="3"/>
        <v>0</v>
      </c>
      <c r="P109" s="67">
        <f t="shared" si="3"/>
        <v>0.34216978895525518</v>
      </c>
      <c r="Q109" s="67">
        <f t="shared" si="3"/>
        <v>7.9960242313774563E-3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G128" sqref="G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2936</v>
      </c>
      <c r="B9" s="64">
        <v>36.840000000000003</v>
      </c>
      <c r="C9" s="64">
        <v>10.73</v>
      </c>
      <c r="D9" s="64">
        <v>33.770000000000003</v>
      </c>
      <c r="E9" s="64">
        <v>5.64</v>
      </c>
      <c r="F9" s="64">
        <v>3.38</v>
      </c>
      <c r="G9" s="64">
        <v>49.41</v>
      </c>
      <c r="H9" s="64">
        <v>21.8</v>
      </c>
      <c r="I9" s="64">
        <v>3.71</v>
      </c>
      <c r="J9" s="64">
        <v>0.27</v>
      </c>
      <c r="K9" s="64">
        <v>324.39</v>
      </c>
      <c r="L9" s="64">
        <v>23.99</v>
      </c>
      <c r="M9" s="64">
        <v>102.72</v>
      </c>
      <c r="N9" s="64">
        <v>26.3</v>
      </c>
      <c r="O9" s="64">
        <v>0</v>
      </c>
      <c r="P9" s="64">
        <v>1.02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2937</v>
      </c>
      <c r="B10" s="64">
        <v>35.92</v>
      </c>
      <c r="C10" s="64">
        <v>10.4</v>
      </c>
      <c r="D10" s="64">
        <v>32.86</v>
      </c>
      <c r="E10" s="64">
        <v>5.67</v>
      </c>
      <c r="F10" s="64">
        <v>3.3</v>
      </c>
      <c r="G10" s="64">
        <v>49.41</v>
      </c>
      <c r="H10" s="64">
        <v>21.8</v>
      </c>
      <c r="I10" s="64">
        <v>4.0199999999999996</v>
      </c>
      <c r="J10" s="64">
        <v>0.14000000000000001</v>
      </c>
      <c r="K10" s="64">
        <v>90.3</v>
      </c>
      <c r="L10" s="64">
        <v>24.11</v>
      </c>
      <c r="M10" s="64">
        <v>101.72</v>
      </c>
      <c r="N10" s="64">
        <v>26.1</v>
      </c>
      <c r="O10" s="64">
        <v>0</v>
      </c>
      <c r="P10" s="64">
        <v>0.8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5" t="s">
        <v>2938</v>
      </c>
      <c r="B11" s="64">
        <v>34.57</v>
      </c>
      <c r="C11" s="64">
        <v>11.27</v>
      </c>
      <c r="D11" s="64">
        <v>32.229999999999997</v>
      </c>
      <c r="E11" s="64">
        <v>5.18</v>
      </c>
      <c r="F11" s="64">
        <v>3.8</v>
      </c>
      <c r="G11" s="64">
        <v>49.48</v>
      </c>
      <c r="H11" s="64">
        <v>22.66</v>
      </c>
      <c r="I11" s="64">
        <v>3.5</v>
      </c>
      <c r="J11" s="64">
        <v>0.78</v>
      </c>
      <c r="K11" s="64">
        <v>120.62</v>
      </c>
      <c r="L11" s="64">
        <v>24.26</v>
      </c>
      <c r="M11" s="64">
        <v>99.81</v>
      </c>
      <c r="N11" s="64">
        <v>25.9</v>
      </c>
      <c r="O11" s="64">
        <v>0</v>
      </c>
      <c r="P11" s="64">
        <v>0.94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5" t="s">
        <v>2939</v>
      </c>
      <c r="B12" s="64">
        <v>32.75</v>
      </c>
      <c r="C12" s="64">
        <v>11.89</v>
      </c>
      <c r="D12" s="64">
        <v>31.1</v>
      </c>
      <c r="E12" s="64">
        <v>5.47</v>
      </c>
      <c r="F12" s="64">
        <v>2.95</v>
      </c>
      <c r="G12" s="64">
        <v>49.49</v>
      </c>
      <c r="H12" s="64">
        <v>22.66</v>
      </c>
      <c r="I12" s="64">
        <v>3.2</v>
      </c>
      <c r="J12" s="64">
        <v>0.24</v>
      </c>
      <c r="K12" s="64">
        <v>68.83</v>
      </c>
      <c r="L12" s="64">
        <v>24.35</v>
      </c>
      <c r="M12" s="64">
        <v>99.09</v>
      </c>
      <c r="N12" s="64">
        <v>26.1</v>
      </c>
      <c r="O12" s="64">
        <v>0</v>
      </c>
      <c r="P12" s="64">
        <v>0.8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2940</v>
      </c>
      <c r="B13" s="64">
        <v>31.08</v>
      </c>
      <c r="C13" s="64">
        <v>11.03</v>
      </c>
      <c r="D13" s="64">
        <v>29.31</v>
      </c>
      <c r="E13" s="64">
        <v>5.71</v>
      </c>
      <c r="F13" s="64">
        <v>5.88</v>
      </c>
      <c r="G13" s="64">
        <v>49.49</v>
      </c>
      <c r="H13" s="64">
        <v>22.66</v>
      </c>
      <c r="I13" s="64">
        <v>5.36</v>
      </c>
      <c r="J13" s="64">
        <v>0.5</v>
      </c>
      <c r="K13" s="64">
        <v>293.33999999999997</v>
      </c>
      <c r="L13" s="64">
        <v>24.1</v>
      </c>
      <c r="M13" s="64">
        <v>101.59</v>
      </c>
      <c r="N13" s="64">
        <v>26.4</v>
      </c>
      <c r="O13" s="64">
        <v>0</v>
      </c>
      <c r="P13" s="64">
        <v>0.99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5" t="s">
        <v>2941</v>
      </c>
      <c r="B14" s="64">
        <v>29.72</v>
      </c>
      <c r="C14" s="64">
        <v>10.78</v>
      </c>
      <c r="D14" s="64">
        <v>28.09</v>
      </c>
      <c r="E14" s="64">
        <v>5.27</v>
      </c>
      <c r="F14" s="64">
        <v>2.61</v>
      </c>
      <c r="G14" s="64">
        <v>49.49</v>
      </c>
      <c r="H14" s="64">
        <v>22.66</v>
      </c>
      <c r="I14" s="64">
        <v>5.67</v>
      </c>
      <c r="J14" s="64">
        <v>0.43</v>
      </c>
      <c r="K14" s="64">
        <v>2.27</v>
      </c>
      <c r="L14" s="64">
        <v>23.76</v>
      </c>
      <c r="M14" s="64">
        <v>102.72</v>
      </c>
      <c r="N14" s="64">
        <v>26.3</v>
      </c>
      <c r="O14" s="64">
        <v>0</v>
      </c>
      <c r="P14" s="64">
        <v>0.8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5" t="s">
        <v>2942</v>
      </c>
      <c r="B15" s="64">
        <v>28.46</v>
      </c>
      <c r="C15" s="64">
        <v>10.08</v>
      </c>
      <c r="D15" s="64">
        <v>26.71</v>
      </c>
      <c r="E15" s="64">
        <v>5.62</v>
      </c>
      <c r="F15" s="64">
        <v>4.45</v>
      </c>
      <c r="G15" s="64">
        <v>45.88</v>
      </c>
      <c r="H15" s="64">
        <v>19.850000000000001</v>
      </c>
      <c r="I15" s="64">
        <v>5.63</v>
      </c>
      <c r="J15" s="64">
        <v>0.3</v>
      </c>
      <c r="K15" s="64">
        <v>119.21</v>
      </c>
      <c r="L15" s="64">
        <v>23.61</v>
      </c>
      <c r="M15" s="64">
        <v>102.71</v>
      </c>
      <c r="N15" s="64">
        <v>26.1</v>
      </c>
      <c r="O15" s="64">
        <v>0</v>
      </c>
      <c r="P15" s="64">
        <v>0.9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5" t="s">
        <v>2943</v>
      </c>
      <c r="B16" s="64">
        <v>27.07</v>
      </c>
      <c r="C16" s="64">
        <v>10.199999999999999</v>
      </c>
      <c r="D16" s="64">
        <v>25.66</v>
      </c>
      <c r="E16" s="64">
        <v>5.45</v>
      </c>
      <c r="F16" s="64">
        <v>2.9</v>
      </c>
      <c r="G16" s="64">
        <v>45.57</v>
      </c>
      <c r="H16" s="64">
        <v>19.850000000000001</v>
      </c>
      <c r="I16" s="64">
        <v>5.9</v>
      </c>
      <c r="J16" s="64">
        <v>0.46</v>
      </c>
      <c r="K16" s="64">
        <v>2.27</v>
      </c>
      <c r="L16" s="64">
        <v>23.66</v>
      </c>
      <c r="M16" s="64">
        <v>102.73</v>
      </c>
      <c r="N16" s="64">
        <v>26.1</v>
      </c>
      <c r="O16" s="64">
        <v>0</v>
      </c>
      <c r="P16" s="64">
        <v>0.65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2944</v>
      </c>
      <c r="B17" s="64">
        <v>25.82</v>
      </c>
      <c r="C17" s="64">
        <v>9.81</v>
      </c>
      <c r="D17" s="64">
        <v>24.45</v>
      </c>
      <c r="E17" s="64">
        <v>5.35</v>
      </c>
      <c r="F17" s="64">
        <v>4.91</v>
      </c>
      <c r="G17" s="64">
        <v>45.57</v>
      </c>
      <c r="H17" s="64">
        <v>19.850000000000001</v>
      </c>
      <c r="I17" s="64">
        <v>5.39</v>
      </c>
      <c r="J17" s="64">
        <v>0.48</v>
      </c>
      <c r="K17" s="64">
        <v>296.99</v>
      </c>
      <c r="L17" s="64">
        <v>23.56</v>
      </c>
      <c r="M17" s="64">
        <v>102.73</v>
      </c>
      <c r="N17" s="64">
        <v>26.2</v>
      </c>
      <c r="O17" s="64">
        <v>0</v>
      </c>
      <c r="P17" s="64">
        <v>0.89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5" t="s">
        <v>2945</v>
      </c>
      <c r="B18" s="64">
        <v>24.8</v>
      </c>
      <c r="C18" s="64">
        <v>9.67</v>
      </c>
      <c r="D18" s="64">
        <v>23.56</v>
      </c>
      <c r="E18" s="64">
        <v>5.45</v>
      </c>
      <c r="F18" s="64">
        <v>2.71</v>
      </c>
      <c r="G18" s="64">
        <v>45.57</v>
      </c>
      <c r="H18" s="64">
        <v>19.850000000000001</v>
      </c>
      <c r="I18" s="64">
        <v>5.17</v>
      </c>
      <c r="J18" s="64">
        <v>0.31</v>
      </c>
      <c r="K18" s="64">
        <v>273.55</v>
      </c>
      <c r="L18" s="64">
        <v>23.41</v>
      </c>
      <c r="M18" s="64">
        <v>102.73</v>
      </c>
      <c r="N18" s="64">
        <v>26.1</v>
      </c>
      <c r="O18" s="64">
        <v>0</v>
      </c>
      <c r="P18" s="64">
        <v>0.61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5" t="s">
        <v>2946</v>
      </c>
      <c r="B19" s="64">
        <v>23.62</v>
      </c>
      <c r="C19" s="64">
        <v>8.9700000000000006</v>
      </c>
      <c r="D19" s="64">
        <v>22.26</v>
      </c>
      <c r="E19" s="64">
        <v>5.12</v>
      </c>
      <c r="F19" s="64">
        <v>4.58</v>
      </c>
      <c r="G19" s="64">
        <v>43.47</v>
      </c>
      <c r="H19" s="64">
        <v>20.63</v>
      </c>
      <c r="I19" s="64">
        <v>4.9800000000000004</v>
      </c>
      <c r="J19" s="64">
        <v>0.21</v>
      </c>
      <c r="K19" s="64">
        <v>58.49</v>
      </c>
      <c r="L19" s="64">
        <v>23.46</v>
      </c>
      <c r="M19" s="64">
        <v>102.72</v>
      </c>
      <c r="N19" s="64">
        <v>26</v>
      </c>
      <c r="O19" s="64">
        <v>0</v>
      </c>
      <c r="P19" s="64">
        <v>0.83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5" t="s">
        <v>2947</v>
      </c>
      <c r="B20" s="64">
        <v>22.66</v>
      </c>
      <c r="C20" s="64">
        <v>9.11</v>
      </c>
      <c r="D20" s="64">
        <v>21.56</v>
      </c>
      <c r="E20" s="64">
        <v>5.04</v>
      </c>
      <c r="F20" s="64">
        <v>3.03</v>
      </c>
      <c r="G20" s="64">
        <v>43.26</v>
      </c>
      <c r="H20" s="64">
        <v>20.63</v>
      </c>
      <c r="I20" s="64">
        <v>4.37</v>
      </c>
      <c r="J20" s="64">
        <v>0.33</v>
      </c>
      <c r="K20" s="64">
        <v>306.77999999999997</v>
      </c>
      <c r="L20" s="64">
        <v>23.52</v>
      </c>
      <c r="M20" s="64">
        <v>102.73</v>
      </c>
      <c r="N20" s="64">
        <v>26.1</v>
      </c>
      <c r="O20" s="64">
        <v>0</v>
      </c>
      <c r="P20" s="64">
        <v>0.52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5" t="s">
        <v>2948</v>
      </c>
      <c r="B21" s="64">
        <v>22.08</v>
      </c>
      <c r="C21" s="64">
        <v>8.23</v>
      </c>
      <c r="D21" s="64">
        <v>20.63</v>
      </c>
      <c r="E21" s="64">
        <v>5.1100000000000003</v>
      </c>
      <c r="F21" s="64">
        <v>4.08</v>
      </c>
      <c r="G21" s="64">
        <v>43.26</v>
      </c>
      <c r="H21" s="64">
        <v>20.63</v>
      </c>
      <c r="I21" s="64">
        <v>4.43</v>
      </c>
      <c r="J21" s="64">
        <v>0.32</v>
      </c>
      <c r="K21" s="64">
        <v>183.33</v>
      </c>
      <c r="L21" s="64">
        <v>23.2</v>
      </c>
      <c r="M21" s="64">
        <v>102.74</v>
      </c>
      <c r="N21" s="64">
        <v>26.1</v>
      </c>
      <c r="O21" s="64">
        <v>0</v>
      </c>
      <c r="P21" s="64">
        <v>0.54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2949</v>
      </c>
      <c r="B22" s="64">
        <v>21.39</v>
      </c>
      <c r="C22" s="64">
        <v>7.94</v>
      </c>
      <c r="D22" s="64">
        <v>19.920000000000002</v>
      </c>
      <c r="E22" s="64">
        <v>5.0199999999999996</v>
      </c>
      <c r="F22" s="64">
        <v>3.65</v>
      </c>
      <c r="G22" s="64">
        <v>43.26</v>
      </c>
      <c r="H22" s="64">
        <v>20.63</v>
      </c>
      <c r="I22" s="64">
        <v>3.54</v>
      </c>
      <c r="J22" s="64">
        <v>0.27</v>
      </c>
      <c r="K22" s="64">
        <v>331.71</v>
      </c>
      <c r="L22" s="64">
        <v>23.08</v>
      </c>
      <c r="M22" s="64">
        <v>102.75</v>
      </c>
      <c r="N22" s="64">
        <v>26.1</v>
      </c>
      <c r="O22" s="64">
        <v>0</v>
      </c>
      <c r="P22" s="64">
        <v>0.53</v>
      </c>
      <c r="Q22" s="64">
        <v>9.6199999999999992</v>
      </c>
      <c r="R22" s="198"/>
      <c r="S22" s="198"/>
      <c r="T22" s="198"/>
      <c r="U22" s="198"/>
    </row>
    <row r="23" spans="1:21" s="12" customFormat="1" x14ac:dyDescent="0.25">
      <c r="A23" s="215" t="s">
        <v>2950</v>
      </c>
      <c r="B23" s="64">
        <v>20.73</v>
      </c>
      <c r="C23" s="64">
        <v>7.91</v>
      </c>
      <c r="D23" s="64">
        <v>19.38</v>
      </c>
      <c r="E23" s="64">
        <v>4.9400000000000004</v>
      </c>
      <c r="F23" s="64">
        <v>4.22</v>
      </c>
      <c r="G23" s="64">
        <v>43.33</v>
      </c>
      <c r="H23" s="64">
        <v>20.38</v>
      </c>
      <c r="I23" s="64">
        <v>2.93</v>
      </c>
      <c r="J23" s="64">
        <v>0.35</v>
      </c>
      <c r="K23" s="64">
        <v>338.71</v>
      </c>
      <c r="L23" s="64">
        <v>22.95</v>
      </c>
      <c r="M23" s="64">
        <v>102.75</v>
      </c>
      <c r="N23" s="64">
        <v>26.1</v>
      </c>
      <c r="O23" s="64">
        <v>0</v>
      </c>
      <c r="P23" s="64">
        <v>0.54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5" t="s">
        <v>2951</v>
      </c>
      <c r="B24" s="64">
        <v>20.149999999999999</v>
      </c>
      <c r="C24" s="64">
        <v>7.79</v>
      </c>
      <c r="D24" s="64">
        <v>18.850000000000001</v>
      </c>
      <c r="E24" s="64">
        <v>4.66</v>
      </c>
      <c r="F24" s="64">
        <v>3.14</v>
      </c>
      <c r="G24" s="64">
        <v>43.33</v>
      </c>
      <c r="H24" s="64">
        <v>20.38</v>
      </c>
      <c r="I24" s="64">
        <v>2.85</v>
      </c>
      <c r="J24" s="64">
        <v>0.28999999999999998</v>
      </c>
      <c r="K24" s="64">
        <v>301.57</v>
      </c>
      <c r="L24" s="64">
        <v>22.94</v>
      </c>
      <c r="M24" s="64">
        <v>102.75</v>
      </c>
      <c r="N24" s="64">
        <v>26.1</v>
      </c>
      <c r="O24" s="64">
        <v>0</v>
      </c>
      <c r="P24" s="64">
        <v>0.49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2952</v>
      </c>
      <c r="B25" s="64">
        <v>19.510000000000002</v>
      </c>
      <c r="C25" s="64">
        <v>7.64</v>
      </c>
      <c r="D25" s="64">
        <v>18.260000000000002</v>
      </c>
      <c r="E25" s="64">
        <v>4.8</v>
      </c>
      <c r="F25" s="64">
        <v>3.08</v>
      </c>
      <c r="G25" s="64">
        <v>43.33</v>
      </c>
      <c r="H25" s="64">
        <v>20.38</v>
      </c>
      <c r="I25" s="64">
        <v>3.09</v>
      </c>
      <c r="J25" s="64">
        <v>0.52</v>
      </c>
      <c r="K25" s="64">
        <v>326.25</v>
      </c>
      <c r="L25" s="64">
        <v>23.15</v>
      </c>
      <c r="M25" s="64">
        <v>102.75</v>
      </c>
      <c r="N25" s="64">
        <v>26.1</v>
      </c>
      <c r="O25" s="64">
        <v>0</v>
      </c>
      <c r="P25" s="64">
        <v>0.53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5" t="s">
        <v>2953</v>
      </c>
      <c r="B26" s="64">
        <v>19.14</v>
      </c>
      <c r="C26" s="64">
        <v>7.63</v>
      </c>
      <c r="D26" s="64">
        <v>17.96</v>
      </c>
      <c r="E26" s="64">
        <v>4.3600000000000003</v>
      </c>
      <c r="F26" s="64">
        <v>3.49</v>
      </c>
      <c r="G26" s="64">
        <v>43.33</v>
      </c>
      <c r="H26" s="64">
        <v>20.38</v>
      </c>
      <c r="I26" s="64">
        <v>3.29</v>
      </c>
      <c r="J26" s="64">
        <v>0.63</v>
      </c>
      <c r="K26" s="64">
        <v>343.66</v>
      </c>
      <c r="L26" s="64">
        <v>23.45</v>
      </c>
      <c r="M26" s="64">
        <v>102.75</v>
      </c>
      <c r="N26" s="64">
        <v>26.1</v>
      </c>
      <c r="O26" s="64">
        <v>0</v>
      </c>
      <c r="P26" s="64">
        <v>0.63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2954</v>
      </c>
      <c r="B27" s="64">
        <v>18.850000000000001</v>
      </c>
      <c r="C27" s="64">
        <v>7.69</v>
      </c>
      <c r="D27" s="64">
        <v>17.75</v>
      </c>
      <c r="E27" s="64">
        <v>4.6399999999999997</v>
      </c>
      <c r="F27" s="64">
        <v>3.54</v>
      </c>
      <c r="G27" s="64">
        <v>42.26</v>
      </c>
      <c r="H27" s="64">
        <v>21.85</v>
      </c>
      <c r="I27" s="64">
        <v>3.98</v>
      </c>
      <c r="J27" s="64">
        <v>0.41</v>
      </c>
      <c r="K27" s="64">
        <v>105.65</v>
      </c>
      <c r="L27" s="64">
        <v>23.44</v>
      </c>
      <c r="M27" s="64">
        <v>102.72</v>
      </c>
      <c r="N27" s="64">
        <v>26.2</v>
      </c>
      <c r="O27" s="64">
        <v>0</v>
      </c>
      <c r="P27" s="64">
        <v>0.63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2955</v>
      </c>
      <c r="B28" s="64">
        <v>18.28</v>
      </c>
      <c r="C28" s="64">
        <v>8.56</v>
      </c>
      <c r="D28" s="64">
        <v>17.760000000000002</v>
      </c>
      <c r="E28" s="64">
        <v>4.6100000000000003</v>
      </c>
      <c r="F28" s="64">
        <v>3.65</v>
      </c>
      <c r="G28" s="64">
        <v>42.15</v>
      </c>
      <c r="H28" s="64">
        <v>21.85</v>
      </c>
      <c r="I28" s="64">
        <v>4.1100000000000003</v>
      </c>
      <c r="J28" s="64">
        <v>0.28000000000000003</v>
      </c>
      <c r="K28" s="64">
        <v>86.07</v>
      </c>
      <c r="L28" s="64">
        <v>23.33</v>
      </c>
      <c r="M28" s="64">
        <v>102.75</v>
      </c>
      <c r="N28" s="64">
        <v>26.1</v>
      </c>
      <c r="O28" s="64">
        <v>0</v>
      </c>
      <c r="P28" s="64">
        <v>0.66</v>
      </c>
      <c r="Q28" s="64">
        <v>9.61</v>
      </c>
      <c r="R28" s="198"/>
      <c r="S28" s="198"/>
      <c r="T28" s="198"/>
      <c r="U28" s="198"/>
    </row>
    <row r="29" spans="1:21" s="12" customFormat="1" x14ac:dyDescent="0.25">
      <c r="A29" s="215" t="s">
        <v>2956</v>
      </c>
      <c r="B29" s="64">
        <v>17.93</v>
      </c>
      <c r="C29" s="64">
        <v>8.6999999999999993</v>
      </c>
      <c r="D29" s="64">
        <v>17.55</v>
      </c>
      <c r="E29" s="64">
        <v>5.0599999999999996</v>
      </c>
      <c r="F29" s="64">
        <v>4.2699999999999996</v>
      </c>
      <c r="G29" s="64">
        <v>42.15</v>
      </c>
      <c r="H29" s="64">
        <v>21.85</v>
      </c>
      <c r="I29" s="64">
        <v>5.59</v>
      </c>
      <c r="J29" s="64">
        <v>0.22</v>
      </c>
      <c r="K29" s="64">
        <v>56.37</v>
      </c>
      <c r="L29" s="64">
        <v>23.17</v>
      </c>
      <c r="M29" s="64">
        <v>102.75</v>
      </c>
      <c r="N29" s="64">
        <v>26.1</v>
      </c>
      <c r="O29" s="64">
        <v>0</v>
      </c>
      <c r="P29" s="64">
        <v>0.69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2957</v>
      </c>
      <c r="B30" s="64">
        <v>17.73</v>
      </c>
      <c r="C30" s="64">
        <v>8.51</v>
      </c>
      <c r="D30" s="64">
        <v>17.29</v>
      </c>
      <c r="E30" s="64">
        <v>5.07</v>
      </c>
      <c r="F30" s="64">
        <v>3.84</v>
      </c>
      <c r="G30" s="64">
        <v>42.15</v>
      </c>
      <c r="H30" s="64">
        <v>21.85</v>
      </c>
      <c r="I30" s="64">
        <v>5.05</v>
      </c>
      <c r="J30" s="64">
        <v>0.26</v>
      </c>
      <c r="K30" s="64">
        <v>73.31</v>
      </c>
      <c r="L30" s="64">
        <v>23.1</v>
      </c>
      <c r="M30" s="64">
        <v>102.75</v>
      </c>
      <c r="N30" s="64">
        <v>26.1</v>
      </c>
      <c r="O30" s="64">
        <v>0</v>
      </c>
      <c r="P30" s="64">
        <v>0.57999999999999996</v>
      </c>
      <c r="Q30" s="64">
        <v>9.61</v>
      </c>
      <c r="R30" s="198"/>
      <c r="S30" s="198"/>
      <c r="T30" s="198"/>
      <c r="U30" s="198"/>
    </row>
    <row r="31" spans="1:21" s="12" customFormat="1" x14ac:dyDescent="0.25">
      <c r="A31" s="215" t="s">
        <v>2958</v>
      </c>
      <c r="B31" s="64">
        <v>17.190000000000001</v>
      </c>
      <c r="C31" s="64">
        <v>8.67</v>
      </c>
      <c r="D31" s="64">
        <v>16.940000000000001</v>
      </c>
      <c r="E31" s="64">
        <v>5.17</v>
      </c>
      <c r="F31" s="64">
        <v>3.95</v>
      </c>
      <c r="G31" s="64">
        <v>44.13</v>
      </c>
      <c r="H31" s="64">
        <v>19.27</v>
      </c>
      <c r="I31" s="64">
        <v>4.5</v>
      </c>
      <c r="J31" s="64">
        <v>0.53</v>
      </c>
      <c r="K31" s="64">
        <v>100.02</v>
      </c>
      <c r="L31" s="64">
        <v>23.08</v>
      </c>
      <c r="M31" s="64">
        <v>102.75</v>
      </c>
      <c r="N31" s="64">
        <v>26.1</v>
      </c>
      <c r="O31" s="64">
        <v>0</v>
      </c>
      <c r="P31" s="64">
        <v>0.64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2959</v>
      </c>
      <c r="B32" s="64">
        <v>16.89</v>
      </c>
      <c r="C32" s="64">
        <v>8.35</v>
      </c>
      <c r="D32" s="64">
        <v>16.53</v>
      </c>
      <c r="E32" s="64">
        <v>5.01</v>
      </c>
      <c r="F32" s="64">
        <v>3.73</v>
      </c>
      <c r="G32" s="64">
        <v>44.3</v>
      </c>
      <c r="H32" s="64">
        <v>19.27</v>
      </c>
      <c r="I32" s="64">
        <v>4.17</v>
      </c>
      <c r="J32" s="64">
        <v>0.5</v>
      </c>
      <c r="K32" s="64">
        <v>330.43</v>
      </c>
      <c r="L32" s="64">
        <v>23.08</v>
      </c>
      <c r="M32" s="64">
        <v>102.75</v>
      </c>
      <c r="N32" s="64">
        <v>27</v>
      </c>
      <c r="O32" s="64">
        <v>0</v>
      </c>
      <c r="P32" s="64">
        <v>0.61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5" t="s">
        <v>2960</v>
      </c>
      <c r="B33" s="64">
        <v>16.93</v>
      </c>
      <c r="C33" s="64">
        <v>8.7899999999999991</v>
      </c>
      <c r="D33" s="64">
        <v>16.8</v>
      </c>
      <c r="E33" s="64">
        <v>4.6900000000000004</v>
      </c>
      <c r="F33" s="64">
        <v>2.6</v>
      </c>
      <c r="G33" s="64">
        <v>44.3</v>
      </c>
      <c r="H33" s="64">
        <v>19.27</v>
      </c>
      <c r="I33" s="64">
        <v>3.75</v>
      </c>
      <c r="J33" s="64">
        <v>0.46</v>
      </c>
      <c r="K33" s="64">
        <v>314.33999999999997</v>
      </c>
      <c r="L33" s="64">
        <v>22.94</v>
      </c>
      <c r="M33" s="64">
        <v>102.75</v>
      </c>
      <c r="N33" s="64">
        <v>30.5</v>
      </c>
      <c r="O33" s="64">
        <v>0</v>
      </c>
      <c r="P33" s="64">
        <v>0.68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2961</v>
      </c>
      <c r="B34" s="64">
        <v>17.579999999999998</v>
      </c>
      <c r="C34" s="64">
        <v>8.58</v>
      </c>
      <c r="D34" s="64">
        <v>17.2</v>
      </c>
      <c r="E34" s="64">
        <v>5.01</v>
      </c>
      <c r="F34" s="64">
        <v>4.3499999999999996</v>
      </c>
      <c r="G34" s="64">
        <v>44.3</v>
      </c>
      <c r="H34" s="64">
        <v>19.27</v>
      </c>
      <c r="I34" s="64">
        <v>5.14</v>
      </c>
      <c r="J34" s="64">
        <v>0.18</v>
      </c>
      <c r="K34" s="64">
        <v>89.41</v>
      </c>
      <c r="L34" s="64">
        <v>22.91</v>
      </c>
      <c r="M34" s="64">
        <v>102.75</v>
      </c>
      <c r="N34" s="64">
        <v>42.4</v>
      </c>
      <c r="O34" s="64">
        <v>0</v>
      </c>
      <c r="P34" s="64">
        <v>0.69</v>
      </c>
      <c r="Q34" s="64">
        <v>9.61</v>
      </c>
      <c r="R34" s="198"/>
      <c r="S34" s="198"/>
      <c r="T34" s="198"/>
      <c r="U34" s="198"/>
    </row>
    <row r="35" spans="1:21" s="12" customFormat="1" x14ac:dyDescent="0.25">
      <c r="A35" s="215" t="s">
        <v>2962</v>
      </c>
      <c r="B35" s="64">
        <v>18.34</v>
      </c>
      <c r="C35" s="64">
        <v>8.57</v>
      </c>
      <c r="D35" s="64">
        <v>17.809999999999999</v>
      </c>
      <c r="E35" s="64">
        <v>5.03</v>
      </c>
      <c r="F35" s="64">
        <v>2.5299999999999998</v>
      </c>
      <c r="G35" s="64">
        <v>44.18</v>
      </c>
      <c r="H35" s="64">
        <v>21.57</v>
      </c>
      <c r="I35" s="64">
        <v>4.5599999999999996</v>
      </c>
      <c r="J35" s="64">
        <v>0.41</v>
      </c>
      <c r="K35" s="64">
        <v>131.63999999999999</v>
      </c>
      <c r="L35" s="64">
        <v>23.18</v>
      </c>
      <c r="M35" s="64">
        <v>102.75</v>
      </c>
      <c r="N35" s="64">
        <v>59.1</v>
      </c>
      <c r="O35" s="64">
        <v>0</v>
      </c>
      <c r="P35" s="64">
        <v>0.62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5" t="s">
        <v>2963</v>
      </c>
      <c r="B36" s="64">
        <v>19.13</v>
      </c>
      <c r="C36" s="64">
        <v>8.4700000000000006</v>
      </c>
      <c r="D36" s="64">
        <v>18.39</v>
      </c>
      <c r="E36" s="64">
        <v>4.9800000000000004</v>
      </c>
      <c r="F36" s="64">
        <v>3.89</v>
      </c>
      <c r="G36" s="64">
        <v>44.17</v>
      </c>
      <c r="H36" s="64">
        <v>21.57</v>
      </c>
      <c r="I36" s="64">
        <v>3.99</v>
      </c>
      <c r="J36" s="64">
        <v>0.22</v>
      </c>
      <c r="K36" s="64">
        <v>36.36</v>
      </c>
      <c r="L36" s="64">
        <v>23.68</v>
      </c>
      <c r="M36" s="64">
        <v>102.75</v>
      </c>
      <c r="N36" s="64">
        <v>78.8</v>
      </c>
      <c r="O36" s="64">
        <v>0</v>
      </c>
      <c r="P36" s="64">
        <v>0.72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5" t="s">
        <v>2964</v>
      </c>
      <c r="B37" s="64">
        <v>20.76</v>
      </c>
      <c r="C37" s="64">
        <v>8.36</v>
      </c>
      <c r="D37" s="64">
        <v>19.64</v>
      </c>
      <c r="E37" s="64">
        <v>5.55</v>
      </c>
      <c r="F37" s="64">
        <v>5.49</v>
      </c>
      <c r="G37" s="64">
        <v>44.17</v>
      </c>
      <c r="H37" s="64">
        <v>21.57</v>
      </c>
      <c r="I37" s="64">
        <v>4.87</v>
      </c>
      <c r="J37" s="64">
        <v>0.93</v>
      </c>
      <c r="K37" s="64">
        <v>345.15</v>
      </c>
      <c r="L37" s="64">
        <v>24.6</v>
      </c>
      <c r="M37" s="64">
        <v>102.39</v>
      </c>
      <c r="N37" s="64">
        <v>92.8</v>
      </c>
      <c r="O37" s="64">
        <v>0</v>
      </c>
      <c r="P37" s="64">
        <v>0.79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5" t="s">
        <v>2965</v>
      </c>
      <c r="B38" s="64">
        <v>22.08</v>
      </c>
      <c r="C38" s="64">
        <v>8.25</v>
      </c>
      <c r="D38" s="64">
        <v>20.64</v>
      </c>
      <c r="E38" s="64">
        <v>5.39</v>
      </c>
      <c r="F38" s="64">
        <v>4.57</v>
      </c>
      <c r="G38" s="64">
        <v>44.17</v>
      </c>
      <c r="H38" s="64">
        <v>21.57</v>
      </c>
      <c r="I38" s="64">
        <v>5.38</v>
      </c>
      <c r="J38" s="64">
        <v>1.03</v>
      </c>
      <c r="K38" s="64">
        <v>344.25</v>
      </c>
      <c r="L38" s="64">
        <v>25.22</v>
      </c>
      <c r="M38" s="64">
        <v>99.24</v>
      </c>
      <c r="N38" s="64">
        <v>107.4</v>
      </c>
      <c r="O38" s="64">
        <v>0</v>
      </c>
      <c r="P38" s="64">
        <v>0.88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2966</v>
      </c>
      <c r="B39" s="64">
        <v>22.86</v>
      </c>
      <c r="C39" s="64">
        <v>8.61</v>
      </c>
      <c r="D39" s="64">
        <v>21.46</v>
      </c>
      <c r="E39" s="64">
        <v>5.33</v>
      </c>
      <c r="F39" s="64">
        <v>4.17</v>
      </c>
      <c r="G39" s="64">
        <v>54.65</v>
      </c>
      <c r="H39" s="64">
        <v>24</v>
      </c>
      <c r="I39" s="64">
        <v>5.31</v>
      </c>
      <c r="J39" s="64">
        <v>0.94</v>
      </c>
      <c r="K39" s="64">
        <v>340.69</v>
      </c>
      <c r="L39" s="64">
        <v>26.1</v>
      </c>
      <c r="M39" s="64">
        <v>92.35</v>
      </c>
      <c r="N39" s="64">
        <v>184.3</v>
      </c>
      <c r="O39" s="64">
        <v>0</v>
      </c>
      <c r="P39" s="64">
        <v>0.75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2967</v>
      </c>
      <c r="B40" s="64">
        <v>23.11</v>
      </c>
      <c r="C40" s="64">
        <v>9.06</v>
      </c>
      <c r="D40" s="64">
        <v>21.89</v>
      </c>
      <c r="E40" s="64">
        <v>4.25</v>
      </c>
      <c r="F40" s="64">
        <v>3.3</v>
      </c>
      <c r="G40" s="64">
        <v>55.67</v>
      </c>
      <c r="H40" s="64">
        <v>24</v>
      </c>
      <c r="I40" s="64">
        <v>4.7699999999999996</v>
      </c>
      <c r="J40" s="64">
        <v>0.64</v>
      </c>
      <c r="K40" s="64">
        <v>344.65</v>
      </c>
      <c r="L40" s="64">
        <v>27.59</v>
      </c>
      <c r="M40" s="64">
        <v>84.97</v>
      </c>
      <c r="N40" s="64">
        <v>230.1</v>
      </c>
      <c r="O40" s="64">
        <v>0</v>
      </c>
      <c r="P40" s="64">
        <v>0.73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5" t="s">
        <v>2968</v>
      </c>
      <c r="B41" s="64">
        <v>22.93</v>
      </c>
      <c r="C41" s="64">
        <v>9.08</v>
      </c>
      <c r="D41" s="64">
        <v>21.76</v>
      </c>
      <c r="E41" s="64">
        <v>5.24</v>
      </c>
      <c r="F41" s="64">
        <v>3.5</v>
      </c>
      <c r="G41" s="64">
        <v>55.67</v>
      </c>
      <c r="H41" s="64">
        <v>24</v>
      </c>
      <c r="I41" s="64">
        <v>4.37</v>
      </c>
      <c r="J41" s="64">
        <v>0.81</v>
      </c>
      <c r="K41" s="64">
        <v>125.43</v>
      </c>
      <c r="L41" s="64">
        <v>26.58</v>
      </c>
      <c r="M41" s="64">
        <v>90.53</v>
      </c>
      <c r="N41" s="64">
        <v>266</v>
      </c>
      <c r="O41" s="64">
        <v>0</v>
      </c>
      <c r="P41" s="64">
        <v>0.63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5" t="s">
        <v>2969</v>
      </c>
      <c r="B42" s="64">
        <v>22.41</v>
      </c>
      <c r="C42" s="64">
        <v>8.9600000000000009</v>
      </c>
      <c r="D42" s="64">
        <v>21.28</v>
      </c>
      <c r="E42" s="64">
        <v>5.47</v>
      </c>
      <c r="F42" s="64">
        <v>3.74</v>
      </c>
      <c r="G42" s="64">
        <v>55.67</v>
      </c>
      <c r="H42" s="64">
        <v>24</v>
      </c>
      <c r="I42" s="64">
        <v>3.96</v>
      </c>
      <c r="J42" s="64">
        <v>0.53</v>
      </c>
      <c r="K42" s="64">
        <v>81.96</v>
      </c>
      <c r="L42" s="64">
        <v>27.27</v>
      </c>
      <c r="M42" s="64">
        <v>87.61</v>
      </c>
      <c r="N42" s="64">
        <v>319.8</v>
      </c>
      <c r="O42" s="64">
        <v>0</v>
      </c>
      <c r="P42" s="64">
        <v>0.68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5" t="s">
        <v>2970</v>
      </c>
      <c r="B43" s="64">
        <v>21.8</v>
      </c>
      <c r="C43" s="64">
        <v>9.07</v>
      </c>
      <c r="D43" s="64">
        <v>20.84</v>
      </c>
      <c r="E43" s="64">
        <v>4.9000000000000004</v>
      </c>
      <c r="F43" s="64">
        <v>3.32</v>
      </c>
      <c r="G43" s="64">
        <v>54.6</v>
      </c>
      <c r="H43" s="64">
        <v>25.05</v>
      </c>
      <c r="I43" s="64">
        <v>3.97</v>
      </c>
      <c r="J43" s="64">
        <v>1.37</v>
      </c>
      <c r="K43" s="64">
        <v>111.33</v>
      </c>
      <c r="L43" s="64">
        <v>26.44</v>
      </c>
      <c r="M43" s="64">
        <v>93</v>
      </c>
      <c r="N43" s="64">
        <v>313.10000000000002</v>
      </c>
      <c r="O43" s="64">
        <v>0</v>
      </c>
      <c r="P43" s="64">
        <v>0.7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5" t="s">
        <v>2971</v>
      </c>
      <c r="B44" s="64">
        <v>20.72</v>
      </c>
      <c r="C44" s="64">
        <v>9.5500000000000007</v>
      </c>
      <c r="D44" s="64">
        <v>20.22</v>
      </c>
      <c r="E44" s="64">
        <v>4.88</v>
      </c>
      <c r="F44" s="64">
        <v>3.73</v>
      </c>
      <c r="G44" s="64">
        <v>54.51</v>
      </c>
      <c r="H44" s="64">
        <v>25.05</v>
      </c>
      <c r="I44" s="64">
        <v>4.8099999999999996</v>
      </c>
      <c r="J44" s="64">
        <v>1.69</v>
      </c>
      <c r="K44" s="64">
        <v>122.07</v>
      </c>
      <c r="L44" s="64">
        <v>26.4</v>
      </c>
      <c r="M44" s="64">
        <v>93.38</v>
      </c>
      <c r="N44" s="64">
        <v>406.4</v>
      </c>
      <c r="O44" s="64">
        <v>0</v>
      </c>
      <c r="P44" s="64">
        <v>0.73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2972</v>
      </c>
      <c r="B45" s="64">
        <v>19.37</v>
      </c>
      <c r="C45" s="64">
        <v>10.31</v>
      </c>
      <c r="D45" s="64">
        <v>19.54</v>
      </c>
      <c r="E45" s="64">
        <v>5.29</v>
      </c>
      <c r="F45" s="64">
        <v>3.81</v>
      </c>
      <c r="G45" s="64">
        <v>54.51</v>
      </c>
      <c r="H45" s="64">
        <v>25.05</v>
      </c>
      <c r="I45" s="64">
        <v>5.9</v>
      </c>
      <c r="J45" s="64">
        <v>1.1399999999999999</v>
      </c>
      <c r="K45" s="64">
        <v>114.21</v>
      </c>
      <c r="L45" s="64">
        <v>27.04</v>
      </c>
      <c r="M45" s="64">
        <v>90.85</v>
      </c>
      <c r="N45" s="64">
        <v>409.6</v>
      </c>
      <c r="O45" s="64">
        <v>0</v>
      </c>
      <c r="P45" s="64">
        <v>0.71</v>
      </c>
      <c r="Q45" s="64">
        <v>9.61</v>
      </c>
      <c r="R45" s="198"/>
      <c r="S45" s="198"/>
      <c r="T45" s="198"/>
      <c r="U45" s="198"/>
    </row>
    <row r="46" spans="1:21" s="12" customFormat="1" x14ac:dyDescent="0.25">
      <c r="A46" s="215" t="s">
        <v>2973</v>
      </c>
      <c r="B46" s="64">
        <v>17.670000000000002</v>
      </c>
      <c r="C46" s="64">
        <v>10.46</v>
      </c>
      <c r="D46" s="64">
        <v>18.260000000000002</v>
      </c>
      <c r="E46" s="64">
        <v>5.12</v>
      </c>
      <c r="F46" s="64">
        <v>4.26</v>
      </c>
      <c r="G46" s="64">
        <v>54.51</v>
      </c>
      <c r="H46" s="64">
        <v>25.05</v>
      </c>
      <c r="I46" s="64">
        <v>7.34</v>
      </c>
      <c r="J46" s="64">
        <v>1.19</v>
      </c>
      <c r="K46" s="64">
        <v>113.49</v>
      </c>
      <c r="L46" s="64">
        <v>26.82</v>
      </c>
      <c r="M46" s="64">
        <v>91.03</v>
      </c>
      <c r="N46" s="64">
        <v>307.89999999999998</v>
      </c>
      <c r="O46" s="64">
        <v>0</v>
      </c>
      <c r="P46" s="64">
        <v>0.68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5" t="s">
        <v>2974</v>
      </c>
      <c r="B47" s="64">
        <v>15.95</v>
      </c>
      <c r="C47" s="64">
        <v>10.4</v>
      </c>
      <c r="D47" s="64">
        <v>16.850000000000001</v>
      </c>
      <c r="E47" s="64">
        <v>4.75</v>
      </c>
      <c r="F47" s="64">
        <v>4.43</v>
      </c>
      <c r="G47" s="64">
        <v>53.12</v>
      </c>
      <c r="H47" s="64">
        <v>20.51</v>
      </c>
      <c r="I47" s="64">
        <v>7.9</v>
      </c>
      <c r="J47" s="64">
        <v>1.08</v>
      </c>
      <c r="K47" s="64">
        <v>122.71</v>
      </c>
      <c r="L47" s="64">
        <v>27.61</v>
      </c>
      <c r="M47" s="64">
        <v>86.64</v>
      </c>
      <c r="N47" s="64">
        <v>473.2</v>
      </c>
      <c r="O47" s="64">
        <v>0</v>
      </c>
      <c r="P47" s="64">
        <v>0.68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2975</v>
      </c>
      <c r="B48" s="64">
        <v>14.35</v>
      </c>
      <c r="C48" s="64">
        <v>10.9</v>
      </c>
      <c r="D48" s="64">
        <v>15.83</v>
      </c>
      <c r="E48" s="64">
        <v>4.84</v>
      </c>
      <c r="F48" s="64">
        <v>3.24</v>
      </c>
      <c r="G48" s="64">
        <v>53</v>
      </c>
      <c r="H48" s="64">
        <v>20.51</v>
      </c>
      <c r="I48" s="64">
        <v>6.48</v>
      </c>
      <c r="J48" s="64">
        <v>1.37</v>
      </c>
      <c r="K48" s="64">
        <v>119.92</v>
      </c>
      <c r="L48" s="64">
        <v>28.49</v>
      </c>
      <c r="M48" s="64">
        <v>81.510000000000005</v>
      </c>
      <c r="N48" s="64">
        <v>574</v>
      </c>
      <c r="O48" s="64">
        <v>0</v>
      </c>
      <c r="P48" s="64">
        <v>0.68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5" t="s">
        <v>2976</v>
      </c>
      <c r="B49" s="64">
        <v>12.78</v>
      </c>
      <c r="C49" s="64">
        <v>10.11</v>
      </c>
      <c r="D49" s="64">
        <v>14.15</v>
      </c>
      <c r="E49" s="64">
        <v>5.23</v>
      </c>
      <c r="F49" s="64">
        <v>3.24</v>
      </c>
      <c r="G49" s="64">
        <v>53</v>
      </c>
      <c r="H49" s="64">
        <v>20.51</v>
      </c>
      <c r="I49" s="64">
        <v>7.11</v>
      </c>
      <c r="J49" s="64">
        <v>1.1000000000000001</v>
      </c>
      <c r="K49" s="64">
        <v>121.55</v>
      </c>
      <c r="L49" s="64">
        <v>28.44</v>
      </c>
      <c r="M49" s="64">
        <v>80.25</v>
      </c>
      <c r="N49" s="64">
        <v>503.8</v>
      </c>
      <c r="O49" s="64">
        <v>0</v>
      </c>
      <c r="P49" s="64">
        <v>0.65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5" t="s">
        <v>2977</v>
      </c>
      <c r="B50" s="64">
        <v>11.22</v>
      </c>
      <c r="C50" s="64">
        <v>11.19</v>
      </c>
      <c r="D50" s="64">
        <v>13.46</v>
      </c>
      <c r="E50" s="64">
        <v>4.78</v>
      </c>
      <c r="F50" s="64">
        <v>4.63</v>
      </c>
      <c r="G50" s="64">
        <v>53</v>
      </c>
      <c r="H50" s="64">
        <v>20.51</v>
      </c>
      <c r="I50" s="64">
        <v>7.81</v>
      </c>
      <c r="J50" s="64">
        <v>0.37</v>
      </c>
      <c r="K50" s="64">
        <v>31.3</v>
      </c>
      <c r="L50" s="64">
        <v>29.44</v>
      </c>
      <c r="M50" s="64">
        <v>76.34</v>
      </c>
      <c r="N50" s="64">
        <v>378.9</v>
      </c>
      <c r="O50" s="64">
        <v>0</v>
      </c>
      <c r="P50" s="64">
        <v>0.66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2978</v>
      </c>
      <c r="B51" s="64">
        <v>11.15</v>
      </c>
      <c r="C51" s="64">
        <v>13.87</v>
      </c>
      <c r="D51" s="64">
        <v>14.81</v>
      </c>
      <c r="E51" s="64">
        <v>5.54</v>
      </c>
      <c r="F51" s="64">
        <v>4.25</v>
      </c>
      <c r="G51" s="64">
        <v>50.97</v>
      </c>
      <c r="H51" s="64">
        <v>22.17</v>
      </c>
      <c r="I51" s="64">
        <v>7.81</v>
      </c>
      <c r="J51" s="64">
        <v>1.19</v>
      </c>
      <c r="K51" s="64">
        <v>338.03</v>
      </c>
      <c r="L51" s="64">
        <v>31.16</v>
      </c>
      <c r="M51" s="64">
        <v>66.61</v>
      </c>
      <c r="N51" s="64">
        <v>402.2</v>
      </c>
      <c r="O51" s="64">
        <v>0</v>
      </c>
      <c r="P51" s="64">
        <v>0.64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5" t="s">
        <v>2979</v>
      </c>
      <c r="B52" s="64">
        <v>10.99</v>
      </c>
      <c r="C52" s="64">
        <v>17.38</v>
      </c>
      <c r="D52" s="64">
        <v>16.52</v>
      </c>
      <c r="E52" s="64">
        <v>5.71</v>
      </c>
      <c r="F52" s="64">
        <v>4.93</v>
      </c>
      <c r="G52" s="64">
        <v>49.73</v>
      </c>
      <c r="H52" s="64">
        <v>22.17</v>
      </c>
      <c r="I52" s="64">
        <v>6.29</v>
      </c>
      <c r="J52" s="64">
        <v>1.03</v>
      </c>
      <c r="K52" s="64">
        <v>114.19</v>
      </c>
      <c r="L52" s="64">
        <v>30.54</v>
      </c>
      <c r="M52" s="64">
        <v>66.930000000000007</v>
      </c>
      <c r="N52" s="64">
        <v>581.5</v>
      </c>
      <c r="O52" s="64">
        <v>0</v>
      </c>
      <c r="P52" s="64">
        <v>0.66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5" t="s">
        <v>2980</v>
      </c>
      <c r="B53" s="64">
        <v>8.06</v>
      </c>
      <c r="C53" s="64">
        <v>18.66</v>
      </c>
      <c r="D53" s="64">
        <v>14.83</v>
      </c>
      <c r="E53" s="64">
        <v>5.91</v>
      </c>
      <c r="F53" s="64">
        <v>3.97</v>
      </c>
      <c r="G53" s="64">
        <v>49.73</v>
      </c>
      <c r="H53" s="64">
        <v>22.17</v>
      </c>
      <c r="I53" s="64">
        <v>5.29</v>
      </c>
      <c r="J53" s="64">
        <v>0.49</v>
      </c>
      <c r="K53" s="64">
        <v>97.24</v>
      </c>
      <c r="L53" s="64">
        <v>30.51</v>
      </c>
      <c r="M53" s="64">
        <v>66.86</v>
      </c>
      <c r="N53" s="64">
        <v>696.2</v>
      </c>
      <c r="O53" s="64">
        <v>0</v>
      </c>
      <c r="P53" s="64">
        <v>0.56000000000000005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2981</v>
      </c>
      <c r="B54" s="64">
        <v>5.43</v>
      </c>
      <c r="C54" s="64">
        <v>19.25</v>
      </c>
      <c r="D54" s="64">
        <v>13.04</v>
      </c>
      <c r="E54" s="64">
        <v>5.72</v>
      </c>
      <c r="F54" s="64">
        <v>7.69</v>
      </c>
      <c r="G54" s="210" t="s">
        <v>40</v>
      </c>
      <c r="H54" s="210" t="s">
        <v>40</v>
      </c>
      <c r="I54" s="64">
        <v>5.86</v>
      </c>
      <c r="J54" s="64">
        <v>1.25</v>
      </c>
      <c r="K54" s="64">
        <v>336.54</v>
      </c>
      <c r="L54" s="64">
        <v>33.01</v>
      </c>
      <c r="M54" s="64">
        <v>58.33</v>
      </c>
      <c r="N54" s="64">
        <v>583.1</v>
      </c>
      <c r="O54" s="64">
        <v>0</v>
      </c>
      <c r="P54" s="64">
        <v>0.62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5" t="s">
        <v>2982</v>
      </c>
      <c r="B55" s="64">
        <v>3.99</v>
      </c>
      <c r="C55" s="64">
        <v>24.26</v>
      </c>
      <c r="D55" s="64">
        <v>14.5</v>
      </c>
      <c r="E55" s="64">
        <v>6.36</v>
      </c>
      <c r="F55" s="64">
        <v>6.62</v>
      </c>
      <c r="G55" s="210" t="s">
        <v>40</v>
      </c>
      <c r="H55" s="210" t="s">
        <v>40</v>
      </c>
      <c r="I55" s="64">
        <v>3.92</v>
      </c>
      <c r="J55" s="64">
        <v>0.37</v>
      </c>
      <c r="K55" s="64">
        <v>334.78</v>
      </c>
      <c r="L55" s="64">
        <v>32.92</v>
      </c>
      <c r="M55" s="64">
        <v>58.15</v>
      </c>
      <c r="N55" s="64">
        <v>261.3</v>
      </c>
      <c r="O55" s="64">
        <v>0</v>
      </c>
      <c r="P55" s="64">
        <v>0.61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2983</v>
      </c>
      <c r="B56" s="64">
        <v>2.65</v>
      </c>
      <c r="C56" s="64">
        <v>24.79</v>
      </c>
      <c r="D56" s="64">
        <v>13.7</v>
      </c>
      <c r="E56" s="64">
        <v>6.24</v>
      </c>
      <c r="F56" s="64">
        <v>6.48</v>
      </c>
      <c r="G56" s="210" t="s">
        <v>40</v>
      </c>
      <c r="H56" s="210" t="s">
        <v>40</v>
      </c>
      <c r="I56" s="64">
        <v>3.81</v>
      </c>
      <c r="J56" s="64">
        <v>0.53</v>
      </c>
      <c r="K56" s="64">
        <v>121.95</v>
      </c>
      <c r="L56" s="64">
        <v>30.38</v>
      </c>
      <c r="M56" s="64">
        <v>68.08</v>
      </c>
      <c r="N56" s="64">
        <v>493.6</v>
      </c>
      <c r="O56" s="64">
        <v>0</v>
      </c>
      <c r="P56" s="64">
        <v>0.59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2984</v>
      </c>
      <c r="B57" s="64">
        <v>2.2799999999999998</v>
      </c>
      <c r="C57" s="64">
        <v>21.62</v>
      </c>
      <c r="D57" s="64">
        <v>11.74</v>
      </c>
      <c r="E57" s="64">
        <v>6.74</v>
      </c>
      <c r="F57" s="64">
        <v>5.07</v>
      </c>
      <c r="G57" s="210" t="s">
        <v>40</v>
      </c>
      <c r="H57" s="210" t="s">
        <v>40</v>
      </c>
      <c r="I57" s="64">
        <v>3.29</v>
      </c>
      <c r="J57" s="64">
        <v>1.1299999999999999</v>
      </c>
      <c r="K57" s="64">
        <v>120.16</v>
      </c>
      <c r="L57" s="64">
        <v>30.65</v>
      </c>
      <c r="M57" s="64">
        <v>65.06</v>
      </c>
      <c r="N57" s="64">
        <v>674.6</v>
      </c>
      <c r="O57" s="64">
        <v>0</v>
      </c>
      <c r="P57" s="64">
        <v>0.53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5" t="s">
        <v>2985</v>
      </c>
      <c r="B58" s="64">
        <v>2.2000000000000002</v>
      </c>
      <c r="C58" s="64">
        <v>17.97</v>
      </c>
      <c r="D58" s="64">
        <v>9.77</v>
      </c>
      <c r="E58" s="64">
        <v>6.63</v>
      </c>
      <c r="F58" s="64">
        <v>5.89</v>
      </c>
      <c r="G58" s="64">
        <v>30.16</v>
      </c>
      <c r="H58" s="64">
        <v>10.36</v>
      </c>
      <c r="I58" s="64">
        <v>3.56</v>
      </c>
      <c r="J58" s="64">
        <v>1.49</v>
      </c>
      <c r="K58" s="64">
        <v>119.23</v>
      </c>
      <c r="L58" s="64">
        <v>30.46</v>
      </c>
      <c r="M58" s="64">
        <v>64.08</v>
      </c>
      <c r="N58" s="64">
        <v>673.7</v>
      </c>
      <c r="O58" s="64">
        <v>0</v>
      </c>
      <c r="P58" s="64">
        <v>0.49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2986</v>
      </c>
      <c r="B59" s="64">
        <v>1.78</v>
      </c>
      <c r="C59" s="64">
        <v>16.13</v>
      </c>
      <c r="D59" s="64">
        <v>8.48</v>
      </c>
      <c r="E59" s="64">
        <v>6.5</v>
      </c>
      <c r="F59" s="64">
        <v>6.39</v>
      </c>
      <c r="G59" s="64">
        <v>48.46</v>
      </c>
      <c r="H59" s="64">
        <v>12.62</v>
      </c>
      <c r="I59" s="64">
        <v>3.75</v>
      </c>
      <c r="J59" s="64">
        <v>1.88</v>
      </c>
      <c r="K59" s="64">
        <v>333.97</v>
      </c>
      <c r="L59" s="64">
        <v>32.61</v>
      </c>
      <c r="M59" s="64">
        <v>58.81</v>
      </c>
      <c r="N59" s="64">
        <v>531.5</v>
      </c>
      <c r="O59" s="64">
        <v>0</v>
      </c>
      <c r="P59" s="64">
        <v>0.55000000000000004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5" t="s">
        <v>2987</v>
      </c>
      <c r="B60" s="64">
        <v>1.87</v>
      </c>
      <c r="C60" s="64">
        <v>16.37</v>
      </c>
      <c r="D60" s="64">
        <v>8.68</v>
      </c>
      <c r="E60" s="64">
        <v>6.62</v>
      </c>
      <c r="F60" s="64">
        <v>5.63</v>
      </c>
      <c r="G60" s="64">
        <v>48.46</v>
      </c>
      <c r="H60" s="64">
        <v>12.62</v>
      </c>
      <c r="I60" s="64">
        <v>3.03</v>
      </c>
      <c r="J60" s="64">
        <v>1.45</v>
      </c>
      <c r="K60" s="64">
        <v>335.78</v>
      </c>
      <c r="L60" s="64">
        <v>33.409999999999997</v>
      </c>
      <c r="M60" s="64">
        <v>55.59</v>
      </c>
      <c r="N60" s="64">
        <v>314.60000000000002</v>
      </c>
      <c r="O60" s="64">
        <v>0</v>
      </c>
      <c r="P60" s="64">
        <v>0.6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2988</v>
      </c>
      <c r="B61" s="64">
        <v>2.56</v>
      </c>
      <c r="C61" s="64">
        <v>17.559999999999999</v>
      </c>
      <c r="D61" s="64">
        <v>9.85</v>
      </c>
      <c r="E61" s="64">
        <v>6.82</v>
      </c>
      <c r="F61" s="64">
        <v>5.41</v>
      </c>
      <c r="G61" s="64">
        <v>48.46</v>
      </c>
      <c r="H61" s="64">
        <v>12.62</v>
      </c>
      <c r="I61" s="64">
        <v>4</v>
      </c>
      <c r="J61" s="64">
        <v>0.71</v>
      </c>
      <c r="K61" s="64">
        <v>335.53</v>
      </c>
      <c r="L61" s="64">
        <v>32.92</v>
      </c>
      <c r="M61" s="64">
        <v>54.48</v>
      </c>
      <c r="N61" s="64">
        <v>448.1</v>
      </c>
      <c r="O61" s="64">
        <v>0</v>
      </c>
      <c r="P61" s="64">
        <v>0.62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2989</v>
      </c>
      <c r="B62" s="64">
        <v>2.35</v>
      </c>
      <c r="C62" s="64">
        <v>18.05</v>
      </c>
      <c r="D62" s="64">
        <v>9.94</v>
      </c>
      <c r="E62" s="64">
        <v>7.02</v>
      </c>
      <c r="F62" s="64">
        <v>5.4</v>
      </c>
      <c r="G62" s="64">
        <v>46.01</v>
      </c>
      <c r="H62" s="64">
        <v>11.2</v>
      </c>
      <c r="I62" s="64">
        <v>4.18</v>
      </c>
      <c r="J62" s="64">
        <v>0.78</v>
      </c>
      <c r="K62" s="64">
        <v>343.76</v>
      </c>
      <c r="L62" s="64">
        <v>32.58</v>
      </c>
      <c r="M62" s="64">
        <v>55.96</v>
      </c>
      <c r="N62" s="64">
        <v>215.2</v>
      </c>
      <c r="O62" s="64">
        <v>0</v>
      </c>
      <c r="P62" s="64">
        <v>0.6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5" t="s">
        <v>2990</v>
      </c>
      <c r="B63" s="64">
        <v>3.6</v>
      </c>
      <c r="C63" s="64">
        <v>23.89</v>
      </c>
      <c r="D63" s="64">
        <v>13.99</v>
      </c>
      <c r="E63" s="64">
        <v>9.66</v>
      </c>
      <c r="F63" s="64">
        <v>8.3000000000000007</v>
      </c>
      <c r="G63" s="64">
        <v>44.53</v>
      </c>
      <c r="H63" s="64">
        <v>10.89</v>
      </c>
      <c r="I63" s="64">
        <v>3.7</v>
      </c>
      <c r="J63" s="64">
        <v>0.59</v>
      </c>
      <c r="K63" s="64">
        <v>330.65</v>
      </c>
      <c r="L63" s="64">
        <v>32.79</v>
      </c>
      <c r="M63" s="64">
        <v>53.78</v>
      </c>
      <c r="N63" s="64">
        <v>261.7</v>
      </c>
      <c r="O63" s="64">
        <v>0</v>
      </c>
      <c r="P63" s="64">
        <v>0.65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2991</v>
      </c>
      <c r="B64" s="64">
        <v>3.02</v>
      </c>
      <c r="C64" s="64">
        <v>29.8</v>
      </c>
      <c r="D64" s="64">
        <v>16.62</v>
      </c>
      <c r="E64" s="64">
        <v>8.61</v>
      </c>
      <c r="F64" s="64">
        <v>6.77</v>
      </c>
      <c r="G64" s="64">
        <v>44.53</v>
      </c>
      <c r="H64" s="64">
        <v>10.89</v>
      </c>
      <c r="I64" s="64">
        <v>3.53</v>
      </c>
      <c r="J64" s="64">
        <v>0.38</v>
      </c>
      <c r="K64" s="64">
        <v>52.74</v>
      </c>
      <c r="L64" s="64">
        <v>31.89</v>
      </c>
      <c r="M64" s="64">
        <v>57.62</v>
      </c>
      <c r="N64" s="64">
        <v>178.9</v>
      </c>
      <c r="O64" s="64">
        <v>0</v>
      </c>
      <c r="P64" s="64">
        <v>0.7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5" t="s">
        <v>2992</v>
      </c>
      <c r="B65" s="64">
        <v>2.46</v>
      </c>
      <c r="C65" s="64">
        <v>25.68</v>
      </c>
      <c r="D65" s="64">
        <v>14.01</v>
      </c>
      <c r="E65" s="64">
        <v>7.79</v>
      </c>
      <c r="F65" s="64">
        <v>4.1500000000000004</v>
      </c>
      <c r="G65" s="64">
        <v>44.53</v>
      </c>
      <c r="H65" s="64">
        <v>10.89</v>
      </c>
      <c r="I65" s="64">
        <v>2.72</v>
      </c>
      <c r="J65" s="64">
        <v>0.63</v>
      </c>
      <c r="K65" s="64">
        <v>102.85</v>
      </c>
      <c r="L65" s="64">
        <v>30.73</v>
      </c>
      <c r="M65" s="64">
        <v>59.42</v>
      </c>
      <c r="N65" s="64">
        <v>239.7</v>
      </c>
      <c r="O65" s="64">
        <v>0</v>
      </c>
      <c r="P65" s="64">
        <v>0.61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5" t="s">
        <v>2993</v>
      </c>
      <c r="B66" s="64">
        <v>2.63</v>
      </c>
      <c r="C66" s="64">
        <v>21</v>
      </c>
      <c r="D66" s="64">
        <v>11.7</v>
      </c>
      <c r="E66" s="64">
        <v>7.08</v>
      </c>
      <c r="F66" s="64">
        <v>4.3099999999999996</v>
      </c>
      <c r="G66" s="64">
        <v>53.57</v>
      </c>
      <c r="H66" s="64">
        <v>13.39</v>
      </c>
      <c r="I66" s="64">
        <v>2.7</v>
      </c>
      <c r="J66" s="64">
        <v>1.45</v>
      </c>
      <c r="K66" s="64">
        <v>338.6</v>
      </c>
      <c r="L66" s="64">
        <v>31.82</v>
      </c>
      <c r="M66" s="64">
        <v>57.76</v>
      </c>
      <c r="N66" s="64">
        <v>166.5</v>
      </c>
      <c r="O66" s="64">
        <v>0</v>
      </c>
      <c r="P66" s="64">
        <v>0.73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2994</v>
      </c>
      <c r="B67" s="64">
        <v>4.4400000000000004</v>
      </c>
      <c r="C67" s="64">
        <v>21.13</v>
      </c>
      <c r="D67" s="64">
        <v>13.22</v>
      </c>
      <c r="E67" s="64">
        <v>6.99</v>
      </c>
      <c r="F67" s="64">
        <v>5.42</v>
      </c>
      <c r="G67" s="64">
        <v>59.06</v>
      </c>
      <c r="H67" s="64">
        <v>13.93</v>
      </c>
      <c r="I67" s="64">
        <v>2.75</v>
      </c>
      <c r="J67" s="64">
        <v>1.43</v>
      </c>
      <c r="K67" s="64">
        <v>337.26</v>
      </c>
      <c r="L67" s="64">
        <v>31.64</v>
      </c>
      <c r="M67" s="64">
        <v>58.44</v>
      </c>
      <c r="N67" s="64">
        <v>149.4</v>
      </c>
      <c r="O67" s="64">
        <v>0</v>
      </c>
      <c r="P67" s="64">
        <v>0.72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2995</v>
      </c>
      <c r="B68" s="64">
        <v>5.7</v>
      </c>
      <c r="C68" s="64">
        <v>22.05</v>
      </c>
      <c r="D68" s="64">
        <v>14.71</v>
      </c>
      <c r="E68" s="64">
        <v>6.87</v>
      </c>
      <c r="F68" s="64">
        <v>3.27</v>
      </c>
      <c r="G68" s="64">
        <v>59.06</v>
      </c>
      <c r="H68" s="64">
        <v>13.93</v>
      </c>
      <c r="I68" s="64">
        <v>3.42</v>
      </c>
      <c r="J68" s="64">
        <v>1.26</v>
      </c>
      <c r="K68" s="64">
        <v>334.78</v>
      </c>
      <c r="L68" s="64">
        <v>31.52</v>
      </c>
      <c r="M68" s="64">
        <v>59.37</v>
      </c>
      <c r="N68" s="64">
        <v>117.2</v>
      </c>
      <c r="O68" s="64">
        <v>0</v>
      </c>
      <c r="P68" s="64">
        <v>0.78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5" t="s">
        <v>2996</v>
      </c>
      <c r="B69" s="64">
        <v>6.19</v>
      </c>
      <c r="C69" s="64">
        <v>20.77</v>
      </c>
      <c r="D69" s="64">
        <v>14.44</v>
      </c>
      <c r="E69" s="64">
        <v>6.67</v>
      </c>
      <c r="F69" s="64">
        <v>4.18</v>
      </c>
      <c r="G69" s="64">
        <v>59.06</v>
      </c>
      <c r="H69" s="64">
        <v>13.93</v>
      </c>
      <c r="I69" s="64">
        <v>4.0199999999999996</v>
      </c>
      <c r="J69" s="64">
        <v>0.66</v>
      </c>
      <c r="K69" s="64">
        <v>350.18</v>
      </c>
      <c r="L69" s="64">
        <v>30.55</v>
      </c>
      <c r="M69" s="64">
        <v>61.57</v>
      </c>
      <c r="N69" s="64">
        <v>95.3</v>
      </c>
      <c r="O69" s="64">
        <v>0</v>
      </c>
      <c r="P69" s="64">
        <v>0.78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2997</v>
      </c>
      <c r="B70" s="64">
        <v>6.54</v>
      </c>
      <c r="C70" s="64">
        <v>19.690000000000001</v>
      </c>
      <c r="D70" s="64">
        <v>14.16</v>
      </c>
      <c r="E70" s="64">
        <v>6.73</v>
      </c>
      <c r="F70" s="64">
        <v>4.17</v>
      </c>
      <c r="G70" s="64">
        <v>55.16</v>
      </c>
      <c r="H70" s="64">
        <v>15.86</v>
      </c>
      <c r="I70" s="64">
        <v>3.23</v>
      </c>
      <c r="J70" s="64">
        <v>1.6</v>
      </c>
      <c r="K70" s="64">
        <v>339.98</v>
      </c>
      <c r="L70" s="64">
        <v>30.37</v>
      </c>
      <c r="M70" s="64">
        <v>62.1</v>
      </c>
      <c r="N70" s="64">
        <v>110.2</v>
      </c>
      <c r="O70" s="64">
        <v>0</v>
      </c>
      <c r="P70" s="64">
        <v>0.81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5" t="s">
        <v>2998</v>
      </c>
      <c r="B71" s="64">
        <v>6.83</v>
      </c>
      <c r="C71" s="64">
        <v>19.03</v>
      </c>
      <c r="D71" s="64">
        <v>14.04</v>
      </c>
      <c r="E71" s="64">
        <v>6.37</v>
      </c>
      <c r="F71" s="64">
        <v>3.89</v>
      </c>
      <c r="G71" s="64">
        <v>52.79</v>
      </c>
      <c r="H71" s="64">
        <v>16.600000000000001</v>
      </c>
      <c r="I71" s="64">
        <v>2.73</v>
      </c>
      <c r="J71" s="64">
        <v>1.59</v>
      </c>
      <c r="K71" s="64">
        <v>341.28</v>
      </c>
      <c r="L71" s="64">
        <v>30.64</v>
      </c>
      <c r="M71" s="64">
        <v>60.87</v>
      </c>
      <c r="N71" s="64">
        <v>111.6</v>
      </c>
      <c r="O71" s="64">
        <v>0</v>
      </c>
      <c r="P71" s="64">
        <v>0.75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5" t="s">
        <v>2999</v>
      </c>
      <c r="B72" s="64">
        <v>7.08</v>
      </c>
      <c r="C72" s="64">
        <v>19.02</v>
      </c>
      <c r="D72" s="64">
        <v>14.24</v>
      </c>
      <c r="E72" s="64">
        <v>5.45</v>
      </c>
      <c r="F72" s="64">
        <v>4.9000000000000004</v>
      </c>
      <c r="G72" s="64">
        <v>52.79</v>
      </c>
      <c r="H72" s="64">
        <v>16.600000000000001</v>
      </c>
      <c r="I72" s="64">
        <v>2.57</v>
      </c>
      <c r="J72" s="64">
        <v>1.49</v>
      </c>
      <c r="K72" s="64">
        <v>340.32</v>
      </c>
      <c r="L72" s="64">
        <v>30.58</v>
      </c>
      <c r="M72" s="64">
        <v>63.75</v>
      </c>
      <c r="N72" s="64">
        <v>100.3</v>
      </c>
      <c r="O72" s="64">
        <v>0</v>
      </c>
      <c r="P72" s="64">
        <v>0.79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3000</v>
      </c>
      <c r="B73" s="64">
        <v>6.87</v>
      </c>
      <c r="C73" s="64">
        <v>23.15</v>
      </c>
      <c r="D73" s="64">
        <v>16.23</v>
      </c>
      <c r="E73" s="64">
        <v>6.88</v>
      </c>
      <c r="F73" s="64">
        <v>5.69</v>
      </c>
      <c r="G73" s="64">
        <v>52.79</v>
      </c>
      <c r="H73" s="64">
        <v>16.600000000000001</v>
      </c>
      <c r="I73" s="64">
        <v>2.67</v>
      </c>
      <c r="J73" s="64">
        <v>1.08</v>
      </c>
      <c r="K73" s="64">
        <v>339.41</v>
      </c>
      <c r="L73" s="64">
        <v>30.15</v>
      </c>
      <c r="M73" s="64">
        <v>66.52</v>
      </c>
      <c r="N73" s="64">
        <v>71.900000000000006</v>
      </c>
      <c r="O73" s="64">
        <v>0</v>
      </c>
      <c r="P73" s="64">
        <v>0.89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3001</v>
      </c>
      <c r="B74" s="64">
        <v>6.37</v>
      </c>
      <c r="C74" s="64">
        <v>24.65</v>
      </c>
      <c r="D74" s="64">
        <v>16.61</v>
      </c>
      <c r="E74" s="64">
        <v>5.95</v>
      </c>
      <c r="F74" s="64">
        <v>4.95</v>
      </c>
      <c r="G74" s="64">
        <v>41.45</v>
      </c>
      <c r="H74" s="64">
        <v>15.73</v>
      </c>
      <c r="I74" s="64">
        <v>2.6</v>
      </c>
      <c r="J74" s="64">
        <v>0.24</v>
      </c>
      <c r="K74" s="64">
        <v>100.36</v>
      </c>
      <c r="L74" s="64">
        <v>29.21</v>
      </c>
      <c r="M74" s="64">
        <v>71.349999999999994</v>
      </c>
      <c r="N74" s="64">
        <v>66.900000000000006</v>
      </c>
      <c r="O74" s="64">
        <v>0</v>
      </c>
      <c r="P74" s="64">
        <v>0.75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5" t="s">
        <v>3002</v>
      </c>
      <c r="B75" s="64">
        <v>6.56</v>
      </c>
      <c r="C75" s="64">
        <v>23.14</v>
      </c>
      <c r="D75" s="64">
        <v>15.98</v>
      </c>
      <c r="E75" s="64">
        <v>6.03</v>
      </c>
      <c r="F75" s="64">
        <v>4.41</v>
      </c>
      <c r="G75" s="64">
        <v>34.56</v>
      </c>
      <c r="H75" s="64">
        <v>15.54</v>
      </c>
      <c r="I75" s="64">
        <v>2.63</v>
      </c>
      <c r="J75" s="64">
        <v>1.1100000000000001</v>
      </c>
      <c r="K75" s="64">
        <v>336.15</v>
      </c>
      <c r="L75" s="64">
        <v>28.71</v>
      </c>
      <c r="M75" s="64">
        <v>73.06</v>
      </c>
      <c r="N75" s="64">
        <v>49.8</v>
      </c>
      <c r="O75" s="64">
        <v>0</v>
      </c>
      <c r="P75" s="64">
        <v>0.88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5" t="s">
        <v>3003</v>
      </c>
      <c r="B76" s="64">
        <v>6.82</v>
      </c>
      <c r="C76" s="64">
        <v>21.78</v>
      </c>
      <c r="D76" s="64">
        <v>15.47</v>
      </c>
      <c r="E76" s="64">
        <v>5.52</v>
      </c>
      <c r="F76" s="64">
        <v>4.59</v>
      </c>
      <c r="G76" s="64">
        <v>34.56</v>
      </c>
      <c r="H76" s="64">
        <v>15.54</v>
      </c>
      <c r="I76" s="64">
        <v>2.57</v>
      </c>
      <c r="J76" s="64">
        <v>1.68</v>
      </c>
      <c r="K76" s="64">
        <v>339.87</v>
      </c>
      <c r="L76" s="64">
        <v>28.7</v>
      </c>
      <c r="M76" s="64">
        <v>73.959999999999994</v>
      </c>
      <c r="N76" s="64">
        <v>48.2</v>
      </c>
      <c r="O76" s="64">
        <v>0</v>
      </c>
      <c r="P76" s="64">
        <v>0.83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5" t="s">
        <v>3004</v>
      </c>
      <c r="B77" s="64">
        <v>6.94</v>
      </c>
      <c r="C77" s="64">
        <v>20.83</v>
      </c>
      <c r="D77" s="64">
        <v>15.07</v>
      </c>
      <c r="E77" s="64">
        <v>5.59</v>
      </c>
      <c r="F77" s="64">
        <v>4.58</v>
      </c>
      <c r="G77" s="64">
        <v>34.56</v>
      </c>
      <c r="H77" s="64">
        <v>15.54</v>
      </c>
      <c r="I77" s="64">
        <v>2.86</v>
      </c>
      <c r="J77" s="64">
        <v>1.08</v>
      </c>
      <c r="K77" s="64">
        <v>340.27</v>
      </c>
      <c r="L77" s="64">
        <v>28.13</v>
      </c>
      <c r="M77" s="64">
        <v>79.400000000000006</v>
      </c>
      <c r="N77" s="64">
        <v>38.700000000000003</v>
      </c>
      <c r="O77" s="64">
        <v>0</v>
      </c>
      <c r="P77" s="64">
        <v>0.96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5" t="s">
        <v>3005</v>
      </c>
      <c r="B78" s="64">
        <v>7.92</v>
      </c>
      <c r="C78" s="64">
        <v>21.84</v>
      </c>
      <c r="D78" s="64">
        <v>16.39</v>
      </c>
      <c r="E78" s="64">
        <v>5.62</v>
      </c>
      <c r="F78" s="64">
        <v>4.4800000000000004</v>
      </c>
      <c r="G78" s="64">
        <v>51.8</v>
      </c>
      <c r="H78" s="64">
        <v>20.079999999999998</v>
      </c>
      <c r="I78" s="64">
        <v>3.46</v>
      </c>
      <c r="J78" s="64">
        <v>0.93</v>
      </c>
      <c r="K78" s="64">
        <v>337.21</v>
      </c>
      <c r="L78" s="64">
        <v>27.91</v>
      </c>
      <c r="M78" s="64">
        <v>77.8</v>
      </c>
      <c r="N78" s="64">
        <v>29.5</v>
      </c>
      <c r="O78" s="64">
        <v>0</v>
      </c>
      <c r="P78" s="64">
        <v>1.1200000000000001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5" t="s">
        <v>3006</v>
      </c>
      <c r="B79" s="64">
        <v>9.31</v>
      </c>
      <c r="C79" s="64">
        <v>20.27</v>
      </c>
      <c r="D79" s="64">
        <v>16.68</v>
      </c>
      <c r="E79" s="64">
        <v>5.94</v>
      </c>
      <c r="F79" s="64">
        <v>3.78</v>
      </c>
      <c r="G79" s="64">
        <v>62.27</v>
      </c>
      <c r="H79" s="64">
        <v>21.07</v>
      </c>
      <c r="I79" s="64">
        <v>3.79</v>
      </c>
      <c r="J79" s="64">
        <v>0.44</v>
      </c>
      <c r="K79" s="64">
        <v>89.41</v>
      </c>
      <c r="L79" s="64">
        <v>27.81</v>
      </c>
      <c r="M79" s="64">
        <v>74.75</v>
      </c>
      <c r="N79" s="64">
        <v>27</v>
      </c>
      <c r="O79" s="64">
        <v>0</v>
      </c>
      <c r="P79" s="64">
        <v>0.98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3007</v>
      </c>
      <c r="B80" s="64">
        <v>9.4499999999999993</v>
      </c>
      <c r="C80" s="64">
        <v>19.329999999999998</v>
      </c>
      <c r="D80" s="64">
        <v>16.3</v>
      </c>
      <c r="E80" s="64">
        <v>5.69</v>
      </c>
      <c r="F80" s="64">
        <v>4.88</v>
      </c>
      <c r="G80" s="64">
        <v>62.27</v>
      </c>
      <c r="H80" s="64">
        <v>21.07</v>
      </c>
      <c r="I80" s="64">
        <v>3.98</v>
      </c>
      <c r="J80" s="64">
        <v>0.57999999999999996</v>
      </c>
      <c r="K80" s="64">
        <v>116.17</v>
      </c>
      <c r="L80" s="64">
        <v>27.51</v>
      </c>
      <c r="M80" s="64">
        <v>75.27</v>
      </c>
      <c r="N80" s="64">
        <v>26.3</v>
      </c>
      <c r="O80" s="64">
        <v>0</v>
      </c>
      <c r="P80" s="64">
        <v>0.78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5" t="s">
        <v>3008</v>
      </c>
      <c r="B81" s="64">
        <v>9.01</v>
      </c>
      <c r="C81" s="64">
        <v>19.579999999999998</v>
      </c>
      <c r="D81" s="64">
        <v>16.079999999999998</v>
      </c>
      <c r="E81" s="64">
        <v>5.85</v>
      </c>
      <c r="F81" s="64">
        <v>3.23</v>
      </c>
      <c r="G81" s="64">
        <v>62.27</v>
      </c>
      <c r="H81" s="64">
        <v>21.07</v>
      </c>
      <c r="I81" s="64">
        <v>3.41</v>
      </c>
      <c r="J81" s="64">
        <v>1.18</v>
      </c>
      <c r="K81" s="64">
        <v>121.22</v>
      </c>
      <c r="L81" s="64">
        <v>27.36</v>
      </c>
      <c r="M81" s="64">
        <v>78.540000000000006</v>
      </c>
      <c r="N81" s="64">
        <v>26.1</v>
      </c>
      <c r="O81" s="64">
        <v>0</v>
      </c>
      <c r="P81" s="64">
        <v>0.77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3009</v>
      </c>
      <c r="B82" s="64">
        <v>8.4499999999999993</v>
      </c>
      <c r="C82" s="64">
        <v>17.100000000000001</v>
      </c>
      <c r="D82" s="64">
        <v>14.33</v>
      </c>
      <c r="E82" s="64">
        <v>5.73</v>
      </c>
      <c r="F82" s="64">
        <v>3.8</v>
      </c>
      <c r="G82" s="64">
        <v>60.22</v>
      </c>
      <c r="H82" s="64">
        <v>20.170000000000002</v>
      </c>
      <c r="I82" s="64">
        <v>2.67</v>
      </c>
      <c r="J82" s="64">
        <v>1.19</v>
      </c>
      <c r="K82" s="64">
        <v>114.56</v>
      </c>
      <c r="L82" s="64">
        <v>27.13</v>
      </c>
      <c r="M82" s="64">
        <v>83.52</v>
      </c>
      <c r="N82" s="64">
        <v>26.2</v>
      </c>
      <c r="O82" s="64">
        <v>0</v>
      </c>
      <c r="P82" s="64">
        <v>0.66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5" t="s">
        <v>3010</v>
      </c>
      <c r="B83" s="64">
        <v>7.76</v>
      </c>
      <c r="C83" s="64">
        <v>16.53</v>
      </c>
      <c r="D83" s="64">
        <v>13.48</v>
      </c>
      <c r="E83" s="64">
        <v>5.09</v>
      </c>
      <c r="F83" s="64">
        <v>4.3600000000000003</v>
      </c>
      <c r="G83" s="64">
        <v>58.98</v>
      </c>
      <c r="H83" s="64">
        <v>19.98</v>
      </c>
      <c r="I83" s="64">
        <v>2.91</v>
      </c>
      <c r="J83" s="64">
        <v>0.86</v>
      </c>
      <c r="K83" s="64">
        <v>111.67</v>
      </c>
      <c r="L83" s="64">
        <v>27.02</v>
      </c>
      <c r="M83" s="64">
        <v>86</v>
      </c>
      <c r="N83" s="64">
        <v>26.2</v>
      </c>
      <c r="O83" s="64">
        <v>0</v>
      </c>
      <c r="P83" s="64">
        <v>0.71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3011</v>
      </c>
      <c r="B84" s="64">
        <v>7.45</v>
      </c>
      <c r="C84" s="64">
        <v>15.01</v>
      </c>
      <c r="D84" s="64">
        <v>12.44</v>
      </c>
      <c r="E84" s="64">
        <v>5.23</v>
      </c>
      <c r="F84" s="64">
        <v>3.42</v>
      </c>
      <c r="G84" s="64">
        <v>58.98</v>
      </c>
      <c r="H84" s="64">
        <v>19.98</v>
      </c>
      <c r="I84" s="64">
        <v>3.35</v>
      </c>
      <c r="J84" s="64">
        <v>0.96</v>
      </c>
      <c r="K84" s="64">
        <v>117.27</v>
      </c>
      <c r="L84" s="64">
        <v>26.84</v>
      </c>
      <c r="M84" s="64">
        <v>87.29</v>
      </c>
      <c r="N84" s="64">
        <v>26.1</v>
      </c>
      <c r="O84" s="64">
        <v>0</v>
      </c>
      <c r="P84" s="64">
        <v>0.62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3012</v>
      </c>
      <c r="B85" s="64">
        <v>6.94</v>
      </c>
      <c r="C85" s="64">
        <v>14.11</v>
      </c>
      <c r="D85" s="64">
        <v>11.56</v>
      </c>
      <c r="E85" s="64">
        <v>5.4</v>
      </c>
      <c r="F85" s="64">
        <v>5.26</v>
      </c>
      <c r="G85" s="64">
        <v>58.98</v>
      </c>
      <c r="H85" s="64">
        <v>19.98</v>
      </c>
      <c r="I85" s="64">
        <v>2.87</v>
      </c>
      <c r="J85" s="64">
        <v>1.1599999999999999</v>
      </c>
      <c r="K85" s="64">
        <v>119.82</v>
      </c>
      <c r="L85" s="64">
        <v>26.73</v>
      </c>
      <c r="M85" s="64">
        <v>87.39</v>
      </c>
      <c r="N85" s="64">
        <v>26</v>
      </c>
      <c r="O85" s="64">
        <v>0</v>
      </c>
      <c r="P85" s="64">
        <v>0.63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3013</v>
      </c>
      <c r="B86" s="64">
        <v>6.47</v>
      </c>
      <c r="C86" s="64">
        <v>13.33</v>
      </c>
      <c r="D86" s="64">
        <v>10.77</v>
      </c>
      <c r="E86" s="64">
        <v>5.61</v>
      </c>
      <c r="F86" s="64">
        <v>3.8</v>
      </c>
      <c r="G86" s="64">
        <v>54.01</v>
      </c>
      <c r="H86" s="64">
        <v>19.39</v>
      </c>
      <c r="I86" s="64">
        <v>2.79</v>
      </c>
      <c r="J86" s="64">
        <v>0.97</v>
      </c>
      <c r="K86" s="64">
        <v>111.46</v>
      </c>
      <c r="L86" s="64">
        <v>26.7</v>
      </c>
      <c r="M86" s="64">
        <v>87.4</v>
      </c>
      <c r="N86" s="64">
        <v>26.1</v>
      </c>
      <c r="O86" s="64">
        <v>0</v>
      </c>
      <c r="P86" s="64">
        <v>0.55000000000000004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3014</v>
      </c>
      <c r="B87" s="64">
        <v>6.4</v>
      </c>
      <c r="C87" s="64">
        <v>12.25</v>
      </c>
      <c r="D87" s="64">
        <v>10.16</v>
      </c>
      <c r="E87" s="64">
        <v>5.44</v>
      </c>
      <c r="F87" s="64">
        <v>3.77</v>
      </c>
      <c r="G87" s="64">
        <v>50.99</v>
      </c>
      <c r="H87" s="64">
        <v>19.170000000000002</v>
      </c>
      <c r="I87" s="64">
        <v>2.87</v>
      </c>
      <c r="J87" s="64">
        <v>0.85</v>
      </c>
      <c r="K87" s="64">
        <v>124.35</v>
      </c>
      <c r="L87" s="64">
        <v>26.63</v>
      </c>
      <c r="M87" s="64">
        <v>88.04</v>
      </c>
      <c r="N87" s="64">
        <v>26.1</v>
      </c>
      <c r="O87" s="64">
        <v>0</v>
      </c>
      <c r="P87" s="64">
        <v>0.5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3015</v>
      </c>
      <c r="B88" s="64">
        <v>6.3</v>
      </c>
      <c r="C88" s="64">
        <v>11.78</v>
      </c>
      <c r="D88" s="64">
        <v>9.83</v>
      </c>
      <c r="E88" s="64">
        <v>5.61</v>
      </c>
      <c r="F88" s="64">
        <v>4.18</v>
      </c>
      <c r="G88" s="64">
        <v>50.99</v>
      </c>
      <c r="H88" s="64">
        <v>19.170000000000002</v>
      </c>
      <c r="I88" s="64">
        <v>2.4300000000000002</v>
      </c>
      <c r="J88" s="64">
        <v>1.03</v>
      </c>
      <c r="K88" s="64">
        <v>106.97</v>
      </c>
      <c r="L88" s="64">
        <v>26.62</v>
      </c>
      <c r="M88" s="64">
        <v>87.32</v>
      </c>
      <c r="N88" s="64">
        <v>26.1</v>
      </c>
      <c r="O88" s="64">
        <v>0</v>
      </c>
      <c r="P88" s="64">
        <v>0.5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3016</v>
      </c>
      <c r="B89" s="64">
        <v>6.04</v>
      </c>
      <c r="C89" s="64">
        <v>11.53</v>
      </c>
      <c r="D89" s="64">
        <v>9.49</v>
      </c>
      <c r="E89" s="64">
        <v>5.38</v>
      </c>
      <c r="F89" s="64">
        <v>4.3</v>
      </c>
      <c r="G89" s="64">
        <v>50.99</v>
      </c>
      <c r="H89" s="64">
        <v>19.170000000000002</v>
      </c>
      <c r="I89" s="64">
        <v>2.16</v>
      </c>
      <c r="J89" s="64">
        <v>0.22</v>
      </c>
      <c r="K89" s="64">
        <v>104.76</v>
      </c>
      <c r="L89" s="64">
        <v>26.42</v>
      </c>
      <c r="M89" s="64">
        <v>88.85</v>
      </c>
      <c r="N89" s="64">
        <v>26.2</v>
      </c>
      <c r="O89" s="64">
        <v>0</v>
      </c>
      <c r="P89" s="64">
        <v>0.56999999999999995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5" t="s">
        <v>3017</v>
      </c>
      <c r="B90" s="64">
        <v>5.84</v>
      </c>
      <c r="C90" s="64">
        <v>11.39</v>
      </c>
      <c r="D90" s="64">
        <v>9.26</v>
      </c>
      <c r="E90" s="64">
        <v>5.22</v>
      </c>
      <c r="F90" s="64">
        <v>3.7</v>
      </c>
      <c r="G90" s="64">
        <v>48.93</v>
      </c>
      <c r="H90" s="64">
        <v>15.16</v>
      </c>
      <c r="I90" s="64">
        <v>1.84</v>
      </c>
      <c r="J90" s="64">
        <v>0.28999999999999998</v>
      </c>
      <c r="K90" s="64">
        <v>219.52</v>
      </c>
      <c r="L90" s="64">
        <v>26.16</v>
      </c>
      <c r="M90" s="64">
        <v>90.26</v>
      </c>
      <c r="N90" s="64">
        <v>26.2</v>
      </c>
      <c r="O90" s="64">
        <v>0</v>
      </c>
      <c r="P90" s="64">
        <v>0.67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5" t="s">
        <v>3018</v>
      </c>
      <c r="B91" s="64">
        <v>5.92</v>
      </c>
      <c r="C91" s="64">
        <v>11.3</v>
      </c>
      <c r="D91" s="64">
        <v>9.2799999999999994</v>
      </c>
      <c r="E91" s="64">
        <v>5.54</v>
      </c>
      <c r="F91" s="64">
        <v>3.85</v>
      </c>
      <c r="G91" s="64">
        <v>47.69</v>
      </c>
      <c r="H91" s="64">
        <v>14.29</v>
      </c>
      <c r="I91" s="64">
        <v>2.3199999999999998</v>
      </c>
      <c r="J91" s="64">
        <v>0.39</v>
      </c>
      <c r="K91" s="64">
        <v>88.6</v>
      </c>
      <c r="L91" s="64">
        <v>26.28</v>
      </c>
      <c r="M91" s="64">
        <v>88.25</v>
      </c>
      <c r="N91" s="64">
        <v>25.9</v>
      </c>
      <c r="O91" s="64">
        <v>0</v>
      </c>
      <c r="P91" s="64">
        <v>0.56999999999999995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5" t="s">
        <v>3019</v>
      </c>
      <c r="B92" s="64">
        <v>6.03</v>
      </c>
      <c r="C92" s="64">
        <v>11.41</v>
      </c>
      <c r="D92" s="64">
        <v>9.42</v>
      </c>
      <c r="E92" s="64">
        <v>5.44</v>
      </c>
      <c r="F92" s="64">
        <v>3.53</v>
      </c>
      <c r="G92" s="64">
        <v>47.69</v>
      </c>
      <c r="H92" s="64">
        <v>14.29</v>
      </c>
      <c r="I92" s="64">
        <v>2.5299999999999998</v>
      </c>
      <c r="J92" s="64">
        <v>7.0000000000000007E-2</v>
      </c>
      <c r="K92" s="64">
        <v>245.61</v>
      </c>
      <c r="L92" s="64">
        <v>26.15</v>
      </c>
      <c r="M92" s="64">
        <v>89.41</v>
      </c>
      <c r="N92" s="64">
        <v>26.2</v>
      </c>
      <c r="O92" s="64">
        <v>0</v>
      </c>
      <c r="P92" s="64">
        <v>0.68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5" t="s">
        <v>3020</v>
      </c>
      <c r="B93" s="64">
        <v>6.54</v>
      </c>
      <c r="C93" s="64">
        <v>11.5</v>
      </c>
      <c r="D93" s="64">
        <v>9.8800000000000008</v>
      </c>
      <c r="E93" s="64">
        <v>5.59</v>
      </c>
      <c r="F93" s="64">
        <v>3.58</v>
      </c>
      <c r="G93" s="64">
        <v>47.69</v>
      </c>
      <c r="H93" s="64">
        <v>14.29</v>
      </c>
      <c r="I93" s="64">
        <v>2.64</v>
      </c>
      <c r="J93" s="64">
        <v>0.32</v>
      </c>
      <c r="K93" s="64">
        <v>197.02</v>
      </c>
      <c r="L93" s="64">
        <v>25.78</v>
      </c>
      <c r="M93" s="64">
        <v>92.15</v>
      </c>
      <c r="N93" s="64">
        <v>26.2</v>
      </c>
      <c r="O93" s="64">
        <v>0</v>
      </c>
      <c r="P93" s="64">
        <v>0.68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5" t="s">
        <v>3021</v>
      </c>
      <c r="B94" s="64">
        <v>7.24</v>
      </c>
      <c r="C94" s="64">
        <v>11.96</v>
      </c>
      <c r="D94" s="64">
        <v>10.68</v>
      </c>
      <c r="E94" s="64">
        <v>5.42</v>
      </c>
      <c r="F94" s="64">
        <v>3.81</v>
      </c>
      <c r="G94" s="64">
        <v>47.81</v>
      </c>
      <c r="H94" s="64">
        <v>19.13</v>
      </c>
      <c r="I94" s="64">
        <v>3.45</v>
      </c>
      <c r="J94" s="64">
        <v>0.19</v>
      </c>
      <c r="K94" s="64">
        <v>147.69999999999999</v>
      </c>
      <c r="L94" s="64">
        <v>25.81</v>
      </c>
      <c r="M94" s="64">
        <v>91.2</v>
      </c>
      <c r="N94" s="64">
        <v>26</v>
      </c>
      <c r="O94" s="64">
        <v>0</v>
      </c>
      <c r="P94" s="64">
        <v>0.66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3022</v>
      </c>
      <c r="B95" s="64">
        <v>8.4</v>
      </c>
      <c r="C95" s="64">
        <v>13.13</v>
      </c>
      <c r="D95" s="64">
        <v>12.22</v>
      </c>
      <c r="E95" s="64">
        <v>5.81</v>
      </c>
      <c r="F95" s="64">
        <v>3.61</v>
      </c>
      <c r="G95" s="64">
        <v>47.89</v>
      </c>
      <c r="H95" s="64">
        <v>20.190000000000001</v>
      </c>
      <c r="I95" s="64">
        <v>3.52</v>
      </c>
      <c r="J95" s="64">
        <v>0.34</v>
      </c>
      <c r="K95" s="64">
        <v>191.14</v>
      </c>
      <c r="L95" s="64">
        <v>25.66</v>
      </c>
      <c r="M95" s="64">
        <v>93.34</v>
      </c>
      <c r="N95" s="64">
        <v>26.2</v>
      </c>
      <c r="O95" s="64">
        <v>0</v>
      </c>
      <c r="P95" s="64">
        <v>0.71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5" t="s">
        <v>3023</v>
      </c>
      <c r="B96" s="64">
        <v>9.18</v>
      </c>
      <c r="C96" s="64">
        <v>12.72</v>
      </c>
      <c r="D96" s="64">
        <v>12.62</v>
      </c>
      <c r="E96" s="64">
        <v>5.7</v>
      </c>
      <c r="F96" s="64">
        <v>3.76</v>
      </c>
      <c r="G96" s="64">
        <v>47.89</v>
      </c>
      <c r="H96" s="64">
        <v>20.190000000000001</v>
      </c>
      <c r="I96" s="64">
        <v>3.23</v>
      </c>
      <c r="J96" s="64">
        <v>0.4</v>
      </c>
      <c r="K96" s="64">
        <v>134.08000000000001</v>
      </c>
      <c r="L96" s="64">
        <v>25.57</v>
      </c>
      <c r="M96" s="64">
        <v>95.45</v>
      </c>
      <c r="N96" s="64">
        <v>26</v>
      </c>
      <c r="O96" s="64">
        <v>0</v>
      </c>
      <c r="P96" s="64">
        <v>0.67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3024</v>
      </c>
      <c r="B97" s="64">
        <v>9.3000000000000007</v>
      </c>
      <c r="C97" s="64">
        <v>11.4</v>
      </c>
      <c r="D97" s="64">
        <v>12.04</v>
      </c>
      <c r="E97" s="64">
        <v>5.71</v>
      </c>
      <c r="F97" s="64">
        <v>3.99</v>
      </c>
      <c r="G97" s="64">
        <v>47.89</v>
      </c>
      <c r="H97" s="64">
        <v>20.190000000000001</v>
      </c>
      <c r="I97" s="64">
        <v>3.77</v>
      </c>
      <c r="J97" s="64">
        <v>0.48</v>
      </c>
      <c r="K97" s="64">
        <v>135.85</v>
      </c>
      <c r="L97" s="64">
        <v>25.24</v>
      </c>
      <c r="M97" s="64">
        <v>99.28</v>
      </c>
      <c r="N97" s="64">
        <v>26.2</v>
      </c>
      <c r="O97" s="64">
        <v>0</v>
      </c>
      <c r="P97" s="64">
        <v>0.65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5" t="s">
        <v>3025</v>
      </c>
      <c r="B98" s="64">
        <v>9.41</v>
      </c>
      <c r="C98" s="64">
        <v>11.48</v>
      </c>
      <c r="D98" s="64">
        <v>12.16</v>
      </c>
      <c r="E98" s="64">
        <v>5.94</v>
      </c>
      <c r="F98" s="64">
        <v>3.25</v>
      </c>
      <c r="G98" s="64">
        <v>48.61</v>
      </c>
      <c r="H98" s="64">
        <v>22.48</v>
      </c>
      <c r="I98" s="64">
        <v>3.46</v>
      </c>
      <c r="J98" s="64">
        <v>0.46</v>
      </c>
      <c r="K98" s="64">
        <v>36.380000000000003</v>
      </c>
      <c r="L98" s="64">
        <v>24.97</v>
      </c>
      <c r="M98" s="64">
        <v>99.01</v>
      </c>
      <c r="N98" s="64">
        <v>26.2</v>
      </c>
      <c r="O98" s="64">
        <v>0</v>
      </c>
      <c r="P98" s="64">
        <v>0.62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3026</v>
      </c>
      <c r="B99" s="64">
        <v>9.5</v>
      </c>
      <c r="C99" s="64">
        <v>10.52</v>
      </c>
      <c r="D99" s="64">
        <v>11.74</v>
      </c>
      <c r="E99" s="64">
        <v>5.52</v>
      </c>
      <c r="F99" s="64">
        <v>3.9</v>
      </c>
      <c r="G99" s="64">
        <v>49.05</v>
      </c>
      <c r="H99" s="64">
        <v>22.98</v>
      </c>
      <c r="I99" s="64">
        <v>4.12</v>
      </c>
      <c r="J99" s="64">
        <v>0.49</v>
      </c>
      <c r="K99" s="64">
        <v>111.87</v>
      </c>
      <c r="L99" s="64">
        <v>24.83</v>
      </c>
      <c r="M99" s="64">
        <v>98.6</v>
      </c>
      <c r="N99" s="64">
        <v>26.1</v>
      </c>
      <c r="O99" s="64">
        <v>0</v>
      </c>
      <c r="P99" s="64">
        <v>0.63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5" t="s">
        <v>3027</v>
      </c>
      <c r="B100" s="64">
        <v>9.2799999999999994</v>
      </c>
      <c r="C100" s="64">
        <v>9.6</v>
      </c>
      <c r="D100" s="64">
        <v>11.08</v>
      </c>
      <c r="E100" s="64">
        <v>5.59</v>
      </c>
      <c r="F100" s="64">
        <v>3.55</v>
      </c>
      <c r="G100" s="64">
        <v>49.05</v>
      </c>
      <c r="H100" s="64">
        <v>22.98</v>
      </c>
      <c r="I100" s="64">
        <v>3.7</v>
      </c>
      <c r="J100" s="64">
        <v>0.72</v>
      </c>
      <c r="K100" s="64">
        <v>128.94</v>
      </c>
      <c r="L100" s="64">
        <v>24.59</v>
      </c>
      <c r="M100" s="64">
        <v>98.94</v>
      </c>
      <c r="N100" s="64">
        <v>26.1</v>
      </c>
      <c r="O100" s="64">
        <v>0</v>
      </c>
      <c r="P100" s="64">
        <v>0.52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3028</v>
      </c>
      <c r="B101" s="64">
        <v>8.9600000000000009</v>
      </c>
      <c r="C101" s="64">
        <v>9.4499999999999993</v>
      </c>
      <c r="D101" s="64">
        <v>10.75</v>
      </c>
      <c r="E101" s="64">
        <v>5.28</v>
      </c>
      <c r="F101" s="64">
        <v>4.78</v>
      </c>
      <c r="G101" s="64">
        <v>49.05</v>
      </c>
      <c r="H101" s="64">
        <v>22.98</v>
      </c>
      <c r="I101" s="64">
        <v>4.03</v>
      </c>
      <c r="J101" s="64">
        <v>0.57999999999999996</v>
      </c>
      <c r="K101" s="64">
        <v>129.25</v>
      </c>
      <c r="L101" s="64">
        <v>24.56</v>
      </c>
      <c r="M101" s="64">
        <v>97.85</v>
      </c>
      <c r="N101" s="64">
        <v>26.1</v>
      </c>
      <c r="O101" s="64">
        <v>0</v>
      </c>
      <c r="P101" s="64">
        <v>0.56999999999999995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5" t="s">
        <v>3029</v>
      </c>
      <c r="B102" s="64">
        <v>8.73</v>
      </c>
      <c r="C102" s="64">
        <v>9.15</v>
      </c>
      <c r="D102" s="64">
        <v>10.4</v>
      </c>
      <c r="E102" s="64">
        <v>5.4</v>
      </c>
      <c r="F102" s="64">
        <v>3.26</v>
      </c>
      <c r="G102" s="64">
        <v>46.18</v>
      </c>
      <c r="H102" s="64">
        <v>19.79</v>
      </c>
      <c r="I102" s="64">
        <v>4</v>
      </c>
      <c r="J102" s="64">
        <v>0.3</v>
      </c>
      <c r="K102" s="64">
        <v>17.75</v>
      </c>
      <c r="L102" s="64">
        <v>24.53</v>
      </c>
      <c r="M102" s="64">
        <v>97.32</v>
      </c>
      <c r="N102" s="64">
        <v>26.1</v>
      </c>
      <c r="O102" s="64">
        <v>0</v>
      </c>
      <c r="P102" s="64">
        <v>0.47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5" t="s">
        <v>3030</v>
      </c>
      <c r="B103" s="64">
        <v>8.57</v>
      </c>
      <c r="C103" s="64">
        <v>9.0500000000000007</v>
      </c>
      <c r="D103" s="64">
        <v>10.220000000000001</v>
      </c>
      <c r="E103" s="64">
        <v>5.27</v>
      </c>
      <c r="F103" s="64">
        <v>3.68</v>
      </c>
      <c r="G103" s="64">
        <v>44.44</v>
      </c>
      <c r="H103" s="64">
        <v>18.59</v>
      </c>
      <c r="I103" s="64">
        <v>3.09</v>
      </c>
      <c r="J103" s="64">
        <v>0.51</v>
      </c>
      <c r="K103" s="64">
        <v>356.5</v>
      </c>
      <c r="L103" s="64">
        <v>24.41</v>
      </c>
      <c r="M103" s="64">
        <v>97.48</v>
      </c>
      <c r="N103" s="64">
        <v>26.1</v>
      </c>
      <c r="O103" s="64">
        <v>0</v>
      </c>
      <c r="P103" s="64">
        <v>0.54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5" t="s">
        <v>3031</v>
      </c>
      <c r="B104" s="64">
        <v>8.8699999999999992</v>
      </c>
      <c r="C104" s="64">
        <v>8.7100000000000009</v>
      </c>
      <c r="D104" s="64">
        <v>10.29</v>
      </c>
      <c r="E104" s="64">
        <v>6.53</v>
      </c>
      <c r="F104" s="64">
        <v>3.83</v>
      </c>
      <c r="G104" s="64">
        <v>44.44</v>
      </c>
      <c r="H104" s="64">
        <v>18.59</v>
      </c>
      <c r="I104" s="64">
        <v>3.24</v>
      </c>
      <c r="J104" s="64">
        <v>0.22</v>
      </c>
      <c r="K104" s="64">
        <v>325.67</v>
      </c>
      <c r="L104" s="64">
        <v>24.26</v>
      </c>
      <c r="M104" s="64">
        <v>98.36</v>
      </c>
      <c r="N104" s="64">
        <v>26.1</v>
      </c>
      <c r="O104" s="64">
        <v>0</v>
      </c>
      <c r="P104" s="64">
        <v>0.57999999999999996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1.78</v>
      </c>
      <c r="C106" s="67">
        <f>MIN(C9:C104)</f>
        <v>7.63</v>
      </c>
      <c r="D106" s="67">
        <f t="shared" ref="D106:Q106" si="0">MIN(D9:D104)</f>
        <v>8.48</v>
      </c>
      <c r="E106" s="67">
        <f t="shared" si="0"/>
        <v>4.25</v>
      </c>
      <c r="F106" s="67">
        <f t="shared" si="0"/>
        <v>2.5299999999999998</v>
      </c>
      <c r="G106" s="67">
        <f t="shared" si="0"/>
        <v>30.16</v>
      </c>
      <c r="H106" s="67">
        <f t="shared" si="0"/>
        <v>10.36</v>
      </c>
      <c r="I106" s="67">
        <f t="shared" si="0"/>
        <v>1.84</v>
      </c>
      <c r="J106" s="67">
        <f t="shared" si="0"/>
        <v>7.0000000000000007E-2</v>
      </c>
      <c r="K106" s="67">
        <f t="shared" si="0"/>
        <v>2.27</v>
      </c>
      <c r="L106" s="67">
        <f t="shared" si="0"/>
        <v>22.91</v>
      </c>
      <c r="M106" s="67">
        <f t="shared" si="0"/>
        <v>53.78</v>
      </c>
      <c r="N106" s="67">
        <f t="shared" si="0"/>
        <v>25.9</v>
      </c>
      <c r="O106" s="67">
        <f t="shared" si="0"/>
        <v>0</v>
      </c>
      <c r="P106" s="67">
        <f t="shared" si="0"/>
        <v>0.47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36.840000000000003</v>
      </c>
      <c r="C107" s="66">
        <f t="shared" ref="C107:Q107" si="1">MAX(C9:C104)</f>
        <v>29.8</v>
      </c>
      <c r="D107" s="66">
        <f t="shared" si="1"/>
        <v>33.770000000000003</v>
      </c>
      <c r="E107" s="66">
        <f t="shared" si="1"/>
        <v>9.66</v>
      </c>
      <c r="F107" s="66">
        <f t="shared" si="1"/>
        <v>8.3000000000000007</v>
      </c>
      <c r="G107" s="66">
        <f t="shared" si="1"/>
        <v>62.27</v>
      </c>
      <c r="H107" s="66">
        <f t="shared" si="1"/>
        <v>25.05</v>
      </c>
      <c r="I107" s="66">
        <f t="shared" si="1"/>
        <v>7.9</v>
      </c>
      <c r="J107" s="66">
        <f t="shared" si="1"/>
        <v>1.88</v>
      </c>
      <c r="K107" s="66">
        <f t="shared" si="1"/>
        <v>356.5</v>
      </c>
      <c r="L107" s="66">
        <f t="shared" si="1"/>
        <v>33.409999999999997</v>
      </c>
      <c r="M107" s="66">
        <f t="shared" si="1"/>
        <v>102.75</v>
      </c>
      <c r="N107" s="66">
        <f t="shared" si="1"/>
        <v>696.2</v>
      </c>
      <c r="O107" s="66">
        <f t="shared" si="1"/>
        <v>0</v>
      </c>
      <c r="P107" s="66">
        <f t="shared" si="1"/>
        <v>1.1200000000000001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13.268749999999999</v>
      </c>
      <c r="C108" s="67">
        <f t="shared" ref="C108:Q108" si="2">AVERAGE(C9:C104)</f>
        <v>13.616979166666665</v>
      </c>
      <c r="D108" s="67">
        <f t="shared" si="2"/>
        <v>16.378125000000001</v>
      </c>
      <c r="E108" s="67">
        <f t="shared" si="2"/>
        <v>5.6531249999999993</v>
      </c>
      <c r="F108" s="67">
        <f t="shared" si="2"/>
        <v>4.2144791666666661</v>
      </c>
      <c r="G108" s="67">
        <f t="shared" si="2"/>
        <v>48.829347826086959</v>
      </c>
      <c r="H108" s="67">
        <f t="shared" si="2"/>
        <v>19.292282608695654</v>
      </c>
      <c r="I108" s="67">
        <f t="shared" si="2"/>
        <v>4.0309375000000012</v>
      </c>
      <c r="J108" s="67">
        <f t="shared" si="2"/>
        <v>0.72072916666666664</v>
      </c>
      <c r="K108" s="67">
        <f t="shared" si="2"/>
        <v>196.26239583333333</v>
      </c>
      <c r="L108" s="67">
        <f t="shared" si="2"/>
        <v>26.839270833333345</v>
      </c>
      <c r="M108" s="67">
        <f t="shared" si="2"/>
        <v>85.885729166666678</v>
      </c>
      <c r="N108" s="67">
        <f t="shared" si="2"/>
        <v>143.72395833333346</v>
      </c>
      <c r="O108" s="67">
        <f t="shared" si="2"/>
        <v>0</v>
      </c>
      <c r="P108" s="67">
        <f t="shared" si="2"/>
        <v>0.6853125000000001</v>
      </c>
      <c r="Q108" s="67">
        <f t="shared" si="2"/>
        <v>9.6189583333333388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8.8535344414116892</v>
      </c>
      <c r="C109" s="67">
        <f t="shared" ref="C109:Q109" si="3">STDEV(C9:C104)</f>
        <v>5.5235374096090784</v>
      </c>
      <c r="D109" s="67">
        <f t="shared" si="3"/>
        <v>5.6606985457905905</v>
      </c>
      <c r="E109" s="67">
        <f t="shared" si="3"/>
        <v>0.84180046704417721</v>
      </c>
      <c r="F109" s="67">
        <f t="shared" si="3"/>
        <v>1.0587250224896108</v>
      </c>
      <c r="G109" s="67">
        <f t="shared" si="3"/>
        <v>6.2891336261679189</v>
      </c>
      <c r="H109" s="67">
        <f t="shared" si="3"/>
        <v>3.6754825064905861</v>
      </c>
      <c r="I109" s="67">
        <f t="shared" si="3"/>
        <v>1.3213693679584637</v>
      </c>
      <c r="J109" s="67">
        <f t="shared" si="3"/>
        <v>0.44527518349340822</v>
      </c>
      <c r="K109" s="67">
        <f t="shared" si="3"/>
        <v>116.21414705751107</v>
      </c>
      <c r="L109" s="67">
        <f t="shared" si="3"/>
        <v>3.1294637996380668</v>
      </c>
      <c r="M109" s="67">
        <f t="shared" si="3"/>
        <v>16.463723102934207</v>
      </c>
      <c r="N109" s="67">
        <f t="shared" si="3"/>
        <v>185.71576570254464</v>
      </c>
      <c r="O109" s="67">
        <f t="shared" si="3"/>
        <v>0</v>
      </c>
      <c r="P109" s="67">
        <f t="shared" si="3"/>
        <v>0.1295656966053983</v>
      </c>
      <c r="Q109" s="67">
        <f t="shared" si="3"/>
        <v>8.5198426803698869E-3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3032</v>
      </c>
      <c r="B9" s="64">
        <v>9.09</v>
      </c>
      <c r="C9" s="64">
        <v>8.39</v>
      </c>
      <c r="D9" s="64">
        <v>10.3</v>
      </c>
      <c r="E9" s="64">
        <v>6.33</v>
      </c>
      <c r="F9" s="64">
        <v>4.99</v>
      </c>
      <c r="G9" s="64">
        <v>44.44</v>
      </c>
      <c r="H9" s="64">
        <v>18.59</v>
      </c>
      <c r="I9" s="64">
        <v>2.5299999999999998</v>
      </c>
      <c r="J9" s="64">
        <v>0.49</v>
      </c>
      <c r="K9" s="64">
        <v>179.12</v>
      </c>
      <c r="L9" s="64">
        <v>24.17</v>
      </c>
      <c r="M9" s="64">
        <v>98.68</v>
      </c>
      <c r="N9" s="64">
        <v>26.1</v>
      </c>
      <c r="O9" s="64">
        <v>0</v>
      </c>
      <c r="P9" s="64">
        <v>0.4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5" t="s">
        <v>3033</v>
      </c>
      <c r="B10" s="64">
        <v>8.94</v>
      </c>
      <c r="C10" s="64">
        <v>8.2100000000000009</v>
      </c>
      <c r="D10" s="64">
        <v>10.08</v>
      </c>
      <c r="E10" s="64">
        <v>6.4</v>
      </c>
      <c r="F10" s="64">
        <v>3.95</v>
      </c>
      <c r="G10" s="64">
        <v>42.87</v>
      </c>
      <c r="H10" s="64">
        <v>19.75</v>
      </c>
      <c r="I10" s="64">
        <v>1.97</v>
      </c>
      <c r="J10" s="64">
        <v>0.31</v>
      </c>
      <c r="K10" s="64">
        <v>326.58</v>
      </c>
      <c r="L10" s="64">
        <v>24.21</v>
      </c>
      <c r="M10" s="64">
        <v>98.55</v>
      </c>
      <c r="N10" s="64">
        <v>26.1</v>
      </c>
      <c r="O10" s="64">
        <v>0</v>
      </c>
      <c r="P10" s="64">
        <v>0.42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3034</v>
      </c>
      <c r="B11" s="64">
        <v>8.74</v>
      </c>
      <c r="C11" s="64">
        <v>8.19</v>
      </c>
      <c r="D11" s="64">
        <v>9.91</v>
      </c>
      <c r="E11" s="64">
        <v>6.16</v>
      </c>
      <c r="F11" s="64">
        <v>4.0599999999999996</v>
      </c>
      <c r="G11" s="64">
        <v>41.92</v>
      </c>
      <c r="H11" s="64">
        <v>20.010000000000002</v>
      </c>
      <c r="I11" s="64">
        <v>1.57</v>
      </c>
      <c r="J11" s="64">
        <v>0.53</v>
      </c>
      <c r="K11" s="64">
        <v>290.93</v>
      </c>
      <c r="L11" s="64">
        <v>23.95</v>
      </c>
      <c r="M11" s="64">
        <v>101.64</v>
      </c>
      <c r="N11" s="64">
        <v>26.1</v>
      </c>
      <c r="O11" s="64">
        <v>0</v>
      </c>
      <c r="P11" s="64">
        <v>0.66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3035</v>
      </c>
      <c r="B12" s="64">
        <v>8.65</v>
      </c>
      <c r="C12" s="64">
        <v>8.1</v>
      </c>
      <c r="D12" s="64">
        <v>9.7899999999999991</v>
      </c>
      <c r="E12" s="64">
        <v>6.07</v>
      </c>
      <c r="F12" s="64">
        <v>4.97</v>
      </c>
      <c r="G12" s="64">
        <v>41.92</v>
      </c>
      <c r="H12" s="64">
        <v>20.010000000000002</v>
      </c>
      <c r="I12" s="64">
        <v>1.55</v>
      </c>
      <c r="J12" s="64">
        <v>0.43</v>
      </c>
      <c r="K12" s="64">
        <v>303.20999999999998</v>
      </c>
      <c r="L12" s="64">
        <v>23.74</v>
      </c>
      <c r="M12" s="64">
        <v>102.25</v>
      </c>
      <c r="N12" s="64">
        <v>26.1</v>
      </c>
      <c r="O12" s="64">
        <v>0</v>
      </c>
      <c r="P12" s="64">
        <v>0.43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3036</v>
      </c>
      <c r="B13" s="64">
        <v>8.61</v>
      </c>
      <c r="C13" s="64">
        <v>7.88</v>
      </c>
      <c r="D13" s="64">
        <v>9.64</v>
      </c>
      <c r="E13" s="64">
        <v>6.34</v>
      </c>
      <c r="F13" s="64">
        <v>5.09</v>
      </c>
      <c r="G13" s="64">
        <v>41.92</v>
      </c>
      <c r="H13" s="64">
        <v>20.010000000000002</v>
      </c>
      <c r="I13" s="64">
        <v>2.0099999999999998</v>
      </c>
      <c r="J13" s="64">
        <v>0.27</v>
      </c>
      <c r="K13" s="64">
        <v>359.78</v>
      </c>
      <c r="L13" s="64">
        <v>23.97</v>
      </c>
      <c r="M13" s="64">
        <v>100.72</v>
      </c>
      <c r="N13" s="64">
        <v>26.1</v>
      </c>
      <c r="O13" s="64">
        <v>0</v>
      </c>
      <c r="P13" s="64">
        <v>0.46</v>
      </c>
      <c r="Q13" s="64">
        <v>9.6199999999999992</v>
      </c>
      <c r="R13" s="198"/>
      <c r="S13" s="198"/>
      <c r="T13" s="198"/>
      <c r="U13" s="198"/>
    </row>
    <row r="14" spans="1:21" s="12" customFormat="1" x14ac:dyDescent="0.25">
      <c r="A14" s="215" t="s">
        <v>3037</v>
      </c>
      <c r="B14" s="64">
        <v>8.4600000000000009</v>
      </c>
      <c r="C14" s="64">
        <v>7.68</v>
      </c>
      <c r="D14" s="64">
        <v>9.42</v>
      </c>
      <c r="E14" s="64">
        <v>6.19</v>
      </c>
      <c r="F14" s="64">
        <v>3.73</v>
      </c>
      <c r="G14" s="64">
        <v>38.69</v>
      </c>
      <c r="H14" s="64">
        <v>17.62</v>
      </c>
      <c r="I14" s="64">
        <v>2.0099999999999998</v>
      </c>
      <c r="J14" s="64">
        <v>0.23</v>
      </c>
      <c r="K14" s="64">
        <v>129.65</v>
      </c>
      <c r="L14" s="64">
        <v>23.93</v>
      </c>
      <c r="M14" s="64">
        <v>101.01</v>
      </c>
      <c r="N14" s="64">
        <v>25.9</v>
      </c>
      <c r="O14" s="64">
        <v>0</v>
      </c>
      <c r="P14" s="64">
        <v>0.45</v>
      </c>
      <c r="Q14" s="64">
        <v>9.61</v>
      </c>
      <c r="R14" s="198"/>
      <c r="S14" s="198"/>
      <c r="T14" s="198"/>
      <c r="U14" s="198"/>
    </row>
    <row r="15" spans="1:21" s="12" customFormat="1" x14ac:dyDescent="0.25">
      <c r="A15" s="215" t="s">
        <v>3038</v>
      </c>
      <c r="B15" s="64">
        <v>8.24</v>
      </c>
      <c r="C15" s="64">
        <v>8.1300000000000008</v>
      </c>
      <c r="D15" s="64">
        <v>9.48</v>
      </c>
      <c r="E15" s="64">
        <v>6.19</v>
      </c>
      <c r="F15" s="64">
        <v>3.74</v>
      </c>
      <c r="G15" s="64">
        <v>36.729999999999997</v>
      </c>
      <c r="H15" s="64">
        <v>17.100000000000001</v>
      </c>
      <c r="I15" s="64">
        <v>1.71</v>
      </c>
      <c r="J15" s="64">
        <v>0.3</v>
      </c>
      <c r="K15" s="64">
        <v>15.2</v>
      </c>
      <c r="L15" s="64">
        <v>23.93</v>
      </c>
      <c r="M15" s="64">
        <v>101.37</v>
      </c>
      <c r="N15" s="64">
        <v>26.1</v>
      </c>
      <c r="O15" s="64">
        <v>0</v>
      </c>
      <c r="P15" s="64">
        <v>0.56999999999999995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3039</v>
      </c>
      <c r="B16" s="64">
        <v>7.93</v>
      </c>
      <c r="C16" s="64">
        <v>8.0500000000000007</v>
      </c>
      <c r="D16" s="64">
        <v>9.19</v>
      </c>
      <c r="E16" s="64">
        <v>6.24</v>
      </c>
      <c r="F16" s="64">
        <v>3.97</v>
      </c>
      <c r="G16" s="64">
        <v>36.729999999999997</v>
      </c>
      <c r="H16" s="64">
        <v>17.100000000000001</v>
      </c>
      <c r="I16" s="64">
        <v>2.92</v>
      </c>
      <c r="J16" s="64">
        <v>0.45</v>
      </c>
      <c r="K16" s="64">
        <v>0.33</v>
      </c>
      <c r="L16" s="64">
        <v>23.69</v>
      </c>
      <c r="M16" s="64">
        <v>102.65</v>
      </c>
      <c r="N16" s="64">
        <v>26.1</v>
      </c>
      <c r="O16" s="64">
        <v>0</v>
      </c>
      <c r="P16" s="64">
        <v>0.53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5" t="s">
        <v>3040</v>
      </c>
      <c r="B17" s="64">
        <v>7.77</v>
      </c>
      <c r="C17" s="64">
        <v>7.97</v>
      </c>
      <c r="D17" s="64">
        <v>9.02</v>
      </c>
      <c r="E17" s="64">
        <v>6.94</v>
      </c>
      <c r="F17" s="64">
        <v>3.35</v>
      </c>
      <c r="G17" s="64">
        <v>36.729999999999997</v>
      </c>
      <c r="H17" s="64">
        <v>17.100000000000001</v>
      </c>
      <c r="I17" s="64">
        <v>3.51</v>
      </c>
      <c r="J17" s="64">
        <v>0.32</v>
      </c>
      <c r="K17" s="64">
        <v>4.96</v>
      </c>
      <c r="L17" s="64">
        <v>23.49</v>
      </c>
      <c r="M17" s="64">
        <v>102.73</v>
      </c>
      <c r="N17" s="64">
        <v>26.1</v>
      </c>
      <c r="O17" s="64">
        <v>0</v>
      </c>
      <c r="P17" s="64">
        <v>0.55000000000000004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3041</v>
      </c>
      <c r="B18" s="64">
        <v>7.9</v>
      </c>
      <c r="C18" s="64">
        <v>8.2899999999999991</v>
      </c>
      <c r="D18" s="64">
        <v>9.2899999999999991</v>
      </c>
      <c r="E18" s="64">
        <v>6.23</v>
      </c>
      <c r="F18" s="64">
        <v>4.45</v>
      </c>
      <c r="G18" s="64">
        <v>33.71</v>
      </c>
      <c r="H18" s="64">
        <v>17.78</v>
      </c>
      <c r="I18" s="64">
        <v>3.86</v>
      </c>
      <c r="J18" s="64">
        <v>0.51</v>
      </c>
      <c r="K18" s="64">
        <v>349</v>
      </c>
      <c r="L18" s="64">
        <v>23.33</v>
      </c>
      <c r="M18" s="64">
        <v>102.73</v>
      </c>
      <c r="N18" s="64">
        <v>26.1</v>
      </c>
      <c r="O18" s="64">
        <v>0</v>
      </c>
      <c r="P18" s="64">
        <v>0.54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5" t="s">
        <v>3042</v>
      </c>
      <c r="B19" s="64">
        <v>7.94</v>
      </c>
      <c r="C19" s="64">
        <v>8.19</v>
      </c>
      <c r="D19" s="64">
        <v>9.27</v>
      </c>
      <c r="E19" s="64">
        <v>6.48</v>
      </c>
      <c r="F19" s="64">
        <v>4.04</v>
      </c>
      <c r="G19" s="64">
        <v>31.79</v>
      </c>
      <c r="H19" s="64">
        <v>17.93</v>
      </c>
      <c r="I19" s="64">
        <v>3.64</v>
      </c>
      <c r="J19" s="64">
        <v>0.4</v>
      </c>
      <c r="K19" s="64">
        <v>325.14999999999998</v>
      </c>
      <c r="L19" s="64">
        <v>23.25</v>
      </c>
      <c r="M19" s="64">
        <v>102.73</v>
      </c>
      <c r="N19" s="64">
        <v>26.1</v>
      </c>
      <c r="O19" s="64">
        <v>0</v>
      </c>
      <c r="P19" s="64">
        <v>0.5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5" t="s">
        <v>3043</v>
      </c>
      <c r="B20" s="64">
        <v>7.82</v>
      </c>
      <c r="C20" s="64">
        <v>8.56</v>
      </c>
      <c r="D20" s="64">
        <v>9.36</v>
      </c>
      <c r="E20" s="64">
        <v>6.15</v>
      </c>
      <c r="F20" s="64">
        <v>3.41</v>
      </c>
      <c r="G20" s="64">
        <v>31.79</v>
      </c>
      <c r="H20" s="64">
        <v>17.93</v>
      </c>
      <c r="I20" s="64">
        <v>2.69</v>
      </c>
      <c r="J20" s="64">
        <v>0.51</v>
      </c>
      <c r="K20" s="64">
        <v>272.7</v>
      </c>
      <c r="L20" s="64">
        <v>23.1</v>
      </c>
      <c r="M20" s="64">
        <v>102.73</v>
      </c>
      <c r="N20" s="64">
        <v>26.1</v>
      </c>
      <c r="O20" s="64">
        <v>0</v>
      </c>
      <c r="P20" s="64">
        <v>0.46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3044</v>
      </c>
      <c r="B21" s="64">
        <v>7.64</v>
      </c>
      <c r="C21" s="64">
        <v>8.44</v>
      </c>
      <c r="D21" s="64">
        <v>9.16</v>
      </c>
      <c r="E21" s="64">
        <v>6.31</v>
      </c>
      <c r="F21" s="64">
        <v>4.07</v>
      </c>
      <c r="G21" s="64">
        <v>31.79</v>
      </c>
      <c r="H21" s="64">
        <v>17.93</v>
      </c>
      <c r="I21" s="64">
        <v>3.52</v>
      </c>
      <c r="J21" s="64">
        <v>0.45</v>
      </c>
      <c r="K21" s="64">
        <v>235.88</v>
      </c>
      <c r="L21" s="64">
        <v>23.06</v>
      </c>
      <c r="M21" s="64">
        <v>102.76</v>
      </c>
      <c r="N21" s="64">
        <v>26.1</v>
      </c>
      <c r="O21" s="64">
        <v>0</v>
      </c>
      <c r="P21" s="64">
        <v>0.52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5" t="s">
        <v>3045</v>
      </c>
      <c r="B22" s="64">
        <v>7.58</v>
      </c>
      <c r="C22" s="64">
        <v>8.2899999999999991</v>
      </c>
      <c r="D22" s="64">
        <v>9.0399999999999991</v>
      </c>
      <c r="E22" s="64">
        <v>6.21</v>
      </c>
      <c r="F22" s="64">
        <v>3.78</v>
      </c>
      <c r="G22" s="64">
        <v>31.18</v>
      </c>
      <c r="H22" s="64">
        <v>15.17</v>
      </c>
      <c r="I22" s="64">
        <v>3.07</v>
      </c>
      <c r="J22" s="64">
        <v>0.5</v>
      </c>
      <c r="K22" s="64">
        <v>320.01</v>
      </c>
      <c r="L22" s="64">
        <v>23.18</v>
      </c>
      <c r="M22" s="64">
        <v>102.75</v>
      </c>
      <c r="N22" s="64">
        <v>26.1</v>
      </c>
      <c r="O22" s="64">
        <v>0</v>
      </c>
      <c r="P22" s="64">
        <v>0.48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5" t="s">
        <v>3046</v>
      </c>
      <c r="B23" s="64">
        <v>7.92</v>
      </c>
      <c r="C23" s="64">
        <v>8.66</v>
      </c>
      <c r="D23" s="64">
        <v>9.49</v>
      </c>
      <c r="E23" s="64">
        <v>7.11</v>
      </c>
      <c r="F23" s="64">
        <v>3.69</v>
      </c>
      <c r="G23" s="64">
        <v>30.79</v>
      </c>
      <c r="H23" s="64">
        <v>14.13</v>
      </c>
      <c r="I23" s="64">
        <v>2.67</v>
      </c>
      <c r="J23" s="64">
        <v>0.46</v>
      </c>
      <c r="K23" s="64">
        <v>298.94</v>
      </c>
      <c r="L23" s="64">
        <v>23.15</v>
      </c>
      <c r="M23" s="64">
        <v>102.75</v>
      </c>
      <c r="N23" s="64">
        <v>26.1</v>
      </c>
      <c r="O23" s="64">
        <v>0</v>
      </c>
      <c r="P23" s="64">
        <v>0.54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3047</v>
      </c>
      <c r="B24" s="64">
        <v>8.7100000000000009</v>
      </c>
      <c r="C24" s="64">
        <v>8.14</v>
      </c>
      <c r="D24" s="64">
        <v>9.86</v>
      </c>
      <c r="E24" s="64">
        <v>5.48</v>
      </c>
      <c r="F24" s="64">
        <v>3.6</v>
      </c>
      <c r="G24" s="64">
        <v>30.79</v>
      </c>
      <c r="H24" s="64">
        <v>14.13</v>
      </c>
      <c r="I24" s="64">
        <v>3.38</v>
      </c>
      <c r="J24" s="64">
        <v>0.64</v>
      </c>
      <c r="K24" s="64">
        <v>333.98</v>
      </c>
      <c r="L24" s="64">
        <v>23.07</v>
      </c>
      <c r="M24" s="64">
        <v>102.75</v>
      </c>
      <c r="N24" s="64">
        <v>26</v>
      </c>
      <c r="O24" s="64">
        <v>0</v>
      </c>
      <c r="P24" s="64">
        <v>0.5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5" t="s">
        <v>3048</v>
      </c>
      <c r="B25" s="64">
        <v>9.11</v>
      </c>
      <c r="C25" s="64">
        <v>7.54</v>
      </c>
      <c r="D25" s="64">
        <v>9.8699999999999992</v>
      </c>
      <c r="E25" s="64">
        <v>4.97</v>
      </c>
      <c r="F25" s="64">
        <v>3.92</v>
      </c>
      <c r="G25" s="64">
        <v>30.79</v>
      </c>
      <c r="H25" s="64">
        <v>14.13</v>
      </c>
      <c r="I25" s="64">
        <v>3.12</v>
      </c>
      <c r="J25" s="64">
        <v>0.76</v>
      </c>
      <c r="K25" s="64">
        <v>343.41</v>
      </c>
      <c r="L25" s="64">
        <v>23.01</v>
      </c>
      <c r="M25" s="64">
        <v>102.75</v>
      </c>
      <c r="N25" s="64">
        <v>26.1</v>
      </c>
      <c r="O25" s="64">
        <v>0</v>
      </c>
      <c r="P25" s="64">
        <v>0.48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3049</v>
      </c>
      <c r="B26" s="64">
        <v>9.33</v>
      </c>
      <c r="C26" s="64">
        <v>7.52</v>
      </c>
      <c r="D26" s="64">
        <v>10.029999999999999</v>
      </c>
      <c r="E26" s="64">
        <v>5.04</v>
      </c>
      <c r="F26" s="64">
        <v>3.95</v>
      </c>
      <c r="G26" s="64">
        <v>32.08</v>
      </c>
      <c r="H26" s="64">
        <v>14</v>
      </c>
      <c r="I26" s="64">
        <v>2.3199999999999998</v>
      </c>
      <c r="J26" s="64">
        <v>0.48</v>
      </c>
      <c r="K26" s="64">
        <v>330.05</v>
      </c>
      <c r="L26" s="64">
        <v>23.04</v>
      </c>
      <c r="M26" s="64">
        <v>102.73</v>
      </c>
      <c r="N26" s="64">
        <v>26</v>
      </c>
      <c r="O26" s="64">
        <v>0</v>
      </c>
      <c r="P26" s="64">
        <v>0.45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5" t="s">
        <v>3050</v>
      </c>
      <c r="B27" s="64">
        <v>9.32</v>
      </c>
      <c r="C27" s="64">
        <v>7.48</v>
      </c>
      <c r="D27" s="64">
        <v>10.01</v>
      </c>
      <c r="E27" s="64">
        <v>5.04</v>
      </c>
      <c r="F27" s="64">
        <v>3.78</v>
      </c>
      <c r="G27" s="64">
        <v>32.869999999999997</v>
      </c>
      <c r="H27" s="64">
        <v>13.97</v>
      </c>
      <c r="I27" s="64">
        <v>1.78</v>
      </c>
      <c r="J27" s="64">
        <v>0.13</v>
      </c>
      <c r="K27" s="64">
        <v>153.44999999999999</v>
      </c>
      <c r="L27" s="64">
        <v>22.98</v>
      </c>
      <c r="M27" s="64">
        <v>102.73</v>
      </c>
      <c r="N27" s="64">
        <v>26.1</v>
      </c>
      <c r="O27" s="64">
        <v>0</v>
      </c>
      <c r="P27" s="64">
        <v>0.46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5" t="s">
        <v>3051</v>
      </c>
      <c r="B28" s="64">
        <v>9.48</v>
      </c>
      <c r="C28" s="64">
        <v>7.52</v>
      </c>
      <c r="D28" s="64">
        <v>10.16</v>
      </c>
      <c r="E28" s="64">
        <v>5.05</v>
      </c>
      <c r="F28" s="64">
        <v>3.3</v>
      </c>
      <c r="G28" s="64">
        <v>32.869999999999997</v>
      </c>
      <c r="H28" s="64">
        <v>13.97</v>
      </c>
      <c r="I28" s="64">
        <v>1.62</v>
      </c>
      <c r="J28" s="64">
        <v>0.19</v>
      </c>
      <c r="K28" s="64">
        <v>128.87</v>
      </c>
      <c r="L28" s="64">
        <v>22.92</v>
      </c>
      <c r="M28" s="64">
        <v>102.73</v>
      </c>
      <c r="N28" s="64">
        <v>26.1</v>
      </c>
      <c r="O28" s="64">
        <v>0</v>
      </c>
      <c r="P28" s="64">
        <v>0.53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5" t="s">
        <v>3052</v>
      </c>
      <c r="B29" s="64">
        <v>9.75</v>
      </c>
      <c r="C29" s="64">
        <v>7.65</v>
      </c>
      <c r="D29" s="64">
        <v>10.44</v>
      </c>
      <c r="E29" s="64">
        <v>4.6500000000000004</v>
      </c>
      <c r="F29" s="64">
        <v>3.73</v>
      </c>
      <c r="G29" s="64">
        <v>32.869999999999997</v>
      </c>
      <c r="H29" s="64">
        <v>13.97</v>
      </c>
      <c r="I29" s="64">
        <v>1.75</v>
      </c>
      <c r="J29" s="64">
        <v>0.48</v>
      </c>
      <c r="K29" s="64">
        <v>281.85000000000002</v>
      </c>
      <c r="L29" s="64">
        <v>22.89</v>
      </c>
      <c r="M29" s="64">
        <v>102.73</v>
      </c>
      <c r="N29" s="64">
        <v>26.1</v>
      </c>
      <c r="O29" s="64">
        <v>0</v>
      </c>
      <c r="P29" s="64">
        <v>0.53</v>
      </c>
      <c r="Q29" s="64">
        <v>9.59</v>
      </c>
      <c r="R29" s="198"/>
      <c r="S29" s="198"/>
      <c r="T29" s="198"/>
      <c r="U29" s="198"/>
    </row>
    <row r="30" spans="1:21" s="12" customFormat="1" x14ac:dyDescent="0.25">
      <c r="A30" s="215" t="s">
        <v>3053</v>
      </c>
      <c r="B30" s="64">
        <v>9.93</v>
      </c>
      <c r="C30" s="64">
        <v>7.68</v>
      </c>
      <c r="D30" s="64">
        <v>10.6</v>
      </c>
      <c r="E30" s="64">
        <v>4.67</v>
      </c>
      <c r="F30" s="64">
        <v>3.7</v>
      </c>
      <c r="G30" s="64">
        <v>31.95</v>
      </c>
      <c r="H30" s="64">
        <v>13.44</v>
      </c>
      <c r="I30" s="64">
        <v>1.9</v>
      </c>
      <c r="J30" s="64">
        <v>0.31</v>
      </c>
      <c r="K30" s="64">
        <v>138.22</v>
      </c>
      <c r="L30" s="64">
        <v>22.9</v>
      </c>
      <c r="M30" s="64">
        <v>102.75</v>
      </c>
      <c r="N30" s="64">
        <v>26.1</v>
      </c>
      <c r="O30" s="64">
        <v>0</v>
      </c>
      <c r="P30" s="64">
        <v>0.52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5" t="s">
        <v>3054</v>
      </c>
      <c r="B31" s="64">
        <v>10.32</v>
      </c>
      <c r="C31" s="64">
        <v>7.73</v>
      </c>
      <c r="D31" s="64">
        <v>10.93</v>
      </c>
      <c r="E31" s="64">
        <v>4.59</v>
      </c>
      <c r="F31" s="64">
        <v>3.82</v>
      </c>
      <c r="G31" s="64">
        <v>31.37</v>
      </c>
      <c r="H31" s="64">
        <v>13.33</v>
      </c>
      <c r="I31" s="64">
        <v>2.09</v>
      </c>
      <c r="J31" s="64">
        <v>0.34</v>
      </c>
      <c r="K31" s="64">
        <v>297.12</v>
      </c>
      <c r="L31" s="64">
        <v>22.87</v>
      </c>
      <c r="M31" s="64">
        <v>102.75</v>
      </c>
      <c r="N31" s="64">
        <v>26.1</v>
      </c>
      <c r="O31" s="64">
        <v>0</v>
      </c>
      <c r="P31" s="64">
        <v>0.54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5" t="s">
        <v>3055</v>
      </c>
      <c r="B32" s="64">
        <v>11.87</v>
      </c>
      <c r="C32" s="64">
        <v>8.84</v>
      </c>
      <c r="D32" s="64">
        <v>12.76</v>
      </c>
      <c r="E32" s="64">
        <v>4.99</v>
      </c>
      <c r="F32" s="64">
        <v>3.82</v>
      </c>
      <c r="G32" s="64">
        <v>31.37</v>
      </c>
      <c r="H32" s="64">
        <v>13.33</v>
      </c>
      <c r="I32" s="64">
        <v>2.37</v>
      </c>
      <c r="J32" s="64">
        <v>0.51</v>
      </c>
      <c r="K32" s="64">
        <v>343.48</v>
      </c>
      <c r="L32" s="64">
        <v>22.82</v>
      </c>
      <c r="M32" s="64">
        <v>102.78</v>
      </c>
      <c r="N32" s="64">
        <v>26.6</v>
      </c>
      <c r="O32" s="64">
        <v>0</v>
      </c>
      <c r="P32" s="64">
        <v>0.57999999999999996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3056</v>
      </c>
      <c r="B33" s="64">
        <v>14.63</v>
      </c>
      <c r="C33" s="64">
        <v>9.14</v>
      </c>
      <c r="D33" s="64">
        <v>15.13</v>
      </c>
      <c r="E33" s="64">
        <v>5.4</v>
      </c>
      <c r="F33" s="64">
        <v>3.69</v>
      </c>
      <c r="G33" s="64">
        <v>31.37</v>
      </c>
      <c r="H33" s="64">
        <v>13.33</v>
      </c>
      <c r="I33" s="64">
        <v>4</v>
      </c>
      <c r="J33" s="64">
        <v>0.4</v>
      </c>
      <c r="K33" s="64">
        <v>211.98</v>
      </c>
      <c r="L33" s="64">
        <v>22.94</v>
      </c>
      <c r="M33" s="64">
        <v>102.78</v>
      </c>
      <c r="N33" s="64">
        <v>29.1</v>
      </c>
      <c r="O33" s="64">
        <v>0</v>
      </c>
      <c r="P33" s="64">
        <v>0.62</v>
      </c>
      <c r="Q33" s="64">
        <v>9.61</v>
      </c>
      <c r="R33" s="198"/>
      <c r="S33" s="198"/>
      <c r="T33" s="198"/>
      <c r="U33" s="198"/>
    </row>
    <row r="34" spans="1:21" s="12" customFormat="1" x14ac:dyDescent="0.25">
      <c r="A34" s="215" t="s">
        <v>3057</v>
      </c>
      <c r="B34" s="64">
        <v>17.59</v>
      </c>
      <c r="C34" s="64">
        <v>9.01</v>
      </c>
      <c r="D34" s="64">
        <v>17.440000000000001</v>
      </c>
      <c r="E34" s="64">
        <v>5.68</v>
      </c>
      <c r="F34" s="64">
        <v>3.6</v>
      </c>
      <c r="G34" s="64">
        <v>36.979999999999997</v>
      </c>
      <c r="H34" s="64">
        <v>17.989999999999998</v>
      </c>
      <c r="I34" s="64">
        <v>5.24</v>
      </c>
      <c r="J34" s="64">
        <v>0.24</v>
      </c>
      <c r="K34" s="64">
        <v>274.32</v>
      </c>
      <c r="L34" s="64">
        <v>23.39</v>
      </c>
      <c r="M34" s="64">
        <v>102.73</v>
      </c>
      <c r="N34" s="64">
        <v>38.799999999999997</v>
      </c>
      <c r="O34" s="64">
        <v>0</v>
      </c>
      <c r="P34" s="64">
        <v>0.6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3058</v>
      </c>
      <c r="B35" s="64">
        <v>21.18</v>
      </c>
      <c r="C35" s="64">
        <v>9.5500000000000007</v>
      </c>
      <c r="D35" s="64">
        <v>20.59</v>
      </c>
      <c r="E35" s="64">
        <v>5.64</v>
      </c>
      <c r="F35" s="64">
        <v>3.34</v>
      </c>
      <c r="G35" s="64">
        <v>40.39</v>
      </c>
      <c r="H35" s="64">
        <v>19.010000000000002</v>
      </c>
      <c r="I35" s="64">
        <v>5.34</v>
      </c>
      <c r="J35" s="64">
        <v>0.43</v>
      </c>
      <c r="K35" s="64">
        <v>153.75</v>
      </c>
      <c r="L35" s="64">
        <v>23.64</v>
      </c>
      <c r="M35" s="64">
        <v>102.73</v>
      </c>
      <c r="N35" s="64">
        <v>54</v>
      </c>
      <c r="O35" s="64">
        <v>0</v>
      </c>
      <c r="P35" s="64">
        <v>0.61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5" t="s">
        <v>3059</v>
      </c>
      <c r="B36" s="64">
        <v>23.03</v>
      </c>
      <c r="C36" s="64">
        <v>9.51</v>
      </c>
      <c r="D36" s="64">
        <v>22.07</v>
      </c>
      <c r="E36" s="64">
        <v>5.82</v>
      </c>
      <c r="F36" s="64">
        <v>4.58</v>
      </c>
      <c r="G36" s="64">
        <v>40.39</v>
      </c>
      <c r="H36" s="64">
        <v>19.010000000000002</v>
      </c>
      <c r="I36" s="64">
        <v>5.33</v>
      </c>
      <c r="J36" s="64">
        <v>0.81</v>
      </c>
      <c r="K36" s="64">
        <v>164.53</v>
      </c>
      <c r="L36" s="64">
        <v>23.91</v>
      </c>
      <c r="M36" s="64">
        <v>102.72</v>
      </c>
      <c r="N36" s="64">
        <v>73.599999999999994</v>
      </c>
      <c r="O36" s="64">
        <v>0</v>
      </c>
      <c r="P36" s="64">
        <v>0.6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3060</v>
      </c>
      <c r="B37" s="64">
        <v>24.41</v>
      </c>
      <c r="C37" s="64">
        <v>9.42</v>
      </c>
      <c r="D37" s="64">
        <v>23.12</v>
      </c>
      <c r="E37" s="64">
        <v>5.75</v>
      </c>
      <c r="F37" s="64">
        <v>4.99</v>
      </c>
      <c r="G37" s="64">
        <v>40.39</v>
      </c>
      <c r="H37" s="64">
        <v>19.010000000000002</v>
      </c>
      <c r="I37" s="64">
        <v>4.5599999999999996</v>
      </c>
      <c r="J37" s="64">
        <v>0.86</v>
      </c>
      <c r="K37" s="64">
        <v>145.75</v>
      </c>
      <c r="L37" s="64">
        <v>24.29</v>
      </c>
      <c r="M37" s="64">
        <v>102.21</v>
      </c>
      <c r="N37" s="64">
        <v>105.9</v>
      </c>
      <c r="O37" s="64">
        <v>0</v>
      </c>
      <c r="P37" s="64">
        <v>0.57999999999999996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3061</v>
      </c>
      <c r="B38" s="64">
        <v>24.51</v>
      </c>
      <c r="C38" s="64">
        <v>9.67</v>
      </c>
      <c r="D38" s="64">
        <v>23.33</v>
      </c>
      <c r="E38" s="64">
        <v>6.03</v>
      </c>
      <c r="F38" s="64">
        <v>3.66</v>
      </c>
      <c r="G38" s="64">
        <v>45.76</v>
      </c>
      <c r="H38" s="64">
        <v>21.29</v>
      </c>
      <c r="I38" s="64">
        <v>4.49</v>
      </c>
      <c r="J38" s="64">
        <v>0.6</v>
      </c>
      <c r="K38" s="64">
        <v>120.36</v>
      </c>
      <c r="L38" s="64">
        <v>25</v>
      </c>
      <c r="M38" s="64">
        <v>98.34</v>
      </c>
      <c r="N38" s="64">
        <v>137.30000000000001</v>
      </c>
      <c r="O38" s="64">
        <v>0</v>
      </c>
      <c r="P38" s="64">
        <v>0.6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5" t="s">
        <v>3062</v>
      </c>
      <c r="B39" s="64">
        <v>23.91</v>
      </c>
      <c r="C39" s="64">
        <v>9.8000000000000007</v>
      </c>
      <c r="D39" s="64">
        <v>22.91</v>
      </c>
      <c r="E39" s="64">
        <v>6.54</v>
      </c>
      <c r="F39" s="64">
        <v>5.59</v>
      </c>
      <c r="G39" s="64">
        <v>49.02</v>
      </c>
      <c r="H39" s="64">
        <v>22.17</v>
      </c>
      <c r="I39" s="64">
        <v>5.13</v>
      </c>
      <c r="J39" s="64">
        <v>0.71</v>
      </c>
      <c r="K39" s="64">
        <v>126.58</v>
      </c>
      <c r="L39" s="64">
        <v>25.79</v>
      </c>
      <c r="M39" s="64">
        <v>93.73</v>
      </c>
      <c r="N39" s="64">
        <v>171.3</v>
      </c>
      <c r="O39" s="64">
        <v>0</v>
      </c>
      <c r="P39" s="64">
        <v>0.6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3063</v>
      </c>
      <c r="B40" s="64">
        <v>23.28</v>
      </c>
      <c r="C40" s="64">
        <v>9.85</v>
      </c>
      <c r="D40" s="64">
        <v>22.44</v>
      </c>
      <c r="E40" s="64">
        <v>6.01</v>
      </c>
      <c r="F40" s="64">
        <v>3.35</v>
      </c>
      <c r="G40" s="64">
        <v>49.02</v>
      </c>
      <c r="H40" s="64">
        <v>22.17</v>
      </c>
      <c r="I40" s="64">
        <v>5.09</v>
      </c>
      <c r="J40" s="64">
        <v>0.54</v>
      </c>
      <c r="K40" s="64">
        <v>128.93</v>
      </c>
      <c r="L40" s="64">
        <v>26.55</v>
      </c>
      <c r="M40" s="64">
        <v>90.14</v>
      </c>
      <c r="N40" s="64">
        <v>210.5</v>
      </c>
      <c r="O40" s="64">
        <v>0</v>
      </c>
      <c r="P40" s="64">
        <v>0.59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5" t="s">
        <v>3064</v>
      </c>
      <c r="B41" s="64">
        <v>22.49</v>
      </c>
      <c r="C41" s="64">
        <v>9.56</v>
      </c>
      <c r="D41" s="64">
        <v>21.65</v>
      </c>
      <c r="E41" s="64">
        <v>5.95</v>
      </c>
      <c r="F41" s="64">
        <v>4.03</v>
      </c>
      <c r="G41" s="64">
        <v>49.02</v>
      </c>
      <c r="H41" s="64">
        <v>22.17</v>
      </c>
      <c r="I41" s="64">
        <v>5.0999999999999996</v>
      </c>
      <c r="J41" s="64">
        <v>0.65</v>
      </c>
      <c r="K41" s="64">
        <v>106</v>
      </c>
      <c r="L41" s="64">
        <v>26.89</v>
      </c>
      <c r="M41" s="64">
        <v>87.31</v>
      </c>
      <c r="N41" s="64">
        <v>264.60000000000002</v>
      </c>
      <c r="O41" s="64">
        <v>0</v>
      </c>
      <c r="P41" s="64">
        <v>0.55000000000000004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5" t="s">
        <v>3065</v>
      </c>
      <c r="B42" s="64">
        <v>21.7</v>
      </c>
      <c r="C42" s="64">
        <v>9.3800000000000008</v>
      </c>
      <c r="D42" s="64">
        <v>20.92</v>
      </c>
      <c r="E42" s="64">
        <v>5.82</v>
      </c>
      <c r="F42" s="64">
        <v>3.91</v>
      </c>
      <c r="G42" s="64">
        <v>49.28</v>
      </c>
      <c r="H42" s="64">
        <v>24.06</v>
      </c>
      <c r="I42" s="64">
        <v>4.6900000000000004</v>
      </c>
      <c r="J42" s="64">
        <v>0.9</v>
      </c>
      <c r="K42" s="64">
        <v>125.7</v>
      </c>
      <c r="L42" s="64">
        <v>27.77</v>
      </c>
      <c r="M42" s="64">
        <v>82.12</v>
      </c>
      <c r="N42" s="64">
        <v>321</v>
      </c>
      <c r="O42" s="64">
        <v>0</v>
      </c>
      <c r="P42" s="64">
        <v>0.47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5" t="s">
        <v>3066</v>
      </c>
      <c r="B43" s="64">
        <v>20.6</v>
      </c>
      <c r="C43" s="64">
        <v>9.27</v>
      </c>
      <c r="D43" s="64">
        <v>19.989999999999998</v>
      </c>
      <c r="E43" s="64">
        <v>5.94</v>
      </c>
      <c r="F43" s="64">
        <v>4.0999999999999996</v>
      </c>
      <c r="G43" s="64">
        <v>49.44</v>
      </c>
      <c r="H43" s="64">
        <v>24.48</v>
      </c>
      <c r="I43" s="64">
        <v>3.37</v>
      </c>
      <c r="J43" s="64">
        <v>0.73</v>
      </c>
      <c r="K43" s="64">
        <v>118.3</v>
      </c>
      <c r="L43" s="64">
        <v>28.18</v>
      </c>
      <c r="M43" s="64">
        <v>80.92</v>
      </c>
      <c r="N43" s="64">
        <v>350</v>
      </c>
      <c r="O43" s="64">
        <v>0</v>
      </c>
      <c r="P43" s="64">
        <v>0.48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5" t="s">
        <v>3067</v>
      </c>
      <c r="B44" s="64">
        <v>19.39</v>
      </c>
      <c r="C44" s="64">
        <v>9.26</v>
      </c>
      <c r="D44" s="64">
        <v>19</v>
      </c>
      <c r="E44" s="64">
        <v>5.48</v>
      </c>
      <c r="F44" s="64">
        <v>3.81</v>
      </c>
      <c r="G44" s="64">
        <v>49.44</v>
      </c>
      <c r="H44" s="64">
        <v>24.48</v>
      </c>
      <c r="I44" s="64">
        <v>2.81</v>
      </c>
      <c r="J44" s="64">
        <v>0.2</v>
      </c>
      <c r="K44" s="64">
        <v>14.54</v>
      </c>
      <c r="L44" s="64">
        <v>29.1</v>
      </c>
      <c r="M44" s="64">
        <v>78.88</v>
      </c>
      <c r="N44" s="64">
        <v>390.9</v>
      </c>
      <c r="O44" s="64">
        <v>0</v>
      </c>
      <c r="P44" s="64">
        <v>0.53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5" t="s">
        <v>3068</v>
      </c>
      <c r="B45" s="64">
        <v>18.37</v>
      </c>
      <c r="C45" s="64">
        <v>9.61</v>
      </c>
      <c r="D45" s="64">
        <v>18.37</v>
      </c>
      <c r="E45" s="64">
        <v>5.62</v>
      </c>
      <c r="F45" s="64">
        <v>3.92</v>
      </c>
      <c r="G45" s="64">
        <v>49.44</v>
      </c>
      <c r="H45" s="64">
        <v>24.48</v>
      </c>
      <c r="I45" s="64">
        <v>3.14</v>
      </c>
      <c r="J45" s="64">
        <v>0.45</v>
      </c>
      <c r="K45" s="64">
        <v>126.36</v>
      </c>
      <c r="L45" s="64">
        <v>29.39</v>
      </c>
      <c r="M45" s="64">
        <v>75.39</v>
      </c>
      <c r="N45" s="64">
        <v>418</v>
      </c>
      <c r="O45" s="64">
        <v>0</v>
      </c>
      <c r="P45" s="64">
        <v>0.55000000000000004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5" t="s">
        <v>3069</v>
      </c>
      <c r="B46" s="64">
        <v>17.21</v>
      </c>
      <c r="C46" s="64">
        <v>9.74</v>
      </c>
      <c r="D46" s="64">
        <v>17.52</v>
      </c>
      <c r="E46" s="64">
        <v>5.39</v>
      </c>
      <c r="F46" s="64">
        <v>4.37</v>
      </c>
      <c r="G46" s="64">
        <v>49.31</v>
      </c>
      <c r="H46" s="64">
        <v>22.47</v>
      </c>
      <c r="I46" s="64">
        <v>3.36</v>
      </c>
      <c r="J46" s="64">
        <v>0.3</v>
      </c>
      <c r="K46" s="64">
        <v>128.83000000000001</v>
      </c>
      <c r="L46" s="64">
        <v>29.59</v>
      </c>
      <c r="M46" s="64">
        <v>75.239999999999995</v>
      </c>
      <c r="N46" s="64">
        <v>420.8</v>
      </c>
      <c r="O46" s="64">
        <v>0</v>
      </c>
      <c r="P46" s="64">
        <v>0.5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5" t="s">
        <v>3070</v>
      </c>
      <c r="B47" s="64">
        <v>15.93</v>
      </c>
      <c r="C47" s="64">
        <v>10.02</v>
      </c>
      <c r="D47" s="64">
        <v>16.63</v>
      </c>
      <c r="E47" s="64">
        <v>5.52</v>
      </c>
      <c r="F47" s="64">
        <v>3.93</v>
      </c>
      <c r="G47" s="64">
        <v>49.23</v>
      </c>
      <c r="H47" s="64">
        <v>22.03</v>
      </c>
      <c r="I47" s="64">
        <v>3.41</v>
      </c>
      <c r="J47" s="64">
        <v>0.38</v>
      </c>
      <c r="K47" s="64">
        <v>96.35</v>
      </c>
      <c r="L47" s="64">
        <v>30.05</v>
      </c>
      <c r="M47" s="64">
        <v>72.94</v>
      </c>
      <c r="N47" s="64">
        <v>472.3</v>
      </c>
      <c r="O47" s="64">
        <v>0</v>
      </c>
      <c r="P47" s="64">
        <v>0.54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5" t="s">
        <v>3071</v>
      </c>
      <c r="B48" s="64">
        <v>14.63</v>
      </c>
      <c r="C48" s="64">
        <v>10.55</v>
      </c>
      <c r="D48" s="64">
        <v>15.87</v>
      </c>
      <c r="E48" s="64">
        <v>5.5</v>
      </c>
      <c r="F48" s="64">
        <v>4.59</v>
      </c>
      <c r="G48" s="64">
        <v>49.23</v>
      </c>
      <c r="H48" s="64">
        <v>22.03</v>
      </c>
      <c r="I48" s="64">
        <v>3.68</v>
      </c>
      <c r="J48" s="64">
        <v>0.69</v>
      </c>
      <c r="K48" s="64">
        <v>99.66</v>
      </c>
      <c r="L48" s="64">
        <v>29.65</v>
      </c>
      <c r="M48" s="64">
        <v>74.680000000000007</v>
      </c>
      <c r="N48" s="64">
        <v>505.6</v>
      </c>
      <c r="O48" s="64">
        <v>0</v>
      </c>
      <c r="P48" s="64">
        <v>0.56000000000000005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5" t="s">
        <v>3072</v>
      </c>
      <c r="B49" s="64">
        <v>13.16</v>
      </c>
      <c r="C49" s="64">
        <v>11.71</v>
      </c>
      <c r="D49" s="64">
        <v>15.3</v>
      </c>
      <c r="E49" s="64">
        <v>5.52</v>
      </c>
      <c r="F49" s="64">
        <v>4.16</v>
      </c>
      <c r="G49" s="64">
        <v>49.23</v>
      </c>
      <c r="H49" s="64">
        <v>22.03</v>
      </c>
      <c r="I49" s="64">
        <v>4.17</v>
      </c>
      <c r="J49" s="64">
        <v>0.24</v>
      </c>
      <c r="K49" s="64">
        <v>2.67</v>
      </c>
      <c r="L49" s="64">
        <v>31.36</v>
      </c>
      <c r="M49" s="64">
        <v>67.13</v>
      </c>
      <c r="N49" s="64">
        <v>449.7</v>
      </c>
      <c r="O49" s="64">
        <v>0</v>
      </c>
      <c r="P49" s="64">
        <v>0.59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3073</v>
      </c>
      <c r="B50" s="64">
        <v>11.72</v>
      </c>
      <c r="C50" s="64">
        <v>11.75</v>
      </c>
      <c r="D50" s="64">
        <v>14.16</v>
      </c>
      <c r="E50" s="64">
        <v>5.34</v>
      </c>
      <c r="F50" s="64">
        <v>4.25</v>
      </c>
      <c r="G50" s="64">
        <v>46.2</v>
      </c>
      <c r="H50" s="64">
        <v>23.34</v>
      </c>
      <c r="I50" s="64">
        <v>5.95</v>
      </c>
      <c r="J50" s="64">
        <v>0.8</v>
      </c>
      <c r="K50" s="64">
        <v>103.79</v>
      </c>
      <c r="L50" s="64">
        <v>30.23</v>
      </c>
      <c r="M50" s="64">
        <v>69.66</v>
      </c>
      <c r="N50" s="64">
        <v>491</v>
      </c>
      <c r="O50" s="64">
        <v>0</v>
      </c>
      <c r="P50" s="64">
        <v>0.56000000000000005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5" t="s">
        <v>3074</v>
      </c>
      <c r="B51" s="64">
        <v>10.16</v>
      </c>
      <c r="C51" s="64">
        <v>13.16</v>
      </c>
      <c r="D51" s="64">
        <v>13.64</v>
      </c>
      <c r="E51" s="64">
        <v>5.37</v>
      </c>
      <c r="F51" s="64">
        <v>3.75</v>
      </c>
      <c r="G51" s="64">
        <v>44.26</v>
      </c>
      <c r="H51" s="64">
        <v>23.62</v>
      </c>
      <c r="I51" s="64">
        <v>5.73</v>
      </c>
      <c r="J51" s="64">
        <v>0.4</v>
      </c>
      <c r="K51" s="64">
        <v>350.52</v>
      </c>
      <c r="L51" s="64">
        <v>32.03</v>
      </c>
      <c r="M51" s="64">
        <v>62.23</v>
      </c>
      <c r="N51" s="64">
        <v>301.89999999999998</v>
      </c>
      <c r="O51" s="64">
        <v>0</v>
      </c>
      <c r="P51" s="64">
        <v>0.62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5" t="s">
        <v>3075</v>
      </c>
      <c r="B52" s="64">
        <v>8.77</v>
      </c>
      <c r="C52" s="64">
        <v>13.05</v>
      </c>
      <c r="D52" s="64">
        <v>12.47</v>
      </c>
      <c r="E52" s="64">
        <v>5.91</v>
      </c>
      <c r="F52" s="64">
        <v>4.16</v>
      </c>
      <c r="G52" s="64">
        <v>44.26</v>
      </c>
      <c r="H52" s="64">
        <v>23.62</v>
      </c>
      <c r="I52" s="64">
        <v>6.33</v>
      </c>
      <c r="J52" s="64">
        <v>1.35</v>
      </c>
      <c r="K52" s="64">
        <v>119.75</v>
      </c>
      <c r="L52" s="64">
        <v>29.34</v>
      </c>
      <c r="M52" s="64">
        <v>71.319999999999993</v>
      </c>
      <c r="N52" s="64">
        <v>340.3</v>
      </c>
      <c r="O52" s="64">
        <v>0</v>
      </c>
      <c r="P52" s="64">
        <v>0.57999999999999996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5" t="s">
        <v>3076</v>
      </c>
      <c r="B53" s="64">
        <v>7.2</v>
      </c>
      <c r="C53" s="64">
        <v>13.91</v>
      </c>
      <c r="D53" s="64">
        <v>11.66</v>
      </c>
      <c r="E53" s="64">
        <v>5.91</v>
      </c>
      <c r="F53" s="64">
        <v>4.66</v>
      </c>
      <c r="G53" s="64">
        <v>44.26</v>
      </c>
      <c r="H53" s="64">
        <v>23.62</v>
      </c>
      <c r="I53" s="64">
        <v>6.13</v>
      </c>
      <c r="J53" s="64">
        <v>1.42</v>
      </c>
      <c r="K53" s="64">
        <v>116.71</v>
      </c>
      <c r="L53" s="64">
        <v>29.58</v>
      </c>
      <c r="M53" s="64">
        <v>70.28</v>
      </c>
      <c r="N53" s="64">
        <v>512.70000000000005</v>
      </c>
      <c r="O53" s="64">
        <v>0</v>
      </c>
      <c r="P53" s="64">
        <v>0.6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5" t="s">
        <v>3077</v>
      </c>
      <c r="B54" s="64">
        <v>5.7</v>
      </c>
      <c r="C54" s="64">
        <v>13.58</v>
      </c>
      <c r="D54" s="64">
        <v>10.29</v>
      </c>
      <c r="E54" s="64">
        <v>5.96</v>
      </c>
      <c r="F54" s="64">
        <v>4.1399999999999997</v>
      </c>
      <c r="G54" s="64">
        <v>51.89</v>
      </c>
      <c r="H54" s="64">
        <v>25.6</v>
      </c>
      <c r="I54" s="64">
        <v>5.92</v>
      </c>
      <c r="J54" s="64">
        <v>1.58</v>
      </c>
      <c r="K54" s="64">
        <v>118.82</v>
      </c>
      <c r="L54" s="64">
        <v>29.82</v>
      </c>
      <c r="M54" s="64">
        <v>70.11</v>
      </c>
      <c r="N54" s="64">
        <v>556.4</v>
      </c>
      <c r="O54" s="64">
        <v>0</v>
      </c>
      <c r="P54" s="64">
        <v>0.6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5" t="s">
        <v>3078</v>
      </c>
      <c r="B55" s="64">
        <v>4.55</v>
      </c>
      <c r="C55" s="64">
        <v>14.18</v>
      </c>
      <c r="D55" s="64">
        <v>9.68</v>
      </c>
      <c r="E55" s="64">
        <v>5.81</v>
      </c>
      <c r="F55" s="64">
        <v>5.29</v>
      </c>
      <c r="G55" s="64">
        <v>56.74</v>
      </c>
      <c r="H55" s="64">
        <v>26.35</v>
      </c>
      <c r="I55" s="64">
        <v>5.97</v>
      </c>
      <c r="J55" s="64">
        <v>0.6</v>
      </c>
      <c r="K55" s="64">
        <v>6.8</v>
      </c>
      <c r="L55" s="64">
        <v>31.63</v>
      </c>
      <c r="M55" s="64">
        <v>61.99</v>
      </c>
      <c r="N55" s="64">
        <v>466</v>
      </c>
      <c r="O55" s="64">
        <v>0</v>
      </c>
      <c r="P55" s="64">
        <v>0.61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5" t="s">
        <v>3079</v>
      </c>
      <c r="B56" s="64">
        <v>3.66</v>
      </c>
      <c r="C56" s="64">
        <v>14.11</v>
      </c>
      <c r="D56" s="64">
        <v>8.93</v>
      </c>
      <c r="E56" s="64">
        <v>4.95</v>
      </c>
      <c r="F56" s="64">
        <v>3.77</v>
      </c>
      <c r="G56" s="64">
        <v>56.74</v>
      </c>
      <c r="H56" s="64">
        <v>26.35</v>
      </c>
      <c r="I56" s="64">
        <v>5.82</v>
      </c>
      <c r="J56" s="64">
        <v>1.51</v>
      </c>
      <c r="K56" s="64">
        <v>110.27</v>
      </c>
      <c r="L56" s="64">
        <v>30.57</v>
      </c>
      <c r="M56" s="64">
        <v>65.099999999999994</v>
      </c>
      <c r="N56" s="64">
        <v>544.9</v>
      </c>
      <c r="O56" s="64">
        <v>0</v>
      </c>
      <c r="P56" s="64">
        <v>0.57999999999999996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5" t="s">
        <v>3080</v>
      </c>
      <c r="B57" s="64">
        <v>2.7</v>
      </c>
      <c r="C57" s="64">
        <v>13.25</v>
      </c>
      <c r="D57" s="64">
        <v>7.71</v>
      </c>
      <c r="E57" s="64">
        <v>5.8</v>
      </c>
      <c r="F57" s="64">
        <v>5.01</v>
      </c>
      <c r="G57" s="64">
        <v>56.74</v>
      </c>
      <c r="H57" s="64">
        <v>26.35</v>
      </c>
      <c r="I57" s="64">
        <v>5.71</v>
      </c>
      <c r="J57" s="64">
        <v>0.31</v>
      </c>
      <c r="K57" s="64">
        <v>309.12</v>
      </c>
      <c r="L57" s="64">
        <v>31.2</v>
      </c>
      <c r="M57" s="64">
        <v>61.47</v>
      </c>
      <c r="N57" s="64">
        <v>430.7</v>
      </c>
      <c r="O57" s="64">
        <v>0</v>
      </c>
      <c r="P57" s="64">
        <v>0.65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3081</v>
      </c>
      <c r="B58" s="64">
        <v>2.2799999999999998</v>
      </c>
      <c r="C58" s="64">
        <v>13.16</v>
      </c>
      <c r="D58" s="64">
        <v>7.33</v>
      </c>
      <c r="E58" s="64">
        <v>5.64</v>
      </c>
      <c r="F58" s="64">
        <v>5.45</v>
      </c>
      <c r="G58" s="64">
        <v>61.59</v>
      </c>
      <c r="H58" s="64">
        <v>27.74</v>
      </c>
      <c r="I58" s="64">
        <v>5.88</v>
      </c>
      <c r="J58" s="64">
        <v>1.1200000000000001</v>
      </c>
      <c r="K58" s="64">
        <v>119.21</v>
      </c>
      <c r="L58" s="64">
        <v>31.09</v>
      </c>
      <c r="M58" s="64">
        <v>62.39</v>
      </c>
      <c r="N58" s="64">
        <v>466.5</v>
      </c>
      <c r="O58" s="64">
        <v>0</v>
      </c>
      <c r="P58" s="64">
        <v>0.6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5" t="s">
        <v>3082</v>
      </c>
      <c r="B59" s="64">
        <v>2.0699999999999998</v>
      </c>
      <c r="C59" s="64">
        <v>12.78</v>
      </c>
      <c r="D59" s="64">
        <v>6.96</v>
      </c>
      <c r="E59" s="64">
        <v>5.48</v>
      </c>
      <c r="F59" s="64">
        <v>5.46</v>
      </c>
      <c r="G59" s="64">
        <v>64.540000000000006</v>
      </c>
      <c r="H59" s="64">
        <v>28.05</v>
      </c>
      <c r="I59" s="64">
        <v>3.87</v>
      </c>
      <c r="J59" s="64">
        <v>0.36</v>
      </c>
      <c r="K59" s="64">
        <v>56.5</v>
      </c>
      <c r="L59" s="64">
        <v>31.23</v>
      </c>
      <c r="M59" s="64">
        <v>62.09</v>
      </c>
      <c r="N59" s="64">
        <v>479.7</v>
      </c>
      <c r="O59" s="64">
        <v>0</v>
      </c>
      <c r="P59" s="64">
        <v>0.66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5" t="s">
        <v>3083</v>
      </c>
      <c r="B60" s="64">
        <v>2.0499999999999998</v>
      </c>
      <c r="C60" s="64">
        <v>12.88</v>
      </c>
      <c r="D60" s="64">
        <v>7</v>
      </c>
      <c r="E60" s="64">
        <v>5.24</v>
      </c>
      <c r="F60" s="64">
        <v>5.41</v>
      </c>
      <c r="G60" s="64">
        <v>64.540000000000006</v>
      </c>
      <c r="H60" s="64">
        <v>28.05</v>
      </c>
      <c r="I60" s="64">
        <v>3.88</v>
      </c>
      <c r="J60" s="64">
        <v>0.7</v>
      </c>
      <c r="K60" s="64">
        <v>336.02</v>
      </c>
      <c r="L60" s="64">
        <v>32.06</v>
      </c>
      <c r="M60" s="64">
        <v>57.47</v>
      </c>
      <c r="N60" s="64">
        <v>243.6</v>
      </c>
      <c r="O60" s="64">
        <v>0</v>
      </c>
      <c r="P60" s="64">
        <v>0.63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5" t="s">
        <v>3084</v>
      </c>
      <c r="B61" s="64">
        <v>1.99</v>
      </c>
      <c r="C61" s="64">
        <v>12.9</v>
      </c>
      <c r="D61" s="64">
        <v>6.96</v>
      </c>
      <c r="E61" s="64">
        <v>5.37</v>
      </c>
      <c r="F61" s="64">
        <v>6</v>
      </c>
      <c r="G61" s="64">
        <v>64.540000000000006</v>
      </c>
      <c r="H61" s="64">
        <v>28.05</v>
      </c>
      <c r="I61" s="64">
        <v>4.5999999999999996</v>
      </c>
      <c r="J61" s="64">
        <v>0.76</v>
      </c>
      <c r="K61" s="64">
        <v>119.78</v>
      </c>
      <c r="L61" s="64">
        <v>31.07</v>
      </c>
      <c r="M61" s="64">
        <v>61.22</v>
      </c>
      <c r="N61" s="64">
        <v>398.4</v>
      </c>
      <c r="O61" s="64">
        <v>0</v>
      </c>
      <c r="P61" s="64">
        <v>0.56000000000000005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3085</v>
      </c>
      <c r="B62" s="64">
        <v>1.83</v>
      </c>
      <c r="C62" s="64">
        <v>12.55</v>
      </c>
      <c r="D62" s="64">
        <v>6.65</v>
      </c>
      <c r="E62" s="64">
        <v>5.14</v>
      </c>
      <c r="F62" s="64">
        <v>5.34</v>
      </c>
      <c r="G62" s="64">
        <v>64.59</v>
      </c>
      <c r="H62" s="64">
        <v>28.7</v>
      </c>
      <c r="I62" s="64">
        <v>3.17</v>
      </c>
      <c r="J62" s="64">
        <v>0.53</v>
      </c>
      <c r="K62" s="64">
        <v>354.23</v>
      </c>
      <c r="L62" s="64">
        <v>31.06</v>
      </c>
      <c r="M62" s="64">
        <v>63.37</v>
      </c>
      <c r="N62" s="64">
        <v>232.7</v>
      </c>
      <c r="O62" s="64">
        <v>0</v>
      </c>
      <c r="P62" s="64">
        <v>0.65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3086</v>
      </c>
      <c r="B63" s="64">
        <v>1.98</v>
      </c>
      <c r="C63" s="64">
        <v>12.51</v>
      </c>
      <c r="D63" s="64">
        <v>6.74</v>
      </c>
      <c r="E63" s="64">
        <v>5.77</v>
      </c>
      <c r="F63" s="64">
        <v>5.25</v>
      </c>
      <c r="G63" s="64">
        <v>64.63</v>
      </c>
      <c r="H63" s="64">
        <v>28.84</v>
      </c>
      <c r="I63" s="64">
        <v>2.89</v>
      </c>
      <c r="J63" s="64">
        <v>0.84</v>
      </c>
      <c r="K63" s="64">
        <v>103.63</v>
      </c>
      <c r="L63" s="64">
        <v>30.95</v>
      </c>
      <c r="M63" s="64">
        <v>63.66</v>
      </c>
      <c r="N63" s="64">
        <v>240.7</v>
      </c>
      <c r="O63" s="64">
        <v>0</v>
      </c>
      <c r="P63" s="64">
        <v>0.56000000000000005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3087</v>
      </c>
      <c r="B64" s="64">
        <v>1.87</v>
      </c>
      <c r="C64" s="64">
        <v>12.22</v>
      </c>
      <c r="D64" s="64">
        <v>6.5</v>
      </c>
      <c r="E64" s="64">
        <v>5.49</v>
      </c>
      <c r="F64" s="64">
        <v>5.04</v>
      </c>
      <c r="G64" s="64">
        <v>64.63</v>
      </c>
      <c r="H64" s="64">
        <v>28.84</v>
      </c>
      <c r="I64" s="64">
        <v>2.99</v>
      </c>
      <c r="J64" s="64">
        <v>0.51</v>
      </c>
      <c r="K64" s="64">
        <v>92.3</v>
      </c>
      <c r="L64" s="64">
        <v>30.56</v>
      </c>
      <c r="M64" s="64">
        <v>62.64</v>
      </c>
      <c r="N64" s="64">
        <v>259.60000000000002</v>
      </c>
      <c r="O64" s="64">
        <v>0</v>
      </c>
      <c r="P64" s="64">
        <v>0.54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3088</v>
      </c>
      <c r="B65" s="64">
        <v>1.64</v>
      </c>
      <c r="C65" s="64">
        <v>12.55</v>
      </c>
      <c r="D65" s="64">
        <v>6.5</v>
      </c>
      <c r="E65" s="64">
        <v>5.38</v>
      </c>
      <c r="F65" s="64">
        <v>5.96</v>
      </c>
      <c r="G65" s="64">
        <v>64.63</v>
      </c>
      <c r="H65" s="64">
        <v>28.84</v>
      </c>
      <c r="I65" s="64">
        <v>2.52</v>
      </c>
      <c r="J65" s="64">
        <v>0.71</v>
      </c>
      <c r="K65" s="64">
        <v>345.63</v>
      </c>
      <c r="L65" s="64">
        <v>31.1</v>
      </c>
      <c r="M65" s="64">
        <v>61.19</v>
      </c>
      <c r="N65" s="64">
        <v>238.4</v>
      </c>
      <c r="O65" s="64">
        <v>0</v>
      </c>
      <c r="P65" s="64">
        <v>0.62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5" t="s">
        <v>3089</v>
      </c>
      <c r="B66" s="64">
        <v>1.81</v>
      </c>
      <c r="C66" s="64">
        <v>12.93</v>
      </c>
      <c r="D66" s="64">
        <v>6.83</v>
      </c>
      <c r="E66" s="64">
        <v>5.51</v>
      </c>
      <c r="F66" s="64">
        <v>5.01</v>
      </c>
      <c r="G66" s="64">
        <v>64</v>
      </c>
      <c r="H66" s="64">
        <v>29.55</v>
      </c>
      <c r="I66" s="64">
        <v>3.44</v>
      </c>
      <c r="J66" s="64">
        <v>1.04</v>
      </c>
      <c r="K66" s="64">
        <v>338.76</v>
      </c>
      <c r="L66" s="64">
        <v>31.98</v>
      </c>
      <c r="M66" s="64">
        <v>57.92</v>
      </c>
      <c r="N66" s="64">
        <v>216.7</v>
      </c>
      <c r="O66" s="64">
        <v>0</v>
      </c>
      <c r="P66" s="64">
        <v>0.65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5" t="s">
        <v>3090</v>
      </c>
      <c r="B67" s="64">
        <v>2.0299999999999998</v>
      </c>
      <c r="C67" s="64">
        <v>13.71</v>
      </c>
      <c r="D67" s="64">
        <v>7.41</v>
      </c>
      <c r="E67" s="64">
        <v>5.77</v>
      </c>
      <c r="F67" s="64">
        <v>5.7</v>
      </c>
      <c r="G67" s="64">
        <v>63.6</v>
      </c>
      <c r="H67" s="64">
        <v>29.7</v>
      </c>
      <c r="I67" s="64">
        <v>4.78</v>
      </c>
      <c r="J67" s="64">
        <v>0.75</v>
      </c>
      <c r="K67" s="64">
        <v>115.69</v>
      </c>
      <c r="L67" s="64">
        <v>31.14</v>
      </c>
      <c r="M67" s="64">
        <v>60.08</v>
      </c>
      <c r="N67" s="64">
        <v>179.7</v>
      </c>
      <c r="O67" s="64">
        <v>0</v>
      </c>
      <c r="P67" s="64">
        <v>0.56999999999999995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5" t="s">
        <v>3091</v>
      </c>
      <c r="B68" s="64">
        <v>1.81</v>
      </c>
      <c r="C68" s="64">
        <v>13.24</v>
      </c>
      <c r="D68" s="64">
        <v>6.99</v>
      </c>
      <c r="E68" s="64">
        <v>5.33</v>
      </c>
      <c r="F68" s="64">
        <v>5.1100000000000003</v>
      </c>
      <c r="G68" s="64">
        <v>63.6</v>
      </c>
      <c r="H68" s="64">
        <v>29.7</v>
      </c>
      <c r="I68" s="64">
        <v>4.05</v>
      </c>
      <c r="J68" s="64">
        <v>0.35</v>
      </c>
      <c r="K68" s="64">
        <v>8.01</v>
      </c>
      <c r="L68" s="64">
        <v>30.48</v>
      </c>
      <c r="M68" s="64">
        <v>63.54</v>
      </c>
      <c r="N68" s="64">
        <v>94.5</v>
      </c>
      <c r="O68" s="64">
        <v>0</v>
      </c>
      <c r="P68" s="64">
        <v>0.65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5" t="s">
        <v>3092</v>
      </c>
      <c r="B69" s="64">
        <v>1.87</v>
      </c>
      <c r="C69" s="64">
        <v>14.07</v>
      </c>
      <c r="D69" s="64">
        <v>7.48</v>
      </c>
      <c r="E69" s="64">
        <v>5.24</v>
      </c>
      <c r="F69" s="64">
        <v>5.35</v>
      </c>
      <c r="G69" s="64">
        <v>63.6</v>
      </c>
      <c r="H69" s="64">
        <v>29.7</v>
      </c>
      <c r="I69" s="64">
        <v>2.4900000000000002</v>
      </c>
      <c r="J69" s="64">
        <v>0.74</v>
      </c>
      <c r="K69" s="64">
        <v>343.09</v>
      </c>
      <c r="L69" s="64">
        <v>29.95</v>
      </c>
      <c r="M69" s="64">
        <v>68.19</v>
      </c>
      <c r="N69" s="64">
        <v>84.1</v>
      </c>
      <c r="O69" s="64">
        <v>0</v>
      </c>
      <c r="P69" s="64">
        <v>0.69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5" t="s">
        <v>3093</v>
      </c>
      <c r="B70" s="64">
        <v>2.29</v>
      </c>
      <c r="C70" s="64">
        <v>14.85</v>
      </c>
      <c r="D70" s="64">
        <v>8.2200000000000006</v>
      </c>
      <c r="E70" s="64">
        <v>5.42</v>
      </c>
      <c r="F70" s="64">
        <v>5.19</v>
      </c>
      <c r="G70" s="64">
        <v>62.8</v>
      </c>
      <c r="H70" s="64">
        <v>32.58</v>
      </c>
      <c r="I70" s="64">
        <v>3.11</v>
      </c>
      <c r="J70" s="64">
        <v>0.28999999999999998</v>
      </c>
      <c r="K70" s="64">
        <v>357.72</v>
      </c>
      <c r="L70" s="64">
        <v>29.35</v>
      </c>
      <c r="M70" s="64">
        <v>71.94</v>
      </c>
      <c r="N70" s="64">
        <v>95.5</v>
      </c>
      <c r="O70" s="64">
        <v>0</v>
      </c>
      <c r="P70" s="64">
        <v>0.67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5" t="s">
        <v>3094</v>
      </c>
      <c r="B71" s="64">
        <v>2.4900000000000002</v>
      </c>
      <c r="C71" s="64">
        <v>16</v>
      </c>
      <c r="D71" s="64">
        <v>8.98</v>
      </c>
      <c r="E71" s="64">
        <v>5.31</v>
      </c>
      <c r="F71" s="64">
        <v>5.39</v>
      </c>
      <c r="G71" s="64">
        <v>62.32</v>
      </c>
      <c r="H71" s="64">
        <v>33.659999999999997</v>
      </c>
      <c r="I71" s="64">
        <v>3.11</v>
      </c>
      <c r="J71" s="64">
        <v>0.27</v>
      </c>
      <c r="K71" s="64">
        <v>356.75</v>
      </c>
      <c r="L71" s="64">
        <v>29.43</v>
      </c>
      <c r="M71" s="64">
        <v>71.11</v>
      </c>
      <c r="N71" s="64">
        <v>96.2</v>
      </c>
      <c r="O71" s="64">
        <v>0</v>
      </c>
      <c r="P71" s="64">
        <v>0.71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3095</v>
      </c>
      <c r="B72" s="64">
        <v>2.73</v>
      </c>
      <c r="C72" s="64">
        <v>16.29</v>
      </c>
      <c r="D72" s="64">
        <v>9.32</v>
      </c>
      <c r="E72" s="64">
        <v>5.22</v>
      </c>
      <c r="F72" s="64">
        <v>4.83</v>
      </c>
      <c r="G72" s="64">
        <v>62.32</v>
      </c>
      <c r="H72" s="64">
        <v>33.659999999999997</v>
      </c>
      <c r="I72" s="64">
        <v>2.94</v>
      </c>
      <c r="J72" s="64">
        <v>0.35</v>
      </c>
      <c r="K72" s="64">
        <v>358.12</v>
      </c>
      <c r="L72" s="64">
        <v>29.41</v>
      </c>
      <c r="M72" s="64">
        <v>67.5</v>
      </c>
      <c r="N72" s="64">
        <v>84.2</v>
      </c>
      <c r="O72" s="64">
        <v>0</v>
      </c>
      <c r="P72" s="64">
        <v>0.75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3096</v>
      </c>
      <c r="B73" s="64">
        <v>2.74</v>
      </c>
      <c r="C73" s="64">
        <v>16.600000000000001</v>
      </c>
      <c r="D73" s="64">
        <v>9.49</v>
      </c>
      <c r="E73" s="64">
        <v>5.31</v>
      </c>
      <c r="F73" s="64">
        <v>5.33</v>
      </c>
      <c r="G73" s="64">
        <v>62.32</v>
      </c>
      <c r="H73" s="64">
        <v>33.659999999999997</v>
      </c>
      <c r="I73" s="64">
        <v>2.75</v>
      </c>
      <c r="J73" s="64">
        <v>0.45</v>
      </c>
      <c r="K73" s="64">
        <v>89.08</v>
      </c>
      <c r="L73" s="64">
        <v>29.34</v>
      </c>
      <c r="M73" s="64">
        <v>68.44</v>
      </c>
      <c r="N73" s="64">
        <v>77.599999999999994</v>
      </c>
      <c r="O73" s="64">
        <v>0</v>
      </c>
      <c r="P73" s="64">
        <v>0.76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5" t="s">
        <v>3097</v>
      </c>
      <c r="B74" s="64">
        <v>3.09</v>
      </c>
      <c r="C74" s="64">
        <v>17.489999999999998</v>
      </c>
      <c r="D74" s="64">
        <v>10.24</v>
      </c>
      <c r="E74" s="64">
        <v>5.75</v>
      </c>
      <c r="F74" s="64">
        <v>4.29</v>
      </c>
      <c r="G74" s="64">
        <v>65.8</v>
      </c>
      <c r="H74" s="64">
        <v>33.14</v>
      </c>
      <c r="I74" s="64">
        <v>2.5099999999999998</v>
      </c>
      <c r="J74" s="64">
        <v>0.56999999999999995</v>
      </c>
      <c r="K74" s="64">
        <v>339.17</v>
      </c>
      <c r="L74" s="64">
        <v>29.33</v>
      </c>
      <c r="M74" s="64">
        <v>68.680000000000007</v>
      </c>
      <c r="N74" s="64">
        <v>66.7</v>
      </c>
      <c r="O74" s="64">
        <v>0</v>
      </c>
      <c r="P74" s="64">
        <v>0.88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3098</v>
      </c>
      <c r="B75" s="64">
        <v>3.97</v>
      </c>
      <c r="C75" s="64">
        <v>17.649999999999999</v>
      </c>
      <c r="D75" s="64">
        <v>11.03</v>
      </c>
      <c r="E75" s="64">
        <v>5.7</v>
      </c>
      <c r="F75" s="64">
        <v>4.8099999999999996</v>
      </c>
      <c r="G75" s="64">
        <v>67.91</v>
      </c>
      <c r="H75" s="64">
        <v>33.020000000000003</v>
      </c>
      <c r="I75" s="64">
        <v>2.96</v>
      </c>
      <c r="J75" s="64">
        <v>0.67</v>
      </c>
      <c r="K75" s="64">
        <v>332.29</v>
      </c>
      <c r="L75" s="64">
        <v>29.49</v>
      </c>
      <c r="M75" s="64">
        <v>69.2</v>
      </c>
      <c r="N75" s="64">
        <v>56.2</v>
      </c>
      <c r="O75" s="64">
        <v>0</v>
      </c>
      <c r="P75" s="64">
        <v>1.03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5" t="s">
        <v>3099</v>
      </c>
      <c r="B76" s="64">
        <v>4.71</v>
      </c>
      <c r="C76" s="64">
        <v>18.04</v>
      </c>
      <c r="D76" s="64">
        <v>11.82</v>
      </c>
      <c r="E76" s="64">
        <v>5.17</v>
      </c>
      <c r="F76" s="64">
        <v>5.49</v>
      </c>
      <c r="G76" s="64">
        <v>67.91</v>
      </c>
      <c r="H76" s="64">
        <v>33.020000000000003</v>
      </c>
      <c r="I76" s="64">
        <v>3.17</v>
      </c>
      <c r="J76" s="64">
        <v>1.1200000000000001</v>
      </c>
      <c r="K76" s="64">
        <v>341.33</v>
      </c>
      <c r="L76" s="64">
        <v>29.31</v>
      </c>
      <c r="M76" s="64">
        <v>70.06</v>
      </c>
      <c r="N76" s="64">
        <v>43.6</v>
      </c>
      <c r="O76" s="64">
        <v>0</v>
      </c>
      <c r="P76" s="64">
        <v>0.91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5" t="s">
        <v>3100</v>
      </c>
      <c r="B77" s="64">
        <v>4.88</v>
      </c>
      <c r="C77" s="64">
        <v>18.34</v>
      </c>
      <c r="D77" s="64">
        <v>12.12</v>
      </c>
      <c r="E77" s="64">
        <v>5.29</v>
      </c>
      <c r="F77" s="64">
        <v>4.97</v>
      </c>
      <c r="G77" s="64">
        <v>67.91</v>
      </c>
      <c r="H77" s="64">
        <v>33.020000000000003</v>
      </c>
      <c r="I77" s="64">
        <v>3.07</v>
      </c>
      <c r="J77" s="64">
        <v>0.39</v>
      </c>
      <c r="K77" s="64">
        <v>105.87</v>
      </c>
      <c r="L77" s="64">
        <v>28.87</v>
      </c>
      <c r="M77" s="64">
        <v>73.069999999999993</v>
      </c>
      <c r="N77" s="64">
        <v>34.799999999999997</v>
      </c>
      <c r="O77" s="64">
        <v>0</v>
      </c>
      <c r="P77" s="64">
        <v>0.87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3101</v>
      </c>
      <c r="B78" s="64">
        <v>4.67</v>
      </c>
      <c r="C78" s="64">
        <v>18.010000000000002</v>
      </c>
      <c r="D78" s="64">
        <v>11.78</v>
      </c>
      <c r="E78" s="64">
        <v>5.25</v>
      </c>
      <c r="F78" s="64">
        <v>5.82</v>
      </c>
      <c r="G78" s="64">
        <v>70.67</v>
      </c>
      <c r="H78" s="64">
        <v>34.729999999999997</v>
      </c>
      <c r="I78" s="64">
        <v>3.34</v>
      </c>
      <c r="J78" s="64">
        <v>0.75</v>
      </c>
      <c r="K78" s="64">
        <v>116.14</v>
      </c>
      <c r="L78" s="64">
        <v>28.33</v>
      </c>
      <c r="M78" s="64">
        <v>74.459999999999994</v>
      </c>
      <c r="N78" s="64">
        <v>29.5</v>
      </c>
      <c r="O78" s="64">
        <v>0</v>
      </c>
      <c r="P78" s="64">
        <v>0.62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3102</v>
      </c>
      <c r="B79" s="64">
        <v>4.17</v>
      </c>
      <c r="C79" s="64">
        <v>17.350000000000001</v>
      </c>
      <c r="D79" s="64">
        <v>11.03</v>
      </c>
      <c r="E79" s="64">
        <v>5.14</v>
      </c>
      <c r="F79" s="64">
        <v>5.73</v>
      </c>
      <c r="G79" s="64">
        <v>72.349999999999994</v>
      </c>
      <c r="H79" s="64">
        <v>35.11</v>
      </c>
      <c r="I79" s="64">
        <v>2.4900000000000002</v>
      </c>
      <c r="J79" s="64">
        <v>0.38</v>
      </c>
      <c r="K79" s="64">
        <v>106.67</v>
      </c>
      <c r="L79" s="64">
        <v>28.14</v>
      </c>
      <c r="M79" s="64">
        <v>74.39</v>
      </c>
      <c r="N79" s="64">
        <v>26.8</v>
      </c>
      <c r="O79" s="64">
        <v>0</v>
      </c>
      <c r="P79" s="64">
        <v>0.71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5" t="s">
        <v>3103</v>
      </c>
      <c r="B80" s="64">
        <v>3.86</v>
      </c>
      <c r="C80" s="64">
        <v>17.05</v>
      </c>
      <c r="D80" s="64">
        <v>10.62</v>
      </c>
      <c r="E80" s="64">
        <v>5.08</v>
      </c>
      <c r="F80" s="64">
        <v>5.84</v>
      </c>
      <c r="G80" s="64">
        <v>72.349999999999994</v>
      </c>
      <c r="H80" s="64">
        <v>35.11</v>
      </c>
      <c r="I80" s="64">
        <v>1.9</v>
      </c>
      <c r="J80" s="64">
        <v>0.44</v>
      </c>
      <c r="K80" s="64">
        <v>120.18</v>
      </c>
      <c r="L80" s="64">
        <v>28.06</v>
      </c>
      <c r="M80" s="64">
        <v>74.52</v>
      </c>
      <c r="N80" s="64">
        <v>26.4</v>
      </c>
      <c r="O80" s="64">
        <v>0</v>
      </c>
      <c r="P80" s="64">
        <v>0.88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5" t="s">
        <v>3104</v>
      </c>
      <c r="B81" s="64">
        <v>3.66</v>
      </c>
      <c r="C81" s="64">
        <v>16.690000000000001</v>
      </c>
      <c r="D81" s="64">
        <v>10.28</v>
      </c>
      <c r="E81" s="64">
        <v>4.96</v>
      </c>
      <c r="F81" s="64">
        <v>5.17</v>
      </c>
      <c r="G81" s="64">
        <v>72.349999999999994</v>
      </c>
      <c r="H81" s="64">
        <v>35.11</v>
      </c>
      <c r="I81" s="64">
        <v>2.2200000000000002</v>
      </c>
      <c r="J81" s="64">
        <v>1.1599999999999999</v>
      </c>
      <c r="K81" s="64">
        <v>121.45</v>
      </c>
      <c r="L81" s="64">
        <v>28.06</v>
      </c>
      <c r="M81" s="64">
        <v>75.89</v>
      </c>
      <c r="N81" s="64">
        <v>26.3</v>
      </c>
      <c r="O81" s="64">
        <v>0</v>
      </c>
      <c r="P81" s="64">
        <v>0.63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5" t="s">
        <v>3105</v>
      </c>
      <c r="B82" s="64">
        <v>3.3</v>
      </c>
      <c r="C82" s="64">
        <v>16.48</v>
      </c>
      <c r="D82" s="64">
        <v>9.8699999999999992</v>
      </c>
      <c r="E82" s="64">
        <v>5.14</v>
      </c>
      <c r="F82" s="64">
        <v>4.95</v>
      </c>
      <c r="G82" s="64">
        <v>70.8</v>
      </c>
      <c r="H82" s="64">
        <v>33.03</v>
      </c>
      <c r="I82" s="64">
        <v>2.59</v>
      </c>
      <c r="J82" s="64">
        <v>0.82</v>
      </c>
      <c r="K82" s="64">
        <v>112.25</v>
      </c>
      <c r="L82" s="64">
        <v>27.88</v>
      </c>
      <c r="M82" s="64">
        <v>77.7</v>
      </c>
      <c r="N82" s="64">
        <v>26.4</v>
      </c>
      <c r="O82" s="64">
        <v>0</v>
      </c>
      <c r="P82" s="64">
        <v>0.69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5" t="s">
        <v>3106</v>
      </c>
      <c r="B83" s="64">
        <v>2.79</v>
      </c>
      <c r="C83" s="64">
        <v>14.72</v>
      </c>
      <c r="D83" s="64">
        <v>8.5500000000000007</v>
      </c>
      <c r="E83" s="64">
        <v>5.51</v>
      </c>
      <c r="F83" s="64">
        <v>5.05</v>
      </c>
      <c r="G83" s="64">
        <v>69.86</v>
      </c>
      <c r="H83" s="64">
        <v>32.57</v>
      </c>
      <c r="I83" s="64">
        <v>2.75</v>
      </c>
      <c r="J83" s="64">
        <v>1.24</v>
      </c>
      <c r="K83" s="64">
        <v>119.74</v>
      </c>
      <c r="L83" s="64">
        <v>27.72</v>
      </c>
      <c r="M83" s="64">
        <v>79.69</v>
      </c>
      <c r="N83" s="64">
        <v>26.2</v>
      </c>
      <c r="O83" s="64">
        <v>0</v>
      </c>
      <c r="P83" s="64">
        <v>0.68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3107</v>
      </c>
      <c r="B84" s="64">
        <v>2.38</v>
      </c>
      <c r="C84" s="64">
        <v>14.19</v>
      </c>
      <c r="D84" s="64">
        <v>7.95</v>
      </c>
      <c r="E84" s="64">
        <v>5.05</v>
      </c>
      <c r="F84" s="64">
        <v>4.95</v>
      </c>
      <c r="G84" s="64">
        <v>69.86</v>
      </c>
      <c r="H84" s="64">
        <v>32.57</v>
      </c>
      <c r="I84" s="64">
        <v>2.56</v>
      </c>
      <c r="J84" s="64">
        <v>1.1499999999999999</v>
      </c>
      <c r="K84" s="64">
        <v>117.59</v>
      </c>
      <c r="L84" s="64">
        <v>27.6</v>
      </c>
      <c r="M84" s="64">
        <v>80.92</v>
      </c>
      <c r="N84" s="64">
        <v>26.2</v>
      </c>
      <c r="O84" s="64">
        <v>0</v>
      </c>
      <c r="P84" s="64">
        <v>0.65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3108</v>
      </c>
      <c r="B85" s="64">
        <v>2.04</v>
      </c>
      <c r="C85" s="64">
        <v>12.75</v>
      </c>
      <c r="D85" s="64">
        <v>6.92</v>
      </c>
      <c r="E85" s="64">
        <v>5.01</v>
      </c>
      <c r="F85" s="64">
        <v>7.79</v>
      </c>
      <c r="G85" s="64">
        <v>69.86</v>
      </c>
      <c r="H85" s="64">
        <v>32.57</v>
      </c>
      <c r="I85" s="64">
        <v>3.59</v>
      </c>
      <c r="J85" s="64">
        <v>0.65</v>
      </c>
      <c r="K85" s="64">
        <v>111</v>
      </c>
      <c r="L85" s="64">
        <v>27.41</v>
      </c>
      <c r="M85" s="64">
        <v>82.2</v>
      </c>
      <c r="N85" s="64">
        <v>26.2</v>
      </c>
      <c r="O85" s="64">
        <v>0</v>
      </c>
      <c r="P85" s="64">
        <v>0.52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3109</v>
      </c>
      <c r="B86" s="64">
        <v>1.99</v>
      </c>
      <c r="C86" s="64">
        <v>12.9</v>
      </c>
      <c r="D86" s="64">
        <v>6.96</v>
      </c>
      <c r="E86" s="64">
        <v>5.29</v>
      </c>
      <c r="F86" s="64">
        <v>4.91</v>
      </c>
      <c r="G86" s="64">
        <v>67.78</v>
      </c>
      <c r="H86" s="64">
        <v>36.21</v>
      </c>
      <c r="I86" s="64">
        <v>2.67</v>
      </c>
      <c r="J86" s="64">
        <v>0.27</v>
      </c>
      <c r="K86" s="64">
        <v>52.54</v>
      </c>
      <c r="L86" s="64">
        <v>27.26</v>
      </c>
      <c r="M86" s="64">
        <v>83.75</v>
      </c>
      <c r="N86" s="64">
        <v>26.3</v>
      </c>
      <c r="O86" s="64">
        <v>0</v>
      </c>
      <c r="P86" s="64">
        <v>0.94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3110</v>
      </c>
      <c r="B87" s="64">
        <v>2.14</v>
      </c>
      <c r="C87" s="64">
        <v>12.67</v>
      </c>
      <c r="D87" s="64">
        <v>6.96</v>
      </c>
      <c r="E87" s="64">
        <v>5.47</v>
      </c>
      <c r="F87" s="64">
        <v>4.93</v>
      </c>
      <c r="G87" s="64">
        <v>66.45</v>
      </c>
      <c r="H87" s="64">
        <v>37.57</v>
      </c>
      <c r="I87" s="64">
        <v>2.15</v>
      </c>
      <c r="J87" s="64">
        <v>0.38</v>
      </c>
      <c r="K87" s="64">
        <v>84.89</v>
      </c>
      <c r="L87" s="64">
        <v>27.05</v>
      </c>
      <c r="M87" s="64">
        <v>84.51</v>
      </c>
      <c r="N87" s="64">
        <v>26.2</v>
      </c>
      <c r="O87" s="64">
        <v>0</v>
      </c>
      <c r="P87" s="64">
        <v>0.71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5" t="s">
        <v>3111</v>
      </c>
      <c r="B88" s="64">
        <v>2.27</v>
      </c>
      <c r="C88" s="64">
        <v>12.65</v>
      </c>
      <c r="D88" s="64">
        <v>7.05</v>
      </c>
      <c r="E88" s="64">
        <v>4.66</v>
      </c>
      <c r="F88" s="64">
        <v>3.88</v>
      </c>
      <c r="G88" s="64">
        <v>66.45</v>
      </c>
      <c r="H88" s="64">
        <v>37.57</v>
      </c>
      <c r="I88" s="64">
        <v>3.43</v>
      </c>
      <c r="J88" s="64">
        <v>0.23</v>
      </c>
      <c r="K88" s="64">
        <v>71.61</v>
      </c>
      <c r="L88" s="64">
        <v>26.95</v>
      </c>
      <c r="M88" s="64">
        <v>85.15</v>
      </c>
      <c r="N88" s="64">
        <v>26.1</v>
      </c>
      <c r="O88" s="64">
        <v>0</v>
      </c>
      <c r="P88" s="64">
        <v>0.72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5" t="s">
        <v>3112</v>
      </c>
      <c r="B89" s="64">
        <v>2.31</v>
      </c>
      <c r="C89" s="64">
        <v>12.71</v>
      </c>
      <c r="D89" s="64">
        <v>7.12</v>
      </c>
      <c r="E89" s="64">
        <v>4.71</v>
      </c>
      <c r="F89" s="64">
        <v>4.9000000000000004</v>
      </c>
      <c r="G89" s="64">
        <v>66.45</v>
      </c>
      <c r="H89" s="64">
        <v>37.57</v>
      </c>
      <c r="I89" s="64">
        <v>3.42</v>
      </c>
      <c r="J89" s="64">
        <v>0.49</v>
      </c>
      <c r="K89" s="64">
        <v>115.42</v>
      </c>
      <c r="L89" s="64">
        <v>27.03</v>
      </c>
      <c r="M89" s="64">
        <v>84.12</v>
      </c>
      <c r="N89" s="64">
        <v>26.2</v>
      </c>
      <c r="O89" s="64">
        <v>0</v>
      </c>
      <c r="P89" s="64">
        <v>0.69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5" t="s">
        <v>3113</v>
      </c>
      <c r="B90" s="64">
        <v>2.23</v>
      </c>
      <c r="C90" s="64">
        <v>12.28</v>
      </c>
      <c r="D90" s="64">
        <v>6.83</v>
      </c>
      <c r="E90" s="64">
        <v>4.83</v>
      </c>
      <c r="F90" s="64">
        <v>4.7699999999999996</v>
      </c>
      <c r="G90" s="64">
        <v>69.14</v>
      </c>
      <c r="H90" s="64">
        <v>42.51</v>
      </c>
      <c r="I90" s="64">
        <v>3.23</v>
      </c>
      <c r="J90" s="64">
        <v>0.84</v>
      </c>
      <c r="K90" s="64">
        <v>115.96</v>
      </c>
      <c r="L90" s="64">
        <v>27.02</v>
      </c>
      <c r="M90" s="64">
        <v>84.61</v>
      </c>
      <c r="N90" s="64">
        <v>25.9</v>
      </c>
      <c r="O90" s="64">
        <v>0</v>
      </c>
      <c r="P90" s="64">
        <v>0.74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5" t="s">
        <v>3114</v>
      </c>
      <c r="B91" s="64">
        <v>2.1800000000000002</v>
      </c>
      <c r="C91" s="64">
        <v>11.96</v>
      </c>
      <c r="D91" s="64">
        <v>6.62</v>
      </c>
      <c r="E91" s="64">
        <v>4.74</v>
      </c>
      <c r="F91" s="64">
        <v>4.9400000000000004</v>
      </c>
      <c r="G91" s="64">
        <v>70.78</v>
      </c>
      <c r="H91" s="64">
        <v>43.59</v>
      </c>
      <c r="I91" s="64">
        <v>3.13</v>
      </c>
      <c r="J91" s="64">
        <v>1.35</v>
      </c>
      <c r="K91" s="64">
        <v>111.85</v>
      </c>
      <c r="L91" s="64">
        <v>27.1</v>
      </c>
      <c r="M91" s="64">
        <v>83.71</v>
      </c>
      <c r="N91" s="64">
        <v>25.9</v>
      </c>
      <c r="O91" s="64">
        <v>0</v>
      </c>
      <c r="P91" s="64">
        <v>0.62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3115</v>
      </c>
      <c r="B92" s="64">
        <v>2.1800000000000002</v>
      </c>
      <c r="C92" s="64">
        <v>11.77</v>
      </c>
      <c r="D92" s="64">
        <v>6.52</v>
      </c>
      <c r="E92" s="64">
        <v>4.3899999999999997</v>
      </c>
      <c r="F92" s="64">
        <v>4.76</v>
      </c>
      <c r="G92" s="64">
        <v>70.78</v>
      </c>
      <c r="H92" s="64">
        <v>43.59</v>
      </c>
      <c r="I92" s="64">
        <v>3.14</v>
      </c>
      <c r="J92" s="64">
        <v>0.8</v>
      </c>
      <c r="K92" s="64">
        <v>107.63</v>
      </c>
      <c r="L92" s="64">
        <v>27</v>
      </c>
      <c r="M92" s="64">
        <v>84.55</v>
      </c>
      <c r="N92" s="64">
        <v>26.2</v>
      </c>
      <c r="O92" s="64">
        <v>0</v>
      </c>
      <c r="P92" s="64">
        <v>0.6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5" t="s">
        <v>3116</v>
      </c>
      <c r="B93" s="64">
        <v>2.27</v>
      </c>
      <c r="C93" s="64">
        <v>11.91</v>
      </c>
      <c r="D93" s="64">
        <v>6.67</v>
      </c>
      <c r="E93" s="64">
        <v>4.3099999999999996</v>
      </c>
      <c r="F93" s="64">
        <v>4.6399999999999997</v>
      </c>
      <c r="G93" s="64">
        <v>70.78</v>
      </c>
      <c r="H93" s="64">
        <v>43.59</v>
      </c>
      <c r="I93" s="64">
        <v>2.92</v>
      </c>
      <c r="J93" s="64">
        <v>0.23</v>
      </c>
      <c r="K93" s="64">
        <v>174.19</v>
      </c>
      <c r="L93" s="64">
        <v>26.72</v>
      </c>
      <c r="M93" s="64">
        <v>87.04</v>
      </c>
      <c r="N93" s="64">
        <v>26.4</v>
      </c>
      <c r="O93" s="64">
        <v>0</v>
      </c>
      <c r="P93" s="64">
        <v>0.65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5" t="s">
        <v>3117</v>
      </c>
      <c r="B94" s="64">
        <v>2.64</v>
      </c>
      <c r="C94" s="64">
        <v>12.08</v>
      </c>
      <c r="D94" s="64">
        <v>7.05</v>
      </c>
      <c r="E94" s="64">
        <v>4.8899999999999997</v>
      </c>
      <c r="F94" s="64">
        <v>3.96</v>
      </c>
      <c r="G94" s="64">
        <v>74.66</v>
      </c>
      <c r="H94" s="64">
        <v>43.66</v>
      </c>
      <c r="I94" s="64">
        <v>2.5299999999999998</v>
      </c>
      <c r="J94" s="64">
        <v>0.14000000000000001</v>
      </c>
      <c r="K94" s="64">
        <v>62.78</v>
      </c>
      <c r="L94" s="64">
        <v>26.5</v>
      </c>
      <c r="M94" s="64">
        <v>89.76</v>
      </c>
      <c r="N94" s="64">
        <v>26.3</v>
      </c>
      <c r="O94" s="64">
        <v>0</v>
      </c>
      <c r="P94" s="64">
        <v>0.75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5" t="s">
        <v>3118</v>
      </c>
      <c r="B95" s="64">
        <v>3.25</v>
      </c>
      <c r="C95" s="64">
        <v>12.26</v>
      </c>
      <c r="D95" s="64">
        <v>7.63</v>
      </c>
      <c r="E95" s="64">
        <v>4.3600000000000003</v>
      </c>
      <c r="F95" s="64">
        <v>3.94</v>
      </c>
      <c r="G95" s="64">
        <v>77.02</v>
      </c>
      <c r="H95" s="64">
        <v>43.67</v>
      </c>
      <c r="I95" s="64">
        <v>2.84</v>
      </c>
      <c r="J95" s="64">
        <v>0.34</v>
      </c>
      <c r="K95" s="64">
        <v>138.80000000000001</v>
      </c>
      <c r="L95" s="64">
        <v>26.4</v>
      </c>
      <c r="M95" s="64">
        <v>90.14</v>
      </c>
      <c r="N95" s="64">
        <v>26.1</v>
      </c>
      <c r="O95" s="64">
        <v>0</v>
      </c>
      <c r="P95" s="64">
        <v>0.73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5" t="s">
        <v>3119</v>
      </c>
      <c r="B96" s="64">
        <v>3.89</v>
      </c>
      <c r="C96" s="64">
        <v>12.14</v>
      </c>
      <c r="D96" s="64">
        <v>8.08</v>
      </c>
      <c r="E96" s="64">
        <v>4.49</v>
      </c>
      <c r="F96" s="64">
        <v>4.2300000000000004</v>
      </c>
      <c r="G96" s="64">
        <v>77.02</v>
      </c>
      <c r="H96" s="64">
        <v>43.67</v>
      </c>
      <c r="I96" s="64">
        <v>3.18</v>
      </c>
      <c r="J96" s="64">
        <v>0.64</v>
      </c>
      <c r="K96" s="64">
        <v>179.55</v>
      </c>
      <c r="L96" s="64">
        <v>26.3</v>
      </c>
      <c r="M96" s="64">
        <v>90.41</v>
      </c>
      <c r="N96" s="64">
        <v>26.1</v>
      </c>
      <c r="O96" s="64">
        <v>0</v>
      </c>
      <c r="P96" s="64">
        <v>0.62</v>
      </c>
      <c r="Q96" s="64">
        <v>9.61</v>
      </c>
      <c r="R96" s="198"/>
      <c r="S96" s="198"/>
      <c r="T96" s="212"/>
      <c r="U96" s="198"/>
      <c r="Z96" s="109"/>
    </row>
    <row r="97" spans="1:33" s="12" customFormat="1" x14ac:dyDescent="0.25">
      <c r="A97" s="215" t="s">
        <v>3120</v>
      </c>
      <c r="B97" s="64">
        <v>4.05</v>
      </c>
      <c r="C97" s="64">
        <v>11.67</v>
      </c>
      <c r="D97" s="64">
        <v>7.97</v>
      </c>
      <c r="E97" s="64">
        <v>4.3099999999999996</v>
      </c>
      <c r="F97" s="64">
        <v>4.74</v>
      </c>
      <c r="G97" s="64">
        <v>77.02</v>
      </c>
      <c r="H97" s="64">
        <v>43.67</v>
      </c>
      <c r="I97" s="64">
        <v>2.99</v>
      </c>
      <c r="J97" s="64">
        <v>0.42</v>
      </c>
      <c r="K97" s="64">
        <v>161.29</v>
      </c>
      <c r="L97" s="64">
        <v>26.09</v>
      </c>
      <c r="M97" s="64">
        <v>92.15</v>
      </c>
      <c r="N97" s="64">
        <v>26.3</v>
      </c>
      <c r="O97" s="64">
        <v>0</v>
      </c>
      <c r="P97" s="64">
        <v>0.56999999999999995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5" t="s">
        <v>3121</v>
      </c>
      <c r="B98" s="64">
        <v>4</v>
      </c>
      <c r="C98" s="64">
        <v>11.46</v>
      </c>
      <c r="D98" s="64">
        <v>7.82</v>
      </c>
      <c r="E98" s="64">
        <v>4.75</v>
      </c>
      <c r="F98" s="64">
        <v>4.54</v>
      </c>
      <c r="G98" s="64">
        <v>77.319999999999993</v>
      </c>
      <c r="H98" s="64">
        <v>36.97</v>
      </c>
      <c r="I98" s="64">
        <v>2.87</v>
      </c>
      <c r="J98" s="64">
        <v>0.54</v>
      </c>
      <c r="K98" s="64">
        <v>191.27</v>
      </c>
      <c r="L98" s="64">
        <v>25.84</v>
      </c>
      <c r="M98" s="64">
        <v>93.46</v>
      </c>
      <c r="N98" s="64">
        <v>26.1</v>
      </c>
      <c r="O98" s="64">
        <v>0</v>
      </c>
      <c r="P98" s="64">
        <v>0.6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3122</v>
      </c>
      <c r="B99" s="64">
        <v>4.3600000000000003</v>
      </c>
      <c r="C99" s="64">
        <v>12.27</v>
      </c>
      <c r="D99" s="64">
        <v>8.5299999999999994</v>
      </c>
      <c r="E99" s="64">
        <v>5.03</v>
      </c>
      <c r="F99" s="64">
        <v>3.83</v>
      </c>
      <c r="G99" s="64">
        <v>77.5</v>
      </c>
      <c r="H99" s="64">
        <v>35.5</v>
      </c>
      <c r="I99" s="64">
        <v>2.56</v>
      </c>
      <c r="J99" s="64">
        <v>0.21</v>
      </c>
      <c r="K99" s="64">
        <v>269.23</v>
      </c>
      <c r="L99" s="64">
        <v>25.64</v>
      </c>
      <c r="M99" s="64">
        <v>94.53</v>
      </c>
      <c r="N99" s="64">
        <v>26.2</v>
      </c>
      <c r="O99" s="64">
        <v>0</v>
      </c>
      <c r="P99" s="64">
        <v>0.62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5" t="s">
        <v>3123</v>
      </c>
      <c r="B100" s="64">
        <v>4.9400000000000004</v>
      </c>
      <c r="C100" s="64">
        <v>12.09</v>
      </c>
      <c r="D100" s="64">
        <v>8.9</v>
      </c>
      <c r="E100" s="64">
        <v>4.7699999999999996</v>
      </c>
      <c r="F100" s="64">
        <v>4.41</v>
      </c>
      <c r="G100" s="64">
        <v>77.5</v>
      </c>
      <c r="H100" s="64">
        <v>35.5</v>
      </c>
      <c r="I100" s="64">
        <v>3.88</v>
      </c>
      <c r="J100" s="64">
        <v>0.4</v>
      </c>
      <c r="K100" s="64">
        <v>180.18</v>
      </c>
      <c r="L100" s="64">
        <v>25.45</v>
      </c>
      <c r="M100" s="64">
        <v>95.79</v>
      </c>
      <c r="N100" s="64">
        <v>26.1</v>
      </c>
      <c r="O100" s="64">
        <v>0</v>
      </c>
      <c r="P100" s="64">
        <v>0.62</v>
      </c>
      <c r="Q100" s="64">
        <v>9.61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3124</v>
      </c>
      <c r="B101" s="64">
        <v>5.27</v>
      </c>
      <c r="C101" s="64">
        <v>11.55</v>
      </c>
      <c r="D101" s="64">
        <v>8.8800000000000008</v>
      </c>
      <c r="E101" s="64">
        <v>4.8600000000000003</v>
      </c>
      <c r="F101" s="64">
        <v>4.3600000000000003</v>
      </c>
      <c r="G101" s="64">
        <v>77.5</v>
      </c>
      <c r="H101" s="64">
        <v>35.5</v>
      </c>
      <c r="I101" s="64">
        <v>3.72</v>
      </c>
      <c r="J101" s="64">
        <v>0.22</v>
      </c>
      <c r="K101" s="64">
        <v>261.31</v>
      </c>
      <c r="L101" s="64">
        <v>25.37</v>
      </c>
      <c r="M101" s="64">
        <v>97.3</v>
      </c>
      <c r="N101" s="64">
        <v>26.2</v>
      </c>
      <c r="O101" s="64">
        <v>0</v>
      </c>
      <c r="P101" s="64">
        <v>0.74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5" t="s">
        <v>3125</v>
      </c>
      <c r="B102" s="64">
        <v>6.44</v>
      </c>
      <c r="C102" s="64">
        <v>12.08</v>
      </c>
      <c r="D102" s="64">
        <v>10.1</v>
      </c>
      <c r="E102" s="64">
        <v>4.91</v>
      </c>
      <c r="F102" s="64">
        <v>3.5</v>
      </c>
      <c r="G102" s="64">
        <v>76.02</v>
      </c>
      <c r="H102" s="64">
        <v>42.78</v>
      </c>
      <c r="I102" s="64">
        <v>3.03</v>
      </c>
      <c r="J102" s="64">
        <v>0.34</v>
      </c>
      <c r="K102" s="64">
        <v>289.19</v>
      </c>
      <c r="L102" s="64">
        <v>25.16</v>
      </c>
      <c r="M102" s="64">
        <v>97.9</v>
      </c>
      <c r="N102" s="64">
        <v>26.1</v>
      </c>
      <c r="O102" s="64">
        <v>0</v>
      </c>
      <c r="P102" s="64">
        <v>0.64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5" t="s">
        <v>3126</v>
      </c>
      <c r="B103" s="64">
        <v>6.72</v>
      </c>
      <c r="C103" s="64">
        <v>11.9</v>
      </c>
      <c r="D103" s="64">
        <v>10.23</v>
      </c>
      <c r="E103" s="64">
        <v>4.7699999999999996</v>
      </c>
      <c r="F103" s="64">
        <v>4.8</v>
      </c>
      <c r="G103" s="64">
        <v>75.09</v>
      </c>
      <c r="H103" s="64">
        <v>45.59</v>
      </c>
      <c r="I103" s="64">
        <v>3.52</v>
      </c>
      <c r="J103" s="64">
        <v>0.37</v>
      </c>
      <c r="K103" s="64">
        <v>268.83</v>
      </c>
      <c r="L103" s="64">
        <v>24.93</v>
      </c>
      <c r="M103" s="64">
        <v>99.77</v>
      </c>
      <c r="N103" s="64">
        <v>26.2</v>
      </c>
      <c r="O103" s="64">
        <v>0</v>
      </c>
      <c r="P103" s="64">
        <v>0.66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3127</v>
      </c>
      <c r="B104" s="64">
        <v>6.62</v>
      </c>
      <c r="C104" s="64">
        <v>11.38</v>
      </c>
      <c r="D104" s="64">
        <v>9.8800000000000008</v>
      </c>
      <c r="E104" s="64">
        <v>5.29</v>
      </c>
      <c r="F104" s="64">
        <v>3.48</v>
      </c>
      <c r="G104" s="64">
        <v>75.09</v>
      </c>
      <c r="H104" s="64">
        <v>45.59</v>
      </c>
      <c r="I104" s="64">
        <v>3.17</v>
      </c>
      <c r="J104" s="64">
        <v>0.17</v>
      </c>
      <c r="K104" s="64">
        <v>236.42</v>
      </c>
      <c r="L104" s="64">
        <v>24.87</v>
      </c>
      <c r="M104" s="64">
        <v>100.79</v>
      </c>
      <c r="N104" s="64">
        <v>26.1</v>
      </c>
      <c r="O104" s="64">
        <v>0</v>
      </c>
      <c r="P104" s="64">
        <v>0.6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1.64</v>
      </c>
      <c r="C106" s="67">
        <f>MIN(C9:C104)</f>
        <v>7.48</v>
      </c>
      <c r="D106" s="67">
        <f t="shared" ref="D106:Q106" si="0">MIN(D9:D104)</f>
        <v>6.5</v>
      </c>
      <c r="E106" s="67">
        <f t="shared" si="0"/>
        <v>4.3099999999999996</v>
      </c>
      <c r="F106" s="67">
        <f t="shared" si="0"/>
        <v>3.3</v>
      </c>
      <c r="G106" s="67">
        <f t="shared" si="0"/>
        <v>30.79</v>
      </c>
      <c r="H106" s="67">
        <f t="shared" si="0"/>
        <v>13.33</v>
      </c>
      <c r="I106" s="67">
        <f t="shared" si="0"/>
        <v>1.55</v>
      </c>
      <c r="J106" s="67">
        <f t="shared" si="0"/>
        <v>0.13</v>
      </c>
      <c r="K106" s="67">
        <f t="shared" si="0"/>
        <v>0.33</v>
      </c>
      <c r="L106" s="67">
        <f t="shared" si="0"/>
        <v>22.82</v>
      </c>
      <c r="M106" s="67">
        <f t="shared" si="0"/>
        <v>57.47</v>
      </c>
      <c r="N106" s="67">
        <f t="shared" si="0"/>
        <v>25.9</v>
      </c>
      <c r="O106" s="67">
        <f t="shared" si="0"/>
        <v>0</v>
      </c>
      <c r="P106" s="67">
        <f t="shared" si="0"/>
        <v>0.4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24.51</v>
      </c>
      <c r="C107" s="66">
        <f t="shared" ref="C107:Q107" si="1">MAX(C9:C104)</f>
        <v>18.34</v>
      </c>
      <c r="D107" s="66">
        <f t="shared" si="1"/>
        <v>23.33</v>
      </c>
      <c r="E107" s="66">
        <f t="shared" si="1"/>
        <v>7.11</v>
      </c>
      <c r="F107" s="66">
        <f t="shared" si="1"/>
        <v>7.79</v>
      </c>
      <c r="G107" s="66">
        <f t="shared" si="1"/>
        <v>77.5</v>
      </c>
      <c r="H107" s="66">
        <f t="shared" si="1"/>
        <v>45.59</v>
      </c>
      <c r="I107" s="66">
        <f t="shared" si="1"/>
        <v>6.33</v>
      </c>
      <c r="J107" s="66">
        <f t="shared" si="1"/>
        <v>1.58</v>
      </c>
      <c r="K107" s="66">
        <f t="shared" si="1"/>
        <v>359.78</v>
      </c>
      <c r="L107" s="66">
        <f t="shared" si="1"/>
        <v>32.06</v>
      </c>
      <c r="M107" s="66">
        <f t="shared" si="1"/>
        <v>102.78</v>
      </c>
      <c r="N107" s="66">
        <f t="shared" si="1"/>
        <v>556.4</v>
      </c>
      <c r="O107" s="66">
        <f t="shared" si="1"/>
        <v>0</v>
      </c>
      <c r="P107" s="66">
        <f t="shared" si="1"/>
        <v>1.03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7.7945833333333292</v>
      </c>
      <c r="C108" s="67">
        <f t="shared" ref="C108:Q108" si="2">AVERAGE(C9:C104)</f>
        <v>11.592708333333334</v>
      </c>
      <c r="D108" s="67">
        <f t="shared" si="2"/>
        <v>10.930104166666668</v>
      </c>
      <c r="E108" s="67">
        <f t="shared" si="2"/>
        <v>5.4478124999999986</v>
      </c>
      <c r="F108" s="67">
        <f t="shared" si="2"/>
        <v>4.5183333333333335</v>
      </c>
      <c r="G108" s="67">
        <f t="shared" si="2"/>
        <v>54.835625000000022</v>
      </c>
      <c r="H108" s="67">
        <f t="shared" si="2"/>
        <v>27.188645833333336</v>
      </c>
      <c r="I108" s="67">
        <f t="shared" si="2"/>
        <v>3.4169791666666658</v>
      </c>
      <c r="J108" s="67">
        <f t="shared" si="2"/>
        <v>0.56864583333333352</v>
      </c>
      <c r="K108" s="67">
        <f t="shared" si="2"/>
        <v>184.93125000000001</v>
      </c>
      <c r="L108" s="67">
        <f t="shared" si="2"/>
        <v>26.996041666666656</v>
      </c>
      <c r="M108" s="67">
        <f t="shared" si="2"/>
        <v>84.540312499999985</v>
      </c>
      <c r="N108" s="67">
        <f t="shared" si="2"/>
        <v>136.29375000000013</v>
      </c>
      <c r="O108" s="67">
        <f t="shared" si="2"/>
        <v>0</v>
      </c>
      <c r="P108" s="67">
        <f t="shared" si="2"/>
        <v>0.61072916666666643</v>
      </c>
      <c r="Q108" s="67">
        <f t="shared" si="2"/>
        <v>9.6139583333333398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6.406261068454282</v>
      </c>
      <c r="C109" s="67">
        <f t="shared" ref="C109:Q109" si="3">STDEV(C9:C104)</f>
        <v>2.9781447701429484</v>
      </c>
      <c r="D109" s="67">
        <f t="shared" si="3"/>
        <v>4.4917731804738921</v>
      </c>
      <c r="E109" s="67">
        <f t="shared" si="3"/>
        <v>0.58714689836801648</v>
      </c>
      <c r="F109" s="67">
        <f t="shared" si="3"/>
        <v>0.79066882636313607</v>
      </c>
      <c r="G109" s="67">
        <f t="shared" si="3"/>
        <v>15.556255862107868</v>
      </c>
      <c r="H109" s="67">
        <f t="shared" si="3"/>
        <v>9.2819375948855907</v>
      </c>
      <c r="I109" s="67">
        <f t="shared" si="3"/>
        <v>1.1969602902366938</v>
      </c>
      <c r="J109" s="67">
        <f t="shared" si="3"/>
        <v>0.32211021255943956</v>
      </c>
      <c r="K109" s="67">
        <f t="shared" si="3"/>
        <v>109.20685949392706</v>
      </c>
      <c r="L109" s="67">
        <f t="shared" si="3"/>
        <v>2.9414169443231697</v>
      </c>
      <c r="M109" s="67">
        <f t="shared" si="3"/>
        <v>15.411039273204969</v>
      </c>
      <c r="N109" s="67">
        <f t="shared" si="3"/>
        <v>165.65331382613192</v>
      </c>
      <c r="O109" s="67">
        <f t="shared" si="3"/>
        <v>0</v>
      </c>
      <c r="P109" s="67">
        <f t="shared" si="3"/>
        <v>0.11384425919157014</v>
      </c>
      <c r="Q109" s="67">
        <f t="shared" si="3"/>
        <v>8.140757325001349E-3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217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3128</v>
      </c>
      <c r="B9" s="64">
        <v>6.35</v>
      </c>
      <c r="C9" s="64">
        <v>10.82</v>
      </c>
      <c r="D9" s="64">
        <v>9.3699999999999992</v>
      </c>
      <c r="E9" s="64">
        <v>5.18</v>
      </c>
      <c r="F9" s="64">
        <v>4.22</v>
      </c>
      <c r="G9" s="64">
        <v>75.09</v>
      </c>
      <c r="H9" s="64">
        <v>45.59</v>
      </c>
      <c r="I9" s="64">
        <v>3.23</v>
      </c>
      <c r="J9" s="64">
        <v>0.42</v>
      </c>
      <c r="K9" s="64">
        <v>26.3</v>
      </c>
      <c r="L9" s="64">
        <v>24.83</v>
      </c>
      <c r="M9" s="64">
        <v>99.58</v>
      </c>
      <c r="N9" s="64">
        <v>26.1</v>
      </c>
      <c r="O9" s="64">
        <v>0</v>
      </c>
      <c r="P9" s="64">
        <v>0.59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5" t="s">
        <v>3129</v>
      </c>
      <c r="B10" s="64">
        <v>5.88</v>
      </c>
      <c r="C10" s="64">
        <v>9.75</v>
      </c>
      <c r="D10" s="64">
        <v>8.43</v>
      </c>
      <c r="E10" s="64">
        <v>4.9000000000000004</v>
      </c>
      <c r="F10" s="64">
        <v>4.13</v>
      </c>
      <c r="G10" s="64">
        <v>70.87</v>
      </c>
      <c r="H10" s="64">
        <v>44.79</v>
      </c>
      <c r="I10" s="64">
        <v>4.04</v>
      </c>
      <c r="J10" s="64">
        <v>7.0000000000000007E-2</v>
      </c>
      <c r="K10" s="64">
        <v>8.82</v>
      </c>
      <c r="L10" s="64">
        <v>24.64</v>
      </c>
      <c r="M10" s="64">
        <v>100.63</v>
      </c>
      <c r="N10" s="64">
        <v>26.1</v>
      </c>
      <c r="O10" s="64">
        <v>0</v>
      </c>
      <c r="P10" s="64">
        <v>0.56000000000000005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5" t="s">
        <v>3130</v>
      </c>
      <c r="B11" s="64">
        <v>5.43</v>
      </c>
      <c r="C11" s="64">
        <v>9.83</v>
      </c>
      <c r="D11" s="64">
        <v>8.11</v>
      </c>
      <c r="E11" s="64">
        <v>4.78</v>
      </c>
      <c r="F11" s="64">
        <v>3.86</v>
      </c>
      <c r="G11" s="64">
        <v>68.31</v>
      </c>
      <c r="H11" s="64">
        <v>44.61</v>
      </c>
      <c r="I11" s="64">
        <v>2.72</v>
      </c>
      <c r="J11" s="64">
        <v>0.24</v>
      </c>
      <c r="K11" s="64">
        <v>31.37</v>
      </c>
      <c r="L11" s="64">
        <v>24.49</v>
      </c>
      <c r="M11" s="64">
        <v>100.91</v>
      </c>
      <c r="N11" s="64">
        <v>26.1</v>
      </c>
      <c r="O11" s="64">
        <v>0</v>
      </c>
      <c r="P11" s="64">
        <v>0.56999999999999995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5" t="s">
        <v>3131</v>
      </c>
      <c r="B12" s="64">
        <v>5.25</v>
      </c>
      <c r="C12" s="64">
        <v>9.1</v>
      </c>
      <c r="D12" s="64">
        <v>7.58</v>
      </c>
      <c r="E12" s="64">
        <v>4.46</v>
      </c>
      <c r="F12" s="64">
        <v>4.16</v>
      </c>
      <c r="G12" s="64">
        <v>68.31</v>
      </c>
      <c r="H12" s="64">
        <v>44.61</v>
      </c>
      <c r="I12" s="64">
        <v>3.63</v>
      </c>
      <c r="J12" s="64">
        <v>0.54</v>
      </c>
      <c r="K12" s="64">
        <v>320.69</v>
      </c>
      <c r="L12" s="64">
        <v>24.28</v>
      </c>
      <c r="M12" s="64">
        <v>101.78</v>
      </c>
      <c r="N12" s="64">
        <v>26.1</v>
      </c>
      <c r="O12" s="64">
        <v>0</v>
      </c>
      <c r="P12" s="64">
        <v>0.56000000000000005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5" t="s">
        <v>3132</v>
      </c>
      <c r="B13" s="64">
        <v>5.17</v>
      </c>
      <c r="C13" s="64">
        <v>8.57</v>
      </c>
      <c r="D13" s="64">
        <v>7.25</v>
      </c>
      <c r="E13" s="64">
        <v>4.84</v>
      </c>
      <c r="F13" s="64">
        <v>5.23</v>
      </c>
      <c r="G13" s="64">
        <v>68.31</v>
      </c>
      <c r="H13" s="64">
        <v>44.61</v>
      </c>
      <c r="I13" s="64">
        <v>2.79</v>
      </c>
      <c r="J13" s="64">
        <v>0.52</v>
      </c>
      <c r="K13" s="64">
        <v>312.48</v>
      </c>
      <c r="L13" s="64">
        <v>23.94</v>
      </c>
      <c r="M13" s="64">
        <v>102.72</v>
      </c>
      <c r="N13" s="64">
        <v>26.1</v>
      </c>
      <c r="O13" s="64">
        <v>0</v>
      </c>
      <c r="P13" s="64">
        <v>0.67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5" t="s">
        <v>3133</v>
      </c>
      <c r="B14" s="64">
        <v>5.23</v>
      </c>
      <c r="C14" s="64">
        <v>8.61</v>
      </c>
      <c r="D14" s="64">
        <v>7.32</v>
      </c>
      <c r="E14" s="64">
        <v>4.32</v>
      </c>
      <c r="F14" s="64">
        <v>4.47</v>
      </c>
      <c r="G14" s="64">
        <v>65.849999999999994</v>
      </c>
      <c r="H14" s="64">
        <v>40.479999999999997</v>
      </c>
      <c r="I14" s="64">
        <v>2.09</v>
      </c>
      <c r="J14" s="64">
        <v>0.55000000000000004</v>
      </c>
      <c r="K14" s="64">
        <v>298.43</v>
      </c>
      <c r="L14" s="64">
        <v>23.72</v>
      </c>
      <c r="M14" s="64">
        <v>102.73</v>
      </c>
      <c r="N14" s="64">
        <v>26.1</v>
      </c>
      <c r="O14" s="64">
        <v>0</v>
      </c>
      <c r="P14" s="64">
        <v>0.6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5" t="s">
        <v>3134</v>
      </c>
      <c r="B15" s="64">
        <v>5.25</v>
      </c>
      <c r="C15" s="64">
        <v>8.5500000000000007</v>
      </c>
      <c r="D15" s="64">
        <v>7.3</v>
      </c>
      <c r="E15" s="64">
        <v>4.41</v>
      </c>
      <c r="F15" s="64">
        <v>4.09</v>
      </c>
      <c r="G15" s="64">
        <v>64.36</v>
      </c>
      <c r="H15" s="64">
        <v>39.57</v>
      </c>
      <c r="I15" s="64">
        <v>2.23</v>
      </c>
      <c r="J15" s="64">
        <v>0.47</v>
      </c>
      <c r="K15" s="64">
        <v>298.47000000000003</v>
      </c>
      <c r="L15" s="64">
        <v>23.8</v>
      </c>
      <c r="M15" s="64">
        <v>102.73</v>
      </c>
      <c r="N15" s="64">
        <v>26.1</v>
      </c>
      <c r="O15" s="64">
        <v>0</v>
      </c>
      <c r="P15" s="64">
        <v>0.61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5" t="s">
        <v>3135</v>
      </c>
      <c r="B16" s="64">
        <v>5.25</v>
      </c>
      <c r="C16" s="64">
        <v>8.52</v>
      </c>
      <c r="D16" s="64">
        <v>7.29</v>
      </c>
      <c r="E16" s="64">
        <v>4.6100000000000003</v>
      </c>
      <c r="F16" s="64">
        <v>3.69</v>
      </c>
      <c r="G16" s="64">
        <v>64.36</v>
      </c>
      <c r="H16" s="64">
        <v>39.57</v>
      </c>
      <c r="I16" s="64">
        <v>2.23</v>
      </c>
      <c r="J16" s="64">
        <v>0.55000000000000004</v>
      </c>
      <c r="K16" s="64">
        <v>298.45999999999998</v>
      </c>
      <c r="L16" s="64">
        <v>23.74</v>
      </c>
      <c r="M16" s="64">
        <v>102.73</v>
      </c>
      <c r="N16" s="64">
        <v>26.1</v>
      </c>
      <c r="O16" s="64">
        <v>0</v>
      </c>
      <c r="P16" s="64">
        <v>0.63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5" t="s">
        <v>3136</v>
      </c>
      <c r="B17" s="64">
        <v>5.25</v>
      </c>
      <c r="C17" s="64">
        <v>8.41</v>
      </c>
      <c r="D17" s="64">
        <v>7.22</v>
      </c>
      <c r="E17" s="64">
        <v>4.47</v>
      </c>
      <c r="F17" s="64">
        <v>4.9400000000000004</v>
      </c>
      <c r="G17" s="64">
        <v>64.36</v>
      </c>
      <c r="H17" s="64">
        <v>39.57</v>
      </c>
      <c r="I17" s="64">
        <v>2.44</v>
      </c>
      <c r="J17" s="64">
        <v>0.46</v>
      </c>
      <c r="K17" s="64">
        <v>283.27</v>
      </c>
      <c r="L17" s="64">
        <v>23.59</v>
      </c>
      <c r="M17" s="64">
        <v>102.73</v>
      </c>
      <c r="N17" s="64">
        <v>26.1</v>
      </c>
      <c r="O17" s="64">
        <v>0</v>
      </c>
      <c r="P17" s="64">
        <v>0.5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5" t="s">
        <v>3137</v>
      </c>
      <c r="B18" s="64">
        <v>5.13</v>
      </c>
      <c r="C18" s="64">
        <v>8.17</v>
      </c>
      <c r="D18" s="64">
        <v>7</v>
      </c>
      <c r="E18" s="64">
        <v>4.46</v>
      </c>
      <c r="F18" s="64">
        <v>5.04</v>
      </c>
      <c r="G18" s="64">
        <v>67.31</v>
      </c>
      <c r="H18" s="64">
        <v>37.76</v>
      </c>
      <c r="I18" s="64">
        <v>2.46</v>
      </c>
      <c r="J18" s="64">
        <v>0.49</v>
      </c>
      <c r="K18" s="64">
        <v>212.11</v>
      </c>
      <c r="L18" s="64">
        <v>23.76</v>
      </c>
      <c r="M18" s="64">
        <v>102.73</v>
      </c>
      <c r="N18" s="64">
        <v>26</v>
      </c>
      <c r="O18" s="64">
        <v>0</v>
      </c>
      <c r="P18" s="64">
        <v>0.45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5" t="s">
        <v>3138</v>
      </c>
      <c r="B19" s="64">
        <v>4.91</v>
      </c>
      <c r="C19" s="64">
        <v>8.3800000000000008</v>
      </c>
      <c r="D19" s="64">
        <v>6.94</v>
      </c>
      <c r="E19" s="64">
        <v>4.59</v>
      </c>
      <c r="F19" s="64">
        <v>4.09</v>
      </c>
      <c r="G19" s="64">
        <v>69.099999999999994</v>
      </c>
      <c r="H19" s="64">
        <v>37.369999999999997</v>
      </c>
      <c r="I19" s="64">
        <v>2.0699999999999998</v>
      </c>
      <c r="J19" s="64">
        <v>0.18</v>
      </c>
      <c r="K19" s="64">
        <v>325.85000000000002</v>
      </c>
      <c r="L19" s="64">
        <v>23.88</v>
      </c>
      <c r="M19" s="64">
        <v>102.55</v>
      </c>
      <c r="N19" s="64">
        <v>26.1</v>
      </c>
      <c r="O19" s="64">
        <v>0</v>
      </c>
      <c r="P19" s="64">
        <v>0.6</v>
      </c>
      <c r="Q19" s="64">
        <v>9.6199999999999992</v>
      </c>
      <c r="R19" s="198"/>
      <c r="S19" s="198"/>
      <c r="T19" s="198"/>
      <c r="U19" s="198"/>
    </row>
    <row r="20" spans="1:21" s="12" customFormat="1" x14ac:dyDescent="0.25">
      <c r="A20" s="215" t="s">
        <v>3139</v>
      </c>
      <c r="B20" s="64">
        <v>4.59</v>
      </c>
      <c r="C20" s="64">
        <v>8.4</v>
      </c>
      <c r="D20" s="64">
        <v>6.69</v>
      </c>
      <c r="E20" s="64">
        <v>4.8899999999999997</v>
      </c>
      <c r="F20" s="64">
        <v>4.1100000000000003</v>
      </c>
      <c r="G20" s="64">
        <v>69.099999999999994</v>
      </c>
      <c r="H20" s="64">
        <v>37.369999999999997</v>
      </c>
      <c r="I20" s="64">
        <v>2.62</v>
      </c>
      <c r="J20" s="64">
        <v>0.51</v>
      </c>
      <c r="K20" s="64">
        <v>332.26</v>
      </c>
      <c r="L20" s="64">
        <v>23.81</v>
      </c>
      <c r="M20" s="64">
        <v>102.54</v>
      </c>
      <c r="N20" s="64">
        <v>26.1</v>
      </c>
      <c r="O20" s="64">
        <v>0</v>
      </c>
      <c r="P20" s="64">
        <v>0.56000000000000005</v>
      </c>
      <c r="Q20" s="64">
        <v>9.61</v>
      </c>
      <c r="R20" s="198"/>
      <c r="S20" s="198"/>
      <c r="T20" s="198"/>
      <c r="U20" s="198"/>
    </row>
    <row r="21" spans="1:21" s="12" customFormat="1" x14ac:dyDescent="0.25">
      <c r="A21" s="215" t="s">
        <v>3140</v>
      </c>
      <c r="B21" s="64">
        <v>4.17</v>
      </c>
      <c r="C21" s="64">
        <v>8.34</v>
      </c>
      <c r="D21" s="64">
        <v>6.33</v>
      </c>
      <c r="E21" s="64">
        <v>4.8600000000000003</v>
      </c>
      <c r="F21" s="64">
        <v>3.73</v>
      </c>
      <c r="G21" s="64">
        <v>69.099999999999994</v>
      </c>
      <c r="H21" s="64">
        <v>37.369999999999997</v>
      </c>
      <c r="I21" s="64">
        <v>3.92</v>
      </c>
      <c r="J21" s="64">
        <v>0.59</v>
      </c>
      <c r="K21" s="64">
        <v>333.54</v>
      </c>
      <c r="L21" s="64">
        <v>23.64</v>
      </c>
      <c r="M21" s="64">
        <v>102.69</v>
      </c>
      <c r="N21" s="64">
        <v>26</v>
      </c>
      <c r="O21" s="64">
        <v>0</v>
      </c>
      <c r="P21" s="64">
        <v>0.51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5" t="s">
        <v>3141</v>
      </c>
      <c r="B22" s="64">
        <v>3.91</v>
      </c>
      <c r="C22" s="64">
        <v>8.57</v>
      </c>
      <c r="D22" s="64">
        <v>6.23</v>
      </c>
      <c r="E22" s="64">
        <v>4.59</v>
      </c>
      <c r="F22" s="64">
        <v>4.0999999999999996</v>
      </c>
      <c r="G22" s="64">
        <v>66.33</v>
      </c>
      <c r="H22" s="64">
        <v>34.67</v>
      </c>
      <c r="I22" s="64">
        <v>4.12</v>
      </c>
      <c r="J22" s="64">
        <v>0.98</v>
      </c>
      <c r="K22" s="64">
        <v>337.3</v>
      </c>
      <c r="L22" s="64">
        <v>23.63</v>
      </c>
      <c r="M22" s="64">
        <v>102.73</v>
      </c>
      <c r="N22" s="64">
        <v>25.8</v>
      </c>
      <c r="O22" s="64">
        <v>0</v>
      </c>
      <c r="P22" s="64">
        <v>0.52</v>
      </c>
      <c r="Q22" s="64">
        <v>9.6</v>
      </c>
      <c r="R22" s="198"/>
      <c r="S22" s="198"/>
      <c r="T22" s="198"/>
      <c r="U22" s="198"/>
    </row>
    <row r="23" spans="1:21" s="12" customFormat="1" x14ac:dyDescent="0.25">
      <c r="A23" s="215" t="s">
        <v>3142</v>
      </c>
      <c r="B23" s="64">
        <v>3.67</v>
      </c>
      <c r="C23" s="64">
        <v>8.68</v>
      </c>
      <c r="D23" s="64">
        <v>6.1</v>
      </c>
      <c r="E23" s="64">
        <v>4.45</v>
      </c>
      <c r="F23" s="64">
        <v>3.71</v>
      </c>
      <c r="G23" s="64">
        <v>64.650000000000006</v>
      </c>
      <c r="H23" s="64">
        <v>33.65</v>
      </c>
      <c r="I23" s="64">
        <v>4.0199999999999996</v>
      </c>
      <c r="J23" s="64">
        <v>1.02</v>
      </c>
      <c r="K23" s="64">
        <v>337.49</v>
      </c>
      <c r="L23" s="64">
        <v>23.74</v>
      </c>
      <c r="M23" s="64">
        <v>102.72</v>
      </c>
      <c r="N23" s="64">
        <v>25.8</v>
      </c>
      <c r="O23" s="64">
        <v>0</v>
      </c>
      <c r="P23" s="64">
        <v>0.53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5" t="s">
        <v>3143</v>
      </c>
      <c r="B24" s="64">
        <v>3.54</v>
      </c>
      <c r="C24" s="64">
        <v>8.7200000000000006</v>
      </c>
      <c r="D24" s="64">
        <v>6.02</v>
      </c>
      <c r="E24" s="64">
        <v>3.73</v>
      </c>
      <c r="F24" s="64">
        <v>4.4000000000000004</v>
      </c>
      <c r="G24" s="64">
        <v>64.650000000000006</v>
      </c>
      <c r="H24" s="64">
        <v>33.65</v>
      </c>
      <c r="I24" s="64">
        <v>3.51</v>
      </c>
      <c r="J24" s="64">
        <v>0.94</v>
      </c>
      <c r="K24" s="64">
        <v>336.55</v>
      </c>
      <c r="L24" s="64">
        <v>23.62</v>
      </c>
      <c r="M24" s="64">
        <v>102.73</v>
      </c>
      <c r="N24" s="64">
        <v>26.1</v>
      </c>
      <c r="O24" s="64">
        <v>0</v>
      </c>
      <c r="P24" s="64">
        <v>0.55000000000000004</v>
      </c>
      <c r="Q24" s="64">
        <v>9.6</v>
      </c>
      <c r="R24" s="198"/>
      <c r="S24" s="198"/>
      <c r="T24" s="198"/>
      <c r="U24" s="198"/>
    </row>
    <row r="25" spans="1:21" s="12" customFormat="1" x14ac:dyDescent="0.25">
      <c r="A25" s="215" t="s">
        <v>3144</v>
      </c>
      <c r="B25" s="64">
        <v>3.64</v>
      </c>
      <c r="C25" s="64">
        <v>9.0299999999999994</v>
      </c>
      <c r="D25" s="64">
        <v>6.26</v>
      </c>
      <c r="E25" s="64">
        <v>3.46</v>
      </c>
      <c r="F25" s="64">
        <v>4.59</v>
      </c>
      <c r="G25" s="64">
        <v>64.650000000000006</v>
      </c>
      <c r="H25" s="64">
        <v>33.65</v>
      </c>
      <c r="I25" s="64">
        <v>3.24</v>
      </c>
      <c r="J25" s="64">
        <v>0.65</v>
      </c>
      <c r="K25" s="64">
        <v>346.76</v>
      </c>
      <c r="L25" s="64">
        <v>23.55</v>
      </c>
      <c r="M25" s="64">
        <v>102.74</v>
      </c>
      <c r="N25" s="64">
        <v>26.1</v>
      </c>
      <c r="O25" s="64">
        <v>0</v>
      </c>
      <c r="P25" s="64">
        <v>0.55000000000000004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5" t="s">
        <v>3145</v>
      </c>
      <c r="B26" s="64">
        <v>4.05</v>
      </c>
      <c r="C26" s="64">
        <v>8.7100000000000009</v>
      </c>
      <c r="D26" s="64">
        <v>6.42</v>
      </c>
      <c r="E26" s="64">
        <v>3.36</v>
      </c>
      <c r="F26" s="64">
        <v>4.21</v>
      </c>
      <c r="G26" s="64">
        <v>66.150000000000006</v>
      </c>
      <c r="H26" s="64">
        <v>31.7</v>
      </c>
      <c r="I26" s="64">
        <v>3.39</v>
      </c>
      <c r="J26" s="64">
        <v>0.46</v>
      </c>
      <c r="K26" s="64">
        <v>10.36</v>
      </c>
      <c r="L26" s="64">
        <v>23.45</v>
      </c>
      <c r="M26" s="64">
        <v>102.73</v>
      </c>
      <c r="N26" s="64">
        <v>26.1</v>
      </c>
      <c r="O26" s="64">
        <v>0</v>
      </c>
      <c r="P26" s="64">
        <v>0.59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5" t="s">
        <v>3146</v>
      </c>
      <c r="B27" s="64">
        <v>4.7300000000000004</v>
      </c>
      <c r="C27" s="64">
        <v>9.49</v>
      </c>
      <c r="D27" s="64">
        <v>7.38</v>
      </c>
      <c r="E27" s="64">
        <v>3.92</v>
      </c>
      <c r="F27" s="64">
        <v>3.94</v>
      </c>
      <c r="G27" s="64">
        <v>67.069999999999993</v>
      </c>
      <c r="H27" s="64">
        <v>31.28</v>
      </c>
      <c r="I27" s="64">
        <v>2.9</v>
      </c>
      <c r="J27" s="64">
        <v>0.64</v>
      </c>
      <c r="K27" s="64">
        <v>354.37</v>
      </c>
      <c r="L27" s="64">
        <v>23.43</v>
      </c>
      <c r="M27" s="64">
        <v>102.75</v>
      </c>
      <c r="N27" s="64">
        <v>26</v>
      </c>
      <c r="O27" s="64">
        <v>0</v>
      </c>
      <c r="P27" s="64">
        <v>0.63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5" t="s">
        <v>3147</v>
      </c>
      <c r="B28" s="64">
        <v>5.66</v>
      </c>
      <c r="C28" s="64">
        <v>9.52</v>
      </c>
      <c r="D28" s="64">
        <v>8.1300000000000008</v>
      </c>
      <c r="E28" s="64">
        <v>3.8</v>
      </c>
      <c r="F28" s="64">
        <v>3.62</v>
      </c>
      <c r="G28" s="64">
        <v>67.069999999999993</v>
      </c>
      <c r="H28" s="64">
        <v>31.28</v>
      </c>
      <c r="I28" s="64">
        <v>3.68</v>
      </c>
      <c r="J28" s="64">
        <v>0.8</v>
      </c>
      <c r="K28" s="64">
        <v>342.75</v>
      </c>
      <c r="L28" s="64">
        <v>23.51</v>
      </c>
      <c r="M28" s="64">
        <v>102.73</v>
      </c>
      <c r="N28" s="64">
        <v>25.9</v>
      </c>
      <c r="O28" s="64">
        <v>0</v>
      </c>
      <c r="P28" s="64">
        <v>0.83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5" t="s">
        <v>3148</v>
      </c>
      <c r="B29" s="64">
        <v>6.87</v>
      </c>
      <c r="C29" s="64">
        <v>9.5299999999999994</v>
      </c>
      <c r="D29" s="64">
        <v>9.1199999999999992</v>
      </c>
      <c r="E29" s="64">
        <v>3.77</v>
      </c>
      <c r="F29" s="64">
        <v>4.4400000000000004</v>
      </c>
      <c r="G29" s="64">
        <v>67.069999999999993</v>
      </c>
      <c r="H29" s="64">
        <v>31.28</v>
      </c>
      <c r="I29" s="64">
        <v>3.59</v>
      </c>
      <c r="J29" s="64">
        <v>0.24</v>
      </c>
      <c r="K29" s="64">
        <v>311.87</v>
      </c>
      <c r="L29" s="64">
        <v>23.47</v>
      </c>
      <c r="M29" s="64">
        <v>102.75</v>
      </c>
      <c r="N29" s="64">
        <v>26.1</v>
      </c>
      <c r="O29" s="64">
        <v>0</v>
      </c>
      <c r="P29" s="64">
        <v>0.95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5" t="s">
        <v>3149</v>
      </c>
      <c r="B30" s="64">
        <v>7.96</v>
      </c>
      <c r="C30" s="64">
        <v>9.7799999999999994</v>
      </c>
      <c r="D30" s="64">
        <v>10.11</v>
      </c>
      <c r="E30" s="64">
        <v>3.56</v>
      </c>
      <c r="F30" s="64">
        <v>3.98</v>
      </c>
      <c r="G30" s="64">
        <v>82.2</v>
      </c>
      <c r="H30" s="64">
        <v>43.68</v>
      </c>
      <c r="I30" s="64">
        <v>3.68</v>
      </c>
      <c r="J30" s="64">
        <v>0.23</v>
      </c>
      <c r="K30" s="64">
        <v>64.36</v>
      </c>
      <c r="L30" s="64">
        <v>23.44</v>
      </c>
      <c r="M30" s="64">
        <v>102.76</v>
      </c>
      <c r="N30" s="64">
        <v>26.1</v>
      </c>
      <c r="O30" s="64">
        <v>0</v>
      </c>
      <c r="P30" s="64">
        <v>0.95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5" t="s">
        <v>3150</v>
      </c>
      <c r="B31" s="64">
        <v>9.08</v>
      </c>
      <c r="C31" s="64">
        <v>9.9</v>
      </c>
      <c r="D31" s="64">
        <v>11.08</v>
      </c>
      <c r="E31" s="64">
        <v>4.1100000000000003</v>
      </c>
      <c r="F31" s="64">
        <v>3.93</v>
      </c>
      <c r="G31" s="64">
        <v>91.83</v>
      </c>
      <c r="H31" s="64">
        <v>46.39</v>
      </c>
      <c r="I31" s="64">
        <v>4.05</v>
      </c>
      <c r="J31" s="64">
        <v>0.42</v>
      </c>
      <c r="K31" s="64">
        <v>90.58</v>
      </c>
      <c r="L31" s="64">
        <v>23.46</v>
      </c>
      <c r="M31" s="64">
        <v>102.76</v>
      </c>
      <c r="N31" s="64">
        <v>26.1</v>
      </c>
      <c r="O31" s="64">
        <v>0</v>
      </c>
      <c r="P31" s="64">
        <v>0.84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5" t="s">
        <v>3151</v>
      </c>
      <c r="B32" s="64">
        <v>9.59</v>
      </c>
      <c r="C32" s="64">
        <v>9.85</v>
      </c>
      <c r="D32" s="64">
        <v>11.46</v>
      </c>
      <c r="E32" s="64">
        <v>4.13</v>
      </c>
      <c r="F32" s="64">
        <v>4.55</v>
      </c>
      <c r="G32" s="64">
        <v>91.83</v>
      </c>
      <c r="H32" s="64">
        <v>46.39</v>
      </c>
      <c r="I32" s="64">
        <v>4.3899999999999997</v>
      </c>
      <c r="J32" s="64">
        <v>0.19</v>
      </c>
      <c r="K32" s="64">
        <v>98.02</v>
      </c>
      <c r="L32" s="64">
        <v>23.45</v>
      </c>
      <c r="M32" s="64">
        <v>102.77</v>
      </c>
      <c r="N32" s="64">
        <v>26.4</v>
      </c>
      <c r="O32" s="64">
        <v>0</v>
      </c>
      <c r="P32" s="64">
        <v>0.87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5" t="s">
        <v>3152</v>
      </c>
      <c r="B33" s="64">
        <v>9.94</v>
      </c>
      <c r="C33" s="64">
        <v>9.7200000000000006</v>
      </c>
      <c r="D33" s="64">
        <v>11.67</v>
      </c>
      <c r="E33" s="64">
        <v>3.92</v>
      </c>
      <c r="F33" s="64">
        <v>4.05</v>
      </c>
      <c r="G33" s="64">
        <v>91.83</v>
      </c>
      <c r="H33" s="64">
        <v>46.39</v>
      </c>
      <c r="I33" s="64">
        <v>4.8499999999999996</v>
      </c>
      <c r="J33" s="64">
        <v>0.27</v>
      </c>
      <c r="K33" s="64">
        <v>268.44</v>
      </c>
      <c r="L33" s="64">
        <v>23.41</v>
      </c>
      <c r="M33" s="64">
        <v>102.78</v>
      </c>
      <c r="N33" s="64">
        <v>28.7</v>
      </c>
      <c r="O33" s="64">
        <v>0</v>
      </c>
      <c r="P33" s="64">
        <v>1.08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5" t="s">
        <v>3153</v>
      </c>
      <c r="B34" s="64">
        <v>10.29</v>
      </c>
      <c r="C34" s="64">
        <v>9.6999999999999993</v>
      </c>
      <c r="D34" s="64">
        <v>11.95</v>
      </c>
      <c r="E34" s="64">
        <v>3.78</v>
      </c>
      <c r="F34" s="64">
        <v>3.53</v>
      </c>
      <c r="G34" s="64">
        <v>102.45</v>
      </c>
      <c r="H34" s="64">
        <v>51.63</v>
      </c>
      <c r="I34" s="64">
        <v>4.68</v>
      </c>
      <c r="J34" s="64">
        <v>0.73</v>
      </c>
      <c r="K34" s="64">
        <v>341.63</v>
      </c>
      <c r="L34" s="64">
        <v>23.5</v>
      </c>
      <c r="M34" s="64">
        <v>102.76</v>
      </c>
      <c r="N34" s="64">
        <v>36</v>
      </c>
      <c r="O34" s="64">
        <v>0</v>
      </c>
      <c r="P34" s="64">
        <v>1.83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5" t="s">
        <v>3154</v>
      </c>
      <c r="B35" s="64">
        <v>10.9</v>
      </c>
      <c r="C35" s="64">
        <v>9.65</v>
      </c>
      <c r="D35" s="64">
        <v>12.4</v>
      </c>
      <c r="E35" s="64">
        <v>4.4400000000000004</v>
      </c>
      <c r="F35" s="64">
        <v>3.73</v>
      </c>
      <c r="G35" s="64">
        <v>108.89</v>
      </c>
      <c r="H35" s="64">
        <v>52.78</v>
      </c>
      <c r="I35" s="64">
        <v>4.87</v>
      </c>
      <c r="J35" s="64">
        <v>0.24</v>
      </c>
      <c r="K35" s="64">
        <v>347.29</v>
      </c>
      <c r="L35" s="64">
        <v>23.85</v>
      </c>
      <c r="M35" s="64">
        <v>102.73</v>
      </c>
      <c r="N35" s="64">
        <v>48.9</v>
      </c>
      <c r="O35" s="64">
        <v>0</v>
      </c>
      <c r="P35" s="64">
        <v>1.62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5" t="s">
        <v>3155</v>
      </c>
      <c r="B36" s="64">
        <v>12.08</v>
      </c>
      <c r="C36" s="64">
        <v>10.45</v>
      </c>
      <c r="D36" s="64">
        <v>13.77</v>
      </c>
      <c r="E36" s="64">
        <v>4.59</v>
      </c>
      <c r="F36" s="64">
        <v>3.98</v>
      </c>
      <c r="G36" s="64">
        <v>108.89</v>
      </c>
      <c r="H36" s="64">
        <v>52.78</v>
      </c>
      <c r="I36" s="64">
        <v>4.8600000000000003</v>
      </c>
      <c r="J36" s="64">
        <v>0.82</v>
      </c>
      <c r="K36" s="64">
        <v>113.89</v>
      </c>
      <c r="L36" s="64">
        <v>24.07</v>
      </c>
      <c r="M36" s="64">
        <v>102.73</v>
      </c>
      <c r="N36" s="64">
        <v>67.400000000000006</v>
      </c>
      <c r="O36" s="64">
        <v>0</v>
      </c>
      <c r="P36" s="64">
        <v>0.94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5" t="s">
        <v>3156</v>
      </c>
      <c r="B37" s="64">
        <v>12.37</v>
      </c>
      <c r="C37" s="64">
        <v>10.14</v>
      </c>
      <c r="D37" s="64">
        <v>13.84</v>
      </c>
      <c r="E37" s="64">
        <v>4.5</v>
      </c>
      <c r="F37" s="64">
        <v>5.57</v>
      </c>
      <c r="G37" s="64">
        <v>108.89</v>
      </c>
      <c r="H37" s="64">
        <v>52.78</v>
      </c>
      <c r="I37" s="64">
        <v>5.27</v>
      </c>
      <c r="J37" s="64">
        <v>0.45</v>
      </c>
      <c r="K37" s="64">
        <v>104.42</v>
      </c>
      <c r="L37" s="64">
        <v>24.35</v>
      </c>
      <c r="M37" s="64">
        <v>102.37</v>
      </c>
      <c r="N37" s="64">
        <v>95.4</v>
      </c>
      <c r="O37" s="64">
        <v>0</v>
      </c>
      <c r="P37" s="64">
        <v>0.91</v>
      </c>
      <c r="Q37" s="64">
        <v>9.61</v>
      </c>
      <c r="R37" s="198"/>
      <c r="S37" s="198"/>
      <c r="T37" s="198"/>
      <c r="U37" s="198"/>
    </row>
    <row r="38" spans="1:21" s="12" customFormat="1" x14ac:dyDescent="0.25">
      <c r="A38" s="215" t="s">
        <v>3157</v>
      </c>
      <c r="B38" s="64">
        <v>12.69</v>
      </c>
      <c r="C38" s="64">
        <v>10.220000000000001</v>
      </c>
      <c r="D38" s="64">
        <v>14.14</v>
      </c>
      <c r="E38" s="64">
        <v>4.6100000000000003</v>
      </c>
      <c r="F38" s="64">
        <v>4.07</v>
      </c>
      <c r="G38" s="64">
        <v>113.16</v>
      </c>
      <c r="H38" s="64">
        <v>54.72</v>
      </c>
      <c r="I38" s="64">
        <v>4.91</v>
      </c>
      <c r="J38" s="64">
        <v>0.98</v>
      </c>
      <c r="K38" s="64">
        <v>334.69</v>
      </c>
      <c r="L38" s="64">
        <v>25.42</v>
      </c>
      <c r="M38" s="64">
        <v>96.5</v>
      </c>
      <c r="N38" s="64">
        <v>130.4</v>
      </c>
      <c r="O38" s="64">
        <v>0</v>
      </c>
      <c r="P38" s="64">
        <v>1.03</v>
      </c>
      <c r="Q38" s="64">
        <v>9.61</v>
      </c>
      <c r="R38" s="198"/>
      <c r="S38" s="198"/>
      <c r="T38" s="198"/>
      <c r="U38" s="198"/>
    </row>
    <row r="39" spans="1:21" s="12" customFormat="1" x14ac:dyDescent="0.25">
      <c r="A39" s="215" t="s">
        <v>3158</v>
      </c>
      <c r="B39" s="64">
        <v>12.96</v>
      </c>
      <c r="C39" s="64">
        <v>10.95</v>
      </c>
      <c r="D39" s="64">
        <v>14.73</v>
      </c>
      <c r="E39" s="64">
        <v>4.1500000000000004</v>
      </c>
      <c r="F39" s="64">
        <v>4.05</v>
      </c>
      <c r="G39" s="64">
        <v>115.76</v>
      </c>
      <c r="H39" s="64">
        <v>55.44</v>
      </c>
      <c r="I39" s="64">
        <v>5.09</v>
      </c>
      <c r="J39" s="64">
        <v>0.82</v>
      </c>
      <c r="K39" s="64">
        <v>339.06</v>
      </c>
      <c r="L39" s="64">
        <v>26.59</v>
      </c>
      <c r="M39" s="64">
        <v>89.4</v>
      </c>
      <c r="N39" s="64">
        <v>155.5</v>
      </c>
      <c r="O39" s="64">
        <v>0</v>
      </c>
      <c r="P39" s="64">
        <v>0.9</v>
      </c>
      <c r="Q39" s="64">
        <v>9.6199999999999992</v>
      </c>
      <c r="R39" s="198"/>
      <c r="S39" s="198"/>
      <c r="T39" s="198"/>
      <c r="U39" s="198"/>
    </row>
    <row r="40" spans="1:21" s="12" customFormat="1" x14ac:dyDescent="0.25">
      <c r="A40" s="215" t="s">
        <v>3159</v>
      </c>
      <c r="B40" s="64">
        <v>12.98</v>
      </c>
      <c r="C40" s="64">
        <v>11.15</v>
      </c>
      <c r="D40" s="64">
        <v>14.86</v>
      </c>
      <c r="E40" s="64">
        <v>5.9</v>
      </c>
      <c r="F40" s="64">
        <v>4.96</v>
      </c>
      <c r="G40" s="64">
        <v>115.76</v>
      </c>
      <c r="H40" s="64">
        <v>55.44</v>
      </c>
      <c r="I40" s="64">
        <v>5.57</v>
      </c>
      <c r="J40" s="64">
        <v>0.86</v>
      </c>
      <c r="K40" s="64">
        <v>340.17</v>
      </c>
      <c r="L40" s="64">
        <v>27.77</v>
      </c>
      <c r="M40" s="64">
        <v>83.49</v>
      </c>
      <c r="N40" s="64">
        <v>188.7</v>
      </c>
      <c r="O40" s="64">
        <v>0</v>
      </c>
      <c r="P40" s="64">
        <v>0.92</v>
      </c>
      <c r="Q40" s="64">
        <v>9.61</v>
      </c>
      <c r="R40" s="198"/>
      <c r="S40" s="198"/>
      <c r="T40" s="198"/>
      <c r="U40" s="198"/>
    </row>
    <row r="41" spans="1:21" s="12" customFormat="1" x14ac:dyDescent="0.25">
      <c r="A41" s="215" t="s">
        <v>3160</v>
      </c>
      <c r="B41" s="64">
        <v>13.04</v>
      </c>
      <c r="C41" s="64">
        <v>12.35</v>
      </c>
      <c r="D41" s="64">
        <v>15.54</v>
      </c>
      <c r="E41" s="64">
        <v>6.12</v>
      </c>
      <c r="F41" s="64">
        <v>3.69</v>
      </c>
      <c r="G41" s="64">
        <v>115.76</v>
      </c>
      <c r="H41" s="64">
        <v>55.44</v>
      </c>
      <c r="I41" s="64">
        <v>4.49</v>
      </c>
      <c r="J41" s="64">
        <v>0.99</v>
      </c>
      <c r="K41" s="64">
        <v>341.24</v>
      </c>
      <c r="L41" s="64">
        <v>28.59</v>
      </c>
      <c r="M41" s="64">
        <v>79.81</v>
      </c>
      <c r="N41" s="64">
        <v>224.2</v>
      </c>
      <c r="O41" s="64">
        <v>0</v>
      </c>
      <c r="P41" s="64">
        <v>0.99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5" t="s">
        <v>3161</v>
      </c>
      <c r="B42" s="64">
        <v>13.05</v>
      </c>
      <c r="C42" s="64">
        <v>12.9</v>
      </c>
      <c r="D42" s="64">
        <v>15.82</v>
      </c>
      <c r="E42" s="64">
        <v>5.92</v>
      </c>
      <c r="F42" s="64">
        <v>4.51</v>
      </c>
      <c r="G42" s="64">
        <v>116.82</v>
      </c>
      <c r="H42" s="64">
        <v>56.55</v>
      </c>
      <c r="I42" s="64">
        <v>5.39</v>
      </c>
      <c r="J42" s="64">
        <v>0.3</v>
      </c>
      <c r="K42" s="64">
        <v>63.19</v>
      </c>
      <c r="L42" s="64">
        <v>28.62</v>
      </c>
      <c r="M42" s="64">
        <v>80.7</v>
      </c>
      <c r="N42" s="64">
        <v>260.60000000000002</v>
      </c>
      <c r="O42" s="64">
        <v>0</v>
      </c>
      <c r="P42" s="64">
        <v>0.9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5" t="s">
        <v>3162</v>
      </c>
      <c r="B43" s="64">
        <v>12.53</v>
      </c>
      <c r="C43" s="64">
        <v>12.78</v>
      </c>
      <c r="D43" s="64">
        <v>15.35</v>
      </c>
      <c r="E43" s="64">
        <v>6.32</v>
      </c>
      <c r="F43" s="64">
        <v>4.1500000000000004</v>
      </c>
      <c r="G43" s="64">
        <v>117.49</v>
      </c>
      <c r="H43" s="64">
        <v>56.79</v>
      </c>
      <c r="I43" s="64">
        <v>5.56</v>
      </c>
      <c r="J43" s="64">
        <v>0.47</v>
      </c>
      <c r="K43" s="64">
        <v>111.19</v>
      </c>
      <c r="L43" s="64">
        <v>28.41</v>
      </c>
      <c r="M43" s="64">
        <v>82.05</v>
      </c>
      <c r="N43" s="64">
        <v>300.3</v>
      </c>
      <c r="O43" s="64">
        <v>0</v>
      </c>
      <c r="P43" s="64">
        <v>0.91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5" t="s">
        <v>3163</v>
      </c>
      <c r="B44" s="64">
        <v>11.56</v>
      </c>
      <c r="C44" s="64">
        <v>13.2</v>
      </c>
      <c r="D44" s="64">
        <v>14.79</v>
      </c>
      <c r="E44" s="64">
        <v>6.25</v>
      </c>
      <c r="F44" s="64">
        <v>4.29</v>
      </c>
      <c r="G44" s="64">
        <v>117.49</v>
      </c>
      <c r="H44" s="64">
        <v>56.79</v>
      </c>
      <c r="I44" s="64">
        <v>4.8600000000000003</v>
      </c>
      <c r="J44" s="64">
        <v>1.08</v>
      </c>
      <c r="K44" s="64">
        <v>111.87</v>
      </c>
      <c r="L44" s="64">
        <v>28.13</v>
      </c>
      <c r="M44" s="64">
        <v>82.29</v>
      </c>
      <c r="N44" s="64">
        <v>333.6</v>
      </c>
      <c r="O44" s="64">
        <v>0</v>
      </c>
      <c r="P44" s="64">
        <v>0.87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5" t="s">
        <v>3164</v>
      </c>
      <c r="B45" s="64">
        <v>10.54</v>
      </c>
      <c r="C45" s="64">
        <v>12.68</v>
      </c>
      <c r="D45" s="64">
        <v>13.71</v>
      </c>
      <c r="E45" s="64">
        <v>5.62</v>
      </c>
      <c r="F45" s="64">
        <v>4.43</v>
      </c>
      <c r="G45" s="64">
        <v>117.49</v>
      </c>
      <c r="H45" s="64">
        <v>56.79</v>
      </c>
      <c r="I45" s="64">
        <v>5.57</v>
      </c>
      <c r="J45" s="64">
        <v>0.79</v>
      </c>
      <c r="K45" s="64">
        <v>134.18</v>
      </c>
      <c r="L45" s="64">
        <v>28.56</v>
      </c>
      <c r="M45" s="64">
        <v>79.83</v>
      </c>
      <c r="N45" s="64">
        <v>362.8</v>
      </c>
      <c r="O45" s="64">
        <v>0</v>
      </c>
      <c r="P45" s="64">
        <v>0.72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5" t="s">
        <v>3165</v>
      </c>
      <c r="B46" s="64">
        <v>9.59</v>
      </c>
      <c r="C46" s="64">
        <v>12.23</v>
      </c>
      <c r="D46" s="64">
        <v>12.71</v>
      </c>
      <c r="E46" s="64">
        <v>5.59</v>
      </c>
      <c r="F46" s="64">
        <v>5.22</v>
      </c>
      <c r="G46" s="64">
        <v>116.16</v>
      </c>
      <c r="H46" s="64">
        <v>53.75</v>
      </c>
      <c r="I46" s="64">
        <v>4.83</v>
      </c>
      <c r="J46" s="64">
        <v>0.77</v>
      </c>
      <c r="K46" s="64">
        <v>100.98</v>
      </c>
      <c r="L46" s="64">
        <v>29.12</v>
      </c>
      <c r="M46" s="64">
        <v>77.48</v>
      </c>
      <c r="N46" s="64">
        <v>375.7</v>
      </c>
      <c r="O46" s="64">
        <v>0</v>
      </c>
      <c r="P46" s="64">
        <v>0.82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5" t="s">
        <v>3166</v>
      </c>
      <c r="B47" s="64">
        <v>8.58</v>
      </c>
      <c r="C47" s="64">
        <v>12.15</v>
      </c>
      <c r="D47" s="64">
        <v>11.85</v>
      </c>
      <c r="E47" s="64">
        <v>5.28</v>
      </c>
      <c r="F47" s="64">
        <v>5.3</v>
      </c>
      <c r="G47" s="64">
        <v>115.35</v>
      </c>
      <c r="H47" s="64">
        <v>53.09</v>
      </c>
      <c r="I47" s="64">
        <v>3.74</v>
      </c>
      <c r="J47" s="64">
        <v>1.1399999999999999</v>
      </c>
      <c r="K47" s="64">
        <v>114.28</v>
      </c>
      <c r="L47" s="64">
        <v>28.84</v>
      </c>
      <c r="M47" s="64">
        <v>78.64</v>
      </c>
      <c r="N47" s="64">
        <v>417.5</v>
      </c>
      <c r="O47" s="64">
        <v>0</v>
      </c>
      <c r="P47" s="64">
        <v>0.69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5" t="s">
        <v>3167</v>
      </c>
      <c r="B48" s="64">
        <v>7.41</v>
      </c>
      <c r="C48" s="64">
        <v>12.05</v>
      </c>
      <c r="D48" s="64">
        <v>10.86</v>
      </c>
      <c r="E48" s="64">
        <v>5.57</v>
      </c>
      <c r="F48" s="64">
        <v>4.96</v>
      </c>
      <c r="G48" s="64">
        <v>115.35</v>
      </c>
      <c r="H48" s="64">
        <v>53.09</v>
      </c>
      <c r="I48" s="64">
        <v>3.39</v>
      </c>
      <c r="J48" s="64">
        <v>1.36</v>
      </c>
      <c r="K48" s="64">
        <v>122.34</v>
      </c>
      <c r="L48" s="64">
        <v>28.58</v>
      </c>
      <c r="M48" s="64">
        <v>79.27</v>
      </c>
      <c r="N48" s="64">
        <v>390.6</v>
      </c>
      <c r="O48" s="64">
        <v>0</v>
      </c>
      <c r="P48" s="64">
        <v>0.7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5" t="s">
        <v>3168</v>
      </c>
      <c r="B49" s="64">
        <v>6.26</v>
      </c>
      <c r="C49" s="64">
        <v>11.71</v>
      </c>
      <c r="D49" s="64">
        <v>9.77</v>
      </c>
      <c r="E49" s="64">
        <v>5.27</v>
      </c>
      <c r="F49" s="64">
        <v>4.74</v>
      </c>
      <c r="G49" s="64">
        <v>115.35</v>
      </c>
      <c r="H49" s="64">
        <v>53.09</v>
      </c>
      <c r="I49" s="64">
        <v>3.75</v>
      </c>
      <c r="J49" s="64">
        <v>1.1499999999999999</v>
      </c>
      <c r="K49" s="64">
        <v>122.86</v>
      </c>
      <c r="L49" s="64">
        <v>28.55</v>
      </c>
      <c r="M49" s="64">
        <v>79.239999999999995</v>
      </c>
      <c r="N49" s="64">
        <v>292.60000000000002</v>
      </c>
      <c r="O49" s="64">
        <v>0</v>
      </c>
      <c r="P49" s="64">
        <v>0.61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5" t="s">
        <v>3169</v>
      </c>
      <c r="B50" s="64">
        <v>5.2</v>
      </c>
      <c r="C50" s="64">
        <v>11.5</v>
      </c>
      <c r="D50" s="64">
        <v>8.8000000000000007</v>
      </c>
      <c r="E50" s="64">
        <v>5.01</v>
      </c>
      <c r="F50" s="64">
        <v>5.23</v>
      </c>
      <c r="G50" s="64">
        <v>103.72</v>
      </c>
      <c r="H50" s="64">
        <v>51.22</v>
      </c>
      <c r="I50" s="64">
        <v>3.61</v>
      </c>
      <c r="J50" s="64">
        <v>0.93</v>
      </c>
      <c r="K50" s="64">
        <v>111.95</v>
      </c>
      <c r="L50" s="64">
        <v>28.55</v>
      </c>
      <c r="M50" s="64">
        <v>78.540000000000006</v>
      </c>
      <c r="N50" s="64">
        <v>227.4</v>
      </c>
      <c r="O50" s="64">
        <v>0</v>
      </c>
      <c r="P50" s="64">
        <v>0.57999999999999996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5" t="s">
        <v>3170</v>
      </c>
      <c r="B51" s="64">
        <v>3.24</v>
      </c>
      <c r="C51" s="64">
        <v>12.33</v>
      </c>
      <c r="D51" s="64">
        <v>7.66</v>
      </c>
      <c r="E51" s="64">
        <v>6.67</v>
      </c>
      <c r="F51" s="64">
        <v>16.87</v>
      </c>
      <c r="G51" s="64">
        <v>96.65</v>
      </c>
      <c r="H51" s="64">
        <v>50.82</v>
      </c>
      <c r="I51" s="64">
        <v>3.22</v>
      </c>
      <c r="J51" s="64">
        <v>0.76</v>
      </c>
      <c r="K51" s="64">
        <v>109.76</v>
      </c>
      <c r="L51" s="64">
        <v>28.55</v>
      </c>
      <c r="M51" s="64">
        <v>77.87</v>
      </c>
      <c r="N51" s="64">
        <v>300.60000000000002</v>
      </c>
      <c r="O51" s="64">
        <v>0</v>
      </c>
      <c r="P51" s="64">
        <v>0.52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5" t="s">
        <v>3171</v>
      </c>
      <c r="B52" s="64">
        <v>0.68</v>
      </c>
      <c r="C52" s="64">
        <v>14.09</v>
      </c>
      <c r="D52" s="64">
        <v>6.53</v>
      </c>
      <c r="E52" s="64">
        <v>7.74</v>
      </c>
      <c r="F52" s="64">
        <v>13.19</v>
      </c>
      <c r="G52" s="64">
        <v>96.65</v>
      </c>
      <c r="H52" s="64">
        <v>50.82</v>
      </c>
      <c r="I52" s="64">
        <v>3</v>
      </c>
      <c r="J52" s="64">
        <v>1.32</v>
      </c>
      <c r="K52" s="64">
        <v>120.28</v>
      </c>
      <c r="L52" s="64">
        <v>28.96</v>
      </c>
      <c r="M52" s="64">
        <v>76.13</v>
      </c>
      <c r="N52" s="64">
        <v>332.7</v>
      </c>
      <c r="O52" s="64">
        <v>0</v>
      </c>
      <c r="P52" s="64">
        <v>0.57999999999999996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5" t="s">
        <v>3172</v>
      </c>
      <c r="B53" s="64">
        <v>0.4</v>
      </c>
      <c r="C53" s="64">
        <v>14.09</v>
      </c>
      <c r="D53" s="64">
        <v>6.3</v>
      </c>
      <c r="E53" s="64">
        <v>7.08</v>
      </c>
      <c r="F53" s="64">
        <v>7.55</v>
      </c>
      <c r="G53" s="64">
        <v>96.65</v>
      </c>
      <c r="H53" s="64">
        <v>50.82</v>
      </c>
      <c r="I53" s="64">
        <v>2.42</v>
      </c>
      <c r="J53" s="64">
        <v>0.91</v>
      </c>
      <c r="K53" s="64">
        <v>335.59</v>
      </c>
      <c r="L53" s="64">
        <v>31.16</v>
      </c>
      <c r="M53" s="64">
        <v>67.83</v>
      </c>
      <c r="N53" s="64">
        <v>511.9</v>
      </c>
      <c r="O53" s="64">
        <v>0</v>
      </c>
      <c r="P53" s="64">
        <v>0.65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5" t="s">
        <v>3173</v>
      </c>
      <c r="B54" s="64">
        <v>1.02</v>
      </c>
      <c r="C54" s="64">
        <v>16.260000000000002</v>
      </c>
      <c r="D54" s="64">
        <v>7.94</v>
      </c>
      <c r="E54" s="64">
        <v>7.58</v>
      </c>
      <c r="F54" s="64">
        <v>7.77</v>
      </c>
      <c r="G54" s="64">
        <v>91.2</v>
      </c>
      <c r="H54" s="64">
        <v>47.23</v>
      </c>
      <c r="I54" s="64">
        <v>4</v>
      </c>
      <c r="J54" s="64">
        <v>0.63</v>
      </c>
      <c r="K54" s="64">
        <v>340.99</v>
      </c>
      <c r="L54" s="64">
        <v>32.729999999999997</v>
      </c>
      <c r="M54" s="64">
        <v>61.01</v>
      </c>
      <c r="N54" s="64">
        <v>490.6</v>
      </c>
      <c r="O54" s="64">
        <v>0</v>
      </c>
      <c r="P54" s="64">
        <v>0.63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5" t="s">
        <v>3174</v>
      </c>
      <c r="B55" s="64">
        <v>1.32</v>
      </c>
      <c r="C55" s="64">
        <v>19.34</v>
      </c>
      <c r="D55" s="64">
        <v>9.7899999999999991</v>
      </c>
      <c r="E55" s="64">
        <v>7.89</v>
      </c>
      <c r="F55" s="64">
        <v>8.0500000000000007</v>
      </c>
      <c r="G55" s="64">
        <v>87.9</v>
      </c>
      <c r="H55" s="64">
        <v>45.84</v>
      </c>
      <c r="I55" s="64">
        <v>4.6900000000000004</v>
      </c>
      <c r="J55" s="64">
        <v>2.04</v>
      </c>
      <c r="K55" s="64">
        <v>339.11</v>
      </c>
      <c r="L55" s="64">
        <v>32.65</v>
      </c>
      <c r="M55" s="64">
        <v>63.16</v>
      </c>
      <c r="N55" s="64">
        <v>352.3</v>
      </c>
      <c r="O55" s="64">
        <v>0</v>
      </c>
      <c r="P55" s="64">
        <v>0.73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5" t="s">
        <v>3175</v>
      </c>
      <c r="B56" s="64">
        <v>2</v>
      </c>
      <c r="C56" s="64">
        <v>20.61</v>
      </c>
      <c r="D56" s="64">
        <v>11</v>
      </c>
      <c r="E56" s="64">
        <v>7.99</v>
      </c>
      <c r="F56" s="64">
        <v>4.88</v>
      </c>
      <c r="G56" s="64">
        <v>87.9</v>
      </c>
      <c r="H56" s="64">
        <v>45.84</v>
      </c>
      <c r="I56" s="64">
        <v>3.4</v>
      </c>
      <c r="J56" s="64">
        <v>1.58</v>
      </c>
      <c r="K56" s="64">
        <v>339</v>
      </c>
      <c r="L56" s="64">
        <v>32.869999999999997</v>
      </c>
      <c r="M56" s="64">
        <v>62.16</v>
      </c>
      <c r="N56" s="64">
        <v>343.1</v>
      </c>
      <c r="O56" s="64">
        <v>0</v>
      </c>
      <c r="P56" s="64">
        <v>0.75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5" t="s">
        <v>3176</v>
      </c>
      <c r="B57" s="64">
        <v>2.41</v>
      </c>
      <c r="C57" s="64">
        <v>19.34</v>
      </c>
      <c r="D57" s="64">
        <v>10.66</v>
      </c>
      <c r="E57" s="64">
        <v>8.8699999999999992</v>
      </c>
      <c r="F57" s="64">
        <v>5.0199999999999996</v>
      </c>
      <c r="G57" s="64">
        <v>87.9</v>
      </c>
      <c r="H57" s="64">
        <v>45.84</v>
      </c>
      <c r="I57" s="64">
        <v>4.0199999999999996</v>
      </c>
      <c r="J57" s="64">
        <v>1.43</v>
      </c>
      <c r="K57" s="64">
        <v>338.58</v>
      </c>
      <c r="L57" s="64">
        <v>33.14</v>
      </c>
      <c r="M57" s="64">
        <v>60.12</v>
      </c>
      <c r="N57" s="64">
        <v>455.2</v>
      </c>
      <c r="O57" s="64">
        <v>0</v>
      </c>
      <c r="P57" s="64">
        <v>0.79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5" t="s">
        <v>3177</v>
      </c>
      <c r="B58" s="64">
        <v>2.78</v>
      </c>
      <c r="C58" s="64">
        <v>18.96</v>
      </c>
      <c r="D58" s="64">
        <v>10.75</v>
      </c>
      <c r="E58" s="64">
        <v>8.08</v>
      </c>
      <c r="F58" s="64">
        <v>5.31</v>
      </c>
      <c r="G58" s="64">
        <v>97.28</v>
      </c>
      <c r="H58" s="64">
        <v>46.17</v>
      </c>
      <c r="I58" s="64">
        <v>4.67</v>
      </c>
      <c r="J58" s="64">
        <v>0.46</v>
      </c>
      <c r="K58" s="64">
        <v>358.32</v>
      </c>
      <c r="L58" s="64">
        <v>33.049999999999997</v>
      </c>
      <c r="M58" s="64">
        <v>58.72</v>
      </c>
      <c r="N58" s="64">
        <v>456.1</v>
      </c>
      <c r="O58" s="64">
        <v>0</v>
      </c>
      <c r="P58" s="64">
        <v>0.74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5" t="s">
        <v>3178</v>
      </c>
      <c r="B59" s="64">
        <v>3.01</v>
      </c>
      <c r="C59" s="64">
        <v>18.21</v>
      </c>
      <c r="D59" s="64">
        <v>10.55</v>
      </c>
      <c r="E59" s="64">
        <v>8.18</v>
      </c>
      <c r="F59" s="64">
        <v>4.33</v>
      </c>
      <c r="G59" s="64">
        <v>102.97</v>
      </c>
      <c r="H59" s="64">
        <v>46.24</v>
      </c>
      <c r="I59" s="64">
        <v>4.25</v>
      </c>
      <c r="J59" s="64">
        <v>1.0900000000000001</v>
      </c>
      <c r="K59" s="64">
        <v>115.36</v>
      </c>
      <c r="L59" s="64">
        <v>31.26</v>
      </c>
      <c r="M59" s="64">
        <v>62.24</v>
      </c>
      <c r="N59" s="64">
        <v>462.5</v>
      </c>
      <c r="O59" s="64">
        <v>0</v>
      </c>
      <c r="P59" s="64">
        <v>0.72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5" t="s">
        <v>3179</v>
      </c>
      <c r="B60" s="64">
        <v>2.42</v>
      </c>
      <c r="C60" s="64">
        <v>17.98</v>
      </c>
      <c r="D60" s="64">
        <v>9.9600000000000009</v>
      </c>
      <c r="E60" s="64">
        <v>7.68</v>
      </c>
      <c r="F60" s="64">
        <v>6.94</v>
      </c>
      <c r="G60" s="64">
        <v>102.97</v>
      </c>
      <c r="H60" s="64">
        <v>46.24</v>
      </c>
      <c r="I60" s="64">
        <v>4.3099999999999996</v>
      </c>
      <c r="J60" s="64">
        <v>0.44</v>
      </c>
      <c r="K60" s="64">
        <v>32.229999999999997</v>
      </c>
      <c r="L60" s="64">
        <v>31.07</v>
      </c>
      <c r="M60" s="64">
        <v>62.33</v>
      </c>
      <c r="N60" s="64">
        <v>395.7</v>
      </c>
      <c r="O60" s="64">
        <v>0</v>
      </c>
      <c r="P60" s="64">
        <v>0.73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5" t="s">
        <v>3180</v>
      </c>
      <c r="B61" s="64">
        <v>1.78</v>
      </c>
      <c r="C61" s="64">
        <v>19.37</v>
      </c>
      <c r="D61" s="64">
        <v>10.18</v>
      </c>
      <c r="E61" s="64">
        <v>8.5500000000000007</v>
      </c>
      <c r="F61" s="64">
        <v>5.7</v>
      </c>
      <c r="G61" s="64">
        <v>102.97</v>
      </c>
      <c r="H61" s="64">
        <v>46.24</v>
      </c>
      <c r="I61" s="64">
        <v>4.38</v>
      </c>
      <c r="J61" s="64">
        <v>1.54</v>
      </c>
      <c r="K61" s="64">
        <v>335.67</v>
      </c>
      <c r="L61" s="64">
        <v>32.369999999999997</v>
      </c>
      <c r="M61" s="64">
        <v>60.37</v>
      </c>
      <c r="N61" s="64">
        <v>184</v>
      </c>
      <c r="O61" s="64">
        <v>0</v>
      </c>
      <c r="P61" s="64">
        <v>0.72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5" t="s">
        <v>3181</v>
      </c>
      <c r="B62" s="64">
        <v>1.31</v>
      </c>
      <c r="C62" s="64">
        <v>22.89</v>
      </c>
      <c r="D62" s="64">
        <v>11.63</v>
      </c>
      <c r="E62" s="64">
        <v>8.99</v>
      </c>
      <c r="F62" s="64">
        <v>21.26</v>
      </c>
      <c r="G62" s="64">
        <v>92.86</v>
      </c>
      <c r="H62" s="64">
        <v>44.66</v>
      </c>
      <c r="I62" s="64">
        <v>4.51</v>
      </c>
      <c r="J62" s="64">
        <v>1.53</v>
      </c>
      <c r="K62" s="64">
        <v>338.65</v>
      </c>
      <c r="L62" s="64">
        <v>31.97</v>
      </c>
      <c r="M62" s="64">
        <v>59.87</v>
      </c>
      <c r="N62" s="64">
        <v>160.69999999999999</v>
      </c>
      <c r="O62" s="64">
        <v>0</v>
      </c>
      <c r="P62" s="64">
        <v>0.8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5" t="s">
        <v>3182</v>
      </c>
      <c r="B63" s="64">
        <v>0.28999999999999998</v>
      </c>
      <c r="C63" s="64">
        <v>28.59</v>
      </c>
      <c r="D63" s="64">
        <v>13.8</v>
      </c>
      <c r="E63" s="64">
        <v>12.27</v>
      </c>
      <c r="F63" s="64">
        <v>14.42</v>
      </c>
      <c r="G63" s="64">
        <v>86.72</v>
      </c>
      <c r="H63" s="64">
        <v>44.32</v>
      </c>
      <c r="I63" s="64">
        <v>3.92</v>
      </c>
      <c r="J63" s="64">
        <v>0.63</v>
      </c>
      <c r="K63" s="64">
        <v>333.74</v>
      </c>
      <c r="L63" s="64">
        <v>31.54</v>
      </c>
      <c r="M63" s="64">
        <v>56.73</v>
      </c>
      <c r="N63" s="64">
        <v>258.2</v>
      </c>
      <c r="O63" s="64">
        <v>0</v>
      </c>
      <c r="P63" s="64">
        <v>0.82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5" t="s">
        <v>3183</v>
      </c>
      <c r="B64" s="64">
        <v>0.26</v>
      </c>
      <c r="C64" s="64">
        <v>26.71</v>
      </c>
      <c r="D64" s="64">
        <v>12.78</v>
      </c>
      <c r="E64" s="64">
        <v>10.92</v>
      </c>
      <c r="F64" s="64">
        <v>9.02</v>
      </c>
      <c r="G64" s="64">
        <v>86.72</v>
      </c>
      <c r="H64" s="64">
        <v>44.32</v>
      </c>
      <c r="I64" s="64">
        <v>2.83</v>
      </c>
      <c r="J64" s="64">
        <v>0.96</v>
      </c>
      <c r="K64" s="64">
        <v>345.93</v>
      </c>
      <c r="L64" s="64">
        <v>32.43</v>
      </c>
      <c r="M64" s="64">
        <v>56.66</v>
      </c>
      <c r="N64" s="64">
        <v>274.39999999999998</v>
      </c>
      <c r="O64" s="64">
        <v>0</v>
      </c>
      <c r="P64" s="64">
        <v>0.77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5" t="s">
        <v>3184</v>
      </c>
      <c r="B65" s="64">
        <v>0.66</v>
      </c>
      <c r="C65" s="64">
        <v>23.62</v>
      </c>
      <c r="D65" s="64">
        <v>11.5</v>
      </c>
      <c r="E65" s="64">
        <v>9.9</v>
      </c>
      <c r="F65" s="64">
        <v>7.34</v>
      </c>
      <c r="G65" s="64">
        <v>86.72</v>
      </c>
      <c r="H65" s="64">
        <v>44.32</v>
      </c>
      <c r="I65" s="64">
        <v>2.36</v>
      </c>
      <c r="J65" s="64">
        <v>1.53</v>
      </c>
      <c r="K65" s="64">
        <v>340.18</v>
      </c>
      <c r="L65" s="64">
        <v>31.45</v>
      </c>
      <c r="M65" s="64">
        <v>58.56</v>
      </c>
      <c r="N65" s="64">
        <v>133.30000000000001</v>
      </c>
      <c r="O65" s="64">
        <v>0</v>
      </c>
      <c r="P65" s="64">
        <v>0.8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5" t="s">
        <v>3185</v>
      </c>
      <c r="B66" s="64">
        <v>1.02</v>
      </c>
      <c r="C66" s="64">
        <v>21.4</v>
      </c>
      <c r="D66" s="64">
        <v>10.62</v>
      </c>
      <c r="E66" s="64">
        <v>9.15</v>
      </c>
      <c r="F66" s="64">
        <v>6.67</v>
      </c>
      <c r="G66" s="64">
        <v>81.42</v>
      </c>
      <c r="H66" s="64">
        <v>44.03</v>
      </c>
      <c r="I66" s="64">
        <v>2.5499999999999998</v>
      </c>
      <c r="J66" s="64">
        <v>0.81</v>
      </c>
      <c r="K66" s="64">
        <v>338.79</v>
      </c>
      <c r="L66" s="64">
        <v>30.63</v>
      </c>
      <c r="M66" s="64">
        <v>62.15</v>
      </c>
      <c r="N66" s="64">
        <v>133.6</v>
      </c>
      <c r="O66" s="64">
        <v>0</v>
      </c>
      <c r="P66" s="64">
        <v>0.83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5" t="s">
        <v>3186</v>
      </c>
      <c r="B67" s="64">
        <v>1.1599999999999999</v>
      </c>
      <c r="C67" s="64">
        <v>21.27</v>
      </c>
      <c r="D67" s="64">
        <v>10.66</v>
      </c>
      <c r="E67" s="64">
        <v>9.8000000000000007</v>
      </c>
      <c r="F67" s="64">
        <v>8.5500000000000007</v>
      </c>
      <c r="G67" s="64">
        <v>78.2</v>
      </c>
      <c r="H67" s="64">
        <v>43.97</v>
      </c>
      <c r="I67" s="64">
        <v>2.87</v>
      </c>
      <c r="J67" s="64">
        <v>0.97</v>
      </c>
      <c r="K67" s="64">
        <v>336.51</v>
      </c>
      <c r="L67" s="64">
        <v>30.8</v>
      </c>
      <c r="M67" s="64">
        <v>60.58</v>
      </c>
      <c r="N67" s="64">
        <v>154.19999999999999</v>
      </c>
      <c r="O67" s="64">
        <v>0</v>
      </c>
      <c r="P67" s="64">
        <v>0.83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5" t="s">
        <v>3187</v>
      </c>
      <c r="B68" s="64">
        <v>0.99</v>
      </c>
      <c r="C68" s="64">
        <v>22.35</v>
      </c>
      <c r="D68" s="64">
        <v>11.1</v>
      </c>
      <c r="E68" s="64">
        <v>8.91</v>
      </c>
      <c r="F68" s="64">
        <v>9.1300000000000008</v>
      </c>
      <c r="G68" s="64">
        <v>78.2</v>
      </c>
      <c r="H68" s="64">
        <v>43.97</v>
      </c>
      <c r="I68" s="64">
        <v>2.65</v>
      </c>
      <c r="J68" s="64">
        <v>0.5</v>
      </c>
      <c r="K68" s="64">
        <v>103.28</v>
      </c>
      <c r="L68" s="64">
        <v>30.52</v>
      </c>
      <c r="M68" s="64">
        <v>62.03</v>
      </c>
      <c r="N68" s="64">
        <v>167.6</v>
      </c>
      <c r="O68" s="64">
        <v>0</v>
      </c>
      <c r="P68" s="64">
        <v>0.74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5" t="s">
        <v>3188</v>
      </c>
      <c r="B69" s="64">
        <v>0.82</v>
      </c>
      <c r="C69" s="64">
        <v>21.98</v>
      </c>
      <c r="D69" s="64">
        <v>10.76</v>
      </c>
      <c r="E69" s="64">
        <v>8.5500000000000007</v>
      </c>
      <c r="F69" s="64">
        <v>7.09</v>
      </c>
      <c r="G69" s="64">
        <v>78.2</v>
      </c>
      <c r="H69" s="64">
        <v>43.97</v>
      </c>
      <c r="I69" s="64">
        <v>2.57</v>
      </c>
      <c r="J69" s="64">
        <v>0.61</v>
      </c>
      <c r="K69" s="64">
        <v>348.93</v>
      </c>
      <c r="L69" s="64">
        <v>30.3</v>
      </c>
      <c r="M69" s="64">
        <v>62.74</v>
      </c>
      <c r="N69" s="64">
        <v>108.2</v>
      </c>
      <c r="O69" s="64">
        <v>0</v>
      </c>
      <c r="P69" s="64">
        <v>0.83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5" t="s">
        <v>3189</v>
      </c>
      <c r="B70" s="64">
        <v>1.05</v>
      </c>
      <c r="C70" s="64">
        <v>20.059999999999999</v>
      </c>
      <c r="D70" s="64">
        <v>9.94</v>
      </c>
      <c r="E70" s="64">
        <v>8.0500000000000007</v>
      </c>
      <c r="F70" s="64">
        <v>5.27</v>
      </c>
      <c r="G70" s="64">
        <v>84.68</v>
      </c>
      <c r="H70" s="64">
        <v>43.59</v>
      </c>
      <c r="I70" s="64">
        <v>2.4300000000000002</v>
      </c>
      <c r="J70" s="64">
        <v>0.63</v>
      </c>
      <c r="K70" s="64">
        <v>354.72</v>
      </c>
      <c r="L70" s="64">
        <v>30.15</v>
      </c>
      <c r="M70" s="64">
        <v>60.44</v>
      </c>
      <c r="N70" s="64">
        <v>90.9</v>
      </c>
      <c r="O70" s="64">
        <v>0</v>
      </c>
      <c r="P70" s="64">
        <v>0.79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5" t="s">
        <v>3190</v>
      </c>
      <c r="B71" s="64">
        <v>1.25</v>
      </c>
      <c r="C71" s="64">
        <v>17.649999999999999</v>
      </c>
      <c r="D71" s="64">
        <v>8.85</v>
      </c>
      <c r="E71" s="64">
        <v>7.62</v>
      </c>
      <c r="F71" s="64">
        <v>5.56</v>
      </c>
      <c r="G71" s="64">
        <v>88.8</v>
      </c>
      <c r="H71" s="64">
        <v>43.44</v>
      </c>
      <c r="I71" s="64">
        <v>2.88</v>
      </c>
      <c r="J71" s="64">
        <v>0.37</v>
      </c>
      <c r="K71" s="64">
        <v>67.22</v>
      </c>
      <c r="L71" s="64">
        <v>29.66</v>
      </c>
      <c r="M71" s="64">
        <v>62.08</v>
      </c>
      <c r="N71" s="64">
        <v>96.5</v>
      </c>
      <c r="O71" s="64">
        <v>0</v>
      </c>
      <c r="P71" s="64">
        <v>0.78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5" t="s">
        <v>3191</v>
      </c>
      <c r="B72" s="64">
        <v>1.17</v>
      </c>
      <c r="C72" s="64">
        <v>17.760000000000002</v>
      </c>
      <c r="D72" s="64">
        <v>8.84</v>
      </c>
      <c r="E72" s="64">
        <v>6.58</v>
      </c>
      <c r="F72" s="64">
        <v>9.6999999999999993</v>
      </c>
      <c r="G72" s="64">
        <v>88.8</v>
      </c>
      <c r="H72" s="64">
        <v>43.44</v>
      </c>
      <c r="I72" s="64">
        <v>2.65</v>
      </c>
      <c r="J72" s="64">
        <v>0.51</v>
      </c>
      <c r="K72" s="64">
        <v>110.6</v>
      </c>
      <c r="L72" s="64">
        <v>29.45</v>
      </c>
      <c r="M72" s="64">
        <v>63.19</v>
      </c>
      <c r="N72" s="64">
        <v>93.2</v>
      </c>
      <c r="O72" s="64">
        <v>0</v>
      </c>
      <c r="P72" s="64">
        <v>0.62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5" t="s">
        <v>3192</v>
      </c>
      <c r="B73" s="64">
        <v>0.37</v>
      </c>
      <c r="C73" s="64">
        <v>16.690000000000001</v>
      </c>
      <c r="D73" s="64">
        <v>7.64</v>
      </c>
      <c r="E73" s="64">
        <v>7.12</v>
      </c>
      <c r="F73" s="64">
        <v>11.17</v>
      </c>
      <c r="G73" s="64">
        <v>88.8</v>
      </c>
      <c r="H73" s="64">
        <v>43.44</v>
      </c>
      <c r="I73" s="64">
        <v>2.8</v>
      </c>
      <c r="J73" s="64">
        <v>0.55000000000000004</v>
      </c>
      <c r="K73" s="64">
        <v>109.14</v>
      </c>
      <c r="L73" s="64">
        <v>29.33</v>
      </c>
      <c r="M73" s="64">
        <v>64.37</v>
      </c>
      <c r="N73" s="64">
        <v>78.900000000000006</v>
      </c>
      <c r="O73" s="64">
        <v>0</v>
      </c>
      <c r="P73" s="64">
        <v>0.55000000000000004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5" t="s">
        <v>3193</v>
      </c>
      <c r="B74" s="64">
        <v>0.17</v>
      </c>
      <c r="C74" s="64">
        <v>15.29</v>
      </c>
      <c r="D74" s="64">
        <v>6.75</v>
      </c>
      <c r="E74" s="64">
        <v>6.9</v>
      </c>
      <c r="F74" s="64">
        <v>9.1999999999999993</v>
      </c>
      <c r="G74" s="64">
        <v>72.989999999999995</v>
      </c>
      <c r="H74" s="64">
        <v>36.72</v>
      </c>
      <c r="I74" s="64">
        <v>1.99</v>
      </c>
      <c r="J74" s="64">
        <v>0.15</v>
      </c>
      <c r="K74" s="64">
        <v>43.27</v>
      </c>
      <c r="L74" s="64">
        <v>29.33</v>
      </c>
      <c r="M74" s="64">
        <v>63.08</v>
      </c>
      <c r="N74" s="64">
        <v>64.8</v>
      </c>
      <c r="O74" s="64">
        <v>0</v>
      </c>
      <c r="P74" s="64">
        <v>0.7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5" t="s">
        <v>3194</v>
      </c>
      <c r="B75" s="64">
        <v>0.11</v>
      </c>
      <c r="C75" s="64">
        <v>17.559999999999999</v>
      </c>
      <c r="D75" s="64">
        <v>7.88</v>
      </c>
      <c r="E75" s="64">
        <v>7.6</v>
      </c>
      <c r="F75" s="64">
        <v>14.49</v>
      </c>
      <c r="G75" s="64">
        <v>63.39</v>
      </c>
      <c r="H75" s="64">
        <v>35.25</v>
      </c>
      <c r="I75" s="64">
        <v>1.67</v>
      </c>
      <c r="J75" s="64">
        <v>0.39</v>
      </c>
      <c r="K75" s="64">
        <v>93.63</v>
      </c>
      <c r="L75" s="64">
        <v>29.02</v>
      </c>
      <c r="M75" s="64">
        <v>63.16</v>
      </c>
      <c r="N75" s="64">
        <v>57.3</v>
      </c>
      <c r="O75" s="64">
        <v>0</v>
      </c>
      <c r="P75" s="64">
        <v>0.71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5" t="s">
        <v>3195</v>
      </c>
      <c r="B76" s="64">
        <v>-0.18</v>
      </c>
      <c r="C76" s="64">
        <v>21.51</v>
      </c>
      <c r="D76" s="64">
        <v>9.7200000000000006</v>
      </c>
      <c r="E76" s="64">
        <v>8.9600000000000009</v>
      </c>
      <c r="F76" s="64">
        <v>15.83</v>
      </c>
      <c r="G76" s="64">
        <v>63.39</v>
      </c>
      <c r="H76" s="64">
        <v>35.25</v>
      </c>
      <c r="I76" s="64">
        <v>2.37</v>
      </c>
      <c r="J76" s="64">
        <v>0.57999999999999996</v>
      </c>
      <c r="K76" s="64">
        <v>334.61</v>
      </c>
      <c r="L76" s="64">
        <v>29.09</v>
      </c>
      <c r="M76" s="64">
        <v>63.78</v>
      </c>
      <c r="N76" s="64">
        <v>45.2</v>
      </c>
      <c r="O76" s="64">
        <v>0</v>
      </c>
      <c r="P76" s="64">
        <v>1.01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5" t="s">
        <v>3196</v>
      </c>
      <c r="B77" s="64">
        <v>0.2</v>
      </c>
      <c r="C77" s="64">
        <v>22.82</v>
      </c>
      <c r="D77" s="64">
        <v>10.7</v>
      </c>
      <c r="E77" s="64">
        <v>8.4499999999999993</v>
      </c>
      <c r="F77" s="64">
        <v>11.04</v>
      </c>
      <c r="G77" s="64">
        <v>63.39</v>
      </c>
      <c r="H77" s="64">
        <v>35.25</v>
      </c>
      <c r="I77" s="64">
        <v>2.33</v>
      </c>
      <c r="J77" s="64">
        <v>0.18</v>
      </c>
      <c r="K77" s="64">
        <v>55</v>
      </c>
      <c r="L77" s="64">
        <v>28.74</v>
      </c>
      <c r="M77" s="64">
        <v>65.89</v>
      </c>
      <c r="N77" s="64">
        <v>36.299999999999997</v>
      </c>
      <c r="O77" s="64">
        <v>0</v>
      </c>
      <c r="P77" s="64">
        <v>1.0900000000000001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5" t="s">
        <v>3197</v>
      </c>
      <c r="B78" s="64">
        <v>0.53</v>
      </c>
      <c r="C78" s="64">
        <v>26.92</v>
      </c>
      <c r="D78" s="64">
        <v>13.11</v>
      </c>
      <c r="E78" s="64">
        <v>8.86</v>
      </c>
      <c r="F78" s="64">
        <v>9.7200000000000006</v>
      </c>
      <c r="G78" s="64">
        <v>64.489999999999995</v>
      </c>
      <c r="H78" s="64">
        <v>37.630000000000003</v>
      </c>
      <c r="I78" s="64">
        <v>2.81</v>
      </c>
      <c r="J78" s="64">
        <v>0.31</v>
      </c>
      <c r="K78" s="64">
        <v>75.180000000000007</v>
      </c>
      <c r="L78" s="64">
        <v>28.42</v>
      </c>
      <c r="M78" s="64">
        <v>67.8</v>
      </c>
      <c r="N78" s="64">
        <v>29.8</v>
      </c>
      <c r="O78" s="64">
        <v>0</v>
      </c>
      <c r="P78" s="64">
        <v>1.18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5" t="s">
        <v>3198</v>
      </c>
      <c r="B79" s="64">
        <v>0.54</v>
      </c>
      <c r="C79" s="64">
        <v>26.64</v>
      </c>
      <c r="D79" s="64">
        <v>12.97</v>
      </c>
      <c r="E79" s="64">
        <v>8.17</v>
      </c>
      <c r="F79" s="64">
        <v>7.52</v>
      </c>
      <c r="G79" s="64">
        <v>65.16</v>
      </c>
      <c r="H79" s="64">
        <v>38.14</v>
      </c>
      <c r="I79" s="64">
        <v>3.7</v>
      </c>
      <c r="J79" s="64">
        <v>0.21</v>
      </c>
      <c r="K79" s="64">
        <v>1.61</v>
      </c>
      <c r="L79" s="64">
        <v>27.99</v>
      </c>
      <c r="M79" s="64">
        <v>69.489999999999995</v>
      </c>
      <c r="N79" s="64">
        <v>27</v>
      </c>
      <c r="O79" s="64">
        <v>0</v>
      </c>
      <c r="P79" s="64">
        <v>1.41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5" t="s">
        <v>3199</v>
      </c>
      <c r="B80" s="64">
        <v>0.8</v>
      </c>
      <c r="C80" s="64">
        <v>24.46</v>
      </c>
      <c r="D80" s="64">
        <v>12.05</v>
      </c>
      <c r="E80" s="64">
        <v>7.76</v>
      </c>
      <c r="F80" s="64">
        <v>7.13</v>
      </c>
      <c r="G80" s="64">
        <v>65.16</v>
      </c>
      <c r="H80" s="64">
        <v>38.14</v>
      </c>
      <c r="I80" s="64">
        <v>3.84</v>
      </c>
      <c r="J80" s="64">
        <v>0.43</v>
      </c>
      <c r="K80" s="64">
        <v>86.69</v>
      </c>
      <c r="L80" s="64">
        <v>27.66</v>
      </c>
      <c r="M80" s="64">
        <v>70.05</v>
      </c>
      <c r="N80" s="64">
        <v>26.5</v>
      </c>
      <c r="O80" s="64">
        <v>0</v>
      </c>
      <c r="P80" s="64">
        <v>1.1100000000000001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5" t="s">
        <v>3200</v>
      </c>
      <c r="B81" s="64">
        <v>0.98</v>
      </c>
      <c r="C81" s="64">
        <v>22.17</v>
      </c>
      <c r="D81" s="64">
        <v>10.99</v>
      </c>
      <c r="E81" s="64">
        <v>7.23</v>
      </c>
      <c r="F81" s="64">
        <v>6.47</v>
      </c>
      <c r="G81" s="64">
        <v>65.16</v>
      </c>
      <c r="H81" s="64">
        <v>38.14</v>
      </c>
      <c r="I81" s="64">
        <v>4.24</v>
      </c>
      <c r="J81" s="64">
        <v>0.25</v>
      </c>
      <c r="K81" s="64">
        <v>347.25</v>
      </c>
      <c r="L81" s="64">
        <v>27.31</v>
      </c>
      <c r="M81" s="64">
        <v>71.39</v>
      </c>
      <c r="N81" s="64">
        <v>26.2</v>
      </c>
      <c r="O81" s="64">
        <v>0</v>
      </c>
      <c r="P81" s="64">
        <v>1.38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5" t="s">
        <v>3201</v>
      </c>
      <c r="B82" s="64">
        <v>1.0900000000000001</v>
      </c>
      <c r="C82" s="64">
        <v>20.32</v>
      </c>
      <c r="D82" s="64">
        <v>10.119999999999999</v>
      </c>
      <c r="E82" s="64">
        <v>6.96</v>
      </c>
      <c r="F82" s="64">
        <v>6.88</v>
      </c>
      <c r="G82" s="64">
        <v>80.53</v>
      </c>
      <c r="H82" s="64">
        <v>39.57</v>
      </c>
      <c r="I82" s="64">
        <v>4.07</v>
      </c>
      <c r="J82" s="64">
        <v>0.21</v>
      </c>
      <c r="K82" s="64">
        <v>53.96</v>
      </c>
      <c r="L82" s="64">
        <v>27.12</v>
      </c>
      <c r="M82" s="64">
        <v>71.510000000000005</v>
      </c>
      <c r="N82" s="64">
        <v>26.2</v>
      </c>
      <c r="O82" s="64">
        <v>0</v>
      </c>
      <c r="P82" s="64">
        <v>1.1100000000000001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5" t="s">
        <v>3202</v>
      </c>
      <c r="B83" s="64">
        <v>1.2</v>
      </c>
      <c r="C83" s="64">
        <v>18.66</v>
      </c>
      <c r="D83" s="64">
        <v>9.33</v>
      </c>
      <c r="E83" s="64">
        <v>6.95</v>
      </c>
      <c r="F83" s="64">
        <v>6.05</v>
      </c>
      <c r="G83" s="64">
        <v>89.87</v>
      </c>
      <c r="H83" s="64">
        <v>39.89</v>
      </c>
      <c r="I83" s="64">
        <v>4.0199999999999996</v>
      </c>
      <c r="J83" s="64">
        <v>0.37</v>
      </c>
      <c r="K83" s="64">
        <v>66.08</v>
      </c>
      <c r="L83" s="64">
        <v>27.02</v>
      </c>
      <c r="M83" s="64">
        <v>71.27</v>
      </c>
      <c r="N83" s="64">
        <v>26.2</v>
      </c>
      <c r="O83" s="64">
        <v>0</v>
      </c>
      <c r="P83" s="64">
        <v>1.06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5" t="s">
        <v>3203</v>
      </c>
      <c r="B84" s="64">
        <v>1.46</v>
      </c>
      <c r="C84" s="64">
        <v>17.559999999999999</v>
      </c>
      <c r="D84" s="64">
        <v>8.9700000000000006</v>
      </c>
      <c r="E84" s="64">
        <v>6.63</v>
      </c>
      <c r="F84" s="64">
        <v>4.96</v>
      </c>
      <c r="G84" s="64">
        <v>89.87</v>
      </c>
      <c r="H84" s="64">
        <v>39.89</v>
      </c>
      <c r="I84" s="64">
        <v>4.2</v>
      </c>
      <c r="J84" s="64">
        <v>0.25</v>
      </c>
      <c r="K84" s="64">
        <v>357.56</v>
      </c>
      <c r="L84" s="64">
        <v>26.74</v>
      </c>
      <c r="M84" s="64">
        <v>74.52</v>
      </c>
      <c r="N84" s="64">
        <v>26.1</v>
      </c>
      <c r="O84" s="64">
        <v>0</v>
      </c>
      <c r="P84" s="64">
        <v>1.38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5" t="s">
        <v>3204</v>
      </c>
      <c r="B85" s="64">
        <v>2.33</v>
      </c>
      <c r="C85" s="64">
        <v>16.920000000000002</v>
      </c>
      <c r="D85" s="64">
        <v>9.33</v>
      </c>
      <c r="E85" s="64">
        <v>6.93</v>
      </c>
      <c r="F85" s="64">
        <v>7.63</v>
      </c>
      <c r="G85" s="64">
        <v>89.87</v>
      </c>
      <c r="H85" s="64">
        <v>39.89</v>
      </c>
      <c r="I85" s="64">
        <v>3.86</v>
      </c>
      <c r="J85" s="64">
        <v>0.36</v>
      </c>
      <c r="K85" s="64">
        <v>89.68</v>
      </c>
      <c r="L85" s="64">
        <v>26.58</v>
      </c>
      <c r="M85" s="64">
        <v>73.25</v>
      </c>
      <c r="N85" s="64">
        <v>26.1</v>
      </c>
      <c r="O85" s="64">
        <v>0</v>
      </c>
      <c r="P85" s="64">
        <v>0.82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5" t="s">
        <v>3205</v>
      </c>
      <c r="B86" s="64">
        <v>2.4900000000000002</v>
      </c>
      <c r="C86" s="64">
        <v>16.829999999999998</v>
      </c>
      <c r="D86" s="64">
        <v>9.41</v>
      </c>
      <c r="E86" s="64">
        <v>6.68</v>
      </c>
      <c r="F86" s="64">
        <v>6.39</v>
      </c>
      <c r="G86" s="64">
        <v>90.22</v>
      </c>
      <c r="H86" s="64">
        <v>36.909999999999997</v>
      </c>
      <c r="I86" s="64">
        <v>4.6399999999999997</v>
      </c>
      <c r="J86" s="64">
        <v>0.44</v>
      </c>
      <c r="K86" s="64">
        <v>154.58000000000001</v>
      </c>
      <c r="L86" s="64">
        <v>26.62</v>
      </c>
      <c r="M86" s="64">
        <v>69.83</v>
      </c>
      <c r="N86" s="64">
        <v>25.9</v>
      </c>
      <c r="O86" s="64">
        <v>0</v>
      </c>
      <c r="P86" s="64">
        <v>0.73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5" t="s">
        <v>3206</v>
      </c>
      <c r="B87" s="64">
        <v>2.25</v>
      </c>
      <c r="C87" s="64">
        <v>15.75</v>
      </c>
      <c r="D87" s="64">
        <v>8.65</v>
      </c>
      <c r="E87" s="64">
        <v>6.47</v>
      </c>
      <c r="F87" s="64">
        <v>4.6399999999999997</v>
      </c>
      <c r="G87" s="64">
        <v>90.43</v>
      </c>
      <c r="H87" s="64">
        <v>35.75</v>
      </c>
      <c r="I87" s="64">
        <v>3.48</v>
      </c>
      <c r="J87" s="64">
        <v>0.51</v>
      </c>
      <c r="K87" s="64">
        <v>168.07</v>
      </c>
      <c r="L87" s="64">
        <v>26.68</v>
      </c>
      <c r="M87" s="64">
        <v>70.41</v>
      </c>
      <c r="N87" s="64">
        <v>25.9</v>
      </c>
      <c r="O87" s="64">
        <v>0</v>
      </c>
      <c r="P87" s="64">
        <v>0.74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5" t="s">
        <v>3207</v>
      </c>
      <c r="B88" s="64">
        <v>2.0299999999999998</v>
      </c>
      <c r="C88" s="64">
        <v>14.05</v>
      </c>
      <c r="D88" s="64">
        <v>7.59</v>
      </c>
      <c r="E88" s="64">
        <v>5.28</v>
      </c>
      <c r="F88" s="64">
        <v>5.47</v>
      </c>
      <c r="G88" s="64">
        <v>90.43</v>
      </c>
      <c r="H88" s="64">
        <v>35.75</v>
      </c>
      <c r="I88" s="64">
        <v>2.81</v>
      </c>
      <c r="J88" s="64">
        <v>0.4</v>
      </c>
      <c r="K88" s="64">
        <v>315.55</v>
      </c>
      <c r="L88" s="64">
        <v>26.13</v>
      </c>
      <c r="M88" s="64">
        <v>75.989999999999995</v>
      </c>
      <c r="N88" s="64">
        <v>26.6</v>
      </c>
      <c r="O88" s="64">
        <v>0</v>
      </c>
      <c r="P88" s="64">
        <v>0.94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5" t="s">
        <v>3208</v>
      </c>
      <c r="B89" s="64">
        <v>2.4300000000000002</v>
      </c>
      <c r="C89" s="64">
        <v>13.7</v>
      </c>
      <c r="D89" s="64">
        <v>7.73</v>
      </c>
      <c r="E89" s="64">
        <v>6.82</v>
      </c>
      <c r="F89" s="64">
        <v>3</v>
      </c>
      <c r="G89" s="64">
        <v>90.43</v>
      </c>
      <c r="H89" s="64">
        <v>35.75</v>
      </c>
      <c r="I89" s="64">
        <v>2.88</v>
      </c>
      <c r="J89" s="64">
        <v>0.11</v>
      </c>
      <c r="K89" s="64">
        <v>343.35</v>
      </c>
      <c r="L89" s="64">
        <v>25.28</v>
      </c>
      <c r="M89" s="64">
        <v>85.05</v>
      </c>
      <c r="N89" s="64">
        <v>26.5</v>
      </c>
      <c r="O89" s="64">
        <v>0</v>
      </c>
      <c r="P89" s="64">
        <v>1.04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5" t="s">
        <v>3209</v>
      </c>
      <c r="B90" s="64">
        <v>2.88</v>
      </c>
      <c r="C90" s="64">
        <v>13.48</v>
      </c>
      <c r="D90" s="64">
        <v>7.97</v>
      </c>
      <c r="E90" s="64">
        <v>6.91</v>
      </c>
      <c r="F90" s="64">
        <v>5.09</v>
      </c>
      <c r="G90" s="64">
        <v>95.69</v>
      </c>
      <c r="H90" s="64">
        <v>174.1</v>
      </c>
      <c r="I90" s="64">
        <v>4.03</v>
      </c>
      <c r="J90" s="64">
        <v>0.4</v>
      </c>
      <c r="K90" s="64">
        <v>291.17</v>
      </c>
      <c r="L90" s="64">
        <v>24.94</v>
      </c>
      <c r="M90" s="64">
        <v>86.53</v>
      </c>
      <c r="N90" s="64">
        <v>26.3</v>
      </c>
      <c r="O90" s="64">
        <v>0</v>
      </c>
      <c r="P90" s="64">
        <v>1.07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5" t="s">
        <v>3210</v>
      </c>
      <c r="B91" s="64">
        <v>4.2699999999999996</v>
      </c>
      <c r="C91" s="64">
        <v>13.61</v>
      </c>
      <c r="D91" s="64">
        <v>9.16</v>
      </c>
      <c r="E91" s="64">
        <v>7.34</v>
      </c>
      <c r="F91" s="64">
        <v>3.94</v>
      </c>
      <c r="G91" s="64">
        <v>98.88</v>
      </c>
      <c r="H91" s="64">
        <v>204.29</v>
      </c>
      <c r="I91" s="64">
        <v>4.38</v>
      </c>
      <c r="J91" s="64">
        <v>0.47</v>
      </c>
      <c r="K91" s="64">
        <v>307.79000000000002</v>
      </c>
      <c r="L91" s="64">
        <v>24.65</v>
      </c>
      <c r="M91" s="64">
        <v>89.55</v>
      </c>
      <c r="N91" s="64">
        <v>26.1</v>
      </c>
      <c r="O91" s="64">
        <v>0</v>
      </c>
      <c r="P91" s="64">
        <v>1.7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5" t="s">
        <v>3211</v>
      </c>
      <c r="B92" s="64">
        <v>6.91</v>
      </c>
      <c r="C92" s="64">
        <v>14.27</v>
      </c>
      <c r="D92" s="64">
        <v>11.62</v>
      </c>
      <c r="E92" s="64">
        <v>7.24</v>
      </c>
      <c r="F92" s="64">
        <v>3.7</v>
      </c>
      <c r="G92" s="64">
        <v>98.88</v>
      </c>
      <c r="H92" s="64">
        <v>204.29</v>
      </c>
      <c r="I92" s="64">
        <v>5.16</v>
      </c>
      <c r="J92" s="64">
        <v>0.43</v>
      </c>
      <c r="K92" s="64">
        <v>270.44</v>
      </c>
      <c r="L92" s="64">
        <v>24.33</v>
      </c>
      <c r="M92" s="64">
        <v>90.33</v>
      </c>
      <c r="N92" s="64">
        <v>26.1</v>
      </c>
      <c r="O92" s="64">
        <v>0</v>
      </c>
      <c r="P92" s="64">
        <v>1.32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5" t="s">
        <v>3212</v>
      </c>
      <c r="B93" s="64">
        <v>9.31</v>
      </c>
      <c r="C93" s="64">
        <v>14.04</v>
      </c>
      <c r="D93" s="64">
        <v>13.42</v>
      </c>
      <c r="E93" s="64">
        <v>7.59</v>
      </c>
      <c r="F93" s="64">
        <v>4.3899999999999997</v>
      </c>
      <c r="G93" s="64">
        <v>98.88</v>
      </c>
      <c r="H93" s="64">
        <v>204.29</v>
      </c>
      <c r="I93" s="64">
        <v>5.98</v>
      </c>
      <c r="J93" s="64">
        <v>0.37</v>
      </c>
      <c r="K93" s="64">
        <v>288.75</v>
      </c>
      <c r="L93" s="64">
        <v>24.26</v>
      </c>
      <c r="M93" s="64">
        <v>91.51</v>
      </c>
      <c r="N93" s="64">
        <v>26.1</v>
      </c>
      <c r="O93" s="64">
        <v>0</v>
      </c>
      <c r="P93" s="64">
        <v>1.32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5" t="s">
        <v>3213</v>
      </c>
      <c r="B94" s="64">
        <v>12.09</v>
      </c>
      <c r="C94" s="64">
        <v>14.62</v>
      </c>
      <c r="D94" s="64">
        <v>15.96</v>
      </c>
      <c r="E94" s="64">
        <v>9.08</v>
      </c>
      <c r="F94" s="64">
        <v>4.7699999999999996</v>
      </c>
      <c r="G94" s="64">
        <v>121.29</v>
      </c>
      <c r="H94" s="64">
        <v>122.73</v>
      </c>
      <c r="I94" s="64">
        <v>6.23</v>
      </c>
      <c r="J94" s="64">
        <v>0.48</v>
      </c>
      <c r="K94" s="64">
        <v>284.61</v>
      </c>
      <c r="L94" s="64">
        <v>23.83</v>
      </c>
      <c r="M94" s="64">
        <v>93.82</v>
      </c>
      <c r="N94" s="64">
        <v>26.1</v>
      </c>
      <c r="O94" s="64">
        <v>0</v>
      </c>
      <c r="P94" s="64">
        <v>1.34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5" t="s">
        <v>3214</v>
      </c>
      <c r="B95" s="64">
        <v>14.32</v>
      </c>
      <c r="C95" s="64">
        <v>14.06</v>
      </c>
      <c r="D95" s="64">
        <v>17.45</v>
      </c>
      <c r="E95" s="64">
        <v>9.31</v>
      </c>
      <c r="F95" s="64">
        <v>4.84</v>
      </c>
      <c r="G95" s="64">
        <v>134.88999999999999</v>
      </c>
      <c r="H95" s="64">
        <v>104.93</v>
      </c>
      <c r="I95" s="64">
        <v>5.84</v>
      </c>
      <c r="J95" s="64">
        <v>0.56000000000000005</v>
      </c>
      <c r="K95" s="64">
        <v>310.58</v>
      </c>
      <c r="L95" s="64">
        <v>23.7</v>
      </c>
      <c r="M95" s="64">
        <v>94.72</v>
      </c>
      <c r="N95" s="64">
        <v>26</v>
      </c>
      <c r="O95" s="64">
        <v>0</v>
      </c>
      <c r="P95" s="64">
        <v>1.85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5" t="s">
        <v>3215</v>
      </c>
      <c r="B96" s="64">
        <v>16.52</v>
      </c>
      <c r="C96" s="64">
        <v>13.42</v>
      </c>
      <c r="D96" s="64">
        <v>18.88</v>
      </c>
      <c r="E96" s="64">
        <v>9.18</v>
      </c>
      <c r="F96" s="64">
        <v>5.29</v>
      </c>
      <c r="G96" s="64">
        <v>134.88999999999999</v>
      </c>
      <c r="H96" s="64">
        <v>104.93</v>
      </c>
      <c r="I96" s="64">
        <v>5.68</v>
      </c>
      <c r="J96" s="64">
        <v>0.5</v>
      </c>
      <c r="K96" s="64">
        <v>283.49</v>
      </c>
      <c r="L96" s="64">
        <v>23.5</v>
      </c>
      <c r="M96" s="64">
        <v>95.36</v>
      </c>
      <c r="N96" s="64">
        <v>26</v>
      </c>
      <c r="O96" s="64">
        <v>0</v>
      </c>
      <c r="P96" s="64">
        <v>1.4</v>
      </c>
      <c r="Q96" s="64">
        <v>9.6199999999999992</v>
      </c>
      <c r="R96" s="198"/>
      <c r="S96" s="198"/>
      <c r="T96" s="212"/>
      <c r="U96" s="198"/>
      <c r="Z96" s="109"/>
    </row>
    <row r="97" spans="1:33" s="12" customFormat="1" x14ac:dyDescent="0.25">
      <c r="A97" s="215" t="s">
        <v>3216</v>
      </c>
      <c r="B97" s="64">
        <v>18.5</v>
      </c>
      <c r="C97" s="64">
        <v>13.2</v>
      </c>
      <c r="D97" s="64">
        <v>20.36</v>
      </c>
      <c r="E97" s="64">
        <v>9.25</v>
      </c>
      <c r="F97" s="64">
        <v>5.45</v>
      </c>
      <c r="G97" s="64">
        <v>134.88999999999999</v>
      </c>
      <c r="H97" s="64">
        <v>104.93</v>
      </c>
      <c r="I97" s="64">
        <v>6.79</v>
      </c>
      <c r="J97" s="64">
        <v>0.45</v>
      </c>
      <c r="K97" s="64">
        <v>301.86</v>
      </c>
      <c r="L97" s="64">
        <v>23.67</v>
      </c>
      <c r="M97" s="64">
        <v>95.47</v>
      </c>
      <c r="N97" s="64">
        <v>26</v>
      </c>
      <c r="O97" s="64">
        <v>0</v>
      </c>
      <c r="P97" s="64">
        <v>1.67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5" t="s">
        <v>3217</v>
      </c>
      <c r="B98" s="64">
        <v>20.72</v>
      </c>
      <c r="C98" s="64">
        <v>12.97</v>
      </c>
      <c r="D98" s="64">
        <v>22.02</v>
      </c>
      <c r="E98" s="64">
        <v>9.7100000000000009</v>
      </c>
      <c r="F98" s="64">
        <v>6.52</v>
      </c>
      <c r="G98" s="64">
        <v>284.35000000000002</v>
      </c>
      <c r="H98" s="64">
        <v>165.94</v>
      </c>
      <c r="I98" s="64">
        <v>7.02</v>
      </c>
      <c r="J98" s="64">
        <v>0.5</v>
      </c>
      <c r="K98" s="64">
        <v>289.35000000000002</v>
      </c>
      <c r="L98" s="64">
        <v>23.43</v>
      </c>
      <c r="M98" s="64">
        <v>97.24</v>
      </c>
      <c r="N98" s="64">
        <v>26</v>
      </c>
      <c r="O98" s="64">
        <v>0</v>
      </c>
      <c r="P98" s="64">
        <v>1.51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5" t="s">
        <v>3218</v>
      </c>
      <c r="B99" s="64">
        <v>23.02</v>
      </c>
      <c r="C99" s="64">
        <v>12.68</v>
      </c>
      <c r="D99" s="64">
        <v>23.71</v>
      </c>
      <c r="E99" s="64">
        <v>10.9</v>
      </c>
      <c r="F99" s="64">
        <v>6.57</v>
      </c>
      <c r="G99" s="64">
        <v>375.09</v>
      </c>
      <c r="H99" s="64">
        <v>179.25</v>
      </c>
      <c r="I99" s="64">
        <v>7.44</v>
      </c>
      <c r="J99" s="64">
        <v>0.41</v>
      </c>
      <c r="K99" s="64">
        <v>228.15</v>
      </c>
      <c r="L99" s="64">
        <v>23.67</v>
      </c>
      <c r="M99" s="64">
        <v>97.08</v>
      </c>
      <c r="N99" s="64">
        <v>25.8</v>
      </c>
      <c r="O99" s="64">
        <v>0</v>
      </c>
      <c r="P99" s="64">
        <v>1.48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5" t="s">
        <v>3219</v>
      </c>
      <c r="B100" s="64">
        <v>25.63</v>
      </c>
      <c r="C100" s="64">
        <v>12.56</v>
      </c>
      <c r="D100" s="64">
        <v>25.74</v>
      </c>
      <c r="E100" s="64">
        <v>12.22</v>
      </c>
      <c r="F100" s="64">
        <v>7.08</v>
      </c>
      <c r="G100" s="64">
        <v>375.09</v>
      </c>
      <c r="H100" s="64">
        <v>179.25</v>
      </c>
      <c r="I100" s="64">
        <v>8.1300000000000008</v>
      </c>
      <c r="J100" s="64">
        <v>0.41</v>
      </c>
      <c r="K100" s="64">
        <v>234.99</v>
      </c>
      <c r="L100" s="64">
        <v>23.97</v>
      </c>
      <c r="M100" s="64">
        <v>95.59</v>
      </c>
      <c r="N100" s="64">
        <v>25.8</v>
      </c>
      <c r="O100" s="64">
        <v>0</v>
      </c>
      <c r="P100" s="64">
        <v>1.3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3220</v>
      </c>
      <c r="B101" s="64">
        <v>27.73</v>
      </c>
      <c r="C101" s="64">
        <v>12.4</v>
      </c>
      <c r="D101" s="64">
        <v>27.34</v>
      </c>
      <c r="E101" s="64">
        <v>12.85</v>
      </c>
      <c r="F101" s="64">
        <v>6.95</v>
      </c>
      <c r="G101" s="64">
        <v>375.09</v>
      </c>
      <c r="H101" s="64">
        <v>179.25</v>
      </c>
      <c r="I101" s="64">
        <v>8.08</v>
      </c>
      <c r="J101" s="64">
        <v>0.49</v>
      </c>
      <c r="K101" s="64">
        <v>262.31</v>
      </c>
      <c r="L101" s="64">
        <v>23.85</v>
      </c>
      <c r="M101" s="64">
        <v>97.68</v>
      </c>
      <c r="N101" s="64">
        <v>25.7</v>
      </c>
      <c r="O101" s="64">
        <v>0</v>
      </c>
      <c r="P101" s="64">
        <v>1.21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5" t="s">
        <v>3221</v>
      </c>
      <c r="B102" s="64">
        <v>28.95</v>
      </c>
      <c r="C102" s="64">
        <v>12.51</v>
      </c>
      <c r="D102" s="64">
        <v>28.38</v>
      </c>
      <c r="E102" s="64">
        <v>12.65</v>
      </c>
      <c r="F102" s="64">
        <v>7.01</v>
      </c>
      <c r="G102" s="64">
        <v>540.69000000000005</v>
      </c>
      <c r="H102" s="64">
        <v>410.73</v>
      </c>
      <c r="I102" s="64">
        <v>7.29</v>
      </c>
      <c r="J102" s="64">
        <v>0.23</v>
      </c>
      <c r="K102" s="64">
        <v>265.33999999999997</v>
      </c>
      <c r="L102" s="64">
        <v>24.03</v>
      </c>
      <c r="M102" s="64">
        <v>98.24</v>
      </c>
      <c r="N102" s="64">
        <v>25.8</v>
      </c>
      <c r="O102" s="64">
        <v>0</v>
      </c>
      <c r="P102" s="64">
        <v>1.21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5" t="s">
        <v>3222</v>
      </c>
      <c r="B103" s="64">
        <v>30.55</v>
      </c>
      <c r="C103" s="64">
        <v>13.87</v>
      </c>
      <c r="D103" s="64">
        <v>30.37</v>
      </c>
      <c r="E103" s="64">
        <v>12.95</v>
      </c>
      <c r="F103" s="64">
        <v>6.85</v>
      </c>
      <c r="G103" s="64">
        <v>678.02</v>
      </c>
      <c r="H103" s="64">
        <v>462.17</v>
      </c>
      <c r="I103" s="64">
        <v>5.5</v>
      </c>
      <c r="J103" s="64">
        <v>0.26</v>
      </c>
      <c r="K103" s="64">
        <v>219.89</v>
      </c>
      <c r="L103" s="64">
        <v>23.93</v>
      </c>
      <c r="M103" s="64">
        <v>100.09</v>
      </c>
      <c r="N103" s="64">
        <v>25.8</v>
      </c>
      <c r="O103" s="64">
        <v>0</v>
      </c>
      <c r="P103" s="64">
        <v>1.29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5" t="s">
        <v>3223</v>
      </c>
      <c r="B104" s="64">
        <v>32</v>
      </c>
      <c r="C104" s="64">
        <v>13.7</v>
      </c>
      <c r="D104" s="64">
        <v>31.45</v>
      </c>
      <c r="E104" s="64">
        <v>9.93</v>
      </c>
      <c r="F104" s="64">
        <v>6.86</v>
      </c>
      <c r="G104" s="64">
        <v>678.02</v>
      </c>
      <c r="H104" s="64">
        <v>462.17</v>
      </c>
      <c r="I104" s="64">
        <v>5.74</v>
      </c>
      <c r="J104" s="64">
        <v>0.26</v>
      </c>
      <c r="K104" s="64">
        <v>299.67</v>
      </c>
      <c r="L104" s="64">
        <v>23.97</v>
      </c>
      <c r="M104" s="64">
        <v>100.7</v>
      </c>
      <c r="N104" s="64">
        <v>25.9</v>
      </c>
      <c r="O104" s="64">
        <v>0</v>
      </c>
      <c r="P104" s="64">
        <v>1.36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-0.18</v>
      </c>
      <c r="C106" s="67">
        <f>MIN(C9:C104)</f>
        <v>8.17</v>
      </c>
      <c r="D106" s="67">
        <f t="shared" ref="D106:Q106" si="0">MIN(D9:D104)</f>
        <v>6.02</v>
      </c>
      <c r="E106" s="67">
        <f t="shared" si="0"/>
        <v>3.36</v>
      </c>
      <c r="F106" s="67">
        <f t="shared" si="0"/>
        <v>3</v>
      </c>
      <c r="G106" s="67">
        <f t="shared" si="0"/>
        <v>63.39</v>
      </c>
      <c r="H106" s="67">
        <f t="shared" si="0"/>
        <v>31.28</v>
      </c>
      <c r="I106" s="67">
        <f t="shared" si="0"/>
        <v>1.67</v>
      </c>
      <c r="J106" s="67">
        <f t="shared" si="0"/>
        <v>7.0000000000000007E-2</v>
      </c>
      <c r="K106" s="67">
        <f t="shared" si="0"/>
        <v>1.61</v>
      </c>
      <c r="L106" s="67">
        <f t="shared" si="0"/>
        <v>23.41</v>
      </c>
      <c r="M106" s="67">
        <f t="shared" si="0"/>
        <v>56.66</v>
      </c>
      <c r="N106" s="67">
        <f t="shared" si="0"/>
        <v>25.7</v>
      </c>
      <c r="O106" s="67">
        <f t="shared" si="0"/>
        <v>0</v>
      </c>
      <c r="P106" s="67">
        <f t="shared" si="0"/>
        <v>0.45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</v>
      </c>
      <c r="C107" s="66">
        <f t="shared" ref="C107:Q107" si="1">MAX(C9:C104)</f>
        <v>28.59</v>
      </c>
      <c r="D107" s="66">
        <f t="shared" si="1"/>
        <v>31.45</v>
      </c>
      <c r="E107" s="66">
        <f t="shared" si="1"/>
        <v>12.95</v>
      </c>
      <c r="F107" s="66">
        <f t="shared" si="1"/>
        <v>21.26</v>
      </c>
      <c r="G107" s="66">
        <f t="shared" si="1"/>
        <v>678.02</v>
      </c>
      <c r="H107" s="66">
        <f t="shared" si="1"/>
        <v>462.17</v>
      </c>
      <c r="I107" s="66">
        <f t="shared" si="1"/>
        <v>8.1300000000000008</v>
      </c>
      <c r="J107" s="66">
        <f t="shared" si="1"/>
        <v>2.04</v>
      </c>
      <c r="K107" s="66">
        <f t="shared" si="1"/>
        <v>358.32</v>
      </c>
      <c r="L107" s="66">
        <f t="shared" si="1"/>
        <v>33.14</v>
      </c>
      <c r="M107" s="66">
        <f t="shared" si="1"/>
        <v>102.78</v>
      </c>
      <c r="N107" s="66">
        <f t="shared" si="1"/>
        <v>511.9</v>
      </c>
      <c r="O107" s="66">
        <f t="shared" si="1"/>
        <v>0</v>
      </c>
      <c r="P107" s="66">
        <f t="shared" si="1"/>
        <v>1.85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6.7267708333333323</v>
      </c>
      <c r="C108" s="67">
        <f t="shared" ref="C108:Q108" si="2">AVERAGE(C9:C104)</f>
        <v>14.446458333333332</v>
      </c>
      <c r="D108" s="67">
        <f t="shared" si="2"/>
        <v>11.565312500000005</v>
      </c>
      <c r="E108" s="67">
        <f t="shared" si="2"/>
        <v>6.8168750000000005</v>
      </c>
      <c r="F108" s="67">
        <f t="shared" si="2"/>
        <v>6.1896875000000025</v>
      </c>
      <c r="G108" s="67">
        <f t="shared" si="2"/>
        <v>116.92833333333336</v>
      </c>
      <c r="H108" s="67">
        <f t="shared" si="2"/>
        <v>70.939479166666658</v>
      </c>
      <c r="I108" s="67">
        <f t="shared" si="2"/>
        <v>4.0198958333333339</v>
      </c>
      <c r="J108" s="67">
        <f t="shared" si="2"/>
        <v>0.61958333333333304</v>
      </c>
      <c r="K108" s="67">
        <f t="shared" si="2"/>
        <v>227.6371875000001</v>
      </c>
      <c r="L108" s="67">
        <f t="shared" si="2"/>
        <v>26.784166666666664</v>
      </c>
      <c r="M108" s="67">
        <f t="shared" si="2"/>
        <v>83.641145833333326</v>
      </c>
      <c r="N108" s="67">
        <f t="shared" si="2"/>
        <v>119.87916666666671</v>
      </c>
      <c r="O108" s="67">
        <f t="shared" si="2"/>
        <v>0</v>
      </c>
      <c r="P108" s="67">
        <f t="shared" si="2"/>
        <v>0.8999999999999998</v>
      </c>
      <c r="Q108" s="67">
        <f t="shared" si="2"/>
        <v>9.6167708333333373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7.2361058871528217</v>
      </c>
      <c r="C109" s="67">
        <f t="shared" ref="C109:Q109" si="3">STDEV(C9:C104)</f>
        <v>5.1658874978410845</v>
      </c>
      <c r="D109" s="67">
        <f t="shared" si="3"/>
        <v>5.3420488782025517</v>
      </c>
      <c r="E109" s="67">
        <f t="shared" si="3"/>
        <v>2.3623424202529</v>
      </c>
      <c r="F109" s="67">
        <f t="shared" si="3"/>
        <v>3.1538676183294871</v>
      </c>
      <c r="G109" s="67">
        <f t="shared" si="3"/>
        <v>109.58476473696572</v>
      </c>
      <c r="H109" s="67">
        <f t="shared" si="3"/>
        <v>79.453522718363203</v>
      </c>
      <c r="I109" s="67">
        <f t="shared" si="3"/>
        <v>1.392926865342536</v>
      </c>
      <c r="J109" s="67">
        <f t="shared" si="3"/>
        <v>0.38184018885465915</v>
      </c>
      <c r="K109" s="67">
        <f t="shared" si="3"/>
        <v>118.49308046155981</v>
      </c>
      <c r="L109" s="67">
        <f t="shared" si="3"/>
        <v>3.1206010442209533</v>
      </c>
      <c r="M109" s="67">
        <f t="shared" si="3"/>
        <v>16.76878044523864</v>
      </c>
      <c r="N109" s="67">
        <f t="shared" si="3"/>
        <v>140.76341324638281</v>
      </c>
      <c r="O109" s="67">
        <f t="shared" si="3"/>
        <v>0</v>
      </c>
      <c r="P109" s="67">
        <f t="shared" si="3"/>
        <v>0.32927032567242026</v>
      </c>
      <c r="Q109" s="67">
        <f t="shared" si="3"/>
        <v>8.8846161148794962E-3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4" sqref="G54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01/10/2024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01/10/2024 00:15</v>
      </c>
      <c r="B9" s="61">
        <f>'01'!B108</f>
        <v>3.6082291666666655</v>
      </c>
      <c r="C9" s="61">
        <f>'01'!C108</f>
        <v>7.573854166666667</v>
      </c>
      <c r="D9" s="61">
        <f>'01'!D108</f>
        <v>6.8500000000000005</v>
      </c>
      <c r="E9" s="61">
        <f>'01'!E108</f>
        <v>5.3038541666666648</v>
      </c>
      <c r="F9" s="61">
        <f>'01'!F108</f>
        <v>5.0455208333333337</v>
      </c>
      <c r="G9" s="99">
        <f>'01'!$G$108</f>
        <v>32.949479166666663</v>
      </c>
      <c r="H9" s="61">
        <f>'01'!H108</f>
        <v>11.978020833333332</v>
      </c>
      <c r="I9" s="61">
        <f>'01'!I108</f>
        <v>1.1847916666666667</v>
      </c>
      <c r="J9" s="61">
        <f>'01'!J108</f>
        <v>0.31145833333333328</v>
      </c>
      <c r="K9" s="61">
        <f>'01'!K108</f>
        <v>148.33635416666667</v>
      </c>
      <c r="L9" s="61">
        <f>'01'!L108</f>
        <v>28.653749999999999</v>
      </c>
      <c r="M9" s="61">
        <f>'01'!M108</f>
        <v>85.700729166666648</v>
      </c>
      <c r="N9" s="61">
        <f>'01'!N108</f>
        <v>191.28020833333309</v>
      </c>
      <c r="O9" s="61">
        <f>'01'!O108</f>
        <v>0</v>
      </c>
      <c r="P9" s="202">
        <f>'01'!P108</f>
        <v>0.49520833333333353</v>
      </c>
      <c r="Q9" s="61">
        <f>'01'!Q108</f>
        <v>9.6090625000000092</v>
      </c>
      <c r="R9" s="118"/>
      <c r="S9" s="118"/>
      <c r="T9" s="118"/>
      <c r="U9" s="118"/>
    </row>
    <row r="10" spans="1:21" x14ac:dyDescent="0.25">
      <c r="A10" s="94" t="str">
        <f>'02'!$B$2</f>
        <v>02/10/2024 00:15</v>
      </c>
      <c r="B10" s="61">
        <f>'02'!B108</f>
        <v>3.5961458333333347</v>
      </c>
      <c r="C10" s="61">
        <f>'02'!C108</f>
        <v>8.464479166666667</v>
      </c>
      <c r="D10" s="61">
        <f>'02'!D108</f>
        <v>7.3062500000000012</v>
      </c>
      <c r="E10" s="61">
        <f>'02'!E108</f>
        <v>5.3322916666666691</v>
      </c>
      <c r="F10" s="61">
        <f>'02'!F108</f>
        <v>4.9670833333333331</v>
      </c>
      <c r="G10" s="61">
        <f>'02'!G108</f>
        <v>46.17656250000001</v>
      </c>
      <c r="H10" s="61">
        <f>'02'!H108</f>
        <v>16.898958333333336</v>
      </c>
      <c r="I10" s="61">
        <f>'02'!I108</f>
        <v>2.5424999999999991</v>
      </c>
      <c r="J10" s="61">
        <f>'02'!J108</f>
        <v>0.50677083333333306</v>
      </c>
      <c r="K10" s="61">
        <f>'02'!K108</f>
        <v>243.45645833333347</v>
      </c>
      <c r="L10" s="61">
        <f>'02'!L108</f>
        <v>29.36802083333335</v>
      </c>
      <c r="M10" s="61">
        <f>'02'!M108</f>
        <v>82.553645833333363</v>
      </c>
      <c r="N10" s="61">
        <f>'02'!N108</f>
        <v>182.18541666666636</v>
      </c>
      <c r="O10" s="61">
        <f>'02'!O108</f>
        <v>0</v>
      </c>
      <c r="P10" s="202">
        <f>'02'!P108</f>
        <v>0.51312499999999972</v>
      </c>
      <c r="Q10" s="61">
        <f>'02'!Q108</f>
        <v>9.60812500000001</v>
      </c>
      <c r="R10" s="118"/>
      <c r="S10" s="118"/>
      <c r="T10" s="118"/>
      <c r="U10" s="118"/>
    </row>
    <row r="11" spans="1:21" x14ac:dyDescent="0.25">
      <c r="A11" s="94" t="str">
        <f>'03'!$B$2</f>
        <v>03/10/2024 00:15</v>
      </c>
      <c r="B11" s="61">
        <f>'03'!B108</f>
        <v>4.6843750000000002</v>
      </c>
      <c r="C11" s="61">
        <f>'03'!C108</f>
        <v>8.6855208333333351</v>
      </c>
      <c r="D11" s="61">
        <f>'03'!D108</f>
        <v>8.2938541666666659</v>
      </c>
      <c r="E11" s="61">
        <f>'03'!E108</f>
        <v>5.6580208333333344</v>
      </c>
      <c r="F11" s="61">
        <f>'03'!F108</f>
        <v>4.5735416666666655</v>
      </c>
      <c r="G11" s="61">
        <f>'03'!G108</f>
        <v>44.932604166666685</v>
      </c>
      <c r="H11" s="61">
        <f>'03'!H108</f>
        <v>15.309687500000008</v>
      </c>
      <c r="I11" s="61">
        <f>'03'!I108</f>
        <v>2.4741666666666666</v>
      </c>
      <c r="J11" s="61">
        <f>'03'!J108</f>
        <v>1.0840625000000002</v>
      </c>
      <c r="K11" s="61">
        <f>'03'!K108</f>
        <v>267.73916666666668</v>
      </c>
      <c r="L11" s="61">
        <f>'03'!L108</f>
        <v>29.69125</v>
      </c>
      <c r="M11" s="61">
        <f>'03'!M108</f>
        <v>77.071145833333318</v>
      </c>
      <c r="N11" s="61">
        <f>'03'!N108</f>
        <v>193.12083333333325</v>
      </c>
      <c r="O11" s="61">
        <f>'03'!O108</f>
        <v>0</v>
      </c>
      <c r="P11" s="202">
        <f>'03'!P108</f>
        <v>0.58552083333333349</v>
      </c>
      <c r="Q11" s="61">
        <f>'03'!Q108</f>
        <v>9.609583333333342</v>
      </c>
      <c r="R11" s="118"/>
      <c r="S11" s="118"/>
      <c r="T11" s="118"/>
      <c r="U11" s="118"/>
    </row>
    <row r="12" spans="1:21" x14ac:dyDescent="0.25">
      <c r="A12" s="94" t="str">
        <f>'04'!$B$2</f>
        <v>04/10/2024 00:15</v>
      </c>
      <c r="B12" s="61">
        <f>'04'!B108</f>
        <v>5.5895833333333336</v>
      </c>
      <c r="C12" s="61">
        <f>'04'!C108</f>
        <v>8.8259375000000002</v>
      </c>
      <c r="D12" s="61">
        <f>'04'!D108</f>
        <v>9.0941666666666645</v>
      </c>
      <c r="E12" s="61">
        <f>'04'!E108</f>
        <v>5.3701041666666685</v>
      </c>
      <c r="F12" s="61">
        <f>'04'!F108</f>
        <v>4.9439583333333328</v>
      </c>
      <c r="G12" s="61">
        <f>'04'!G108</f>
        <v>52.931847826087001</v>
      </c>
      <c r="H12" s="61">
        <f>'04'!H108</f>
        <v>14.680326086956521</v>
      </c>
      <c r="I12" s="61">
        <f>'04'!I108</f>
        <v>2.9929166666666682</v>
      </c>
      <c r="J12" s="61">
        <f>'04'!J108</f>
        <v>0.51281250000000023</v>
      </c>
      <c r="K12" s="61">
        <f>'04'!K108</f>
        <v>241.23625000000004</v>
      </c>
      <c r="L12" s="61">
        <f>'04'!L108</f>
        <v>28.794166666666658</v>
      </c>
      <c r="M12" s="61">
        <f>'04'!M108</f>
        <v>76.848333333333315</v>
      </c>
      <c r="N12" s="61">
        <f>'04'!N108</f>
        <v>184.35416666666652</v>
      </c>
      <c r="O12" s="61">
        <f>'04'!O108</f>
        <v>0</v>
      </c>
      <c r="P12" s="202">
        <f>'04'!P108</f>
        <v>0.55968750000000012</v>
      </c>
      <c r="Q12" s="61">
        <f>'04'!Q108</f>
        <v>9.6102083333333415</v>
      </c>
      <c r="R12" s="118"/>
      <c r="S12" s="118"/>
      <c r="T12" s="118"/>
      <c r="U12" s="118"/>
    </row>
    <row r="13" spans="1:21" x14ac:dyDescent="0.25">
      <c r="A13" s="94" t="str">
        <f>'05'!$B$2</f>
        <v>05/10/2024 00:15</v>
      </c>
      <c r="B13" s="61">
        <f>'05'!B108</f>
        <v>11.424895833333338</v>
      </c>
      <c r="C13" s="61">
        <f>'05'!C108</f>
        <v>10.501354166666671</v>
      </c>
      <c r="D13" s="61">
        <f>'05'!D108</f>
        <v>14.648750000000009</v>
      </c>
      <c r="E13" s="61">
        <f>'05'!E108</f>
        <v>5.7762499999999974</v>
      </c>
      <c r="F13" s="61">
        <f>'05'!F108</f>
        <v>4.4784375000000001</v>
      </c>
      <c r="G13" s="61">
        <f>'05'!G108</f>
        <v>54.768437500000026</v>
      </c>
      <c r="H13" s="61">
        <f>'05'!H108</f>
        <v>19.165833333333328</v>
      </c>
      <c r="I13" s="61">
        <f>'05'!I108</f>
        <v>3.301770833333332</v>
      </c>
      <c r="J13" s="61">
        <f>'05'!J108</f>
        <v>0.64885416666666673</v>
      </c>
      <c r="K13" s="61">
        <f>'05'!K108</f>
        <v>251.18500000000006</v>
      </c>
      <c r="L13" s="61">
        <f>'05'!L108</f>
        <v>28.779062500000006</v>
      </c>
      <c r="M13" s="61">
        <f>'05'!M108</f>
        <v>75.636562500000011</v>
      </c>
      <c r="N13" s="61">
        <f>'05'!N108</f>
        <v>176.00104166666651</v>
      </c>
      <c r="O13" s="61">
        <f>'05'!O108</f>
        <v>0</v>
      </c>
      <c r="P13" s="202">
        <f>'05'!P108</f>
        <v>0.62062499999999987</v>
      </c>
      <c r="Q13" s="61">
        <f>'05'!Q108</f>
        <v>9.6097916666666752</v>
      </c>
      <c r="R13" s="118"/>
      <c r="S13" s="118"/>
      <c r="T13" s="118"/>
      <c r="U13" s="118"/>
    </row>
    <row r="14" spans="1:21" x14ac:dyDescent="0.25">
      <c r="A14" s="94" t="str">
        <f>'06'!$B$2</f>
        <v>06/10/2024 00:15</v>
      </c>
      <c r="B14" s="61">
        <f>'06'!B108</f>
        <v>17.553958333333338</v>
      </c>
      <c r="C14" s="61">
        <f>'06'!C108</f>
        <v>11.880000000000003</v>
      </c>
      <c r="D14" s="61">
        <f>'06'!D108</f>
        <v>20.283229166666661</v>
      </c>
      <c r="E14" s="61">
        <f>'06'!E108</f>
        <v>5.7413541666666665</v>
      </c>
      <c r="F14" s="61">
        <f>'06'!F108</f>
        <v>4.3557291666666673</v>
      </c>
      <c r="G14" s="61">
        <f>'06'!G108</f>
        <v>68.466145833333329</v>
      </c>
      <c r="H14" s="61">
        <f>'06'!H108</f>
        <v>27.342916666666667</v>
      </c>
      <c r="I14" s="61">
        <f>'06'!I108</f>
        <v>4.3713541666666655</v>
      </c>
      <c r="J14" s="61">
        <f>'06'!J108</f>
        <v>0.66114583333333332</v>
      </c>
      <c r="K14" s="61">
        <f>'06'!K108</f>
        <v>280.76395833333328</v>
      </c>
      <c r="L14" s="61">
        <f>'06'!L108</f>
        <v>28.193645833333335</v>
      </c>
      <c r="M14" s="61">
        <f>'06'!M108</f>
        <v>75.840416666666684</v>
      </c>
      <c r="N14" s="61">
        <f>'06'!N108</f>
        <v>158.62708333333342</v>
      </c>
      <c r="O14" s="61">
        <f>'06'!O108</f>
        <v>0</v>
      </c>
      <c r="P14" s="202">
        <f>'06'!P108</f>
        <v>0.89812499999999984</v>
      </c>
      <c r="Q14" s="61">
        <f>'06'!Q108</f>
        <v>9.6131250000000072</v>
      </c>
      <c r="R14" s="118"/>
      <c r="S14" s="118"/>
      <c r="T14" s="118"/>
      <c r="U14" s="118"/>
    </row>
    <row r="15" spans="1:21" x14ac:dyDescent="0.25">
      <c r="A15" s="94" t="str">
        <f>'07'!$B$2</f>
        <v>07/10/2024 00:15</v>
      </c>
      <c r="B15" s="61">
        <f>'07'!B108</f>
        <v>14.893541666666664</v>
      </c>
      <c r="C15" s="61">
        <f>'07'!C108</f>
        <v>12.302708333333337</v>
      </c>
      <c r="D15" s="61">
        <f>'07'!D108</f>
        <v>18.371041666666674</v>
      </c>
      <c r="E15" s="61">
        <f>'07'!E108</f>
        <v>5.385208333333332</v>
      </c>
      <c r="F15" s="61">
        <f>'07'!F108</f>
        <v>5.2716666666666674</v>
      </c>
      <c r="G15" s="100">
        <f>'07'!$G$108</f>
        <v>73.343645833333312</v>
      </c>
      <c r="H15" s="61">
        <f>'07'!H108</f>
        <v>27.719166666666663</v>
      </c>
      <c r="I15" s="61">
        <f>'07'!I108</f>
        <v>3.9302083333333324</v>
      </c>
      <c r="J15" s="61">
        <f>'07'!J108</f>
        <v>0.72979166666666651</v>
      </c>
      <c r="K15" s="61">
        <f>'07'!K108</f>
        <v>221.70916666666673</v>
      </c>
      <c r="L15" s="61">
        <f>'07'!L108</f>
        <v>27.201874999999987</v>
      </c>
      <c r="M15" s="61">
        <f>'07'!M108</f>
        <v>81.862604166666657</v>
      </c>
      <c r="N15" s="61">
        <f>'07'!N108</f>
        <v>156.8354166666667</v>
      </c>
      <c r="O15" s="61">
        <f>'07'!O108</f>
        <v>0</v>
      </c>
      <c r="P15" s="202">
        <f>'07'!P108</f>
        <v>0.69104166666666655</v>
      </c>
      <c r="Q15" s="61">
        <f>'07'!Q108</f>
        <v>9.614583333333341</v>
      </c>
      <c r="R15" s="118"/>
      <c r="S15" s="118"/>
      <c r="T15" s="118"/>
      <c r="U15" s="118"/>
    </row>
    <row r="16" spans="1:21" x14ac:dyDescent="0.25">
      <c r="A16" s="94" t="str">
        <f>'08'!$B$2</f>
        <v>08/10/2024 00:15</v>
      </c>
      <c r="B16" s="61">
        <f>'08'!B108</f>
        <v>9.8656250000000032</v>
      </c>
      <c r="C16" s="61">
        <f>'08'!C108</f>
        <v>10.166249999999998</v>
      </c>
      <c r="D16" s="61">
        <f>'08'!D108</f>
        <v>13.223229166666664</v>
      </c>
      <c r="E16" s="61">
        <f>'08'!E108</f>
        <v>5.3708333333333309</v>
      </c>
      <c r="F16" s="61">
        <f>'08'!F108</f>
        <v>4.1569791666666669</v>
      </c>
      <c r="G16" s="100">
        <f>'08'!$G$108</f>
        <v>58.131041666666654</v>
      </c>
      <c r="H16" s="61">
        <f>'08'!H108</f>
        <v>18.582500000000021</v>
      </c>
      <c r="I16" s="61">
        <f>'08'!I108</f>
        <v>3.5914583333333336</v>
      </c>
      <c r="J16" s="61">
        <f>'08'!J108</f>
        <v>0.64812499999999995</v>
      </c>
      <c r="K16" s="61">
        <f>'08'!K108</f>
        <v>226.26468750000006</v>
      </c>
      <c r="L16" s="61">
        <f>'08'!L108</f>
        <v>26.12885416666667</v>
      </c>
      <c r="M16" s="61">
        <f>'08'!M108</f>
        <v>90.847291666666649</v>
      </c>
      <c r="N16" s="61">
        <f>'08'!N108</f>
        <v>128.18541666666673</v>
      </c>
      <c r="O16" s="61">
        <f>'08'!O108</f>
        <v>0</v>
      </c>
      <c r="P16" s="202">
        <f>'08'!P108</f>
        <v>0.6602083333333334</v>
      </c>
      <c r="Q16" s="61">
        <f>'08'!Q108</f>
        <v>9.6107291666666743</v>
      </c>
      <c r="R16" s="118"/>
      <c r="S16" s="118"/>
      <c r="T16" s="118"/>
      <c r="U16" s="118"/>
    </row>
    <row r="17" spans="1:21" x14ac:dyDescent="0.25">
      <c r="A17" s="94" t="str">
        <f>'09'!$B$2</f>
        <v>09/10/2024 00:15</v>
      </c>
      <c r="B17" s="61">
        <f>'09'!B108</f>
        <v>9.6451041666666679</v>
      </c>
      <c r="C17" s="61">
        <f>'09'!C108</f>
        <v>10.606770833333334</v>
      </c>
      <c r="D17" s="61">
        <f>'09'!D108</f>
        <v>13.272708333333327</v>
      </c>
      <c r="E17" s="61">
        <f>'09'!E108</f>
        <v>5.4713541666666652</v>
      </c>
      <c r="F17" s="61">
        <f>'09'!F108</f>
        <v>4.5071874999999988</v>
      </c>
      <c r="G17" s="100">
        <f>'09'!$G$108</f>
        <v>48.395168539325873</v>
      </c>
      <c r="H17" s="61">
        <f>'09'!H108</f>
        <v>4.3537500000000025</v>
      </c>
      <c r="I17" s="61">
        <f>'09'!I108</f>
        <v>3.5467708333333334</v>
      </c>
      <c r="J17" s="61">
        <f>'09'!J108</f>
        <v>0.60218749999999988</v>
      </c>
      <c r="K17" s="61">
        <f>'09'!K108</f>
        <v>193.02822916666673</v>
      </c>
      <c r="L17" s="61">
        <f>'09'!L108</f>
        <v>27.097708333333326</v>
      </c>
      <c r="M17" s="61">
        <f>'09'!M108</f>
        <v>85.798749999999998</v>
      </c>
      <c r="N17" s="61">
        <f>'09'!N108</f>
        <v>158.02812500000005</v>
      </c>
      <c r="O17" s="61">
        <f>'09'!O108</f>
        <v>0</v>
      </c>
      <c r="P17" s="202">
        <f>'09'!P108</f>
        <v>0.66052083333333311</v>
      </c>
      <c r="Q17" s="61">
        <f>'09'!Q108</f>
        <v>9.6137500000000085</v>
      </c>
      <c r="R17" s="118"/>
      <c r="S17" s="118"/>
      <c r="T17" s="118"/>
      <c r="U17" s="118"/>
    </row>
    <row r="18" spans="1:21" x14ac:dyDescent="0.25">
      <c r="A18" s="94" t="str">
        <f>'10'!$B$2</f>
        <v>10/10/2024 00:15</v>
      </c>
      <c r="B18" s="61">
        <f>'10'!B108</f>
        <v>20.919374999999999</v>
      </c>
      <c r="C18" s="61">
        <f>'10'!C108</f>
        <v>9.4079166666666669</v>
      </c>
      <c r="D18" s="61">
        <f>'10'!D108</f>
        <v>21.691041666666667</v>
      </c>
      <c r="E18" s="61">
        <f>'10'!E108</f>
        <v>5.6690624999999981</v>
      </c>
      <c r="F18" s="61">
        <f>'10'!F108</f>
        <v>3.9926041666666681</v>
      </c>
      <c r="G18" s="101">
        <f>'10'!$G$108</f>
        <v>51.687291666666688</v>
      </c>
      <c r="H18" s="61">
        <f>'10'!H108</f>
        <v>12.414505494505498</v>
      </c>
      <c r="I18" s="61">
        <f>'10'!I108</f>
        <v>5.1158333333333319</v>
      </c>
      <c r="J18" s="61">
        <f>'10'!J108</f>
        <v>0.51885416666666662</v>
      </c>
      <c r="K18" s="61">
        <f>'10'!K108</f>
        <v>238.58739583333337</v>
      </c>
      <c r="L18" s="61">
        <f>'10'!L108</f>
        <v>26.316874999999985</v>
      </c>
      <c r="M18" s="61">
        <f>'10'!M108</f>
        <v>91.901250000000005</v>
      </c>
      <c r="N18" s="61">
        <f>'10'!N108</f>
        <v>123.30104166666672</v>
      </c>
      <c r="O18" s="61">
        <f>'10'!O108</f>
        <v>7.9166666666666677E-2</v>
      </c>
      <c r="P18" s="202">
        <f>'10'!P108</f>
        <v>1.1360416666666666</v>
      </c>
      <c r="Q18" s="61">
        <f>'10'!Q108</f>
        <v>9.4169791666666711</v>
      </c>
      <c r="R18" s="118"/>
      <c r="S18" s="118"/>
      <c r="T18" s="118"/>
      <c r="U18" s="118"/>
    </row>
    <row r="19" spans="1:21" x14ac:dyDescent="0.25">
      <c r="A19" s="94" t="str">
        <f>'11'!$B$2</f>
        <v>11/10/2024 00:15</v>
      </c>
      <c r="B19" s="61">
        <f>'11'!B108</f>
        <v>26.335208333333323</v>
      </c>
      <c r="C19" s="61">
        <f>'11'!C108</f>
        <v>6.697916666666667</v>
      </c>
      <c r="D19" s="61">
        <f>'11'!D108</f>
        <v>24.618541666666658</v>
      </c>
      <c r="E19" s="61">
        <f>'11'!E108</f>
        <v>5.502395833333332</v>
      </c>
      <c r="F19" s="61">
        <f>'11'!F108</f>
        <v>3.7684375000000006</v>
      </c>
      <c r="G19" s="99">
        <f>'11'!$G$108</f>
        <v>31.695937500000014</v>
      </c>
      <c r="H19" s="61">
        <f>'11'!H108</f>
        <v>8.803191489361696</v>
      </c>
      <c r="I19" s="61">
        <f>'11'!I108</f>
        <v>4.274895833333332</v>
      </c>
      <c r="J19" s="61">
        <f>'11'!J108</f>
        <v>0.66406250000000011</v>
      </c>
      <c r="K19" s="61">
        <f>'11'!K108</f>
        <v>171.85364583333339</v>
      </c>
      <c r="L19" s="61">
        <f>'11'!L108</f>
        <v>27.32802083333333</v>
      </c>
      <c r="M19" s="61">
        <f>'11'!M108</f>
        <v>82.221250000000012</v>
      </c>
      <c r="N19" s="61">
        <f>'11'!N108</f>
        <v>207.80312500000002</v>
      </c>
      <c r="O19" s="61">
        <f>'11'!O108</f>
        <v>0</v>
      </c>
      <c r="P19" s="202">
        <f>'11'!P108</f>
        <v>0.73864583333333378</v>
      </c>
      <c r="Q19" s="61">
        <f>'11'!Q108</f>
        <v>9.619062500000009</v>
      </c>
      <c r="R19" s="118"/>
      <c r="S19" s="118"/>
      <c r="T19" s="118"/>
      <c r="U19" s="118"/>
    </row>
    <row r="20" spans="1:21" x14ac:dyDescent="0.25">
      <c r="A20" s="94" t="str">
        <f>'12'!$B$2</f>
        <v>12/10/2024 00:15</v>
      </c>
      <c r="B20" s="61">
        <f>'12'!B108</f>
        <v>13.889374999999987</v>
      </c>
      <c r="C20" s="61">
        <f>'12'!C108</f>
        <v>6.4452083333333325</v>
      </c>
      <c r="D20" s="61">
        <f>'12'!D108</f>
        <v>14.505729166666676</v>
      </c>
      <c r="E20" s="61">
        <f>'12'!E108</f>
        <v>4.8637499999999996</v>
      </c>
      <c r="F20" s="61">
        <f>'12'!F108</f>
        <v>3.8569791666666657</v>
      </c>
      <c r="G20" s="101">
        <f>'12'!$G$108</f>
        <v>26.658333333333335</v>
      </c>
      <c r="H20" s="61">
        <f>'12'!H108</f>
        <v>11.165104166666664</v>
      </c>
      <c r="I20" s="61">
        <f>'12'!I108</f>
        <v>3.2672916666666683</v>
      </c>
      <c r="J20" s="61">
        <f>'12'!J108</f>
        <v>0.66020833333333351</v>
      </c>
      <c r="K20" s="61">
        <f>'12'!K108</f>
        <v>142.02979166666671</v>
      </c>
      <c r="L20" s="61">
        <f>'12'!L108</f>
        <v>28.053437499999998</v>
      </c>
      <c r="M20" s="61">
        <f>'12'!M108</f>
        <v>78.099166666666662</v>
      </c>
      <c r="N20" s="61">
        <f>'12'!N108</f>
        <v>180.99166666666659</v>
      </c>
      <c r="O20" s="61">
        <f>'12'!O108</f>
        <v>0</v>
      </c>
      <c r="P20" s="202">
        <f>'12'!P108</f>
        <v>0.52479166666666677</v>
      </c>
      <c r="Q20" s="61">
        <f>'12'!Q108</f>
        <v>9.6125000000000096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13/10/2024 00:15</v>
      </c>
      <c r="B21" s="91">
        <f>'13'!B108</f>
        <v>4.580729166666667</v>
      </c>
      <c r="C21" s="91">
        <f>'13'!C108</f>
        <v>5.8398958333333306</v>
      </c>
      <c r="D21" s="91">
        <f>'13'!D108</f>
        <v>6.7243749999999984</v>
      </c>
      <c r="E21" s="91">
        <f>'13'!E108</f>
        <v>4.4789583333333338</v>
      </c>
      <c r="F21" s="91">
        <f>'13'!F108</f>
        <v>3.9198958333333347</v>
      </c>
      <c r="G21" s="100">
        <f>'13'!$G$108</f>
        <v>22.166145833333331</v>
      </c>
      <c r="H21" s="91">
        <f>'13'!H108</f>
        <v>9.0838709677419374</v>
      </c>
      <c r="I21" s="91">
        <f>'13'!I108</f>
        <v>3.0878124999999987</v>
      </c>
      <c r="J21" s="91">
        <f>'13'!J108</f>
        <v>0.86624999999999996</v>
      </c>
      <c r="K21" s="91">
        <f>'13'!K108</f>
        <v>131.11999999999998</v>
      </c>
      <c r="L21" s="91">
        <f>'13'!L108</f>
        <v>27.771770833333335</v>
      </c>
      <c r="M21" s="91">
        <f>'13'!M108</f>
        <v>77.377395833333324</v>
      </c>
      <c r="N21" s="91">
        <f>'13'!N108</f>
        <v>192.95729166666652</v>
      </c>
      <c r="O21" s="91">
        <f>'13'!O108</f>
        <v>0</v>
      </c>
      <c r="P21" s="203">
        <f>'13'!P108</f>
        <v>0.38614583333333313</v>
      </c>
      <c r="Q21" s="91">
        <f>'13'!Q108</f>
        <v>9.6115625000000087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14/10/2024 00:15</v>
      </c>
      <c r="B22" s="90">
        <f>'14'!B108</f>
        <v>3.3339583333333334</v>
      </c>
      <c r="C22" s="90">
        <f>'14'!C108</f>
        <v>5.7548958333333324</v>
      </c>
      <c r="D22" s="90">
        <f>'14'!D108</f>
        <v>5.680208333333332</v>
      </c>
      <c r="E22" s="90">
        <f>'14'!E108</f>
        <v>4.9653124999999987</v>
      </c>
      <c r="F22" s="90">
        <f>'14'!F108</f>
        <v>3.985937499999999</v>
      </c>
      <c r="G22" s="100">
        <f>'14'!$G$108</f>
        <v>30.484374999999975</v>
      </c>
      <c r="H22" s="100">
        <f>'14'!$G$108</f>
        <v>30.484374999999975</v>
      </c>
      <c r="I22" s="90">
        <f>'14'!I108</f>
        <v>3.3851041666666668</v>
      </c>
      <c r="J22" s="90">
        <f>'14'!J108</f>
        <v>0.89604166666666663</v>
      </c>
      <c r="K22" s="90">
        <f>'14'!K108</f>
        <v>133.9754166666666</v>
      </c>
      <c r="L22" s="90">
        <f>'14'!L108</f>
        <v>27.249895833333326</v>
      </c>
      <c r="M22" s="90">
        <f>'14'!M108</f>
        <v>83.525104166666637</v>
      </c>
      <c r="N22" s="90">
        <f>'14'!N108</f>
        <v>182.89583333333312</v>
      </c>
      <c r="O22" s="90">
        <f>'14'!O108</f>
        <v>0</v>
      </c>
      <c r="P22" s="204">
        <f>'14'!P108</f>
        <v>0.43708333333333321</v>
      </c>
      <c r="Q22" s="90">
        <f>'14'!Q108</f>
        <v>9.6079166666666787</v>
      </c>
      <c r="R22" s="206"/>
      <c r="S22" s="206"/>
      <c r="T22" s="206"/>
      <c r="U22" s="206"/>
    </row>
    <row r="23" spans="1:21" x14ac:dyDescent="0.25">
      <c r="A23" s="94" t="str">
        <f>'15'!$B$2</f>
        <v>15/10/2024 00:15</v>
      </c>
      <c r="B23" s="61">
        <f>'15'!B108</f>
        <v>2.5170833333333333</v>
      </c>
      <c r="C23" s="61">
        <f>'15'!C108</f>
        <v>6.1995833333333339</v>
      </c>
      <c r="D23" s="61">
        <f>'15'!D108</f>
        <v>5.2568750000000017</v>
      </c>
      <c r="E23" s="61">
        <f>'15'!E108</f>
        <v>4.5383333333333349</v>
      </c>
      <c r="F23" s="61">
        <f>'15'!F108</f>
        <v>4.029270833333336</v>
      </c>
      <c r="G23" s="100">
        <f>'15'!$G$108</f>
        <v>36.306458333333332</v>
      </c>
      <c r="H23" s="61">
        <f>'15'!H108</f>
        <v>18.784374999999983</v>
      </c>
      <c r="I23" s="61">
        <f>'15'!I108</f>
        <v>3.6368750000000003</v>
      </c>
      <c r="J23" s="61">
        <f>'15'!J108</f>
        <v>0.79729166666666662</v>
      </c>
      <c r="K23" s="61">
        <f>'15'!K108</f>
        <v>133.65156249999998</v>
      </c>
      <c r="L23" s="61">
        <f>'15'!L108</f>
        <v>27.304479166666663</v>
      </c>
      <c r="M23" s="61">
        <f>'15'!M108</f>
        <v>82.001041666666609</v>
      </c>
      <c r="N23" s="61">
        <f>'15'!N108</f>
        <v>196.84791666666649</v>
      </c>
      <c r="O23" s="61">
        <f>'15'!O108</f>
        <v>0</v>
      </c>
      <c r="P23" s="202">
        <f>'15'!P108</f>
        <v>0.43291666666666662</v>
      </c>
      <c r="Q23" s="61">
        <f>'15'!Q108</f>
        <v>9.6071875000000109</v>
      </c>
      <c r="R23" s="118"/>
      <c r="S23" s="118"/>
      <c r="T23" s="118"/>
      <c r="U23" s="118"/>
    </row>
    <row r="24" spans="1:21" x14ac:dyDescent="0.25">
      <c r="A24" s="94" t="str">
        <f>'16'!$B$2</f>
        <v>16/10/2024 00:15</v>
      </c>
      <c r="B24" s="61">
        <f>'16'!B108</f>
        <v>2.9953125000000003</v>
      </c>
      <c r="C24" s="61">
        <f>'16'!C108</f>
        <v>6.1556250000000006</v>
      </c>
      <c r="D24" s="61">
        <f>'16'!D108</f>
        <v>5.6171875</v>
      </c>
      <c r="E24" s="61">
        <f>'16'!E108</f>
        <v>4.9843749999999991</v>
      </c>
      <c r="F24" s="61">
        <f>'16'!F108</f>
        <v>4.1226041666666671</v>
      </c>
      <c r="G24" s="100">
        <f>'16'!$G$108</f>
        <v>33.934301075268806</v>
      </c>
      <c r="H24" s="61">
        <f>'16'!H108</f>
        <v>18.526666666666664</v>
      </c>
      <c r="I24" s="61">
        <f>'16'!I108</f>
        <v>2.8167708333333334</v>
      </c>
      <c r="J24" s="61">
        <f>'16'!J108</f>
        <v>0.66625000000000001</v>
      </c>
      <c r="K24" s="61">
        <f>'16'!K108</f>
        <v>141.15520833333326</v>
      </c>
      <c r="L24" s="61">
        <f>'16'!L108</f>
        <v>26.751666666666665</v>
      </c>
      <c r="M24" s="61">
        <f>'16'!M108</f>
        <v>84.621874999999974</v>
      </c>
      <c r="N24" s="61">
        <f>'16'!N108</f>
        <v>151.45729166666675</v>
      </c>
      <c r="O24" s="61">
        <f>'16'!O108</f>
        <v>0</v>
      </c>
      <c r="P24" s="202">
        <f>'16'!P108</f>
        <v>0.42583333333333334</v>
      </c>
      <c r="Q24" s="61">
        <f>'16'!Q108</f>
        <v>9.6098958333333435</v>
      </c>
      <c r="R24" s="118"/>
      <c r="S24" s="118"/>
      <c r="T24" s="118"/>
      <c r="U24" s="118"/>
    </row>
    <row r="25" spans="1:21" x14ac:dyDescent="0.25">
      <c r="A25" s="94" t="str">
        <f>'17'!$B$2</f>
        <v>17/10/2024 00:15</v>
      </c>
      <c r="B25" s="61">
        <f>'17'!B108</f>
        <v>5.2571874999999979</v>
      </c>
      <c r="C25" s="61">
        <f>'17'!C108</f>
        <v>6.5108333333333333</v>
      </c>
      <c r="D25" s="61">
        <f>'17'!D108</f>
        <v>7.6171875000000044</v>
      </c>
      <c r="E25" s="61">
        <f>'17'!E108</f>
        <v>4.7589583333333314</v>
      </c>
      <c r="F25" s="61">
        <f>'17'!F108</f>
        <v>3.7288541666666664</v>
      </c>
      <c r="G25" s="101">
        <f>'17'!$G$108</f>
        <v>29.788854166666653</v>
      </c>
      <c r="H25" s="61">
        <f>'17'!H108</f>
        <v>14.346145833333329</v>
      </c>
      <c r="I25" s="61">
        <f>'17'!I108</f>
        <v>3.0652083333333331</v>
      </c>
      <c r="J25" s="61">
        <f>'17'!J108</f>
        <v>0.63781250000000034</v>
      </c>
      <c r="K25" s="61">
        <f>'17'!K108</f>
        <v>120.83562499999998</v>
      </c>
      <c r="L25" s="61">
        <f>'17'!L108</f>
        <v>27.814895833333342</v>
      </c>
      <c r="M25" s="61">
        <f>'17'!M108</f>
        <v>79.147083333333299</v>
      </c>
      <c r="N25" s="61">
        <f>'17'!N108</f>
        <v>194.58229166666658</v>
      </c>
      <c r="O25" s="61">
        <f>'17'!O108</f>
        <v>0</v>
      </c>
      <c r="P25" s="202">
        <f>'17'!P108</f>
        <v>0.47979166666666639</v>
      </c>
      <c r="Q25" s="61">
        <f>'17'!Q108</f>
        <v>9.6118750000000084</v>
      </c>
      <c r="R25" s="118"/>
      <c r="S25" s="118"/>
      <c r="T25" s="118"/>
      <c r="U25" s="118"/>
    </row>
    <row r="26" spans="1:21" x14ac:dyDescent="0.25">
      <c r="A26" s="94" t="str">
        <f>'18'!$B$2</f>
        <v>18/10/2024 00:15</v>
      </c>
      <c r="B26" s="61">
        <f>'18'!B108</f>
        <v>8.0295833333333366</v>
      </c>
      <c r="C26" s="61">
        <f>'18'!C108</f>
        <v>8.3233333333333341</v>
      </c>
      <c r="D26" s="61">
        <f>'18'!D108</f>
        <v>10.787708333333336</v>
      </c>
      <c r="E26" s="61">
        <f>'18'!E108</f>
        <v>5.3504166666666668</v>
      </c>
      <c r="F26" s="61">
        <f>'18'!F108</f>
        <v>3.8287499999999999</v>
      </c>
      <c r="G26" s="99">
        <f>'18'!$G$108</f>
        <v>35.874895833333333</v>
      </c>
      <c r="H26" s="61">
        <f>'18'!H108</f>
        <v>8.6915624999999963</v>
      </c>
      <c r="I26" s="61">
        <f>'18'!I108</f>
        <v>2.7598958333333328</v>
      </c>
      <c r="J26" s="61">
        <f>'18'!J108</f>
        <v>0.54718750000000027</v>
      </c>
      <c r="K26" s="61">
        <f>'18'!K108</f>
        <v>164.38572916666666</v>
      </c>
      <c r="L26" s="61">
        <f>'18'!L108</f>
        <v>27.914687499999996</v>
      </c>
      <c r="M26" s="61">
        <f>'18'!M108</f>
        <v>81.677395833333335</v>
      </c>
      <c r="N26" s="61">
        <f>'18'!N108</f>
        <v>169.06666666666672</v>
      </c>
      <c r="O26" s="61">
        <f>'18'!O108</f>
        <v>0</v>
      </c>
      <c r="P26" s="202">
        <f>'18'!P108</f>
        <v>0.51916666666666644</v>
      </c>
      <c r="Q26" s="61">
        <f>'18'!Q108</f>
        <v>9.6104166666666746</v>
      </c>
      <c r="R26" s="118"/>
      <c r="S26" s="118"/>
      <c r="T26" s="118"/>
      <c r="U26" s="118"/>
    </row>
    <row r="27" spans="1:21" x14ac:dyDescent="0.25">
      <c r="A27" s="94" t="str">
        <f>'19'!$B$2</f>
        <v>19/10/2024 00:15</v>
      </c>
      <c r="B27" s="61">
        <f>'19'!B108</f>
        <v>11.646979166666673</v>
      </c>
      <c r="C27" s="61">
        <f>'19'!C108</f>
        <v>9.6616666666666671</v>
      </c>
      <c r="D27" s="61">
        <f>'19'!D108</f>
        <v>14.388541666666674</v>
      </c>
      <c r="E27" s="61">
        <f>'19'!E108</f>
        <v>5.8710416666666676</v>
      </c>
      <c r="F27" s="61">
        <f>'19'!F108</f>
        <v>4.1933333333333342</v>
      </c>
      <c r="G27" s="61">
        <f>'19'!G108</f>
        <v>93.158124999999984</v>
      </c>
      <c r="H27" s="61">
        <f>'19'!H108</f>
        <v>44.807395833333345</v>
      </c>
      <c r="I27" s="61">
        <f>'19'!I108</f>
        <v>4.3471875000000013</v>
      </c>
      <c r="J27" s="61">
        <f>'19'!J108</f>
        <v>0.80416666666666659</v>
      </c>
      <c r="K27" s="61">
        <f>'19'!K108</f>
        <v>222.27260416666687</v>
      </c>
      <c r="L27" s="61">
        <f>'19'!L108</f>
        <v>27.318854166666664</v>
      </c>
      <c r="M27" s="61">
        <f>'19'!M108</f>
        <v>83.21447916666672</v>
      </c>
      <c r="N27" s="61">
        <f>'19'!N108</f>
        <v>142.2260416666667</v>
      </c>
      <c r="O27" s="61">
        <f>'19'!O108</f>
        <v>0</v>
      </c>
      <c r="P27" s="202">
        <f>'19'!P108</f>
        <v>0.75739583333333316</v>
      </c>
      <c r="Q27" s="61">
        <f>'19'!Q108</f>
        <v>9.6151041666666739</v>
      </c>
      <c r="R27" s="118"/>
      <c r="S27" s="118"/>
      <c r="T27" s="118"/>
      <c r="U27" s="118"/>
    </row>
    <row r="28" spans="1:21" x14ac:dyDescent="0.25">
      <c r="A28" s="94" t="str">
        <f>'20'!$B$2</f>
        <v>20/10/2024 00:15</v>
      </c>
      <c r="B28" s="61">
        <f>'20'!B108</f>
        <v>5.9136458333333328</v>
      </c>
      <c r="C28" s="61">
        <f>'20'!C108</f>
        <v>8.6763541666666644</v>
      </c>
      <c r="D28" s="61">
        <f>'20'!D108</f>
        <v>9.274895833333332</v>
      </c>
      <c r="E28" s="61">
        <f>'20'!E108</f>
        <v>5.3953124999999993</v>
      </c>
      <c r="F28" s="61">
        <f>'20'!F108</f>
        <v>3.785833333333334</v>
      </c>
      <c r="G28" s="61">
        <f>'20'!G108</f>
        <v>45.712812500000005</v>
      </c>
      <c r="H28" s="61">
        <f>'20'!H108</f>
        <v>20.665937499999991</v>
      </c>
      <c r="I28" s="61">
        <f>'20'!I108</f>
        <v>3.5963541666666665</v>
      </c>
      <c r="J28" s="61">
        <f>'20'!J108</f>
        <v>0.65843750000000012</v>
      </c>
      <c r="K28" s="61">
        <f>'20'!K108</f>
        <v>208.08520833333341</v>
      </c>
      <c r="L28" s="61">
        <f>'20'!L108</f>
        <v>25.242395833333337</v>
      </c>
      <c r="M28" s="61">
        <f>'20'!M108</f>
        <v>84.304583333333355</v>
      </c>
      <c r="N28" s="61">
        <f>'20'!N108</f>
        <v>113.08229166666671</v>
      </c>
      <c r="O28" s="61">
        <f>'20'!O108</f>
        <v>0</v>
      </c>
      <c r="P28" s="202">
        <f>'20'!P108</f>
        <v>0.56572916666666662</v>
      </c>
      <c r="Q28" s="61">
        <f>'20'!Q108</f>
        <v>9.611041666666674</v>
      </c>
      <c r="R28" s="118"/>
      <c r="S28" s="118"/>
      <c r="T28" s="118"/>
      <c r="U28" s="118"/>
    </row>
    <row r="29" spans="1:21" x14ac:dyDescent="0.25">
      <c r="A29" s="94" t="str">
        <f>'21'!$B$2</f>
        <v>21/10/2024 00:15</v>
      </c>
      <c r="B29" s="61">
        <f>'21'!B108</f>
        <v>4.1341666666666663</v>
      </c>
      <c r="C29" s="61">
        <f>'21'!C108</f>
        <v>9.2264583333333299</v>
      </c>
      <c r="D29" s="61">
        <f>'21'!D108</f>
        <v>8.1357291666666676</v>
      </c>
      <c r="E29" s="61">
        <f>'21'!E108</f>
        <v>5.3735416666666636</v>
      </c>
      <c r="F29" s="61">
        <f>'21'!F108</f>
        <v>4.3454166666666652</v>
      </c>
      <c r="G29" s="61">
        <f>'21'!G108</f>
        <v>70.561249999999987</v>
      </c>
      <c r="H29" s="61">
        <f>'21'!H108</f>
        <v>37.883020833333319</v>
      </c>
      <c r="I29" s="61">
        <f>'21'!I108</f>
        <v>3.9595833333333315</v>
      </c>
      <c r="J29" s="61">
        <f>'21'!J108</f>
        <v>0.65843750000000001</v>
      </c>
      <c r="K29" s="61">
        <f>'21'!K108</f>
        <v>178.2741666666667</v>
      </c>
      <c r="L29" s="61">
        <f>'21'!L108</f>
        <v>26.320833333333326</v>
      </c>
      <c r="M29" s="61">
        <f>'21'!M108</f>
        <v>75.335104166666682</v>
      </c>
      <c r="N29" s="61">
        <f>'21'!N108</f>
        <v>128.56979166666662</v>
      </c>
      <c r="O29" s="61">
        <f>'21'!O108</f>
        <v>0</v>
      </c>
      <c r="P29" s="202">
        <f>'21'!P108</f>
        <v>0.65354166666666658</v>
      </c>
      <c r="Q29" s="61">
        <f>'21'!Q108</f>
        <v>9.6129166666666759</v>
      </c>
      <c r="R29" s="118"/>
      <c r="S29" s="118"/>
      <c r="T29" s="118"/>
      <c r="U29" s="118"/>
    </row>
    <row r="30" spans="1:21" x14ac:dyDescent="0.25">
      <c r="A30" s="94" t="str">
        <f>'22'!$B$2</f>
        <v>22/10/2024 00:15</v>
      </c>
      <c r="B30" s="61">
        <f>'22'!B108</f>
        <v>11.957395833333331</v>
      </c>
      <c r="C30" s="61">
        <f>'22'!C108</f>
        <v>17.484374999999996</v>
      </c>
      <c r="D30" s="61">
        <f>'22'!D108</f>
        <v>18.020937500000006</v>
      </c>
      <c r="E30" s="61">
        <f>'22'!E108</f>
        <v>6.6520833333333336</v>
      </c>
      <c r="F30" s="61">
        <f>'22'!F108</f>
        <v>5.2108333333333343</v>
      </c>
      <c r="G30" s="61">
        <f>'22'!G108</f>
        <v>83.170322580645134</v>
      </c>
      <c r="H30" s="61">
        <f>'22'!H108</f>
        <v>64.430430107526902</v>
      </c>
      <c r="I30" s="61">
        <f>'22'!I108</f>
        <v>4.6712499999999997</v>
      </c>
      <c r="J30" s="61">
        <f>'22'!J108</f>
        <v>0.68031250000000021</v>
      </c>
      <c r="K30" s="61">
        <f>'22'!K108</f>
        <v>244.88322916666672</v>
      </c>
      <c r="L30" s="61">
        <f>'22'!L108</f>
        <v>26.275208333333339</v>
      </c>
      <c r="M30" s="61">
        <f>'22'!M108</f>
        <v>70.603854166666665</v>
      </c>
      <c r="N30" s="61">
        <f>'22'!N108</f>
        <v>174.46145833333318</v>
      </c>
      <c r="O30" s="61">
        <f>'22'!O108</f>
        <v>0</v>
      </c>
      <c r="P30" s="202">
        <f>'22'!P108</f>
        <v>0.91697916666666657</v>
      </c>
      <c r="Q30" s="61">
        <f>'22'!Q108</f>
        <v>9.6150000000000073</v>
      </c>
      <c r="R30" s="118"/>
      <c r="S30" s="118"/>
      <c r="T30" s="118"/>
      <c r="U30" s="118"/>
    </row>
    <row r="31" spans="1:21" x14ac:dyDescent="0.25">
      <c r="A31" s="94" t="str">
        <f>'23'!$B$2</f>
        <v>23/10/2024 00:15</v>
      </c>
      <c r="B31" s="61">
        <f>'23'!B108</f>
        <v>19.283020833333328</v>
      </c>
      <c r="C31" s="61">
        <f>'23'!C108</f>
        <v>16.610520833333329</v>
      </c>
      <c r="D31" s="61">
        <f>'23'!D108</f>
        <v>22.764791666666667</v>
      </c>
      <c r="E31" s="61">
        <f>'23'!E108</f>
        <v>6.2493749999999997</v>
      </c>
      <c r="F31" s="61">
        <f>'23'!F108</f>
        <v>4.3287500000000012</v>
      </c>
      <c r="G31" s="61">
        <f>'23'!G108</f>
        <v>93.32</v>
      </c>
      <c r="H31" s="61">
        <f>'23'!H108</f>
        <v>126.55349999999999</v>
      </c>
      <c r="I31" s="61">
        <f>'23'!I108</f>
        <v>5.771562499999999</v>
      </c>
      <c r="J31" s="61">
        <f>'23'!J108</f>
        <v>0.8215625000000002</v>
      </c>
      <c r="K31" s="61">
        <f>'23'!K108</f>
        <v>294.27697916666671</v>
      </c>
      <c r="L31" s="61">
        <f>'23'!L108</f>
        <v>25.881770833333334</v>
      </c>
      <c r="M31" s="61">
        <f>'23'!M108</f>
        <v>66.034270833333366</v>
      </c>
      <c r="N31" s="61">
        <f>'23'!N108</f>
        <v>178.21562499999996</v>
      </c>
      <c r="O31" s="61">
        <f>'23'!O108</f>
        <v>0</v>
      </c>
      <c r="P31" s="202">
        <f>'23'!P108</f>
        <v>1.0395833333333335</v>
      </c>
      <c r="Q31" s="61">
        <f>'23'!Q108</f>
        <v>9.6165625000000077</v>
      </c>
      <c r="R31" s="118"/>
      <c r="S31" s="207"/>
      <c r="T31" s="118"/>
      <c r="U31" s="118"/>
    </row>
    <row r="32" spans="1:21" x14ac:dyDescent="0.25">
      <c r="A32" s="94" t="str">
        <f>'24'!$B$2</f>
        <v>24/10/2024 00:15</v>
      </c>
      <c r="B32" s="61">
        <f>'24'!B108</f>
        <v>9.1571874999999974</v>
      </c>
      <c r="C32" s="61">
        <f>'24'!C108</f>
        <v>21.339999999999993</v>
      </c>
      <c r="D32" s="61">
        <f>'24'!D108</f>
        <v>17.115520833333338</v>
      </c>
      <c r="E32" s="61">
        <f>'24'!E108</f>
        <v>6.5981249999999987</v>
      </c>
      <c r="F32" s="61">
        <f>'24'!F108</f>
        <v>5.0512500000000005</v>
      </c>
      <c r="G32" s="61">
        <f>'24'!G108</f>
        <v>81.324791666666627</v>
      </c>
      <c r="H32" s="61">
        <f>'24'!H108</f>
        <v>33.890000000000022</v>
      </c>
      <c r="I32" s="61">
        <f>'24'!I108</f>
        <v>4.0173958333333353</v>
      </c>
      <c r="J32" s="61">
        <f>'24'!J108</f>
        <v>1.6950000000000001</v>
      </c>
      <c r="K32" s="61">
        <f>'24'!K108</f>
        <v>337.36104166666667</v>
      </c>
      <c r="L32" s="61">
        <f>'24'!L108</f>
        <v>26.301770833333336</v>
      </c>
      <c r="M32" s="61">
        <f>'24'!M108</f>
        <v>64.942187499999989</v>
      </c>
      <c r="N32" s="61">
        <f>'24'!N108</f>
        <v>170.76666666666668</v>
      </c>
      <c r="O32" s="61">
        <f>'24'!O108</f>
        <v>0</v>
      </c>
      <c r="P32" s="202">
        <f>'24'!P108</f>
        <v>0.82489583333333283</v>
      </c>
      <c r="Q32" s="61">
        <f>'24'!Q108</f>
        <v>9.6178125000000048</v>
      </c>
      <c r="R32" s="118"/>
      <c r="S32" s="118"/>
      <c r="T32" s="118"/>
      <c r="U32" s="118"/>
    </row>
    <row r="33" spans="1:21" x14ac:dyDescent="0.25">
      <c r="A33" s="94" t="str">
        <f>'25'!$B$2</f>
        <v>25/10/2024 00:15</v>
      </c>
      <c r="B33" s="61">
        <f>'25'!B108</f>
        <v>9.7809375000000003</v>
      </c>
      <c r="C33" s="61">
        <f>'25'!C108</f>
        <v>14.979270833333333</v>
      </c>
      <c r="D33" s="61">
        <f>'25'!D108</f>
        <v>14.291249999999998</v>
      </c>
      <c r="E33" s="61">
        <f>'25'!E108</f>
        <v>5.4483333333333297</v>
      </c>
      <c r="F33" s="61">
        <f>'25'!F108</f>
        <v>4.1211458333333324</v>
      </c>
      <c r="G33" s="61">
        <f>'25'!G108</f>
        <v>54.819583333333327</v>
      </c>
      <c r="H33" s="61">
        <f>'25'!H108</f>
        <v>23.029791666666672</v>
      </c>
      <c r="I33" s="61">
        <f>'25'!I108</f>
        <v>3.1037499999999985</v>
      </c>
      <c r="J33" s="61">
        <f>'25'!J108</f>
        <v>1.5470833333333338</v>
      </c>
      <c r="K33" s="61">
        <f>'25'!K108</f>
        <v>308.22104166666685</v>
      </c>
      <c r="L33" s="61">
        <f>'25'!L108</f>
        <v>26.024062499999989</v>
      </c>
      <c r="M33" s="61">
        <f>'25'!M108</f>
        <v>75.869895833333331</v>
      </c>
      <c r="N33" s="61">
        <f>'25'!N108</f>
        <v>145.32708333333335</v>
      </c>
      <c r="O33" s="61">
        <f>'25'!O108</f>
        <v>0</v>
      </c>
      <c r="P33" s="202">
        <f>'25'!P108</f>
        <v>0.64781249999999979</v>
      </c>
      <c r="Q33" s="61">
        <f>'25'!Q108</f>
        <v>9.5160416666666716</v>
      </c>
      <c r="R33" s="118"/>
      <c r="S33" s="207"/>
      <c r="T33" s="118"/>
      <c r="U33" s="118"/>
    </row>
    <row r="34" spans="1:21" x14ac:dyDescent="0.25">
      <c r="A34" s="94" t="str">
        <f>'26'!$B$2</f>
        <v>26/10/2024 00:15</v>
      </c>
      <c r="B34" s="61">
        <f>'26'!B108</f>
        <v>19.651250000000005</v>
      </c>
      <c r="C34" s="61">
        <f>'26'!C108</f>
        <v>15.877083333333344</v>
      </c>
      <c r="D34" s="61">
        <f>'26'!D108</f>
        <v>22.677604166666669</v>
      </c>
      <c r="E34" s="61">
        <f>'26'!E108</f>
        <v>5.2981249999999989</v>
      </c>
      <c r="F34" s="61">
        <f>'26'!F108</f>
        <v>3.9309374999999989</v>
      </c>
      <c r="G34" s="61">
        <f>'26'!G108</f>
        <v>61.96770833333332</v>
      </c>
      <c r="H34" s="61">
        <f>'26'!H108</f>
        <v>23.910625000000007</v>
      </c>
      <c r="I34" s="61">
        <f>'26'!I108</f>
        <v>4.0590624999999987</v>
      </c>
      <c r="J34" s="61">
        <f>'26'!J108</f>
        <v>1.3309375000000003</v>
      </c>
      <c r="K34" s="61">
        <f>'26'!K108</f>
        <v>330.09677083333332</v>
      </c>
      <c r="L34" s="61">
        <f>'26'!L108</f>
        <v>25.92239583333334</v>
      </c>
      <c r="M34" s="61">
        <f>'26'!M108</f>
        <v>72.158229166666686</v>
      </c>
      <c r="N34" s="61">
        <f>'26'!N108</f>
        <v>167.3052083333333</v>
      </c>
      <c r="O34" s="61">
        <f>'26'!O108</f>
        <v>0</v>
      </c>
      <c r="P34" s="202">
        <f>'26'!P108</f>
        <v>0.82541666666666658</v>
      </c>
      <c r="Q34" s="61">
        <f>'26'!Q108</f>
        <v>9.6192708333333368</v>
      </c>
      <c r="R34" s="118"/>
      <c r="S34" s="118"/>
      <c r="T34" s="118"/>
      <c r="U34" s="118"/>
    </row>
    <row r="35" spans="1:21" x14ac:dyDescent="0.25">
      <c r="A35" s="94" t="str">
        <f>'27'!$B$2</f>
        <v>27/10/2024 00:15</v>
      </c>
      <c r="B35" s="61">
        <f>'27'!B108</f>
        <v>16.888645833333332</v>
      </c>
      <c r="C35" s="61">
        <f>'27'!C108</f>
        <v>14.333437500000002</v>
      </c>
      <c r="D35" s="61">
        <f>'27'!D108</f>
        <v>19.655104166666668</v>
      </c>
      <c r="E35" s="61">
        <f>'27'!E108</f>
        <v>5.0761458333333342</v>
      </c>
      <c r="F35" s="61">
        <f>'27'!F108</f>
        <v>3.9729166666666647</v>
      </c>
      <c r="G35" s="61">
        <f>'27'!G108</f>
        <v>62.805729166666715</v>
      </c>
      <c r="H35" s="61">
        <f>'27'!H108</f>
        <v>30.050625000000007</v>
      </c>
      <c r="I35" s="61">
        <f>'27'!I108</f>
        <v>4.3087500000000016</v>
      </c>
      <c r="J35" s="61">
        <f>'27'!J108</f>
        <v>1.0721874999999998</v>
      </c>
      <c r="K35" s="61">
        <f>'27'!K108</f>
        <v>253.5098958333333</v>
      </c>
      <c r="L35" s="61">
        <f>'27'!L108</f>
        <v>25.376354166666676</v>
      </c>
      <c r="M35" s="61">
        <f>'27'!M108</f>
        <v>83.710208333333284</v>
      </c>
      <c r="N35" s="61">
        <f>'27'!N108</f>
        <v>104.52604166666673</v>
      </c>
      <c r="O35" s="61">
        <f>'27'!O108</f>
        <v>0</v>
      </c>
      <c r="P35" s="202">
        <f>'27'!P108</f>
        <v>0.73187500000000005</v>
      </c>
      <c r="Q35" s="61">
        <f>'27'!Q108</f>
        <v>9.6193750000000033</v>
      </c>
      <c r="R35" s="118"/>
      <c r="S35" s="118"/>
      <c r="T35" s="118"/>
      <c r="U35" s="118"/>
    </row>
    <row r="36" spans="1:21" x14ac:dyDescent="0.25">
      <c r="A36" s="94" t="str">
        <f>'28'!$B$2</f>
        <v>28/10/2024 00:15</v>
      </c>
      <c r="B36" s="61">
        <f>'28'!B108</f>
        <v>10.058645833333335</v>
      </c>
      <c r="C36" s="61">
        <f>'28'!C108</f>
        <v>14.453958333333338</v>
      </c>
      <c r="D36" s="61">
        <f>'28'!D108</f>
        <v>14.243437500000004</v>
      </c>
      <c r="E36" s="61">
        <f>'28'!E108</f>
        <v>5.0687499999999996</v>
      </c>
      <c r="F36" s="61">
        <f>'28'!F108</f>
        <v>4.3427083333333352</v>
      </c>
      <c r="G36" s="61">
        <f>'28'!G108</f>
        <v>33.867083333333333</v>
      </c>
      <c r="H36" s="61">
        <f>'28'!H108</f>
        <v>15.14208333333333</v>
      </c>
      <c r="I36" s="61">
        <f>'28'!I108</f>
        <v>3.9597916666666673</v>
      </c>
      <c r="J36" s="61">
        <f>'28'!J108</f>
        <v>0.70177083333333334</v>
      </c>
      <c r="K36" s="61">
        <f>'28'!K108</f>
        <v>169.1458333333334</v>
      </c>
      <c r="L36" s="61">
        <f>'28'!L108</f>
        <v>25.6640625</v>
      </c>
      <c r="M36" s="61">
        <f>'28'!M108</f>
        <v>90.619062500000027</v>
      </c>
      <c r="N36" s="61">
        <f>'28'!N108</f>
        <v>99.771875000000009</v>
      </c>
      <c r="O36" s="61">
        <f>'28'!O108</f>
        <v>0</v>
      </c>
      <c r="P36" s="202">
        <f>'28'!P108</f>
        <v>0.69906250000000014</v>
      </c>
      <c r="Q36" s="61">
        <f>'28'!Q108</f>
        <v>9.6161458333333396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29/10/2024 00:15</v>
      </c>
      <c r="B37" s="61">
        <f>'29'!B108</f>
        <v>13.268749999999999</v>
      </c>
      <c r="C37" s="61">
        <f>'29'!C108</f>
        <v>13.616979166666665</v>
      </c>
      <c r="D37" s="61">
        <f>'29'!D108</f>
        <v>16.378125000000001</v>
      </c>
      <c r="E37" s="61">
        <f>'29'!E108</f>
        <v>5.6531249999999993</v>
      </c>
      <c r="F37" s="61">
        <f>'29'!F108</f>
        <v>4.2144791666666661</v>
      </c>
      <c r="G37" s="61">
        <f>'29'!G108</f>
        <v>48.829347826086959</v>
      </c>
      <c r="H37" s="61">
        <f>'29'!H108</f>
        <v>19.292282608695654</v>
      </c>
      <c r="I37" s="61">
        <f>'29'!I108</f>
        <v>4.0309375000000012</v>
      </c>
      <c r="J37" s="61">
        <f>'29'!J108</f>
        <v>0.72072916666666664</v>
      </c>
      <c r="K37" s="61">
        <f>'29'!K108</f>
        <v>196.26239583333333</v>
      </c>
      <c r="L37" s="61">
        <f>'29'!L108</f>
        <v>26.839270833333345</v>
      </c>
      <c r="M37" s="61">
        <f>'29'!M108</f>
        <v>85.885729166666678</v>
      </c>
      <c r="N37" s="61">
        <f>'29'!N108</f>
        <v>143.72395833333346</v>
      </c>
      <c r="O37" s="61">
        <f>'29'!O108</f>
        <v>0</v>
      </c>
      <c r="P37" s="202">
        <f>'29'!P108</f>
        <v>0.6853125000000001</v>
      </c>
      <c r="Q37" s="61">
        <f>'29'!Q108</f>
        <v>9.6189583333333388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30/10/2024 00:15</v>
      </c>
      <c r="B38" s="61">
        <f>'30'!B108</f>
        <v>7.7945833333333292</v>
      </c>
      <c r="C38" s="61">
        <f>'30'!C108</f>
        <v>11.592708333333334</v>
      </c>
      <c r="D38" s="61">
        <f>'30'!D108</f>
        <v>10.930104166666668</v>
      </c>
      <c r="E38" s="61">
        <f>'30'!E108</f>
        <v>5.4478124999999986</v>
      </c>
      <c r="F38" s="61">
        <f>'30'!F108</f>
        <v>4.5183333333333335</v>
      </c>
      <c r="G38" s="61">
        <f>'30'!G108</f>
        <v>54.835625000000022</v>
      </c>
      <c r="H38" s="61">
        <f>'30'!H108</f>
        <v>27.188645833333336</v>
      </c>
      <c r="I38" s="61">
        <f>'30'!I108</f>
        <v>3.4169791666666658</v>
      </c>
      <c r="J38" s="61">
        <f>'30'!J108</f>
        <v>0.56864583333333352</v>
      </c>
      <c r="K38" s="61">
        <f>'30'!K108</f>
        <v>184.93125000000001</v>
      </c>
      <c r="L38" s="61">
        <f>'30'!L108</f>
        <v>26.996041666666656</v>
      </c>
      <c r="M38" s="61">
        <f>'30'!M108</f>
        <v>84.540312499999985</v>
      </c>
      <c r="N38" s="61">
        <f>'30'!N108</f>
        <v>136.29375000000013</v>
      </c>
      <c r="O38" s="61">
        <f>'30'!O108</f>
        <v>0</v>
      </c>
      <c r="P38" s="202">
        <f>'30'!P108</f>
        <v>0.61072916666666643</v>
      </c>
      <c r="Q38" s="61">
        <f>'30'!Q108</f>
        <v>9.6139583333333398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31/10/2024 00:15</v>
      </c>
      <c r="B39" s="61">
        <f>'31'!B108</f>
        <v>6.7267708333333323</v>
      </c>
      <c r="C39" s="61">
        <f>'31'!C108</f>
        <v>14.446458333333332</v>
      </c>
      <c r="D39" s="61">
        <f>'31'!D108</f>
        <v>11.565312500000005</v>
      </c>
      <c r="E39" s="61">
        <f>'31'!E108</f>
        <v>6.8168750000000005</v>
      </c>
      <c r="F39" s="61">
        <f>'31'!F108</f>
        <v>6.1896875000000025</v>
      </c>
      <c r="G39" s="61">
        <f>'31'!G108</f>
        <v>116.92833333333336</v>
      </c>
      <c r="H39" s="61">
        <f>'31'!H108</f>
        <v>70.939479166666658</v>
      </c>
      <c r="I39" s="61">
        <f>'31'!I108</f>
        <v>4.0198958333333339</v>
      </c>
      <c r="J39" s="61">
        <f>'31'!J108</f>
        <v>0.61958333333333304</v>
      </c>
      <c r="K39" s="61">
        <f>'31'!K108</f>
        <v>227.6371875000001</v>
      </c>
      <c r="L39" s="61">
        <f>'31'!L108</f>
        <v>26.784166666666664</v>
      </c>
      <c r="M39" s="61">
        <f>'31'!M108</f>
        <v>83.641145833333326</v>
      </c>
      <c r="N39" s="61">
        <f>'31'!N108</f>
        <v>119.87916666666671</v>
      </c>
      <c r="O39" s="61">
        <f>'31'!O108</f>
        <v>0</v>
      </c>
      <c r="P39" s="61">
        <f>'31'!P108</f>
        <v>0.8999999999999998</v>
      </c>
      <c r="Q39" s="61">
        <f>'31'!Q108</f>
        <v>9.6167708333333373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2.5170833333333333</v>
      </c>
      <c r="C41" s="16">
        <f t="shared" si="0"/>
        <v>5.7548958333333324</v>
      </c>
      <c r="D41" s="16">
        <f t="shared" si="0"/>
        <v>5.2568750000000017</v>
      </c>
      <c r="E41" s="16">
        <f t="shared" si="0"/>
        <v>4.4789583333333338</v>
      </c>
      <c r="F41" s="16">
        <f t="shared" si="0"/>
        <v>3.7288541666666664</v>
      </c>
      <c r="G41" s="16">
        <f t="shared" si="0"/>
        <v>22.166145833333331</v>
      </c>
      <c r="H41" s="16">
        <f t="shared" si="0"/>
        <v>4.3537500000000025</v>
      </c>
      <c r="I41" s="16">
        <f t="shared" si="0"/>
        <v>1.1847916666666667</v>
      </c>
      <c r="J41" s="16">
        <f t="shared" si="0"/>
        <v>0.31145833333333328</v>
      </c>
      <c r="K41" s="16">
        <f t="shared" si="0"/>
        <v>120.83562499999998</v>
      </c>
      <c r="L41" s="16">
        <f t="shared" si="0"/>
        <v>25.242395833333337</v>
      </c>
      <c r="M41" s="16">
        <f t="shared" si="0"/>
        <v>64.942187499999989</v>
      </c>
      <c r="N41" s="16">
        <f t="shared" si="0"/>
        <v>99.771875000000009</v>
      </c>
      <c r="O41" s="16">
        <f t="shared" si="0"/>
        <v>0</v>
      </c>
      <c r="P41" s="16">
        <f t="shared" si="0"/>
        <v>0.38614583333333313</v>
      </c>
      <c r="Q41" s="16">
        <f t="shared" si="0"/>
        <v>9.4169791666666711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26.335208333333323</v>
      </c>
      <c r="C42" s="16">
        <f t="shared" si="1"/>
        <v>21.339999999999993</v>
      </c>
      <c r="D42" s="16">
        <f t="shared" si="1"/>
        <v>24.618541666666658</v>
      </c>
      <c r="E42" s="16">
        <f t="shared" si="1"/>
        <v>6.6520833333333336</v>
      </c>
      <c r="F42" s="16">
        <f t="shared" si="1"/>
        <v>5.2716666666666674</v>
      </c>
      <c r="G42" s="16">
        <f t="shared" si="1"/>
        <v>93.32</v>
      </c>
      <c r="H42" s="16">
        <f t="shared" si="1"/>
        <v>126.55349999999999</v>
      </c>
      <c r="I42" s="16">
        <f t="shared" si="1"/>
        <v>5.771562499999999</v>
      </c>
      <c r="J42" s="16">
        <f t="shared" si="1"/>
        <v>1.6950000000000001</v>
      </c>
      <c r="K42" s="16">
        <f t="shared" si="1"/>
        <v>337.36104166666667</v>
      </c>
      <c r="L42" s="16">
        <f t="shared" si="1"/>
        <v>29.69125</v>
      </c>
      <c r="M42" s="16">
        <f t="shared" si="1"/>
        <v>91.901250000000005</v>
      </c>
      <c r="N42" s="16">
        <f t="shared" si="1"/>
        <v>207.80312500000002</v>
      </c>
      <c r="O42" s="16">
        <f t="shared" si="1"/>
        <v>7.9166666666666677E-2</v>
      </c>
      <c r="P42" s="16">
        <f t="shared" si="1"/>
        <v>1.1360416666666666</v>
      </c>
      <c r="Q42" s="16">
        <f t="shared" si="1"/>
        <v>9.6193750000000033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10.275149305555553</v>
      </c>
      <c r="C43" s="16">
        <f t="shared" si="2"/>
        <v>10.606496527777781</v>
      </c>
      <c r="D43" s="16">
        <f t="shared" si="2"/>
        <v>13.39060416666667</v>
      </c>
      <c r="E43" s="16">
        <f t="shared" si="2"/>
        <v>5.4217534722222211</v>
      </c>
      <c r="F43" s="16">
        <f t="shared" si="2"/>
        <v>4.3183124999999993</v>
      </c>
      <c r="G43" s="16">
        <f t="shared" si="2"/>
        <v>52.102130150469335</v>
      </c>
      <c r="H43" s="16">
        <f t="shared" si="2"/>
        <v>25.172509808492936</v>
      </c>
      <c r="I43" s="16">
        <f t="shared" si="2"/>
        <v>3.6196076388888891</v>
      </c>
      <c r="J43" s="16">
        <f t="shared" si="2"/>
        <v>0.77394791666666662</v>
      </c>
      <c r="K43" s="16">
        <f t="shared" si="2"/>
        <v>212.62113541666668</v>
      </c>
      <c r="L43" s="16">
        <f t="shared" si="2"/>
        <v>27.152569444444445</v>
      </c>
      <c r="M43" s="16">
        <f t="shared" si="2"/>
        <v>80.331631944444453</v>
      </c>
      <c r="N43" s="16">
        <f t="shared" si="2"/>
        <v>161.0930208333333</v>
      </c>
      <c r="O43" s="16">
        <f t="shared" si="2"/>
        <v>2.6388888888888894E-3</v>
      </c>
      <c r="P43" s="16">
        <f t="shared" si="2"/>
        <v>0.65742708333333322</v>
      </c>
      <c r="Q43" s="16">
        <f t="shared" si="2"/>
        <v>9.6032847222222308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6.2080568815182087</v>
      </c>
      <c r="C44" s="16">
        <f t="shared" si="3"/>
        <v>3.9721858562879691</v>
      </c>
      <c r="D44" s="16">
        <f t="shared" si="3"/>
        <v>5.8004437924486245</v>
      </c>
      <c r="E44" s="16">
        <f t="shared" si="3"/>
        <v>0.50201685027126108</v>
      </c>
      <c r="F44" s="16">
        <f t="shared" si="3"/>
        <v>0.45473779189880381</v>
      </c>
      <c r="G44" s="16">
        <f t="shared" si="3"/>
        <v>19.61148237360959</v>
      </c>
      <c r="H44" s="16">
        <f t="shared" si="3"/>
        <v>22.738194280801459</v>
      </c>
      <c r="I44" s="16">
        <f t="shared" si="3"/>
        <v>0.87462351159201723</v>
      </c>
      <c r="J44" s="16">
        <f t="shared" si="3"/>
        <v>0.30257457499929397</v>
      </c>
      <c r="K44" s="16">
        <f t="shared" si="3"/>
        <v>61.605914887356938</v>
      </c>
      <c r="L44" s="16">
        <f t="shared" si="3"/>
        <v>1.1741178687830531</v>
      </c>
      <c r="M44" s="16">
        <f t="shared" si="3"/>
        <v>6.6039635805446473</v>
      </c>
      <c r="N44" s="16">
        <f t="shared" si="3"/>
        <v>29.22153685353015</v>
      </c>
      <c r="O44" s="16">
        <f t="shared" si="3"/>
        <v>1.4453789711941886E-2</v>
      </c>
      <c r="P44" s="16">
        <f t="shared" si="3"/>
        <v>0.1810730514862908</v>
      </c>
      <c r="Q44" s="16">
        <f t="shared" si="3"/>
        <v>3.9549807464943486E-2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133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H129" sqref="H129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3" t="s">
        <v>227</v>
      </c>
      <c r="E1" s="223"/>
      <c r="F1" s="223"/>
      <c r="G1" s="223"/>
      <c r="H1" s="223"/>
      <c r="I1" s="223"/>
      <c r="J1" s="224"/>
    </row>
    <row r="2" spans="2:24" ht="22.5" customHeight="1" thickBot="1" x14ac:dyDescent="0.3">
      <c r="B2" s="54"/>
      <c r="C2" s="111" t="s">
        <v>0</v>
      </c>
      <c r="D2" s="112" t="s">
        <v>225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2" t="s">
        <v>1</v>
      </c>
      <c r="H5" s="222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/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217</v>
      </c>
      <c r="O8" s="63">
        <v>45569.497916666667</v>
      </c>
      <c r="P8" s="64" t="s">
        <v>70</v>
      </c>
      <c r="Q8" s="64">
        <v>5094.75</v>
      </c>
      <c r="R8" s="64">
        <v>3919.01</v>
      </c>
      <c r="S8" s="77" t="s">
        <v>1782</v>
      </c>
      <c r="T8" s="77">
        <v>826.69</v>
      </c>
      <c r="U8" s="86">
        <v>0.93489999999999995</v>
      </c>
      <c r="V8" s="86">
        <v>0.95</v>
      </c>
      <c r="W8" s="60" t="s">
        <v>67</v>
      </c>
      <c r="X8" s="78" t="s">
        <v>217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217</v>
      </c>
      <c r="O9" s="63">
        <v>45581.472222222219</v>
      </c>
      <c r="P9" s="64" t="s">
        <v>70</v>
      </c>
      <c r="Q9" s="64">
        <v>5119.25</v>
      </c>
      <c r="R9" s="64">
        <v>4112.6099999999997</v>
      </c>
      <c r="S9" s="77" t="s">
        <v>1782</v>
      </c>
      <c r="T9" s="77">
        <v>833.1</v>
      </c>
      <c r="U9" s="86">
        <v>0.94620000000000004</v>
      </c>
      <c r="V9" s="86">
        <v>0.94320000000000004</v>
      </c>
      <c r="W9" s="60" t="s">
        <v>67</v>
      </c>
      <c r="X9" s="62" t="s">
        <v>217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217</v>
      </c>
      <c r="O10" s="63">
        <v>45587.487500000003</v>
      </c>
      <c r="P10" s="64" t="s">
        <v>70</v>
      </c>
      <c r="Q10" s="64">
        <v>5045.24</v>
      </c>
      <c r="R10" s="64">
        <v>4012.24</v>
      </c>
      <c r="S10" s="77" t="s">
        <v>1782</v>
      </c>
      <c r="T10" s="77">
        <v>834.85</v>
      </c>
      <c r="U10" s="86">
        <v>0.94350000000000001</v>
      </c>
      <c r="V10" s="86">
        <v>0.93889999999999996</v>
      </c>
      <c r="W10" s="60" t="s">
        <v>67</v>
      </c>
      <c r="X10" s="62" t="s">
        <v>217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>
        <v>45594.462500000001</v>
      </c>
      <c r="P11" s="64" t="s">
        <v>70</v>
      </c>
      <c r="Q11" s="64">
        <v>4279.3100000000004</v>
      </c>
      <c r="R11" s="64">
        <v>3233.57</v>
      </c>
      <c r="S11" s="77" t="s">
        <v>1782</v>
      </c>
      <c r="T11" s="77">
        <v>838.14</v>
      </c>
      <c r="U11" s="86">
        <v>0.88949999999999996</v>
      </c>
      <c r="V11" s="86">
        <v>0.88619999999999999</v>
      </c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1782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0" t="s">
        <v>25</v>
      </c>
      <c r="D21" s="220"/>
      <c r="E21" s="220"/>
      <c r="F21" s="220"/>
      <c r="G21" s="220"/>
      <c r="H21" s="220"/>
      <c r="I21" s="45">
        <f>COUNT(B8:B20)</f>
        <v>0</v>
      </c>
      <c r="J21" s="46"/>
      <c r="K21" s="46"/>
      <c r="L21" s="47"/>
      <c r="M21" s="48"/>
      <c r="O21" s="80"/>
      <c r="P21" s="219" t="s">
        <v>84</v>
      </c>
      <c r="Q21" s="219"/>
      <c r="R21" s="219"/>
      <c r="S21" s="219"/>
      <c r="T21" s="81">
        <f>COUNT(O8:O20)</f>
        <v>4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1" t="s">
        <v>2</v>
      </c>
      <c r="H24" s="221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45569.524305555555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215.02</v>
      </c>
      <c r="I27" s="60">
        <v>0</v>
      </c>
      <c r="J27" s="61">
        <f>F27/H27</f>
        <v>0.93014603292716957</v>
      </c>
      <c r="K27" s="61">
        <f>(H27-F27)*100/F27</f>
        <v>7.5100000000000042</v>
      </c>
      <c r="L27" s="60" t="s">
        <v>67</v>
      </c>
      <c r="M27" s="78" t="s">
        <v>217</v>
      </c>
      <c r="O27" s="63">
        <v>45569.497916666667</v>
      </c>
      <c r="P27" s="64" t="s">
        <v>71</v>
      </c>
      <c r="Q27" s="64">
        <v>4951.96</v>
      </c>
      <c r="R27" s="64">
        <v>3900.55</v>
      </c>
      <c r="S27" s="77" t="s">
        <v>1783</v>
      </c>
      <c r="T27" s="77">
        <v>843.88</v>
      </c>
      <c r="U27" s="86">
        <v>0.99790000000000001</v>
      </c>
      <c r="V27" s="86">
        <v>1.0043</v>
      </c>
      <c r="W27" s="60" t="s">
        <v>67</v>
      </c>
      <c r="X27" s="78" t="s">
        <v>217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223</v>
      </c>
      <c r="O28" s="63">
        <v>45581.472222222219</v>
      </c>
      <c r="P28" s="64" t="s">
        <v>71</v>
      </c>
      <c r="Q28" s="64">
        <v>4832.42</v>
      </c>
      <c r="R28" s="64">
        <v>3892.31</v>
      </c>
      <c r="S28" s="77" t="s">
        <v>1783</v>
      </c>
      <c r="T28" s="77">
        <v>845.24</v>
      </c>
      <c r="U28" s="86">
        <v>0.99853999999999998</v>
      </c>
      <c r="V28" s="86">
        <v>0.9788</v>
      </c>
      <c r="W28" s="60" t="s">
        <v>67</v>
      </c>
      <c r="X28" s="62" t="s">
        <v>217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224</v>
      </c>
      <c r="O29" s="63">
        <v>45587.487500000003</v>
      </c>
      <c r="P29" s="64" t="s">
        <v>71</v>
      </c>
      <c r="Q29" s="64">
        <v>4736.25</v>
      </c>
      <c r="R29" s="64">
        <v>3840.12</v>
      </c>
      <c r="S29" s="77" t="s">
        <v>1783</v>
      </c>
      <c r="T29" s="77">
        <v>847.69</v>
      </c>
      <c r="U29" s="86">
        <v>0.93959999999999999</v>
      </c>
      <c r="V29" s="86">
        <v>0.93799999999999994</v>
      </c>
      <c r="W29" s="60" t="s">
        <v>67</v>
      </c>
      <c r="X29" s="62" t="s">
        <v>217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>
        <v>45594.472222222219</v>
      </c>
      <c r="P30" s="64" t="s">
        <v>71</v>
      </c>
      <c r="Q30" s="64">
        <v>5082.51</v>
      </c>
      <c r="R30" s="64">
        <v>3896.1</v>
      </c>
      <c r="S30" s="77" t="s">
        <v>1783</v>
      </c>
      <c r="T30" s="77">
        <v>847.76</v>
      </c>
      <c r="U30" s="86">
        <v>0.9395</v>
      </c>
      <c r="V30" s="86">
        <v>0.93869999999999998</v>
      </c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9" t="s">
        <v>85</v>
      </c>
      <c r="Q40" s="219"/>
      <c r="R40" s="219"/>
      <c r="S40" s="219"/>
      <c r="T40" s="81">
        <f>COUNT(O27:O39)</f>
        <v>4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0" t="s">
        <v>26</v>
      </c>
      <c r="E41" s="220"/>
      <c r="F41" s="220"/>
      <c r="G41" s="220"/>
      <c r="H41" s="220"/>
      <c r="I41" s="220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1" t="s">
        <v>23</v>
      </c>
      <c r="H44" s="221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0" t="s">
        <v>27</v>
      </c>
      <c r="E61" s="220"/>
      <c r="F61" s="220"/>
      <c r="G61" s="220"/>
      <c r="H61" s="220"/>
      <c r="I61" s="220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1" t="s">
        <v>3</v>
      </c>
      <c r="H64" s="221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/>
      <c r="C67" s="60" t="s">
        <v>3</v>
      </c>
      <c r="D67" s="60" t="s">
        <v>52</v>
      </c>
      <c r="E67" s="60">
        <v>0</v>
      </c>
      <c r="F67" s="60">
        <v>5</v>
      </c>
      <c r="G67" s="60"/>
      <c r="H67" s="117"/>
      <c r="I67" s="60">
        <v>0</v>
      </c>
      <c r="J67" s="61" t="e">
        <f>F67/H67</f>
        <v>#DIV/0!</v>
      </c>
      <c r="K67" s="61">
        <f>(H67-F67)*100/F67</f>
        <v>-100</v>
      </c>
      <c r="L67" s="60" t="s">
        <v>67</v>
      </c>
      <c r="M67" s="78" t="s">
        <v>223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224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0" t="s">
        <v>28</v>
      </c>
      <c r="E81" s="220"/>
      <c r="F81" s="220"/>
      <c r="G81" s="220"/>
      <c r="H81" s="220"/>
      <c r="I81" s="220"/>
      <c r="J81" s="52">
        <f>COUNT(B67:B79)</f>
        <v>0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1" t="s">
        <v>24</v>
      </c>
      <c r="H84" s="221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0" t="s">
        <v>29</v>
      </c>
      <c r="E101" s="220"/>
      <c r="F101" s="220"/>
      <c r="G101" s="220"/>
      <c r="H101" s="220"/>
      <c r="I101" s="220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2" t="s">
        <v>4</v>
      </c>
      <c r="H104" s="222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223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0" t="s">
        <v>69</v>
      </c>
      <c r="D119" s="220"/>
      <c r="E119" s="220"/>
      <c r="F119" s="220"/>
      <c r="G119" s="220"/>
      <c r="H119" s="220"/>
      <c r="I119" s="52">
        <f>COUNT(B107:B118)</f>
        <v>0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5" t="s">
        <v>228</v>
      </c>
      <c r="C2" s="225"/>
      <c r="D2" s="226">
        <v>45017</v>
      </c>
      <c r="E2" s="226"/>
    </row>
    <row r="3" spans="1:5" x14ac:dyDescent="0.25">
      <c r="B3" s="225" t="s">
        <v>21</v>
      </c>
      <c r="C3" s="225"/>
      <c r="D3" s="226"/>
      <c r="E3" s="226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7" t="s">
        <v>22</v>
      </c>
      <c r="C44" s="227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3" t="s">
        <v>221</v>
      </c>
      <c r="C2" s="243"/>
      <c r="D2" s="243"/>
      <c r="E2" s="243"/>
      <c r="F2" s="244">
        <v>44713</v>
      </c>
      <c r="G2" s="245"/>
      <c r="H2" s="245"/>
    </row>
    <row r="3" spans="2:24" s="12" customFormat="1" ht="15" customHeight="1" x14ac:dyDescent="0.25">
      <c r="B3" s="243"/>
      <c r="C3" s="243"/>
      <c r="D3" s="243"/>
      <c r="E3" s="243"/>
      <c r="F3" s="245"/>
      <c r="G3" s="245"/>
      <c r="H3" s="245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6" t="s">
        <v>4</v>
      </c>
      <c r="C12" s="248" t="s">
        <v>134</v>
      </c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127"/>
      <c r="U12" s="125"/>
    </row>
    <row r="13" spans="2:24" ht="15" customHeight="1" x14ac:dyDescent="0.25">
      <c r="B13" s="247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47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7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47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47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7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8" t="s">
        <v>2</v>
      </c>
      <c r="C25" s="241" t="s">
        <v>134</v>
      </c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30"/>
      <c r="S25" s="188"/>
      <c r="T25" s="189"/>
    </row>
    <row r="26" spans="2:28" ht="15" customHeight="1" x14ac:dyDescent="0.3">
      <c r="B26" s="238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8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8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0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2" t="s">
        <v>3</v>
      </c>
      <c r="C36" s="234" t="s">
        <v>134</v>
      </c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5"/>
    </row>
    <row r="37" spans="2:25" ht="15.75" customHeight="1" x14ac:dyDescent="0.25">
      <c r="B37" s="233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3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3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3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6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7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37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7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37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8" t="s">
        <v>185</v>
      </c>
      <c r="C61" s="241" t="s">
        <v>134</v>
      </c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30"/>
      <c r="S61" s="166"/>
      <c r="T61" s="167"/>
    </row>
    <row r="62" spans="2:20" ht="15.75" x14ac:dyDescent="0.3">
      <c r="B62" s="238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39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9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0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8" t="s">
        <v>202</v>
      </c>
      <c r="C69" s="241" t="s">
        <v>134</v>
      </c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30"/>
      <c r="S69" s="166"/>
      <c r="T69" s="167"/>
    </row>
    <row r="70" spans="2:20" ht="15.75" x14ac:dyDescent="0.3">
      <c r="B70" s="238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8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9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0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8" t="s">
        <v>24</v>
      </c>
      <c r="C77" s="230" t="s">
        <v>134</v>
      </c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177"/>
      <c r="S77" s="177"/>
      <c r="T77" s="178"/>
    </row>
    <row r="78" spans="2:20" x14ac:dyDescent="0.25">
      <c r="B78" s="229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29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9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29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29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9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2024-11-18T11:51:11Z</dcterms:modified>
</cp:coreProperties>
</file>