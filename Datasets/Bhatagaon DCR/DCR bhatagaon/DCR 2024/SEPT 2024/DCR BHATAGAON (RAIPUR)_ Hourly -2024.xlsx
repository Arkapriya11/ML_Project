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P17" i="39" l="1"/>
  <c r="P15" i="39"/>
  <c r="N17" i="39"/>
  <c r="O17" i="39"/>
  <c r="N15" i="39"/>
  <c r="O15" i="39"/>
  <c r="I38" i="41"/>
  <c r="I38" i="40"/>
  <c r="I38" i="33"/>
  <c r="C38" i="32"/>
  <c r="D38" i="32"/>
  <c r="B38" i="32"/>
  <c r="Q38" i="31"/>
  <c r="Q38" i="30"/>
  <c r="H38" i="28"/>
  <c r="H38" i="26"/>
  <c r="H38" i="24"/>
  <c r="G38" i="24"/>
  <c r="H38" i="19" l="1"/>
  <c r="G38" i="19"/>
  <c r="H38" i="17"/>
  <c r="G38" i="17"/>
  <c r="E38" i="17"/>
  <c r="H38" i="9"/>
  <c r="G38" i="9"/>
  <c r="E38" i="9"/>
  <c r="B2" i="20" l="1"/>
  <c r="C38" i="39"/>
  <c r="N37" i="39"/>
  <c r="G37" i="39"/>
  <c r="D37" i="39"/>
  <c r="M36" i="39"/>
  <c r="K36" i="39"/>
  <c r="C36" i="39"/>
  <c r="P35" i="39"/>
  <c r="F35" i="39"/>
  <c r="G34" i="39"/>
  <c r="K33" i="39"/>
  <c r="H33" i="39"/>
  <c r="B33" i="39"/>
  <c r="L32" i="39"/>
  <c r="I32" i="39"/>
  <c r="C32" i="39"/>
  <c r="N30" i="39"/>
  <c r="K30" i="39"/>
  <c r="E30" i="39"/>
  <c r="O29" i="39"/>
  <c r="F29" i="39"/>
  <c r="N28" i="39"/>
  <c r="M28" i="39"/>
  <c r="O27" i="39"/>
  <c r="N27" i="39"/>
  <c r="O26" i="39"/>
  <c r="Q25" i="39"/>
  <c r="P25" i="39"/>
  <c r="A25" i="39"/>
  <c r="Q24" i="39"/>
  <c r="A24" i="39"/>
  <c r="B23" i="39"/>
  <c r="A23" i="39"/>
  <c r="C22" i="39"/>
  <c r="N21" i="39"/>
  <c r="G21" i="39"/>
  <c r="D21" i="39"/>
  <c r="F19" i="39"/>
  <c r="H18" i="39"/>
  <c r="G18" i="39"/>
  <c r="H17" i="39"/>
  <c r="I16" i="39"/>
  <c r="J15" i="39"/>
  <c r="K14" i="39"/>
  <c r="L13" i="39"/>
  <c r="O11" i="39"/>
  <c r="N11" i="39"/>
  <c r="N9" i="39"/>
  <c r="H9" i="39"/>
  <c r="E9" i="39"/>
  <c r="K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40" i="4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40" i="40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F36" i="40"/>
  <c r="F37" i="39" s="1"/>
  <c r="E36" i="40"/>
  <c r="E37" i="39" s="1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40" i="33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L36" i="33"/>
  <c r="L36" i="39" s="1"/>
  <c r="K36" i="33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40" i="32"/>
  <c r="C39" i="32"/>
  <c r="B40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40" i="3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40" i="30"/>
  <c r="P38" i="30"/>
  <c r="P40" i="30" s="1"/>
  <c r="O38" i="30"/>
  <c r="O40" i="30" s="1"/>
  <c r="N38" i="30"/>
  <c r="N40" i="30" s="1"/>
  <c r="M38" i="30"/>
  <c r="M40" i="30" s="1"/>
  <c r="L38" i="30"/>
  <c r="L39" i="30" s="1"/>
  <c r="K38" i="30"/>
  <c r="K40" i="30" s="1"/>
  <c r="J38" i="30"/>
  <c r="J40" i="30" s="1"/>
  <c r="I38" i="30"/>
  <c r="I39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39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39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39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39" i="28" s="1"/>
  <c r="L38" i="28"/>
  <c r="L40" i="28" s="1"/>
  <c r="K38" i="28"/>
  <c r="K40" i="28" s="1"/>
  <c r="J38" i="28"/>
  <c r="J40" i="28" s="1"/>
  <c r="I38" i="28"/>
  <c r="I40" i="28" s="1"/>
  <c r="H40" i="28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L40" i="27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39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39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39" i="26" s="1"/>
  <c r="H40" i="26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39" i="25" s="1"/>
  <c r="I38" i="25"/>
  <c r="I39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39" i="24" s="1"/>
  <c r="I38" i="24"/>
  <c r="I39" i="24" s="1"/>
  <c r="H40" i="24"/>
  <c r="G40" i="24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39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J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39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39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39" i="19" s="1"/>
  <c r="H40" i="19"/>
  <c r="G40" i="19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J39" i="17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40" i="17"/>
  <c r="G40" i="17"/>
  <c r="F38" i="17"/>
  <c r="F40" i="17" s="1"/>
  <c r="E40" i="17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K40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39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39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40" i="9"/>
  <c r="G40" i="9"/>
  <c r="F38" i="9"/>
  <c r="F40" i="9" s="1"/>
  <c r="E40" i="9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39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39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39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M36" i="2"/>
  <c r="M9" i="39" s="1"/>
  <c r="L36" i="2"/>
  <c r="L9" i="39" s="1"/>
  <c r="K36" i="2"/>
  <c r="K9" i="39" s="1"/>
  <c r="J36" i="2"/>
  <c r="J9" i="39" s="1"/>
  <c r="I36" i="2"/>
  <c r="I9" i="39" s="1"/>
  <c r="H36" i="2"/>
  <c r="G36" i="2"/>
  <c r="G9" i="39" s="1"/>
  <c r="F36" i="2"/>
  <c r="F9" i="39" s="1"/>
  <c r="E36" i="2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L39" i="41" l="1"/>
  <c r="M39" i="41"/>
  <c r="N39" i="41"/>
  <c r="O39" i="41"/>
  <c r="P39" i="41"/>
  <c r="Q39" i="41"/>
  <c r="B39" i="41"/>
  <c r="C39" i="41"/>
  <c r="D39" i="41"/>
  <c r="E39" i="41"/>
  <c r="F39" i="41"/>
  <c r="G39" i="41"/>
  <c r="H39" i="41"/>
  <c r="I39" i="41"/>
  <c r="J39" i="41"/>
  <c r="J39" i="40"/>
  <c r="K39" i="40"/>
  <c r="L39" i="40"/>
  <c r="M39" i="40"/>
  <c r="N39" i="40"/>
  <c r="O39" i="40"/>
  <c r="P39" i="40"/>
  <c r="Q39" i="40"/>
  <c r="B39" i="40"/>
  <c r="C39" i="40"/>
  <c r="D39" i="40"/>
  <c r="E39" i="40"/>
  <c r="F39" i="40"/>
  <c r="G39" i="40"/>
  <c r="H39" i="40"/>
  <c r="I39" i="40"/>
  <c r="I39" i="33"/>
  <c r="J39" i="33"/>
  <c r="K39" i="33"/>
  <c r="L39" i="33"/>
  <c r="M39" i="33"/>
  <c r="N39" i="33"/>
  <c r="O39" i="33"/>
  <c r="P39" i="33"/>
  <c r="Q39" i="33"/>
  <c r="B39" i="33"/>
  <c r="C39" i="33"/>
  <c r="D39" i="33"/>
  <c r="E39" i="33"/>
  <c r="F39" i="33"/>
  <c r="G39" i="33"/>
  <c r="H39" i="33"/>
  <c r="I39" i="32"/>
  <c r="J39" i="32"/>
  <c r="K39" i="32"/>
  <c r="L39" i="32"/>
  <c r="M39" i="32"/>
  <c r="N39" i="32"/>
  <c r="O39" i="32"/>
  <c r="P39" i="32"/>
  <c r="Q39" i="32"/>
  <c r="B39" i="32"/>
  <c r="C40" i="32"/>
  <c r="D39" i="32"/>
  <c r="E39" i="32"/>
  <c r="F39" i="32"/>
  <c r="G39" i="32"/>
  <c r="H39" i="32"/>
  <c r="K39" i="31"/>
  <c r="L39" i="31"/>
  <c r="J39" i="31"/>
  <c r="M39" i="31"/>
  <c r="N39" i="31"/>
  <c r="O39" i="31"/>
  <c r="P39" i="31"/>
  <c r="Q39" i="31"/>
  <c r="B39" i="31"/>
  <c r="C39" i="31"/>
  <c r="D39" i="31"/>
  <c r="E39" i="31"/>
  <c r="F39" i="31"/>
  <c r="G39" i="31"/>
  <c r="H39" i="31"/>
  <c r="I39" i="31"/>
  <c r="I40" i="30"/>
  <c r="J39" i="30"/>
  <c r="K39" i="30"/>
  <c r="M39" i="30"/>
  <c r="N39" i="30"/>
  <c r="L40" i="30"/>
  <c r="O39" i="30"/>
  <c r="P39" i="30"/>
  <c r="Q39" i="30"/>
  <c r="B39" i="30"/>
  <c r="C40" i="30"/>
  <c r="D39" i="30"/>
  <c r="E39" i="30"/>
  <c r="F39" i="30"/>
  <c r="G39" i="30"/>
  <c r="H39" i="30"/>
  <c r="H39" i="29"/>
  <c r="I39" i="29"/>
  <c r="J39" i="29"/>
  <c r="K40" i="29"/>
  <c r="L39" i="29"/>
  <c r="M39" i="29"/>
  <c r="N39" i="29"/>
  <c r="O39" i="29"/>
  <c r="P39" i="29"/>
  <c r="Q39" i="29"/>
  <c r="C39" i="29"/>
  <c r="B40" i="29"/>
  <c r="D39" i="29"/>
  <c r="E39" i="29"/>
  <c r="F39" i="29"/>
  <c r="G39" i="29"/>
  <c r="J39" i="28"/>
  <c r="K39" i="28"/>
  <c r="L39" i="28"/>
  <c r="N39" i="28"/>
  <c r="O39" i="28"/>
  <c r="M40" i="28"/>
  <c r="P39" i="28"/>
  <c r="Q39" i="28"/>
  <c r="B39" i="28"/>
  <c r="C39" i="28"/>
  <c r="E39" i="28"/>
  <c r="F39" i="28"/>
  <c r="D39" i="28"/>
  <c r="G39" i="28"/>
  <c r="H39" i="28"/>
  <c r="I39" i="28"/>
  <c r="I39" i="27"/>
  <c r="J39" i="27"/>
  <c r="K39" i="27"/>
  <c r="M39" i="27"/>
  <c r="N39" i="27"/>
  <c r="O39" i="27"/>
  <c r="P39" i="27"/>
  <c r="Q39" i="27"/>
  <c r="B39" i="27"/>
  <c r="C40" i="27"/>
  <c r="D39" i="27"/>
  <c r="E39" i="27"/>
  <c r="F39" i="27"/>
  <c r="G39" i="27"/>
  <c r="H39" i="27"/>
  <c r="I40" i="26"/>
  <c r="J39" i="26"/>
  <c r="K39" i="26"/>
  <c r="M39" i="26"/>
  <c r="L39" i="26"/>
  <c r="N39" i="26"/>
  <c r="O39" i="26"/>
  <c r="P39" i="26"/>
  <c r="Q39" i="26"/>
  <c r="B39" i="26"/>
  <c r="D39" i="26"/>
  <c r="E39" i="26"/>
  <c r="C40" i="26"/>
  <c r="F39" i="26"/>
  <c r="G39" i="26"/>
  <c r="H39" i="26"/>
  <c r="J40" i="25"/>
  <c r="K39" i="25"/>
  <c r="L39" i="25"/>
  <c r="I40" i="25"/>
  <c r="M39" i="25"/>
  <c r="N39" i="25"/>
  <c r="O39" i="25"/>
  <c r="P39" i="25"/>
  <c r="Q39" i="25"/>
  <c r="B39" i="25"/>
  <c r="C39" i="25"/>
  <c r="D39" i="25"/>
  <c r="E39" i="25"/>
  <c r="F39" i="25"/>
  <c r="G39" i="25"/>
  <c r="H39" i="25"/>
  <c r="J40" i="24"/>
  <c r="K39" i="24"/>
  <c r="I40" i="24"/>
  <c r="L39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J40" i="23"/>
  <c r="K39" i="23"/>
  <c r="L39" i="23"/>
  <c r="M39" i="23"/>
  <c r="N39" i="23"/>
  <c r="O39" i="23"/>
  <c r="P39" i="23"/>
  <c r="Q39" i="23"/>
  <c r="B39" i="23"/>
  <c r="C39" i="23"/>
  <c r="D39" i="23"/>
  <c r="E39" i="23"/>
  <c r="F39" i="23"/>
  <c r="G39" i="23"/>
  <c r="H39" i="23"/>
  <c r="I39" i="23"/>
  <c r="K39" i="22"/>
  <c r="L39" i="22"/>
  <c r="M39" i="22"/>
  <c r="N39" i="22"/>
  <c r="O39" i="22"/>
  <c r="P39" i="22"/>
  <c r="Q39" i="22"/>
  <c r="B39" i="22"/>
  <c r="C39" i="22"/>
  <c r="I39" i="22"/>
  <c r="D39" i="22"/>
  <c r="E39" i="22"/>
  <c r="F39" i="22"/>
  <c r="G39" i="22"/>
  <c r="H39" i="22"/>
  <c r="J39" i="21"/>
  <c r="K39" i="21"/>
  <c r="I40" i="21"/>
  <c r="L39" i="21"/>
  <c r="M39" i="21"/>
  <c r="N39" i="21"/>
  <c r="O39" i="21"/>
  <c r="P39" i="21"/>
  <c r="Q39" i="21"/>
  <c r="B39" i="21"/>
  <c r="C39" i="21"/>
  <c r="D39" i="21"/>
  <c r="E39" i="21"/>
  <c r="F39" i="21"/>
  <c r="G39" i="21"/>
  <c r="H39" i="21"/>
  <c r="J39" i="20"/>
  <c r="K39" i="20"/>
  <c r="L39" i="20"/>
  <c r="M39" i="20"/>
  <c r="N39" i="20"/>
  <c r="O39" i="20"/>
  <c r="P39" i="20"/>
  <c r="Q39" i="20"/>
  <c r="B39" i="20"/>
  <c r="C39" i="20"/>
  <c r="D39" i="20"/>
  <c r="I40" i="20"/>
  <c r="E39" i="20"/>
  <c r="F39" i="20"/>
  <c r="G39" i="20"/>
  <c r="H39" i="20"/>
  <c r="J39" i="19"/>
  <c r="K39" i="19"/>
  <c r="L39" i="19"/>
  <c r="M39" i="19"/>
  <c r="N39" i="19"/>
  <c r="O39" i="19"/>
  <c r="I40" i="19"/>
  <c r="P39" i="19"/>
  <c r="Q39" i="19"/>
  <c r="B39" i="19"/>
  <c r="C39" i="19"/>
  <c r="D39" i="19"/>
  <c r="E39" i="19"/>
  <c r="F39" i="19"/>
  <c r="G39" i="19"/>
  <c r="H39" i="19"/>
  <c r="I39" i="18"/>
  <c r="J39" i="18"/>
  <c r="K39" i="18"/>
  <c r="H39" i="18"/>
  <c r="L39" i="18"/>
  <c r="M39" i="18"/>
  <c r="N39" i="18"/>
  <c r="O39" i="18"/>
  <c r="P39" i="18"/>
  <c r="Q39" i="18"/>
  <c r="B39" i="18"/>
  <c r="C39" i="18"/>
  <c r="D39" i="18"/>
  <c r="E39" i="18"/>
  <c r="F39" i="18"/>
  <c r="G39" i="18"/>
  <c r="K39" i="17"/>
  <c r="L39" i="17"/>
  <c r="M39" i="17"/>
  <c r="N39" i="17"/>
  <c r="O39" i="17"/>
  <c r="P39" i="17"/>
  <c r="Q39" i="17"/>
  <c r="B39" i="17"/>
  <c r="C39" i="17"/>
  <c r="D39" i="17"/>
  <c r="E39" i="17"/>
  <c r="F39" i="17"/>
  <c r="G39" i="17"/>
  <c r="H39" i="17"/>
  <c r="I39" i="17"/>
  <c r="L39" i="16"/>
  <c r="M39" i="16"/>
  <c r="N39" i="16"/>
  <c r="K39" i="16"/>
  <c r="O39" i="16"/>
  <c r="P39" i="16"/>
  <c r="Q39" i="16"/>
  <c r="B39" i="16"/>
  <c r="C39" i="16"/>
  <c r="D39" i="16"/>
  <c r="E39" i="16"/>
  <c r="F39" i="16"/>
  <c r="G39" i="16"/>
  <c r="H39" i="16"/>
  <c r="I39" i="16"/>
  <c r="J39" i="16"/>
  <c r="M39" i="15"/>
  <c r="N39" i="15"/>
  <c r="O39" i="15"/>
  <c r="P39" i="15"/>
  <c r="Q39" i="15"/>
  <c r="B39" i="15"/>
  <c r="L39" i="15"/>
  <c r="C39" i="15"/>
  <c r="D39" i="15"/>
  <c r="E39" i="15"/>
  <c r="F39" i="15"/>
  <c r="G39" i="15"/>
  <c r="H39" i="15"/>
  <c r="I39" i="15"/>
  <c r="J39" i="15"/>
  <c r="K39" i="14"/>
  <c r="J40" i="14"/>
  <c r="L39" i="14"/>
  <c r="M39" i="14"/>
  <c r="N39" i="14"/>
  <c r="O39" i="14"/>
  <c r="P39" i="14"/>
  <c r="Q39" i="14"/>
  <c r="I39" i="14"/>
  <c r="B39" i="14"/>
  <c r="C39" i="14"/>
  <c r="D39" i="14"/>
  <c r="E39" i="14"/>
  <c r="F39" i="14"/>
  <c r="G39" i="14"/>
  <c r="H39" i="14"/>
  <c r="K39" i="13"/>
  <c r="L39" i="13"/>
  <c r="M39" i="13"/>
  <c r="N39" i="13"/>
  <c r="O39" i="13"/>
  <c r="P39" i="13"/>
  <c r="J39" i="13"/>
  <c r="Q39" i="13"/>
  <c r="B39" i="13"/>
  <c r="C39" i="13"/>
  <c r="D39" i="13"/>
  <c r="E39" i="13"/>
  <c r="F39" i="13"/>
  <c r="G39" i="13"/>
  <c r="H39" i="13"/>
  <c r="I39" i="13"/>
  <c r="I39" i="12"/>
  <c r="J39" i="12"/>
  <c r="K39" i="12"/>
  <c r="L39" i="12"/>
  <c r="H39" i="12"/>
  <c r="M39" i="12"/>
  <c r="N39" i="12"/>
  <c r="O39" i="12"/>
  <c r="P39" i="12"/>
  <c r="Q39" i="12"/>
  <c r="B39" i="12"/>
  <c r="C39" i="12"/>
  <c r="D39" i="12"/>
  <c r="E39" i="12"/>
  <c r="F39" i="12"/>
  <c r="G39" i="12"/>
  <c r="J39" i="11"/>
  <c r="K39" i="11"/>
  <c r="L39" i="11"/>
  <c r="M39" i="11"/>
  <c r="N39" i="11"/>
  <c r="O39" i="11"/>
  <c r="P39" i="11"/>
  <c r="Q39" i="11"/>
  <c r="I39" i="11"/>
  <c r="B39" i="11"/>
  <c r="C39" i="11"/>
  <c r="D39" i="11"/>
  <c r="E39" i="11"/>
  <c r="F39" i="11"/>
  <c r="G39" i="11"/>
  <c r="H39" i="11"/>
  <c r="K39" i="10"/>
  <c r="L39" i="10"/>
  <c r="M39" i="10"/>
  <c r="N39" i="10"/>
  <c r="J39" i="10"/>
  <c r="O39" i="10"/>
  <c r="P39" i="10"/>
  <c r="Q39" i="10"/>
  <c r="B39" i="10"/>
  <c r="C39" i="10"/>
  <c r="D39" i="10"/>
  <c r="E39" i="10"/>
  <c r="F39" i="10"/>
  <c r="G39" i="10"/>
  <c r="H39" i="10"/>
  <c r="I39" i="10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I39" i="9"/>
  <c r="J39" i="9"/>
  <c r="K39" i="9"/>
  <c r="N39" i="8"/>
  <c r="O39" i="8"/>
  <c r="L40" i="8"/>
  <c r="P39" i="8"/>
  <c r="Q39" i="8"/>
  <c r="B39" i="8"/>
  <c r="C39" i="8"/>
  <c r="D39" i="8"/>
  <c r="E39" i="8"/>
  <c r="F39" i="8"/>
  <c r="G39" i="8"/>
  <c r="H39" i="8"/>
  <c r="I39" i="8"/>
  <c r="M39" i="8"/>
  <c r="J39" i="8"/>
  <c r="K39" i="8"/>
  <c r="N39" i="3"/>
  <c r="H44" i="39"/>
  <c r="H46" i="39" s="1"/>
  <c r="O39" i="3"/>
  <c r="N44" i="39"/>
  <c r="N46" i="39" s="1"/>
  <c r="P39" i="3"/>
  <c r="Q39" i="3"/>
  <c r="B39" i="3"/>
  <c r="C39" i="3"/>
  <c r="D39" i="3"/>
  <c r="E39" i="3"/>
  <c r="F39" i="3"/>
  <c r="G40" i="3"/>
  <c r="H39" i="3"/>
  <c r="I39" i="3"/>
  <c r="J39" i="3"/>
  <c r="K39" i="3"/>
  <c r="L39" i="3"/>
  <c r="M39" i="3"/>
  <c r="E44" i="39"/>
  <c r="E46" i="39" s="1"/>
  <c r="O44" i="39"/>
  <c r="O43" i="39"/>
  <c r="O42" i="39"/>
  <c r="O41" i="39"/>
  <c r="O40" i="39"/>
  <c r="P44" i="39"/>
  <c r="P43" i="39"/>
  <c r="P42" i="39"/>
  <c r="P41" i="39"/>
  <c r="P40" i="39"/>
  <c r="Q44" i="39"/>
  <c r="Q43" i="39"/>
  <c r="Q42" i="39"/>
  <c r="Q41" i="39"/>
  <c r="Q40" i="39"/>
  <c r="B44" i="39"/>
  <c r="B43" i="39"/>
  <c r="B42" i="39"/>
  <c r="B41" i="39"/>
  <c r="B40" i="39"/>
  <c r="D44" i="39"/>
  <c r="D43" i="39"/>
  <c r="D42" i="39"/>
  <c r="D41" i="39"/>
  <c r="D40" i="39"/>
  <c r="F44" i="39"/>
  <c r="F43" i="39"/>
  <c r="F42" i="39"/>
  <c r="F41" i="39"/>
  <c r="F40" i="39"/>
  <c r="G44" i="39"/>
  <c r="G43" i="39"/>
  <c r="G42" i="39"/>
  <c r="G41" i="39"/>
  <c r="G40" i="39"/>
  <c r="C44" i="39"/>
  <c r="C43" i="39"/>
  <c r="C42" i="39"/>
  <c r="C41" i="39"/>
  <c r="C40" i="39"/>
  <c r="I44" i="39"/>
  <c r="I43" i="39"/>
  <c r="I42" i="39"/>
  <c r="I41" i="39"/>
  <c r="I40" i="39"/>
  <c r="J44" i="39"/>
  <c r="J43" i="39"/>
  <c r="J42" i="39"/>
  <c r="J41" i="39"/>
  <c r="J40" i="39"/>
  <c r="K44" i="39"/>
  <c r="K43" i="39"/>
  <c r="K42" i="39"/>
  <c r="K41" i="39"/>
  <c r="K40" i="39"/>
  <c r="L44" i="39"/>
  <c r="L43" i="39"/>
  <c r="L42" i="39"/>
  <c r="L41" i="39"/>
  <c r="L40" i="39"/>
  <c r="M44" i="39"/>
  <c r="M43" i="39"/>
  <c r="M42" i="39"/>
  <c r="M41" i="39"/>
  <c r="M40" i="39"/>
  <c r="N39" i="2"/>
  <c r="O39" i="2"/>
  <c r="P39" i="2"/>
  <c r="E40" i="39"/>
  <c r="E41" i="39"/>
  <c r="E42" i="39"/>
  <c r="E43" i="39"/>
  <c r="L39" i="2"/>
  <c r="Q39" i="2"/>
  <c r="B40" i="2"/>
  <c r="H40" i="39"/>
  <c r="H41" i="39"/>
  <c r="H42" i="39"/>
  <c r="H43" i="39"/>
  <c r="D39" i="2"/>
  <c r="E39" i="2"/>
  <c r="F39" i="2"/>
  <c r="C39" i="2"/>
  <c r="G39" i="2"/>
  <c r="H39" i="2"/>
  <c r="I39" i="2"/>
  <c r="N40" i="39"/>
  <c r="N41" i="39"/>
  <c r="N42" i="39"/>
  <c r="N43" i="39"/>
  <c r="J39" i="2"/>
  <c r="K39" i="2"/>
  <c r="M39" i="2"/>
  <c r="N45" i="39" l="1"/>
  <c r="E45" i="39"/>
  <c r="H45" i="39"/>
  <c r="Q46" i="39"/>
  <c r="Q45" i="39"/>
  <c r="L46" i="39"/>
  <c r="L45" i="39"/>
  <c r="F46" i="39"/>
  <c r="F45" i="39"/>
  <c r="I46" i="39"/>
  <c r="I45" i="39"/>
  <c r="C46" i="39"/>
  <c r="C45" i="39"/>
  <c r="P46" i="39"/>
  <c r="P45" i="39"/>
  <c r="K46" i="39"/>
  <c r="K45" i="39"/>
  <c r="D46" i="39"/>
  <c r="D45" i="39"/>
  <c r="G46" i="39"/>
  <c r="G45" i="39"/>
  <c r="O46" i="39"/>
  <c r="O45" i="39"/>
  <c r="J46" i="39"/>
  <c r="J45" i="39"/>
  <c r="B46" i="39"/>
  <c r="B45" i="39"/>
  <c r="M46" i="39"/>
  <c r="M45" i="39"/>
</calcChain>
</file>

<file path=xl/sharedStrings.xml><?xml version="1.0" encoding="utf-8"?>
<sst xmlns="http://schemas.openxmlformats.org/spreadsheetml/2006/main" count="2881" uniqueCount="780">
  <si>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</si>
  <si>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</si>
  <si>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</si>
  <si>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</si>
  <si>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</si>
  <si>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</si>
  <si>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</si>
  <si>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</si>
  <si>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</si>
  <si>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</si>
  <si>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</si>
  <si>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</si>
  <si>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</si>
  <si>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</si>
  <si>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</si>
  <si>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</si>
  <si>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</si>
  <si>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</si>
  <si>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</si>
  <si>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</si>
  <si>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</si>
  <si>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</si>
  <si>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</si>
  <si>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</si>
  <si>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</si>
  <si>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</si>
  <si>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</si>
  <si>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</si>
  <si>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</si>
  <si>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</si>
  <si>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</si>
  <si>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</si>
  <si>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</si>
  <si>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</si>
  <si>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</si>
  <si>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</si>
  <si>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</si>
  <si>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</si>
  <si>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</si>
  <si>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</si>
  <si>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</si>
  <si>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</si>
  <si>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</si>
  <si>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</si>
  <si>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</si>
  <si>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</si>
  <si>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</si>
  <si>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</si>
  <si>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</si>
  <si>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</si>
  <si>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</si>
  <si>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</si>
  <si>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</si>
  <si>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</si>
  <si>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</si>
  <si>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</si>
  <si>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</si>
  <si>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</si>
  <si>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</si>
  <si>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</si>
  <si>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01/09/2024 01:00</t>
  </si>
  <si>
    <t>01/09/2024 02:00</t>
  </si>
  <si>
    <t>01/09/2024 03:00</t>
  </si>
  <si>
    <t>01/09/2024 04:00</t>
  </si>
  <si>
    <t>01/09/2024 05:00</t>
  </si>
  <si>
    <t>01/09/2024 06:00</t>
  </si>
  <si>
    <t>01/09/2024 07:00</t>
  </si>
  <si>
    <t>01/09/2024 08:00</t>
  </si>
  <si>
    <t>01/09/2024 09:00</t>
  </si>
  <si>
    <t>01/09/2024 10:00</t>
  </si>
  <si>
    <t>01/09/2024 11:00</t>
  </si>
  <si>
    <t>01/09/2024 12:00</t>
  </si>
  <si>
    <t>01/09/2024 13:00</t>
  </si>
  <si>
    <t>01/09/2024 14:00</t>
  </si>
  <si>
    <t>01/09/2024 15:00</t>
  </si>
  <si>
    <t>01/09/2024 16:00</t>
  </si>
  <si>
    <t>01/09/2024 17:00</t>
  </si>
  <si>
    <t>01/09/2024 18:00</t>
  </si>
  <si>
    <t>01/09/2024 19:00</t>
  </si>
  <si>
    <t>01/09/2024 20:00</t>
  </si>
  <si>
    <t>01/09/2024 21:00</t>
  </si>
  <si>
    <t>01/09/2024 22:00</t>
  </si>
  <si>
    <t>01/09/2024 23:00</t>
  </si>
  <si>
    <t>01/09/2024 24:00</t>
  </si>
  <si>
    <t>02/09/2024 01:00</t>
  </si>
  <si>
    <t>02/09/2024 02:00</t>
  </si>
  <si>
    <t>02/09/2024 03:00</t>
  </si>
  <si>
    <t>02/09/2024 04:00</t>
  </si>
  <si>
    <t>02/09/2024 05:00</t>
  </si>
  <si>
    <t>02/09/2024 06:00</t>
  </si>
  <si>
    <t>02/09/2024 07:00</t>
  </si>
  <si>
    <t>02/09/2024 08:00</t>
  </si>
  <si>
    <t>02/09/2024 09:00</t>
  </si>
  <si>
    <t>02/09/2024 10:00</t>
  </si>
  <si>
    <t>02/09/2024 11:00</t>
  </si>
  <si>
    <t>02/09/2024 12:00</t>
  </si>
  <si>
    <t>02/09/2024 13:00</t>
  </si>
  <si>
    <t>02/09/2024 14:00</t>
  </si>
  <si>
    <t>02/09/2024 15:00</t>
  </si>
  <si>
    <t>02/09/2024 16:00</t>
  </si>
  <si>
    <t>02/09/2024 17:00</t>
  </si>
  <si>
    <t>02/09/2024 18:00</t>
  </si>
  <si>
    <t>02/09/2024 19:00</t>
  </si>
  <si>
    <t>02/09/2024 20:00</t>
  </si>
  <si>
    <t>02/09/2024 21:00</t>
  </si>
  <si>
    <t>02/09/2024 22:00</t>
  </si>
  <si>
    <t>02/09/2024 23:00</t>
  </si>
  <si>
    <t>02/09/2024 24:00</t>
  </si>
  <si>
    <t>03/09/2024 01:00</t>
  </si>
  <si>
    <t>03/09/2024 02:00</t>
  </si>
  <si>
    <t>03/09/2024 03:00</t>
  </si>
  <si>
    <t>03/09/2024 04:00</t>
  </si>
  <si>
    <t>03/09/2024 05:00</t>
  </si>
  <si>
    <t>03/09/2024 06:00</t>
  </si>
  <si>
    <t>03/09/2024 07:00</t>
  </si>
  <si>
    <t>03/09/2024 08:00</t>
  </si>
  <si>
    <t>03/09/2024 09:00</t>
  </si>
  <si>
    <t>03/09/2024 10:00</t>
  </si>
  <si>
    <t>03/09/2024 11:00</t>
  </si>
  <si>
    <t>03/09/2024 12:00</t>
  </si>
  <si>
    <t>03/09/2024 13:00</t>
  </si>
  <si>
    <t>03/09/2024 14:00</t>
  </si>
  <si>
    <t>03/09/2024 15:00</t>
  </si>
  <si>
    <t>03/09/2024 16:00</t>
  </si>
  <si>
    <t>03/09/2024 17:00</t>
  </si>
  <si>
    <t>03/09/2024 18:00</t>
  </si>
  <si>
    <t>03/09/2024 19:00</t>
  </si>
  <si>
    <t>03/09/2024 20:00</t>
  </si>
  <si>
    <t>03/09/2024 21:00</t>
  </si>
  <si>
    <t>03/09/2024 22:00</t>
  </si>
  <si>
    <t>03/09/2024 23:00</t>
  </si>
  <si>
    <t>03/09/2024 24:00</t>
  </si>
  <si>
    <t>04/09/2024 01:00</t>
  </si>
  <si>
    <t>04/09/2024 02:00</t>
  </si>
  <si>
    <t>04/09/2024 03:00</t>
  </si>
  <si>
    <t>04/09/2024 04:00</t>
  </si>
  <si>
    <t>04/09/2024 05:00</t>
  </si>
  <si>
    <t>04/09/2024 06:00</t>
  </si>
  <si>
    <t>04/09/2024 07:00</t>
  </si>
  <si>
    <t>04/09/2024 08:00</t>
  </si>
  <si>
    <t>04/09/2024 09:00</t>
  </si>
  <si>
    <t>04/09/2024 10:00</t>
  </si>
  <si>
    <t>04/09/2024 11:00</t>
  </si>
  <si>
    <t>04/09/2024 12:00</t>
  </si>
  <si>
    <t>04/09/2024 13:00</t>
  </si>
  <si>
    <t>04/09/2024 14:00</t>
  </si>
  <si>
    <t>04/09/2024 15:00</t>
  </si>
  <si>
    <t>04/09/2024 16:00</t>
  </si>
  <si>
    <t>04/09/2024 17:00</t>
  </si>
  <si>
    <t>04/09/2024 18:00</t>
  </si>
  <si>
    <t>04/09/2024 19:00</t>
  </si>
  <si>
    <t>04/09/2024 20:00</t>
  </si>
  <si>
    <t>04/09/2024 21:00</t>
  </si>
  <si>
    <t>04/09/2024 22:00</t>
  </si>
  <si>
    <t>04/09/2024 23:00</t>
  </si>
  <si>
    <t>04/09/2024 24:00</t>
  </si>
  <si>
    <t>05/09/2024 01:00</t>
  </si>
  <si>
    <t>05/09/2024 02:00</t>
  </si>
  <si>
    <t>05/09/2024 03:00</t>
  </si>
  <si>
    <t>05/09/2024 04:00</t>
  </si>
  <si>
    <t>05/09/2024 05:00</t>
  </si>
  <si>
    <t>05/09/2024 06:00</t>
  </si>
  <si>
    <t>05/09/2024 07:00</t>
  </si>
  <si>
    <t>05/09/2024 08:00</t>
  </si>
  <si>
    <t>05/09/2024 09:00</t>
  </si>
  <si>
    <t>05/09/2024 10:00</t>
  </si>
  <si>
    <t>05/09/2024 11:00</t>
  </si>
  <si>
    <t>05/09/2024 12:00</t>
  </si>
  <si>
    <t>05/09/2024 13:00</t>
  </si>
  <si>
    <t>05/09/2024 14:00</t>
  </si>
  <si>
    <t>05/09/2024 15:00</t>
  </si>
  <si>
    <t>05/09/2024 16:00</t>
  </si>
  <si>
    <t>05/09/2024 17:00</t>
  </si>
  <si>
    <t>05/09/2024 18:00</t>
  </si>
  <si>
    <t>05/09/2024 19:00</t>
  </si>
  <si>
    <t>05/09/2024 20:00</t>
  </si>
  <si>
    <t>05/09/2024 21:00</t>
  </si>
  <si>
    <t>05/09/2024 22:00</t>
  </si>
  <si>
    <t>05/09/2024 23:00</t>
  </si>
  <si>
    <t>05/09/2024 24:00</t>
  </si>
  <si>
    <t>06/09/2024 01:00</t>
  </si>
  <si>
    <t>06/09/2024 02:00</t>
  </si>
  <si>
    <t>06/09/2024 03:00</t>
  </si>
  <si>
    <t>06/09/2024 04:00</t>
  </si>
  <si>
    <t>06/09/2024 05:00</t>
  </si>
  <si>
    <t>06/09/2024 06:00</t>
  </si>
  <si>
    <t>06/09/2024 07:00</t>
  </si>
  <si>
    <t>06/09/2024 08:00</t>
  </si>
  <si>
    <t>06/09/2024 09:00</t>
  </si>
  <si>
    <t>06/09/2024 10:00</t>
  </si>
  <si>
    <t>06/09/2024 11:00</t>
  </si>
  <si>
    <t>06/09/2024 12:00</t>
  </si>
  <si>
    <t>06/09/2024 13:00</t>
  </si>
  <si>
    <t>06/09/2024 14:00</t>
  </si>
  <si>
    <t>06/09/2024 15:00</t>
  </si>
  <si>
    <t>06/09/2024 16:00</t>
  </si>
  <si>
    <t>06/09/2024 17:00</t>
  </si>
  <si>
    <t>06/09/2024 18:00</t>
  </si>
  <si>
    <t>06/09/2024 19:00</t>
  </si>
  <si>
    <t>06/09/2024 20:00</t>
  </si>
  <si>
    <t>06/09/2024 21:00</t>
  </si>
  <si>
    <t>06/09/2024 22:00</t>
  </si>
  <si>
    <t>06/09/2024 23:00</t>
  </si>
  <si>
    <t>06/09/2024 24:00</t>
  </si>
  <si>
    <t>07/09/2024 01:00</t>
  </si>
  <si>
    <t>07/09/2024 02:00</t>
  </si>
  <si>
    <t>07/09/2024 03:00</t>
  </si>
  <si>
    <t>07/09/2024 04:00</t>
  </si>
  <si>
    <t>07/09/2024 05:00</t>
  </si>
  <si>
    <t>07/09/2024 06:00</t>
  </si>
  <si>
    <t>07/09/2024 07:00</t>
  </si>
  <si>
    <t>07/09/2024 08:00</t>
  </si>
  <si>
    <t>07/09/2024 09:00</t>
  </si>
  <si>
    <t>07/09/2024 10:00</t>
  </si>
  <si>
    <t>07/09/2024 11:00</t>
  </si>
  <si>
    <t>07/09/2024 12:00</t>
  </si>
  <si>
    <t>07/09/2024 13:00</t>
  </si>
  <si>
    <t>07/09/2024 14:00</t>
  </si>
  <si>
    <t>07/09/2024 15:00</t>
  </si>
  <si>
    <t>07/09/2024 16:00</t>
  </si>
  <si>
    <t>07/09/2024 17:00</t>
  </si>
  <si>
    <t>07/09/2024 18:00</t>
  </si>
  <si>
    <t>07/09/2024 19:00</t>
  </si>
  <si>
    <t>07/09/2024 20:00</t>
  </si>
  <si>
    <t>07/09/2024 21:00</t>
  </si>
  <si>
    <t>07/09/2024 22:00</t>
  </si>
  <si>
    <t>07/09/2024 23:00</t>
  </si>
  <si>
    <t>07/09/2024 24:00</t>
  </si>
  <si>
    <t>08/09/2024 01:00</t>
  </si>
  <si>
    <t>08/09/2024 02:00</t>
  </si>
  <si>
    <t>08/09/2024 03:00</t>
  </si>
  <si>
    <t>08/09/2024 04:00</t>
  </si>
  <si>
    <t>08/09/2024 05:00</t>
  </si>
  <si>
    <t>08/09/2024 06:00</t>
  </si>
  <si>
    <t>08/09/2024 07:00</t>
  </si>
  <si>
    <t>08/09/2024 08:00</t>
  </si>
  <si>
    <t>08/09/2024 09:00</t>
  </si>
  <si>
    <t>08/09/2024 10:00</t>
  </si>
  <si>
    <t>08/09/2024 11:00</t>
  </si>
  <si>
    <t>08/09/2024 12:00</t>
  </si>
  <si>
    <t>08/09/2024 13:00</t>
  </si>
  <si>
    <t>08/09/2024 14:00</t>
  </si>
  <si>
    <t>08/09/2024 15:00</t>
  </si>
  <si>
    <t>08/09/2024 16:00</t>
  </si>
  <si>
    <t>08/09/2024 17:00</t>
  </si>
  <si>
    <t>08/09/2024 18:00</t>
  </si>
  <si>
    <t>08/09/2024 19:00</t>
  </si>
  <si>
    <t>08/09/2024 20:00</t>
  </si>
  <si>
    <t>08/09/2024 21:00</t>
  </si>
  <si>
    <t>08/09/2024 22:00</t>
  </si>
  <si>
    <t>08/09/2024 23:00</t>
  </si>
  <si>
    <t>08/09/2024 24:00</t>
  </si>
  <si>
    <t>09/09/2024 01:00</t>
  </si>
  <si>
    <t>09/09/2024 02:00</t>
  </si>
  <si>
    <t>09/09/2024 03:00</t>
  </si>
  <si>
    <t>09/09/2024 04:00</t>
  </si>
  <si>
    <t>09/09/2024 05:00</t>
  </si>
  <si>
    <t>09/09/2024 06:00</t>
  </si>
  <si>
    <t>09/09/2024 07:00</t>
  </si>
  <si>
    <t>09/09/2024 08:00</t>
  </si>
  <si>
    <t>09/09/2024 09:00</t>
  </si>
  <si>
    <t>09/09/2024 10:00</t>
  </si>
  <si>
    <t>09/09/2024 11:00</t>
  </si>
  <si>
    <t>09/09/2024 12:00</t>
  </si>
  <si>
    <t>09/09/2024 13:00</t>
  </si>
  <si>
    <t>09/09/2024 14:00</t>
  </si>
  <si>
    <t>09/09/2024 15:00</t>
  </si>
  <si>
    <t>09/09/2024 16:00</t>
  </si>
  <si>
    <t>09/09/2024 17:00</t>
  </si>
  <si>
    <t>09/09/2024 18:00</t>
  </si>
  <si>
    <t>09/09/2024 19:00</t>
  </si>
  <si>
    <t>09/09/2024 20:00</t>
  </si>
  <si>
    <t>09/09/2024 21:00</t>
  </si>
  <si>
    <t>09/09/2024 22:00</t>
  </si>
  <si>
    <t>09/09/2024 23:00</t>
  </si>
  <si>
    <t>09/09/2024 24:00</t>
  </si>
  <si>
    <t>10/09/2024 01:00</t>
  </si>
  <si>
    <t>10/09/2024 02:00</t>
  </si>
  <si>
    <t>10/09/2024 03:00</t>
  </si>
  <si>
    <t>10/09/2024 04:00</t>
  </si>
  <si>
    <t>10/09/2024 05:00</t>
  </si>
  <si>
    <t>10/09/2024 06:00</t>
  </si>
  <si>
    <t>10/09/2024 07:00</t>
  </si>
  <si>
    <t>10/09/2024 08:00</t>
  </si>
  <si>
    <t>10/09/2024 09:00</t>
  </si>
  <si>
    <t>10/09/2024 10:00</t>
  </si>
  <si>
    <t>10/09/2024 11:00</t>
  </si>
  <si>
    <t>10/09/2024 12:00</t>
  </si>
  <si>
    <t>10/09/2024 13:00</t>
  </si>
  <si>
    <t>10/09/2024 14:00</t>
  </si>
  <si>
    <t>10/09/2024 15:00</t>
  </si>
  <si>
    <t>10/09/2024 16:00</t>
  </si>
  <si>
    <t>10/09/2024 17:00</t>
  </si>
  <si>
    <t>10/09/2024 18:00</t>
  </si>
  <si>
    <t>10/09/2024 19:00</t>
  </si>
  <si>
    <t>10/09/2024 20:00</t>
  </si>
  <si>
    <t>10/09/2024 21:00</t>
  </si>
  <si>
    <t>10/09/2024 22:00</t>
  </si>
  <si>
    <t>10/09/2024 23:00</t>
  </si>
  <si>
    <t>10/09/2024 24:00</t>
  </si>
  <si>
    <t>11/09/2024 01:00</t>
  </si>
  <si>
    <t>11/09/2024 02:00</t>
  </si>
  <si>
    <t>11/09/2024 03:00</t>
  </si>
  <si>
    <t>11/09/2024 04:00</t>
  </si>
  <si>
    <t>11/09/2024 05:00</t>
  </si>
  <si>
    <t>11/09/2024 06:00</t>
  </si>
  <si>
    <t>11/09/2024 07:00</t>
  </si>
  <si>
    <t>11/09/2024 08:00</t>
  </si>
  <si>
    <t>11/09/2024 09:00</t>
  </si>
  <si>
    <t>11/09/2024 10:00</t>
  </si>
  <si>
    <t>11/09/2024 11:00</t>
  </si>
  <si>
    <t>11/09/2024 12:00</t>
  </si>
  <si>
    <t>11/09/2024 13:00</t>
  </si>
  <si>
    <t>11/09/2024 14:00</t>
  </si>
  <si>
    <t>11/09/2024 15:00</t>
  </si>
  <si>
    <t>11/09/2024 16:00</t>
  </si>
  <si>
    <t>11/09/2024 17:00</t>
  </si>
  <si>
    <t>11/09/2024 18:00</t>
  </si>
  <si>
    <t>11/09/2024 19:00</t>
  </si>
  <si>
    <t>11/09/2024 20:00</t>
  </si>
  <si>
    <t>11/09/2024 21:00</t>
  </si>
  <si>
    <t>11/09/2024 22:00</t>
  </si>
  <si>
    <t>11/09/2024 23:00</t>
  </si>
  <si>
    <t>11/09/2024 24:00</t>
  </si>
  <si>
    <t>12/09/2024 01:00</t>
  </si>
  <si>
    <t>12/09/2024 02:00</t>
  </si>
  <si>
    <t>12/09/2024 03:00</t>
  </si>
  <si>
    <t>12/09/2024 04:00</t>
  </si>
  <si>
    <t>12/09/2024 05:00</t>
  </si>
  <si>
    <t>12/09/2024 06:00</t>
  </si>
  <si>
    <t>12/09/2024 07:00</t>
  </si>
  <si>
    <t>12/09/2024 08:00</t>
  </si>
  <si>
    <t>12/09/2024 09:00</t>
  </si>
  <si>
    <t>12/09/2024 10:00</t>
  </si>
  <si>
    <t>12/09/2024 11:00</t>
  </si>
  <si>
    <t>12/09/2024 12:00</t>
  </si>
  <si>
    <t>12/09/2024 13:00</t>
  </si>
  <si>
    <t>12/09/2024 14:00</t>
  </si>
  <si>
    <t>12/09/2024 15:00</t>
  </si>
  <si>
    <t>12/09/2024 16:00</t>
  </si>
  <si>
    <t>12/09/2024 17:00</t>
  </si>
  <si>
    <t>12/09/2024 18:00</t>
  </si>
  <si>
    <t>12/09/2024 19:00</t>
  </si>
  <si>
    <t>12/09/2024 20:00</t>
  </si>
  <si>
    <t>12/09/2024 21:00</t>
  </si>
  <si>
    <t>12/09/2024 22:00</t>
  </si>
  <si>
    <t>12/09/2024 23:00</t>
  </si>
  <si>
    <t>12/09/2024 24:00</t>
  </si>
  <si>
    <t>13/09/2024 01:00</t>
  </si>
  <si>
    <t>13/09/2024 02:00</t>
  </si>
  <si>
    <t>13/09/2024 03:00</t>
  </si>
  <si>
    <t>13/09/2024 04:00</t>
  </si>
  <si>
    <t>13/09/2024 05:00</t>
  </si>
  <si>
    <t>13/09/2024 06:00</t>
  </si>
  <si>
    <t>13/09/2024 07:00</t>
  </si>
  <si>
    <t>13/09/2024 08:00</t>
  </si>
  <si>
    <t>13/09/2024 09:00</t>
  </si>
  <si>
    <t>13/09/2024 10:00</t>
  </si>
  <si>
    <t>13/09/2024 11:00</t>
  </si>
  <si>
    <t>13/09/2024 12:00</t>
  </si>
  <si>
    <t>13/09/2024 13:00</t>
  </si>
  <si>
    <t>13/09/2024 14:00</t>
  </si>
  <si>
    <t>13/09/2024 15:00</t>
  </si>
  <si>
    <t>13/09/2024 16:00</t>
  </si>
  <si>
    <t>13/09/2024 17:00</t>
  </si>
  <si>
    <t>13/09/2024 18:00</t>
  </si>
  <si>
    <t>13/09/2024 19:00</t>
  </si>
  <si>
    <t>13/09/2024 20:00</t>
  </si>
  <si>
    <t>13/09/2024 21:00</t>
  </si>
  <si>
    <t>13/09/2024 22:00</t>
  </si>
  <si>
    <t>13/09/2024 23:00</t>
  </si>
  <si>
    <t>13/09/2024 24:00</t>
  </si>
  <si>
    <t>14/09/2024 01:00</t>
  </si>
  <si>
    <t>14/09/2024 02:00</t>
  </si>
  <si>
    <t>14/09/2024 03:00</t>
  </si>
  <si>
    <t>14/09/2024 04:00</t>
  </si>
  <si>
    <t>14/09/2024 05:00</t>
  </si>
  <si>
    <t>14/09/2024 06:00</t>
  </si>
  <si>
    <t>14/09/2024 07:00</t>
  </si>
  <si>
    <t>14/09/2024 08:00</t>
  </si>
  <si>
    <t>14/09/2024 09:00</t>
  </si>
  <si>
    <t>14/09/2024 10:00</t>
  </si>
  <si>
    <t>14/09/2024 11:00</t>
  </si>
  <si>
    <t>14/09/2024 12:00</t>
  </si>
  <si>
    <t>14/09/2024 13:00</t>
  </si>
  <si>
    <t>14/09/2024 14:00</t>
  </si>
  <si>
    <t>14/09/2024 15:00</t>
  </si>
  <si>
    <t>14/09/2024 16:00</t>
  </si>
  <si>
    <t>14/09/2024 17:00</t>
  </si>
  <si>
    <t>14/09/2024 18:00</t>
  </si>
  <si>
    <t>14/09/2024 19:00</t>
  </si>
  <si>
    <t>14/09/2024 20:00</t>
  </si>
  <si>
    <t>14/09/2024 21:00</t>
  </si>
  <si>
    <t>14/09/2024 22:00</t>
  </si>
  <si>
    <t>14/09/2024 23:00</t>
  </si>
  <si>
    <t>14/09/2024 24:00</t>
  </si>
  <si>
    <t>15/09/2024 01:00</t>
  </si>
  <si>
    <t>15/09/2024 02:00</t>
  </si>
  <si>
    <t>15/09/2024 03:00</t>
  </si>
  <si>
    <t>15/09/2024 04:00</t>
  </si>
  <si>
    <t>15/09/2024 05:00</t>
  </si>
  <si>
    <t>15/09/2024 06:00</t>
  </si>
  <si>
    <t>15/09/2024 07:00</t>
  </si>
  <si>
    <t>15/09/2024 08:00</t>
  </si>
  <si>
    <t>15/09/2024 09:00</t>
  </si>
  <si>
    <t>15/09/2024 10:00</t>
  </si>
  <si>
    <t>15/09/2024 11:00</t>
  </si>
  <si>
    <t>15/09/2024 12:00</t>
  </si>
  <si>
    <t>15/09/2024 13:00</t>
  </si>
  <si>
    <t>15/09/2024 14:00</t>
  </si>
  <si>
    <t>15/09/2024 15:00</t>
  </si>
  <si>
    <t>15/09/2024 16:00</t>
  </si>
  <si>
    <t>15/09/2024 17:00</t>
  </si>
  <si>
    <t>15/09/2024 18:00</t>
  </si>
  <si>
    <t>15/09/2024 19:00</t>
  </si>
  <si>
    <t>15/09/2024 20:00</t>
  </si>
  <si>
    <t>15/09/2024 21:00</t>
  </si>
  <si>
    <t>15/09/2024 22:00</t>
  </si>
  <si>
    <t>15/09/2024 23:00</t>
  </si>
  <si>
    <t>15/09/2024 24:00</t>
  </si>
  <si>
    <t>16/09/2024 01:00</t>
  </si>
  <si>
    <t>16/09/2024 02:00</t>
  </si>
  <si>
    <t>16/09/2024 03:00</t>
  </si>
  <si>
    <t>16/09/2024 04:00</t>
  </si>
  <si>
    <t>16/09/2024 05:00</t>
  </si>
  <si>
    <t>16/09/2024 06:00</t>
  </si>
  <si>
    <t>16/09/2024 07:00</t>
  </si>
  <si>
    <t>16/09/2024 08:00</t>
  </si>
  <si>
    <t>16/09/2024 09:00</t>
  </si>
  <si>
    <t>16/09/2024 10:00</t>
  </si>
  <si>
    <t>16/09/2024 11:00</t>
  </si>
  <si>
    <t>16/09/2024 12:00</t>
  </si>
  <si>
    <t>16/09/2024 13:00</t>
  </si>
  <si>
    <t>16/09/2024 14:00</t>
  </si>
  <si>
    <t>16/09/2024 15:00</t>
  </si>
  <si>
    <t>16/09/2024 16:00</t>
  </si>
  <si>
    <t>16/09/2024 17:00</t>
  </si>
  <si>
    <t>16/09/2024 18:00</t>
  </si>
  <si>
    <t>16/09/2024 19:00</t>
  </si>
  <si>
    <t>16/09/2024 20:00</t>
  </si>
  <si>
    <t>16/09/2024 21:00</t>
  </si>
  <si>
    <t>16/09/2024 22:00</t>
  </si>
  <si>
    <t>16/09/2024 23:00</t>
  </si>
  <si>
    <t>16/09/2024 24:00</t>
  </si>
  <si>
    <t>17/09/2024 01:00</t>
  </si>
  <si>
    <t>17/09/2024 02:00</t>
  </si>
  <si>
    <t>17/09/2024 03:00</t>
  </si>
  <si>
    <t>17/09/2024 04:00</t>
  </si>
  <si>
    <t>17/09/2024 05:00</t>
  </si>
  <si>
    <t>17/09/2024 06:00</t>
  </si>
  <si>
    <t>17/09/2024 07:00</t>
  </si>
  <si>
    <t>17/09/2024 08:00</t>
  </si>
  <si>
    <t>17/09/2024 09:00</t>
  </si>
  <si>
    <t>17/09/2024 10:00</t>
  </si>
  <si>
    <t>17/09/2024 11:00</t>
  </si>
  <si>
    <t>17/09/2024 12:00</t>
  </si>
  <si>
    <t>17/09/2024 13:00</t>
  </si>
  <si>
    <t>17/09/2024 14:00</t>
  </si>
  <si>
    <t>17/09/2024 15:00</t>
  </si>
  <si>
    <t>17/09/2024 16:00</t>
  </si>
  <si>
    <t>17/09/2024 17:00</t>
  </si>
  <si>
    <t>17/09/2024 18:00</t>
  </si>
  <si>
    <t>17/09/2024 19:00</t>
  </si>
  <si>
    <t>17/09/2024 20:00</t>
  </si>
  <si>
    <t>17/09/2024 21:00</t>
  </si>
  <si>
    <t>17/09/2024 22:00</t>
  </si>
  <si>
    <t>17/09/2024 23:00</t>
  </si>
  <si>
    <t>17/09/2024 24:00</t>
  </si>
  <si>
    <t>18/09/2024 01:00</t>
  </si>
  <si>
    <t>18/09/2024 02:00</t>
  </si>
  <si>
    <t>18/09/2024 03:00</t>
  </si>
  <si>
    <t>18/09/2024 04:00</t>
  </si>
  <si>
    <t>18/09/2024 05:00</t>
  </si>
  <si>
    <t>18/09/2024 06:00</t>
  </si>
  <si>
    <t>18/09/2024 07:00</t>
  </si>
  <si>
    <t>18/09/2024 08:00</t>
  </si>
  <si>
    <t>18/09/2024 09:00</t>
  </si>
  <si>
    <t>18/09/2024 10:00</t>
  </si>
  <si>
    <t>18/09/2024 11:00</t>
  </si>
  <si>
    <t>18/09/2024 12:00</t>
  </si>
  <si>
    <t>18/09/2024 13:00</t>
  </si>
  <si>
    <t>18/09/2024 14:00</t>
  </si>
  <si>
    <t>18/09/2024 15:00</t>
  </si>
  <si>
    <t>18/09/2024 16:00</t>
  </si>
  <si>
    <t>18/09/2024 17:00</t>
  </si>
  <si>
    <t>18/09/2024 18:00</t>
  </si>
  <si>
    <t>18/09/2024 19:00</t>
  </si>
  <si>
    <t>18/09/2024 20:00</t>
  </si>
  <si>
    <t>18/09/2024 21:00</t>
  </si>
  <si>
    <t>18/09/2024 22:00</t>
  </si>
  <si>
    <t>18/09/2024 23:00</t>
  </si>
  <si>
    <t>18/09/2024 24:00</t>
  </si>
  <si>
    <t>19/09/2024 01:00</t>
  </si>
  <si>
    <t>19/09/2024 02:00</t>
  </si>
  <si>
    <t>19/09/2024 03:00</t>
  </si>
  <si>
    <t>19/09/2024 04:00</t>
  </si>
  <si>
    <t>19/09/2024 05:00</t>
  </si>
  <si>
    <t>19/09/2024 06:00</t>
  </si>
  <si>
    <t>19/09/2024 07:00</t>
  </si>
  <si>
    <t>19/09/2024 08:00</t>
  </si>
  <si>
    <t>19/09/2024 09:00</t>
  </si>
  <si>
    <t>19/09/2024 10:00</t>
  </si>
  <si>
    <t>19/09/2024 11:00</t>
  </si>
  <si>
    <t>19/09/2024 12:00</t>
  </si>
  <si>
    <t>19/09/2024 13:00</t>
  </si>
  <si>
    <t>19/09/2024 14:00</t>
  </si>
  <si>
    <t>19/09/2024 15:00</t>
  </si>
  <si>
    <t>19/09/2024 16:00</t>
  </si>
  <si>
    <t>19/09/2024 17:00</t>
  </si>
  <si>
    <t>19/09/2024 18:00</t>
  </si>
  <si>
    <t>19/09/2024 19:00</t>
  </si>
  <si>
    <t>19/09/2024 20:00</t>
  </si>
  <si>
    <t>19/09/2024 21:00</t>
  </si>
  <si>
    <t>19/09/2024 22:00</t>
  </si>
  <si>
    <t>19/09/2024 23:00</t>
  </si>
  <si>
    <t>19/09/2024 24:00</t>
  </si>
  <si>
    <t>20/09/2024 01:00</t>
  </si>
  <si>
    <t>20/09/2024 02:00</t>
  </si>
  <si>
    <t>20/09/2024 03:00</t>
  </si>
  <si>
    <t>20/09/2024 04:00</t>
  </si>
  <si>
    <t>20/09/2024 05:00</t>
  </si>
  <si>
    <t>20/09/2024 06:00</t>
  </si>
  <si>
    <t>20/09/2024 07:00</t>
  </si>
  <si>
    <t>20/09/2024 08:00</t>
  </si>
  <si>
    <t>20/09/2024 09:00</t>
  </si>
  <si>
    <t>20/09/2024 10:00</t>
  </si>
  <si>
    <t>20/09/2024 11:00</t>
  </si>
  <si>
    <t>20/09/2024 12:00</t>
  </si>
  <si>
    <t>20/09/2024 13:00</t>
  </si>
  <si>
    <t>20/09/2024 14:00</t>
  </si>
  <si>
    <t>20/09/2024 15:00</t>
  </si>
  <si>
    <t>20/09/2024 16:00</t>
  </si>
  <si>
    <t>20/09/2024 17:00</t>
  </si>
  <si>
    <t>20/09/2024 18:00</t>
  </si>
  <si>
    <t>20/09/2024 19:00</t>
  </si>
  <si>
    <t>20/09/2024 20:00</t>
  </si>
  <si>
    <t>20/09/2024 21:00</t>
  </si>
  <si>
    <t>20/09/2024 22:00</t>
  </si>
  <si>
    <t>20/09/2024 23:00</t>
  </si>
  <si>
    <t>20/09/2024 24:00</t>
  </si>
  <si>
    <t>21/09/2024 01:00</t>
  </si>
  <si>
    <t>21/09/2024 02:00</t>
  </si>
  <si>
    <t>21/09/2024 03:00</t>
  </si>
  <si>
    <t>21/09/2024 04:00</t>
  </si>
  <si>
    <t>21/09/2024 05:00</t>
  </si>
  <si>
    <t>21/09/2024 06:00</t>
  </si>
  <si>
    <t>21/09/2024 07:00</t>
  </si>
  <si>
    <t>21/09/2024 08:00</t>
  </si>
  <si>
    <t>21/09/2024 09:00</t>
  </si>
  <si>
    <t>21/09/2024 10:00</t>
  </si>
  <si>
    <t>21/09/2024 11:00</t>
  </si>
  <si>
    <t>21/09/2024 12:00</t>
  </si>
  <si>
    <t>21/09/2024 13:00</t>
  </si>
  <si>
    <t>21/09/2024 14:00</t>
  </si>
  <si>
    <t>21/09/2024 15:00</t>
  </si>
  <si>
    <t>21/09/2024 16:00</t>
  </si>
  <si>
    <t>21/09/2024 17:00</t>
  </si>
  <si>
    <t>21/09/2024 18:00</t>
  </si>
  <si>
    <t>21/09/2024 19:00</t>
  </si>
  <si>
    <t>21/09/2024 20:00</t>
  </si>
  <si>
    <t>21/09/2024 21:00</t>
  </si>
  <si>
    <t>21/09/2024 22:00</t>
  </si>
  <si>
    <t>21/09/2024 23:00</t>
  </si>
  <si>
    <t>21/09/2024 24:00</t>
  </si>
  <si>
    <t>22/09/2024 01:00</t>
  </si>
  <si>
    <t>22/09/2024 02:00</t>
  </si>
  <si>
    <t>22/09/2024 03:00</t>
  </si>
  <si>
    <t>22/09/2024 04:00</t>
  </si>
  <si>
    <t>22/09/2024 05:00</t>
  </si>
  <si>
    <t>22/09/2024 06:00</t>
  </si>
  <si>
    <t>22/09/2024 07:00</t>
  </si>
  <si>
    <t>22/09/2024 08:00</t>
  </si>
  <si>
    <t>22/09/2024 09:00</t>
  </si>
  <si>
    <t>22/09/2024 10:00</t>
  </si>
  <si>
    <t>22/09/2024 11:00</t>
  </si>
  <si>
    <t>22/09/2024 12:00</t>
  </si>
  <si>
    <t>22/09/2024 13:00</t>
  </si>
  <si>
    <t>22/09/2024 14:00</t>
  </si>
  <si>
    <t>22/09/2024 15:00</t>
  </si>
  <si>
    <t>22/09/2024 16:00</t>
  </si>
  <si>
    <t>22/09/2024 17:00</t>
  </si>
  <si>
    <t>22/09/2024 18:00</t>
  </si>
  <si>
    <t>22/09/2024 19:00</t>
  </si>
  <si>
    <t>22/09/2024 20:00</t>
  </si>
  <si>
    <t>22/09/2024 21:00</t>
  </si>
  <si>
    <t>22/09/2024 22:00</t>
  </si>
  <si>
    <t>22/09/2024 23:00</t>
  </si>
  <si>
    <t>22/09/2024 24:00</t>
  </si>
  <si>
    <t>23/09/2024 01:00</t>
  </si>
  <si>
    <t>23/09/2024 02:00</t>
  </si>
  <si>
    <t>23/09/2024 03:00</t>
  </si>
  <si>
    <t>23/09/2024 04:00</t>
  </si>
  <si>
    <t>23/09/2024 05:00</t>
  </si>
  <si>
    <t>23/09/2024 06:00</t>
  </si>
  <si>
    <t>23/09/2024 07:00</t>
  </si>
  <si>
    <t>23/09/2024 08:00</t>
  </si>
  <si>
    <t>23/09/2024 09:00</t>
  </si>
  <si>
    <t>23/09/2024 10:00</t>
  </si>
  <si>
    <t>23/09/2024 11:00</t>
  </si>
  <si>
    <t>23/09/2024 12:00</t>
  </si>
  <si>
    <t>23/09/2024 13:00</t>
  </si>
  <si>
    <t>23/09/2024 14:00</t>
  </si>
  <si>
    <t>23/09/2024 15:00</t>
  </si>
  <si>
    <t>23/09/2024 16:00</t>
  </si>
  <si>
    <t>23/09/2024 17:00</t>
  </si>
  <si>
    <t>23/09/2024 18:00</t>
  </si>
  <si>
    <t>23/09/2024 19:00</t>
  </si>
  <si>
    <t>23/09/2024 20:00</t>
  </si>
  <si>
    <t>23/09/2024 21:00</t>
  </si>
  <si>
    <t>23/09/2024 22:00</t>
  </si>
  <si>
    <t>23/09/2024 23:00</t>
  </si>
  <si>
    <t>23/09/2024 24:00</t>
  </si>
  <si>
    <t>24/09/2024 01:00</t>
  </si>
  <si>
    <t>24/09/2024 02:00</t>
  </si>
  <si>
    <t>24/09/2024 03:00</t>
  </si>
  <si>
    <t>24/09/2024 04:00</t>
  </si>
  <si>
    <t>24/09/2024 05:00</t>
  </si>
  <si>
    <t>24/09/2024 06:00</t>
  </si>
  <si>
    <t>24/09/2024 07:00</t>
  </si>
  <si>
    <t>24/09/2024 08:00</t>
  </si>
  <si>
    <t>24/09/2024 09:00</t>
  </si>
  <si>
    <t>24/09/2024 10:00</t>
  </si>
  <si>
    <t>24/09/2024 11:00</t>
  </si>
  <si>
    <t>24/09/2024 12:00</t>
  </si>
  <si>
    <t>24/09/2024 13:00</t>
  </si>
  <si>
    <t>24/09/2024 14:00</t>
  </si>
  <si>
    <t>24/09/2024 15:00</t>
  </si>
  <si>
    <t>24/09/2024 16:00</t>
  </si>
  <si>
    <t>24/09/2024 17:00</t>
  </si>
  <si>
    <t>24/09/2024 18:00</t>
  </si>
  <si>
    <t>24/09/2024 19:00</t>
  </si>
  <si>
    <t>24/09/2024 20:00</t>
  </si>
  <si>
    <t>24/09/2024 21:00</t>
  </si>
  <si>
    <t>24/09/2024 22:00</t>
  </si>
  <si>
    <t>24/09/2024 23:00</t>
  </si>
  <si>
    <t>24/09/2024 24:00</t>
  </si>
  <si>
    <t>25/09/2024 01:00</t>
  </si>
  <si>
    <t>25/09/2024 02:00</t>
  </si>
  <si>
    <t>25/09/2024 03:00</t>
  </si>
  <si>
    <t>25/09/2024 04:00</t>
  </si>
  <si>
    <t>25/09/2024 05:00</t>
  </si>
  <si>
    <t>25/09/2024 06:00</t>
  </si>
  <si>
    <t>25/09/2024 07:00</t>
  </si>
  <si>
    <t>25/09/2024 08:00</t>
  </si>
  <si>
    <t>25/09/2024 09:00</t>
  </si>
  <si>
    <t>25/09/2024 10:00</t>
  </si>
  <si>
    <t>25/09/2024 11:00</t>
  </si>
  <si>
    <t>25/09/2024 12:00</t>
  </si>
  <si>
    <t>25/09/2024 13:00</t>
  </si>
  <si>
    <t>25/09/2024 14:00</t>
  </si>
  <si>
    <t>25/09/2024 15:00</t>
  </si>
  <si>
    <t>25/09/2024 16:00</t>
  </si>
  <si>
    <t>25/09/2024 17:00</t>
  </si>
  <si>
    <t>25/09/2024 18:00</t>
  </si>
  <si>
    <t>25/09/2024 19:00</t>
  </si>
  <si>
    <t>25/09/2024 20:00</t>
  </si>
  <si>
    <t>25/09/2024 21:00</t>
  </si>
  <si>
    <t>25/09/2024 22:00</t>
  </si>
  <si>
    <t>25/09/2024 23:00</t>
  </si>
  <si>
    <t>25/09/2024 24:00</t>
  </si>
  <si>
    <t>26/09/2024 01:00</t>
  </si>
  <si>
    <t>26/09/2024 02:00</t>
  </si>
  <si>
    <t>26/09/2024 03:00</t>
  </si>
  <si>
    <t>26/09/2024 04:00</t>
  </si>
  <si>
    <t>26/09/2024 05:00</t>
  </si>
  <si>
    <t>26/09/2024 06:00</t>
  </si>
  <si>
    <t>26/09/2024 07:00</t>
  </si>
  <si>
    <t>26/09/2024 08:00</t>
  </si>
  <si>
    <t>26/09/2024 09:00</t>
  </si>
  <si>
    <t>26/09/2024 10:00</t>
  </si>
  <si>
    <t>26/09/2024 11:00</t>
  </si>
  <si>
    <t>26/09/2024 12:00</t>
  </si>
  <si>
    <t>26/09/2024 13:00</t>
  </si>
  <si>
    <t>26/09/2024 14:00</t>
  </si>
  <si>
    <t>26/09/2024 15:00</t>
  </si>
  <si>
    <t>26/09/2024 16:00</t>
  </si>
  <si>
    <t>26/09/2024 17:00</t>
  </si>
  <si>
    <t>26/09/2024 18:00</t>
  </si>
  <si>
    <t>26/09/2024 19:00</t>
  </si>
  <si>
    <t>26/09/2024 20:00</t>
  </si>
  <si>
    <t>26/09/2024 21:00</t>
  </si>
  <si>
    <t>26/09/2024 22:00</t>
  </si>
  <si>
    <t>26/09/2024 23:00</t>
  </si>
  <si>
    <t>26/09/2024 24:00</t>
  </si>
  <si>
    <t>27/09/2024 01:00</t>
  </si>
  <si>
    <t>27/09/2024 02:00</t>
  </si>
  <si>
    <t>27/09/2024 03:00</t>
  </si>
  <si>
    <t>27/09/2024 04:00</t>
  </si>
  <si>
    <t>27/09/2024 05:00</t>
  </si>
  <si>
    <t>27/09/2024 06:00</t>
  </si>
  <si>
    <t>27/09/2024 07:00</t>
  </si>
  <si>
    <t>27/09/2024 08:00</t>
  </si>
  <si>
    <t>27/09/2024 09:00</t>
  </si>
  <si>
    <t>27/09/2024 10:00</t>
  </si>
  <si>
    <t>27/09/2024 11:00</t>
  </si>
  <si>
    <t>27/09/2024 12:00</t>
  </si>
  <si>
    <t>27/09/2024 13:00</t>
  </si>
  <si>
    <t>27/09/2024 14:00</t>
  </si>
  <si>
    <t>27/09/2024 15:00</t>
  </si>
  <si>
    <t>27/09/2024 16:00</t>
  </si>
  <si>
    <t>27/09/2024 17:00</t>
  </si>
  <si>
    <t>27/09/2024 18:00</t>
  </si>
  <si>
    <t>27/09/2024 19:00</t>
  </si>
  <si>
    <t>27/09/2024 20:00</t>
  </si>
  <si>
    <t>27/09/2024 21:00</t>
  </si>
  <si>
    <t>27/09/2024 22:00</t>
  </si>
  <si>
    <t>27/09/2024 23:00</t>
  </si>
  <si>
    <t>27/09/2024 24:00</t>
  </si>
  <si>
    <t>28/09/2024 01:00</t>
  </si>
  <si>
    <t>28/09/2024 02:00</t>
  </si>
  <si>
    <t>28/09/2024 03:00</t>
  </si>
  <si>
    <t>28/09/2024 04:00</t>
  </si>
  <si>
    <t>28/09/2024 05:00</t>
  </si>
  <si>
    <t>28/09/2024 06:00</t>
  </si>
  <si>
    <t>28/09/2024 07:00</t>
  </si>
  <si>
    <t>28/09/2024 08:00</t>
  </si>
  <si>
    <t>28/09/2024 09:00</t>
  </si>
  <si>
    <t>28/09/2024 10:00</t>
  </si>
  <si>
    <t>28/09/2024 11:00</t>
  </si>
  <si>
    <t>28/09/2024 12:00</t>
  </si>
  <si>
    <t>28/09/2024 13:00</t>
  </si>
  <si>
    <t>28/09/2024 14:00</t>
  </si>
  <si>
    <t>28/09/2024 15:00</t>
  </si>
  <si>
    <t>28/09/2024 16:00</t>
  </si>
  <si>
    <t>28/09/2024 17:00</t>
  </si>
  <si>
    <t>28/09/2024 18:00</t>
  </si>
  <si>
    <t>28/09/2024 19:00</t>
  </si>
  <si>
    <t>28/09/2024 20:00</t>
  </si>
  <si>
    <t>28/09/2024 21:00</t>
  </si>
  <si>
    <t>28/09/2024 22:00</t>
  </si>
  <si>
    <t>28/09/2024 23:00</t>
  </si>
  <si>
    <t>28/09/2024 24:00</t>
  </si>
  <si>
    <t>29/09/2024 01:00</t>
  </si>
  <si>
    <t>29/09/2024 02:00</t>
  </si>
  <si>
    <t>29/09/2024 03:00</t>
  </si>
  <si>
    <t>29/09/2024 04:00</t>
  </si>
  <si>
    <t>29/09/2024 05:00</t>
  </si>
  <si>
    <t>29/09/2024 06:00</t>
  </si>
  <si>
    <t>29/09/2024 07:00</t>
  </si>
  <si>
    <t>29/09/2024 08:00</t>
  </si>
  <si>
    <t>29/09/2024 09:00</t>
  </si>
  <si>
    <t>29/09/2024 10:00</t>
  </si>
  <si>
    <t>29/09/2024 11:00</t>
  </si>
  <si>
    <t>29/09/2024 12:00</t>
  </si>
  <si>
    <t>29/09/2024 13:00</t>
  </si>
  <si>
    <t>29/09/2024 14:00</t>
  </si>
  <si>
    <t>29/09/2024 15:00</t>
  </si>
  <si>
    <t>29/09/2024 16:00</t>
  </si>
  <si>
    <t>29/09/2024 17:00</t>
  </si>
  <si>
    <t>29/09/2024 18:00</t>
  </si>
  <si>
    <t>29/09/2024 19:00</t>
  </si>
  <si>
    <t>29/09/2024 20:00</t>
  </si>
  <si>
    <t>29/09/2024 21:00</t>
  </si>
  <si>
    <t>29/09/2024 22:00</t>
  </si>
  <si>
    <t>29/09/2024 23:00</t>
  </si>
  <si>
    <t>29/09/2024 24:00</t>
  </si>
  <si>
    <t>30/09/2024 01:00</t>
  </si>
  <si>
    <t>30/09/2024 02:00</t>
  </si>
  <si>
    <t>30/09/2024 03:00</t>
  </si>
  <si>
    <t>30/09/2024 04:00</t>
  </si>
  <si>
    <t>30/09/2024 05:00</t>
  </si>
  <si>
    <t>30/09/2024 06:00</t>
  </si>
  <si>
    <t>30/09/2024 07:00</t>
  </si>
  <si>
    <t>30/09/2024 08:00</t>
  </si>
  <si>
    <t>30/09/2024 09:00</t>
  </si>
  <si>
    <t>30/09/2024 10:00</t>
  </si>
  <si>
    <t>30/09/2024 11:00</t>
  </si>
  <si>
    <t>30/09/2024 12:00</t>
  </si>
  <si>
    <t>30/09/2024 13:00</t>
  </si>
  <si>
    <t>30/09/2024 14:00</t>
  </si>
  <si>
    <t>30/09/2024 15:00</t>
  </si>
  <si>
    <t>30/09/2024 16:00</t>
  </si>
  <si>
    <t>30/09/2024 17:00</t>
  </si>
  <si>
    <t>30/09/2024 18:00</t>
  </si>
  <si>
    <t>30/09/2024 19:00</t>
  </si>
  <si>
    <t>30/09/2024 20:00</t>
  </si>
  <si>
    <t>30/09/2024 21:00</t>
  </si>
  <si>
    <t>30/09/2024 22:00</t>
  </si>
  <si>
    <t>30/09/2024 23:00</t>
  </si>
  <si>
    <t>30/09/2024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</si>
</sst>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9" borderId="0" xfId="0" applyFont="1" applyFill="1" applyAlignment="1">
      <alignment horizontal="left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60</v>
      </c>
      <c r="B9" s="53">
        <v>8.01</v>
      </c>
      <c r="C9" s="53">
        <v>3.04</v>
      </c>
      <c r="D9" s="53">
        <v>11.78</v>
      </c>
      <c r="E9" s="53">
        <v>4.26</v>
      </c>
      <c r="F9" s="53">
        <v>4.16</v>
      </c>
      <c r="G9" s="53">
        <v>83.8</v>
      </c>
      <c r="H9" s="53">
        <v>23.92</v>
      </c>
      <c r="I9" s="53">
        <v>4.9400000000000004</v>
      </c>
      <c r="J9" s="53">
        <v>1.58</v>
      </c>
      <c r="K9" s="53">
        <v>336.45</v>
      </c>
      <c r="L9" s="53">
        <v>27.68</v>
      </c>
      <c r="M9" s="53">
        <v>101.53</v>
      </c>
      <c r="N9" s="53">
        <v>42.1</v>
      </c>
      <c r="O9" s="53">
        <v>0</v>
      </c>
      <c r="P9" s="53">
        <v>0.75</v>
      </c>
      <c r="Q9" s="53">
        <v>9.8800000000000008</v>
      </c>
      <c r="R9" s="43"/>
      <c r="S9" s="43"/>
      <c r="T9" s="43"/>
      <c r="U9" s="43"/>
    </row>
    <row r="10" spans="1:21" s="11" customFormat="1" x14ac:dyDescent="0.25">
      <c r="A10" s="52" t="s">
        <v>61</v>
      </c>
      <c r="B10" s="53">
        <v>7.99</v>
      </c>
      <c r="C10" s="53">
        <v>3</v>
      </c>
      <c r="D10" s="53">
        <v>11.75</v>
      </c>
      <c r="E10" s="53">
        <v>4.12</v>
      </c>
      <c r="F10" s="53">
        <v>3.92</v>
      </c>
      <c r="G10" s="53">
        <v>83.8</v>
      </c>
      <c r="H10" s="53">
        <v>23.92</v>
      </c>
      <c r="I10" s="53">
        <v>4.3499999999999996</v>
      </c>
      <c r="J10" s="53">
        <v>0.38</v>
      </c>
      <c r="K10" s="53">
        <v>328.19</v>
      </c>
      <c r="L10" s="53">
        <v>27.67</v>
      </c>
      <c r="M10" s="53">
        <v>101.53</v>
      </c>
      <c r="N10" s="53">
        <v>41.9</v>
      </c>
      <c r="O10" s="53">
        <v>0</v>
      </c>
      <c r="P10" s="53">
        <v>0.6</v>
      </c>
      <c r="Q10" s="53">
        <v>9.89</v>
      </c>
      <c r="R10" s="43"/>
      <c r="S10" s="43"/>
      <c r="T10" s="43"/>
      <c r="U10" s="43"/>
    </row>
    <row r="11" spans="1:21" s="11" customFormat="1" x14ac:dyDescent="0.25">
      <c r="A11" s="52" t="s">
        <v>62</v>
      </c>
      <c r="B11" s="53">
        <v>8.0399999999999991</v>
      </c>
      <c r="C11" s="53">
        <v>3.01</v>
      </c>
      <c r="D11" s="53">
        <v>11.79</v>
      </c>
      <c r="E11" s="53">
        <v>3.76</v>
      </c>
      <c r="F11" s="53">
        <v>3.8</v>
      </c>
      <c r="G11" s="53">
        <v>59.8</v>
      </c>
      <c r="H11" s="53">
        <v>19.11</v>
      </c>
      <c r="I11" s="53">
        <v>4.45</v>
      </c>
      <c r="J11" s="53">
        <v>0.52</v>
      </c>
      <c r="K11" s="53">
        <v>325.32</v>
      </c>
      <c r="L11" s="53">
        <v>27.55</v>
      </c>
      <c r="M11" s="53">
        <v>101.52</v>
      </c>
      <c r="N11" s="53">
        <v>41.8</v>
      </c>
      <c r="O11" s="53">
        <v>0</v>
      </c>
      <c r="P11" s="53">
        <v>0.55000000000000004</v>
      </c>
      <c r="Q11" s="53">
        <v>9.85</v>
      </c>
      <c r="R11" s="43"/>
      <c r="S11" s="43"/>
      <c r="T11" s="43"/>
      <c r="U11" s="43"/>
    </row>
    <row r="12" spans="1:21" s="11" customFormat="1" x14ac:dyDescent="0.25">
      <c r="A12" s="52" t="s">
        <v>63</v>
      </c>
      <c r="B12" s="53">
        <v>8</v>
      </c>
      <c r="C12" s="53">
        <v>2.97</v>
      </c>
      <c r="D12" s="53">
        <v>11.74</v>
      </c>
      <c r="E12" s="53">
        <v>4.1399999999999997</v>
      </c>
      <c r="F12" s="53">
        <v>4.17</v>
      </c>
      <c r="G12" s="53">
        <v>50.48</v>
      </c>
      <c r="H12" s="53">
        <v>13.78</v>
      </c>
      <c r="I12" s="53">
        <v>5.09</v>
      </c>
      <c r="J12" s="53">
        <v>0.43</v>
      </c>
      <c r="K12" s="53">
        <v>331.74</v>
      </c>
      <c r="L12" s="53">
        <v>27.34</v>
      </c>
      <c r="M12" s="53">
        <v>101.52</v>
      </c>
      <c r="N12" s="53">
        <v>41.9</v>
      </c>
      <c r="O12" s="53">
        <v>0</v>
      </c>
      <c r="P12" s="53">
        <v>0.48</v>
      </c>
      <c r="Q12" s="53">
        <v>9.8000000000000007</v>
      </c>
      <c r="R12" s="43"/>
      <c r="S12" s="43"/>
      <c r="T12" s="43"/>
      <c r="U12" s="43"/>
    </row>
    <row r="13" spans="1:21" s="11" customFormat="1" x14ac:dyDescent="0.25">
      <c r="A13" s="52" t="s">
        <v>64</v>
      </c>
      <c r="B13" s="53">
        <v>7.96</v>
      </c>
      <c r="C13" s="53">
        <v>2.95</v>
      </c>
      <c r="D13" s="53">
        <v>11.7</v>
      </c>
      <c r="E13" s="53">
        <v>4.37</v>
      </c>
      <c r="F13" s="53">
        <v>4.5</v>
      </c>
      <c r="G13" s="53">
        <v>35.65</v>
      </c>
      <c r="H13" s="53">
        <v>9.31</v>
      </c>
      <c r="I13" s="53">
        <v>4.84</v>
      </c>
      <c r="J13" s="53">
        <v>0.68</v>
      </c>
      <c r="K13" s="53">
        <v>115.59</v>
      </c>
      <c r="L13" s="53">
        <v>26.87</v>
      </c>
      <c r="M13" s="53">
        <v>101.53</v>
      </c>
      <c r="N13" s="53">
        <v>42.2</v>
      </c>
      <c r="O13" s="53">
        <v>0</v>
      </c>
      <c r="P13" s="53">
        <v>0.42</v>
      </c>
      <c r="Q13" s="53">
        <v>9.6999999999999993</v>
      </c>
      <c r="R13" s="43"/>
      <c r="S13" s="43"/>
      <c r="T13" s="43"/>
      <c r="U13" s="43"/>
    </row>
    <row r="14" spans="1:21" s="11" customFormat="1" x14ac:dyDescent="0.25">
      <c r="A14" s="52" t="s">
        <v>65</v>
      </c>
      <c r="B14" s="53">
        <v>8.01</v>
      </c>
      <c r="C14" s="53">
        <v>3.07</v>
      </c>
      <c r="D14" s="53">
        <v>11.8</v>
      </c>
      <c r="E14" s="53">
        <v>4.2699999999999996</v>
      </c>
      <c r="F14" s="53">
        <v>4.45</v>
      </c>
      <c r="G14" s="53">
        <v>25.2</v>
      </c>
      <c r="H14" s="53">
        <v>9.31</v>
      </c>
      <c r="I14" s="53">
        <v>4.82</v>
      </c>
      <c r="J14" s="53">
        <v>0.43</v>
      </c>
      <c r="K14" s="53">
        <v>111.71</v>
      </c>
      <c r="L14" s="53">
        <v>26.65</v>
      </c>
      <c r="M14" s="53">
        <v>101.55</v>
      </c>
      <c r="N14" s="53">
        <v>44.9</v>
      </c>
      <c r="O14" s="53">
        <v>0</v>
      </c>
      <c r="P14" s="53">
        <v>0.37</v>
      </c>
      <c r="Q14" s="53">
        <v>9.6999999999999993</v>
      </c>
      <c r="R14" s="43"/>
      <c r="S14" s="43"/>
      <c r="T14" s="43"/>
      <c r="U14" s="43"/>
    </row>
    <row r="15" spans="1:21" s="11" customFormat="1" x14ac:dyDescent="0.25">
      <c r="A15" s="52" t="s">
        <v>66</v>
      </c>
      <c r="B15" s="53">
        <v>8</v>
      </c>
      <c r="C15" s="53">
        <v>3</v>
      </c>
      <c r="D15" s="53">
        <v>11.75</v>
      </c>
      <c r="E15" s="53">
        <v>4.13</v>
      </c>
      <c r="F15" s="53">
        <v>3.39</v>
      </c>
      <c r="G15" s="53">
        <v>20.350000000000001</v>
      </c>
      <c r="H15" s="53">
        <v>6.77</v>
      </c>
      <c r="I15" s="53">
        <v>4.74</v>
      </c>
      <c r="J15" s="53">
        <v>0.24</v>
      </c>
      <c r="K15" s="53">
        <v>351.35</v>
      </c>
      <c r="L15" s="53">
        <v>27.08</v>
      </c>
      <c r="M15" s="53">
        <v>101.5</v>
      </c>
      <c r="N15" s="53">
        <v>108.7</v>
      </c>
      <c r="O15" s="53">
        <v>0</v>
      </c>
      <c r="P15" s="53">
        <v>0.32</v>
      </c>
      <c r="Q15" s="53">
        <v>9.73</v>
      </c>
      <c r="R15" s="43"/>
      <c r="S15" s="43"/>
      <c r="T15" s="43"/>
      <c r="U15" s="43"/>
    </row>
    <row r="16" spans="1:21" s="11" customFormat="1" x14ac:dyDescent="0.25">
      <c r="A16" s="52" t="s">
        <v>67</v>
      </c>
      <c r="B16" s="53">
        <v>8.02</v>
      </c>
      <c r="C16" s="53">
        <v>3.05</v>
      </c>
      <c r="D16" s="53">
        <v>11.79</v>
      </c>
      <c r="E16" s="53">
        <v>5.19</v>
      </c>
      <c r="F16" s="53">
        <v>4.1100000000000003</v>
      </c>
      <c r="G16" s="53">
        <v>21.97</v>
      </c>
      <c r="H16" s="53">
        <v>4.8600000000000003</v>
      </c>
      <c r="I16" s="53">
        <v>4.84</v>
      </c>
      <c r="J16" s="53">
        <v>1.34</v>
      </c>
      <c r="K16" s="53">
        <v>116.83</v>
      </c>
      <c r="L16" s="53">
        <v>27.33</v>
      </c>
      <c r="M16" s="53">
        <v>101.28</v>
      </c>
      <c r="N16" s="53">
        <v>146.9</v>
      </c>
      <c r="O16" s="53">
        <v>0</v>
      </c>
      <c r="P16" s="53">
        <v>0.33</v>
      </c>
      <c r="Q16" s="53">
        <v>9.77</v>
      </c>
      <c r="R16" s="43"/>
      <c r="S16" s="43"/>
      <c r="T16" s="43"/>
      <c r="U16" s="43"/>
    </row>
    <row r="17" spans="1:21" s="11" customFormat="1" x14ac:dyDescent="0.25">
      <c r="A17" s="52" t="s">
        <v>68</v>
      </c>
      <c r="B17" s="53">
        <v>7.98</v>
      </c>
      <c r="C17" s="53">
        <v>3.03</v>
      </c>
      <c r="D17" s="53">
        <v>11.76</v>
      </c>
      <c r="E17" s="53">
        <v>5.29</v>
      </c>
      <c r="F17" s="53">
        <v>4.05</v>
      </c>
      <c r="G17" s="53">
        <v>24.29</v>
      </c>
      <c r="H17" s="53">
        <v>4.76</v>
      </c>
      <c r="I17" s="53">
        <v>5.55</v>
      </c>
      <c r="J17" s="53">
        <v>2.0499999999999998</v>
      </c>
      <c r="K17" s="53">
        <v>115.44</v>
      </c>
      <c r="L17" s="53">
        <v>28.09</v>
      </c>
      <c r="M17" s="53">
        <v>97.59</v>
      </c>
      <c r="N17" s="53">
        <v>216.1</v>
      </c>
      <c r="O17" s="53">
        <v>0</v>
      </c>
      <c r="P17" s="53">
        <v>0.34</v>
      </c>
      <c r="Q17" s="53">
        <v>9.7200000000000006</v>
      </c>
      <c r="R17" s="43"/>
      <c r="S17" s="43"/>
      <c r="T17" s="43"/>
      <c r="U17" s="43"/>
    </row>
    <row r="18" spans="1:21" s="11" customFormat="1" x14ac:dyDescent="0.25">
      <c r="A18" s="52" t="s">
        <v>69</v>
      </c>
      <c r="B18" s="53">
        <v>7.99</v>
      </c>
      <c r="C18" s="53">
        <v>3.01</v>
      </c>
      <c r="D18" s="53">
        <v>11.74</v>
      </c>
      <c r="E18" s="53">
        <v>4.91</v>
      </c>
      <c r="F18" s="53">
        <v>4.13</v>
      </c>
      <c r="G18" s="53">
        <v>24.29</v>
      </c>
      <c r="H18" s="53">
        <v>4.68</v>
      </c>
      <c r="I18" s="53">
        <v>5.9</v>
      </c>
      <c r="J18" s="53">
        <v>1.9</v>
      </c>
      <c r="K18" s="53">
        <v>118.15</v>
      </c>
      <c r="L18" s="53">
        <v>29.4</v>
      </c>
      <c r="M18" s="53">
        <v>92.65</v>
      </c>
      <c r="N18" s="53">
        <v>399.9</v>
      </c>
      <c r="O18" s="53">
        <v>0</v>
      </c>
      <c r="P18" s="53">
        <v>0.31</v>
      </c>
      <c r="Q18" s="53">
        <v>9.68</v>
      </c>
      <c r="R18" s="43"/>
      <c r="S18" s="43"/>
      <c r="T18" s="43"/>
      <c r="U18" s="43"/>
    </row>
    <row r="19" spans="1:21" s="11" customFormat="1" x14ac:dyDescent="0.25">
      <c r="A19" s="52" t="s">
        <v>70</v>
      </c>
      <c r="B19" s="53">
        <v>8</v>
      </c>
      <c r="C19" s="53">
        <v>3.01</v>
      </c>
      <c r="D19" s="53">
        <v>11.76</v>
      </c>
      <c r="E19" s="53">
        <v>4.8499999999999996</v>
      </c>
      <c r="F19" s="53">
        <v>3.97</v>
      </c>
      <c r="G19" s="53">
        <v>22.09</v>
      </c>
      <c r="H19" s="53">
        <v>4.79</v>
      </c>
      <c r="I19" s="53">
        <v>6.43</v>
      </c>
      <c r="J19" s="53">
        <v>2.75</v>
      </c>
      <c r="K19" s="53">
        <v>115.05</v>
      </c>
      <c r="L19" s="53">
        <v>29.73</v>
      </c>
      <c r="M19" s="53">
        <v>86.01</v>
      </c>
      <c r="N19" s="53">
        <v>569.79999999999995</v>
      </c>
      <c r="O19" s="53">
        <v>0</v>
      </c>
      <c r="P19" s="53">
        <v>0.28000000000000003</v>
      </c>
      <c r="Q19" s="53">
        <v>9.65</v>
      </c>
      <c r="R19" s="43"/>
      <c r="S19" s="43"/>
      <c r="T19" s="43"/>
      <c r="U19" s="43"/>
    </row>
    <row r="20" spans="1:21" s="11" customFormat="1" x14ac:dyDescent="0.25">
      <c r="A20" s="52" t="s">
        <v>71</v>
      </c>
      <c r="B20" s="53">
        <v>7.98</v>
      </c>
      <c r="C20" s="53">
        <v>2.99</v>
      </c>
      <c r="D20" s="53">
        <v>11.74</v>
      </c>
      <c r="E20" s="53">
        <v>5.07</v>
      </c>
      <c r="F20" s="53">
        <v>4.05</v>
      </c>
      <c r="G20" s="53">
        <v>22.09</v>
      </c>
      <c r="H20" s="53">
        <v>4.79</v>
      </c>
      <c r="I20" s="53">
        <v>6.92</v>
      </c>
      <c r="J20" s="53">
        <v>2.58</v>
      </c>
      <c r="K20" s="53">
        <v>116.39</v>
      </c>
      <c r="L20" s="53">
        <v>30.84</v>
      </c>
      <c r="M20" s="53">
        <v>81.08</v>
      </c>
      <c r="N20" s="53">
        <v>577.29999999999995</v>
      </c>
      <c r="O20" s="53">
        <v>0</v>
      </c>
      <c r="P20" s="53">
        <v>0.26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72</v>
      </c>
      <c r="B21" s="53">
        <v>7.96</v>
      </c>
      <c r="C21" s="53">
        <v>2.96</v>
      </c>
      <c r="D21" s="53">
        <v>11.7</v>
      </c>
      <c r="E21" s="53">
        <v>3.83</v>
      </c>
      <c r="F21" s="53">
        <v>4.59</v>
      </c>
      <c r="G21" s="53">
        <v>20.52</v>
      </c>
      <c r="H21" s="53">
        <v>3.38</v>
      </c>
      <c r="I21" s="53">
        <v>7.26</v>
      </c>
      <c r="J21" s="53">
        <v>2.39</v>
      </c>
      <c r="K21" s="53">
        <v>115.36</v>
      </c>
      <c r="L21" s="53">
        <v>31.15</v>
      </c>
      <c r="M21" s="53">
        <v>77.62</v>
      </c>
      <c r="N21" s="53">
        <v>689.3</v>
      </c>
      <c r="O21" s="53">
        <v>0</v>
      </c>
      <c r="P21" s="53">
        <v>0.23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73</v>
      </c>
      <c r="B22" s="53">
        <v>7.95</v>
      </c>
      <c r="C22" s="53">
        <v>2.95</v>
      </c>
      <c r="D22" s="53">
        <v>11.69</v>
      </c>
      <c r="E22" s="53">
        <v>3.66</v>
      </c>
      <c r="F22" s="53">
        <v>5.09</v>
      </c>
      <c r="G22" s="53">
        <v>15.85</v>
      </c>
      <c r="H22" s="53">
        <v>2.36</v>
      </c>
      <c r="I22" s="53">
        <v>7.22</v>
      </c>
      <c r="J22" s="53">
        <v>2.0699999999999998</v>
      </c>
      <c r="K22" s="53">
        <v>113.89</v>
      </c>
      <c r="L22" s="53">
        <v>31.44</v>
      </c>
      <c r="M22" s="53">
        <v>78</v>
      </c>
      <c r="N22" s="53">
        <v>593.5</v>
      </c>
      <c r="O22" s="53">
        <v>0</v>
      </c>
      <c r="P22" s="53">
        <v>0.31</v>
      </c>
      <c r="Q22" s="53">
        <v>9.59</v>
      </c>
      <c r="R22" s="43"/>
      <c r="S22" s="43"/>
      <c r="T22" s="43"/>
      <c r="U22" s="43"/>
    </row>
    <row r="23" spans="1:21" s="11" customFormat="1" x14ac:dyDescent="0.25">
      <c r="A23" s="52" t="s">
        <v>74</v>
      </c>
      <c r="B23" s="53">
        <v>7.98</v>
      </c>
      <c r="C23" s="53">
        <v>2.97</v>
      </c>
      <c r="D23" s="53">
        <v>11.73</v>
      </c>
      <c r="E23" s="53">
        <v>3.51</v>
      </c>
      <c r="F23" s="53">
        <v>3.84</v>
      </c>
      <c r="G23" s="53">
        <v>20.52</v>
      </c>
      <c r="H23" s="53">
        <v>5.61</v>
      </c>
      <c r="I23" s="53">
        <v>6.99</v>
      </c>
      <c r="J23" s="53">
        <v>2.2400000000000002</v>
      </c>
      <c r="K23" s="53">
        <v>115.4</v>
      </c>
      <c r="L23" s="53">
        <v>31.34</v>
      </c>
      <c r="M23" s="53">
        <v>81.41</v>
      </c>
      <c r="N23" s="53">
        <v>412.7</v>
      </c>
      <c r="O23" s="53">
        <v>0</v>
      </c>
      <c r="P23" s="53">
        <v>0.31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75</v>
      </c>
      <c r="B24" s="53">
        <v>8</v>
      </c>
      <c r="C24" s="53">
        <v>2.99</v>
      </c>
      <c r="D24" s="53">
        <v>11.74</v>
      </c>
      <c r="E24" s="53">
        <v>4.74</v>
      </c>
      <c r="F24" s="53">
        <v>3.8</v>
      </c>
      <c r="G24" s="53">
        <v>20.52</v>
      </c>
      <c r="H24" s="53">
        <v>6.92</v>
      </c>
      <c r="I24" s="53">
        <v>6.83</v>
      </c>
      <c r="J24" s="53">
        <v>0.91</v>
      </c>
      <c r="K24" s="53">
        <v>114.37</v>
      </c>
      <c r="L24" s="53">
        <v>30.91</v>
      </c>
      <c r="M24" s="53">
        <v>83.43</v>
      </c>
      <c r="N24" s="53">
        <v>194.8</v>
      </c>
      <c r="O24" s="53">
        <v>0</v>
      </c>
      <c r="P24" s="53">
        <v>0.32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76</v>
      </c>
      <c r="B25" s="53">
        <v>7.96</v>
      </c>
      <c r="C25" s="53">
        <v>3</v>
      </c>
      <c r="D25" s="53">
        <v>11.72</v>
      </c>
      <c r="E25" s="53">
        <v>4.76</v>
      </c>
      <c r="F25" s="53">
        <v>4.82</v>
      </c>
      <c r="G25" s="53">
        <v>24.18</v>
      </c>
      <c r="H25" s="53">
        <v>8.3800000000000008</v>
      </c>
      <c r="I25" s="53">
        <v>6.82</v>
      </c>
      <c r="J25" s="53">
        <v>0.92</v>
      </c>
      <c r="K25" s="53">
        <v>109.35</v>
      </c>
      <c r="L25" s="53">
        <v>30.35</v>
      </c>
      <c r="M25" s="53">
        <v>83.91</v>
      </c>
      <c r="N25" s="53">
        <v>182.4</v>
      </c>
      <c r="O25" s="53">
        <v>0</v>
      </c>
      <c r="P25" s="53">
        <v>0.35</v>
      </c>
      <c r="Q25" s="53">
        <v>9.65</v>
      </c>
      <c r="R25" s="43"/>
      <c r="S25" s="43"/>
      <c r="T25" s="43"/>
      <c r="U25" s="43"/>
    </row>
    <row r="26" spans="1:21" s="11" customFormat="1" x14ac:dyDescent="0.25">
      <c r="A26" s="52" t="s">
        <v>77</v>
      </c>
      <c r="B26" s="53">
        <v>7.96</v>
      </c>
      <c r="C26" s="53">
        <v>3.06</v>
      </c>
      <c r="D26" s="53">
        <v>11.76</v>
      </c>
      <c r="E26" s="53">
        <v>4.3899999999999997</v>
      </c>
      <c r="F26" s="53">
        <v>4.72</v>
      </c>
      <c r="G26" s="53">
        <v>24.18</v>
      </c>
      <c r="H26" s="53">
        <v>8.3800000000000008</v>
      </c>
      <c r="I26" s="53">
        <v>6.18</v>
      </c>
      <c r="J26" s="53">
        <v>1.18</v>
      </c>
      <c r="K26" s="53">
        <v>116.82</v>
      </c>
      <c r="L26" s="53">
        <v>29.84</v>
      </c>
      <c r="M26" s="53">
        <v>92.12</v>
      </c>
      <c r="N26" s="53">
        <v>88.6</v>
      </c>
      <c r="O26" s="53">
        <v>0</v>
      </c>
      <c r="P26" s="53">
        <v>0.37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78</v>
      </c>
      <c r="B27" s="53">
        <v>8.1</v>
      </c>
      <c r="C27" s="53">
        <v>3.16</v>
      </c>
      <c r="D27" s="53">
        <v>11.92</v>
      </c>
      <c r="E27" s="53">
        <v>4.17</v>
      </c>
      <c r="F27" s="53">
        <v>3.58</v>
      </c>
      <c r="G27" s="53">
        <v>24.83</v>
      </c>
      <c r="H27" s="53">
        <v>9.58</v>
      </c>
      <c r="I27" s="53">
        <v>5.47</v>
      </c>
      <c r="J27" s="53">
        <v>0.49</v>
      </c>
      <c r="K27" s="53">
        <v>116.09</v>
      </c>
      <c r="L27" s="53">
        <v>28.63</v>
      </c>
      <c r="M27" s="53">
        <v>95.39</v>
      </c>
      <c r="N27" s="53">
        <v>52.5</v>
      </c>
      <c r="O27" s="53">
        <v>0</v>
      </c>
      <c r="P27" s="53">
        <v>0.39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79</v>
      </c>
      <c r="B28" s="53">
        <v>9.27</v>
      </c>
      <c r="C28" s="53">
        <v>5.07</v>
      </c>
      <c r="D28" s="53">
        <v>13.86</v>
      </c>
      <c r="E28" s="53">
        <v>4.2300000000000004</v>
      </c>
      <c r="F28" s="53">
        <v>3.73</v>
      </c>
      <c r="G28" s="53">
        <v>27.51</v>
      </c>
      <c r="H28" s="53">
        <v>9.58</v>
      </c>
      <c r="I28" s="53">
        <v>5.19</v>
      </c>
      <c r="J28" s="53">
        <v>0.8</v>
      </c>
      <c r="K28" s="53">
        <v>117.48</v>
      </c>
      <c r="L28" s="53">
        <v>28.7</v>
      </c>
      <c r="M28" s="53">
        <v>95.26</v>
      </c>
      <c r="N28" s="53">
        <v>42.6</v>
      </c>
      <c r="O28" s="53">
        <v>0</v>
      </c>
      <c r="P28" s="53">
        <v>0.41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80</v>
      </c>
      <c r="B29" s="53">
        <v>9.4600000000000009</v>
      </c>
      <c r="C29" s="53">
        <v>5.71</v>
      </c>
      <c r="D29" s="53">
        <v>14.34</v>
      </c>
      <c r="E29" s="53">
        <v>4.46</v>
      </c>
      <c r="F29" s="53">
        <v>4.82</v>
      </c>
      <c r="G29" s="53">
        <v>27.51</v>
      </c>
      <c r="H29" s="53">
        <v>7.15</v>
      </c>
      <c r="I29" s="53">
        <v>5.58</v>
      </c>
      <c r="J29" s="53">
        <v>1.1599999999999999</v>
      </c>
      <c r="K29" s="53">
        <v>178.67</v>
      </c>
      <c r="L29" s="53">
        <v>28.69</v>
      </c>
      <c r="M29" s="53">
        <v>93.22</v>
      </c>
      <c r="N29" s="53">
        <v>42.9</v>
      </c>
      <c r="O29" s="53">
        <v>0</v>
      </c>
      <c r="P29" s="53">
        <v>0.43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81</v>
      </c>
      <c r="B30" s="53">
        <v>9.43</v>
      </c>
      <c r="C30" s="53">
        <v>5.74</v>
      </c>
      <c r="D30" s="53">
        <v>14.33</v>
      </c>
      <c r="E30" s="53">
        <v>4.54</v>
      </c>
      <c r="F30" s="53">
        <v>4.59</v>
      </c>
      <c r="G30" s="53">
        <v>24.36</v>
      </c>
      <c r="H30" s="53">
        <v>5.25</v>
      </c>
      <c r="I30" s="53">
        <v>5.54</v>
      </c>
      <c r="J30" s="53">
        <v>1.03</v>
      </c>
      <c r="K30" s="53">
        <v>119.29</v>
      </c>
      <c r="L30" s="53">
        <v>28.23</v>
      </c>
      <c r="M30" s="53">
        <v>101.55</v>
      </c>
      <c r="N30" s="53">
        <v>43.5</v>
      </c>
      <c r="O30" s="53">
        <v>0</v>
      </c>
      <c r="P30" s="53">
        <v>0.44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82</v>
      </c>
      <c r="B31" s="53">
        <v>9.2799999999999994</v>
      </c>
      <c r="C31" s="53">
        <v>5.48</v>
      </c>
      <c r="D31" s="53">
        <v>14.07</v>
      </c>
      <c r="E31" s="53">
        <v>4.24</v>
      </c>
      <c r="F31" s="53">
        <v>4.41</v>
      </c>
      <c r="G31" s="53">
        <v>24.36</v>
      </c>
      <c r="H31" s="53">
        <v>4.55</v>
      </c>
      <c r="I31" s="53">
        <v>5.48</v>
      </c>
      <c r="J31" s="53">
        <v>1.1100000000000001</v>
      </c>
      <c r="K31" s="53">
        <v>119.09</v>
      </c>
      <c r="L31" s="53">
        <v>26.81</v>
      </c>
      <c r="M31" s="53">
        <v>101.57</v>
      </c>
      <c r="N31" s="53">
        <v>43.1</v>
      </c>
      <c r="O31" s="53">
        <v>0.4</v>
      </c>
      <c r="P31" s="53">
        <v>0.43</v>
      </c>
      <c r="Q31" s="53">
        <v>9.64</v>
      </c>
      <c r="R31" s="43"/>
      <c r="S31" s="43"/>
      <c r="T31" s="43"/>
      <c r="U31" s="43"/>
    </row>
    <row r="32" spans="1:21" s="11" customFormat="1" x14ac:dyDescent="0.25">
      <c r="A32" s="52" t="s">
        <v>83</v>
      </c>
      <c r="B32" s="53">
        <v>10.15</v>
      </c>
      <c r="C32" s="53">
        <v>5.04</v>
      </c>
      <c r="D32" s="53">
        <v>14.27</v>
      </c>
      <c r="E32" s="53">
        <v>4.66</v>
      </c>
      <c r="F32" s="53">
        <v>3.57</v>
      </c>
      <c r="G32" s="53">
        <v>19.03</v>
      </c>
      <c r="H32" s="53">
        <v>5.19</v>
      </c>
      <c r="I32" s="53">
        <v>5.2</v>
      </c>
      <c r="J32" s="53">
        <v>0.86</v>
      </c>
      <c r="K32" s="53">
        <v>118.8</v>
      </c>
      <c r="L32" s="53">
        <v>26.74</v>
      </c>
      <c r="M32" s="53">
        <v>101.53</v>
      </c>
      <c r="N32" s="53">
        <v>43.8</v>
      </c>
      <c r="O32" s="53">
        <v>0</v>
      </c>
      <c r="P32" s="53">
        <v>0.4</v>
      </c>
      <c r="Q32" s="53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11.69</v>
      </c>
      <c r="E34" s="28">
        <f t="shared" si="0"/>
        <v>3.51</v>
      </c>
      <c r="F34" s="28">
        <f t="shared" si="0"/>
        <v>3.39</v>
      </c>
      <c r="G34" s="28">
        <f t="shared" si="0"/>
        <v>15.85</v>
      </c>
      <c r="H34" s="28">
        <f t="shared" si="0"/>
        <v>2.36</v>
      </c>
      <c r="I34" s="28">
        <f t="shared" si="0"/>
        <v>4.3499999999999996</v>
      </c>
      <c r="J34" s="28">
        <f t="shared" si="0"/>
        <v>0.24</v>
      </c>
      <c r="K34" s="28">
        <f t="shared" si="0"/>
        <v>109.35</v>
      </c>
      <c r="L34" s="28">
        <f t="shared" si="0"/>
        <v>26.65</v>
      </c>
      <c r="M34" s="28">
        <f t="shared" si="0"/>
        <v>77.62</v>
      </c>
      <c r="N34" s="28">
        <f t="shared" si="0"/>
        <v>41.8</v>
      </c>
      <c r="O34" s="28">
        <f t="shared" si="0"/>
        <v>0</v>
      </c>
      <c r="P34" s="28">
        <f t="shared" si="0"/>
        <v>0.23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10.15</v>
      </c>
      <c r="C35" s="29">
        <f t="shared" si="1"/>
        <v>5.74</v>
      </c>
      <c r="D35" s="29">
        <f t="shared" si="1"/>
        <v>14.34</v>
      </c>
      <c r="E35" s="29">
        <f t="shared" si="1"/>
        <v>5.29</v>
      </c>
      <c r="F35" s="29">
        <f t="shared" si="1"/>
        <v>5.09</v>
      </c>
      <c r="G35" s="29">
        <f t="shared" si="1"/>
        <v>83.8</v>
      </c>
      <c r="H35" s="29">
        <f t="shared" si="1"/>
        <v>23.92</v>
      </c>
      <c r="I35" s="29">
        <f t="shared" si="1"/>
        <v>7.26</v>
      </c>
      <c r="J35" s="29">
        <f t="shared" si="1"/>
        <v>2.75</v>
      </c>
      <c r="K35" s="29">
        <f t="shared" si="1"/>
        <v>351.35</v>
      </c>
      <c r="L35" s="29">
        <f t="shared" si="1"/>
        <v>31.44</v>
      </c>
      <c r="M35" s="29">
        <f t="shared" si="1"/>
        <v>101.57</v>
      </c>
      <c r="N35" s="29">
        <f t="shared" si="1"/>
        <v>689.3</v>
      </c>
      <c r="O35" s="29">
        <f t="shared" si="1"/>
        <v>0.4</v>
      </c>
      <c r="P35" s="29">
        <f t="shared" si="1"/>
        <v>0.75</v>
      </c>
      <c r="Q35" s="29">
        <f t="shared" si="1"/>
        <v>9.89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8.3116666666666692</v>
      </c>
      <c r="C36" s="28">
        <f t="shared" si="2"/>
        <v>3.5108333333333341</v>
      </c>
      <c r="D36" s="28">
        <f t="shared" si="2"/>
        <v>12.259583333333332</v>
      </c>
      <c r="E36" s="28">
        <f t="shared" si="2"/>
        <v>4.3979166666666663</v>
      </c>
      <c r="F36" s="28">
        <f t="shared" si="2"/>
        <v>4.1774999999999993</v>
      </c>
      <c r="G36" s="28">
        <f t="shared" si="2"/>
        <v>31.132499999999993</v>
      </c>
      <c r="H36" s="28">
        <f t="shared" si="2"/>
        <v>8.5970833333333356</v>
      </c>
      <c r="I36" s="28">
        <f t="shared" si="2"/>
        <v>5.6929166666666653</v>
      </c>
      <c r="J36" s="28">
        <f t="shared" si="2"/>
        <v>1.2516666666666667</v>
      </c>
      <c r="K36" s="28">
        <f t="shared" si="2"/>
        <v>164.03416666666669</v>
      </c>
      <c r="L36" s="28">
        <f t="shared" si="2"/>
        <v>28.710833333333337</v>
      </c>
      <c r="M36" s="28">
        <f t="shared" si="2"/>
        <v>93.929166666666688</v>
      </c>
      <c r="N36" s="28">
        <f t="shared" si="2"/>
        <v>195.9666666666667</v>
      </c>
      <c r="O36" s="28">
        <f t="shared" si="2"/>
        <v>1.6666666666666666E-2</v>
      </c>
      <c r="P36" s="28">
        <f t="shared" si="2"/>
        <v>0.39166666666666661</v>
      </c>
      <c r="Q36" s="28">
        <f t="shared" si="2"/>
        <v>9.6887499999999989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0.65080329404224124</v>
      </c>
      <c r="C37" s="28">
        <f t="shared" ref="C37:Q37" si="3">STDEV(C9:C32)</f>
        <v>1.005069396983918</v>
      </c>
      <c r="D37" s="28">
        <f t="shared" si="3"/>
        <v>1.0078667922967264</v>
      </c>
      <c r="E37" s="28">
        <f t="shared" si="3"/>
        <v>0.47096551306094048</v>
      </c>
      <c r="F37" s="28">
        <f t="shared" si="3"/>
        <v>0.44816776750016957</v>
      </c>
      <c r="G37" s="28">
        <f t="shared" si="3"/>
        <v>18.915311315807443</v>
      </c>
      <c r="H37" s="28">
        <f t="shared" si="3"/>
        <v>5.9179450598906378</v>
      </c>
      <c r="I37" s="28">
        <f t="shared" si="3"/>
        <v>0.91873485396172572</v>
      </c>
      <c r="J37" s="28">
        <f t="shared" si="3"/>
        <v>0.76236854414479194</v>
      </c>
      <c r="K37" s="28">
        <f t="shared" si="3"/>
        <v>90.417449254610887</v>
      </c>
      <c r="L37" s="28">
        <f t="shared" si="3"/>
        <v>1.6265645756749347</v>
      </c>
      <c r="M37" s="28">
        <f t="shared" si="3"/>
        <v>8.7720588613316224</v>
      </c>
      <c r="N37" s="28">
        <f t="shared" si="3"/>
        <v>216.28922397058315</v>
      </c>
      <c r="O37" s="28">
        <f t="shared" si="3"/>
        <v>8.1649658092772623E-2</v>
      </c>
      <c r="P37" s="28">
        <f t="shared" si="3"/>
        <v>0.11544494892321655</v>
      </c>
      <c r="Q37" s="28">
        <f t="shared" si="3"/>
        <v>8.8823836401292128E-2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84</v>
      </c>
      <c r="B9" s="53">
        <v>9.8000000000000007</v>
      </c>
      <c r="C9" s="53">
        <v>5.31</v>
      </c>
      <c r="D9" s="53">
        <v>14.18</v>
      </c>
      <c r="E9" s="53">
        <v>4.1900000000000004</v>
      </c>
      <c r="F9" s="53">
        <v>3.96</v>
      </c>
      <c r="G9" s="53">
        <v>16.239999999999998</v>
      </c>
      <c r="H9" s="53">
        <v>6.06</v>
      </c>
      <c r="I9" s="53">
        <v>5.6</v>
      </c>
      <c r="J9" s="53">
        <v>0.89</v>
      </c>
      <c r="K9" s="53">
        <v>117.06</v>
      </c>
      <c r="L9" s="53">
        <v>26.72</v>
      </c>
      <c r="M9" s="53">
        <v>101.53</v>
      </c>
      <c r="N9" s="53">
        <v>43.8</v>
      </c>
      <c r="O9" s="53">
        <v>0</v>
      </c>
      <c r="P9" s="53">
        <v>0.39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85</v>
      </c>
      <c r="B10" s="53">
        <v>9.2200000000000006</v>
      </c>
      <c r="C10" s="53">
        <v>5.19</v>
      </c>
      <c r="D10" s="53">
        <v>13.88</v>
      </c>
      <c r="E10" s="53">
        <v>3.74</v>
      </c>
      <c r="F10" s="53">
        <v>4.71</v>
      </c>
      <c r="G10" s="53">
        <v>11.62</v>
      </c>
      <c r="H10" s="53">
        <v>6.06</v>
      </c>
      <c r="I10" s="53">
        <v>5.59</v>
      </c>
      <c r="J10" s="53">
        <v>1.46</v>
      </c>
      <c r="K10" s="53">
        <v>115.87</v>
      </c>
      <c r="L10" s="53">
        <v>26.67</v>
      </c>
      <c r="M10" s="53">
        <v>101.53</v>
      </c>
      <c r="N10" s="53">
        <v>43.6</v>
      </c>
      <c r="O10" s="53">
        <v>0</v>
      </c>
      <c r="P10" s="53">
        <v>0.36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86</v>
      </c>
      <c r="B11" s="53">
        <v>8.94</v>
      </c>
      <c r="C11" s="53">
        <v>4.88</v>
      </c>
      <c r="D11" s="53">
        <v>13.49</v>
      </c>
      <c r="E11" s="53">
        <v>3.62</v>
      </c>
      <c r="F11" s="53">
        <v>4.28</v>
      </c>
      <c r="G11" s="53">
        <v>12.8</v>
      </c>
      <c r="H11" s="53">
        <v>5.4</v>
      </c>
      <c r="I11" s="53">
        <v>5.74</v>
      </c>
      <c r="J11" s="53">
        <v>1.53</v>
      </c>
      <c r="K11" s="53">
        <v>120.03</v>
      </c>
      <c r="L11" s="53">
        <v>26.4</v>
      </c>
      <c r="M11" s="53">
        <v>101.53</v>
      </c>
      <c r="N11" s="53">
        <v>42.5</v>
      </c>
      <c r="O11" s="53">
        <v>0</v>
      </c>
      <c r="P11" s="53">
        <v>0.34</v>
      </c>
      <c r="Q11" s="53">
        <v>9.59</v>
      </c>
      <c r="R11" s="43"/>
      <c r="S11" s="43"/>
      <c r="T11" s="43"/>
      <c r="U11" s="43"/>
    </row>
    <row r="12" spans="1:21" s="11" customFormat="1" x14ac:dyDescent="0.25">
      <c r="A12" s="52" t="s">
        <v>87</v>
      </c>
      <c r="B12" s="53">
        <v>8.73</v>
      </c>
      <c r="C12" s="53">
        <v>4.54</v>
      </c>
      <c r="D12" s="53">
        <v>13.15</v>
      </c>
      <c r="E12" s="53">
        <v>4.79</v>
      </c>
      <c r="F12" s="53">
        <v>3.79</v>
      </c>
      <c r="G12" s="53">
        <v>12.8</v>
      </c>
      <c r="H12" s="53">
        <v>5.4</v>
      </c>
      <c r="I12" s="53">
        <v>6.03</v>
      </c>
      <c r="J12" s="53">
        <v>1.5</v>
      </c>
      <c r="K12" s="53">
        <v>119.07</v>
      </c>
      <c r="L12" s="53">
        <v>26.35</v>
      </c>
      <c r="M12" s="53">
        <v>101.53</v>
      </c>
      <c r="N12" s="53">
        <v>42.8</v>
      </c>
      <c r="O12" s="53">
        <v>0</v>
      </c>
      <c r="P12" s="53">
        <v>0.31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88</v>
      </c>
      <c r="B13" s="53">
        <v>8.69</v>
      </c>
      <c r="C13" s="53">
        <v>4.46</v>
      </c>
      <c r="D13" s="53">
        <v>13.07</v>
      </c>
      <c r="E13" s="53">
        <v>5.41</v>
      </c>
      <c r="F13" s="53">
        <v>4.01</v>
      </c>
      <c r="G13" s="53">
        <v>12.35</v>
      </c>
      <c r="H13" s="53">
        <v>3.78</v>
      </c>
      <c r="I13" s="53">
        <v>6.19</v>
      </c>
      <c r="J13" s="53">
        <v>0.95</v>
      </c>
      <c r="K13" s="53">
        <v>115.9</v>
      </c>
      <c r="L13" s="53">
        <v>26.32</v>
      </c>
      <c r="M13" s="53">
        <v>101.52</v>
      </c>
      <c r="N13" s="53">
        <v>42.9</v>
      </c>
      <c r="O13" s="53">
        <v>0</v>
      </c>
      <c r="P13" s="53">
        <v>0.3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89</v>
      </c>
      <c r="B14" s="53">
        <v>8.68</v>
      </c>
      <c r="C14" s="53">
        <v>4.5</v>
      </c>
      <c r="D14" s="53">
        <v>13.09</v>
      </c>
      <c r="E14" s="53">
        <v>5.59</v>
      </c>
      <c r="F14" s="53">
        <v>4.91</v>
      </c>
      <c r="G14" s="53">
        <v>13.07</v>
      </c>
      <c r="H14" s="53">
        <v>3.57</v>
      </c>
      <c r="I14" s="53">
        <v>5.95</v>
      </c>
      <c r="J14" s="53">
        <v>1.35</v>
      </c>
      <c r="K14" s="53">
        <v>116.21</v>
      </c>
      <c r="L14" s="53">
        <v>26.17</v>
      </c>
      <c r="M14" s="53">
        <v>101.49</v>
      </c>
      <c r="N14" s="53">
        <v>45.3</v>
      </c>
      <c r="O14" s="53">
        <v>0</v>
      </c>
      <c r="P14" s="53">
        <v>0.3</v>
      </c>
      <c r="Q14" s="53">
        <v>9.56</v>
      </c>
      <c r="R14" s="43"/>
      <c r="S14" s="43"/>
      <c r="T14" s="43"/>
      <c r="U14" s="43"/>
    </row>
    <row r="15" spans="1:21" s="11" customFormat="1" x14ac:dyDescent="0.25">
      <c r="A15" s="52" t="s">
        <v>90</v>
      </c>
      <c r="B15" s="53">
        <v>8.65</v>
      </c>
      <c r="C15" s="53">
        <v>4.5</v>
      </c>
      <c r="D15" s="53">
        <v>13.06</v>
      </c>
      <c r="E15" s="53">
        <v>5.45</v>
      </c>
      <c r="F15" s="53">
        <v>3.97</v>
      </c>
      <c r="G15" s="53">
        <v>13.07</v>
      </c>
      <c r="H15" s="53">
        <v>2.98</v>
      </c>
      <c r="I15" s="53">
        <v>5.71</v>
      </c>
      <c r="J15" s="53">
        <v>1.37</v>
      </c>
      <c r="K15" s="53">
        <v>120.38</v>
      </c>
      <c r="L15" s="53">
        <v>26.25</v>
      </c>
      <c r="M15" s="53">
        <v>101.4</v>
      </c>
      <c r="N15" s="53">
        <v>106.1</v>
      </c>
      <c r="O15" s="53">
        <v>0</v>
      </c>
      <c r="P15" s="53">
        <v>0.3</v>
      </c>
      <c r="Q15" s="53">
        <v>9.59</v>
      </c>
      <c r="R15" s="43"/>
      <c r="S15" s="43"/>
      <c r="T15" s="43"/>
      <c r="U15" s="43"/>
    </row>
    <row r="16" spans="1:21" s="11" customFormat="1" x14ac:dyDescent="0.25">
      <c r="A16" s="52" t="s">
        <v>91</v>
      </c>
      <c r="B16" s="53">
        <v>8.6</v>
      </c>
      <c r="C16" s="53">
        <v>4.38</v>
      </c>
      <c r="D16" s="53">
        <v>12.96</v>
      </c>
      <c r="E16" s="53">
        <v>4.8899999999999997</v>
      </c>
      <c r="F16" s="53">
        <v>3.84</v>
      </c>
      <c r="G16" s="53">
        <v>10.27</v>
      </c>
      <c r="H16" s="53">
        <v>4.74</v>
      </c>
      <c r="I16" s="53">
        <v>5.94</v>
      </c>
      <c r="J16" s="53">
        <v>1.59</v>
      </c>
      <c r="K16" s="53">
        <v>119.47</v>
      </c>
      <c r="L16" s="53">
        <v>26.52</v>
      </c>
      <c r="M16" s="53">
        <v>101.23</v>
      </c>
      <c r="N16" s="53">
        <v>155.69999999999999</v>
      </c>
      <c r="O16" s="53">
        <v>0</v>
      </c>
      <c r="P16" s="53">
        <v>0.27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92</v>
      </c>
      <c r="B17" s="53">
        <v>8.5399999999999991</v>
      </c>
      <c r="C17" s="53">
        <v>4.12</v>
      </c>
      <c r="D17" s="53">
        <v>12.78</v>
      </c>
      <c r="E17" s="53">
        <v>4.71</v>
      </c>
      <c r="F17" s="53">
        <v>4.7699999999999996</v>
      </c>
      <c r="G17" s="53">
        <v>9.3000000000000007</v>
      </c>
      <c r="H17" s="53">
        <v>4.74</v>
      </c>
      <c r="I17" s="53">
        <v>6.54</v>
      </c>
      <c r="J17" s="53">
        <v>2.29</v>
      </c>
      <c r="K17" s="53">
        <v>113.7</v>
      </c>
      <c r="L17" s="53">
        <v>27.37</v>
      </c>
      <c r="M17" s="53">
        <v>100.52</v>
      </c>
      <c r="N17" s="53">
        <v>298.3</v>
      </c>
      <c r="O17" s="53">
        <v>0</v>
      </c>
      <c r="P17" s="53">
        <v>0.28000000000000003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93</v>
      </c>
      <c r="B18" s="53">
        <v>8.3800000000000008</v>
      </c>
      <c r="C18" s="53">
        <v>3.99</v>
      </c>
      <c r="D18" s="53">
        <v>12.58</v>
      </c>
      <c r="E18" s="53">
        <v>4.6900000000000004</v>
      </c>
      <c r="F18" s="53">
        <v>4.3899999999999997</v>
      </c>
      <c r="G18" s="53">
        <v>12.43</v>
      </c>
      <c r="H18" s="53">
        <v>3.33</v>
      </c>
      <c r="I18" s="53">
        <v>6.65</v>
      </c>
      <c r="J18" s="53">
        <v>2.14</v>
      </c>
      <c r="K18" s="53">
        <v>115.5</v>
      </c>
      <c r="L18" s="53">
        <v>28.34</v>
      </c>
      <c r="M18" s="53">
        <v>95.43</v>
      </c>
      <c r="N18" s="53">
        <v>351.2</v>
      </c>
      <c r="O18" s="53">
        <v>0</v>
      </c>
      <c r="P18" s="53">
        <v>0.28000000000000003</v>
      </c>
      <c r="Q18" s="53">
        <v>9.5399999999999991</v>
      </c>
      <c r="R18" s="43"/>
      <c r="S18" s="43"/>
      <c r="T18" s="43"/>
      <c r="U18" s="43"/>
    </row>
    <row r="19" spans="1:21" s="11" customFormat="1" x14ac:dyDescent="0.25">
      <c r="A19" s="52" t="s">
        <v>94</v>
      </c>
      <c r="B19" s="53">
        <v>8.36</v>
      </c>
      <c r="C19" s="53">
        <v>3.91</v>
      </c>
      <c r="D19" s="53">
        <v>12.52</v>
      </c>
      <c r="E19" s="53">
        <v>4.6500000000000004</v>
      </c>
      <c r="F19" s="53">
        <v>4.46</v>
      </c>
      <c r="G19" s="53">
        <v>12.43</v>
      </c>
      <c r="H19" s="53">
        <v>2.67</v>
      </c>
      <c r="I19" s="53">
        <v>6.61</v>
      </c>
      <c r="J19" s="53">
        <v>2.4300000000000002</v>
      </c>
      <c r="K19" s="53">
        <v>115.49</v>
      </c>
      <c r="L19" s="53">
        <v>29.59</v>
      </c>
      <c r="M19" s="53">
        <v>90.1</v>
      </c>
      <c r="N19" s="53">
        <v>531</v>
      </c>
      <c r="O19" s="53">
        <v>0</v>
      </c>
      <c r="P19" s="53">
        <v>0.28000000000000003</v>
      </c>
      <c r="Q19" s="53">
        <v>9.5500000000000007</v>
      </c>
      <c r="R19" s="43"/>
      <c r="S19" s="43"/>
      <c r="T19" s="43"/>
      <c r="U19" s="43"/>
    </row>
    <row r="20" spans="1:21" s="11" customFormat="1" x14ac:dyDescent="0.25">
      <c r="A20" s="52" t="s">
        <v>95</v>
      </c>
      <c r="B20" s="53">
        <v>7.99</v>
      </c>
      <c r="C20" s="53">
        <v>3.01</v>
      </c>
      <c r="D20" s="53">
        <v>11.76</v>
      </c>
      <c r="E20" s="53">
        <v>4.2699999999999996</v>
      </c>
      <c r="F20" s="53">
        <v>4.83</v>
      </c>
      <c r="G20" s="53">
        <v>10.49</v>
      </c>
      <c r="H20" s="53">
        <v>2.6</v>
      </c>
      <c r="I20" s="53">
        <v>6.4</v>
      </c>
      <c r="J20" s="53">
        <v>1.91</v>
      </c>
      <c r="K20" s="53">
        <v>112.51</v>
      </c>
      <c r="L20" s="53">
        <v>30.53</v>
      </c>
      <c r="M20" s="53">
        <v>83.83</v>
      </c>
      <c r="N20" s="53">
        <v>578.1</v>
      </c>
      <c r="O20" s="53">
        <v>0</v>
      </c>
      <c r="P20" s="53">
        <v>0.26</v>
      </c>
      <c r="Q20" s="53">
        <v>9.57</v>
      </c>
      <c r="R20" s="43"/>
      <c r="S20" s="43"/>
      <c r="T20" s="43"/>
      <c r="U20" s="43"/>
    </row>
    <row r="21" spans="1:21" s="11" customFormat="1" x14ac:dyDescent="0.25">
      <c r="A21" s="52" t="s">
        <v>96</v>
      </c>
      <c r="B21" s="53">
        <v>8</v>
      </c>
      <c r="C21" s="53">
        <v>2.97</v>
      </c>
      <c r="D21" s="53">
        <v>11.74</v>
      </c>
      <c r="E21" s="53">
        <v>4.41</v>
      </c>
      <c r="F21" s="53">
        <v>4.7</v>
      </c>
      <c r="G21" s="53">
        <v>26.89</v>
      </c>
      <c r="H21" s="53">
        <v>2.35</v>
      </c>
      <c r="I21" s="53">
        <v>6.17</v>
      </c>
      <c r="J21" s="53">
        <v>2.06</v>
      </c>
      <c r="K21" s="53">
        <v>112.38</v>
      </c>
      <c r="L21" s="53">
        <v>31.48</v>
      </c>
      <c r="M21" s="53">
        <v>79.760000000000005</v>
      </c>
      <c r="N21" s="53">
        <v>625.70000000000005</v>
      </c>
      <c r="O21" s="53">
        <v>0</v>
      </c>
      <c r="P21" s="53">
        <v>0.25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97</v>
      </c>
      <c r="B22" s="53">
        <v>7.97</v>
      </c>
      <c r="C22" s="53">
        <v>3</v>
      </c>
      <c r="D22" s="53">
        <v>11.73</v>
      </c>
      <c r="E22" s="53">
        <v>4.7</v>
      </c>
      <c r="F22" s="53">
        <v>5.4</v>
      </c>
      <c r="G22" s="53">
        <v>26.89</v>
      </c>
      <c r="H22" s="53">
        <v>1.69</v>
      </c>
      <c r="I22" s="53">
        <v>6.22</v>
      </c>
      <c r="J22" s="53">
        <v>1.96</v>
      </c>
      <c r="K22" s="53">
        <v>115.07</v>
      </c>
      <c r="L22" s="53">
        <v>31.72</v>
      </c>
      <c r="M22" s="53">
        <v>75.739999999999995</v>
      </c>
      <c r="N22" s="53">
        <v>650.6</v>
      </c>
      <c r="O22" s="53">
        <v>0</v>
      </c>
      <c r="P22" s="53">
        <v>0.27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98</v>
      </c>
      <c r="B23" s="53">
        <v>7.99</v>
      </c>
      <c r="C23" s="53">
        <v>3.04</v>
      </c>
      <c r="D23" s="53">
        <v>11.77</v>
      </c>
      <c r="E23" s="53">
        <v>4.24</v>
      </c>
      <c r="F23" s="53">
        <v>4.5199999999999996</v>
      </c>
      <c r="G23" s="53">
        <v>18.010000000000002</v>
      </c>
      <c r="H23" s="53">
        <v>1.25</v>
      </c>
      <c r="I23" s="53">
        <v>5.64</v>
      </c>
      <c r="J23" s="53">
        <v>2.17</v>
      </c>
      <c r="K23" s="53">
        <v>114.41</v>
      </c>
      <c r="L23" s="53">
        <v>31.58</v>
      </c>
      <c r="M23" s="53">
        <v>73.739999999999995</v>
      </c>
      <c r="N23" s="53">
        <v>455.4</v>
      </c>
      <c r="O23" s="53">
        <v>0</v>
      </c>
      <c r="P23" s="53">
        <v>0.28999999999999998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99</v>
      </c>
      <c r="B24" s="53">
        <v>8.01</v>
      </c>
      <c r="C24" s="53">
        <v>3.07</v>
      </c>
      <c r="D24" s="53">
        <v>11.8</v>
      </c>
      <c r="E24" s="53">
        <v>4.49</v>
      </c>
      <c r="F24" s="53">
        <v>4.63</v>
      </c>
      <c r="G24" s="53">
        <v>14.06</v>
      </c>
      <c r="H24" s="53">
        <v>0.95</v>
      </c>
      <c r="I24" s="53">
        <v>5.81</v>
      </c>
      <c r="J24" s="53">
        <v>1.83</v>
      </c>
      <c r="K24" s="53">
        <v>115.45</v>
      </c>
      <c r="L24" s="53">
        <v>30.96</v>
      </c>
      <c r="M24" s="53">
        <v>81.87</v>
      </c>
      <c r="N24" s="53">
        <v>264.39999999999998</v>
      </c>
      <c r="O24" s="53">
        <v>0</v>
      </c>
      <c r="P24" s="53">
        <v>0.28000000000000003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100</v>
      </c>
      <c r="B25" s="53">
        <v>7.98</v>
      </c>
      <c r="C25" s="53">
        <v>3</v>
      </c>
      <c r="D25" s="53">
        <v>11.74</v>
      </c>
      <c r="E25" s="53">
        <v>2.95</v>
      </c>
      <c r="F25" s="53">
        <v>5.3</v>
      </c>
      <c r="G25" s="53">
        <v>10.35</v>
      </c>
      <c r="H25" s="53">
        <v>0.93</v>
      </c>
      <c r="I25" s="53">
        <v>5.79</v>
      </c>
      <c r="J25" s="53">
        <v>1.7</v>
      </c>
      <c r="K25" s="53">
        <v>114.78</v>
      </c>
      <c r="L25" s="53">
        <v>30.36</v>
      </c>
      <c r="M25" s="53">
        <v>83.36</v>
      </c>
      <c r="N25" s="53">
        <v>155.1</v>
      </c>
      <c r="O25" s="53">
        <v>0</v>
      </c>
      <c r="P25" s="53">
        <v>0.26</v>
      </c>
      <c r="Q25" s="53">
        <v>9.6</v>
      </c>
      <c r="R25" s="43"/>
      <c r="S25" s="43"/>
      <c r="T25" s="43"/>
      <c r="U25" s="43"/>
    </row>
    <row r="26" spans="1:21" s="11" customFormat="1" x14ac:dyDescent="0.25">
      <c r="A26" s="52" t="s">
        <v>101</v>
      </c>
      <c r="B26" s="53">
        <v>7.97</v>
      </c>
      <c r="C26" s="53">
        <v>2.97</v>
      </c>
      <c r="D26" s="53">
        <v>11.72</v>
      </c>
      <c r="E26" s="53">
        <v>3.04</v>
      </c>
      <c r="F26" s="53">
        <v>4.1500000000000004</v>
      </c>
      <c r="G26" s="53">
        <v>28.3</v>
      </c>
      <c r="H26" s="53">
        <v>3.34</v>
      </c>
      <c r="I26" s="53">
        <v>5.95</v>
      </c>
      <c r="J26" s="53">
        <v>2</v>
      </c>
      <c r="K26" s="53">
        <v>116.52</v>
      </c>
      <c r="L26" s="53">
        <v>29.83</v>
      </c>
      <c r="M26" s="53">
        <v>86.9</v>
      </c>
      <c r="N26" s="53">
        <v>79</v>
      </c>
      <c r="O26" s="53">
        <v>0</v>
      </c>
      <c r="P26" s="53">
        <v>0.26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102</v>
      </c>
      <c r="B27" s="53">
        <v>8</v>
      </c>
      <c r="C27" s="53">
        <v>3.07</v>
      </c>
      <c r="D27" s="53">
        <v>11.8</v>
      </c>
      <c r="E27" s="53">
        <v>3.2</v>
      </c>
      <c r="F27" s="53">
        <v>3.94</v>
      </c>
      <c r="G27" s="53">
        <v>28.3</v>
      </c>
      <c r="H27" s="53">
        <v>3.34</v>
      </c>
      <c r="I27" s="53">
        <v>5.93</v>
      </c>
      <c r="J27" s="53">
        <v>1.55</v>
      </c>
      <c r="K27" s="53">
        <v>115.52</v>
      </c>
      <c r="L27" s="53">
        <v>29.58</v>
      </c>
      <c r="M27" s="53">
        <v>88.59</v>
      </c>
      <c r="N27" s="53">
        <v>48.2</v>
      </c>
      <c r="O27" s="53">
        <v>0</v>
      </c>
      <c r="P27" s="53">
        <v>0.28000000000000003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103</v>
      </c>
      <c r="B28" s="53">
        <v>7.99</v>
      </c>
      <c r="C28" s="53">
        <v>3.01</v>
      </c>
      <c r="D28" s="53">
        <v>11.75</v>
      </c>
      <c r="E28" s="53">
        <v>4.2300000000000004</v>
      </c>
      <c r="F28" s="53">
        <v>3.57</v>
      </c>
      <c r="G28" s="53">
        <v>21.7</v>
      </c>
      <c r="H28" s="53">
        <v>3.16</v>
      </c>
      <c r="I28" s="53">
        <v>5.96</v>
      </c>
      <c r="J28" s="53">
        <v>1.55</v>
      </c>
      <c r="K28" s="53">
        <v>116.71</v>
      </c>
      <c r="L28" s="53">
        <v>29.39</v>
      </c>
      <c r="M28" s="53">
        <v>89.32</v>
      </c>
      <c r="N28" s="53">
        <v>42.3</v>
      </c>
      <c r="O28" s="53">
        <v>0</v>
      </c>
      <c r="P28" s="53">
        <v>0.28999999999999998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104</v>
      </c>
      <c r="B29" s="53">
        <v>8.01</v>
      </c>
      <c r="C29" s="53">
        <v>3.02</v>
      </c>
      <c r="D29" s="53">
        <v>11.77</v>
      </c>
      <c r="E29" s="53">
        <v>4.4800000000000004</v>
      </c>
      <c r="F29" s="53">
        <v>3.4</v>
      </c>
      <c r="G29" s="53">
        <v>25.12</v>
      </c>
      <c r="H29" s="53">
        <v>3.16</v>
      </c>
      <c r="I29" s="53">
        <v>6.54</v>
      </c>
      <c r="J29" s="53">
        <v>1.74</v>
      </c>
      <c r="K29" s="53">
        <v>117.51</v>
      </c>
      <c r="L29" s="53">
        <v>28.96</v>
      </c>
      <c r="M29" s="53">
        <v>90.47</v>
      </c>
      <c r="N29" s="53">
        <v>41.9</v>
      </c>
      <c r="O29" s="53">
        <v>0</v>
      </c>
      <c r="P29" s="53">
        <v>0.32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105</v>
      </c>
      <c r="B30" s="53">
        <v>8.01</v>
      </c>
      <c r="C30" s="53">
        <v>3.05</v>
      </c>
      <c r="D30" s="53">
        <v>11.79</v>
      </c>
      <c r="E30" s="53">
        <v>4.49</v>
      </c>
      <c r="F30" s="53">
        <v>4.03</v>
      </c>
      <c r="G30" s="53">
        <v>25.12</v>
      </c>
      <c r="H30" s="53">
        <v>4.21</v>
      </c>
      <c r="I30" s="53">
        <v>6.7</v>
      </c>
      <c r="J30" s="53">
        <v>1.52</v>
      </c>
      <c r="K30" s="53">
        <v>120.14</v>
      </c>
      <c r="L30" s="53">
        <v>28.8</v>
      </c>
      <c r="M30" s="53">
        <v>95.05</v>
      </c>
      <c r="N30" s="53">
        <v>41.9</v>
      </c>
      <c r="O30" s="53">
        <v>0</v>
      </c>
      <c r="P30" s="53">
        <v>0.34</v>
      </c>
      <c r="Q30" s="53">
        <v>9.64</v>
      </c>
      <c r="R30" s="43"/>
      <c r="S30" s="43"/>
      <c r="T30" s="43"/>
      <c r="U30" s="43"/>
    </row>
    <row r="31" spans="1:21" s="11" customFormat="1" x14ac:dyDescent="0.25">
      <c r="A31" s="52" t="s">
        <v>106</v>
      </c>
      <c r="B31" s="53">
        <v>7.98</v>
      </c>
      <c r="C31" s="53">
        <v>3.05</v>
      </c>
      <c r="D31" s="53">
        <v>11.76</v>
      </c>
      <c r="E31" s="53">
        <v>4.66</v>
      </c>
      <c r="F31" s="53">
        <v>4.12</v>
      </c>
      <c r="G31" s="53">
        <v>22.15</v>
      </c>
      <c r="H31" s="53">
        <v>4.21</v>
      </c>
      <c r="I31" s="53">
        <v>6.48</v>
      </c>
      <c r="J31" s="53">
        <v>1.78</v>
      </c>
      <c r="K31" s="53">
        <v>117.24</v>
      </c>
      <c r="L31" s="53">
        <v>28.58</v>
      </c>
      <c r="M31" s="53">
        <v>96.55</v>
      </c>
      <c r="N31" s="53">
        <v>41.9</v>
      </c>
      <c r="O31" s="53">
        <v>0</v>
      </c>
      <c r="P31" s="53">
        <v>0.35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107</v>
      </c>
      <c r="B32" s="53">
        <v>8.07</v>
      </c>
      <c r="C32" s="53">
        <v>3.18</v>
      </c>
      <c r="D32" s="53">
        <v>11.91</v>
      </c>
      <c r="E32" s="53">
        <v>4.8600000000000003</v>
      </c>
      <c r="F32" s="53">
        <v>3.99</v>
      </c>
      <c r="G32" s="53">
        <v>22.15</v>
      </c>
      <c r="H32" s="53">
        <v>3.07</v>
      </c>
      <c r="I32" s="53">
        <v>6.77</v>
      </c>
      <c r="J32" s="53">
        <v>1.97</v>
      </c>
      <c r="K32" s="53">
        <v>112.35</v>
      </c>
      <c r="L32" s="53">
        <v>28.14</v>
      </c>
      <c r="M32" s="53">
        <v>101.43</v>
      </c>
      <c r="N32" s="53">
        <v>42</v>
      </c>
      <c r="O32" s="53">
        <v>0</v>
      </c>
      <c r="P32" s="53">
        <v>0.35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7.97</v>
      </c>
      <c r="C34" s="28">
        <f t="shared" si="0"/>
        <v>2.97</v>
      </c>
      <c r="D34" s="28">
        <f t="shared" si="0"/>
        <v>11.72</v>
      </c>
      <c r="E34" s="28">
        <f t="shared" si="0"/>
        <v>2.95</v>
      </c>
      <c r="F34" s="28">
        <f t="shared" si="0"/>
        <v>3.4</v>
      </c>
      <c r="G34" s="28">
        <f t="shared" si="0"/>
        <v>9.3000000000000007</v>
      </c>
      <c r="H34" s="28">
        <f t="shared" si="0"/>
        <v>0.93</v>
      </c>
      <c r="I34" s="28">
        <f t="shared" si="0"/>
        <v>5.59</v>
      </c>
      <c r="J34" s="28">
        <f t="shared" si="0"/>
        <v>0.89</v>
      </c>
      <c r="K34" s="28">
        <f t="shared" si="0"/>
        <v>112.35</v>
      </c>
      <c r="L34" s="28">
        <f t="shared" si="0"/>
        <v>26.17</v>
      </c>
      <c r="M34" s="28">
        <f t="shared" si="0"/>
        <v>73.739999999999995</v>
      </c>
      <c r="N34" s="28">
        <f t="shared" si="0"/>
        <v>41.9</v>
      </c>
      <c r="O34" s="28">
        <f t="shared" si="0"/>
        <v>0</v>
      </c>
      <c r="P34" s="28">
        <f t="shared" si="0"/>
        <v>0.25</v>
      </c>
      <c r="Q34" s="28">
        <f t="shared" si="0"/>
        <v>9.5399999999999991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9.8000000000000007</v>
      </c>
      <c r="C35" s="29">
        <f t="shared" si="1"/>
        <v>5.31</v>
      </c>
      <c r="D35" s="29">
        <f t="shared" si="1"/>
        <v>14.18</v>
      </c>
      <c r="E35" s="29">
        <f t="shared" si="1"/>
        <v>5.59</v>
      </c>
      <c r="F35" s="29">
        <f t="shared" si="1"/>
        <v>5.4</v>
      </c>
      <c r="G35" s="29">
        <f t="shared" si="1"/>
        <v>28.3</v>
      </c>
      <c r="H35" s="29">
        <f t="shared" si="1"/>
        <v>6.06</v>
      </c>
      <c r="I35" s="29">
        <f t="shared" si="1"/>
        <v>6.77</v>
      </c>
      <c r="J35" s="29">
        <f t="shared" si="1"/>
        <v>2.4300000000000002</v>
      </c>
      <c r="K35" s="29">
        <f t="shared" si="1"/>
        <v>120.38</v>
      </c>
      <c r="L35" s="29">
        <f t="shared" si="1"/>
        <v>31.72</v>
      </c>
      <c r="M35" s="29">
        <f t="shared" si="1"/>
        <v>101.53</v>
      </c>
      <c r="N35" s="29">
        <f t="shared" si="1"/>
        <v>650.6</v>
      </c>
      <c r="O35" s="29">
        <f t="shared" si="1"/>
        <v>0</v>
      </c>
      <c r="P35" s="29">
        <f t="shared" si="1"/>
        <v>0.39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8.3566666666666638</v>
      </c>
      <c r="C36" s="28">
        <f t="shared" si="2"/>
        <v>3.7174999999999994</v>
      </c>
      <c r="D36" s="28">
        <f t="shared" si="2"/>
        <v>12.408333333333339</v>
      </c>
      <c r="E36" s="28">
        <f t="shared" si="2"/>
        <v>4.40625</v>
      </c>
      <c r="F36" s="28">
        <f t="shared" si="2"/>
        <v>4.3195833333333331</v>
      </c>
      <c r="G36" s="28">
        <f t="shared" si="2"/>
        <v>17.329583333333328</v>
      </c>
      <c r="H36" s="28">
        <f t="shared" si="2"/>
        <v>3.4579166666666659</v>
      </c>
      <c r="I36" s="28">
        <f t="shared" si="2"/>
        <v>6.1212499999999999</v>
      </c>
      <c r="J36" s="28">
        <f t="shared" si="2"/>
        <v>1.7183333333333335</v>
      </c>
      <c r="K36" s="28">
        <f t="shared" si="2"/>
        <v>116.21958333333333</v>
      </c>
      <c r="L36" s="28">
        <f t="shared" si="2"/>
        <v>28.608750000000004</v>
      </c>
      <c r="M36" s="28">
        <f t="shared" si="2"/>
        <v>92.684166666666655</v>
      </c>
      <c r="N36" s="28">
        <f t="shared" si="2"/>
        <v>198.73749999999995</v>
      </c>
      <c r="O36" s="28">
        <f t="shared" si="2"/>
        <v>0</v>
      </c>
      <c r="P36" s="28">
        <f t="shared" si="2"/>
        <v>0.30041666666666661</v>
      </c>
      <c r="Q36" s="28">
        <f t="shared" si="2"/>
        <v>9.6075000000000017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0.48393915056469183</v>
      </c>
      <c r="C37" s="28">
        <f t="shared" ref="C37:Q37" si="3">STDEV(C9:C32)</f>
        <v>0.81647838705120612</v>
      </c>
      <c r="D37" s="28">
        <f t="shared" si="3"/>
        <v>0.78361851114843684</v>
      </c>
      <c r="E37" s="28">
        <f t="shared" si="3"/>
        <v>0.69520602201324255</v>
      </c>
      <c r="F37" s="28">
        <f t="shared" si="3"/>
        <v>0.51376258403432651</v>
      </c>
      <c r="G37" s="28">
        <f t="shared" si="3"/>
        <v>6.6441680731343702</v>
      </c>
      <c r="H37" s="28">
        <f t="shared" si="3"/>
        <v>1.4668125133347374</v>
      </c>
      <c r="I37" s="28">
        <f t="shared" si="3"/>
        <v>0.3797746757589639</v>
      </c>
      <c r="J37" s="28">
        <f t="shared" si="3"/>
        <v>0.3834927204871913</v>
      </c>
      <c r="K37" s="28">
        <f t="shared" si="3"/>
        <v>2.3635060161560402</v>
      </c>
      <c r="L37" s="28">
        <f t="shared" si="3"/>
        <v>1.9048343817085855</v>
      </c>
      <c r="M37" s="28">
        <f t="shared" si="3"/>
        <v>9.212462691407751</v>
      </c>
      <c r="N37" s="28">
        <f t="shared" si="3"/>
        <v>214.77329971795649</v>
      </c>
      <c r="O37" s="28">
        <f t="shared" si="3"/>
        <v>0</v>
      </c>
      <c r="P37" s="28">
        <f t="shared" si="3"/>
        <v>3.7122496011784724E-2</v>
      </c>
      <c r="Q37" s="28">
        <f t="shared" si="3"/>
        <v>3.0252560078518162E-2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108</v>
      </c>
      <c r="B9" s="53">
        <v>8.02</v>
      </c>
      <c r="C9" s="53">
        <v>3.04</v>
      </c>
      <c r="D9" s="53">
        <v>11.79</v>
      </c>
      <c r="E9" s="53">
        <v>5.05</v>
      </c>
      <c r="F9" s="53">
        <v>3.62</v>
      </c>
      <c r="G9" s="53">
        <v>19.23</v>
      </c>
      <c r="H9" s="53">
        <v>2.57</v>
      </c>
      <c r="I9" s="53">
        <v>6.53</v>
      </c>
      <c r="J9" s="53">
        <v>1.91</v>
      </c>
      <c r="K9" s="53">
        <v>112.93</v>
      </c>
      <c r="L9" s="53">
        <v>27.52</v>
      </c>
      <c r="M9" s="53">
        <v>101.5</v>
      </c>
      <c r="N9" s="53">
        <v>42.3</v>
      </c>
      <c r="O9" s="53">
        <v>0</v>
      </c>
      <c r="P9" s="53">
        <v>0.32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109</v>
      </c>
      <c r="B10" s="53">
        <v>8.01</v>
      </c>
      <c r="C10" s="53">
        <v>2.97</v>
      </c>
      <c r="D10" s="53">
        <v>11.74</v>
      </c>
      <c r="E10" s="53">
        <v>4.91</v>
      </c>
      <c r="F10" s="53">
        <v>4.13</v>
      </c>
      <c r="G10" s="53">
        <v>18.38</v>
      </c>
      <c r="H10" s="53">
        <v>2.82</v>
      </c>
      <c r="I10" s="53">
        <v>6.9</v>
      </c>
      <c r="J10" s="53">
        <v>1.26</v>
      </c>
      <c r="K10" s="53">
        <v>110.82</v>
      </c>
      <c r="L10" s="53">
        <v>27.1</v>
      </c>
      <c r="M10" s="53">
        <v>101.5</v>
      </c>
      <c r="N10" s="53">
        <v>42</v>
      </c>
      <c r="O10" s="53">
        <v>0</v>
      </c>
      <c r="P10" s="53">
        <v>0.3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110</v>
      </c>
      <c r="B11" s="53">
        <v>7.98</v>
      </c>
      <c r="C11" s="53">
        <v>3.02</v>
      </c>
      <c r="D11" s="53">
        <v>11.75</v>
      </c>
      <c r="E11" s="53">
        <v>4.8099999999999996</v>
      </c>
      <c r="F11" s="53">
        <v>4.18</v>
      </c>
      <c r="G11" s="53">
        <v>14.76</v>
      </c>
      <c r="H11" s="53">
        <v>2.82</v>
      </c>
      <c r="I11" s="53">
        <v>6.57</v>
      </c>
      <c r="J11" s="53">
        <v>0.57999999999999996</v>
      </c>
      <c r="K11" s="53">
        <v>142.54</v>
      </c>
      <c r="L11" s="53">
        <v>26.67</v>
      </c>
      <c r="M11" s="53">
        <v>101.53</v>
      </c>
      <c r="N11" s="53">
        <v>42</v>
      </c>
      <c r="O11" s="53">
        <v>0</v>
      </c>
      <c r="P11" s="53">
        <v>0.28999999999999998</v>
      </c>
      <c r="Q11" s="53">
        <v>9.57</v>
      </c>
      <c r="R11" s="43"/>
      <c r="S11" s="43"/>
      <c r="T11" s="43"/>
      <c r="U11" s="43"/>
    </row>
    <row r="12" spans="1:21" s="11" customFormat="1" x14ac:dyDescent="0.25">
      <c r="A12" s="52" t="s">
        <v>111</v>
      </c>
      <c r="B12" s="53">
        <v>8</v>
      </c>
      <c r="C12" s="53">
        <v>3.02</v>
      </c>
      <c r="D12" s="53">
        <v>11.77</v>
      </c>
      <c r="E12" s="53">
        <v>4.99</v>
      </c>
      <c r="F12" s="53">
        <v>3.62</v>
      </c>
      <c r="G12" s="53">
        <v>11.43</v>
      </c>
      <c r="H12" s="53">
        <v>2.1800000000000002</v>
      </c>
      <c r="I12" s="53">
        <v>5.45</v>
      </c>
      <c r="J12" s="53">
        <v>0.47</v>
      </c>
      <c r="K12" s="53">
        <v>152.77000000000001</v>
      </c>
      <c r="L12" s="53">
        <v>26.46</v>
      </c>
      <c r="M12" s="53">
        <v>101.53</v>
      </c>
      <c r="N12" s="53">
        <v>42.1</v>
      </c>
      <c r="O12" s="53">
        <v>0</v>
      </c>
      <c r="P12" s="53">
        <v>0.28000000000000003</v>
      </c>
      <c r="Q12" s="53">
        <v>9.56</v>
      </c>
      <c r="R12" s="43"/>
      <c r="S12" s="43"/>
      <c r="T12" s="43"/>
      <c r="U12" s="43"/>
    </row>
    <row r="13" spans="1:21" s="11" customFormat="1" x14ac:dyDescent="0.25">
      <c r="A13" s="52" t="s">
        <v>112</v>
      </c>
      <c r="B13" s="53">
        <v>7.99</v>
      </c>
      <c r="C13" s="53">
        <v>2.98</v>
      </c>
      <c r="D13" s="53">
        <v>11.74</v>
      </c>
      <c r="E13" s="53">
        <v>4.1399999999999997</v>
      </c>
      <c r="F13" s="53">
        <v>3.58</v>
      </c>
      <c r="G13" s="53">
        <v>11.07</v>
      </c>
      <c r="H13" s="53">
        <v>2.52</v>
      </c>
      <c r="I13" s="53">
        <v>4.34</v>
      </c>
      <c r="J13" s="53">
        <v>0.32</v>
      </c>
      <c r="K13" s="53">
        <v>315.57</v>
      </c>
      <c r="L13" s="53">
        <v>26</v>
      </c>
      <c r="M13" s="53">
        <v>101.53</v>
      </c>
      <c r="N13" s="53">
        <v>42</v>
      </c>
      <c r="O13" s="53">
        <v>0</v>
      </c>
      <c r="P13" s="53">
        <v>0.27</v>
      </c>
      <c r="Q13" s="53">
        <v>9.59</v>
      </c>
      <c r="R13" s="43"/>
      <c r="S13" s="43"/>
      <c r="T13" s="43"/>
      <c r="U13" s="43"/>
    </row>
    <row r="14" spans="1:21" s="11" customFormat="1" x14ac:dyDescent="0.25">
      <c r="A14" s="52" t="s">
        <v>113</v>
      </c>
      <c r="B14" s="53">
        <v>7.98</v>
      </c>
      <c r="C14" s="53">
        <v>2.98</v>
      </c>
      <c r="D14" s="53">
        <v>11.73</v>
      </c>
      <c r="E14" s="53">
        <v>4.1900000000000004</v>
      </c>
      <c r="F14" s="53">
        <v>3.96</v>
      </c>
      <c r="G14" s="53">
        <v>7.95</v>
      </c>
      <c r="H14" s="53">
        <v>2.66</v>
      </c>
      <c r="I14" s="53">
        <v>5.04</v>
      </c>
      <c r="J14" s="53">
        <v>1.07</v>
      </c>
      <c r="K14" s="53">
        <v>117.35</v>
      </c>
      <c r="L14" s="53">
        <v>26.2</v>
      </c>
      <c r="M14" s="53">
        <v>101.54</v>
      </c>
      <c r="N14" s="53">
        <v>47.9</v>
      </c>
      <c r="O14" s="53">
        <v>0</v>
      </c>
      <c r="P14" s="53">
        <v>0.27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114</v>
      </c>
      <c r="B15" s="53">
        <v>7.96</v>
      </c>
      <c r="C15" s="53">
        <v>2.96</v>
      </c>
      <c r="D15" s="53">
        <v>11.7</v>
      </c>
      <c r="E15" s="53">
        <v>4.28</v>
      </c>
      <c r="F15" s="53">
        <v>4.3899999999999997</v>
      </c>
      <c r="G15" s="53">
        <v>11.22</v>
      </c>
      <c r="H15" s="53">
        <v>3.38</v>
      </c>
      <c r="I15" s="53">
        <v>5.98</v>
      </c>
      <c r="J15" s="53">
        <v>1.03</v>
      </c>
      <c r="K15" s="53">
        <v>135.52000000000001</v>
      </c>
      <c r="L15" s="53">
        <v>27.79</v>
      </c>
      <c r="M15" s="53">
        <v>101.54</v>
      </c>
      <c r="N15" s="53">
        <v>225.7</v>
      </c>
      <c r="O15" s="53">
        <v>0</v>
      </c>
      <c r="P15" s="53">
        <v>0.28000000000000003</v>
      </c>
      <c r="Q15" s="53">
        <v>9.57</v>
      </c>
      <c r="R15" s="43"/>
      <c r="S15" s="43"/>
      <c r="T15" s="43"/>
      <c r="U15" s="43"/>
    </row>
    <row r="16" spans="1:21" s="11" customFormat="1" x14ac:dyDescent="0.25">
      <c r="A16" s="52" t="s">
        <v>115</v>
      </c>
      <c r="B16" s="53">
        <v>8.0500000000000007</v>
      </c>
      <c r="C16" s="53">
        <v>3.14</v>
      </c>
      <c r="D16" s="53">
        <v>11.87</v>
      </c>
      <c r="E16" s="53">
        <v>5.86</v>
      </c>
      <c r="F16" s="53">
        <v>4.04</v>
      </c>
      <c r="G16" s="53">
        <v>11.63</v>
      </c>
      <c r="H16" s="53">
        <v>3.38</v>
      </c>
      <c r="I16" s="53">
        <v>6.06</v>
      </c>
      <c r="J16" s="53">
        <v>0.92</v>
      </c>
      <c r="K16" s="53">
        <v>153.07</v>
      </c>
      <c r="L16" s="53">
        <v>29.52</v>
      </c>
      <c r="M16" s="53">
        <v>91.7</v>
      </c>
      <c r="N16" s="53">
        <v>407.3</v>
      </c>
      <c r="O16" s="53">
        <v>0</v>
      </c>
      <c r="P16" s="53">
        <v>0.28999999999999998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116</v>
      </c>
      <c r="B17" s="53">
        <v>7.99</v>
      </c>
      <c r="C17" s="53">
        <v>2.99</v>
      </c>
      <c r="D17" s="53">
        <v>11.74</v>
      </c>
      <c r="E17" s="53">
        <v>5.0999999999999996</v>
      </c>
      <c r="F17" s="53">
        <v>3.84</v>
      </c>
      <c r="G17" s="53">
        <v>11.63</v>
      </c>
      <c r="H17" s="53">
        <v>2.99</v>
      </c>
      <c r="I17" s="53">
        <v>5.41</v>
      </c>
      <c r="J17" s="53">
        <v>0.75</v>
      </c>
      <c r="K17" s="53">
        <v>159.02000000000001</v>
      </c>
      <c r="L17" s="53">
        <v>28.52</v>
      </c>
      <c r="M17" s="53">
        <v>89.19</v>
      </c>
      <c r="N17" s="53">
        <v>350.8</v>
      </c>
      <c r="O17" s="53">
        <v>0</v>
      </c>
      <c r="P17" s="53">
        <v>0.28999999999999998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117</v>
      </c>
      <c r="B18" s="53">
        <v>8.01</v>
      </c>
      <c r="C18" s="53">
        <v>3.01</v>
      </c>
      <c r="D18" s="53">
        <v>11.77</v>
      </c>
      <c r="E18" s="53">
        <v>5.28</v>
      </c>
      <c r="F18" s="53">
        <v>3.92</v>
      </c>
      <c r="G18" s="53">
        <v>11.39</v>
      </c>
      <c r="H18" s="53">
        <v>2.33</v>
      </c>
      <c r="I18" s="53">
        <v>5.37</v>
      </c>
      <c r="J18" s="53">
        <v>0.88</v>
      </c>
      <c r="K18" s="53">
        <v>153.81</v>
      </c>
      <c r="L18" s="53">
        <v>28.45</v>
      </c>
      <c r="M18" s="53">
        <v>93.98</v>
      </c>
      <c r="N18" s="53">
        <v>183.3</v>
      </c>
      <c r="O18" s="53">
        <v>0</v>
      </c>
      <c r="P18" s="53">
        <v>0.3</v>
      </c>
      <c r="Q18" s="53">
        <v>9.64</v>
      </c>
      <c r="R18" s="43"/>
      <c r="S18" s="43"/>
      <c r="T18" s="43"/>
      <c r="U18" s="43"/>
    </row>
    <row r="19" spans="1:21" s="11" customFormat="1" x14ac:dyDescent="0.25">
      <c r="A19" s="52" t="s">
        <v>118</v>
      </c>
      <c r="B19" s="53">
        <v>8.01</v>
      </c>
      <c r="C19" s="53">
        <v>3.06</v>
      </c>
      <c r="D19" s="53">
        <v>11.79</v>
      </c>
      <c r="E19" s="53">
        <v>5.38</v>
      </c>
      <c r="F19" s="53">
        <v>3.68</v>
      </c>
      <c r="G19" s="53">
        <v>12.72</v>
      </c>
      <c r="H19" s="53">
        <v>3.45</v>
      </c>
      <c r="I19" s="53">
        <v>5.1100000000000003</v>
      </c>
      <c r="J19" s="53">
        <v>0.73</v>
      </c>
      <c r="K19" s="53">
        <v>149.1</v>
      </c>
      <c r="L19" s="53">
        <v>29.83</v>
      </c>
      <c r="M19" s="53">
        <v>91.11</v>
      </c>
      <c r="N19" s="53">
        <v>459.5</v>
      </c>
      <c r="O19" s="53">
        <v>0</v>
      </c>
      <c r="P19" s="53">
        <v>0.31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119</v>
      </c>
      <c r="B20" s="53">
        <v>8</v>
      </c>
      <c r="C20" s="53">
        <v>3.07</v>
      </c>
      <c r="D20" s="53">
        <v>11.8</v>
      </c>
      <c r="E20" s="53">
        <v>5.22</v>
      </c>
      <c r="F20" s="53">
        <v>4.3099999999999996</v>
      </c>
      <c r="G20" s="53">
        <v>12.72</v>
      </c>
      <c r="H20" s="53">
        <v>3.45</v>
      </c>
      <c r="I20" s="53">
        <v>4.9000000000000004</v>
      </c>
      <c r="J20" s="53">
        <v>1.1299999999999999</v>
      </c>
      <c r="K20" s="53">
        <v>149.15</v>
      </c>
      <c r="L20" s="53">
        <v>30.98</v>
      </c>
      <c r="M20" s="53">
        <v>76.900000000000006</v>
      </c>
      <c r="N20" s="53">
        <v>527.1</v>
      </c>
      <c r="O20" s="53">
        <v>0</v>
      </c>
      <c r="P20" s="53">
        <v>0.31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120</v>
      </c>
      <c r="B21" s="53">
        <v>8</v>
      </c>
      <c r="C21" s="53">
        <v>3.02</v>
      </c>
      <c r="D21" s="53">
        <v>11.76</v>
      </c>
      <c r="E21" s="53">
        <v>3.95</v>
      </c>
      <c r="F21" s="53">
        <v>4.26</v>
      </c>
      <c r="G21" s="53">
        <v>12.79</v>
      </c>
      <c r="H21" s="53">
        <v>4.78</v>
      </c>
      <c r="I21" s="53">
        <v>4.74</v>
      </c>
      <c r="J21" s="53">
        <v>1.02</v>
      </c>
      <c r="K21" s="53">
        <v>117.76</v>
      </c>
      <c r="L21" s="53">
        <v>32.04</v>
      </c>
      <c r="M21" s="53">
        <v>76.540000000000006</v>
      </c>
      <c r="N21" s="53">
        <v>543.79999999999995</v>
      </c>
      <c r="O21" s="53">
        <v>0</v>
      </c>
      <c r="P21" s="53">
        <v>0.31</v>
      </c>
      <c r="Q21" s="53">
        <v>9.58</v>
      </c>
      <c r="R21" s="43"/>
      <c r="S21" s="43"/>
      <c r="T21" s="43"/>
      <c r="U21" s="43"/>
    </row>
    <row r="22" spans="1:21" s="11" customFormat="1" x14ac:dyDescent="0.25">
      <c r="A22" s="52" t="s">
        <v>121</v>
      </c>
      <c r="B22" s="53">
        <v>8.01</v>
      </c>
      <c r="C22" s="53">
        <v>3.05</v>
      </c>
      <c r="D22" s="53">
        <v>11.79</v>
      </c>
      <c r="E22" s="53">
        <v>4.1500000000000004</v>
      </c>
      <c r="F22" s="53">
        <v>4.1399999999999997</v>
      </c>
      <c r="G22" s="53">
        <v>14.88</v>
      </c>
      <c r="H22" s="53">
        <v>4.78</v>
      </c>
      <c r="I22" s="53">
        <v>5.81</v>
      </c>
      <c r="J22" s="53">
        <v>1.1000000000000001</v>
      </c>
      <c r="K22" s="53">
        <v>113.36</v>
      </c>
      <c r="L22" s="53">
        <v>31.33</v>
      </c>
      <c r="M22" s="53">
        <v>76.62</v>
      </c>
      <c r="N22" s="53">
        <v>454.8</v>
      </c>
      <c r="O22" s="53">
        <v>0</v>
      </c>
      <c r="P22" s="53">
        <v>0.32</v>
      </c>
      <c r="Q22" s="53">
        <v>9.58</v>
      </c>
      <c r="R22" s="43"/>
      <c r="S22" s="43"/>
      <c r="T22" s="43"/>
      <c r="U22" s="43"/>
    </row>
    <row r="23" spans="1:21" s="11" customFormat="1" x14ac:dyDescent="0.25">
      <c r="A23" s="52" t="s">
        <v>122</v>
      </c>
      <c r="B23" s="53">
        <v>8</v>
      </c>
      <c r="C23" s="53">
        <v>3.01</v>
      </c>
      <c r="D23" s="53">
        <v>11.76</v>
      </c>
      <c r="E23" s="53">
        <v>4.21</v>
      </c>
      <c r="F23" s="53">
        <v>4.76</v>
      </c>
      <c r="G23" s="53">
        <v>16.170000000000002</v>
      </c>
      <c r="H23" s="53">
        <v>4.0999999999999996</v>
      </c>
      <c r="I23" s="53">
        <v>6.35</v>
      </c>
      <c r="J23" s="53">
        <v>1.1399999999999999</v>
      </c>
      <c r="K23" s="53">
        <v>120.94</v>
      </c>
      <c r="L23" s="53">
        <v>31.16</v>
      </c>
      <c r="M23" s="53">
        <v>74.52</v>
      </c>
      <c r="N23" s="53">
        <v>275.2</v>
      </c>
      <c r="O23" s="53">
        <v>0</v>
      </c>
      <c r="P23" s="53">
        <v>0.32</v>
      </c>
      <c r="Q23" s="53">
        <v>9.59</v>
      </c>
      <c r="R23" s="43"/>
      <c r="S23" s="43"/>
      <c r="T23" s="43"/>
      <c r="U23" s="43"/>
    </row>
    <row r="24" spans="1:21" s="11" customFormat="1" x14ac:dyDescent="0.25">
      <c r="A24" s="52" t="s">
        <v>123</v>
      </c>
      <c r="B24" s="53">
        <v>7.97</v>
      </c>
      <c r="C24" s="53">
        <v>2.97</v>
      </c>
      <c r="D24" s="53">
        <v>11.72</v>
      </c>
      <c r="E24" s="53">
        <v>4.95</v>
      </c>
      <c r="F24" s="53">
        <v>4.4800000000000004</v>
      </c>
      <c r="G24" s="53">
        <v>18.28</v>
      </c>
      <c r="H24" s="53">
        <v>4.68</v>
      </c>
      <c r="I24" s="53">
        <v>6.44</v>
      </c>
      <c r="J24" s="53">
        <v>1.62</v>
      </c>
      <c r="K24" s="53">
        <v>120.07</v>
      </c>
      <c r="L24" s="53">
        <v>31.78</v>
      </c>
      <c r="M24" s="53">
        <v>69.77</v>
      </c>
      <c r="N24" s="53">
        <v>240.7</v>
      </c>
      <c r="O24" s="53">
        <v>0</v>
      </c>
      <c r="P24" s="53">
        <v>0.32</v>
      </c>
      <c r="Q24" s="53">
        <v>9.59</v>
      </c>
      <c r="R24" s="43"/>
      <c r="S24" s="43"/>
      <c r="T24" s="43"/>
      <c r="U24" s="43"/>
    </row>
    <row r="25" spans="1:21" s="11" customFormat="1" x14ac:dyDescent="0.25">
      <c r="A25" s="52" t="s">
        <v>124</v>
      </c>
      <c r="B25" s="53">
        <v>7.98</v>
      </c>
      <c r="C25" s="53">
        <v>3.03</v>
      </c>
      <c r="D25" s="53">
        <v>11.76</v>
      </c>
      <c r="E25" s="53">
        <v>4.62</v>
      </c>
      <c r="F25" s="53">
        <v>4.1100000000000003</v>
      </c>
      <c r="G25" s="53">
        <v>18.28</v>
      </c>
      <c r="H25" s="53">
        <v>4.68</v>
      </c>
      <c r="I25" s="53">
        <v>6.58</v>
      </c>
      <c r="J25" s="53">
        <v>1.19</v>
      </c>
      <c r="K25" s="53">
        <v>122.08</v>
      </c>
      <c r="L25" s="53">
        <v>31.29</v>
      </c>
      <c r="M25" s="53">
        <v>69.62</v>
      </c>
      <c r="N25" s="53">
        <v>99.6</v>
      </c>
      <c r="O25" s="53">
        <v>0</v>
      </c>
      <c r="P25" s="53">
        <v>0.31</v>
      </c>
      <c r="Q25" s="53">
        <v>9.56</v>
      </c>
      <c r="R25" s="43"/>
      <c r="S25" s="43"/>
      <c r="T25" s="43"/>
      <c r="U25" s="43"/>
    </row>
    <row r="26" spans="1:21" s="11" customFormat="1" x14ac:dyDescent="0.25">
      <c r="A26" s="52" t="s">
        <v>125</v>
      </c>
      <c r="B26" s="53">
        <v>8</v>
      </c>
      <c r="C26" s="53">
        <v>3.02</v>
      </c>
      <c r="D26" s="53">
        <v>11.77</v>
      </c>
      <c r="E26" s="53">
        <v>4.6100000000000003</v>
      </c>
      <c r="F26" s="53">
        <v>3.96</v>
      </c>
      <c r="G26" s="53">
        <v>17.12</v>
      </c>
      <c r="H26" s="53">
        <v>4.13</v>
      </c>
      <c r="I26" s="53">
        <v>6.61</v>
      </c>
      <c r="J26" s="53">
        <v>1.1200000000000001</v>
      </c>
      <c r="K26" s="53">
        <v>119.58</v>
      </c>
      <c r="L26" s="53">
        <v>30.94</v>
      </c>
      <c r="M26" s="53">
        <v>78.16</v>
      </c>
      <c r="N26" s="53">
        <v>72.400000000000006</v>
      </c>
      <c r="O26" s="53">
        <v>0</v>
      </c>
      <c r="P26" s="53">
        <v>0.32</v>
      </c>
      <c r="Q26" s="53">
        <v>9.57</v>
      </c>
      <c r="R26" s="43"/>
      <c r="S26" s="43"/>
      <c r="T26" s="43"/>
      <c r="U26" s="43"/>
    </row>
    <row r="27" spans="1:21" s="11" customFormat="1" x14ac:dyDescent="0.25">
      <c r="A27" s="52" t="s">
        <v>126</v>
      </c>
      <c r="B27" s="53">
        <v>7.97</v>
      </c>
      <c r="C27" s="53">
        <v>2.99</v>
      </c>
      <c r="D27" s="53">
        <v>11.73</v>
      </c>
      <c r="E27" s="53">
        <v>4.78</v>
      </c>
      <c r="F27" s="53">
        <v>4.0599999999999996</v>
      </c>
      <c r="G27" s="53">
        <v>18.12</v>
      </c>
      <c r="H27" s="53">
        <v>4.4800000000000004</v>
      </c>
      <c r="I27" s="53">
        <v>6.38</v>
      </c>
      <c r="J27" s="53">
        <v>0.76</v>
      </c>
      <c r="K27" s="53">
        <v>120.86</v>
      </c>
      <c r="L27" s="53">
        <v>30.03</v>
      </c>
      <c r="M27" s="53">
        <v>82.44</v>
      </c>
      <c r="N27" s="53">
        <v>46.1</v>
      </c>
      <c r="O27" s="53">
        <v>0</v>
      </c>
      <c r="P27" s="53">
        <v>0.36</v>
      </c>
      <c r="Q27" s="53">
        <v>9.6</v>
      </c>
      <c r="R27" s="43"/>
      <c r="S27" s="43"/>
      <c r="T27" s="43"/>
      <c r="U27" s="43"/>
    </row>
    <row r="28" spans="1:21" s="11" customFormat="1" x14ac:dyDescent="0.25">
      <c r="A28" s="52" t="s">
        <v>127</v>
      </c>
      <c r="B28" s="53">
        <v>7.96</v>
      </c>
      <c r="C28" s="53">
        <v>3.01</v>
      </c>
      <c r="D28" s="53">
        <v>11.73</v>
      </c>
      <c r="E28" s="53">
        <v>4.8</v>
      </c>
      <c r="F28" s="53">
        <v>4.18</v>
      </c>
      <c r="G28" s="53">
        <v>22.5</v>
      </c>
      <c r="H28" s="53">
        <v>7.02</v>
      </c>
      <c r="I28" s="53">
        <v>5.85</v>
      </c>
      <c r="J28" s="53">
        <v>0.91</v>
      </c>
      <c r="K28" s="53">
        <v>116.49</v>
      </c>
      <c r="L28" s="53">
        <v>29.54</v>
      </c>
      <c r="M28" s="53">
        <v>83.34</v>
      </c>
      <c r="N28" s="53">
        <v>39.4</v>
      </c>
      <c r="O28" s="53">
        <v>0</v>
      </c>
      <c r="P28" s="53">
        <v>0.36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128</v>
      </c>
      <c r="B29" s="53">
        <v>8.07</v>
      </c>
      <c r="C29" s="53">
        <v>3.17</v>
      </c>
      <c r="D29" s="53">
        <v>11.9</v>
      </c>
      <c r="E29" s="53">
        <v>5.55</v>
      </c>
      <c r="F29" s="53">
        <v>3.34</v>
      </c>
      <c r="G29" s="53">
        <v>30.24</v>
      </c>
      <c r="H29" s="53">
        <v>9.4</v>
      </c>
      <c r="I29" s="53">
        <v>5.79</v>
      </c>
      <c r="J29" s="53">
        <v>0.73</v>
      </c>
      <c r="K29" s="53">
        <v>108.58</v>
      </c>
      <c r="L29" s="53">
        <v>29.48</v>
      </c>
      <c r="M29" s="53">
        <v>86.13</v>
      </c>
      <c r="N29" s="53">
        <v>39.5</v>
      </c>
      <c r="O29" s="53">
        <v>0</v>
      </c>
      <c r="P29" s="53">
        <v>0.38</v>
      </c>
      <c r="Q29" s="53">
        <v>9.57</v>
      </c>
      <c r="R29" s="43"/>
      <c r="S29" s="43"/>
      <c r="T29" s="43"/>
      <c r="U29" s="43"/>
    </row>
    <row r="30" spans="1:21" s="11" customFormat="1" x14ac:dyDescent="0.25">
      <c r="A30" s="52" t="s">
        <v>129</v>
      </c>
      <c r="B30" s="53">
        <v>8.02</v>
      </c>
      <c r="C30" s="53">
        <v>3.02</v>
      </c>
      <c r="D30" s="53">
        <v>11.78</v>
      </c>
      <c r="E30" s="53">
        <v>5.97</v>
      </c>
      <c r="F30" s="53">
        <v>3.63</v>
      </c>
      <c r="G30" s="53">
        <v>30.39</v>
      </c>
      <c r="H30" s="53">
        <v>9.4</v>
      </c>
      <c r="I30" s="53">
        <v>6.31</v>
      </c>
      <c r="J30" s="53">
        <v>0.83</v>
      </c>
      <c r="K30" s="53">
        <v>113.78</v>
      </c>
      <c r="L30" s="53">
        <v>29.12</v>
      </c>
      <c r="M30" s="53">
        <v>87.96</v>
      </c>
      <c r="N30" s="53">
        <v>39.4</v>
      </c>
      <c r="O30" s="53">
        <v>0</v>
      </c>
      <c r="P30" s="53">
        <v>0.39</v>
      </c>
      <c r="Q30" s="53">
        <v>9.64</v>
      </c>
      <c r="R30" s="43"/>
      <c r="S30" s="43"/>
      <c r="T30" s="43"/>
      <c r="U30" s="43"/>
    </row>
    <row r="31" spans="1:21" s="11" customFormat="1" x14ac:dyDescent="0.25">
      <c r="A31" s="52" t="s">
        <v>130</v>
      </c>
      <c r="B31" s="53">
        <v>8.01</v>
      </c>
      <c r="C31" s="53">
        <v>3.04</v>
      </c>
      <c r="D31" s="53">
        <v>11.79</v>
      </c>
      <c r="E31" s="53">
        <v>5.58</v>
      </c>
      <c r="F31" s="53">
        <v>3.99</v>
      </c>
      <c r="G31" s="53">
        <v>30.39</v>
      </c>
      <c r="H31" s="53">
        <v>8.9600000000000009</v>
      </c>
      <c r="I31" s="53">
        <v>6.67</v>
      </c>
      <c r="J31" s="53">
        <v>0.76</v>
      </c>
      <c r="K31" s="53">
        <v>109.51</v>
      </c>
      <c r="L31" s="53">
        <v>28.88</v>
      </c>
      <c r="M31" s="53">
        <v>90.48</v>
      </c>
      <c r="N31" s="53">
        <v>39.700000000000003</v>
      </c>
      <c r="O31" s="53">
        <v>0</v>
      </c>
      <c r="P31" s="53">
        <v>0.4</v>
      </c>
      <c r="Q31" s="53">
        <v>9.68</v>
      </c>
      <c r="R31" s="43"/>
      <c r="S31" s="43"/>
      <c r="T31" s="43"/>
      <c r="U31" s="43"/>
    </row>
    <row r="32" spans="1:21" s="11" customFormat="1" x14ac:dyDescent="0.25">
      <c r="A32" s="52" t="s">
        <v>131</v>
      </c>
      <c r="B32" s="53">
        <v>7.99</v>
      </c>
      <c r="C32" s="53">
        <v>3.01</v>
      </c>
      <c r="D32" s="53">
        <v>11.75</v>
      </c>
      <c r="E32" s="53">
        <v>5.77</v>
      </c>
      <c r="F32" s="53">
        <v>4.17</v>
      </c>
      <c r="G32" s="53">
        <v>33.06</v>
      </c>
      <c r="H32" s="53">
        <v>12.05</v>
      </c>
      <c r="I32" s="53">
        <v>6.53</v>
      </c>
      <c r="J32" s="53">
        <v>0.42</v>
      </c>
      <c r="K32" s="53">
        <v>264.23</v>
      </c>
      <c r="L32" s="53">
        <v>28.37</v>
      </c>
      <c r="M32" s="53">
        <v>96.29</v>
      </c>
      <c r="N32" s="53">
        <v>39.799999999999997</v>
      </c>
      <c r="O32" s="53">
        <v>0</v>
      </c>
      <c r="P32" s="53">
        <v>0.41</v>
      </c>
      <c r="Q32" s="53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7.96</v>
      </c>
      <c r="C34" s="28">
        <f t="shared" si="0"/>
        <v>2.96</v>
      </c>
      <c r="D34" s="28">
        <f t="shared" si="0"/>
        <v>11.7</v>
      </c>
      <c r="E34" s="28">
        <f t="shared" si="0"/>
        <v>3.95</v>
      </c>
      <c r="F34" s="28">
        <f t="shared" si="0"/>
        <v>3.34</v>
      </c>
      <c r="G34" s="28">
        <f t="shared" si="0"/>
        <v>7.95</v>
      </c>
      <c r="H34" s="28">
        <f t="shared" si="0"/>
        <v>2.1800000000000002</v>
      </c>
      <c r="I34" s="28">
        <f t="shared" si="0"/>
        <v>4.34</v>
      </c>
      <c r="J34" s="28">
        <f t="shared" si="0"/>
        <v>0.32</v>
      </c>
      <c r="K34" s="28">
        <f t="shared" si="0"/>
        <v>108.58</v>
      </c>
      <c r="L34" s="28">
        <f t="shared" si="0"/>
        <v>26</v>
      </c>
      <c r="M34" s="28">
        <f t="shared" si="0"/>
        <v>69.62</v>
      </c>
      <c r="N34" s="28">
        <f t="shared" si="0"/>
        <v>39.4</v>
      </c>
      <c r="O34" s="28">
        <f t="shared" si="0"/>
        <v>0</v>
      </c>
      <c r="P34" s="28">
        <f t="shared" si="0"/>
        <v>0.27</v>
      </c>
      <c r="Q34" s="28">
        <f t="shared" si="0"/>
        <v>9.56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8.07</v>
      </c>
      <c r="C35" s="29">
        <f t="shared" si="1"/>
        <v>3.17</v>
      </c>
      <c r="D35" s="29">
        <f t="shared" si="1"/>
        <v>11.9</v>
      </c>
      <c r="E35" s="29">
        <f t="shared" si="1"/>
        <v>5.97</v>
      </c>
      <c r="F35" s="29">
        <f t="shared" si="1"/>
        <v>4.76</v>
      </c>
      <c r="G35" s="29">
        <f t="shared" si="1"/>
        <v>33.06</v>
      </c>
      <c r="H35" s="29">
        <f t="shared" si="1"/>
        <v>12.05</v>
      </c>
      <c r="I35" s="29">
        <f t="shared" si="1"/>
        <v>6.9</v>
      </c>
      <c r="J35" s="29">
        <f t="shared" si="1"/>
        <v>1.91</v>
      </c>
      <c r="K35" s="29">
        <f t="shared" si="1"/>
        <v>315.57</v>
      </c>
      <c r="L35" s="29">
        <f t="shared" si="1"/>
        <v>32.04</v>
      </c>
      <c r="M35" s="29">
        <f t="shared" si="1"/>
        <v>101.54</v>
      </c>
      <c r="N35" s="29">
        <f t="shared" si="1"/>
        <v>543.79999999999995</v>
      </c>
      <c r="O35" s="29">
        <f t="shared" si="1"/>
        <v>0</v>
      </c>
      <c r="P35" s="29">
        <f t="shared" si="1"/>
        <v>0.41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7.9991666666666674</v>
      </c>
      <c r="C36" s="28">
        <f t="shared" si="2"/>
        <v>3.0241666666666673</v>
      </c>
      <c r="D36" s="28">
        <f t="shared" si="2"/>
        <v>11.767916666666665</v>
      </c>
      <c r="E36" s="28">
        <f t="shared" si="2"/>
        <v>4.9229166666666666</v>
      </c>
      <c r="F36" s="28">
        <f t="shared" si="2"/>
        <v>4.0145833333333334</v>
      </c>
      <c r="G36" s="28">
        <f t="shared" si="2"/>
        <v>17.347916666666666</v>
      </c>
      <c r="H36" s="28">
        <f t="shared" si="2"/>
        <v>4.7087500000000002</v>
      </c>
      <c r="I36" s="28">
        <f t="shared" si="2"/>
        <v>5.9049999999999985</v>
      </c>
      <c r="J36" s="28">
        <f t="shared" si="2"/>
        <v>0.9437500000000002</v>
      </c>
      <c r="K36" s="28">
        <f t="shared" si="2"/>
        <v>141.62041666666667</v>
      </c>
      <c r="L36" s="28">
        <f t="shared" si="2"/>
        <v>29.125</v>
      </c>
      <c r="M36" s="28">
        <f t="shared" si="2"/>
        <v>88.55916666666667</v>
      </c>
      <c r="N36" s="28">
        <f t="shared" si="2"/>
        <v>180.93333333333331</v>
      </c>
      <c r="O36" s="28">
        <f t="shared" si="2"/>
        <v>0</v>
      </c>
      <c r="P36" s="28">
        <f t="shared" si="2"/>
        <v>0.32125000000000004</v>
      </c>
      <c r="Q36" s="28">
        <f t="shared" si="2"/>
        <v>9.6033333333333317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2.5693285650851137E-2</v>
      </c>
      <c r="C37" s="28">
        <f t="shared" ref="C37:Q37" si="3">STDEV(C9:C32)</f>
        <v>4.951211241062449E-2</v>
      </c>
      <c r="D37" s="28">
        <f t="shared" si="3"/>
        <v>4.4426702376588321E-2</v>
      </c>
      <c r="E37" s="28">
        <f t="shared" si="3"/>
        <v>0.58414917069460603</v>
      </c>
      <c r="F37" s="28">
        <f t="shared" si="3"/>
        <v>0.32581642159306534</v>
      </c>
      <c r="G37" s="28">
        <f t="shared" si="3"/>
        <v>7.1194210677961545</v>
      </c>
      <c r="H37" s="28">
        <f t="shared" si="3"/>
        <v>2.674342361257696</v>
      </c>
      <c r="I37" s="28">
        <f t="shared" si="3"/>
        <v>0.71063963839078592</v>
      </c>
      <c r="J37" s="28">
        <f t="shared" si="3"/>
        <v>0.35781720497191422</v>
      </c>
      <c r="K37" s="28">
        <f t="shared" si="3"/>
        <v>49.166050276779728</v>
      </c>
      <c r="L37" s="28">
        <f t="shared" si="3"/>
        <v>1.8545291210626929</v>
      </c>
      <c r="M37" s="28">
        <f t="shared" si="3"/>
        <v>11.027873742266076</v>
      </c>
      <c r="N37" s="28">
        <f t="shared" si="3"/>
        <v>180.49164900991642</v>
      </c>
      <c r="O37" s="28">
        <f t="shared" si="3"/>
        <v>0</v>
      </c>
      <c r="P37" s="28">
        <f t="shared" si="3"/>
        <v>4.0787093013865357E-2</v>
      </c>
      <c r="Q37" s="28">
        <f t="shared" si="3"/>
        <v>3.5345089649325055E-2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132</v>
      </c>
      <c r="B9" s="53">
        <v>8.07</v>
      </c>
      <c r="C9" s="53">
        <v>3.17</v>
      </c>
      <c r="D9" s="53">
        <v>11.9</v>
      </c>
      <c r="E9" s="53">
        <v>3.78</v>
      </c>
      <c r="F9" s="53">
        <v>3.89</v>
      </c>
      <c r="G9" s="53">
        <v>33.06</v>
      </c>
      <c r="H9" s="53">
        <v>12.05</v>
      </c>
      <c r="I9" s="53">
        <v>5.68</v>
      </c>
      <c r="J9" s="53">
        <v>0.17</v>
      </c>
      <c r="K9" s="53">
        <v>311.81</v>
      </c>
      <c r="L9" s="53">
        <v>27.92</v>
      </c>
      <c r="M9" s="53">
        <v>100</v>
      </c>
      <c r="N9" s="53">
        <v>39.4</v>
      </c>
      <c r="O9" s="53">
        <v>0</v>
      </c>
      <c r="P9" s="53">
        <v>0.4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133</v>
      </c>
      <c r="B10" s="53">
        <v>8.06</v>
      </c>
      <c r="C10" s="53">
        <v>3.08</v>
      </c>
      <c r="D10" s="53">
        <v>11.85</v>
      </c>
      <c r="E10" s="53">
        <v>3.7</v>
      </c>
      <c r="F10" s="53">
        <v>3.39</v>
      </c>
      <c r="G10" s="53">
        <v>28.74</v>
      </c>
      <c r="H10" s="53">
        <v>13.85</v>
      </c>
      <c r="I10" s="53">
        <v>5.47</v>
      </c>
      <c r="J10" s="53">
        <v>0.23</v>
      </c>
      <c r="K10" s="53">
        <v>223.78</v>
      </c>
      <c r="L10" s="53">
        <v>27.83</v>
      </c>
      <c r="M10" s="53">
        <v>99.76</v>
      </c>
      <c r="N10" s="53">
        <v>39.299999999999997</v>
      </c>
      <c r="O10" s="53">
        <v>0</v>
      </c>
      <c r="P10" s="53">
        <v>0.39</v>
      </c>
      <c r="Q10" s="53">
        <v>9.7100000000000009</v>
      </c>
      <c r="R10" s="43"/>
      <c r="S10" s="43"/>
      <c r="T10" s="43"/>
      <c r="U10" s="43"/>
    </row>
    <row r="11" spans="1:21" s="11" customFormat="1" x14ac:dyDescent="0.25">
      <c r="A11" s="52" t="s">
        <v>134</v>
      </c>
      <c r="B11" s="53">
        <v>8.01</v>
      </c>
      <c r="C11" s="53">
        <v>3.03</v>
      </c>
      <c r="D11" s="53">
        <v>11.78</v>
      </c>
      <c r="E11" s="53">
        <v>4.03</v>
      </c>
      <c r="F11" s="53">
        <v>4.58</v>
      </c>
      <c r="G11" s="53">
        <v>33.24</v>
      </c>
      <c r="H11" s="53">
        <v>13.85</v>
      </c>
      <c r="I11" s="53">
        <v>5.65</v>
      </c>
      <c r="J11" s="53">
        <v>0.37</v>
      </c>
      <c r="K11" s="53">
        <v>229.61</v>
      </c>
      <c r="L11" s="53">
        <v>27.38</v>
      </c>
      <c r="M11" s="53">
        <v>101.59</v>
      </c>
      <c r="N11" s="53">
        <v>39.5</v>
      </c>
      <c r="O11" s="53">
        <v>0</v>
      </c>
      <c r="P11" s="53">
        <v>0.38</v>
      </c>
      <c r="Q11" s="53">
        <v>9.7100000000000009</v>
      </c>
      <c r="R11" s="43"/>
      <c r="S11" s="43"/>
      <c r="T11" s="43"/>
      <c r="U11" s="43"/>
    </row>
    <row r="12" spans="1:21" s="11" customFormat="1" x14ac:dyDescent="0.25">
      <c r="A12" s="52" t="s">
        <v>135</v>
      </c>
      <c r="B12" s="53">
        <v>7.96</v>
      </c>
      <c r="C12" s="53">
        <v>3</v>
      </c>
      <c r="D12" s="53">
        <v>11.72</v>
      </c>
      <c r="E12" s="53">
        <v>4.21</v>
      </c>
      <c r="F12" s="53">
        <v>3.98</v>
      </c>
      <c r="G12" s="53">
        <v>33.24</v>
      </c>
      <c r="H12" s="53">
        <v>10.57</v>
      </c>
      <c r="I12" s="53">
        <v>5.6</v>
      </c>
      <c r="J12" s="53">
        <v>0.22</v>
      </c>
      <c r="K12" s="53">
        <v>208.02</v>
      </c>
      <c r="L12" s="53">
        <v>27.12</v>
      </c>
      <c r="M12" s="53">
        <v>101.6</v>
      </c>
      <c r="N12" s="53">
        <v>39.5</v>
      </c>
      <c r="O12" s="53">
        <v>0</v>
      </c>
      <c r="P12" s="53">
        <v>0.37</v>
      </c>
      <c r="Q12" s="53">
        <v>9.67</v>
      </c>
      <c r="R12" s="43"/>
      <c r="S12" s="43"/>
      <c r="T12" s="43"/>
      <c r="U12" s="43"/>
    </row>
    <row r="13" spans="1:21" s="11" customFormat="1" x14ac:dyDescent="0.25">
      <c r="A13" s="52" t="s">
        <v>136</v>
      </c>
      <c r="B13" s="53">
        <v>8.0299999999999994</v>
      </c>
      <c r="C13" s="53">
        <v>3.03</v>
      </c>
      <c r="D13" s="53">
        <v>11.8</v>
      </c>
      <c r="E13" s="53">
        <v>3.99</v>
      </c>
      <c r="F13" s="53">
        <v>3.87</v>
      </c>
      <c r="G13" s="53">
        <v>30.16</v>
      </c>
      <c r="H13" s="53">
        <v>10.57</v>
      </c>
      <c r="I13" s="53">
        <v>5.22</v>
      </c>
      <c r="J13" s="53">
        <v>0.14000000000000001</v>
      </c>
      <c r="K13" s="53">
        <v>320.51</v>
      </c>
      <c r="L13" s="53">
        <v>26.85</v>
      </c>
      <c r="M13" s="53">
        <v>101.63</v>
      </c>
      <c r="N13" s="53">
        <v>39.6</v>
      </c>
      <c r="O13" s="53">
        <v>0</v>
      </c>
      <c r="P13" s="53">
        <v>0.35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137</v>
      </c>
      <c r="B14" s="53">
        <v>8.0299999999999994</v>
      </c>
      <c r="C14" s="53">
        <v>3.04</v>
      </c>
      <c r="D14" s="53">
        <v>11.8</v>
      </c>
      <c r="E14" s="53">
        <v>4.29</v>
      </c>
      <c r="F14" s="53">
        <v>3.57</v>
      </c>
      <c r="G14" s="53">
        <v>30.27</v>
      </c>
      <c r="H14" s="53">
        <v>10.08</v>
      </c>
      <c r="I14" s="53">
        <v>5.08</v>
      </c>
      <c r="J14" s="53">
        <v>0.15</v>
      </c>
      <c r="K14" s="53">
        <v>236.61</v>
      </c>
      <c r="L14" s="53">
        <v>26.26</v>
      </c>
      <c r="M14" s="53">
        <v>101.63</v>
      </c>
      <c r="N14" s="53">
        <v>44.4</v>
      </c>
      <c r="O14" s="53">
        <v>0</v>
      </c>
      <c r="P14" s="53">
        <v>0.35</v>
      </c>
      <c r="Q14" s="53">
        <v>9.73</v>
      </c>
      <c r="R14" s="43"/>
      <c r="S14" s="43"/>
      <c r="T14" s="43"/>
      <c r="U14" s="43"/>
    </row>
    <row r="15" spans="1:21" s="11" customFormat="1" x14ac:dyDescent="0.25">
      <c r="A15" s="52" t="s">
        <v>138</v>
      </c>
      <c r="B15" s="53">
        <v>8.0500000000000007</v>
      </c>
      <c r="C15" s="53">
        <v>3.07</v>
      </c>
      <c r="D15" s="53">
        <v>11.82</v>
      </c>
      <c r="E15" s="53">
        <v>4.43</v>
      </c>
      <c r="F15" s="53">
        <v>3.44</v>
      </c>
      <c r="G15" s="53">
        <v>37.31</v>
      </c>
      <c r="H15" s="53">
        <v>10.08</v>
      </c>
      <c r="I15" s="53">
        <v>5.44</v>
      </c>
      <c r="J15" s="53">
        <v>0.3</v>
      </c>
      <c r="K15" s="53">
        <v>358.64</v>
      </c>
      <c r="L15" s="53">
        <v>27.3</v>
      </c>
      <c r="M15" s="53">
        <v>101.63</v>
      </c>
      <c r="N15" s="53">
        <v>89.3</v>
      </c>
      <c r="O15" s="53">
        <v>0</v>
      </c>
      <c r="P15" s="53">
        <v>0.36</v>
      </c>
      <c r="Q15" s="53">
        <v>9.81</v>
      </c>
      <c r="R15" s="43"/>
      <c r="S15" s="43"/>
      <c r="T15" s="43"/>
      <c r="U15" s="43"/>
    </row>
    <row r="16" spans="1:21" s="11" customFormat="1" x14ac:dyDescent="0.25">
      <c r="A16" s="52" t="s">
        <v>139</v>
      </c>
      <c r="B16" s="53">
        <v>8.1300000000000008</v>
      </c>
      <c r="C16" s="53">
        <v>3.24</v>
      </c>
      <c r="D16" s="53">
        <v>11.99</v>
      </c>
      <c r="E16" s="53">
        <v>6.31</v>
      </c>
      <c r="F16" s="53">
        <v>4.24</v>
      </c>
      <c r="G16" s="53">
        <v>40.909999999999997</v>
      </c>
      <c r="H16" s="53">
        <v>9.9700000000000006</v>
      </c>
      <c r="I16" s="53">
        <v>5.5</v>
      </c>
      <c r="J16" s="53">
        <v>0.42</v>
      </c>
      <c r="K16" s="53">
        <v>354.88</v>
      </c>
      <c r="L16" s="53">
        <v>29.03</v>
      </c>
      <c r="M16" s="53">
        <v>101.6</v>
      </c>
      <c r="N16" s="53">
        <v>154.80000000000001</v>
      </c>
      <c r="O16" s="53">
        <v>0</v>
      </c>
      <c r="P16" s="53">
        <v>0.41</v>
      </c>
      <c r="Q16" s="53">
        <v>9.7799999999999994</v>
      </c>
      <c r="R16" s="43"/>
      <c r="S16" s="43"/>
      <c r="T16" s="43"/>
      <c r="U16" s="43"/>
    </row>
    <row r="17" spans="1:21" s="11" customFormat="1" x14ac:dyDescent="0.25">
      <c r="A17" s="52" t="s">
        <v>140</v>
      </c>
      <c r="B17" s="53">
        <v>8.2100000000000009</v>
      </c>
      <c r="C17" s="53">
        <v>3.36</v>
      </c>
      <c r="D17" s="53">
        <v>12.11</v>
      </c>
      <c r="E17" s="53">
        <v>5.0999999999999996</v>
      </c>
      <c r="F17" s="53">
        <v>4.05</v>
      </c>
      <c r="G17" s="53">
        <v>41.64</v>
      </c>
      <c r="H17" s="53">
        <v>12.25</v>
      </c>
      <c r="I17" s="53">
        <v>4.95</v>
      </c>
      <c r="J17" s="53">
        <v>0.44</v>
      </c>
      <c r="K17" s="53">
        <v>358.33</v>
      </c>
      <c r="L17" s="53">
        <v>30.04</v>
      </c>
      <c r="M17" s="53">
        <v>94.48</v>
      </c>
      <c r="N17" s="53">
        <v>280.39999999999998</v>
      </c>
      <c r="O17" s="53">
        <v>0</v>
      </c>
      <c r="P17" s="53">
        <v>0.46</v>
      </c>
      <c r="Q17" s="53">
        <v>9.8800000000000008</v>
      </c>
      <c r="R17" s="43"/>
      <c r="S17" s="43"/>
      <c r="T17" s="43"/>
      <c r="U17" s="43"/>
    </row>
    <row r="18" spans="1:21" s="11" customFormat="1" x14ac:dyDescent="0.25">
      <c r="A18" s="52" t="s">
        <v>141</v>
      </c>
      <c r="B18" s="53">
        <v>8.16</v>
      </c>
      <c r="C18" s="53">
        <v>3.26</v>
      </c>
      <c r="D18" s="53">
        <v>12.02</v>
      </c>
      <c r="E18" s="53">
        <v>5.14</v>
      </c>
      <c r="F18" s="53">
        <v>3.69</v>
      </c>
      <c r="G18" s="53">
        <v>41.64</v>
      </c>
      <c r="H18" s="53">
        <v>14.51</v>
      </c>
      <c r="I18" s="53">
        <v>5.05</v>
      </c>
      <c r="J18" s="53">
        <v>0.57999999999999996</v>
      </c>
      <c r="K18" s="53">
        <v>347.62</v>
      </c>
      <c r="L18" s="53">
        <v>31.23</v>
      </c>
      <c r="M18" s="53">
        <v>85.97</v>
      </c>
      <c r="N18" s="53">
        <v>387.8</v>
      </c>
      <c r="O18" s="53">
        <v>0</v>
      </c>
      <c r="P18" s="53">
        <v>0.47</v>
      </c>
      <c r="Q18" s="53">
        <v>9.92</v>
      </c>
      <c r="R18" s="43"/>
      <c r="S18" s="43"/>
      <c r="T18" s="43"/>
      <c r="U18" s="43"/>
    </row>
    <row r="19" spans="1:21" s="11" customFormat="1" x14ac:dyDescent="0.25">
      <c r="A19" s="52" t="s">
        <v>142</v>
      </c>
      <c r="B19" s="53">
        <v>8.09</v>
      </c>
      <c r="C19" s="53">
        <v>3.23</v>
      </c>
      <c r="D19" s="53">
        <v>11.9</v>
      </c>
      <c r="E19" s="53">
        <v>5.43</v>
      </c>
      <c r="F19" s="53">
        <v>12.47</v>
      </c>
      <c r="G19" s="53">
        <v>39.72</v>
      </c>
      <c r="H19" s="53">
        <v>14.84</v>
      </c>
      <c r="I19" s="53">
        <v>5.79</v>
      </c>
      <c r="J19" s="53">
        <v>1.56</v>
      </c>
      <c r="K19" s="53">
        <v>350.86</v>
      </c>
      <c r="L19" s="53">
        <v>35.630000000000003</v>
      </c>
      <c r="M19" s="53">
        <v>79.06</v>
      </c>
      <c r="N19" s="53">
        <v>657.8</v>
      </c>
      <c r="O19" s="53">
        <v>0</v>
      </c>
      <c r="P19" s="53">
        <v>0.73</v>
      </c>
      <c r="Q19" s="53">
        <v>10.15</v>
      </c>
      <c r="R19" s="43"/>
      <c r="S19" s="43"/>
      <c r="T19" s="43"/>
      <c r="U19" s="43"/>
    </row>
    <row r="20" spans="1:21" s="11" customFormat="1" x14ac:dyDescent="0.25">
      <c r="A20" s="52" t="s">
        <v>143</v>
      </c>
      <c r="B20" s="53">
        <v>8.27</v>
      </c>
      <c r="C20" s="53">
        <v>3.42</v>
      </c>
      <c r="D20" s="53">
        <v>12.19</v>
      </c>
      <c r="E20" s="18" t="s">
        <v>12</v>
      </c>
      <c r="F20" s="53">
        <v>28.42</v>
      </c>
      <c r="G20" s="54" t="s">
        <v>12</v>
      </c>
      <c r="H20" s="54" t="s">
        <v>12</v>
      </c>
      <c r="I20" s="53">
        <v>4.8499999999999996</v>
      </c>
      <c r="J20" s="53">
        <v>1.03</v>
      </c>
      <c r="K20" s="53">
        <v>338.56</v>
      </c>
      <c r="L20" s="53">
        <v>36.97</v>
      </c>
      <c r="M20" s="53">
        <v>60.93</v>
      </c>
      <c r="N20" s="53">
        <v>702.7</v>
      </c>
      <c r="O20" s="53">
        <v>0</v>
      </c>
      <c r="P20" s="53">
        <v>0.67</v>
      </c>
      <c r="Q20" s="53">
        <v>9.9700000000000006</v>
      </c>
      <c r="R20" s="43"/>
      <c r="S20" s="43"/>
      <c r="T20" s="43"/>
      <c r="U20" s="43"/>
    </row>
    <row r="21" spans="1:21" s="11" customFormat="1" x14ac:dyDescent="0.25">
      <c r="A21" s="52" t="s">
        <v>144</v>
      </c>
      <c r="B21" s="53">
        <v>9.94</v>
      </c>
      <c r="C21" s="53">
        <v>4.3899999999999997</v>
      </c>
      <c r="D21" s="53">
        <v>14.04</v>
      </c>
      <c r="E21" s="53">
        <v>5.82</v>
      </c>
      <c r="F21" s="53">
        <v>14.64</v>
      </c>
      <c r="G21" s="54" t="s">
        <v>12</v>
      </c>
      <c r="H21" s="54" t="s">
        <v>12</v>
      </c>
      <c r="I21" s="53">
        <v>5.55</v>
      </c>
      <c r="J21" s="53">
        <v>1.71</v>
      </c>
      <c r="K21" s="53">
        <v>342.58</v>
      </c>
      <c r="L21" s="53">
        <v>34.880000000000003</v>
      </c>
      <c r="M21" s="53">
        <v>74.52</v>
      </c>
      <c r="N21" s="53">
        <v>382.1</v>
      </c>
      <c r="O21" s="53">
        <v>0</v>
      </c>
      <c r="P21" s="53">
        <v>0.67</v>
      </c>
      <c r="Q21" s="53">
        <v>9.98</v>
      </c>
      <c r="R21" s="43"/>
      <c r="S21" s="43"/>
      <c r="T21" s="43"/>
      <c r="U21" s="43"/>
    </row>
    <row r="22" spans="1:21" s="11" customFormat="1" x14ac:dyDescent="0.25">
      <c r="A22" s="52" t="s">
        <v>145</v>
      </c>
      <c r="B22" s="53">
        <v>7.94</v>
      </c>
      <c r="C22" s="53">
        <v>3.12</v>
      </c>
      <c r="D22" s="53">
        <v>11.77</v>
      </c>
      <c r="E22" s="53">
        <v>8.57</v>
      </c>
      <c r="F22" s="53">
        <v>13.03</v>
      </c>
      <c r="G22" s="54" t="s">
        <v>12</v>
      </c>
      <c r="H22" s="54" t="s">
        <v>12</v>
      </c>
      <c r="I22" s="53">
        <v>2.99</v>
      </c>
      <c r="J22" s="53">
        <v>1.39</v>
      </c>
      <c r="K22" s="53">
        <v>336.86</v>
      </c>
      <c r="L22" s="53">
        <v>34.03</v>
      </c>
      <c r="M22" s="53">
        <v>81.93</v>
      </c>
      <c r="N22" s="53">
        <v>685.6</v>
      </c>
      <c r="O22" s="53">
        <v>0</v>
      </c>
      <c r="P22" s="53">
        <v>0.71</v>
      </c>
      <c r="Q22" s="53">
        <v>9.64</v>
      </c>
      <c r="R22" s="43"/>
      <c r="S22" s="43"/>
      <c r="T22" s="43"/>
      <c r="U22" s="43"/>
    </row>
    <row r="23" spans="1:21" s="11" customFormat="1" x14ac:dyDescent="0.25">
      <c r="A23" s="52" t="s">
        <v>146</v>
      </c>
      <c r="B23" s="53">
        <v>7.93</v>
      </c>
      <c r="C23" s="53">
        <v>3.14</v>
      </c>
      <c r="D23" s="53">
        <v>11.76</v>
      </c>
      <c r="E23" s="53">
        <v>6.08</v>
      </c>
      <c r="F23" s="53">
        <v>18.309999999999999</v>
      </c>
      <c r="G23" s="54" t="s">
        <v>12</v>
      </c>
      <c r="H23" s="54" t="s">
        <v>12</v>
      </c>
      <c r="I23" s="53">
        <v>2.36</v>
      </c>
      <c r="J23" s="53">
        <v>0.62</v>
      </c>
      <c r="K23" s="53">
        <v>331.6</v>
      </c>
      <c r="L23" s="53">
        <v>34.770000000000003</v>
      </c>
      <c r="M23" s="53">
        <v>85.46</v>
      </c>
      <c r="N23" s="53">
        <v>331.7</v>
      </c>
      <c r="O23" s="53">
        <v>2.8</v>
      </c>
      <c r="P23" s="53">
        <v>0.76</v>
      </c>
      <c r="Q23" s="53">
        <v>9.8699999999999992</v>
      </c>
      <c r="R23" s="43"/>
      <c r="S23" s="43"/>
      <c r="T23" s="43"/>
      <c r="U23" s="43"/>
    </row>
    <row r="24" spans="1:21" s="11" customFormat="1" x14ac:dyDescent="0.25">
      <c r="A24" s="52" t="s">
        <v>147</v>
      </c>
      <c r="B24" s="53">
        <v>7.93</v>
      </c>
      <c r="C24" s="53">
        <v>3.11</v>
      </c>
      <c r="D24" s="53">
        <v>11.75</v>
      </c>
      <c r="E24" s="53">
        <v>5.4</v>
      </c>
      <c r="F24" s="53">
        <v>13.02</v>
      </c>
      <c r="G24" s="53">
        <v>77.19</v>
      </c>
      <c r="H24" s="53">
        <v>0.87</v>
      </c>
      <c r="I24" s="53">
        <v>2.58</v>
      </c>
      <c r="J24" s="53">
        <v>0.74</v>
      </c>
      <c r="K24" s="53">
        <v>339.75</v>
      </c>
      <c r="L24" s="53">
        <v>27.07</v>
      </c>
      <c r="M24" s="53">
        <v>101.53</v>
      </c>
      <c r="N24" s="53">
        <v>108.8</v>
      </c>
      <c r="O24" s="53">
        <v>18.8</v>
      </c>
      <c r="P24" s="53">
        <v>0.51</v>
      </c>
      <c r="Q24" s="53">
        <v>9.7899999999999991</v>
      </c>
      <c r="R24" s="43"/>
      <c r="S24" s="43"/>
      <c r="T24" s="43"/>
      <c r="U24" s="43"/>
    </row>
    <row r="25" spans="1:21" s="11" customFormat="1" x14ac:dyDescent="0.25">
      <c r="A25" s="52" t="s">
        <v>148</v>
      </c>
      <c r="B25" s="53">
        <v>8.02</v>
      </c>
      <c r="C25" s="53">
        <v>3.12</v>
      </c>
      <c r="D25" s="53">
        <v>11.84</v>
      </c>
      <c r="E25" s="53">
        <v>4.55</v>
      </c>
      <c r="F25" s="53">
        <v>4.37</v>
      </c>
      <c r="G25" s="53">
        <v>54.54</v>
      </c>
      <c r="H25" s="53">
        <v>12.8</v>
      </c>
      <c r="I25" s="53">
        <v>1.79</v>
      </c>
      <c r="J25" s="53">
        <v>0.28999999999999998</v>
      </c>
      <c r="K25" s="53">
        <v>342.3</v>
      </c>
      <c r="L25" s="53">
        <v>26.95</v>
      </c>
      <c r="M25" s="53">
        <v>101.52</v>
      </c>
      <c r="N25" s="53">
        <v>120.4</v>
      </c>
      <c r="O25" s="53">
        <v>0</v>
      </c>
      <c r="P25" s="53">
        <v>1.05</v>
      </c>
      <c r="Q25" s="53">
        <v>9.9</v>
      </c>
      <c r="R25" s="43"/>
      <c r="S25" s="43"/>
      <c r="T25" s="43"/>
      <c r="U25" s="43"/>
    </row>
    <row r="26" spans="1:21" s="11" customFormat="1" x14ac:dyDescent="0.25">
      <c r="A26" s="52" t="s">
        <v>149</v>
      </c>
      <c r="B26" s="53">
        <v>8.11</v>
      </c>
      <c r="C26" s="53">
        <v>3.33</v>
      </c>
      <c r="D26" s="53">
        <v>12.01</v>
      </c>
      <c r="E26" s="53">
        <v>4.5</v>
      </c>
      <c r="F26" s="53">
        <v>3.38</v>
      </c>
      <c r="G26" s="53">
        <v>48.88</v>
      </c>
      <c r="H26" s="53">
        <v>48.19</v>
      </c>
      <c r="I26" s="53">
        <v>3.64</v>
      </c>
      <c r="J26" s="53">
        <v>0.62</v>
      </c>
      <c r="K26" s="53">
        <v>284.27999999999997</v>
      </c>
      <c r="L26" s="53">
        <v>27.21</v>
      </c>
      <c r="M26" s="53">
        <v>101.55</v>
      </c>
      <c r="N26" s="53">
        <v>106</v>
      </c>
      <c r="O26" s="53">
        <v>0</v>
      </c>
      <c r="P26" s="53">
        <v>1.08</v>
      </c>
      <c r="Q26" s="53">
        <v>10.3</v>
      </c>
      <c r="R26" s="43"/>
      <c r="S26" s="43"/>
      <c r="T26" s="43"/>
      <c r="U26" s="43"/>
    </row>
    <row r="27" spans="1:21" s="11" customFormat="1" x14ac:dyDescent="0.25">
      <c r="A27" s="52" t="s">
        <v>150</v>
      </c>
      <c r="B27" s="53">
        <v>8.11</v>
      </c>
      <c r="C27" s="53">
        <v>3.19</v>
      </c>
      <c r="D27" s="53">
        <v>11.94</v>
      </c>
      <c r="E27" s="53">
        <v>4.55</v>
      </c>
      <c r="F27" s="53">
        <v>3.45</v>
      </c>
      <c r="G27" s="53">
        <v>42.61</v>
      </c>
      <c r="H27" s="53">
        <v>20.010000000000002</v>
      </c>
      <c r="I27" s="53">
        <v>5.3</v>
      </c>
      <c r="J27" s="53">
        <v>0.53</v>
      </c>
      <c r="K27" s="53">
        <v>181.84</v>
      </c>
      <c r="L27" s="53">
        <v>27.51</v>
      </c>
      <c r="M27" s="53">
        <v>101.52</v>
      </c>
      <c r="N27" s="53">
        <v>60.9</v>
      </c>
      <c r="O27" s="53">
        <v>0</v>
      </c>
      <c r="P27" s="53">
        <v>1.05</v>
      </c>
      <c r="Q27" s="53">
        <v>10.38</v>
      </c>
      <c r="R27" s="43"/>
      <c r="S27" s="43"/>
      <c r="T27" s="43"/>
      <c r="U27" s="43"/>
    </row>
    <row r="28" spans="1:21" s="11" customFormat="1" x14ac:dyDescent="0.25">
      <c r="A28" s="52" t="s">
        <v>151</v>
      </c>
      <c r="B28" s="53">
        <v>8.06</v>
      </c>
      <c r="C28" s="53">
        <v>3.18</v>
      </c>
      <c r="D28" s="53">
        <v>11.9</v>
      </c>
      <c r="E28" s="53">
        <v>4.8</v>
      </c>
      <c r="F28" s="53">
        <v>4.32</v>
      </c>
      <c r="G28" s="53">
        <v>52.87</v>
      </c>
      <c r="H28" s="53">
        <v>25.05</v>
      </c>
      <c r="I28" s="53">
        <v>5.88</v>
      </c>
      <c r="J28" s="53">
        <v>0.9</v>
      </c>
      <c r="K28" s="53">
        <v>163.09</v>
      </c>
      <c r="L28" s="53">
        <v>26.98</v>
      </c>
      <c r="M28" s="53">
        <v>101.5</v>
      </c>
      <c r="N28" s="53">
        <v>39.6</v>
      </c>
      <c r="O28" s="53">
        <v>0</v>
      </c>
      <c r="P28" s="53">
        <v>0.83</v>
      </c>
      <c r="Q28" s="53">
        <v>10.35</v>
      </c>
      <c r="R28" s="43"/>
      <c r="S28" s="43"/>
      <c r="T28" s="43"/>
      <c r="U28" s="43"/>
    </row>
    <row r="29" spans="1:21" s="11" customFormat="1" x14ac:dyDescent="0.25">
      <c r="A29" s="52" t="s">
        <v>152</v>
      </c>
      <c r="B29" s="53">
        <v>8.0299999999999994</v>
      </c>
      <c r="C29" s="53">
        <v>3.1</v>
      </c>
      <c r="D29" s="53">
        <v>11.84</v>
      </c>
      <c r="E29" s="53">
        <v>4.3899999999999997</v>
      </c>
      <c r="F29" s="53">
        <v>3.96</v>
      </c>
      <c r="G29" s="53">
        <v>44.3</v>
      </c>
      <c r="H29" s="53">
        <v>6.31</v>
      </c>
      <c r="I29" s="53">
        <v>5.52</v>
      </c>
      <c r="J29" s="53">
        <v>0.1</v>
      </c>
      <c r="K29" s="53">
        <v>338.26</v>
      </c>
      <c r="L29" s="53">
        <v>26.45</v>
      </c>
      <c r="M29" s="53">
        <v>101.53</v>
      </c>
      <c r="N29" s="53">
        <v>39.6</v>
      </c>
      <c r="O29" s="53">
        <v>0</v>
      </c>
      <c r="P29" s="53">
        <v>0.75</v>
      </c>
      <c r="Q29" s="53">
        <v>10.08</v>
      </c>
      <c r="R29" s="43"/>
      <c r="S29" s="43"/>
      <c r="T29" s="43"/>
      <c r="U29" s="43"/>
    </row>
    <row r="30" spans="1:21" s="11" customFormat="1" x14ac:dyDescent="0.25">
      <c r="A30" s="52" t="s">
        <v>153</v>
      </c>
      <c r="B30" s="53">
        <v>8.0299999999999994</v>
      </c>
      <c r="C30" s="53">
        <v>3.08</v>
      </c>
      <c r="D30" s="53">
        <v>11.82</v>
      </c>
      <c r="E30" s="53">
        <v>4.3</v>
      </c>
      <c r="F30" s="53">
        <v>3.68</v>
      </c>
      <c r="G30" s="53">
        <v>34.94</v>
      </c>
      <c r="H30" s="53">
        <v>16.86</v>
      </c>
      <c r="I30" s="53">
        <v>4.9000000000000004</v>
      </c>
      <c r="J30" s="53">
        <v>7.0000000000000007E-2</v>
      </c>
      <c r="K30" s="53">
        <v>185.53</v>
      </c>
      <c r="L30" s="53">
        <v>26.4</v>
      </c>
      <c r="M30" s="53">
        <v>101.54</v>
      </c>
      <c r="N30" s="53">
        <v>39.5</v>
      </c>
      <c r="O30" s="53">
        <v>0</v>
      </c>
      <c r="P30" s="53">
        <v>0.72</v>
      </c>
      <c r="Q30" s="53">
        <v>10.11</v>
      </c>
      <c r="R30" s="43"/>
      <c r="S30" s="43"/>
      <c r="T30" s="43"/>
      <c r="U30" s="43"/>
    </row>
    <row r="31" spans="1:21" s="11" customFormat="1" x14ac:dyDescent="0.25">
      <c r="A31" s="52" t="s">
        <v>154</v>
      </c>
      <c r="B31" s="53">
        <v>8.0399999999999991</v>
      </c>
      <c r="C31" s="53">
        <v>3.04</v>
      </c>
      <c r="D31" s="53">
        <v>11.81</v>
      </c>
      <c r="E31" s="53">
        <v>4.2699999999999996</v>
      </c>
      <c r="F31" s="53">
        <v>3.64</v>
      </c>
      <c r="G31" s="53">
        <v>29.86</v>
      </c>
      <c r="H31" s="53">
        <v>24.46</v>
      </c>
      <c r="I31" s="53">
        <v>5.14</v>
      </c>
      <c r="J31" s="53">
        <v>0.16</v>
      </c>
      <c r="K31" s="53">
        <v>252.14</v>
      </c>
      <c r="L31" s="53">
        <v>26.59</v>
      </c>
      <c r="M31" s="53">
        <v>101.55</v>
      </c>
      <c r="N31" s="53">
        <v>39.4</v>
      </c>
      <c r="O31" s="53">
        <v>0</v>
      </c>
      <c r="P31" s="53">
        <v>0.69</v>
      </c>
      <c r="Q31" s="53">
        <v>10.14</v>
      </c>
      <c r="R31" s="43"/>
      <c r="S31" s="43"/>
      <c r="T31" s="43"/>
      <c r="U31" s="43"/>
    </row>
    <row r="32" spans="1:21" s="11" customFormat="1" x14ac:dyDescent="0.25">
      <c r="A32" s="52" t="s">
        <v>155</v>
      </c>
      <c r="B32" s="53">
        <v>8.1</v>
      </c>
      <c r="C32" s="53">
        <v>3.17</v>
      </c>
      <c r="D32" s="53">
        <v>11.92</v>
      </c>
      <c r="E32" s="53">
        <v>4.8499999999999996</v>
      </c>
      <c r="F32" s="53">
        <v>5</v>
      </c>
      <c r="G32" s="53">
        <v>28.59</v>
      </c>
      <c r="H32" s="53">
        <v>9.9499999999999993</v>
      </c>
      <c r="I32" s="53">
        <v>5.24</v>
      </c>
      <c r="J32" s="53">
        <v>0.25</v>
      </c>
      <c r="K32" s="53">
        <v>355.74</v>
      </c>
      <c r="L32" s="53">
        <v>26.64</v>
      </c>
      <c r="M32" s="53">
        <v>101.57</v>
      </c>
      <c r="N32" s="53">
        <v>39.299999999999997</v>
      </c>
      <c r="O32" s="53">
        <v>0</v>
      </c>
      <c r="P32" s="53">
        <v>0.63</v>
      </c>
      <c r="Q32" s="53">
        <v>10.08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3</v>
      </c>
      <c r="D34" s="28">
        <f t="shared" si="0"/>
        <v>11.72</v>
      </c>
      <c r="E34" s="28">
        <f t="shared" si="0"/>
        <v>3.7</v>
      </c>
      <c r="F34" s="28">
        <f t="shared" si="0"/>
        <v>3.38</v>
      </c>
      <c r="G34" s="28">
        <f t="shared" si="0"/>
        <v>28.59</v>
      </c>
      <c r="H34" s="28">
        <f t="shared" si="0"/>
        <v>0.87</v>
      </c>
      <c r="I34" s="28">
        <f t="shared" si="0"/>
        <v>1.79</v>
      </c>
      <c r="J34" s="28">
        <f t="shared" si="0"/>
        <v>7.0000000000000007E-2</v>
      </c>
      <c r="K34" s="28">
        <f t="shared" si="0"/>
        <v>163.09</v>
      </c>
      <c r="L34" s="28">
        <f t="shared" si="0"/>
        <v>26.26</v>
      </c>
      <c r="M34" s="28">
        <f t="shared" si="0"/>
        <v>60.93</v>
      </c>
      <c r="N34" s="28">
        <f t="shared" si="0"/>
        <v>39.299999999999997</v>
      </c>
      <c r="O34" s="28">
        <f t="shared" si="0"/>
        <v>0</v>
      </c>
      <c r="P34" s="28">
        <f t="shared" si="0"/>
        <v>0.35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9.94</v>
      </c>
      <c r="C35" s="29">
        <f t="shared" si="1"/>
        <v>4.3899999999999997</v>
      </c>
      <c r="D35" s="29">
        <f t="shared" si="1"/>
        <v>14.04</v>
      </c>
      <c r="E35" s="29">
        <f t="shared" si="1"/>
        <v>8.57</v>
      </c>
      <c r="F35" s="29">
        <f t="shared" si="1"/>
        <v>28.42</v>
      </c>
      <c r="G35" s="29">
        <f t="shared" si="1"/>
        <v>77.19</v>
      </c>
      <c r="H35" s="29">
        <f t="shared" si="1"/>
        <v>48.19</v>
      </c>
      <c r="I35" s="29">
        <f t="shared" si="1"/>
        <v>5.88</v>
      </c>
      <c r="J35" s="29">
        <f t="shared" si="1"/>
        <v>1.71</v>
      </c>
      <c r="K35" s="29">
        <f t="shared" si="1"/>
        <v>358.64</v>
      </c>
      <c r="L35" s="29">
        <f t="shared" si="1"/>
        <v>36.97</v>
      </c>
      <c r="M35" s="29">
        <f t="shared" si="1"/>
        <v>101.63</v>
      </c>
      <c r="N35" s="29">
        <f t="shared" si="1"/>
        <v>702.7</v>
      </c>
      <c r="O35" s="29">
        <f t="shared" si="1"/>
        <v>18.8</v>
      </c>
      <c r="P35" s="29">
        <f t="shared" si="1"/>
        <v>1.08</v>
      </c>
      <c r="Q35" s="29">
        <f t="shared" si="1"/>
        <v>10.38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8.1379166666666674</v>
      </c>
      <c r="C36" s="28">
        <f t="shared" si="2"/>
        <v>3.2041666666666662</v>
      </c>
      <c r="D36" s="28">
        <f t="shared" si="2"/>
        <v>11.969999999999999</v>
      </c>
      <c r="E36" s="28">
        <f t="shared" si="2"/>
        <v>4.8908695652173915</v>
      </c>
      <c r="F36" s="28">
        <f t="shared" si="2"/>
        <v>7.0995833333333325</v>
      </c>
      <c r="G36" s="28">
        <f t="shared" si="2"/>
        <v>40.185500000000005</v>
      </c>
      <c r="H36" s="28">
        <f t="shared" si="2"/>
        <v>14.856</v>
      </c>
      <c r="I36" s="28">
        <f t="shared" si="2"/>
        <v>4.7987499999999992</v>
      </c>
      <c r="J36" s="28">
        <f t="shared" si="2"/>
        <v>0.5412499999999999</v>
      </c>
      <c r="K36" s="28">
        <f t="shared" si="2"/>
        <v>295.55</v>
      </c>
      <c r="L36" s="28">
        <f t="shared" si="2"/>
        <v>29.126666666666665</v>
      </c>
      <c r="M36" s="28">
        <f t="shared" si="2"/>
        <v>95.233333333333348</v>
      </c>
      <c r="N36" s="28">
        <f t="shared" si="2"/>
        <v>187.80833333333331</v>
      </c>
      <c r="O36" s="28">
        <f t="shared" si="2"/>
        <v>0.9</v>
      </c>
      <c r="P36" s="28">
        <f t="shared" si="2"/>
        <v>0.61625000000000008</v>
      </c>
      <c r="Q36" s="28">
        <f t="shared" si="2"/>
        <v>9.9270833333333339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0.3925499598961803</v>
      </c>
      <c r="C37" s="28">
        <f t="shared" ref="C37:Q37" si="3">STDEV(C9:C32)</f>
        <v>0.27537984307318952</v>
      </c>
      <c r="D37" s="28">
        <f t="shared" si="3"/>
        <v>0.45603203548797333</v>
      </c>
      <c r="E37" s="28">
        <f t="shared" si="3"/>
        <v>1.0682479838224419</v>
      </c>
      <c r="F37" s="28">
        <f t="shared" si="3"/>
        <v>6.3312156118069796</v>
      </c>
      <c r="G37" s="28">
        <f t="shared" si="3"/>
        <v>11.683526177801294</v>
      </c>
      <c r="H37" s="28">
        <f t="shared" si="3"/>
        <v>9.618704037884779</v>
      </c>
      <c r="I37" s="28">
        <f t="shared" si="3"/>
        <v>1.182996609572857</v>
      </c>
      <c r="J37" s="28">
        <f t="shared" si="3"/>
        <v>0.46717758005318266</v>
      </c>
      <c r="K37" s="28">
        <f t="shared" si="3"/>
        <v>65.931280429932613</v>
      </c>
      <c r="L37" s="28">
        <f t="shared" si="3"/>
        <v>3.4395571841718811</v>
      </c>
      <c r="M37" s="28">
        <f t="shared" si="3"/>
        <v>11.172541132719815</v>
      </c>
      <c r="N37" s="28">
        <f t="shared" si="3"/>
        <v>221.24280762894017</v>
      </c>
      <c r="O37" s="28">
        <f t="shared" si="3"/>
        <v>3.8552054025242515</v>
      </c>
      <c r="P37" s="28">
        <f t="shared" si="3"/>
        <v>0.23228192203515932</v>
      </c>
      <c r="Q37" s="28">
        <f t="shared" si="3"/>
        <v>0.22834906853641701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156</v>
      </c>
      <c r="B9" s="53">
        <v>8.02</v>
      </c>
      <c r="C9" s="53">
        <v>3.03</v>
      </c>
      <c r="D9" s="53">
        <v>11.79</v>
      </c>
      <c r="E9" s="53">
        <v>3.7</v>
      </c>
      <c r="F9" s="53">
        <v>4.3899999999999997</v>
      </c>
      <c r="G9" s="53">
        <v>24.19</v>
      </c>
      <c r="H9" s="53">
        <v>6.52</v>
      </c>
      <c r="I9" s="53">
        <v>4.8</v>
      </c>
      <c r="J9" s="53">
        <v>0.24</v>
      </c>
      <c r="K9" s="53">
        <v>348.76</v>
      </c>
      <c r="L9" s="53">
        <v>26.23</v>
      </c>
      <c r="M9" s="53">
        <v>101.55</v>
      </c>
      <c r="N9" s="53">
        <v>39.5</v>
      </c>
      <c r="O9" s="53">
        <v>0</v>
      </c>
      <c r="P9" s="53">
        <v>0.55000000000000004</v>
      </c>
      <c r="Q9" s="53">
        <v>9.86</v>
      </c>
      <c r="R9" s="43"/>
      <c r="S9" s="43"/>
      <c r="T9" s="43"/>
      <c r="U9" s="43"/>
    </row>
    <row r="10" spans="1:21" s="11" customFormat="1" x14ac:dyDescent="0.25">
      <c r="A10" s="52" t="s">
        <v>157</v>
      </c>
      <c r="B10" s="53">
        <v>8</v>
      </c>
      <c r="C10" s="53">
        <v>3.06</v>
      </c>
      <c r="D10" s="53">
        <v>11.78</v>
      </c>
      <c r="E10" s="53">
        <v>3.54</v>
      </c>
      <c r="F10" s="53">
        <v>3.67</v>
      </c>
      <c r="G10" s="53">
        <v>20.41</v>
      </c>
      <c r="H10" s="53">
        <v>2.75</v>
      </c>
      <c r="I10" s="53">
        <v>3.7</v>
      </c>
      <c r="J10" s="53">
        <v>0.18</v>
      </c>
      <c r="K10" s="53">
        <v>338.79</v>
      </c>
      <c r="L10" s="53">
        <v>25.84</v>
      </c>
      <c r="M10" s="53">
        <v>101.57</v>
      </c>
      <c r="N10" s="53">
        <v>39.299999999999997</v>
      </c>
      <c r="O10" s="53">
        <v>0</v>
      </c>
      <c r="P10" s="53">
        <v>0.53</v>
      </c>
      <c r="Q10" s="53">
        <v>9.76</v>
      </c>
      <c r="R10" s="43"/>
      <c r="S10" s="43"/>
      <c r="T10" s="43"/>
      <c r="U10" s="43"/>
    </row>
    <row r="11" spans="1:21" s="11" customFormat="1" x14ac:dyDescent="0.25">
      <c r="A11" s="52" t="s">
        <v>158</v>
      </c>
      <c r="B11" s="53">
        <v>8.0299999999999994</v>
      </c>
      <c r="C11" s="53">
        <v>3.07</v>
      </c>
      <c r="D11" s="53">
        <v>11.82</v>
      </c>
      <c r="E11" s="53">
        <v>3.29</v>
      </c>
      <c r="F11" s="53">
        <v>3.61</v>
      </c>
      <c r="G11" s="53">
        <v>21.04</v>
      </c>
      <c r="H11" s="53">
        <v>26.05</v>
      </c>
      <c r="I11" s="53">
        <v>4.3499999999999996</v>
      </c>
      <c r="J11" s="53">
        <v>0.56999999999999995</v>
      </c>
      <c r="K11" s="53">
        <v>156.46</v>
      </c>
      <c r="L11" s="53">
        <v>25.69</v>
      </c>
      <c r="M11" s="53">
        <v>101.55</v>
      </c>
      <c r="N11" s="53">
        <v>39.4</v>
      </c>
      <c r="O11" s="53">
        <v>0</v>
      </c>
      <c r="P11" s="53">
        <v>0.53</v>
      </c>
      <c r="Q11" s="53">
        <v>9.74</v>
      </c>
      <c r="R11" s="43"/>
      <c r="S11" s="43"/>
      <c r="T11" s="43"/>
      <c r="U11" s="43"/>
    </row>
    <row r="12" spans="1:21" s="11" customFormat="1" x14ac:dyDescent="0.25">
      <c r="A12" s="52" t="s">
        <v>159</v>
      </c>
      <c r="B12" s="53">
        <v>8</v>
      </c>
      <c r="C12" s="53">
        <v>2.98</v>
      </c>
      <c r="D12" s="53">
        <v>11.74</v>
      </c>
      <c r="E12" s="53">
        <v>3.66</v>
      </c>
      <c r="F12" s="53">
        <v>3.93</v>
      </c>
      <c r="G12" s="53">
        <v>21.74</v>
      </c>
      <c r="H12" s="53">
        <v>50.45</v>
      </c>
      <c r="I12" s="53">
        <v>4.9400000000000004</v>
      </c>
      <c r="J12" s="53">
        <v>0.69</v>
      </c>
      <c r="K12" s="53">
        <v>154.16999999999999</v>
      </c>
      <c r="L12" s="53">
        <v>25.5</v>
      </c>
      <c r="M12" s="53">
        <v>101.57</v>
      </c>
      <c r="N12" s="53">
        <v>39.200000000000003</v>
      </c>
      <c r="O12" s="53">
        <v>0</v>
      </c>
      <c r="P12" s="53">
        <v>0.51</v>
      </c>
      <c r="Q12" s="53">
        <v>9.73</v>
      </c>
      <c r="R12" s="43"/>
      <c r="S12" s="43"/>
      <c r="T12" s="43"/>
      <c r="U12" s="43"/>
    </row>
    <row r="13" spans="1:21" s="11" customFormat="1" x14ac:dyDescent="0.25">
      <c r="A13" s="52" t="s">
        <v>160</v>
      </c>
      <c r="B13" s="53">
        <v>7.96</v>
      </c>
      <c r="C13" s="53">
        <v>3.01</v>
      </c>
      <c r="D13" s="53">
        <v>11.73</v>
      </c>
      <c r="E13" s="53">
        <v>5.14</v>
      </c>
      <c r="F13" s="53">
        <v>3.89</v>
      </c>
      <c r="G13" s="53">
        <v>19.100000000000001</v>
      </c>
      <c r="H13" s="53">
        <v>13.12</v>
      </c>
      <c r="I13" s="53">
        <v>5.04</v>
      </c>
      <c r="J13" s="53">
        <v>0.38</v>
      </c>
      <c r="K13" s="53">
        <v>332.25</v>
      </c>
      <c r="L13" s="53">
        <v>25.13</v>
      </c>
      <c r="M13" s="53">
        <v>101.6</v>
      </c>
      <c r="N13" s="53">
        <v>39.200000000000003</v>
      </c>
      <c r="O13" s="53">
        <v>0</v>
      </c>
      <c r="P13" s="53">
        <v>0.47</v>
      </c>
      <c r="Q13" s="53">
        <v>9.67</v>
      </c>
      <c r="R13" s="43"/>
      <c r="S13" s="43"/>
      <c r="T13" s="43"/>
      <c r="U13" s="43"/>
    </row>
    <row r="14" spans="1:21" s="11" customFormat="1" x14ac:dyDescent="0.25">
      <c r="A14" s="52" t="s">
        <v>161</v>
      </c>
      <c r="B14" s="53">
        <v>7.97</v>
      </c>
      <c r="C14" s="53">
        <v>2.99</v>
      </c>
      <c r="D14" s="53">
        <v>11.72</v>
      </c>
      <c r="E14" s="53">
        <v>5.07</v>
      </c>
      <c r="F14" s="53">
        <v>3.86</v>
      </c>
      <c r="G14" s="53">
        <v>16.28</v>
      </c>
      <c r="H14" s="53">
        <v>3.67</v>
      </c>
      <c r="I14" s="53">
        <v>4.4400000000000004</v>
      </c>
      <c r="J14" s="53">
        <v>0.13</v>
      </c>
      <c r="K14" s="53">
        <v>350.37</v>
      </c>
      <c r="L14" s="53">
        <v>25.28</v>
      </c>
      <c r="M14" s="53">
        <v>101.6</v>
      </c>
      <c r="N14" s="53">
        <v>41.4</v>
      </c>
      <c r="O14" s="53">
        <v>0</v>
      </c>
      <c r="P14" s="53">
        <v>0.42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162</v>
      </c>
      <c r="B15" s="53">
        <v>8</v>
      </c>
      <c r="C15" s="53">
        <v>2.98</v>
      </c>
      <c r="D15" s="53">
        <v>11.75</v>
      </c>
      <c r="E15" s="53">
        <v>5.13</v>
      </c>
      <c r="F15" s="53">
        <v>3.45</v>
      </c>
      <c r="G15" s="53">
        <v>13.39</v>
      </c>
      <c r="H15" s="53">
        <v>3.14</v>
      </c>
      <c r="I15" s="53">
        <v>3.56</v>
      </c>
      <c r="J15" s="53">
        <v>0.2</v>
      </c>
      <c r="K15" s="53">
        <v>333.95</v>
      </c>
      <c r="L15" s="53">
        <v>26.13</v>
      </c>
      <c r="M15" s="53">
        <v>101.6</v>
      </c>
      <c r="N15" s="53">
        <v>101.3</v>
      </c>
      <c r="O15" s="53">
        <v>0</v>
      </c>
      <c r="P15" s="53">
        <v>0.39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163</v>
      </c>
      <c r="B16" s="53">
        <v>7.99</v>
      </c>
      <c r="C16" s="53">
        <v>3.02</v>
      </c>
      <c r="D16" s="53">
        <v>11.75</v>
      </c>
      <c r="E16" s="53">
        <v>5.15</v>
      </c>
      <c r="F16" s="53">
        <v>4.45</v>
      </c>
      <c r="G16" s="53">
        <v>21.97</v>
      </c>
      <c r="H16" s="53">
        <v>9.91</v>
      </c>
      <c r="I16" s="53">
        <v>3.48</v>
      </c>
      <c r="J16" s="53">
        <v>0.61</v>
      </c>
      <c r="K16" s="53">
        <v>357.57</v>
      </c>
      <c r="L16" s="53">
        <v>30.44</v>
      </c>
      <c r="M16" s="53">
        <v>101.53</v>
      </c>
      <c r="N16" s="53">
        <v>389.3</v>
      </c>
      <c r="O16" s="53">
        <v>0</v>
      </c>
      <c r="P16" s="53">
        <v>0.44</v>
      </c>
      <c r="Q16" s="53">
        <v>9.67</v>
      </c>
      <c r="R16" s="43"/>
      <c r="S16" s="43"/>
      <c r="T16" s="43"/>
      <c r="U16" s="43"/>
    </row>
    <row r="17" spans="1:21" s="11" customFormat="1" x14ac:dyDescent="0.25">
      <c r="A17" s="52" t="s">
        <v>164</v>
      </c>
      <c r="B17" s="53">
        <v>7.96</v>
      </c>
      <c r="C17" s="53">
        <v>2.97</v>
      </c>
      <c r="D17" s="53">
        <v>11.71</v>
      </c>
      <c r="E17" s="53">
        <v>4.2300000000000004</v>
      </c>
      <c r="F17" s="53">
        <v>4.05</v>
      </c>
      <c r="G17" s="53">
        <v>31.68</v>
      </c>
      <c r="H17" s="53">
        <v>15.42</v>
      </c>
      <c r="I17" s="53">
        <v>4.12</v>
      </c>
      <c r="J17" s="53">
        <v>0.52</v>
      </c>
      <c r="K17" s="53">
        <v>350.05</v>
      </c>
      <c r="L17" s="53">
        <v>34.270000000000003</v>
      </c>
      <c r="M17" s="53">
        <v>91.9</v>
      </c>
      <c r="N17" s="53">
        <v>581.4</v>
      </c>
      <c r="O17" s="53">
        <v>0</v>
      </c>
      <c r="P17" s="53">
        <v>0.44</v>
      </c>
      <c r="Q17" s="53">
        <v>9.6999999999999993</v>
      </c>
      <c r="R17" s="43"/>
      <c r="S17" s="43"/>
      <c r="T17" s="43"/>
      <c r="U17" s="43"/>
    </row>
    <row r="18" spans="1:21" s="11" customFormat="1" x14ac:dyDescent="0.25">
      <c r="A18" s="52" t="s">
        <v>165</v>
      </c>
      <c r="B18" s="53">
        <v>8</v>
      </c>
      <c r="C18" s="53">
        <v>3.06</v>
      </c>
      <c r="D18" s="53">
        <v>11.79</v>
      </c>
      <c r="E18" s="53">
        <v>4.3600000000000003</v>
      </c>
      <c r="F18" s="53">
        <v>3.69</v>
      </c>
      <c r="G18" s="53">
        <v>36.590000000000003</v>
      </c>
      <c r="H18" s="53">
        <v>25.82</v>
      </c>
      <c r="I18" s="53">
        <v>4.4400000000000004</v>
      </c>
      <c r="J18" s="53">
        <v>0.44</v>
      </c>
      <c r="K18" s="53">
        <v>348.53</v>
      </c>
      <c r="L18" s="53">
        <v>35.53</v>
      </c>
      <c r="M18" s="53">
        <v>73.87</v>
      </c>
      <c r="N18" s="53">
        <v>615.9</v>
      </c>
      <c r="O18" s="53">
        <v>0</v>
      </c>
      <c r="P18" s="53">
        <v>0.53</v>
      </c>
      <c r="Q18" s="53">
        <v>9.75</v>
      </c>
      <c r="R18" s="43"/>
      <c r="S18" s="43"/>
      <c r="T18" s="43"/>
      <c r="U18" s="43"/>
    </row>
    <row r="19" spans="1:21" s="11" customFormat="1" x14ac:dyDescent="0.25">
      <c r="A19" s="52" t="s">
        <v>166</v>
      </c>
      <c r="B19" s="53">
        <v>8.01</v>
      </c>
      <c r="C19" s="53">
        <v>3.07</v>
      </c>
      <c r="D19" s="53">
        <v>11.8</v>
      </c>
      <c r="E19" s="53">
        <v>4.62</v>
      </c>
      <c r="F19" s="53">
        <v>28.93</v>
      </c>
      <c r="G19" s="53">
        <v>49.36</v>
      </c>
      <c r="H19" s="53">
        <v>36.32</v>
      </c>
      <c r="I19" s="53">
        <v>4.84</v>
      </c>
      <c r="J19" s="53">
        <v>0.47</v>
      </c>
      <c r="K19" s="53">
        <v>350.87</v>
      </c>
      <c r="L19" s="53">
        <v>34.99</v>
      </c>
      <c r="M19" s="53">
        <v>85.4</v>
      </c>
      <c r="N19" s="53">
        <v>508.5</v>
      </c>
      <c r="O19" s="53">
        <v>0</v>
      </c>
      <c r="P19" s="53">
        <v>0.6</v>
      </c>
      <c r="Q19" s="53">
        <v>9.7799999999999994</v>
      </c>
      <c r="R19" s="43"/>
      <c r="S19" s="43"/>
      <c r="T19" s="43"/>
      <c r="U19" s="43"/>
    </row>
    <row r="20" spans="1:21" s="11" customFormat="1" x14ac:dyDescent="0.25">
      <c r="A20" s="52" t="s">
        <v>167</v>
      </c>
      <c r="B20" s="53">
        <v>7.95</v>
      </c>
      <c r="C20" s="53">
        <v>3.04</v>
      </c>
      <c r="D20" s="53">
        <v>11.73</v>
      </c>
      <c r="E20" s="53">
        <v>5.12</v>
      </c>
      <c r="F20" s="53">
        <v>31.76</v>
      </c>
      <c r="G20" s="53">
        <v>59.99</v>
      </c>
      <c r="H20" s="53">
        <v>30.97</v>
      </c>
      <c r="I20" s="53">
        <v>4.9400000000000004</v>
      </c>
      <c r="J20" s="53">
        <v>0.17</v>
      </c>
      <c r="K20" s="53">
        <v>293.87</v>
      </c>
      <c r="L20" s="53">
        <v>31.9</v>
      </c>
      <c r="M20" s="53">
        <v>86.09</v>
      </c>
      <c r="N20" s="53">
        <v>363.4</v>
      </c>
      <c r="O20" s="53">
        <v>0</v>
      </c>
      <c r="P20" s="53">
        <v>0.45</v>
      </c>
      <c r="Q20" s="53">
        <v>9.7200000000000006</v>
      </c>
      <c r="R20" s="43"/>
      <c r="S20" s="43"/>
      <c r="T20" s="43"/>
      <c r="U20" s="43"/>
    </row>
    <row r="21" spans="1:21" s="11" customFormat="1" x14ac:dyDescent="0.25">
      <c r="A21" s="52" t="s">
        <v>168</v>
      </c>
      <c r="B21" s="53">
        <v>7.93</v>
      </c>
      <c r="C21" s="53">
        <v>3</v>
      </c>
      <c r="D21" s="53">
        <v>11.7</v>
      </c>
      <c r="E21" s="53">
        <v>3.55</v>
      </c>
      <c r="F21" s="53">
        <v>12.63</v>
      </c>
      <c r="G21" s="53">
        <v>44.31</v>
      </c>
      <c r="H21" s="53">
        <v>30.42</v>
      </c>
      <c r="I21" s="53">
        <v>2.42</v>
      </c>
      <c r="J21" s="53">
        <v>1.78</v>
      </c>
      <c r="K21" s="53">
        <v>154.77000000000001</v>
      </c>
      <c r="L21" s="53">
        <v>30.08</v>
      </c>
      <c r="M21" s="53">
        <v>101.34</v>
      </c>
      <c r="N21" s="53">
        <v>114.2</v>
      </c>
      <c r="O21" s="53">
        <v>16.8</v>
      </c>
      <c r="P21" s="53">
        <v>0.42</v>
      </c>
      <c r="Q21" s="53">
        <v>9.6</v>
      </c>
      <c r="R21" s="43"/>
      <c r="S21" s="43"/>
      <c r="T21" s="43"/>
      <c r="U21" s="43"/>
    </row>
    <row r="22" spans="1:21" s="11" customFormat="1" x14ac:dyDescent="0.25">
      <c r="A22" s="52" t="s">
        <v>169</v>
      </c>
      <c r="B22" s="53">
        <v>7.96</v>
      </c>
      <c r="C22" s="53">
        <v>3.13</v>
      </c>
      <c r="D22" s="53">
        <v>11.78</v>
      </c>
      <c r="E22" s="53">
        <v>3.82</v>
      </c>
      <c r="F22" s="53">
        <v>5.58</v>
      </c>
      <c r="G22" s="53">
        <v>33.880000000000003</v>
      </c>
      <c r="H22" s="53">
        <v>15.16</v>
      </c>
      <c r="I22" s="53">
        <v>4.12</v>
      </c>
      <c r="J22" s="53">
        <v>1.05</v>
      </c>
      <c r="K22" s="53">
        <v>162.01</v>
      </c>
      <c r="L22" s="53">
        <v>25.99</v>
      </c>
      <c r="M22" s="53">
        <v>101.4</v>
      </c>
      <c r="N22" s="53">
        <v>270.60000000000002</v>
      </c>
      <c r="O22" s="53">
        <v>0</v>
      </c>
      <c r="P22" s="53">
        <v>0.43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170</v>
      </c>
      <c r="B23" s="53">
        <v>8</v>
      </c>
      <c r="C23" s="53">
        <v>3.14</v>
      </c>
      <c r="D23" s="53">
        <v>11.83</v>
      </c>
      <c r="E23" s="53">
        <v>3.15</v>
      </c>
      <c r="F23" s="53">
        <v>3.71</v>
      </c>
      <c r="G23" s="53">
        <v>36.49</v>
      </c>
      <c r="H23" s="53">
        <v>67.260000000000005</v>
      </c>
      <c r="I23" s="53">
        <v>3.88</v>
      </c>
      <c r="J23" s="53">
        <v>1.1100000000000001</v>
      </c>
      <c r="K23" s="53">
        <v>154.82</v>
      </c>
      <c r="L23" s="53">
        <v>27.38</v>
      </c>
      <c r="M23" s="53">
        <v>101.51</v>
      </c>
      <c r="N23" s="53">
        <v>193</v>
      </c>
      <c r="O23" s="53">
        <v>0</v>
      </c>
      <c r="P23" s="53">
        <v>0.44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171</v>
      </c>
      <c r="B24" s="53">
        <v>7.99</v>
      </c>
      <c r="C24" s="53">
        <v>3.09</v>
      </c>
      <c r="D24" s="53">
        <v>11.79</v>
      </c>
      <c r="E24" s="53">
        <v>4.78</v>
      </c>
      <c r="F24" s="53">
        <v>3.92</v>
      </c>
      <c r="G24" s="53">
        <v>45.55</v>
      </c>
      <c r="H24" s="53">
        <v>135.32</v>
      </c>
      <c r="I24" s="53">
        <v>4.6399999999999997</v>
      </c>
      <c r="J24" s="53">
        <v>0.87</v>
      </c>
      <c r="K24" s="53">
        <v>157.11000000000001</v>
      </c>
      <c r="L24" s="53">
        <v>29.4</v>
      </c>
      <c r="M24" s="53">
        <v>101.21</v>
      </c>
      <c r="N24" s="53">
        <v>245.8</v>
      </c>
      <c r="O24" s="53">
        <v>0</v>
      </c>
      <c r="P24" s="53">
        <v>0.43</v>
      </c>
      <c r="Q24" s="53">
        <v>9.74</v>
      </c>
      <c r="R24" s="43"/>
      <c r="S24" s="43"/>
      <c r="T24" s="43"/>
      <c r="U24" s="43"/>
    </row>
    <row r="25" spans="1:21" s="11" customFormat="1" x14ac:dyDescent="0.25">
      <c r="A25" s="52" t="s">
        <v>172</v>
      </c>
      <c r="B25" s="53">
        <v>7.94</v>
      </c>
      <c r="C25" s="53">
        <v>2.99</v>
      </c>
      <c r="D25" s="53">
        <v>11.7</v>
      </c>
      <c r="E25" s="53">
        <v>5.26</v>
      </c>
      <c r="F25" s="53">
        <v>7.29</v>
      </c>
      <c r="G25" s="53">
        <v>39.92</v>
      </c>
      <c r="H25" s="53">
        <v>11.7</v>
      </c>
      <c r="I25" s="53">
        <v>4.74</v>
      </c>
      <c r="J25" s="53">
        <v>0.55000000000000004</v>
      </c>
      <c r="K25" s="53">
        <v>212.84</v>
      </c>
      <c r="L25" s="53">
        <v>30.04</v>
      </c>
      <c r="M25" s="53">
        <v>99.9</v>
      </c>
      <c r="N25" s="53">
        <v>145</v>
      </c>
      <c r="O25" s="53">
        <v>0</v>
      </c>
      <c r="P25" s="53">
        <v>0.43</v>
      </c>
      <c r="Q25" s="53">
        <v>9.76</v>
      </c>
      <c r="R25" s="43"/>
      <c r="S25" s="43"/>
      <c r="T25" s="43"/>
      <c r="U25" s="43"/>
    </row>
    <row r="26" spans="1:21" s="11" customFormat="1" x14ac:dyDescent="0.25">
      <c r="A26" s="52" t="s">
        <v>173</v>
      </c>
      <c r="B26" s="53">
        <v>7.94</v>
      </c>
      <c r="C26" s="53">
        <v>2.99</v>
      </c>
      <c r="D26" s="53">
        <v>11.69</v>
      </c>
      <c r="E26" s="53">
        <v>5.0599999999999996</v>
      </c>
      <c r="F26" s="53">
        <v>6.91</v>
      </c>
      <c r="G26" s="53">
        <v>34.57</v>
      </c>
      <c r="H26" s="53">
        <v>17.100000000000001</v>
      </c>
      <c r="I26" s="53">
        <v>3.39</v>
      </c>
      <c r="J26" s="53">
        <v>0.47</v>
      </c>
      <c r="K26" s="53">
        <v>162.69</v>
      </c>
      <c r="L26" s="53">
        <v>30.08</v>
      </c>
      <c r="M26" s="53">
        <v>99.64</v>
      </c>
      <c r="N26" s="53">
        <v>123</v>
      </c>
      <c r="O26" s="53">
        <v>0</v>
      </c>
      <c r="P26" s="53">
        <v>0.38</v>
      </c>
      <c r="Q26" s="53">
        <v>9.69</v>
      </c>
      <c r="R26" s="43"/>
      <c r="S26" s="43"/>
      <c r="T26" s="43"/>
      <c r="U26" s="43"/>
    </row>
    <row r="27" spans="1:21" s="11" customFormat="1" x14ac:dyDescent="0.25">
      <c r="A27" s="52" t="s">
        <v>174</v>
      </c>
      <c r="B27" s="53">
        <v>7.96</v>
      </c>
      <c r="C27" s="53">
        <v>3.01</v>
      </c>
      <c r="D27" s="53">
        <v>11.72</v>
      </c>
      <c r="E27" s="53">
        <v>4.9800000000000004</v>
      </c>
      <c r="F27" s="53">
        <v>4.0999999999999996</v>
      </c>
      <c r="G27" s="53">
        <v>24.34</v>
      </c>
      <c r="H27" s="53">
        <v>19.14</v>
      </c>
      <c r="I27" s="53">
        <v>3.03</v>
      </c>
      <c r="J27" s="53">
        <v>0.3</v>
      </c>
      <c r="K27" s="53">
        <v>293.08999999999997</v>
      </c>
      <c r="L27" s="53">
        <v>29.36</v>
      </c>
      <c r="M27" s="53">
        <v>101.55</v>
      </c>
      <c r="N27" s="53">
        <v>45.9</v>
      </c>
      <c r="O27" s="53">
        <v>0</v>
      </c>
      <c r="P27" s="53">
        <v>0.39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175</v>
      </c>
      <c r="B28" s="53">
        <v>7.99</v>
      </c>
      <c r="C28" s="53">
        <v>3.03</v>
      </c>
      <c r="D28" s="53">
        <v>11.75</v>
      </c>
      <c r="E28" s="53">
        <v>4.92</v>
      </c>
      <c r="F28" s="53">
        <v>3.66</v>
      </c>
      <c r="G28" s="53">
        <v>29.98</v>
      </c>
      <c r="H28" s="53">
        <v>30.15</v>
      </c>
      <c r="I28" s="53">
        <v>4.16</v>
      </c>
      <c r="J28" s="53">
        <v>0.35</v>
      </c>
      <c r="K28" s="53">
        <v>169.64</v>
      </c>
      <c r="L28" s="53">
        <v>28.84</v>
      </c>
      <c r="M28" s="53">
        <v>101.55</v>
      </c>
      <c r="N28" s="53">
        <v>39.6</v>
      </c>
      <c r="O28" s="53">
        <v>0</v>
      </c>
      <c r="P28" s="53">
        <v>0.45</v>
      </c>
      <c r="Q28" s="53">
        <v>9.7100000000000009</v>
      </c>
      <c r="R28" s="43"/>
      <c r="S28" s="43"/>
      <c r="T28" s="43"/>
      <c r="U28" s="43"/>
    </row>
    <row r="29" spans="1:21" s="11" customFormat="1" x14ac:dyDescent="0.25">
      <c r="A29" s="52" t="s">
        <v>176</v>
      </c>
      <c r="B29" s="53">
        <v>8</v>
      </c>
      <c r="C29" s="53">
        <v>3.07</v>
      </c>
      <c r="D29" s="53">
        <v>11.8</v>
      </c>
      <c r="E29" s="53">
        <v>3.67</v>
      </c>
      <c r="F29" s="53">
        <v>4.1399999999999997</v>
      </c>
      <c r="G29" s="53">
        <v>34.08</v>
      </c>
      <c r="H29" s="53">
        <v>2.48</v>
      </c>
      <c r="I29" s="53">
        <v>4.7300000000000004</v>
      </c>
      <c r="J29" s="53">
        <v>0.33</v>
      </c>
      <c r="K29" s="53">
        <v>283.41000000000003</v>
      </c>
      <c r="L29" s="53">
        <v>28.56</v>
      </c>
      <c r="M29" s="53">
        <v>101.57</v>
      </c>
      <c r="N29" s="53">
        <v>42.1</v>
      </c>
      <c r="O29" s="53">
        <v>0.8</v>
      </c>
      <c r="P29" s="53">
        <v>0.53</v>
      </c>
      <c r="Q29" s="53">
        <v>9.76</v>
      </c>
      <c r="R29" s="43"/>
      <c r="S29" s="43"/>
      <c r="T29" s="43"/>
      <c r="U29" s="43"/>
    </row>
    <row r="30" spans="1:21" s="11" customFormat="1" x14ac:dyDescent="0.25">
      <c r="A30" s="52" t="s">
        <v>177</v>
      </c>
      <c r="B30" s="53">
        <v>7.96</v>
      </c>
      <c r="C30" s="53">
        <v>3.03</v>
      </c>
      <c r="D30" s="53">
        <v>11.74</v>
      </c>
      <c r="E30" s="53">
        <v>3.71</v>
      </c>
      <c r="F30" s="53">
        <v>6.25</v>
      </c>
      <c r="G30" s="53">
        <v>30.31</v>
      </c>
      <c r="H30" s="53">
        <v>2.4700000000000002</v>
      </c>
      <c r="I30" s="53">
        <v>4.66</v>
      </c>
      <c r="J30" s="53">
        <v>0.72</v>
      </c>
      <c r="K30" s="53">
        <v>359.15</v>
      </c>
      <c r="L30" s="53">
        <v>24.36</v>
      </c>
      <c r="M30" s="53">
        <v>101.65</v>
      </c>
      <c r="N30" s="53">
        <v>44.2</v>
      </c>
      <c r="O30" s="53">
        <v>13.6</v>
      </c>
      <c r="P30" s="53">
        <v>0.5</v>
      </c>
      <c r="Q30" s="53">
        <v>9.7200000000000006</v>
      </c>
      <c r="R30" s="43"/>
      <c r="S30" s="43"/>
      <c r="T30" s="43"/>
      <c r="U30" s="43"/>
    </row>
    <row r="31" spans="1:21" s="11" customFormat="1" x14ac:dyDescent="0.25">
      <c r="A31" s="52" t="s">
        <v>178</v>
      </c>
      <c r="B31" s="53">
        <v>7.99</v>
      </c>
      <c r="C31" s="53">
        <v>3.08</v>
      </c>
      <c r="D31" s="53">
        <v>11.79</v>
      </c>
      <c r="E31" s="53">
        <v>3.46</v>
      </c>
      <c r="F31" s="53">
        <v>3.45</v>
      </c>
      <c r="G31" s="53">
        <v>23.28</v>
      </c>
      <c r="H31" s="53">
        <v>10.85</v>
      </c>
      <c r="I31" s="53">
        <v>4.0999999999999996</v>
      </c>
      <c r="J31" s="53">
        <v>0.62</v>
      </c>
      <c r="K31" s="53">
        <v>294.82</v>
      </c>
      <c r="L31" s="53">
        <v>24.33</v>
      </c>
      <c r="M31" s="53">
        <v>101.65</v>
      </c>
      <c r="N31" s="53">
        <v>39.9</v>
      </c>
      <c r="O31" s="53">
        <v>0.8</v>
      </c>
      <c r="P31" s="53">
        <v>0.5</v>
      </c>
      <c r="Q31" s="53">
        <v>9.68</v>
      </c>
      <c r="R31" s="43"/>
      <c r="S31" s="43"/>
      <c r="T31" s="43"/>
      <c r="U31" s="43"/>
    </row>
    <row r="32" spans="1:21" s="11" customFormat="1" x14ac:dyDescent="0.25">
      <c r="A32" s="52" t="s">
        <v>179</v>
      </c>
      <c r="B32" s="53">
        <v>8</v>
      </c>
      <c r="C32" s="53">
        <v>3.06</v>
      </c>
      <c r="D32" s="53">
        <v>11.79</v>
      </c>
      <c r="E32" s="53">
        <v>3.8</v>
      </c>
      <c r="F32" s="53">
        <v>3.51</v>
      </c>
      <c r="G32" s="53">
        <v>18.489999999999998</v>
      </c>
      <c r="H32" s="53">
        <v>17.350000000000001</v>
      </c>
      <c r="I32" s="53">
        <v>4.28</v>
      </c>
      <c r="J32" s="53">
        <v>0.26</v>
      </c>
      <c r="K32" s="53">
        <v>355.19</v>
      </c>
      <c r="L32" s="53">
        <v>24.5</v>
      </c>
      <c r="M32" s="53">
        <v>101.65</v>
      </c>
      <c r="N32" s="53">
        <v>39.700000000000003</v>
      </c>
      <c r="O32" s="53">
        <v>0.4</v>
      </c>
      <c r="P32" s="53">
        <v>0.49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2.97</v>
      </c>
      <c r="D34" s="28">
        <f t="shared" si="0"/>
        <v>11.69</v>
      </c>
      <c r="E34" s="28">
        <f t="shared" si="0"/>
        <v>3.15</v>
      </c>
      <c r="F34" s="28">
        <f t="shared" si="0"/>
        <v>3.45</v>
      </c>
      <c r="G34" s="28">
        <f t="shared" si="0"/>
        <v>13.39</v>
      </c>
      <c r="H34" s="28">
        <f t="shared" si="0"/>
        <v>2.4700000000000002</v>
      </c>
      <c r="I34" s="28">
        <f t="shared" si="0"/>
        <v>2.42</v>
      </c>
      <c r="J34" s="28">
        <f t="shared" si="0"/>
        <v>0.13</v>
      </c>
      <c r="K34" s="28">
        <f t="shared" si="0"/>
        <v>154.16999999999999</v>
      </c>
      <c r="L34" s="28">
        <f t="shared" si="0"/>
        <v>24.33</v>
      </c>
      <c r="M34" s="28">
        <f t="shared" si="0"/>
        <v>73.87</v>
      </c>
      <c r="N34" s="28">
        <f t="shared" si="0"/>
        <v>39.200000000000003</v>
      </c>
      <c r="O34" s="28">
        <f t="shared" si="0"/>
        <v>0</v>
      </c>
      <c r="P34" s="28">
        <f t="shared" si="0"/>
        <v>0.38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8.0299999999999994</v>
      </c>
      <c r="C35" s="29">
        <f t="shared" si="1"/>
        <v>3.14</v>
      </c>
      <c r="D35" s="29">
        <f t="shared" si="1"/>
        <v>11.83</v>
      </c>
      <c r="E35" s="29">
        <f t="shared" si="1"/>
        <v>5.26</v>
      </c>
      <c r="F35" s="29">
        <f t="shared" si="1"/>
        <v>31.76</v>
      </c>
      <c r="G35" s="29">
        <f t="shared" si="1"/>
        <v>59.99</v>
      </c>
      <c r="H35" s="29">
        <f t="shared" si="1"/>
        <v>135.32</v>
      </c>
      <c r="I35" s="29">
        <f t="shared" si="1"/>
        <v>5.04</v>
      </c>
      <c r="J35" s="29">
        <f t="shared" si="1"/>
        <v>1.78</v>
      </c>
      <c r="K35" s="29">
        <f t="shared" si="1"/>
        <v>359.15</v>
      </c>
      <c r="L35" s="29">
        <f t="shared" si="1"/>
        <v>35.53</v>
      </c>
      <c r="M35" s="29">
        <f t="shared" si="1"/>
        <v>101.65</v>
      </c>
      <c r="N35" s="29">
        <f t="shared" si="1"/>
        <v>615.9</v>
      </c>
      <c r="O35" s="29">
        <f t="shared" si="1"/>
        <v>16.8</v>
      </c>
      <c r="P35" s="29">
        <f t="shared" si="1"/>
        <v>0.6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7.9812500000000002</v>
      </c>
      <c r="C36" s="28">
        <f t="shared" si="2"/>
        <v>3.0375000000000001</v>
      </c>
      <c r="D36" s="28">
        <f t="shared" si="2"/>
        <v>11.757916666666667</v>
      </c>
      <c r="E36" s="28">
        <f t="shared" si="2"/>
        <v>4.2987499999999992</v>
      </c>
      <c r="F36" s="28">
        <f t="shared" si="2"/>
        <v>6.8679166666666633</v>
      </c>
      <c r="G36" s="28">
        <f t="shared" si="2"/>
        <v>30.455833333333334</v>
      </c>
      <c r="H36" s="28">
        <f t="shared" si="2"/>
        <v>24.314166666666669</v>
      </c>
      <c r="I36" s="28">
        <f t="shared" si="2"/>
        <v>4.1999999999999993</v>
      </c>
      <c r="J36" s="28">
        <f t="shared" si="2"/>
        <v>0.54208333333333336</v>
      </c>
      <c r="K36" s="28">
        <f t="shared" si="2"/>
        <v>269.79916666666657</v>
      </c>
      <c r="L36" s="28">
        <f t="shared" si="2"/>
        <v>28.327083333333334</v>
      </c>
      <c r="M36" s="28">
        <f t="shared" si="2"/>
        <v>98.518750000000011</v>
      </c>
      <c r="N36" s="28">
        <f t="shared" si="2"/>
        <v>172.5333333333333</v>
      </c>
      <c r="O36" s="28">
        <f t="shared" si="2"/>
        <v>1.3499999999999999</v>
      </c>
      <c r="P36" s="28">
        <f t="shared" si="2"/>
        <v>0.46875</v>
      </c>
      <c r="Q36" s="28">
        <f t="shared" si="2"/>
        <v>9.7058333333333344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2.7076782931379384E-2</v>
      </c>
      <c r="C37" s="28">
        <f t="shared" ref="C37:Q37" si="3">STDEV(C9:C32)</f>
        <v>4.6461765487053004E-2</v>
      </c>
      <c r="D37" s="28">
        <f t="shared" si="3"/>
        <v>4.0430204665266714E-2</v>
      </c>
      <c r="E37" s="28">
        <f t="shared" si="3"/>
        <v>0.72988571172062289</v>
      </c>
      <c r="F37" s="28">
        <f t="shared" si="3"/>
        <v>7.5119713033476678</v>
      </c>
      <c r="G37" s="28">
        <f t="shared" si="3"/>
        <v>11.584452818387632</v>
      </c>
      <c r="H37" s="28">
        <f t="shared" si="3"/>
        <v>28.504967212699988</v>
      </c>
      <c r="I37" s="28">
        <f t="shared" si="3"/>
        <v>0.6656281766611355</v>
      </c>
      <c r="J37" s="28">
        <f t="shared" si="3"/>
        <v>0.37304830281330076</v>
      </c>
      <c r="K37" s="28">
        <f t="shared" si="3"/>
        <v>86.315557110380738</v>
      </c>
      <c r="L37" s="28">
        <f t="shared" si="3"/>
        <v>3.3816827290137557</v>
      </c>
      <c r="M37" s="28">
        <f t="shared" si="3"/>
        <v>7.0563232897568682</v>
      </c>
      <c r="N37" s="28">
        <f t="shared" si="3"/>
        <v>185.97344753594749</v>
      </c>
      <c r="O37" s="28">
        <f t="shared" si="3"/>
        <v>4.2981290166162136</v>
      </c>
      <c r="P37" s="28">
        <f t="shared" si="3"/>
        <v>5.7355678995574956E-2</v>
      </c>
      <c r="Q37" s="28">
        <f t="shared" si="3"/>
        <v>5.9776152484055906E-2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180</v>
      </c>
      <c r="B9" s="53">
        <v>7.98</v>
      </c>
      <c r="C9" s="53">
        <v>3.01</v>
      </c>
      <c r="D9" s="53">
        <v>11.74</v>
      </c>
      <c r="E9" s="53">
        <v>4.42</v>
      </c>
      <c r="F9" s="53">
        <v>4.6900000000000004</v>
      </c>
      <c r="G9" s="53">
        <v>14.01</v>
      </c>
      <c r="H9" s="53">
        <v>13.54</v>
      </c>
      <c r="I9" s="53">
        <v>4.46</v>
      </c>
      <c r="J9" s="53">
        <v>0.26</v>
      </c>
      <c r="K9" s="53">
        <v>338.65</v>
      </c>
      <c r="L9" s="53">
        <v>24.61</v>
      </c>
      <c r="M9" s="53">
        <v>101.65</v>
      </c>
      <c r="N9" s="53">
        <v>39.5</v>
      </c>
      <c r="O9" s="53">
        <v>0</v>
      </c>
      <c r="P9" s="53">
        <v>0.48</v>
      </c>
      <c r="Q9" s="53">
        <v>9.74</v>
      </c>
      <c r="R9" s="43"/>
      <c r="S9" s="43"/>
      <c r="T9" s="43"/>
      <c r="U9" s="43"/>
    </row>
    <row r="10" spans="1:21" s="11" customFormat="1" x14ac:dyDescent="0.25">
      <c r="A10" s="52" t="s">
        <v>181</v>
      </c>
      <c r="B10" s="53">
        <v>7.95</v>
      </c>
      <c r="C10" s="53">
        <v>3.04</v>
      </c>
      <c r="D10" s="53">
        <v>11.74</v>
      </c>
      <c r="E10" s="53">
        <v>4.29</v>
      </c>
      <c r="F10" s="53">
        <v>4.6900000000000004</v>
      </c>
      <c r="G10" s="53">
        <v>15.28</v>
      </c>
      <c r="H10" s="53">
        <v>2.83</v>
      </c>
      <c r="I10" s="53">
        <v>4.3099999999999996</v>
      </c>
      <c r="J10" s="53">
        <v>0.18</v>
      </c>
      <c r="K10" s="53">
        <v>341.47</v>
      </c>
      <c r="L10" s="53">
        <v>24.7</v>
      </c>
      <c r="M10" s="53">
        <v>101.65</v>
      </c>
      <c r="N10" s="53">
        <v>39.5</v>
      </c>
      <c r="O10" s="53">
        <v>0</v>
      </c>
      <c r="P10" s="53">
        <v>0.49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182</v>
      </c>
      <c r="B11" s="53">
        <v>7.97</v>
      </c>
      <c r="C11" s="53">
        <v>3.05</v>
      </c>
      <c r="D11" s="53">
        <v>11.75</v>
      </c>
      <c r="E11" s="53">
        <v>3.97</v>
      </c>
      <c r="F11" s="53">
        <v>3.91</v>
      </c>
      <c r="G11" s="53">
        <v>15.1</v>
      </c>
      <c r="H11" s="53">
        <v>3.28</v>
      </c>
      <c r="I11" s="53">
        <v>3.98</v>
      </c>
      <c r="J11" s="53">
        <v>0.53</v>
      </c>
      <c r="K11" s="53">
        <v>356.8</v>
      </c>
      <c r="L11" s="53">
        <v>24.88</v>
      </c>
      <c r="M11" s="53">
        <v>101.65</v>
      </c>
      <c r="N11" s="53">
        <v>39.700000000000003</v>
      </c>
      <c r="O11" s="53">
        <v>0</v>
      </c>
      <c r="P11" s="53">
        <v>0.47</v>
      </c>
      <c r="Q11" s="53">
        <v>9.65</v>
      </c>
      <c r="R11" s="43"/>
      <c r="S11" s="43"/>
      <c r="T11" s="43"/>
      <c r="U11" s="43"/>
    </row>
    <row r="12" spans="1:21" s="11" customFormat="1" x14ac:dyDescent="0.25">
      <c r="A12" s="52" t="s">
        <v>183</v>
      </c>
      <c r="B12" s="53">
        <v>8.0299999999999994</v>
      </c>
      <c r="C12" s="53">
        <v>3.11</v>
      </c>
      <c r="D12" s="53">
        <v>11.84</v>
      </c>
      <c r="E12" s="53">
        <v>3.74</v>
      </c>
      <c r="F12" s="53">
        <v>3.53</v>
      </c>
      <c r="G12" s="53">
        <v>19.34</v>
      </c>
      <c r="H12" s="53">
        <v>5.05</v>
      </c>
      <c r="I12" s="53">
        <v>4.5199999999999996</v>
      </c>
      <c r="J12" s="53">
        <v>0.43</v>
      </c>
      <c r="K12" s="53">
        <v>173.5</v>
      </c>
      <c r="L12" s="53">
        <v>24.87</v>
      </c>
      <c r="M12" s="53">
        <v>101.65</v>
      </c>
      <c r="N12" s="53">
        <v>40.700000000000003</v>
      </c>
      <c r="O12" s="53">
        <v>0</v>
      </c>
      <c r="P12" s="53">
        <v>0.45</v>
      </c>
      <c r="Q12" s="53">
        <v>9.67</v>
      </c>
      <c r="R12" s="43"/>
      <c r="S12" s="43"/>
      <c r="T12" s="43"/>
      <c r="U12" s="43"/>
    </row>
    <row r="13" spans="1:21" s="11" customFormat="1" x14ac:dyDescent="0.25">
      <c r="A13" s="52" t="s">
        <v>184</v>
      </c>
      <c r="B13" s="53">
        <v>7.97</v>
      </c>
      <c r="C13" s="53">
        <v>2.94</v>
      </c>
      <c r="D13" s="53">
        <v>11.7</v>
      </c>
      <c r="E13" s="53">
        <v>3.3</v>
      </c>
      <c r="F13" s="53">
        <v>4.08</v>
      </c>
      <c r="G13" s="53">
        <v>16.47</v>
      </c>
      <c r="H13" s="53">
        <v>9.68</v>
      </c>
      <c r="I13" s="53">
        <v>5.28</v>
      </c>
      <c r="J13" s="53">
        <v>0.35</v>
      </c>
      <c r="K13" s="53">
        <v>271.29000000000002</v>
      </c>
      <c r="L13" s="53">
        <v>24.53</v>
      </c>
      <c r="M13" s="53">
        <v>101.65</v>
      </c>
      <c r="N13" s="53">
        <v>40</v>
      </c>
      <c r="O13" s="53">
        <v>0</v>
      </c>
      <c r="P13" s="53">
        <v>0.43</v>
      </c>
      <c r="Q13" s="53">
        <v>9.67</v>
      </c>
      <c r="R13" s="43"/>
      <c r="S13" s="43"/>
      <c r="T13" s="43"/>
      <c r="U13" s="43"/>
    </row>
    <row r="14" spans="1:21" s="11" customFormat="1" x14ac:dyDescent="0.25">
      <c r="A14" s="52" t="s">
        <v>185</v>
      </c>
      <c r="B14" s="53">
        <v>7.95</v>
      </c>
      <c r="C14" s="53">
        <v>2.97</v>
      </c>
      <c r="D14" s="53">
        <v>11.7</v>
      </c>
      <c r="E14" s="53">
        <v>3.5</v>
      </c>
      <c r="F14" s="53">
        <v>3.69</v>
      </c>
      <c r="G14" s="53">
        <v>15.22</v>
      </c>
      <c r="H14" s="53">
        <v>15.04</v>
      </c>
      <c r="I14" s="53">
        <v>5.1100000000000003</v>
      </c>
      <c r="J14" s="53">
        <v>0.18</v>
      </c>
      <c r="K14" s="53">
        <v>164.09</v>
      </c>
      <c r="L14" s="53">
        <v>24.54</v>
      </c>
      <c r="M14" s="53">
        <v>101.65</v>
      </c>
      <c r="N14" s="53">
        <v>40.9</v>
      </c>
      <c r="O14" s="53">
        <v>0</v>
      </c>
      <c r="P14" s="53">
        <v>0.41</v>
      </c>
      <c r="Q14" s="53">
        <v>9.6300000000000008</v>
      </c>
      <c r="R14" s="43"/>
      <c r="S14" s="43"/>
      <c r="T14" s="43"/>
      <c r="U14" s="43"/>
    </row>
    <row r="15" spans="1:21" s="11" customFormat="1" x14ac:dyDescent="0.25">
      <c r="A15" s="52" t="s">
        <v>186</v>
      </c>
      <c r="B15" s="53">
        <v>7.97</v>
      </c>
      <c r="C15" s="53">
        <v>3.01</v>
      </c>
      <c r="D15" s="53">
        <v>11.72</v>
      </c>
      <c r="E15" s="53">
        <v>3.18</v>
      </c>
      <c r="F15" s="53">
        <v>3.77</v>
      </c>
      <c r="G15" s="53">
        <v>15.2</v>
      </c>
      <c r="H15" s="53">
        <v>11.41</v>
      </c>
      <c r="I15" s="53">
        <v>4.4400000000000004</v>
      </c>
      <c r="J15" s="53">
        <v>0.24</v>
      </c>
      <c r="K15" s="53">
        <v>337.5</v>
      </c>
      <c r="L15" s="53">
        <v>24.98</v>
      </c>
      <c r="M15" s="53">
        <v>101.65</v>
      </c>
      <c r="N15" s="53">
        <v>73.400000000000006</v>
      </c>
      <c r="O15" s="53">
        <v>0</v>
      </c>
      <c r="P15" s="53">
        <v>0.39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187</v>
      </c>
      <c r="B16" s="53">
        <v>8.0299999999999994</v>
      </c>
      <c r="C16" s="53">
        <v>3.09</v>
      </c>
      <c r="D16" s="53">
        <v>11.83</v>
      </c>
      <c r="E16" s="53">
        <v>4.8499999999999996</v>
      </c>
      <c r="F16" s="53">
        <v>3.35</v>
      </c>
      <c r="G16" s="53">
        <v>17.440000000000001</v>
      </c>
      <c r="H16" s="53">
        <v>19.41</v>
      </c>
      <c r="I16" s="53">
        <v>4.5999999999999996</v>
      </c>
      <c r="J16" s="53">
        <v>0.71</v>
      </c>
      <c r="K16" s="53">
        <v>122.83</v>
      </c>
      <c r="L16" s="53">
        <v>27.89</v>
      </c>
      <c r="M16" s="53">
        <v>101.67</v>
      </c>
      <c r="N16" s="53">
        <v>338.9</v>
      </c>
      <c r="O16" s="53">
        <v>0</v>
      </c>
      <c r="P16" s="53">
        <v>0.41</v>
      </c>
      <c r="Q16" s="53">
        <v>9.73</v>
      </c>
      <c r="R16" s="43"/>
      <c r="S16" s="43"/>
      <c r="T16" s="43"/>
      <c r="U16" s="43"/>
    </row>
    <row r="17" spans="1:21" s="11" customFormat="1" x14ac:dyDescent="0.25">
      <c r="A17" s="52" t="s">
        <v>188</v>
      </c>
      <c r="B17" s="53">
        <v>8</v>
      </c>
      <c r="C17" s="53">
        <v>3</v>
      </c>
      <c r="D17" s="53">
        <v>11.76</v>
      </c>
      <c r="E17" s="53">
        <v>4.97</v>
      </c>
      <c r="F17" s="53">
        <v>3.85</v>
      </c>
      <c r="G17" s="53">
        <v>29.46</v>
      </c>
      <c r="H17" s="53">
        <v>20.85</v>
      </c>
      <c r="I17" s="53">
        <v>5.47</v>
      </c>
      <c r="J17" s="53">
        <v>0.23</v>
      </c>
      <c r="K17" s="53">
        <v>348.26</v>
      </c>
      <c r="L17" s="53">
        <v>31.4</v>
      </c>
      <c r="M17" s="53">
        <v>97.01</v>
      </c>
      <c r="N17" s="53">
        <v>462.7</v>
      </c>
      <c r="O17" s="53">
        <v>0</v>
      </c>
      <c r="P17" s="53">
        <v>0.45</v>
      </c>
      <c r="Q17" s="53">
        <v>9.7899999999999991</v>
      </c>
      <c r="R17" s="43"/>
      <c r="S17" s="43"/>
      <c r="T17" s="43"/>
      <c r="U17" s="43"/>
    </row>
    <row r="18" spans="1:21" s="11" customFormat="1" x14ac:dyDescent="0.25">
      <c r="A18" s="52" t="s">
        <v>189</v>
      </c>
      <c r="B18" s="53">
        <v>7.98</v>
      </c>
      <c r="C18" s="53">
        <v>3.02</v>
      </c>
      <c r="D18" s="53">
        <v>11.75</v>
      </c>
      <c r="E18" s="53">
        <v>5.08</v>
      </c>
      <c r="F18" s="53">
        <v>4.0999999999999996</v>
      </c>
      <c r="G18" s="53">
        <v>59.29</v>
      </c>
      <c r="H18" s="53">
        <v>48.31</v>
      </c>
      <c r="I18" s="53">
        <v>5.87</v>
      </c>
      <c r="J18" s="53">
        <v>0.65</v>
      </c>
      <c r="K18" s="53">
        <v>115.02</v>
      </c>
      <c r="L18" s="53">
        <v>31.4</v>
      </c>
      <c r="M18" s="53">
        <v>97.72</v>
      </c>
      <c r="N18" s="53">
        <v>629.6</v>
      </c>
      <c r="O18" s="53">
        <v>0</v>
      </c>
      <c r="P18" s="53">
        <v>0.54</v>
      </c>
      <c r="Q18" s="53">
        <v>9.7899999999999991</v>
      </c>
      <c r="R18" s="43"/>
      <c r="S18" s="43"/>
      <c r="T18" s="43"/>
      <c r="U18" s="43"/>
    </row>
    <row r="19" spans="1:21" s="11" customFormat="1" x14ac:dyDescent="0.25">
      <c r="A19" s="52" t="s">
        <v>190</v>
      </c>
      <c r="B19" s="53">
        <v>8.01</v>
      </c>
      <c r="C19" s="53">
        <v>3.07</v>
      </c>
      <c r="D19" s="53">
        <v>11.81</v>
      </c>
      <c r="E19" s="53">
        <v>4.99</v>
      </c>
      <c r="F19" s="53">
        <v>3.82</v>
      </c>
      <c r="G19" s="53">
        <v>82.75</v>
      </c>
      <c r="H19" s="53">
        <v>63.88</v>
      </c>
      <c r="I19" s="53">
        <v>6.31</v>
      </c>
      <c r="J19" s="53">
        <v>0.51</v>
      </c>
      <c r="K19" s="53">
        <v>349.68</v>
      </c>
      <c r="L19" s="53">
        <v>32.479999999999997</v>
      </c>
      <c r="M19" s="53">
        <v>89.03</v>
      </c>
      <c r="N19" s="53">
        <v>595</v>
      </c>
      <c r="O19" s="53">
        <v>0</v>
      </c>
      <c r="P19" s="53">
        <v>0.66</v>
      </c>
      <c r="Q19" s="53">
        <v>9.77</v>
      </c>
      <c r="R19" s="43"/>
      <c r="S19" s="43"/>
      <c r="T19" s="43"/>
      <c r="U19" s="43"/>
    </row>
    <row r="20" spans="1:21" s="11" customFormat="1" x14ac:dyDescent="0.25">
      <c r="A20" s="52" t="s">
        <v>191</v>
      </c>
      <c r="B20" s="53">
        <v>7.98</v>
      </c>
      <c r="C20" s="53">
        <v>3.09</v>
      </c>
      <c r="D20" s="53">
        <v>11.79</v>
      </c>
      <c r="E20" s="53">
        <v>4.83</v>
      </c>
      <c r="F20" s="53">
        <v>4.7</v>
      </c>
      <c r="G20" s="53">
        <v>78.37</v>
      </c>
      <c r="H20" s="53">
        <v>43.38</v>
      </c>
      <c r="I20" s="53">
        <v>6.43</v>
      </c>
      <c r="J20" s="53">
        <v>0.57999999999999996</v>
      </c>
      <c r="K20" s="53">
        <v>109.1</v>
      </c>
      <c r="L20" s="53">
        <v>32.909999999999997</v>
      </c>
      <c r="M20" s="53">
        <v>82.66</v>
      </c>
      <c r="N20" s="53">
        <v>874.6</v>
      </c>
      <c r="O20" s="53">
        <v>0</v>
      </c>
      <c r="P20" s="53">
        <v>0.68</v>
      </c>
      <c r="Q20" s="53">
        <v>9.74</v>
      </c>
      <c r="R20" s="43"/>
      <c r="S20" s="43"/>
      <c r="T20" s="43"/>
      <c r="U20" s="43"/>
    </row>
    <row r="21" spans="1:21" s="11" customFormat="1" x14ac:dyDescent="0.25">
      <c r="A21" s="52" t="s">
        <v>192</v>
      </c>
      <c r="B21" s="53">
        <v>7.98</v>
      </c>
      <c r="C21" s="53">
        <v>3.12</v>
      </c>
      <c r="D21" s="53">
        <v>11.8</v>
      </c>
      <c r="E21" s="53">
        <v>4.66</v>
      </c>
      <c r="F21" s="53">
        <v>6.44</v>
      </c>
      <c r="G21" s="53">
        <v>86.49</v>
      </c>
      <c r="H21" s="53">
        <v>40.49</v>
      </c>
      <c r="I21" s="53">
        <v>6.44</v>
      </c>
      <c r="J21" s="53">
        <v>0.53</v>
      </c>
      <c r="K21" s="53">
        <v>338.83</v>
      </c>
      <c r="L21" s="53">
        <v>34.14</v>
      </c>
      <c r="M21" s="53">
        <v>78.599999999999994</v>
      </c>
      <c r="N21" s="53">
        <v>845.7</v>
      </c>
      <c r="O21" s="53">
        <v>0</v>
      </c>
      <c r="P21" s="53">
        <v>0.66</v>
      </c>
      <c r="Q21" s="53">
        <v>9.7100000000000009</v>
      </c>
      <c r="R21" s="43"/>
      <c r="S21" s="43"/>
      <c r="T21" s="43"/>
      <c r="U21" s="43"/>
    </row>
    <row r="22" spans="1:21" s="11" customFormat="1" x14ac:dyDescent="0.25">
      <c r="A22" s="52" t="s">
        <v>193</v>
      </c>
      <c r="B22" s="53">
        <v>7.94</v>
      </c>
      <c r="C22" s="53">
        <v>3.13</v>
      </c>
      <c r="D22" s="53">
        <v>11.78</v>
      </c>
      <c r="E22" s="53">
        <v>5.65</v>
      </c>
      <c r="F22" s="53">
        <v>18.37</v>
      </c>
      <c r="G22" s="53">
        <v>70.52</v>
      </c>
      <c r="H22" s="53">
        <v>40.83</v>
      </c>
      <c r="I22" s="53">
        <v>5.81</v>
      </c>
      <c r="J22" s="53">
        <v>0.65</v>
      </c>
      <c r="K22" s="53">
        <v>342.18</v>
      </c>
      <c r="L22" s="53">
        <v>33.880000000000003</v>
      </c>
      <c r="M22" s="53">
        <v>79.430000000000007</v>
      </c>
      <c r="N22" s="53">
        <v>405.8</v>
      </c>
      <c r="O22" s="53">
        <v>0</v>
      </c>
      <c r="P22" s="53">
        <v>0.63</v>
      </c>
      <c r="Q22" s="53">
        <v>9.75</v>
      </c>
      <c r="R22" s="43"/>
      <c r="S22" s="43"/>
      <c r="T22" s="43"/>
      <c r="U22" s="43"/>
    </row>
    <row r="23" spans="1:21" s="11" customFormat="1" x14ac:dyDescent="0.25">
      <c r="A23" s="52" t="s">
        <v>194</v>
      </c>
      <c r="B23" s="53">
        <v>7.95</v>
      </c>
      <c r="C23" s="53">
        <v>3.16</v>
      </c>
      <c r="D23" s="53">
        <v>11.8</v>
      </c>
      <c r="E23" s="53">
        <v>4.8499999999999996</v>
      </c>
      <c r="F23" s="53">
        <v>9.9</v>
      </c>
      <c r="G23" s="53">
        <v>56.83</v>
      </c>
      <c r="H23" s="53">
        <v>26.91</v>
      </c>
      <c r="I23" s="53">
        <v>3.98</v>
      </c>
      <c r="J23" s="53">
        <v>0.45</v>
      </c>
      <c r="K23" s="53">
        <v>355.41</v>
      </c>
      <c r="L23" s="53">
        <v>33.08</v>
      </c>
      <c r="M23" s="53">
        <v>75.88</v>
      </c>
      <c r="N23" s="53">
        <v>320.89999999999998</v>
      </c>
      <c r="O23" s="53">
        <v>0</v>
      </c>
      <c r="P23" s="53">
        <v>0.6</v>
      </c>
      <c r="Q23" s="53">
        <v>10.07</v>
      </c>
      <c r="R23" s="43"/>
      <c r="S23" s="43"/>
      <c r="T23" s="43"/>
      <c r="U23" s="43"/>
    </row>
    <row r="24" spans="1:21" s="11" customFormat="1" x14ac:dyDescent="0.25">
      <c r="A24" s="52" t="s">
        <v>195</v>
      </c>
      <c r="B24" s="53">
        <v>7.96</v>
      </c>
      <c r="C24" s="53">
        <v>3.36</v>
      </c>
      <c r="D24" s="53">
        <v>11.9</v>
      </c>
      <c r="E24" s="53">
        <v>5.35</v>
      </c>
      <c r="F24" s="53">
        <v>12.84</v>
      </c>
      <c r="G24" s="53">
        <v>61.49</v>
      </c>
      <c r="H24" s="53">
        <v>28.14</v>
      </c>
      <c r="I24" s="53">
        <v>3.71</v>
      </c>
      <c r="J24" s="53">
        <v>0.75</v>
      </c>
      <c r="K24" s="53">
        <v>344.46</v>
      </c>
      <c r="L24" s="53">
        <v>33.32</v>
      </c>
      <c r="M24" s="53">
        <v>78.91</v>
      </c>
      <c r="N24" s="53">
        <v>219.7</v>
      </c>
      <c r="O24" s="53">
        <v>0</v>
      </c>
      <c r="P24" s="53">
        <v>0.65</v>
      </c>
      <c r="Q24" s="53">
        <v>9.84</v>
      </c>
      <c r="R24" s="43"/>
      <c r="S24" s="43"/>
      <c r="T24" s="43"/>
      <c r="U24" s="43"/>
    </row>
    <row r="25" spans="1:21" s="11" customFormat="1" x14ac:dyDescent="0.25">
      <c r="A25" s="52" t="s">
        <v>196</v>
      </c>
      <c r="B25" s="53">
        <v>8</v>
      </c>
      <c r="C25" s="53">
        <v>3.19</v>
      </c>
      <c r="D25" s="53">
        <v>11.85</v>
      </c>
      <c r="E25" s="53">
        <v>4.8099999999999996</v>
      </c>
      <c r="F25" s="53">
        <v>4.29</v>
      </c>
      <c r="G25" s="53">
        <v>65.73</v>
      </c>
      <c r="H25" s="53">
        <v>28.89</v>
      </c>
      <c r="I25" s="53">
        <v>3.33</v>
      </c>
      <c r="J25" s="53">
        <v>0.48</v>
      </c>
      <c r="K25" s="53">
        <v>337.68</v>
      </c>
      <c r="L25" s="53">
        <v>31.9</v>
      </c>
      <c r="M25" s="53">
        <v>82.69</v>
      </c>
      <c r="N25" s="53">
        <v>91.3</v>
      </c>
      <c r="O25" s="53">
        <v>0</v>
      </c>
      <c r="P25" s="53">
        <v>0.74</v>
      </c>
      <c r="Q25" s="53">
        <v>9.85</v>
      </c>
      <c r="R25" s="43"/>
      <c r="S25" s="43"/>
      <c r="T25" s="43"/>
      <c r="U25" s="43"/>
    </row>
    <row r="26" spans="1:21" s="11" customFormat="1" x14ac:dyDescent="0.25">
      <c r="A26" s="52" t="s">
        <v>197</v>
      </c>
      <c r="B26" s="53">
        <v>7.98</v>
      </c>
      <c r="C26" s="53">
        <v>3.23</v>
      </c>
      <c r="D26" s="53">
        <v>11.86</v>
      </c>
      <c r="E26" s="53">
        <v>4.21</v>
      </c>
      <c r="F26" s="53">
        <v>5.5</v>
      </c>
      <c r="G26" s="53">
        <v>62.47</v>
      </c>
      <c r="H26" s="53">
        <v>26.27</v>
      </c>
      <c r="I26" s="53">
        <v>3.29</v>
      </c>
      <c r="J26" s="53">
        <v>0.28000000000000003</v>
      </c>
      <c r="K26" s="53">
        <v>357.4</v>
      </c>
      <c r="L26" s="53">
        <v>30.29</v>
      </c>
      <c r="M26" s="53">
        <v>100.99</v>
      </c>
      <c r="N26" s="53">
        <v>78.099999999999994</v>
      </c>
      <c r="O26" s="53">
        <v>0</v>
      </c>
      <c r="P26" s="53">
        <v>0.76</v>
      </c>
      <c r="Q26" s="53">
        <v>10.050000000000001</v>
      </c>
      <c r="R26" s="43"/>
      <c r="S26" s="43"/>
      <c r="T26" s="43"/>
      <c r="U26" s="43"/>
    </row>
    <row r="27" spans="1:21" s="11" customFormat="1" x14ac:dyDescent="0.25">
      <c r="A27" s="52" t="s">
        <v>198</v>
      </c>
      <c r="B27" s="53">
        <v>7.97</v>
      </c>
      <c r="C27" s="53">
        <v>3.07</v>
      </c>
      <c r="D27" s="53">
        <v>11.77</v>
      </c>
      <c r="E27" s="53">
        <v>4.07</v>
      </c>
      <c r="F27" s="53">
        <v>4.3600000000000003</v>
      </c>
      <c r="G27" s="53">
        <v>79.45</v>
      </c>
      <c r="H27" s="53">
        <v>23.74</v>
      </c>
      <c r="I27" s="53">
        <v>3.68</v>
      </c>
      <c r="J27" s="53">
        <v>0.2</v>
      </c>
      <c r="K27" s="53">
        <v>343.61</v>
      </c>
      <c r="L27" s="53">
        <v>29.2</v>
      </c>
      <c r="M27" s="53">
        <v>99.47</v>
      </c>
      <c r="N27" s="53">
        <v>45.3</v>
      </c>
      <c r="O27" s="53">
        <v>0</v>
      </c>
      <c r="P27" s="53">
        <v>0.79</v>
      </c>
      <c r="Q27" s="53">
        <v>9.89</v>
      </c>
      <c r="R27" s="43"/>
      <c r="S27" s="43"/>
      <c r="T27" s="43"/>
      <c r="U27" s="43"/>
    </row>
    <row r="28" spans="1:21" s="11" customFormat="1" x14ac:dyDescent="0.25">
      <c r="A28" s="52" t="s">
        <v>199</v>
      </c>
      <c r="B28" s="53">
        <v>7.98</v>
      </c>
      <c r="C28" s="53">
        <v>2.98</v>
      </c>
      <c r="D28" s="53">
        <v>11.73</v>
      </c>
      <c r="E28" s="53">
        <v>4.03</v>
      </c>
      <c r="F28" s="53">
        <v>3.91</v>
      </c>
      <c r="G28" s="53">
        <v>68.569999999999993</v>
      </c>
      <c r="H28" s="53">
        <v>34.770000000000003</v>
      </c>
      <c r="I28" s="53">
        <v>3.5</v>
      </c>
      <c r="J28" s="53">
        <v>0.16</v>
      </c>
      <c r="K28" s="53">
        <v>354.38</v>
      </c>
      <c r="L28" s="53">
        <v>28.61</v>
      </c>
      <c r="M28" s="53">
        <v>99.42</v>
      </c>
      <c r="N28" s="53">
        <v>41.1</v>
      </c>
      <c r="O28" s="53">
        <v>0</v>
      </c>
      <c r="P28" s="53">
        <v>0.82</v>
      </c>
      <c r="Q28" s="53">
        <v>9.94</v>
      </c>
      <c r="R28" s="43"/>
      <c r="S28" s="43"/>
      <c r="T28" s="43"/>
      <c r="U28" s="43"/>
    </row>
    <row r="29" spans="1:21" s="11" customFormat="1" x14ac:dyDescent="0.25">
      <c r="A29" s="52" t="s">
        <v>200</v>
      </c>
      <c r="B29" s="53">
        <v>8.0299999999999994</v>
      </c>
      <c r="C29" s="53">
        <v>3.06</v>
      </c>
      <c r="D29" s="53">
        <v>11.81</v>
      </c>
      <c r="E29" s="53">
        <v>4.07</v>
      </c>
      <c r="F29" s="53">
        <v>3.7</v>
      </c>
      <c r="G29" s="53">
        <v>64.650000000000006</v>
      </c>
      <c r="H29" s="53">
        <v>28.32</v>
      </c>
      <c r="I29" s="53">
        <v>5.0199999999999996</v>
      </c>
      <c r="J29" s="53">
        <v>0.1</v>
      </c>
      <c r="K29" s="53">
        <v>320.31</v>
      </c>
      <c r="L29" s="53">
        <v>28.13</v>
      </c>
      <c r="M29" s="53">
        <v>101.57</v>
      </c>
      <c r="N29" s="53">
        <v>40.9</v>
      </c>
      <c r="O29" s="53">
        <v>0</v>
      </c>
      <c r="P29" s="53">
        <v>0.89</v>
      </c>
      <c r="Q29" s="53">
        <v>10.039999999999999</v>
      </c>
      <c r="R29" s="43"/>
      <c r="S29" s="43"/>
      <c r="T29" s="43"/>
      <c r="U29" s="43"/>
    </row>
    <row r="30" spans="1:21" s="11" customFormat="1" x14ac:dyDescent="0.25">
      <c r="A30" s="52" t="s">
        <v>201</v>
      </c>
      <c r="B30" s="53">
        <v>8.06</v>
      </c>
      <c r="C30" s="53">
        <v>3.08</v>
      </c>
      <c r="D30" s="53">
        <v>11.85</v>
      </c>
      <c r="E30" s="53">
        <v>4.09</v>
      </c>
      <c r="F30" s="53">
        <v>3.73</v>
      </c>
      <c r="G30" s="53">
        <v>63.16</v>
      </c>
      <c r="H30" s="53">
        <v>32.799999999999997</v>
      </c>
      <c r="I30" s="53">
        <v>5.74</v>
      </c>
      <c r="J30" s="53">
        <v>0.23</v>
      </c>
      <c r="K30" s="53">
        <v>359.51</v>
      </c>
      <c r="L30" s="53">
        <v>27.77</v>
      </c>
      <c r="M30" s="53">
        <v>101.62</v>
      </c>
      <c r="N30" s="53">
        <v>40.6</v>
      </c>
      <c r="O30" s="53">
        <v>0</v>
      </c>
      <c r="P30" s="53">
        <v>0.9</v>
      </c>
      <c r="Q30" s="53">
        <v>10.08</v>
      </c>
      <c r="R30" s="43"/>
      <c r="S30" s="43"/>
      <c r="T30" s="43"/>
      <c r="U30" s="43"/>
    </row>
    <row r="31" spans="1:21" s="11" customFormat="1" x14ac:dyDescent="0.25">
      <c r="A31" s="52" t="s">
        <v>202</v>
      </c>
      <c r="B31" s="53">
        <v>8.0299999999999994</v>
      </c>
      <c r="C31" s="53">
        <v>3.14</v>
      </c>
      <c r="D31" s="53">
        <v>11.86</v>
      </c>
      <c r="E31" s="53">
        <v>4.07</v>
      </c>
      <c r="F31" s="53">
        <v>4.16</v>
      </c>
      <c r="G31" s="53">
        <v>63.11</v>
      </c>
      <c r="H31" s="53">
        <v>26.58</v>
      </c>
      <c r="I31" s="53">
        <v>5.39</v>
      </c>
      <c r="J31" s="53">
        <v>0.23</v>
      </c>
      <c r="K31" s="53">
        <v>356.93</v>
      </c>
      <c r="L31" s="53">
        <v>27.22</v>
      </c>
      <c r="M31" s="53">
        <v>101.6</v>
      </c>
      <c r="N31" s="53">
        <v>40.700000000000003</v>
      </c>
      <c r="O31" s="53">
        <v>0</v>
      </c>
      <c r="P31" s="53">
        <v>0.83</v>
      </c>
      <c r="Q31" s="53">
        <v>9.99</v>
      </c>
      <c r="R31" s="43"/>
      <c r="S31" s="43"/>
      <c r="T31" s="43"/>
      <c r="U31" s="43"/>
    </row>
    <row r="32" spans="1:21" s="11" customFormat="1" x14ac:dyDescent="0.25">
      <c r="A32" s="52" t="s">
        <v>203</v>
      </c>
      <c r="B32" s="53">
        <v>8.01</v>
      </c>
      <c r="C32" s="53">
        <v>3.03</v>
      </c>
      <c r="D32" s="53">
        <v>11.78</v>
      </c>
      <c r="E32" s="53">
        <v>4.09</v>
      </c>
      <c r="F32" s="53">
        <v>3.64</v>
      </c>
      <c r="G32" s="53">
        <v>41.49</v>
      </c>
      <c r="H32" s="53">
        <v>17.760000000000002</v>
      </c>
      <c r="I32" s="53">
        <v>4.43</v>
      </c>
      <c r="J32" s="53">
        <v>0.1</v>
      </c>
      <c r="K32" s="53">
        <v>305.95999999999998</v>
      </c>
      <c r="L32" s="53">
        <v>26.76</v>
      </c>
      <c r="M32" s="53">
        <v>101.6</v>
      </c>
      <c r="N32" s="53">
        <v>41</v>
      </c>
      <c r="O32" s="53">
        <v>0</v>
      </c>
      <c r="P32" s="53">
        <v>0.72</v>
      </c>
      <c r="Q32" s="53">
        <v>9.91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7.94</v>
      </c>
      <c r="C34" s="28">
        <f t="shared" si="0"/>
        <v>2.94</v>
      </c>
      <c r="D34" s="28">
        <f t="shared" si="0"/>
        <v>11.7</v>
      </c>
      <c r="E34" s="28">
        <f t="shared" si="0"/>
        <v>3.18</v>
      </c>
      <c r="F34" s="28">
        <f t="shared" si="0"/>
        <v>3.35</v>
      </c>
      <c r="G34" s="28">
        <f t="shared" si="0"/>
        <v>14.01</v>
      </c>
      <c r="H34" s="28">
        <f t="shared" si="0"/>
        <v>2.83</v>
      </c>
      <c r="I34" s="28">
        <f t="shared" si="0"/>
        <v>3.29</v>
      </c>
      <c r="J34" s="28">
        <f t="shared" si="0"/>
        <v>0.1</v>
      </c>
      <c r="K34" s="28">
        <f t="shared" si="0"/>
        <v>109.1</v>
      </c>
      <c r="L34" s="28">
        <f t="shared" si="0"/>
        <v>24.53</v>
      </c>
      <c r="M34" s="28">
        <f t="shared" si="0"/>
        <v>75.88</v>
      </c>
      <c r="N34" s="28">
        <f t="shared" si="0"/>
        <v>39.5</v>
      </c>
      <c r="O34" s="28">
        <f t="shared" si="0"/>
        <v>0</v>
      </c>
      <c r="P34" s="28">
        <f t="shared" si="0"/>
        <v>0.39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8.06</v>
      </c>
      <c r="C35" s="29">
        <f t="shared" si="1"/>
        <v>3.36</v>
      </c>
      <c r="D35" s="29">
        <f t="shared" si="1"/>
        <v>11.9</v>
      </c>
      <c r="E35" s="29">
        <f t="shared" si="1"/>
        <v>5.65</v>
      </c>
      <c r="F35" s="29">
        <f t="shared" si="1"/>
        <v>18.37</v>
      </c>
      <c r="G35" s="29">
        <f t="shared" si="1"/>
        <v>86.49</v>
      </c>
      <c r="H35" s="29">
        <f t="shared" si="1"/>
        <v>63.88</v>
      </c>
      <c r="I35" s="29">
        <f t="shared" si="1"/>
        <v>6.44</v>
      </c>
      <c r="J35" s="29">
        <f t="shared" si="1"/>
        <v>0.75</v>
      </c>
      <c r="K35" s="29">
        <f t="shared" si="1"/>
        <v>359.51</v>
      </c>
      <c r="L35" s="29">
        <f t="shared" si="1"/>
        <v>34.14</v>
      </c>
      <c r="M35" s="29">
        <f t="shared" si="1"/>
        <v>101.67</v>
      </c>
      <c r="N35" s="29">
        <f t="shared" si="1"/>
        <v>874.6</v>
      </c>
      <c r="O35" s="29">
        <f t="shared" si="1"/>
        <v>0</v>
      </c>
      <c r="P35" s="29">
        <f t="shared" si="1"/>
        <v>0.9</v>
      </c>
      <c r="Q35" s="29">
        <f t="shared" si="1"/>
        <v>10.08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7.9879166666666661</v>
      </c>
      <c r="C36" s="28">
        <f t="shared" si="2"/>
        <v>3.0812499999999989</v>
      </c>
      <c r="D36" s="28">
        <f t="shared" si="2"/>
        <v>11.788333333333334</v>
      </c>
      <c r="E36" s="28">
        <f t="shared" si="2"/>
        <v>4.3779166666666667</v>
      </c>
      <c r="F36" s="28">
        <f t="shared" si="2"/>
        <v>5.3758333333333335</v>
      </c>
      <c r="G36" s="28">
        <f t="shared" si="2"/>
        <v>48.412083333333335</v>
      </c>
      <c r="H36" s="28">
        <f t="shared" si="2"/>
        <v>25.506666666666664</v>
      </c>
      <c r="I36" s="28">
        <f t="shared" si="2"/>
        <v>4.7958333333333334</v>
      </c>
      <c r="J36" s="28">
        <f t="shared" si="2"/>
        <v>0.37541666666666673</v>
      </c>
      <c r="K36" s="28">
        <f t="shared" si="2"/>
        <v>297.70208333333335</v>
      </c>
      <c r="L36" s="28">
        <f t="shared" si="2"/>
        <v>28.895416666666666</v>
      </c>
      <c r="M36" s="28">
        <f t="shared" si="2"/>
        <v>95.05916666666667</v>
      </c>
      <c r="N36" s="28">
        <f t="shared" si="2"/>
        <v>226.06666666666669</v>
      </c>
      <c r="O36" s="28">
        <f t="shared" si="2"/>
        <v>0</v>
      </c>
      <c r="P36" s="28">
        <f t="shared" si="2"/>
        <v>0.61875000000000013</v>
      </c>
      <c r="Q36" s="28">
        <f t="shared" si="2"/>
        <v>9.814583333333335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3.1343700104357074E-2</v>
      </c>
      <c r="C37" s="28">
        <f t="shared" ref="C37:Q37" si="3">STDEV(C9:C32)</f>
        <v>9.2139426485318851E-2</v>
      </c>
      <c r="D37" s="28">
        <f t="shared" si="3"/>
        <v>5.4586721324215264E-2</v>
      </c>
      <c r="E37" s="28">
        <f t="shared" si="3"/>
        <v>0.63408941329908308</v>
      </c>
      <c r="F37" s="28">
        <f t="shared" si="3"/>
        <v>3.520622371691966</v>
      </c>
      <c r="G37" s="28">
        <f t="shared" si="3"/>
        <v>26.182841706332024</v>
      </c>
      <c r="H37" s="28">
        <f t="shared" si="3"/>
        <v>15.02307867095235</v>
      </c>
      <c r="I37" s="28">
        <f t="shared" si="3"/>
        <v>0.98919342051411041</v>
      </c>
      <c r="J37" s="28">
        <f t="shared" si="3"/>
        <v>0.20220478570577599</v>
      </c>
      <c r="K37" s="28">
        <f t="shared" si="3"/>
        <v>87.228350346470819</v>
      </c>
      <c r="L37" s="28">
        <f t="shared" si="3"/>
        <v>3.4513966664635243</v>
      </c>
      <c r="M37" s="28">
        <f t="shared" si="3"/>
        <v>9.533026307511701</v>
      </c>
      <c r="N37" s="28">
        <f t="shared" si="3"/>
        <v>270.96600567577485</v>
      </c>
      <c r="O37" s="28">
        <f t="shared" si="3"/>
        <v>0</v>
      </c>
      <c r="P37" s="28">
        <f t="shared" si="3"/>
        <v>0.16376846062551853</v>
      </c>
      <c r="Q37" s="28">
        <f t="shared" si="3"/>
        <v>0.14986890406551015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204</v>
      </c>
      <c r="B9" s="53">
        <v>8.01</v>
      </c>
      <c r="C9" s="53">
        <v>3.01</v>
      </c>
      <c r="D9" s="53">
        <v>11.76</v>
      </c>
      <c r="E9" s="53">
        <v>4.5</v>
      </c>
      <c r="F9" s="53">
        <v>3.57</v>
      </c>
      <c r="G9" s="53">
        <v>35.39</v>
      </c>
      <c r="H9" s="53">
        <v>18.71</v>
      </c>
      <c r="I9" s="53">
        <v>4.54</v>
      </c>
      <c r="J9" s="53">
        <v>0.1</v>
      </c>
      <c r="K9" s="53">
        <v>308.62</v>
      </c>
      <c r="L9" s="53">
        <v>26.28</v>
      </c>
      <c r="M9" s="53">
        <v>101.6</v>
      </c>
      <c r="N9" s="53">
        <v>41</v>
      </c>
      <c r="O9" s="53">
        <v>0</v>
      </c>
      <c r="P9" s="53">
        <v>0.68</v>
      </c>
      <c r="Q9" s="53">
        <v>9.89</v>
      </c>
      <c r="R9" s="43"/>
      <c r="S9" s="43"/>
      <c r="T9" s="43"/>
      <c r="U9" s="43"/>
    </row>
    <row r="10" spans="1:21" s="11" customFormat="1" x14ac:dyDescent="0.25">
      <c r="A10" s="52" t="s">
        <v>205</v>
      </c>
      <c r="B10" s="53">
        <v>8</v>
      </c>
      <c r="C10" s="53">
        <v>2.97</v>
      </c>
      <c r="D10" s="53">
        <v>11.74</v>
      </c>
      <c r="E10" s="53">
        <v>4.82</v>
      </c>
      <c r="F10" s="53">
        <v>4.6399999999999997</v>
      </c>
      <c r="G10" s="53">
        <v>32.840000000000003</v>
      </c>
      <c r="H10" s="53">
        <v>16.5</v>
      </c>
      <c r="I10" s="53">
        <v>4.92</v>
      </c>
      <c r="J10" s="53">
        <v>0.16</v>
      </c>
      <c r="K10" s="53">
        <v>229.61</v>
      </c>
      <c r="L10" s="53">
        <v>26.18</v>
      </c>
      <c r="M10" s="53">
        <v>101.63</v>
      </c>
      <c r="N10" s="53">
        <v>40.799999999999997</v>
      </c>
      <c r="O10" s="53">
        <v>0</v>
      </c>
      <c r="P10" s="53">
        <v>0.63</v>
      </c>
      <c r="Q10" s="53">
        <v>9.8800000000000008</v>
      </c>
      <c r="R10" s="43"/>
      <c r="S10" s="43"/>
      <c r="T10" s="43"/>
      <c r="U10" s="43"/>
    </row>
    <row r="11" spans="1:21" s="11" customFormat="1" x14ac:dyDescent="0.25">
      <c r="A11" s="52" t="s">
        <v>206</v>
      </c>
      <c r="B11" s="53">
        <v>7.98</v>
      </c>
      <c r="C11" s="53">
        <v>3.02</v>
      </c>
      <c r="D11" s="53">
        <v>11.75</v>
      </c>
      <c r="E11" s="53">
        <v>4.62</v>
      </c>
      <c r="F11" s="53">
        <v>3.95</v>
      </c>
      <c r="G11" s="53">
        <v>27.48</v>
      </c>
      <c r="H11" s="53">
        <v>11.22</v>
      </c>
      <c r="I11" s="53">
        <v>4.78</v>
      </c>
      <c r="J11" s="53">
        <v>0.1</v>
      </c>
      <c r="K11" s="53">
        <v>326.26</v>
      </c>
      <c r="L11" s="53">
        <v>25.8</v>
      </c>
      <c r="M11" s="53">
        <v>101.66</v>
      </c>
      <c r="N11" s="53">
        <v>40.799999999999997</v>
      </c>
      <c r="O11" s="53">
        <v>0</v>
      </c>
      <c r="P11" s="53">
        <v>0.56999999999999995</v>
      </c>
      <c r="Q11" s="53">
        <v>9.76</v>
      </c>
      <c r="R11" s="43"/>
      <c r="S11" s="43"/>
      <c r="T11" s="43"/>
      <c r="U11" s="43"/>
    </row>
    <row r="12" spans="1:21" s="11" customFormat="1" x14ac:dyDescent="0.25">
      <c r="A12" s="52" t="s">
        <v>207</v>
      </c>
      <c r="B12" s="53">
        <v>7.98</v>
      </c>
      <c r="C12" s="53">
        <v>2.98</v>
      </c>
      <c r="D12" s="53">
        <v>11.71</v>
      </c>
      <c r="E12" s="53">
        <v>4.5199999999999996</v>
      </c>
      <c r="F12" s="53">
        <v>3.87</v>
      </c>
      <c r="G12" s="53">
        <v>23.8</v>
      </c>
      <c r="H12" s="53">
        <v>10.32</v>
      </c>
      <c r="I12" s="53">
        <v>4.3099999999999996</v>
      </c>
      <c r="J12" s="53">
        <v>0.27</v>
      </c>
      <c r="K12" s="53">
        <v>338.45</v>
      </c>
      <c r="L12" s="53">
        <v>25.87</v>
      </c>
      <c r="M12" s="53">
        <v>101.68</v>
      </c>
      <c r="N12" s="53">
        <v>41.5</v>
      </c>
      <c r="O12" s="53">
        <v>0</v>
      </c>
      <c r="P12" s="53">
        <v>0.5</v>
      </c>
      <c r="Q12" s="53">
        <v>9.76</v>
      </c>
      <c r="R12" s="43"/>
      <c r="S12" s="43"/>
      <c r="T12" s="43"/>
      <c r="U12" s="43"/>
    </row>
    <row r="13" spans="1:21" s="11" customFormat="1" x14ac:dyDescent="0.25">
      <c r="A13" s="52" t="s">
        <v>208</v>
      </c>
      <c r="B13" s="53">
        <v>8.01</v>
      </c>
      <c r="C13" s="53">
        <v>2.98</v>
      </c>
      <c r="D13" s="53">
        <v>11.75</v>
      </c>
      <c r="E13" s="53">
        <v>4.96</v>
      </c>
      <c r="F13" s="53">
        <v>3.52</v>
      </c>
      <c r="G13" s="53">
        <v>18.77</v>
      </c>
      <c r="H13" s="53">
        <v>13.11</v>
      </c>
      <c r="I13" s="53">
        <v>4.29</v>
      </c>
      <c r="J13" s="53">
        <v>0.11</v>
      </c>
      <c r="K13" s="53">
        <v>290.69</v>
      </c>
      <c r="L13" s="53">
        <v>25.88</v>
      </c>
      <c r="M13" s="53">
        <v>101.67</v>
      </c>
      <c r="N13" s="53">
        <v>41.4</v>
      </c>
      <c r="O13" s="53">
        <v>0</v>
      </c>
      <c r="P13" s="53">
        <v>0.45</v>
      </c>
      <c r="Q13" s="53">
        <v>9.76</v>
      </c>
      <c r="R13" s="43"/>
      <c r="S13" s="43"/>
      <c r="T13" s="43"/>
      <c r="U13" s="43"/>
    </row>
    <row r="14" spans="1:21" s="11" customFormat="1" x14ac:dyDescent="0.25">
      <c r="A14" s="52" t="s">
        <v>209</v>
      </c>
      <c r="B14" s="53">
        <v>7.99</v>
      </c>
      <c r="C14" s="53">
        <v>2.97</v>
      </c>
      <c r="D14" s="53">
        <v>11.74</v>
      </c>
      <c r="E14" s="53">
        <v>5.28</v>
      </c>
      <c r="F14" s="53">
        <v>4.1100000000000003</v>
      </c>
      <c r="G14" s="53">
        <v>19.43</v>
      </c>
      <c r="H14" s="53">
        <v>12.68</v>
      </c>
      <c r="I14" s="53">
        <v>4.59</v>
      </c>
      <c r="J14" s="53">
        <v>0.1</v>
      </c>
      <c r="K14" s="53">
        <v>229.73</v>
      </c>
      <c r="L14" s="53">
        <v>25.57</v>
      </c>
      <c r="M14" s="53">
        <v>101.68</v>
      </c>
      <c r="N14" s="53">
        <v>45.1</v>
      </c>
      <c r="O14" s="53">
        <v>0</v>
      </c>
      <c r="P14" s="53">
        <v>0.41</v>
      </c>
      <c r="Q14" s="53">
        <v>9.75</v>
      </c>
      <c r="R14" s="43"/>
      <c r="S14" s="43"/>
      <c r="T14" s="43"/>
      <c r="U14" s="43"/>
    </row>
    <row r="15" spans="1:21" s="11" customFormat="1" x14ac:dyDescent="0.25">
      <c r="A15" s="52" t="s">
        <v>210</v>
      </c>
      <c r="B15" s="53">
        <v>7.96</v>
      </c>
      <c r="C15" s="53">
        <v>2.96</v>
      </c>
      <c r="D15" s="53">
        <v>11.7</v>
      </c>
      <c r="E15" s="53">
        <v>5.52</v>
      </c>
      <c r="F15" s="53">
        <v>3.7</v>
      </c>
      <c r="G15" s="53">
        <v>17.5</v>
      </c>
      <c r="H15" s="53">
        <v>16.440000000000001</v>
      </c>
      <c r="I15" s="53">
        <v>4.6500000000000004</v>
      </c>
      <c r="J15" s="53">
        <v>0.19</v>
      </c>
      <c r="K15" s="53">
        <v>202.98</v>
      </c>
      <c r="L15" s="53">
        <v>26.67</v>
      </c>
      <c r="M15" s="53">
        <v>101.68</v>
      </c>
      <c r="N15" s="53">
        <v>166.4</v>
      </c>
      <c r="O15" s="53">
        <v>0</v>
      </c>
      <c r="P15" s="53">
        <v>0.38</v>
      </c>
      <c r="Q15" s="53">
        <v>9.7100000000000009</v>
      </c>
      <c r="R15" s="43"/>
      <c r="S15" s="43"/>
      <c r="T15" s="43"/>
      <c r="U15" s="43"/>
    </row>
    <row r="16" spans="1:21" s="11" customFormat="1" x14ac:dyDescent="0.25">
      <c r="A16" s="52" t="s">
        <v>211</v>
      </c>
      <c r="B16" s="53">
        <v>7.97</v>
      </c>
      <c r="C16" s="53">
        <v>3.02</v>
      </c>
      <c r="D16" s="53">
        <v>11.74</v>
      </c>
      <c r="E16" s="53">
        <v>5.01</v>
      </c>
      <c r="F16" s="53">
        <v>3.76</v>
      </c>
      <c r="G16" s="53">
        <v>20.02</v>
      </c>
      <c r="H16" s="53">
        <v>12.49</v>
      </c>
      <c r="I16" s="53">
        <v>4.17</v>
      </c>
      <c r="J16" s="53">
        <v>0.17</v>
      </c>
      <c r="K16" s="53">
        <v>336.69</v>
      </c>
      <c r="L16" s="53">
        <v>29.88</v>
      </c>
      <c r="M16" s="53">
        <v>101.19</v>
      </c>
      <c r="N16" s="53">
        <v>359.2</v>
      </c>
      <c r="O16" s="53">
        <v>0</v>
      </c>
      <c r="P16" s="53">
        <v>0.42</v>
      </c>
      <c r="Q16" s="53">
        <v>9.6999999999999993</v>
      </c>
      <c r="R16" s="43"/>
      <c r="S16" s="43"/>
      <c r="T16" s="43"/>
      <c r="U16" s="43"/>
    </row>
    <row r="17" spans="1:21" s="11" customFormat="1" x14ac:dyDescent="0.25">
      <c r="A17" s="52" t="s">
        <v>212</v>
      </c>
      <c r="B17" s="53">
        <v>8.01</v>
      </c>
      <c r="C17" s="53">
        <v>3.07</v>
      </c>
      <c r="D17" s="53">
        <v>11.79</v>
      </c>
      <c r="E17" s="53">
        <v>4.22</v>
      </c>
      <c r="F17" s="53">
        <v>3.75</v>
      </c>
      <c r="G17" s="53">
        <v>25.07</v>
      </c>
      <c r="H17" s="53">
        <v>14.11</v>
      </c>
      <c r="I17" s="53">
        <v>3.66</v>
      </c>
      <c r="J17" s="53">
        <v>0.42</v>
      </c>
      <c r="K17" s="53">
        <v>352.52</v>
      </c>
      <c r="L17" s="53">
        <v>34.020000000000003</v>
      </c>
      <c r="M17" s="53">
        <v>89.1</v>
      </c>
      <c r="N17" s="53">
        <v>624.29999999999995</v>
      </c>
      <c r="O17" s="53">
        <v>0</v>
      </c>
      <c r="P17" s="53">
        <v>0.43</v>
      </c>
      <c r="Q17" s="53">
        <v>9.7200000000000006</v>
      </c>
      <c r="R17" s="43"/>
      <c r="S17" s="43"/>
      <c r="T17" s="43"/>
      <c r="U17" s="43"/>
    </row>
    <row r="18" spans="1:21" s="11" customFormat="1" x14ac:dyDescent="0.25">
      <c r="A18" s="52" t="s">
        <v>213</v>
      </c>
      <c r="B18" s="53">
        <v>8.01</v>
      </c>
      <c r="C18" s="53">
        <v>3.03</v>
      </c>
      <c r="D18" s="53">
        <v>11.77</v>
      </c>
      <c r="E18" s="53">
        <v>4.4000000000000004</v>
      </c>
      <c r="F18" s="53">
        <v>4.16</v>
      </c>
      <c r="G18" s="53">
        <v>29.32</v>
      </c>
      <c r="H18" s="53">
        <v>714.13</v>
      </c>
      <c r="I18" s="53">
        <v>4.2699999999999996</v>
      </c>
      <c r="J18" s="53">
        <v>0.8</v>
      </c>
      <c r="K18" s="53">
        <v>347.57</v>
      </c>
      <c r="L18" s="53">
        <v>36.630000000000003</v>
      </c>
      <c r="M18" s="53">
        <v>69.55</v>
      </c>
      <c r="N18" s="53">
        <v>731.3</v>
      </c>
      <c r="O18" s="53">
        <v>0</v>
      </c>
      <c r="P18" s="53">
        <v>0.44</v>
      </c>
      <c r="Q18" s="53">
        <v>9.81</v>
      </c>
      <c r="R18" s="43"/>
      <c r="S18" s="43"/>
      <c r="T18" s="43"/>
      <c r="U18" s="43"/>
    </row>
    <row r="19" spans="1:21" s="11" customFormat="1" x14ac:dyDescent="0.25">
      <c r="A19" s="52" t="s">
        <v>214</v>
      </c>
      <c r="B19" s="53">
        <v>7.97</v>
      </c>
      <c r="C19" s="53">
        <v>3.07</v>
      </c>
      <c r="D19" s="53">
        <v>11.77</v>
      </c>
      <c r="E19" s="53">
        <v>4.53</v>
      </c>
      <c r="F19" s="53">
        <v>4.17</v>
      </c>
      <c r="G19" s="53">
        <v>38.69</v>
      </c>
      <c r="H19" s="53">
        <v>1502.1</v>
      </c>
      <c r="I19" s="53">
        <v>4.34</v>
      </c>
      <c r="J19" s="53">
        <v>0.67</v>
      </c>
      <c r="K19" s="53">
        <v>341.23</v>
      </c>
      <c r="L19" s="53">
        <v>35.17</v>
      </c>
      <c r="M19" s="53">
        <v>71.260000000000005</v>
      </c>
      <c r="N19" s="53">
        <v>667.8</v>
      </c>
      <c r="O19" s="53">
        <v>0</v>
      </c>
      <c r="P19" s="53">
        <v>0.51</v>
      </c>
      <c r="Q19" s="53">
        <v>9.7899999999999991</v>
      </c>
      <c r="R19" s="43"/>
      <c r="S19" s="43"/>
      <c r="T19" s="43"/>
      <c r="U19" s="43"/>
    </row>
    <row r="20" spans="1:21" s="11" customFormat="1" x14ac:dyDescent="0.25">
      <c r="A20" s="52" t="s">
        <v>215</v>
      </c>
      <c r="B20" s="53">
        <v>7.98</v>
      </c>
      <c r="C20" s="53">
        <v>3.05</v>
      </c>
      <c r="D20" s="53">
        <v>11.77</v>
      </c>
      <c r="E20" s="53">
        <v>4.3899999999999997</v>
      </c>
      <c r="F20" s="53">
        <v>4.9800000000000004</v>
      </c>
      <c r="G20" s="53">
        <v>53.48</v>
      </c>
      <c r="H20" s="53">
        <v>80.930000000000007</v>
      </c>
      <c r="I20" s="53">
        <v>4.54</v>
      </c>
      <c r="J20" s="53">
        <v>0.27</v>
      </c>
      <c r="K20" s="53">
        <v>347.55</v>
      </c>
      <c r="L20" s="53">
        <v>33.26</v>
      </c>
      <c r="M20" s="53">
        <v>83.18</v>
      </c>
      <c r="N20" s="53">
        <v>803.9</v>
      </c>
      <c r="O20" s="53">
        <v>0</v>
      </c>
      <c r="P20" s="53">
        <v>0.51</v>
      </c>
      <c r="Q20" s="53">
        <v>9.76</v>
      </c>
      <c r="R20" s="43"/>
      <c r="S20" s="43"/>
      <c r="T20" s="43"/>
      <c r="U20" s="43"/>
    </row>
    <row r="21" spans="1:21" s="11" customFormat="1" x14ac:dyDescent="0.25">
      <c r="A21" s="52" t="s">
        <v>216</v>
      </c>
      <c r="B21" s="53">
        <v>8</v>
      </c>
      <c r="C21" s="53">
        <v>3.04</v>
      </c>
      <c r="D21" s="53">
        <v>11.78</v>
      </c>
      <c r="E21" s="53">
        <v>4.9800000000000004</v>
      </c>
      <c r="F21" s="53">
        <v>4.8600000000000003</v>
      </c>
      <c r="G21" s="53">
        <v>46.09</v>
      </c>
      <c r="H21" s="53">
        <v>168.28</v>
      </c>
      <c r="I21" s="53">
        <v>4.33</v>
      </c>
      <c r="J21" s="53">
        <v>0.39</v>
      </c>
      <c r="K21" s="53">
        <v>330.45</v>
      </c>
      <c r="L21" s="53">
        <v>33.83</v>
      </c>
      <c r="M21" s="53">
        <v>89.46</v>
      </c>
      <c r="N21" s="53">
        <v>347.2</v>
      </c>
      <c r="O21" s="53">
        <v>1.4</v>
      </c>
      <c r="P21" s="53">
        <v>0.5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217</v>
      </c>
      <c r="B22" s="53">
        <v>8</v>
      </c>
      <c r="C22" s="53">
        <v>3.03</v>
      </c>
      <c r="D22" s="53">
        <v>11.77</v>
      </c>
      <c r="E22" s="53">
        <v>5.2</v>
      </c>
      <c r="F22" s="53">
        <v>4.5599999999999996</v>
      </c>
      <c r="G22" s="53">
        <v>45.92</v>
      </c>
      <c r="H22" s="53">
        <v>33.97</v>
      </c>
      <c r="I22" s="53">
        <v>4.22</v>
      </c>
      <c r="J22" s="53">
        <v>0.16</v>
      </c>
      <c r="K22" s="53">
        <v>343.97</v>
      </c>
      <c r="L22" s="53">
        <v>27.99</v>
      </c>
      <c r="M22" s="53">
        <v>101.57</v>
      </c>
      <c r="N22" s="53">
        <v>179</v>
      </c>
      <c r="O22" s="53">
        <v>0</v>
      </c>
      <c r="P22" s="53">
        <v>0.48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218</v>
      </c>
      <c r="B23" s="53">
        <v>7.96</v>
      </c>
      <c r="C23" s="53">
        <v>2.99</v>
      </c>
      <c r="D23" s="53">
        <v>11.72</v>
      </c>
      <c r="E23" s="53">
        <v>5.38</v>
      </c>
      <c r="F23" s="53">
        <v>4.9800000000000004</v>
      </c>
      <c r="G23" s="53">
        <v>43.43</v>
      </c>
      <c r="H23" s="53">
        <v>23.75</v>
      </c>
      <c r="I23" s="53">
        <v>3.75</v>
      </c>
      <c r="J23" s="53">
        <v>0.19</v>
      </c>
      <c r="K23" s="53">
        <v>353</v>
      </c>
      <c r="L23" s="53">
        <v>30.59</v>
      </c>
      <c r="M23" s="53">
        <v>100.97</v>
      </c>
      <c r="N23" s="53">
        <v>303.5</v>
      </c>
      <c r="O23" s="53">
        <v>0</v>
      </c>
      <c r="P23" s="53">
        <v>0.49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219</v>
      </c>
      <c r="B24" s="53">
        <v>7.95</v>
      </c>
      <c r="C24" s="53">
        <v>3.01</v>
      </c>
      <c r="D24" s="53">
        <v>11.72</v>
      </c>
      <c r="E24" s="53">
        <v>5.34</v>
      </c>
      <c r="F24" s="53">
        <v>5.01</v>
      </c>
      <c r="G24" s="53">
        <v>41.74</v>
      </c>
      <c r="H24" s="53">
        <v>26.55</v>
      </c>
      <c r="I24" s="53">
        <v>3.29</v>
      </c>
      <c r="J24" s="53">
        <v>0.45</v>
      </c>
      <c r="K24" s="53">
        <v>331.36</v>
      </c>
      <c r="L24" s="53">
        <v>30.83</v>
      </c>
      <c r="M24" s="53">
        <v>91.93</v>
      </c>
      <c r="N24" s="53">
        <v>225.4</v>
      </c>
      <c r="O24" s="53">
        <v>0</v>
      </c>
      <c r="P24" s="53">
        <v>0.52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220</v>
      </c>
      <c r="B25" s="53">
        <v>7.97</v>
      </c>
      <c r="C25" s="53">
        <v>3.03</v>
      </c>
      <c r="D25" s="53">
        <v>11.74</v>
      </c>
      <c r="E25" s="53">
        <v>4.12</v>
      </c>
      <c r="F25" s="53">
        <v>3.73</v>
      </c>
      <c r="G25" s="53">
        <v>45.25</v>
      </c>
      <c r="H25" s="53">
        <v>20.93</v>
      </c>
      <c r="I25" s="53">
        <v>2.75</v>
      </c>
      <c r="J25" s="53">
        <v>0.34</v>
      </c>
      <c r="K25" s="53">
        <v>340.88</v>
      </c>
      <c r="L25" s="53">
        <v>31.19</v>
      </c>
      <c r="M25" s="53">
        <v>89.86</v>
      </c>
      <c r="N25" s="53">
        <v>230.8</v>
      </c>
      <c r="O25" s="53">
        <v>0</v>
      </c>
      <c r="P25" s="53">
        <v>0.57999999999999996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221</v>
      </c>
      <c r="B26" s="53">
        <v>7.98</v>
      </c>
      <c r="C26" s="53">
        <v>2.99</v>
      </c>
      <c r="D26" s="53">
        <v>11.74</v>
      </c>
      <c r="E26" s="53">
        <v>4.1399999999999997</v>
      </c>
      <c r="F26" s="53">
        <v>3.97</v>
      </c>
      <c r="G26" s="53">
        <v>52.1</v>
      </c>
      <c r="H26" s="53">
        <v>36.15</v>
      </c>
      <c r="I26" s="53">
        <v>4.79</v>
      </c>
      <c r="J26" s="53">
        <v>0.3</v>
      </c>
      <c r="K26" s="53">
        <v>300.77</v>
      </c>
      <c r="L26" s="53">
        <v>29.96</v>
      </c>
      <c r="M26" s="53">
        <v>97.53</v>
      </c>
      <c r="N26" s="53">
        <v>87.6</v>
      </c>
      <c r="O26" s="53">
        <v>0</v>
      </c>
      <c r="P26" s="53">
        <v>0.72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222</v>
      </c>
      <c r="B27" s="53">
        <v>7.96</v>
      </c>
      <c r="C27" s="53">
        <v>2.95</v>
      </c>
      <c r="D27" s="53">
        <v>11.69</v>
      </c>
      <c r="E27" s="53">
        <v>4.29</v>
      </c>
      <c r="F27" s="53">
        <v>4.5599999999999996</v>
      </c>
      <c r="G27" s="53">
        <v>59.98</v>
      </c>
      <c r="H27" s="53">
        <v>44.18</v>
      </c>
      <c r="I27" s="53">
        <v>6.07</v>
      </c>
      <c r="J27" s="53">
        <v>0.09</v>
      </c>
      <c r="K27" s="53">
        <v>137.56</v>
      </c>
      <c r="L27" s="53">
        <v>29.01</v>
      </c>
      <c r="M27" s="53">
        <v>97</v>
      </c>
      <c r="N27" s="53">
        <v>45.6</v>
      </c>
      <c r="O27" s="53">
        <v>0</v>
      </c>
      <c r="P27" s="53">
        <v>0.76</v>
      </c>
      <c r="Q27" s="53">
        <v>9.66</v>
      </c>
      <c r="R27" s="43"/>
      <c r="S27" s="43"/>
      <c r="T27" s="43"/>
      <c r="U27" s="43"/>
    </row>
    <row r="28" spans="1:21" s="11" customFormat="1" x14ac:dyDescent="0.25">
      <c r="A28" s="52" t="s">
        <v>223</v>
      </c>
      <c r="B28" s="53">
        <v>7.96</v>
      </c>
      <c r="C28" s="53">
        <v>3.09</v>
      </c>
      <c r="D28" s="53">
        <v>11.77</v>
      </c>
      <c r="E28" s="53">
        <v>4.92</v>
      </c>
      <c r="F28" s="53">
        <v>3.91</v>
      </c>
      <c r="G28" s="53">
        <v>61.51</v>
      </c>
      <c r="H28" s="53">
        <v>32.18</v>
      </c>
      <c r="I28" s="53">
        <v>6.06</v>
      </c>
      <c r="J28" s="53">
        <v>0.09</v>
      </c>
      <c r="K28" s="53">
        <v>330</v>
      </c>
      <c r="L28" s="53">
        <v>28.57</v>
      </c>
      <c r="M28" s="53">
        <v>99.83</v>
      </c>
      <c r="N28" s="53">
        <v>43.8</v>
      </c>
      <c r="O28" s="53">
        <v>0</v>
      </c>
      <c r="P28" s="53">
        <v>0.81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224</v>
      </c>
      <c r="B29" s="53">
        <v>7.98</v>
      </c>
      <c r="C29" s="53">
        <v>3.02</v>
      </c>
      <c r="D29" s="53">
        <v>11.74</v>
      </c>
      <c r="E29" s="53">
        <v>5.14</v>
      </c>
      <c r="F29" s="53">
        <v>3.66</v>
      </c>
      <c r="G29" s="53">
        <v>67.569999999999993</v>
      </c>
      <c r="H29" s="53">
        <v>31.69</v>
      </c>
      <c r="I29" s="53">
        <v>6.59</v>
      </c>
      <c r="J29" s="53">
        <v>0.3</v>
      </c>
      <c r="K29" s="53">
        <v>352.11</v>
      </c>
      <c r="L29" s="53">
        <v>28.41</v>
      </c>
      <c r="M29" s="53">
        <v>101.62</v>
      </c>
      <c r="N29" s="53">
        <v>44</v>
      </c>
      <c r="O29" s="53">
        <v>0.6</v>
      </c>
      <c r="P29" s="53">
        <v>0.98</v>
      </c>
      <c r="Q29" s="53">
        <v>9.65</v>
      </c>
      <c r="R29" s="43"/>
      <c r="S29" s="43"/>
      <c r="T29" s="43"/>
      <c r="U29" s="43"/>
    </row>
    <row r="30" spans="1:21" s="11" customFormat="1" x14ac:dyDescent="0.25">
      <c r="A30" s="52" t="s">
        <v>225</v>
      </c>
      <c r="B30" s="53">
        <v>8.0299999999999994</v>
      </c>
      <c r="C30" s="53">
        <v>3.03</v>
      </c>
      <c r="D30" s="53">
        <v>11.79</v>
      </c>
      <c r="E30" s="53">
        <v>5.33</v>
      </c>
      <c r="F30" s="53">
        <v>3.63</v>
      </c>
      <c r="G30" s="53">
        <v>75.39</v>
      </c>
      <c r="H30" s="53">
        <v>36.64</v>
      </c>
      <c r="I30" s="53">
        <v>7.97</v>
      </c>
      <c r="J30" s="53">
        <v>0.14000000000000001</v>
      </c>
      <c r="K30" s="53">
        <v>302.3</v>
      </c>
      <c r="L30" s="53">
        <v>27.12</v>
      </c>
      <c r="M30" s="53">
        <v>101.68</v>
      </c>
      <c r="N30" s="53">
        <v>43.8</v>
      </c>
      <c r="O30" s="53">
        <v>0.2</v>
      </c>
      <c r="P30" s="53">
        <v>1.19</v>
      </c>
      <c r="Q30" s="53">
        <v>9.86</v>
      </c>
      <c r="R30" s="43"/>
      <c r="S30" s="43"/>
      <c r="T30" s="43"/>
      <c r="U30" s="43"/>
    </row>
    <row r="31" spans="1:21" s="11" customFormat="1" x14ac:dyDescent="0.25">
      <c r="A31" s="52" t="s">
        <v>226</v>
      </c>
      <c r="B31" s="53">
        <v>8.01</v>
      </c>
      <c r="C31" s="53">
        <v>3.05</v>
      </c>
      <c r="D31" s="53">
        <v>11.78</v>
      </c>
      <c r="E31" s="53">
        <v>5.45</v>
      </c>
      <c r="F31" s="53">
        <v>3.81</v>
      </c>
      <c r="G31" s="53">
        <v>75.069999999999993</v>
      </c>
      <c r="H31" s="53">
        <v>38.32</v>
      </c>
      <c r="I31" s="53">
        <v>8.9</v>
      </c>
      <c r="J31" s="53">
        <v>0.15</v>
      </c>
      <c r="K31" s="53">
        <v>335.34</v>
      </c>
      <c r="L31" s="53">
        <v>26.85</v>
      </c>
      <c r="M31" s="53">
        <v>101.68</v>
      </c>
      <c r="N31" s="53">
        <v>43.9</v>
      </c>
      <c r="O31" s="53">
        <v>0</v>
      </c>
      <c r="P31" s="53">
        <v>1.37</v>
      </c>
      <c r="Q31" s="53">
        <v>10.15</v>
      </c>
      <c r="R31" s="43"/>
      <c r="S31" s="43"/>
      <c r="T31" s="43"/>
      <c r="U31" s="43"/>
    </row>
    <row r="32" spans="1:21" s="11" customFormat="1" x14ac:dyDescent="0.25">
      <c r="A32" s="52" t="s">
        <v>227</v>
      </c>
      <c r="B32" s="53">
        <v>8.1</v>
      </c>
      <c r="C32" s="53">
        <v>3.21</v>
      </c>
      <c r="D32" s="53">
        <v>11.95</v>
      </c>
      <c r="E32" s="53">
        <v>5.76</v>
      </c>
      <c r="F32" s="53">
        <v>4.12</v>
      </c>
      <c r="G32" s="53">
        <v>69.88</v>
      </c>
      <c r="H32" s="53">
        <v>39.08</v>
      </c>
      <c r="I32" s="53">
        <v>9.25</v>
      </c>
      <c r="J32" s="53">
        <v>0.16</v>
      </c>
      <c r="K32" s="53">
        <v>347.36</v>
      </c>
      <c r="L32" s="53">
        <v>26.81</v>
      </c>
      <c r="M32" s="53">
        <v>101.68</v>
      </c>
      <c r="N32" s="53">
        <v>43.8</v>
      </c>
      <c r="O32" s="53">
        <v>0</v>
      </c>
      <c r="P32" s="53">
        <v>1.56</v>
      </c>
      <c r="Q32" s="53">
        <v>10.31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11.69</v>
      </c>
      <c r="E34" s="28">
        <f t="shared" si="0"/>
        <v>4.12</v>
      </c>
      <c r="F34" s="28">
        <f t="shared" si="0"/>
        <v>3.52</v>
      </c>
      <c r="G34" s="28">
        <f t="shared" si="0"/>
        <v>17.5</v>
      </c>
      <c r="H34" s="28">
        <f t="shared" si="0"/>
        <v>10.32</v>
      </c>
      <c r="I34" s="28">
        <f t="shared" si="0"/>
        <v>2.75</v>
      </c>
      <c r="J34" s="28">
        <f t="shared" si="0"/>
        <v>0.09</v>
      </c>
      <c r="K34" s="28">
        <f t="shared" si="0"/>
        <v>137.56</v>
      </c>
      <c r="L34" s="28">
        <f t="shared" si="0"/>
        <v>25.57</v>
      </c>
      <c r="M34" s="28">
        <f t="shared" si="0"/>
        <v>69.55</v>
      </c>
      <c r="N34" s="28">
        <f t="shared" si="0"/>
        <v>40.799999999999997</v>
      </c>
      <c r="O34" s="28">
        <f t="shared" si="0"/>
        <v>0</v>
      </c>
      <c r="P34" s="28">
        <f t="shared" si="0"/>
        <v>0.38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</v>
      </c>
      <c r="C35" s="29">
        <f t="shared" si="1"/>
        <v>3.21</v>
      </c>
      <c r="D35" s="29">
        <f t="shared" si="1"/>
        <v>11.95</v>
      </c>
      <c r="E35" s="29">
        <f t="shared" si="1"/>
        <v>5.76</v>
      </c>
      <c r="F35" s="29">
        <f t="shared" si="1"/>
        <v>5.01</v>
      </c>
      <c r="G35" s="29">
        <f t="shared" si="1"/>
        <v>75.39</v>
      </c>
      <c r="H35" s="29">
        <f t="shared" si="1"/>
        <v>1502.1</v>
      </c>
      <c r="I35" s="29">
        <f t="shared" si="1"/>
        <v>9.25</v>
      </c>
      <c r="J35" s="29">
        <f t="shared" si="1"/>
        <v>0.8</v>
      </c>
      <c r="K35" s="29">
        <f t="shared" si="1"/>
        <v>353</v>
      </c>
      <c r="L35" s="29">
        <f t="shared" si="1"/>
        <v>36.630000000000003</v>
      </c>
      <c r="M35" s="29">
        <f t="shared" si="1"/>
        <v>101.68</v>
      </c>
      <c r="N35" s="29">
        <f t="shared" si="1"/>
        <v>803.9</v>
      </c>
      <c r="O35" s="29">
        <f t="shared" si="1"/>
        <v>1.4</v>
      </c>
      <c r="P35" s="29">
        <f t="shared" si="1"/>
        <v>1.56</v>
      </c>
      <c r="Q35" s="29">
        <f t="shared" si="1"/>
        <v>10.31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7.9904166666666656</v>
      </c>
      <c r="C36" s="28">
        <f t="shared" si="2"/>
        <v>3.0237499999999997</v>
      </c>
      <c r="D36" s="28">
        <f t="shared" si="2"/>
        <v>11.7575</v>
      </c>
      <c r="E36" s="28">
        <f t="shared" si="2"/>
        <v>4.8675000000000006</v>
      </c>
      <c r="F36" s="28">
        <f t="shared" si="2"/>
        <v>4.1241666666666674</v>
      </c>
      <c r="G36" s="28">
        <f t="shared" si="2"/>
        <v>42.738333333333344</v>
      </c>
      <c r="H36" s="28">
        <f t="shared" si="2"/>
        <v>123.10249999999998</v>
      </c>
      <c r="I36" s="28">
        <f t="shared" si="2"/>
        <v>5.0429166666666667</v>
      </c>
      <c r="J36" s="28">
        <f t="shared" si="2"/>
        <v>0.255</v>
      </c>
      <c r="K36" s="28">
        <f t="shared" si="2"/>
        <v>310.70833333333331</v>
      </c>
      <c r="L36" s="28">
        <f t="shared" si="2"/>
        <v>29.265416666666667</v>
      </c>
      <c r="M36" s="28">
        <f t="shared" si="2"/>
        <v>95.862083333333317</v>
      </c>
      <c r="N36" s="28">
        <f t="shared" si="2"/>
        <v>218.41250000000005</v>
      </c>
      <c r="O36" s="28">
        <f t="shared" si="2"/>
        <v>9.1666666666666674E-2</v>
      </c>
      <c r="P36" s="28">
        <f t="shared" si="2"/>
        <v>0.66208333333333347</v>
      </c>
      <c r="Q36" s="28">
        <f t="shared" si="2"/>
        <v>9.7650000000000023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3.1551085789442261E-2</v>
      </c>
      <c r="C37" s="28">
        <f t="shared" ref="C37:Q37" si="3">STDEV(C9:C32)</f>
        <v>5.3957511464839195E-2</v>
      </c>
      <c r="D37" s="28">
        <f t="shared" si="3"/>
        <v>4.9277387000176795E-2</v>
      </c>
      <c r="E37" s="28">
        <f t="shared" si="3"/>
        <v>0.48370175863268045</v>
      </c>
      <c r="F37" s="28">
        <f t="shared" si="3"/>
        <v>0.48649515540432275</v>
      </c>
      <c r="G37" s="28">
        <f t="shared" si="3"/>
        <v>18.497336040081798</v>
      </c>
      <c r="H37" s="28">
        <f t="shared" si="3"/>
        <v>326.49408116680542</v>
      </c>
      <c r="I37" s="28">
        <f t="shared" si="3"/>
        <v>1.651061527220189</v>
      </c>
      <c r="J37" s="28">
        <f t="shared" si="3"/>
        <v>0.18403685831210914</v>
      </c>
      <c r="K37" s="28">
        <f t="shared" si="3"/>
        <v>55.574048656346463</v>
      </c>
      <c r="L37" s="28">
        <f t="shared" si="3"/>
        <v>3.2999551764632877</v>
      </c>
      <c r="M37" s="28">
        <f t="shared" si="3"/>
        <v>9.4943552928851478</v>
      </c>
      <c r="N37" s="28">
        <f t="shared" si="3"/>
        <v>247.35174622123773</v>
      </c>
      <c r="O37" s="28">
        <f t="shared" si="3"/>
        <v>0.30633409818390267</v>
      </c>
      <c r="P37" s="28">
        <f t="shared" si="3"/>
        <v>0.31417219270117869</v>
      </c>
      <c r="Q37" s="28">
        <f t="shared" si="3"/>
        <v>0.16686365170662426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228</v>
      </c>
      <c r="B9" s="53">
        <v>8.14</v>
      </c>
      <c r="C9" s="53">
        <v>3.26</v>
      </c>
      <c r="D9" s="53">
        <v>11.99</v>
      </c>
      <c r="E9" s="53">
        <v>4.9800000000000004</v>
      </c>
      <c r="F9" s="53">
        <v>3.78</v>
      </c>
      <c r="G9" s="53">
        <v>66.17</v>
      </c>
      <c r="H9" s="53">
        <v>43.1</v>
      </c>
      <c r="I9" s="53">
        <v>9.36</v>
      </c>
      <c r="J9" s="53">
        <v>0.11</v>
      </c>
      <c r="K9" s="53">
        <v>324.74</v>
      </c>
      <c r="L9" s="53">
        <v>26.68</v>
      </c>
      <c r="M9" s="53">
        <v>101.68</v>
      </c>
      <c r="N9" s="53">
        <v>43.8</v>
      </c>
      <c r="O9" s="53">
        <v>0</v>
      </c>
      <c r="P9" s="53">
        <v>1.67</v>
      </c>
      <c r="Q9" s="53">
        <v>10.37</v>
      </c>
      <c r="R9" s="43"/>
      <c r="S9" s="43"/>
      <c r="T9" s="43"/>
      <c r="U9" s="43"/>
    </row>
    <row r="10" spans="1:21" s="11" customFormat="1" x14ac:dyDescent="0.25">
      <c r="A10" s="52" t="s">
        <v>229</v>
      </c>
      <c r="B10" s="53">
        <v>8.08</v>
      </c>
      <c r="C10" s="53">
        <v>3.15</v>
      </c>
      <c r="D10" s="53">
        <v>11.89</v>
      </c>
      <c r="E10" s="53">
        <v>5.05</v>
      </c>
      <c r="F10" s="53">
        <v>3.75</v>
      </c>
      <c r="G10" s="53">
        <v>66.180000000000007</v>
      </c>
      <c r="H10" s="53">
        <v>43.1</v>
      </c>
      <c r="I10" s="53">
        <v>10.210000000000001</v>
      </c>
      <c r="J10" s="53">
        <v>0.18</v>
      </c>
      <c r="K10" s="53">
        <v>275.93</v>
      </c>
      <c r="L10" s="53">
        <v>26.71</v>
      </c>
      <c r="M10" s="53">
        <v>101.68</v>
      </c>
      <c r="N10" s="53">
        <v>43.8</v>
      </c>
      <c r="O10" s="53">
        <v>0</v>
      </c>
      <c r="P10" s="53">
        <v>1.6</v>
      </c>
      <c r="Q10" s="53">
        <v>10.35</v>
      </c>
      <c r="R10" s="43"/>
      <c r="S10" s="43"/>
      <c r="T10" s="43"/>
      <c r="U10" s="43"/>
    </row>
    <row r="11" spans="1:21" s="11" customFormat="1" x14ac:dyDescent="0.25">
      <c r="A11" s="52" t="s">
        <v>230</v>
      </c>
      <c r="B11" s="53">
        <v>8.0299999999999994</v>
      </c>
      <c r="C11" s="53">
        <v>3.06</v>
      </c>
      <c r="D11" s="53">
        <v>11.81</v>
      </c>
      <c r="E11" s="53">
        <v>5</v>
      </c>
      <c r="F11" s="53">
        <v>3.98</v>
      </c>
      <c r="G11" s="53">
        <v>65.06</v>
      </c>
      <c r="H11" s="53">
        <v>43.1</v>
      </c>
      <c r="I11" s="53">
        <v>11.4</v>
      </c>
      <c r="J11" s="53">
        <v>0.13</v>
      </c>
      <c r="K11" s="53">
        <v>338.73</v>
      </c>
      <c r="L11" s="53">
        <v>26.51</v>
      </c>
      <c r="M11" s="53">
        <v>101.68</v>
      </c>
      <c r="N11" s="53">
        <v>44</v>
      </c>
      <c r="O11" s="53">
        <v>0</v>
      </c>
      <c r="P11" s="53">
        <v>1.61</v>
      </c>
      <c r="Q11" s="53">
        <v>10.34</v>
      </c>
      <c r="R11" s="43"/>
      <c r="S11" s="43"/>
      <c r="T11" s="43"/>
      <c r="U11" s="43"/>
    </row>
    <row r="12" spans="1:21" s="11" customFormat="1" x14ac:dyDescent="0.25">
      <c r="A12" s="52" t="s">
        <v>231</v>
      </c>
      <c r="B12" s="53">
        <v>8.06</v>
      </c>
      <c r="C12" s="53">
        <v>3.14</v>
      </c>
      <c r="D12" s="53">
        <v>11.88</v>
      </c>
      <c r="E12" s="53">
        <v>5.01</v>
      </c>
      <c r="F12" s="53">
        <v>5.15</v>
      </c>
      <c r="G12" s="53">
        <v>75.53</v>
      </c>
      <c r="H12" s="53">
        <v>63.83</v>
      </c>
      <c r="I12" s="53">
        <v>10.69</v>
      </c>
      <c r="J12" s="53">
        <v>0.27</v>
      </c>
      <c r="K12" s="53">
        <v>350.1</v>
      </c>
      <c r="L12" s="53">
        <v>26.4</v>
      </c>
      <c r="M12" s="53">
        <v>101.68</v>
      </c>
      <c r="N12" s="53">
        <v>43.8</v>
      </c>
      <c r="O12" s="53">
        <v>0</v>
      </c>
      <c r="P12" s="53">
        <v>1.61</v>
      </c>
      <c r="Q12" s="53">
        <v>10.210000000000001</v>
      </c>
      <c r="R12" s="43"/>
      <c r="S12" s="43"/>
      <c r="T12" s="43"/>
      <c r="U12" s="43"/>
    </row>
    <row r="13" spans="1:21" s="11" customFormat="1" x14ac:dyDescent="0.25">
      <c r="A13" s="52" t="s">
        <v>232</v>
      </c>
      <c r="B13" s="53">
        <v>8.06</v>
      </c>
      <c r="C13" s="53">
        <v>3.13</v>
      </c>
      <c r="D13" s="53">
        <v>11.87</v>
      </c>
      <c r="E13" s="53">
        <v>4.1100000000000003</v>
      </c>
      <c r="F13" s="53">
        <v>3.6</v>
      </c>
      <c r="G13" s="53">
        <v>84.04</v>
      </c>
      <c r="H13" s="53">
        <v>76.23</v>
      </c>
      <c r="I13" s="53">
        <v>10.51</v>
      </c>
      <c r="J13" s="53">
        <v>0.44</v>
      </c>
      <c r="K13" s="53">
        <v>342.78</v>
      </c>
      <c r="L13" s="53">
        <v>26.34</v>
      </c>
      <c r="M13" s="53">
        <v>101.68</v>
      </c>
      <c r="N13" s="53">
        <v>43.8</v>
      </c>
      <c r="O13" s="53">
        <v>0</v>
      </c>
      <c r="P13" s="53">
        <v>1.58</v>
      </c>
      <c r="Q13" s="53">
        <v>10.16</v>
      </c>
      <c r="R13" s="43"/>
      <c r="S13" s="43"/>
      <c r="T13" s="43"/>
      <c r="U13" s="43"/>
    </row>
    <row r="14" spans="1:21" s="11" customFormat="1" x14ac:dyDescent="0.25">
      <c r="A14" s="52" t="s">
        <v>233</v>
      </c>
      <c r="B14" s="53">
        <v>8.1</v>
      </c>
      <c r="C14" s="53">
        <v>3.17</v>
      </c>
      <c r="D14" s="53">
        <v>11.93</v>
      </c>
      <c r="E14" s="53">
        <v>4.29</v>
      </c>
      <c r="F14" s="53">
        <v>3.22</v>
      </c>
      <c r="G14" s="53">
        <v>80.48</v>
      </c>
      <c r="H14" s="53">
        <v>43.3</v>
      </c>
      <c r="I14" s="53">
        <v>10.5</v>
      </c>
      <c r="J14" s="53">
        <v>0.18</v>
      </c>
      <c r="K14" s="53">
        <v>347.44</v>
      </c>
      <c r="L14" s="53">
        <v>26.54</v>
      </c>
      <c r="M14" s="53">
        <v>101.68</v>
      </c>
      <c r="N14" s="53">
        <v>46.9</v>
      </c>
      <c r="O14" s="53">
        <v>0</v>
      </c>
      <c r="P14" s="53">
        <v>1.5</v>
      </c>
      <c r="Q14" s="53">
        <v>10.18</v>
      </c>
      <c r="R14" s="43"/>
      <c r="S14" s="43"/>
      <c r="T14" s="43"/>
      <c r="U14" s="43"/>
    </row>
    <row r="15" spans="1:21" s="11" customFormat="1" x14ac:dyDescent="0.25">
      <c r="A15" s="52" t="s">
        <v>234</v>
      </c>
      <c r="B15" s="53">
        <v>8.0299999999999994</v>
      </c>
      <c r="C15" s="53">
        <v>3.05</v>
      </c>
      <c r="D15" s="53">
        <v>11.79</v>
      </c>
      <c r="E15" s="53">
        <v>4.26</v>
      </c>
      <c r="F15" s="53">
        <v>3.71</v>
      </c>
      <c r="G15" s="53">
        <v>75.84</v>
      </c>
      <c r="H15" s="53">
        <v>23.33</v>
      </c>
      <c r="I15" s="53">
        <v>10.72</v>
      </c>
      <c r="J15" s="53">
        <v>0.2</v>
      </c>
      <c r="K15" s="53">
        <v>344.81</v>
      </c>
      <c r="L15" s="53">
        <v>26.95</v>
      </c>
      <c r="M15" s="53">
        <v>101.68</v>
      </c>
      <c r="N15" s="53">
        <v>75</v>
      </c>
      <c r="O15" s="53">
        <v>0</v>
      </c>
      <c r="P15" s="53">
        <v>1.39</v>
      </c>
      <c r="Q15" s="53">
        <v>10.220000000000001</v>
      </c>
      <c r="R15" s="43"/>
      <c r="S15" s="43"/>
      <c r="T15" s="43"/>
      <c r="U15" s="43"/>
    </row>
    <row r="16" spans="1:21" s="11" customFormat="1" x14ac:dyDescent="0.25">
      <c r="A16" s="52" t="s">
        <v>235</v>
      </c>
      <c r="B16" s="53">
        <v>8.0399999999999991</v>
      </c>
      <c r="C16" s="53">
        <v>3.08</v>
      </c>
      <c r="D16" s="53">
        <v>11.82</v>
      </c>
      <c r="E16" s="53">
        <v>5.36</v>
      </c>
      <c r="F16" s="53">
        <v>4.0599999999999996</v>
      </c>
      <c r="G16" s="53">
        <v>76.680000000000007</v>
      </c>
      <c r="H16" s="53">
        <v>29.15</v>
      </c>
      <c r="I16" s="53">
        <v>10.45</v>
      </c>
      <c r="J16" s="53">
        <v>0.48</v>
      </c>
      <c r="K16" s="53">
        <v>334.33</v>
      </c>
      <c r="L16" s="53">
        <v>28.21</v>
      </c>
      <c r="M16" s="53">
        <v>101.68</v>
      </c>
      <c r="N16" s="53">
        <v>175.3</v>
      </c>
      <c r="O16" s="53">
        <v>0</v>
      </c>
      <c r="P16" s="53">
        <v>1.21</v>
      </c>
      <c r="Q16" s="53">
        <v>10.19</v>
      </c>
      <c r="R16" s="43"/>
      <c r="S16" s="43"/>
      <c r="T16" s="43"/>
      <c r="U16" s="43"/>
    </row>
    <row r="17" spans="1:21" s="11" customFormat="1" x14ac:dyDescent="0.25">
      <c r="A17" s="52" t="s">
        <v>236</v>
      </c>
      <c r="B17" s="53">
        <v>8.07</v>
      </c>
      <c r="C17" s="53">
        <v>3.18</v>
      </c>
      <c r="D17" s="53">
        <v>11.91</v>
      </c>
      <c r="E17" s="53">
        <v>6.08</v>
      </c>
      <c r="F17" s="53">
        <v>3.51</v>
      </c>
      <c r="G17" s="53">
        <v>74.83</v>
      </c>
      <c r="H17" s="53">
        <v>30.57</v>
      </c>
      <c r="I17" s="53">
        <v>8.36</v>
      </c>
      <c r="J17" s="53">
        <v>0.99</v>
      </c>
      <c r="K17" s="53">
        <v>341.15</v>
      </c>
      <c r="L17" s="53">
        <v>32.83</v>
      </c>
      <c r="M17" s="53">
        <v>101.63</v>
      </c>
      <c r="N17" s="53">
        <v>466.1</v>
      </c>
      <c r="O17" s="53">
        <v>0</v>
      </c>
      <c r="P17" s="53">
        <v>1.0900000000000001</v>
      </c>
      <c r="Q17" s="53">
        <v>10.210000000000001</v>
      </c>
      <c r="R17" s="43"/>
      <c r="S17" s="43"/>
      <c r="T17" s="43"/>
      <c r="U17" s="43"/>
    </row>
    <row r="18" spans="1:21" s="11" customFormat="1" x14ac:dyDescent="0.25">
      <c r="A18" s="52" t="s">
        <v>237</v>
      </c>
      <c r="B18" s="53">
        <v>8.11</v>
      </c>
      <c r="C18" s="53">
        <v>3.2</v>
      </c>
      <c r="D18" s="53">
        <v>11.95</v>
      </c>
      <c r="E18" s="53">
        <v>5.97</v>
      </c>
      <c r="F18" s="53">
        <v>3.9</v>
      </c>
      <c r="G18" s="53">
        <v>79.36</v>
      </c>
      <c r="H18" s="53">
        <v>33.729999999999997</v>
      </c>
      <c r="I18" s="53">
        <v>7.04</v>
      </c>
      <c r="J18" s="53">
        <v>1.21</v>
      </c>
      <c r="K18" s="53">
        <v>337.76</v>
      </c>
      <c r="L18" s="53">
        <v>35.04</v>
      </c>
      <c r="M18" s="53">
        <v>84.87</v>
      </c>
      <c r="N18" s="53">
        <v>660.3</v>
      </c>
      <c r="O18" s="53">
        <v>0</v>
      </c>
      <c r="P18" s="53">
        <v>0.95</v>
      </c>
      <c r="Q18" s="53">
        <v>10.199999999999999</v>
      </c>
      <c r="R18" s="43"/>
      <c r="S18" s="43"/>
      <c r="T18" s="43"/>
      <c r="U18" s="43"/>
    </row>
    <row r="19" spans="1:21" s="11" customFormat="1" x14ac:dyDescent="0.25">
      <c r="A19" s="52" t="s">
        <v>238</v>
      </c>
      <c r="B19" s="53">
        <v>8.08</v>
      </c>
      <c r="C19" s="53">
        <v>3.17</v>
      </c>
      <c r="D19" s="53">
        <v>11.91</v>
      </c>
      <c r="E19" s="53">
        <v>5.67</v>
      </c>
      <c r="F19" s="53">
        <v>4.03</v>
      </c>
      <c r="G19" s="53">
        <v>81.72</v>
      </c>
      <c r="H19" s="53">
        <v>39.76</v>
      </c>
      <c r="I19" s="53">
        <v>6.09</v>
      </c>
      <c r="J19" s="53">
        <v>0.92</v>
      </c>
      <c r="K19" s="53">
        <v>333.59</v>
      </c>
      <c r="L19" s="53">
        <v>36.28</v>
      </c>
      <c r="M19" s="53">
        <v>76.959999999999994</v>
      </c>
      <c r="N19" s="53">
        <v>680.1</v>
      </c>
      <c r="O19" s="53">
        <v>0</v>
      </c>
      <c r="P19" s="53">
        <v>0.85</v>
      </c>
      <c r="Q19" s="53">
        <v>10.18</v>
      </c>
      <c r="R19" s="43"/>
      <c r="S19" s="43"/>
      <c r="T19" s="43"/>
      <c r="U19" s="43"/>
    </row>
    <row r="20" spans="1:21" s="11" customFormat="1" x14ac:dyDescent="0.25">
      <c r="A20" s="52" t="s">
        <v>239</v>
      </c>
      <c r="B20" s="53">
        <v>7.98</v>
      </c>
      <c r="C20" s="53">
        <v>3.03</v>
      </c>
      <c r="D20" s="53">
        <v>11.74</v>
      </c>
      <c r="E20" s="53">
        <v>5.86</v>
      </c>
      <c r="F20" s="53">
        <v>4.33</v>
      </c>
      <c r="G20" s="53">
        <v>82.35</v>
      </c>
      <c r="H20" s="53">
        <v>43.57</v>
      </c>
      <c r="I20" s="53">
        <v>5.33</v>
      </c>
      <c r="J20" s="53">
        <v>1.1299999999999999</v>
      </c>
      <c r="K20" s="53">
        <v>336.21</v>
      </c>
      <c r="L20" s="53">
        <v>35.46</v>
      </c>
      <c r="M20" s="53">
        <v>75.849999999999994</v>
      </c>
      <c r="N20" s="53">
        <v>665.6</v>
      </c>
      <c r="O20" s="53">
        <v>0</v>
      </c>
      <c r="P20" s="53">
        <v>0.77</v>
      </c>
      <c r="Q20" s="53">
        <v>10.11</v>
      </c>
      <c r="R20" s="43"/>
      <c r="S20" s="43"/>
      <c r="T20" s="43"/>
      <c r="U20" s="43"/>
    </row>
    <row r="21" spans="1:21" s="11" customFormat="1" x14ac:dyDescent="0.25">
      <c r="A21" s="52" t="s">
        <v>240</v>
      </c>
      <c r="B21" s="53">
        <v>8.01</v>
      </c>
      <c r="C21" s="53">
        <v>3.12</v>
      </c>
      <c r="D21" s="53">
        <v>11.82</v>
      </c>
      <c r="E21" s="53">
        <v>3.14</v>
      </c>
      <c r="F21" s="53">
        <v>4.4000000000000004</v>
      </c>
      <c r="G21" s="53">
        <v>82.51</v>
      </c>
      <c r="H21" s="53">
        <v>38.69</v>
      </c>
      <c r="I21" s="53">
        <v>4.66</v>
      </c>
      <c r="J21" s="53">
        <v>1.4</v>
      </c>
      <c r="K21" s="53">
        <v>338.3</v>
      </c>
      <c r="L21" s="53">
        <v>35.5</v>
      </c>
      <c r="M21" s="53">
        <v>73.510000000000005</v>
      </c>
      <c r="N21" s="53">
        <v>597.70000000000005</v>
      </c>
      <c r="O21" s="53">
        <v>0</v>
      </c>
      <c r="P21" s="53">
        <v>0.71</v>
      </c>
      <c r="Q21" s="53">
        <v>10</v>
      </c>
      <c r="R21" s="43"/>
      <c r="S21" s="43"/>
      <c r="T21" s="43"/>
      <c r="U21" s="43"/>
    </row>
    <row r="22" spans="1:21" s="11" customFormat="1" x14ac:dyDescent="0.25">
      <c r="A22" s="52" t="s">
        <v>241</v>
      </c>
      <c r="B22" s="53">
        <v>8</v>
      </c>
      <c r="C22" s="53">
        <v>3.02</v>
      </c>
      <c r="D22" s="53">
        <v>11.76</v>
      </c>
      <c r="E22" s="53">
        <v>3.37</v>
      </c>
      <c r="F22" s="53">
        <v>3.62</v>
      </c>
      <c r="G22" s="53">
        <v>75.33</v>
      </c>
      <c r="H22" s="53">
        <v>32.54</v>
      </c>
      <c r="I22" s="53">
        <v>4.03</v>
      </c>
      <c r="J22" s="53">
        <v>1.44</v>
      </c>
      <c r="K22" s="53">
        <v>339.48</v>
      </c>
      <c r="L22" s="53">
        <v>35.479999999999997</v>
      </c>
      <c r="M22" s="53">
        <v>70.319999999999993</v>
      </c>
      <c r="N22" s="53">
        <v>617.79999999999995</v>
      </c>
      <c r="O22" s="53">
        <v>0</v>
      </c>
      <c r="P22" s="53">
        <v>0.7</v>
      </c>
      <c r="Q22" s="53">
        <v>9.86</v>
      </c>
      <c r="R22" s="43"/>
      <c r="S22" s="43"/>
      <c r="T22" s="43"/>
      <c r="U22" s="43"/>
    </row>
    <row r="23" spans="1:21" s="11" customFormat="1" x14ac:dyDescent="0.25">
      <c r="A23" s="52" t="s">
        <v>242</v>
      </c>
      <c r="B23" s="53">
        <v>8.0299999999999994</v>
      </c>
      <c r="C23" s="53">
        <v>3.07</v>
      </c>
      <c r="D23" s="53">
        <v>11.82</v>
      </c>
      <c r="E23" s="53">
        <v>2.94</v>
      </c>
      <c r="F23" s="53">
        <v>4.6500000000000004</v>
      </c>
      <c r="G23" s="53">
        <v>71.34</v>
      </c>
      <c r="H23" s="53">
        <v>31.59</v>
      </c>
      <c r="I23" s="53">
        <v>3.54</v>
      </c>
      <c r="J23" s="53">
        <v>1.37</v>
      </c>
      <c r="K23" s="53">
        <v>334.25</v>
      </c>
      <c r="L23" s="53">
        <v>34.78</v>
      </c>
      <c r="M23" s="53">
        <v>72.31</v>
      </c>
      <c r="N23" s="53">
        <v>307.89999999999998</v>
      </c>
      <c r="O23" s="53">
        <v>0</v>
      </c>
      <c r="P23" s="53">
        <v>0.67</v>
      </c>
      <c r="Q23" s="53">
        <v>9.84</v>
      </c>
      <c r="R23" s="43"/>
      <c r="S23" s="43"/>
      <c r="T23" s="43"/>
      <c r="U23" s="43"/>
    </row>
    <row r="24" spans="1:21" s="11" customFormat="1" x14ac:dyDescent="0.25">
      <c r="A24" s="52" t="s">
        <v>243</v>
      </c>
      <c r="B24" s="53">
        <v>8</v>
      </c>
      <c r="C24" s="53">
        <v>3.04</v>
      </c>
      <c r="D24" s="53">
        <v>11.77</v>
      </c>
      <c r="E24" s="53">
        <v>3.88</v>
      </c>
      <c r="F24" s="53">
        <v>4.58</v>
      </c>
      <c r="G24" s="53">
        <v>65.900000000000006</v>
      </c>
      <c r="H24" s="53">
        <v>19.440000000000001</v>
      </c>
      <c r="I24" s="53">
        <v>3.15</v>
      </c>
      <c r="J24" s="53">
        <v>1.24</v>
      </c>
      <c r="K24" s="53">
        <v>331.89</v>
      </c>
      <c r="L24" s="53">
        <v>34.119999999999997</v>
      </c>
      <c r="M24" s="53">
        <v>80.989999999999995</v>
      </c>
      <c r="N24" s="53">
        <v>219.5</v>
      </c>
      <c r="O24" s="53">
        <v>0</v>
      </c>
      <c r="P24" s="53">
        <v>0.59</v>
      </c>
      <c r="Q24" s="53">
        <v>9.8800000000000008</v>
      </c>
      <c r="R24" s="43"/>
      <c r="S24" s="43"/>
      <c r="T24" s="43"/>
      <c r="U24" s="43"/>
    </row>
    <row r="25" spans="1:21" s="11" customFormat="1" x14ac:dyDescent="0.25">
      <c r="A25" s="52" t="s">
        <v>244</v>
      </c>
      <c r="B25" s="53">
        <v>7.97</v>
      </c>
      <c r="C25" s="53">
        <v>3.02</v>
      </c>
      <c r="D25" s="53">
        <v>11.74</v>
      </c>
      <c r="E25" s="53">
        <v>4.45</v>
      </c>
      <c r="F25" s="53">
        <v>5.03</v>
      </c>
      <c r="G25" s="53">
        <v>59.06</v>
      </c>
      <c r="H25" s="53">
        <v>28.33</v>
      </c>
      <c r="I25" s="53">
        <v>2.63</v>
      </c>
      <c r="J25" s="53">
        <v>1.04</v>
      </c>
      <c r="K25" s="53">
        <v>336.91</v>
      </c>
      <c r="L25" s="53">
        <v>31.25</v>
      </c>
      <c r="M25" s="53">
        <v>101.69</v>
      </c>
      <c r="N25" s="53">
        <v>143.80000000000001</v>
      </c>
      <c r="O25" s="53">
        <v>6.2</v>
      </c>
      <c r="P25" s="53">
        <v>0.51</v>
      </c>
      <c r="Q25" s="53">
        <v>9.77</v>
      </c>
      <c r="R25" s="43"/>
      <c r="S25" s="43"/>
      <c r="T25" s="43"/>
      <c r="U25" s="43"/>
    </row>
    <row r="26" spans="1:21" s="11" customFormat="1" x14ac:dyDescent="0.25">
      <c r="A26" s="52" t="s">
        <v>245</v>
      </c>
      <c r="B26" s="53">
        <v>7.97</v>
      </c>
      <c r="C26" s="53">
        <v>3.08</v>
      </c>
      <c r="D26" s="53">
        <v>11.77</v>
      </c>
      <c r="E26" s="53">
        <v>4.34</v>
      </c>
      <c r="F26" s="53">
        <v>3.75</v>
      </c>
      <c r="G26" s="53">
        <v>45.32</v>
      </c>
      <c r="H26" s="53">
        <v>20.64</v>
      </c>
      <c r="I26" s="53">
        <v>2.08</v>
      </c>
      <c r="J26" s="53">
        <v>1.39</v>
      </c>
      <c r="K26" s="53">
        <v>339.79</v>
      </c>
      <c r="L26" s="53">
        <v>25.8</v>
      </c>
      <c r="M26" s="53">
        <v>101.7</v>
      </c>
      <c r="N26" s="53">
        <v>49.7</v>
      </c>
      <c r="O26" s="53">
        <v>14</v>
      </c>
      <c r="P26" s="53">
        <v>0.43</v>
      </c>
      <c r="Q26" s="53">
        <v>9.67</v>
      </c>
      <c r="R26" s="43"/>
      <c r="S26" s="43"/>
      <c r="T26" s="43"/>
      <c r="U26" s="43"/>
    </row>
    <row r="27" spans="1:21" s="11" customFormat="1" x14ac:dyDescent="0.25">
      <c r="A27" s="52" t="s">
        <v>246</v>
      </c>
      <c r="B27" s="53">
        <v>7.98</v>
      </c>
      <c r="C27" s="53">
        <v>3.03</v>
      </c>
      <c r="D27" s="53">
        <v>11.75</v>
      </c>
      <c r="E27" s="53">
        <v>4.54</v>
      </c>
      <c r="F27" s="53">
        <v>3.29</v>
      </c>
      <c r="G27" s="53">
        <v>36.72</v>
      </c>
      <c r="H27" s="53">
        <v>16.059999999999999</v>
      </c>
      <c r="I27" s="53">
        <v>2.84</v>
      </c>
      <c r="J27" s="53">
        <v>0.09</v>
      </c>
      <c r="K27" s="53">
        <v>308.47000000000003</v>
      </c>
      <c r="L27" s="53">
        <v>25.65</v>
      </c>
      <c r="M27" s="53">
        <v>101.7</v>
      </c>
      <c r="N27" s="53">
        <v>40.799999999999997</v>
      </c>
      <c r="O27" s="53">
        <v>0</v>
      </c>
      <c r="P27" s="53">
        <v>0.46</v>
      </c>
      <c r="Q27" s="53">
        <v>9.74</v>
      </c>
      <c r="R27" s="43"/>
      <c r="S27" s="43"/>
      <c r="T27" s="43"/>
      <c r="U27" s="43"/>
    </row>
    <row r="28" spans="1:21" s="11" customFormat="1" x14ac:dyDescent="0.25">
      <c r="A28" s="52" t="s">
        <v>247</v>
      </c>
      <c r="B28" s="53">
        <v>8</v>
      </c>
      <c r="C28" s="53">
        <v>3.03</v>
      </c>
      <c r="D28" s="53">
        <v>11.76</v>
      </c>
      <c r="E28" s="53">
        <v>4.5</v>
      </c>
      <c r="F28" s="53">
        <v>4.21</v>
      </c>
      <c r="G28" s="53">
        <v>36.369999999999997</v>
      </c>
      <c r="H28" s="53">
        <v>26.47</v>
      </c>
      <c r="I28" s="53">
        <v>3.56</v>
      </c>
      <c r="J28" s="53">
        <v>0.33</v>
      </c>
      <c r="K28" s="53">
        <v>353.82</v>
      </c>
      <c r="L28" s="53">
        <v>25.78</v>
      </c>
      <c r="M28" s="53">
        <v>101.7</v>
      </c>
      <c r="N28" s="53">
        <v>40.799999999999997</v>
      </c>
      <c r="O28" s="53">
        <v>0.2</v>
      </c>
      <c r="P28" s="53">
        <v>0.71</v>
      </c>
      <c r="Q28" s="53">
        <v>9.86</v>
      </c>
      <c r="R28" s="43"/>
      <c r="S28" s="43"/>
      <c r="T28" s="43"/>
      <c r="U28" s="43"/>
    </row>
    <row r="29" spans="1:21" s="11" customFormat="1" x14ac:dyDescent="0.25">
      <c r="A29" s="52" t="s">
        <v>248</v>
      </c>
      <c r="B29" s="53">
        <v>8.0399999999999991</v>
      </c>
      <c r="C29" s="53">
        <v>3.17</v>
      </c>
      <c r="D29" s="53">
        <v>11.88</v>
      </c>
      <c r="E29" s="53">
        <v>3.12</v>
      </c>
      <c r="F29" s="53">
        <v>3.95</v>
      </c>
      <c r="G29" s="53">
        <v>44.98</v>
      </c>
      <c r="H29" s="53">
        <v>32.06</v>
      </c>
      <c r="I29" s="53">
        <v>4.04</v>
      </c>
      <c r="J29" s="53">
        <v>0.27</v>
      </c>
      <c r="K29" s="53">
        <v>339.76</v>
      </c>
      <c r="L29" s="53">
        <v>25.8</v>
      </c>
      <c r="M29" s="53">
        <v>101.7</v>
      </c>
      <c r="N29" s="53">
        <v>40.5</v>
      </c>
      <c r="O29" s="53">
        <v>0.2</v>
      </c>
      <c r="P29" s="53">
        <v>0.82</v>
      </c>
      <c r="Q29" s="53">
        <v>10.02</v>
      </c>
      <c r="R29" s="43"/>
      <c r="S29" s="43"/>
      <c r="T29" s="43"/>
      <c r="U29" s="43"/>
    </row>
    <row r="30" spans="1:21" s="11" customFormat="1" x14ac:dyDescent="0.25">
      <c r="A30" s="52" t="s">
        <v>249</v>
      </c>
      <c r="B30" s="53">
        <v>8.02</v>
      </c>
      <c r="C30" s="53">
        <v>3.1</v>
      </c>
      <c r="D30" s="53">
        <v>11.83</v>
      </c>
      <c r="E30" s="53">
        <v>3.5</v>
      </c>
      <c r="F30" s="53">
        <v>3.81</v>
      </c>
      <c r="G30" s="53">
        <v>44.03</v>
      </c>
      <c r="H30" s="53">
        <v>32.65</v>
      </c>
      <c r="I30" s="53">
        <v>4.08</v>
      </c>
      <c r="J30" s="53">
        <v>0.44</v>
      </c>
      <c r="K30" s="53">
        <v>321.87</v>
      </c>
      <c r="L30" s="53">
        <v>25.9</v>
      </c>
      <c r="M30" s="53">
        <v>101.7</v>
      </c>
      <c r="N30" s="53">
        <v>40.9</v>
      </c>
      <c r="O30" s="53">
        <v>0</v>
      </c>
      <c r="P30" s="53">
        <v>0.82</v>
      </c>
      <c r="Q30" s="53">
        <v>10.06</v>
      </c>
      <c r="R30" s="43"/>
      <c r="S30" s="43"/>
      <c r="T30" s="43"/>
      <c r="U30" s="43"/>
    </row>
    <row r="31" spans="1:21" s="11" customFormat="1" x14ac:dyDescent="0.25">
      <c r="A31" s="52" t="s">
        <v>250</v>
      </c>
      <c r="B31" s="53">
        <v>8.07</v>
      </c>
      <c r="C31" s="53">
        <v>3.12</v>
      </c>
      <c r="D31" s="53">
        <v>11.87</v>
      </c>
      <c r="E31" s="53">
        <v>2.97</v>
      </c>
      <c r="F31" s="53">
        <v>3.65</v>
      </c>
      <c r="G31" s="53">
        <v>39.53</v>
      </c>
      <c r="H31" s="53">
        <v>22.17</v>
      </c>
      <c r="I31" s="53">
        <v>4.32</v>
      </c>
      <c r="J31" s="53">
        <v>0.19</v>
      </c>
      <c r="K31" s="53">
        <v>322.27</v>
      </c>
      <c r="L31" s="53">
        <v>25.93</v>
      </c>
      <c r="M31" s="53">
        <v>101.69</v>
      </c>
      <c r="N31" s="53">
        <v>40.799999999999997</v>
      </c>
      <c r="O31" s="53">
        <v>0</v>
      </c>
      <c r="P31" s="53">
        <v>0.8</v>
      </c>
      <c r="Q31" s="53">
        <v>10.08</v>
      </c>
      <c r="R31" s="43"/>
      <c r="S31" s="43"/>
      <c r="T31" s="43"/>
      <c r="U31" s="43"/>
    </row>
    <row r="32" spans="1:21" s="11" customFormat="1" x14ac:dyDescent="0.25">
      <c r="A32" s="52" t="s">
        <v>251</v>
      </c>
      <c r="B32" s="53">
        <v>8.01</v>
      </c>
      <c r="C32" s="53">
        <v>3.05</v>
      </c>
      <c r="D32" s="53">
        <v>11.78</v>
      </c>
      <c r="E32" s="53">
        <v>4.38</v>
      </c>
      <c r="F32" s="53">
        <v>4.57</v>
      </c>
      <c r="G32" s="53">
        <v>32.450000000000003</v>
      </c>
      <c r="H32" s="53">
        <v>17.149999999999999</v>
      </c>
      <c r="I32" s="53">
        <v>4.38</v>
      </c>
      <c r="J32" s="53">
        <v>0.71</v>
      </c>
      <c r="K32" s="53">
        <v>330.21</v>
      </c>
      <c r="L32" s="53">
        <v>26.14</v>
      </c>
      <c r="M32" s="53">
        <v>101.64</v>
      </c>
      <c r="N32" s="53">
        <v>41.1</v>
      </c>
      <c r="O32" s="53">
        <v>0</v>
      </c>
      <c r="P32" s="53">
        <v>0.76</v>
      </c>
      <c r="Q32" s="53">
        <v>10.14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7.97</v>
      </c>
      <c r="C34" s="28">
        <f t="shared" si="0"/>
        <v>3.02</v>
      </c>
      <c r="D34" s="28">
        <f t="shared" si="0"/>
        <v>11.74</v>
      </c>
      <c r="E34" s="28">
        <f t="shared" si="0"/>
        <v>2.94</v>
      </c>
      <c r="F34" s="28">
        <f t="shared" si="0"/>
        <v>3.22</v>
      </c>
      <c r="G34" s="28">
        <f t="shared" si="0"/>
        <v>32.450000000000003</v>
      </c>
      <c r="H34" s="28">
        <f t="shared" si="0"/>
        <v>16.059999999999999</v>
      </c>
      <c r="I34" s="28">
        <f t="shared" si="0"/>
        <v>2.08</v>
      </c>
      <c r="J34" s="28">
        <f t="shared" si="0"/>
        <v>0.09</v>
      </c>
      <c r="K34" s="28">
        <f t="shared" si="0"/>
        <v>275.93</v>
      </c>
      <c r="L34" s="28">
        <f t="shared" si="0"/>
        <v>25.65</v>
      </c>
      <c r="M34" s="28">
        <f t="shared" si="0"/>
        <v>70.319999999999993</v>
      </c>
      <c r="N34" s="28">
        <f t="shared" si="0"/>
        <v>40.5</v>
      </c>
      <c r="O34" s="28">
        <f t="shared" si="0"/>
        <v>0</v>
      </c>
      <c r="P34" s="28">
        <f t="shared" si="0"/>
        <v>0.43</v>
      </c>
      <c r="Q34" s="28">
        <f t="shared" si="0"/>
        <v>9.67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8.14</v>
      </c>
      <c r="C35" s="29">
        <f t="shared" si="1"/>
        <v>3.26</v>
      </c>
      <c r="D35" s="29">
        <f t="shared" si="1"/>
        <v>11.99</v>
      </c>
      <c r="E35" s="29">
        <f t="shared" si="1"/>
        <v>6.08</v>
      </c>
      <c r="F35" s="29">
        <f t="shared" si="1"/>
        <v>5.15</v>
      </c>
      <c r="G35" s="29">
        <f t="shared" si="1"/>
        <v>84.04</v>
      </c>
      <c r="H35" s="29">
        <f t="shared" si="1"/>
        <v>76.23</v>
      </c>
      <c r="I35" s="29">
        <f t="shared" si="1"/>
        <v>11.4</v>
      </c>
      <c r="J35" s="29">
        <f t="shared" si="1"/>
        <v>1.44</v>
      </c>
      <c r="K35" s="29">
        <f t="shared" si="1"/>
        <v>353.82</v>
      </c>
      <c r="L35" s="29">
        <f t="shared" si="1"/>
        <v>36.28</v>
      </c>
      <c r="M35" s="29">
        <f t="shared" si="1"/>
        <v>101.7</v>
      </c>
      <c r="N35" s="29">
        <f t="shared" si="1"/>
        <v>680.1</v>
      </c>
      <c r="O35" s="29">
        <f t="shared" si="1"/>
        <v>14</v>
      </c>
      <c r="P35" s="29">
        <f t="shared" si="1"/>
        <v>1.67</v>
      </c>
      <c r="Q35" s="29">
        <f t="shared" si="1"/>
        <v>10.37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8.0366666666666671</v>
      </c>
      <c r="C36" s="28">
        <f t="shared" si="2"/>
        <v>3.1029166666666668</v>
      </c>
      <c r="D36" s="28">
        <f t="shared" si="2"/>
        <v>11.834999999999999</v>
      </c>
      <c r="E36" s="28">
        <f t="shared" si="2"/>
        <v>4.4487499999999995</v>
      </c>
      <c r="F36" s="28">
        <f t="shared" si="2"/>
        <v>4.0220833333333337</v>
      </c>
      <c r="G36" s="28">
        <f t="shared" si="2"/>
        <v>64.240833333333327</v>
      </c>
      <c r="H36" s="28">
        <f t="shared" si="2"/>
        <v>34.606666666666669</v>
      </c>
      <c r="I36" s="28">
        <f t="shared" si="2"/>
        <v>6.4154166666666681</v>
      </c>
      <c r="J36" s="28">
        <f t="shared" si="2"/>
        <v>0.67291666666666661</v>
      </c>
      <c r="K36" s="28">
        <f t="shared" si="2"/>
        <v>333.5245833333334</v>
      </c>
      <c r="L36" s="28">
        <f t="shared" si="2"/>
        <v>29.419999999999991</v>
      </c>
      <c r="M36" s="28">
        <f t="shared" si="2"/>
        <v>94.308333333333337</v>
      </c>
      <c r="N36" s="28">
        <f t="shared" si="2"/>
        <v>215.40833333333333</v>
      </c>
      <c r="O36" s="28">
        <f t="shared" si="2"/>
        <v>0.85833333333333328</v>
      </c>
      <c r="P36" s="28">
        <f t="shared" si="2"/>
        <v>0.99208333333333354</v>
      </c>
      <c r="Q36" s="28">
        <f t="shared" si="2"/>
        <v>10.068333333333333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4.5841567112854281E-2</v>
      </c>
      <c r="C37" s="28">
        <f t="shared" ref="C37:Q37" si="3">STDEV(C9:C32)</f>
        <v>6.6494796570968587E-2</v>
      </c>
      <c r="D37" s="28">
        <f t="shared" si="3"/>
        <v>7.1748352503430549E-2</v>
      </c>
      <c r="E37" s="28">
        <f t="shared" si="3"/>
        <v>0.95742095825417728</v>
      </c>
      <c r="F37" s="28">
        <f t="shared" si="3"/>
        <v>0.50471670199762997</v>
      </c>
      <c r="G37" s="28">
        <f t="shared" si="3"/>
        <v>17.300934610760134</v>
      </c>
      <c r="H37" s="28">
        <f t="shared" si="3"/>
        <v>14.040051921948637</v>
      </c>
      <c r="I37" s="28">
        <f t="shared" si="3"/>
        <v>3.2389960591230218</v>
      </c>
      <c r="J37" s="28">
        <f t="shared" si="3"/>
        <v>0.4985237264133992</v>
      </c>
      <c r="K37" s="28">
        <f t="shared" si="3"/>
        <v>15.67460171581005</v>
      </c>
      <c r="L37" s="28">
        <f t="shared" si="3"/>
        <v>4.17757158500324</v>
      </c>
      <c r="M37" s="28">
        <f t="shared" si="3"/>
        <v>12.022308852501322</v>
      </c>
      <c r="N37" s="28">
        <f t="shared" si="3"/>
        <v>247.45668381015466</v>
      </c>
      <c r="O37" s="28">
        <f t="shared" si="3"/>
        <v>3.0704647243028873</v>
      </c>
      <c r="P37" s="28">
        <f t="shared" si="3"/>
        <v>0.41569197591555584</v>
      </c>
      <c r="Q37" s="28">
        <f t="shared" si="3"/>
        <v>0.19964461178427217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252</v>
      </c>
      <c r="B9" s="53">
        <v>7.98</v>
      </c>
      <c r="C9" s="53">
        <v>3.01</v>
      </c>
      <c r="D9" s="53">
        <v>11.75</v>
      </c>
      <c r="E9" s="53">
        <v>4.34</v>
      </c>
      <c r="F9" s="53">
        <v>3.83</v>
      </c>
      <c r="G9" s="53">
        <v>28.35</v>
      </c>
      <c r="H9" s="53">
        <v>15.5</v>
      </c>
      <c r="I9" s="53">
        <v>4.01</v>
      </c>
      <c r="J9" s="53">
        <v>0.91</v>
      </c>
      <c r="K9" s="53">
        <v>338.08</v>
      </c>
      <c r="L9" s="53">
        <v>26.26</v>
      </c>
      <c r="M9" s="53">
        <v>101.7</v>
      </c>
      <c r="N9" s="53">
        <v>41.5</v>
      </c>
      <c r="O9" s="53">
        <v>0</v>
      </c>
      <c r="P9" s="53">
        <v>0.67</v>
      </c>
      <c r="Q9" s="53">
        <v>10.01</v>
      </c>
      <c r="R9" s="43"/>
      <c r="S9" s="43"/>
      <c r="T9" s="43"/>
      <c r="U9" s="43"/>
    </row>
    <row r="10" spans="1:21" s="11" customFormat="1" x14ac:dyDescent="0.25">
      <c r="A10" s="52" t="s">
        <v>253</v>
      </c>
      <c r="B10" s="53">
        <v>8.01</v>
      </c>
      <c r="C10" s="53">
        <v>3.05</v>
      </c>
      <c r="D10" s="53">
        <v>11.79</v>
      </c>
      <c r="E10" s="53">
        <v>4.3899999999999997</v>
      </c>
      <c r="F10" s="53">
        <v>3.84</v>
      </c>
      <c r="G10" s="53">
        <v>25.66</v>
      </c>
      <c r="H10" s="53">
        <v>10.95</v>
      </c>
      <c r="I10" s="53">
        <v>3.45</v>
      </c>
      <c r="J10" s="53">
        <v>2.06</v>
      </c>
      <c r="K10" s="53">
        <v>336.24</v>
      </c>
      <c r="L10" s="53">
        <v>26.32</v>
      </c>
      <c r="M10" s="53">
        <v>101.73</v>
      </c>
      <c r="N10" s="53">
        <v>41.6</v>
      </c>
      <c r="O10" s="53">
        <v>0.6</v>
      </c>
      <c r="P10" s="53">
        <v>0.54</v>
      </c>
      <c r="Q10" s="53">
        <v>9.92</v>
      </c>
      <c r="R10" s="43"/>
      <c r="S10" s="43"/>
      <c r="T10" s="43"/>
      <c r="U10" s="43"/>
    </row>
    <row r="11" spans="1:21" s="11" customFormat="1" x14ac:dyDescent="0.25">
      <c r="A11" s="52" t="s">
        <v>254</v>
      </c>
      <c r="B11" s="53">
        <v>8</v>
      </c>
      <c r="C11" s="53">
        <v>3.02</v>
      </c>
      <c r="D11" s="53">
        <v>11.76</v>
      </c>
      <c r="E11" s="53">
        <v>4.24</v>
      </c>
      <c r="F11" s="53">
        <v>3.68</v>
      </c>
      <c r="G11" s="53">
        <v>29.98</v>
      </c>
      <c r="H11" s="53">
        <v>21.88</v>
      </c>
      <c r="I11" s="53">
        <v>2.82</v>
      </c>
      <c r="J11" s="53">
        <v>1.06</v>
      </c>
      <c r="K11" s="53">
        <v>338.98</v>
      </c>
      <c r="L11" s="53">
        <v>26.15</v>
      </c>
      <c r="M11" s="53">
        <v>101.73</v>
      </c>
      <c r="N11" s="53">
        <v>41.1</v>
      </c>
      <c r="O11" s="53">
        <v>0</v>
      </c>
      <c r="P11" s="53">
        <v>0.5</v>
      </c>
      <c r="Q11" s="53">
        <v>9.83</v>
      </c>
      <c r="R11" s="43"/>
      <c r="S11" s="43"/>
      <c r="T11" s="43"/>
      <c r="U11" s="43"/>
    </row>
    <row r="12" spans="1:21" s="11" customFormat="1" x14ac:dyDescent="0.25">
      <c r="A12" s="52" t="s">
        <v>255</v>
      </c>
      <c r="B12" s="53">
        <v>8.01</v>
      </c>
      <c r="C12" s="53">
        <v>2.99</v>
      </c>
      <c r="D12" s="53">
        <v>11.75</v>
      </c>
      <c r="E12" s="53">
        <v>5.93</v>
      </c>
      <c r="F12" s="53">
        <v>3.82</v>
      </c>
      <c r="G12" s="53">
        <v>40.659999999999997</v>
      </c>
      <c r="H12" s="53">
        <v>31.87</v>
      </c>
      <c r="I12" s="53">
        <v>3.08</v>
      </c>
      <c r="J12" s="53">
        <v>1.01</v>
      </c>
      <c r="K12" s="53">
        <v>338.41</v>
      </c>
      <c r="L12" s="53">
        <v>26.21</v>
      </c>
      <c r="M12" s="53">
        <v>101.73</v>
      </c>
      <c r="N12" s="53">
        <v>41.6</v>
      </c>
      <c r="O12" s="53">
        <v>0</v>
      </c>
      <c r="P12" s="53">
        <v>0.47</v>
      </c>
      <c r="Q12" s="53">
        <v>9.8000000000000007</v>
      </c>
      <c r="R12" s="43"/>
      <c r="S12" s="43"/>
      <c r="T12" s="43"/>
      <c r="U12" s="43"/>
    </row>
    <row r="13" spans="1:21" s="11" customFormat="1" x14ac:dyDescent="0.25">
      <c r="A13" s="52" t="s">
        <v>256</v>
      </c>
      <c r="B13" s="53">
        <v>7.99</v>
      </c>
      <c r="C13" s="53">
        <v>3.01</v>
      </c>
      <c r="D13" s="53">
        <v>11.75</v>
      </c>
      <c r="E13" s="53">
        <v>4.91</v>
      </c>
      <c r="F13" s="53">
        <v>3.89</v>
      </c>
      <c r="G13" s="53">
        <v>45.54</v>
      </c>
      <c r="H13" s="53">
        <v>30.62</v>
      </c>
      <c r="I13" s="53">
        <v>3.3</v>
      </c>
      <c r="J13" s="53">
        <v>0.84</v>
      </c>
      <c r="K13" s="53">
        <v>338.96</v>
      </c>
      <c r="L13" s="53">
        <v>26.36</v>
      </c>
      <c r="M13" s="53">
        <v>101.74</v>
      </c>
      <c r="N13" s="53">
        <v>41.1</v>
      </c>
      <c r="O13" s="53">
        <v>0</v>
      </c>
      <c r="P13" s="53">
        <v>0.48</v>
      </c>
      <c r="Q13" s="53">
        <v>9.75</v>
      </c>
      <c r="R13" s="43"/>
      <c r="S13" s="43"/>
      <c r="T13" s="43"/>
      <c r="U13" s="43"/>
    </row>
    <row r="14" spans="1:21" s="11" customFormat="1" x14ac:dyDescent="0.25">
      <c r="A14" s="52" t="s">
        <v>257</v>
      </c>
      <c r="B14" s="53">
        <v>7.96</v>
      </c>
      <c r="C14" s="53">
        <v>3.01</v>
      </c>
      <c r="D14" s="53">
        <v>11.73</v>
      </c>
      <c r="E14" s="53">
        <v>5.0599999999999996</v>
      </c>
      <c r="F14" s="53">
        <v>3.7</v>
      </c>
      <c r="G14" s="53">
        <v>44.01</v>
      </c>
      <c r="H14" s="53">
        <v>29.88</v>
      </c>
      <c r="I14" s="53">
        <v>3.33</v>
      </c>
      <c r="J14" s="53">
        <v>1.48</v>
      </c>
      <c r="K14" s="53">
        <v>339.33</v>
      </c>
      <c r="L14" s="53">
        <v>26.5</v>
      </c>
      <c r="M14" s="53">
        <v>101.71</v>
      </c>
      <c r="N14" s="53">
        <v>44</v>
      </c>
      <c r="O14" s="53">
        <v>0</v>
      </c>
      <c r="P14" s="53">
        <v>0.48</v>
      </c>
      <c r="Q14" s="53">
        <v>9.76</v>
      </c>
      <c r="R14" s="43"/>
      <c r="S14" s="43"/>
      <c r="T14" s="43"/>
      <c r="U14" s="43"/>
    </row>
    <row r="15" spans="1:21" s="11" customFormat="1" x14ac:dyDescent="0.25">
      <c r="A15" s="52" t="s">
        <v>258</v>
      </c>
      <c r="B15" s="53">
        <v>8.02</v>
      </c>
      <c r="C15" s="53">
        <v>3.05</v>
      </c>
      <c r="D15" s="53">
        <v>11.8</v>
      </c>
      <c r="E15" s="53">
        <v>4.51</v>
      </c>
      <c r="F15" s="53">
        <v>3.63</v>
      </c>
      <c r="G15" s="53">
        <v>49.11</v>
      </c>
      <c r="H15" s="53">
        <v>31.65</v>
      </c>
      <c r="I15" s="53">
        <v>3.25</v>
      </c>
      <c r="J15" s="53">
        <v>1.59</v>
      </c>
      <c r="K15" s="53">
        <v>339.41</v>
      </c>
      <c r="L15" s="53">
        <v>26.94</v>
      </c>
      <c r="M15" s="53">
        <v>101.68</v>
      </c>
      <c r="N15" s="53">
        <v>99.4</v>
      </c>
      <c r="O15" s="53">
        <v>0</v>
      </c>
      <c r="P15" s="53">
        <v>0.49</v>
      </c>
      <c r="Q15" s="53">
        <v>9.82</v>
      </c>
      <c r="R15" s="43"/>
      <c r="S15" s="43"/>
      <c r="T15" s="43"/>
      <c r="U15" s="43"/>
    </row>
    <row r="16" spans="1:21" s="11" customFormat="1" x14ac:dyDescent="0.25">
      <c r="A16" s="52" t="s">
        <v>259</v>
      </c>
      <c r="B16" s="53">
        <v>7.98</v>
      </c>
      <c r="C16" s="53">
        <v>2.99</v>
      </c>
      <c r="D16" s="53">
        <v>11.74</v>
      </c>
      <c r="E16" s="53">
        <v>4.57</v>
      </c>
      <c r="F16" s="53">
        <v>4.24</v>
      </c>
      <c r="G16" s="53">
        <v>54.19</v>
      </c>
      <c r="H16" s="53">
        <v>29.9</v>
      </c>
      <c r="I16" s="53">
        <v>3.37</v>
      </c>
      <c r="J16" s="53">
        <v>1.26</v>
      </c>
      <c r="K16" s="53">
        <v>338.23</v>
      </c>
      <c r="L16" s="53">
        <v>27.55</v>
      </c>
      <c r="M16" s="53">
        <v>101.67</v>
      </c>
      <c r="N16" s="53">
        <v>141</v>
      </c>
      <c r="O16" s="53">
        <v>0</v>
      </c>
      <c r="P16" s="53">
        <v>0.53</v>
      </c>
      <c r="Q16" s="53">
        <v>9.9</v>
      </c>
      <c r="R16" s="43"/>
      <c r="S16" s="43"/>
      <c r="T16" s="43"/>
      <c r="U16" s="43"/>
    </row>
    <row r="17" spans="1:21" s="11" customFormat="1" x14ac:dyDescent="0.25">
      <c r="A17" s="52" t="s">
        <v>260</v>
      </c>
      <c r="B17" s="53">
        <v>8.01</v>
      </c>
      <c r="C17" s="53">
        <v>3.1</v>
      </c>
      <c r="D17" s="53">
        <v>11.81</v>
      </c>
      <c r="E17" s="53">
        <v>4.4000000000000004</v>
      </c>
      <c r="F17" s="53">
        <v>3.78</v>
      </c>
      <c r="G17" s="53">
        <v>62.75</v>
      </c>
      <c r="H17" s="53">
        <v>33.21</v>
      </c>
      <c r="I17" s="53">
        <v>3.46</v>
      </c>
      <c r="J17" s="53">
        <v>0.97</v>
      </c>
      <c r="K17" s="53">
        <v>336.46</v>
      </c>
      <c r="L17" s="53">
        <v>29.47</v>
      </c>
      <c r="M17" s="53">
        <v>101.48</v>
      </c>
      <c r="N17" s="53">
        <v>261.39999999999998</v>
      </c>
      <c r="O17" s="53">
        <v>0</v>
      </c>
      <c r="P17" s="53">
        <v>0.64</v>
      </c>
      <c r="Q17" s="53">
        <v>9.9600000000000009</v>
      </c>
      <c r="R17" s="43"/>
      <c r="S17" s="43"/>
      <c r="T17" s="43"/>
      <c r="U17" s="43"/>
    </row>
    <row r="18" spans="1:21" s="11" customFormat="1" x14ac:dyDescent="0.25">
      <c r="A18" s="52" t="s">
        <v>261</v>
      </c>
      <c r="B18" s="53">
        <v>8.09</v>
      </c>
      <c r="C18" s="53">
        <v>3.29</v>
      </c>
      <c r="D18" s="53">
        <v>11.98</v>
      </c>
      <c r="E18" s="53">
        <v>4.3499999999999996</v>
      </c>
      <c r="F18" s="53">
        <v>4.33</v>
      </c>
      <c r="G18" s="53">
        <v>71.459999999999994</v>
      </c>
      <c r="H18" s="53">
        <v>37.24</v>
      </c>
      <c r="I18" s="53">
        <v>4.16</v>
      </c>
      <c r="J18" s="53">
        <v>1.61</v>
      </c>
      <c r="K18" s="53">
        <v>338.4</v>
      </c>
      <c r="L18" s="53">
        <v>34.11</v>
      </c>
      <c r="M18" s="53">
        <v>98.53</v>
      </c>
      <c r="N18" s="53">
        <v>617</v>
      </c>
      <c r="O18" s="53">
        <v>0</v>
      </c>
      <c r="P18" s="53">
        <v>0.67</v>
      </c>
      <c r="Q18" s="53">
        <v>10.01</v>
      </c>
      <c r="R18" s="43"/>
      <c r="S18" s="43"/>
      <c r="T18" s="43"/>
      <c r="U18" s="43"/>
    </row>
    <row r="19" spans="1:21" s="11" customFormat="1" x14ac:dyDescent="0.25">
      <c r="A19" s="52" t="s">
        <v>262</v>
      </c>
      <c r="B19" s="53">
        <v>8.0299999999999994</v>
      </c>
      <c r="C19" s="53">
        <v>3.07</v>
      </c>
      <c r="D19" s="53">
        <v>11.81</v>
      </c>
      <c r="E19" s="53">
        <v>4.17</v>
      </c>
      <c r="F19" s="53">
        <v>3.87</v>
      </c>
      <c r="G19" s="53">
        <v>73.78</v>
      </c>
      <c r="H19" s="53">
        <v>34.93</v>
      </c>
      <c r="I19" s="53">
        <v>3.97</v>
      </c>
      <c r="J19" s="53">
        <v>1.71</v>
      </c>
      <c r="K19" s="53">
        <v>340.83</v>
      </c>
      <c r="L19" s="53">
        <v>34.26</v>
      </c>
      <c r="M19" s="53">
        <v>79.540000000000006</v>
      </c>
      <c r="N19" s="53">
        <v>634.70000000000005</v>
      </c>
      <c r="O19" s="53">
        <v>0</v>
      </c>
      <c r="P19" s="53">
        <v>0.69</v>
      </c>
      <c r="Q19" s="53">
        <v>10.06</v>
      </c>
      <c r="R19" s="43"/>
      <c r="S19" s="43"/>
      <c r="T19" s="43"/>
      <c r="U19" s="43"/>
    </row>
    <row r="20" spans="1:21" s="11" customFormat="1" x14ac:dyDescent="0.25">
      <c r="A20" s="52" t="s">
        <v>263</v>
      </c>
      <c r="B20" s="53">
        <v>7.97</v>
      </c>
      <c r="C20" s="53">
        <v>3.05</v>
      </c>
      <c r="D20" s="53">
        <v>11.76</v>
      </c>
      <c r="E20" s="53">
        <v>5.65</v>
      </c>
      <c r="F20" s="53">
        <v>16.14</v>
      </c>
      <c r="G20" s="53">
        <v>76.2</v>
      </c>
      <c r="H20" s="53">
        <v>37.46</v>
      </c>
      <c r="I20" s="53">
        <v>3.67</v>
      </c>
      <c r="J20" s="53">
        <v>1.51</v>
      </c>
      <c r="K20" s="53">
        <v>339.29</v>
      </c>
      <c r="L20" s="53">
        <v>34.770000000000003</v>
      </c>
      <c r="M20" s="53">
        <v>78.11</v>
      </c>
      <c r="N20" s="53">
        <v>587.9</v>
      </c>
      <c r="O20" s="53">
        <v>0</v>
      </c>
      <c r="P20" s="53">
        <v>0.73</v>
      </c>
      <c r="Q20" s="53">
        <v>10.1</v>
      </c>
      <c r="R20" s="43"/>
      <c r="S20" s="43"/>
      <c r="T20" s="43"/>
      <c r="U20" s="43"/>
    </row>
    <row r="21" spans="1:21" s="11" customFormat="1" x14ac:dyDescent="0.25">
      <c r="A21" s="52" t="s">
        <v>264</v>
      </c>
      <c r="B21" s="53">
        <v>7.91</v>
      </c>
      <c r="C21" s="53">
        <v>3.02</v>
      </c>
      <c r="D21" s="53">
        <v>11.69</v>
      </c>
      <c r="E21" s="53">
        <v>5.6</v>
      </c>
      <c r="F21" s="53">
        <v>16.829999999999998</v>
      </c>
      <c r="G21" s="53">
        <v>60.53</v>
      </c>
      <c r="H21" s="53">
        <v>29.69</v>
      </c>
      <c r="I21" s="53">
        <v>2.34</v>
      </c>
      <c r="J21" s="53">
        <v>1.63</v>
      </c>
      <c r="K21" s="53">
        <v>336.27</v>
      </c>
      <c r="L21" s="53">
        <v>33.67</v>
      </c>
      <c r="M21" s="53">
        <v>82.74</v>
      </c>
      <c r="N21" s="53">
        <v>536</v>
      </c>
      <c r="O21" s="53">
        <v>0</v>
      </c>
      <c r="P21" s="53">
        <v>0.61</v>
      </c>
      <c r="Q21" s="53">
        <v>9.83</v>
      </c>
      <c r="R21" s="43"/>
      <c r="S21" s="43"/>
      <c r="T21" s="43"/>
      <c r="U21" s="43"/>
    </row>
    <row r="22" spans="1:21" s="11" customFormat="1" x14ac:dyDescent="0.25">
      <c r="A22" s="52" t="s">
        <v>265</v>
      </c>
      <c r="B22" s="53">
        <v>7.97</v>
      </c>
      <c r="C22" s="53">
        <v>3.24</v>
      </c>
      <c r="D22" s="53">
        <v>11.86</v>
      </c>
      <c r="E22" s="53">
        <v>6.77</v>
      </c>
      <c r="F22" s="53">
        <v>10.039999999999999</v>
      </c>
      <c r="G22" s="53">
        <v>63.1</v>
      </c>
      <c r="H22" s="53">
        <v>30.45</v>
      </c>
      <c r="I22" s="53">
        <v>2.31</v>
      </c>
      <c r="J22" s="53">
        <v>1.8</v>
      </c>
      <c r="K22" s="53">
        <v>338.99</v>
      </c>
      <c r="L22" s="53">
        <v>34.200000000000003</v>
      </c>
      <c r="M22" s="53">
        <v>79.23</v>
      </c>
      <c r="N22" s="53">
        <v>651.9</v>
      </c>
      <c r="O22" s="53">
        <v>0</v>
      </c>
      <c r="P22" s="53">
        <v>0.57999999999999996</v>
      </c>
      <c r="Q22" s="53">
        <v>9.73</v>
      </c>
      <c r="R22" s="43"/>
      <c r="S22" s="43"/>
      <c r="T22" s="43"/>
      <c r="U22" s="43"/>
    </row>
    <row r="23" spans="1:21" s="11" customFormat="1" x14ac:dyDescent="0.25">
      <c r="A23" s="52" t="s">
        <v>266</v>
      </c>
      <c r="B23" s="53">
        <v>7.98</v>
      </c>
      <c r="C23" s="53">
        <v>3.07</v>
      </c>
      <c r="D23" s="53">
        <v>11.77</v>
      </c>
      <c r="E23" s="53">
        <v>5.3</v>
      </c>
      <c r="F23" s="53">
        <v>18.920000000000002</v>
      </c>
      <c r="G23" s="53">
        <v>79.86</v>
      </c>
      <c r="H23" s="53">
        <v>27.99</v>
      </c>
      <c r="I23" s="53">
        <v>2.37</v>
      </c>
      <c r="J23" s="53">
        <v>1.18</v>
      </c>
      <c r="K23" s="53">
        <v>338.54</v>
      </c>
      <c r="L23" s="53">
        <v>33.700000000000003</v>
      </c>
      <c r="M23" s="53">
        <v>79.8</v>
      </c>
      <c r="N23" s="53">
        <v>311.7</v>
      </c>
      <c r="O23" s="53">
        <v>0</v>
      </c>
      <c r="P23" s="53">
        <v>0.7</v>
      </c>
      <c r="Q23" s="53">
        <v>9.99</v>
      </c>
      <c r="R23" s="43"/>
      <c r="S23" s="43"/>
      <c r="T23" s="43"/>
      <c r="U23" s="43"/>
    </row>
    <row r="24" spans="1:21" s="11" customFormat="1" x14ac:dyDescent="0.25">
      <c r="A24" s="52" t="s">
        <v>267</v>
      </c>
      <c r="B24" s="53">
        <v>7.95</v>
      </c>
      <c r="C24" s="53">
        <v>3.02</v>
      </c>
      <c r="D24" s="53">
        <v>11.72</v>
      </c>
      <c r="E24" s="53">
        <v>4.8600000000000003</v>
      </c>
      <c r="F24" s="53">
        <v>6.42</v>
      </c>
      <c r="G24" s="53">
        <v>56.16</v>
      </c>
      <c r="H24" s="53">
        <v>26.6</v>
      </c>
      <c r="I24" s="53">
        <v>2.5499999999999998</v>
      </c>
      <c r="J24" s="53">
        <v>1.05</v>
      </c>
      <c r="K24" s="53">
        <v>337.52</v>
      </c>
      <c r="L24" s="53">
        <v>32.049999999999997</v>
      </c>
      <c r="M24" s="53">
        <v>96.15</v>
      </c>
      <c r="N24" s="53">
        <v>178.4</v>
      </c>
      <c r="O24" s="53">
        <v>0</v>
      </c>
      <c r="P24" s="53">
        <v>0.71</v>
      </c>
      <c r="Q24" s="53">
        <v>9.76</v>
      </c>
      <c r="R24" s="43"/>
      <c r="S24" s="43"/>
      <c r="T24" s="43"/>
      <c r="U24" s="43"/>
    </row>
    <row r="25" spans="1:21" s="11" customFormat="1" x14ac:dyDescent="0.25">
      <c r="A25" s="52" t="s">
        <v>268</v>
      </c>
      <c r="B25" s="53">
        <v>7.97</v>
      </c>
      <c r="C25" s="53">
        <v>3.03</v>
      </c>
      <c r="D25" s="53">
        <v>11.75</v>
      </c>
      <c r="E25" s="53">
        <v>4.2300000000000004</v>
      </c>
      <c r="F25" s="53">
        <v>5.1100000000000003</v>
      </c>
      <c r="G25" s="53">
        <v>69.72</v>
      </c>
      <c r="H25" s="53">
        <v>27.68</v>
      </c>
      <c r="I25" s="53">
        <v>3.69</v>
      </c>
      <c r="J25" s="53">
        <v>0.72</v>
      </c>
      <c r="K25" s="53">
        <v>351.39</v>
      </c>
      <c r="L25" s="53">
        <v>31.68</v>
      </c>
      <c r="M25" s="53">
        <v>96.14</v>
      </c>
      <c r="N25" s="53">
        <v>180.8</v>
      </c>
      <c r="O25" s="53">
        <v>0</v>
      </c>
      <c r="P25" s="53">
        <v>0.72</v>
      </c>
      <c r="Q25" s="53">
        <v>9.8800000000000008</v>
      </c>
      <c r="R25" s="43"/>
      <c r="S25" s="43"/>
      <c r="T25" s="43"/>
      <c r="U25" s="43"/>
    </row>
    <row r="26" spans="1:21" s="11" customFormat="1" x14ac:dyDescent="0.25">
      <c r="A26" s="52" t="s">
        <v>269</v>
      </c>
      <c r="B26" s="53">
        <v>7.97</v>
      </c>
      <c r="C26" s="53">
        <v>3.02</v>
      </c>
      <c r="D26" s="53">
        <v>11.73</v>
      </c>
      <c r="E26" s="53">
        <v>4.28</v>
      </c>
      <c r="F26" s="53">
        <v>4.95</v>
      </c>
      <c r="G26" s="53">
        <v>62</v>
      </c>
      <c r="H26" s="53">
        <v>83.69</v>
      </c>
      <c r="I26" s="53">
        <v>3.88</v>
      </c>
      <c r="J26" s="53">
        <v>0.87</v>
      </c>
      <c r="K26" s="53">
        <v>357.87</v>
      </c>
      <c r="L26" s="53">
        <v>29.18</v>
      </c>
      <c r="M26" s="53">
        <v>101.71</v>
      </c>
      <c r="N26" s="53">
        <v>56.5</v>
      </c>
      <c r="O26" s="53">
        <v>0.8</v>
      </c>
      <c r="P26" s="53">
        <v>0.69</v>
      </c>
      <c r="Q26" s="53">
        <v>9.8699999999999992</v>
      </c>
      <c r="R26" s="43"/>
      <c r="S26" s="43"/>
      <c r="T26" s="43"/>
      <c r="U26" s="43"/>
    </row>
    <row r="27" spans="1:21" s="11" customFormat="1" x14ac:dyDescent="0.25">
      <c r="A27" s="52" t="s">
        <v>270</v>
      </c>
      <c r="B27" s="53">
        <v>8.01</v>
      </c>
      <c r="C27" s="53">
        <v>3.1</v>
      </c>
      <c r="D27" s="53">
        <v>11.82</v>
      </c>
      <c r="E27" s="53">
        <v>4.32</v>
      </c>
      <c r="F27" s="53">
        <v>3.93</v>
      </c>
      <c r="G27" s="53">
        <v>46.51</v>
      </c>
      <c r="H27" s="53">
        <v>157.66999999999999</v>
      </c>
      <c r="I27" s="53">
        <v>3.8</v>
      </c>
      <c r="J27" s="53">
        <v>0.8</v>
      </c>
      <c r="K27" s="53">
        <v>339.29</v>
      </c>
      <c r="L27" s="53">
        <v>27.05</v>
      </c>
      <c r="M27" s="53">
        <v>101.75</v>
      </c>
      <c r="N27" s="53">
        <v>41.4</v>
      </c>
      <c r="O27" s="53">
        <v>1.2</v>
      </c>
      <c r="P27" s="53">
        <v>0.67</v>
      </c>
      <c r="Q27" s="53">
        <v>9.7899999999999991</v>
      </c>
      <c r="R27" s="43"/>
      <c r="S27" s="43"/>
      <c r="T27" s="43"/>
      <c r="U27" s="43"/>
    </row>
    <row r="28" spans="1:21" s="11" customFormat="1" x14ac:dyDescent="0.25">
      <c r="A28" s="52" t="s">
        <v>271</v>
      </c>
      <c r="B28" s="53">
        <v>8.0299999999999994</v>
      </c>
      <c r="C28" s="53">
        <v>3.02</v>
      </c>
      <c r="D28" s="53">
        <v>11.79</v>
      </c>
      <c r="E28" s="53">
        <v>4.37</v>
      </c>
      <c r="F28" s="53">
        <v>3.61</v>
      </c>
      <c r="G28" s="53">
        <v>40.79</v>
      </c>
      <c r="H28" s="53">
        <v>0</v>
      </c>
      <c r="I28" s="53">
        <v>3.85</v>
      </c>
      <c r="J28" s="53">
        <v>0.21</v>
      </c>
      <c r="K28" s="53">
        <v>355.15</v>
      </c>
      <c r="L28" s="53">
        <v>26.07</v>
      </c>
      <c r="M28" s="53">
        <v>101.75</v>
      </c>
      <c r="N28" s="53">
        <v>40.799999999999997</v>
      </c>
      <c r="O28" s="53">
        <v>0</v>
      </c>
      <c r="P28" s="53">
        <v>0.67</v>
      </c>
      <c r="Q28" s="53">
        <v>9.85</v>
      </c>
      <c r="R28" s="43"/>
      <c r="S28" s="43"/>
      <c r="T28" s="43"/>
      <c r="U28" s="43"/>
    </row>
    <row r="29" spans="1:21" s="11" customFormat="1" x14ac:dyDescent="0.25">
      <c r="A29" s="52" t="s">
        <v>272</v>
      </c>
      <c r="B29" s="53">
        <v>7.99</v>
      </c>
      <c r="C29" s="53">
        <v>3.05</v>
      </c>
      <c r="D29" s="53">
        <v>11.77</v>
      </c>
      <c r="E29" s="53">
        <v>4.6500000000000004</v>
      </c>
      <c r="F29" s="53">
        <v>4</v>
      </c>
      <c r="G29" s="53">
        <v>31.28</v>
      </c>
      <c r="H29" s="53">
        <v>0</v>
      </c>
      <c r="I29" s="53">
        <v>3.79</v>
      </c>
      <c r="J29" s="53">
        <v>0.28999999999999998</v>
      </c>
      <c r="K29" s="53">
        <v>352.23</v>
      </c>
      <c r="L29" s="53">
        <v>26.02</v>
      </c>
      <c r="M29" s="53">
        <v>101.75</v>
      </c>
      <c r="N29" s="53">
        <v>40.799999999999997</v>
      </c>
      <c r="O29" s="53">
        <v>5</v>
      </c>
      <c r="P29" s="53">
        <v>0.66</v>
      </c>
      <c r="Q29" s="53">
        <v>9.8699999999999992</v>
      </c>
      <c r="R29" s="43"/>
      <c r="S29" s="43"/>
      <c r="T29" s="43"/>
      <c r="U29" s="43"/>
    </row>
    <row r="30" spans="1:21" s="11" customFormat="1" x14ac:dyDescent="0.25">
      <c r="A30" s="52" t="s">
        <v>273</v>
      </c>
      <c r="B30" s="53">
        <v>7.97</v>
      </c>
      <c r="C30" s="53">
        <v>3.01</v>
      </c>
      <c r="D30" s="53">
        <v>11.74</v>
      </c>
      <c r="E30" s="53">
        <v>4.8099999999999996</v>
      </c>
      <c r="F30" s="53">
        <v>4.82</v>
      </c>
      <c r="G30" s="53">
        <v>23.64</v>
      </c>
      <c r="H30" s="53">
        <v>0.45</v>
      </c>
      <c r="I30" s="53">
        <v>3.56</v>
      </c>
      <c r="J30" s="53">
        <v>0.28000000000000003</v>
      </c>
      <c r="K30" s="53">
        <v>356.95</v>
      </c>
      <c r="L30" s="53">
        <v>25.31</v>
      </c>
      <c r="M30" s="53">
        <v>101.75</v>
      </c>
      <c r="N30" s="53">
        <v>40.200000000000003</v>
      </c>
      <c r="O30" s="53">
        <v>1.4</v>
      </c>
      <c r="P30" s="53">
        <v>0.72</v>
      </c>
      <c r="Q30" s="53">
        <v>9.92</v>
      </c>
      <c r="R30" s="43"/>
      <c r="S30" s="43"/>
      <c r="T30" s="43"/>
      <c r="U30" s="43"/>
    </row>
    <row r="31" spans="1:21" s="11" customFormat="1" x14ac:dyDescent="0.25">
      <c r="A31" s="52" t="s">
        <v>274</v>
      </c>
      <c r="B31" s="53">
        <v>7.99</v>
      </c>
      <c r="C31" s="53">
        <v>3.1</v>
      </c>
      <c r="D31" s="53">
        <v>11.8</v>
      </c>
      <c r="E31" s="53">
        <v>4.62</v>
      </c>
      <c r="F31" s="53">
        <v>3.47</v>
      </c>
      <c r="G31" s="53">
        <v>18.559999999999999</v>
      </c>
      <c r="H31" s="53">
        <v>8</v>
      </c>
      <c r="I31" s="53">
        <v>3.27</v>
      </c>
      <c r="J31" s="53">
        <v>0.27</v>
      </c>
      <c r="K31" s="53">
        <v>348.37</v>
      </c>
      <c r="L31" s="53">
        <v>25.27</v>
      </c>
      <c r="M31" s="53">
        <v>101.75</v>
      </c>
      <c r="N31" s="53">
        <v>40.4</v>
      </c>
      <c r="O31" s="53">
        <v>0.6</v>
      </c>
      <c r="P31" s="53">
        <v>0.69</v>
      </c>
      <c r="Q31" s="53">
        <v>9.82</v>
      </c>
      <c r="R31" s="43"/>
      <c r="S31" s="43"/>
      <c r="T31" s="43"/>
      <c r="U31" s="43"/>
    </row>
    <row r="32" spans="1:21" s="11" customFormat="1" x14ac:dyDescent="0.25">
      <c r="A32" s="52" t="s">
        <v>275</v>
      </c>
      <c r="B32" s="53">
        <v>8</v>
      </c>
      <c r="C32" s="53">
        <v>3.06</v>
      </c>
      <c r="D32" s="53">
        <v>11.78</v>
      </c>
      <c r="E32" s="53">
        <v>4.87</v>
      </c>
      <c r="F32" s="53">
        <v>3.43</v>
      </c>
      <c r="G32" s="53">
        <v>16.62</v>
      </c>
      <c r="H32" s="53">
        <v>15.98</v>
      </c>
      <c r="I32" s="53">
        <v>3.38</v>
      </c>
      <c r="J32" s="53">
        <v>0.45</v>
      </c>
      <c r="K32" s="53">
        <v>347.69</v>
      </c>
      <c r="L32" s="53">
        <v>25.17</v>
      </c>
      <c r="M32" s="53">
        <v>101.75</v>
      </c>
      <c r="N32" s="53">
        <v>40.6</v>
      </c>
      <c r="O32" s="53">
        <v>9</v>
      </c>
      <c r="P32" s="53">
        <v>0.7</v>
      </c>
      <c r="Q32" s="53">
        <v>9.83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7.91</v>
      </c>
      <c r="C34" s="28">
        <f t="shared" si="0"/>
        <v>2.99</v>
      </c>
      <c r="D34" s="28">
        <f t="shared" si="0"/>
        <v>11.69</v>
      </c>
      <c r="E34" s="28">
        <f t="shared" si="0"/>
        <v>4.17</v>
      </c>
      <c r="F34" s="28">
        <f t="shared" si="0"/>
        <v>3.43</v>
      </c>
      <c r="G34" s="28">
        <f t="shared" si="0"/>
        <v>16.62</v>
      </c>
      <c r="H34" s="28">
        <f t="shared" si="0"/>
        <v>0</v>
      </c>
      <c r="I34" s="28">
        <f t="shared" si="0"/>
        <v>2.31</v>
      </c>
      <c r="J34" s="28">
        <f t="shared" si="0"/>
        <v>0.21</v>
      </c>
      <c r="K34" s="28">
        <f t="shared" si="0"/>
        <v>336.24</v>
      </c>
      <c r="L34" s="28">
        <f t="shared" si="0"/>
        <v>25.17</v>
      </c>
      <c r="M34" s="28">
        <f t="shared" si="0"/>
        <v>78.11</v>
      </c>
      <c r="N34" s="28">
        <f t="shared" si="0"/>
        <v>40.200000000000003</v>
      </c>
      <c r="O34" s="28">
        <f t="shared" si="0"/>
        <v>0</v>
      </c>
      <c r="P34" s="28">
        <f t="shared" si="0"/>
        <v>0.47</v>
      </c>
      <c r="Q34" s="28">
        <f t="shared" si="0"/>
        <v>9.73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8.09</v>
      </c>
      <c r="C35" s="29">
        <f t="shared" si="1"/>
        <v>3.29</v>
      </c>
      <c r="D35" s="29">
        <f t="shared" si="1"/>
        <v>11.98</v>
      </c>
      <c r="E35" s="29">
        <f t="shared" si="1"/>
        <v>6.77</v>
      </c>
      <c r="F35" s="29">
        <f t="shared" si="1"/>
        <v>18.920000000000002</v>
      </c>
      <c r="G35" s="29">
        <f t="shared" si="1"/>
        <v>79.86</v>
      </c>
      <c r="H35" s="29">
        <f t="shared" si="1"/>
        <v>157.66999999999999</v>
      </c>
      <c r="I35" s="29">
        <f t="shared" si="1"/>
        <v>4.16</v>
      </c>
      <c r="J35" s="29">
        <f t="shared" si="1"/>
        <v>2.06</v>
      </c>
      <c r="K35" s="29">
        <f t="shared" si="1"/>
        <v>357.87</v>
      </c>
      <c r="L35" s="29">
        <f t="shared" si="1"/>
        <v>34.770000000000003</v>
      </c>
      <c r="M35" s="29">
        <f t="shared" si="1"/>
        <v>101.75</v>
      </c>
      <c r="N35" s="29">
        <f t="shared" si="1"/>
        <v>651.9</v>
      </c>
      <c r="O35" s="29">
        <f t="shared" si="1"/>
        <v>9</v>
      </c>
      <c r="P35" s="29">
        <f t="shared" si="1"/>
        <v>0.73</v>
      </c>
      <c r="Q35" s="29">
        <f t="shared" si="1"/>
        <v>10.1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7.9912500000000009</v>
      </c>
      <c r="C36" s="28">
        <f t="shared" si="2"/>
        <v>3.057500000000001</v>
      </c>
      <c r="D36" s="28">
        <f t="shared" si="2"/>
        <v>11.77708333333333</v>
      </c>
      <c r="E36" s="28">
        <f t="shared" si="2"/>
        <v>4.8000000000000007</v>
      </c>
      <c r="F36" s="28">
        <f t="shared" si="2"/>
        <v>6.0116666666666667</v>
      </c>
      <c r="G36" s="28">
        <f t="shared" si="2"/>
        <v>48.769166666666671</v>
      </c>
      <c r="H36" s="28">
        <f t="shared" si="2"/>
        <v>31.387083333333337</v>
      </c>
      <c r="I36" s="28">
        <f t="shared" si="2"/>
        <v>3.3608333333333333</v>
      </c>
      <c r="J36" s="28">
        <f t="shared" si="2"/>
        <v>1.0650000000000002</v>
      </c>
      <c r="K36" s="28">
        <f t="shared" si="2"/>
        <v>342.61999999999995</v>
      </c>
      <c r="L36" s="28">
        <f t="shared" si="2"/>
        <v>28.927916666666661</v>
      </c>
      <c r="M36" s="28">
        <f t="shared" si="2"/>
        <v>96.567499999999995</v>
      </c>
      <c r="N36" s="28">
        <f t="shared" si="2"/>
        <v>197.99166666666665</v>
      </c>
      <c r="O36" s="28">
        <f t="shared" si="2"/>
        <v>0.77500000000000002</v>
      </c>
      <c r="P36" s="28">
        <f t="shared" si="2"/>
        <v>0.62541666666666662</v>
      </c>
      <c r="Q36" s="28">
        <f t="shared" si="2"/>
        <v>9.8774999999999995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3.4302047093177988E-2</v>
      </c>
      <c r="C37" s="28">
        <f t="shared" ref="C37:Q37" si="3">STDEV(C9:C32)</f>
        <v>7.2005434577507119E-2</v>
      </c>
      <c r="D37" s="28">
        <f t="shared" si="3"/>
        <v>5.7140495551614372E-2</v>
      </c>
      <c r="E37" s="28">
        <f t="shared" si="3"/>
        <v>0.64315120948409743</v>
      </c>
      <c r="F37" s="28">
        <f t="shared" si="3"/>
        <v>4.5875044524718751</v>
      </c>
      <c r="G37" s="28">
        <f t="shared" si="3"/>
        <v>19.169611802711753</v>
      </c>
      <c r="H37" s="28">
        <f t="shared" si="3"/>
        <v>31.828006737185383</v>
      </c>
      <c r="I37" s="28">
        <f t="shared" si="3"/>
        <v>0.54217690572491628</v>
      </c>
      <c r="J37" s="28">
        <f t="shared" si="3"/>
        <v>0.53291650377896893</v>
      </c>
      <c r="K37" s="28">
        <f t="shared" si="3"/>
        <v>7.0597511965027282</v>
      </c>
      <c r="L37" s="28">
        <f t="shared" si="3"/>
        <v>3.5401608648867642</v>
      </c>
      <c r="M37" s="28">
        <f t="shared" si="3"/>
        <v>8.9227580304278789</v>
      </c>
      <c r="N37" s="28">
        <f t="shared" si="3"/>
        <v>226.88874484255916</v>
      </c>
      <c r="O37" s="28">
        <f t="shared" si="3"/>
        <v>2.0466834253196708</v>
      </c>
      <c r="P37" s="28">
        <f t="shared" si="3"/>
        <v>9.045677164387439E-2</v>
      </c>
      <c r="Q37" s="28">
        <f t="shared" si="3"/>
        <v>0.10109186523846174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276</v>
      </c>
      <c r="B9" s="53">
        <v>7.99</v>
      </c>
      <c r="C9" s="53">
        <v>3.03</v>
      </c>
      <c r="D9" s="53">
        <v>11.77</v>
      </c>
      <c r="E9" s="53">
        <v>4.8099999999999996</v>
      </c>
      <c r="F9" s="53">
        <v>4.42</v>
      </c>
      <c r="G9" s="53">
        <v>15.4</v>
      </c>
      <c r="H9" s="53">
        <v>2.4500000000000002</v>
      </c>
      <c r="I9" s="53">
        <v>3.59</v>
      </c>
      <c r="J9" s="53">
        <v>0.47</v>
      </c>
      <c r="K9" s="53">
        <v>336.77</v>
      </c>
      <c r="L9" s="53">
        <v>25.14</v>
      </c>
      <c r="M9" s="53">
        <v>101.75</v>
      </c>
      <c r="N9" s="53">
        <v>40.5</v>
      </c>
      <c r="O9" s="53">
        <v>0.8</v>
      </c>
      <c r="P9" s="53">
        <v>0.68</v>
      </c>
      <c r="Q9" s="53">
        <v>9.81</v>
      </c>
      <c r="R9" s="43"/>
      <c r="S9" s="43"/>
      <c r="T9" s="43"/>
      <c r="U9" s="43"/>
    </row>
    <row r="10" spans="1:21" s="11" customFormat="1" x14ac:dyDescent="0.25">
      <c r="A10" s="52" t="s">
        <v>277</v>
      </c>
      <c r="B10" s="53">
        <v>7.96</v>
      </c>
      <c r="C10" s="53">
        <v>2.99</v>
      </c>
      <c r="D10" s="53">
        <v>11.71</v>
      </c>
      <c r="E10" s="53">
        <v>4.4800000000000004</v>
      </c>
      <c r="F10" s="53">
        <v>4.51</v>
      </c>
      <c r="G10" s="53">
        <v>10.84</v>
      </c>
      <c r="H10" s="53">
        <v>1.65</v>
      </c>
      <c r="I10" s="53">
        <v>3.5</v>
      </c>
      <c r="J10" s="53">
        <v>0.31</v>
      </c>
      <c r="K10" s="53">
        <v>357.01</v>
      </c>
      <c r="L10" s="53">
        <v>25.04</v>
      </c>
      <c r="M10" s="53">
        <v>101.75</v>
      </c>
      <c r="N10" s="53">
        <v>40.299999999999997</v>
      </c>
      <c r="O10" s="53">
        <v>0.8</v>
      </c>
      <c r="P10" s="53">
        <v>0.57999999999999996</v>
      </c>
      <c r="Q10" s="53">
        <v>9.6999999999999993</v>
      </c>
      <c r="R10" s="43"/>
      <c r="S10" s="43"/>
      <c r="T10" s="43"/>
      <c r="U10" s="43"/>
    </row>
    <row r="11" spans="1:21" s="11" customFormat="1" x14ac:dyDescent="0.25">
      <c r="A11" s="52" t="s">
        <v>278</v>
      </c>
      <c r="B11" s="53">
        <v>7.99</v>
      </c>
      <c r="C11" s="53">
        <v>3.07</v>
      </c>
      <c r="D11" s="53">
        <v>11.78</v>
      </c>
      <c r="E11" s="53">
        <v>4.5999999999999996</v>
      </c>
      <c r="F11" s="53">
        <v>4.5</v>
      </c>
      <c r="G11" s="53">
        <v>7.88</v>
      </c>
      <c r="H11" s="53">
        <v>1.43</v>
      </c>
      <c r="I11" s="53">
        <v>2.85</v>
      </c>
      <c r="J11" s="53">
        <v>0.51</v>
      </c>
      <c r="K11" s="53">
        <v>354.9</v>
      </c>
      <c r="L11" s="53">
        <v>25.01</v>
      </c>
      <c r="M11" s="53">
        <v>101.75</v>
      </c>
      <c r="N11" s="53">
        <v>40.200000000000003</v>
      </c>
      <c r="O11" s="53">
        <v>2.6</v>
      </c>
      <c r="P11" s="53">
        <v>0.51</v>
      </c>
      <c r="Q11" s="53">
        <v>9.7200000000000006</v>
      </c>
      <c r="R11" s="43"/>
      <c r="S11" s="43"/>
      <c r="T11" s="43"/>
      <c r="U11" s="43"/>
    </row>
    <row r="12" spans="1:21" s="11" customFormat="1" x14ac:dyDescent="0.25">
      <c r="A12" s="52" t="s">
        <v>279</v>
      </c>
      <c r="B12" s="53">
        <v>7.99</v>
      </c>
      <c r="C12" s="53">
        <v>3</v>
      </c>
      <c r="D12" s="53">
        <v>11.74</v>
      </c>
      <c r="E12" s="53">
        <v>5.65</v>
      </c>
      <c r="F12" s="53">
        <v>3.86</v>
      </c>
      <c r="G12" s="53">
        <v>7.6</v>
      </c>
      <c r="H12" s="53">
        <v>4.0999999999999996</v>
      </c>
      <c r="I12" s="53">
        <v>2.5299999999999998</v>
      </c>
      <c r="J12" s="53">
        <v>0.42</v>
      </c>
      <c r="K12" s="53">
        <v>334.27</v>
      </c>
      <c r="L12" s="53">
        <v>25.04</v>
      </c>
      <c r="M12" s="53">
        <v>101.75</v>
      </c>
      <c r="N12" s="53">
        <v>40</v>
      </c>
      <c r="O12" s="53">
        <v>1</v>
      </c>
      <c r="P12" s="53">
        <v>0.44</v>
      </c>
      <c r="Q12" s="53">
        <v>9.69</v>
      </c>
      <c r="R12" s="43"/>
      <c r="S12" s="43"/>
      <c r="T12" s="43"/>
      <c r="U12" s="43"/>
    </row>
    <row r="13" spans="1:21" s="11" customFormat="1" x14ac:dyDescent="0.25">
      <c r="A13" s="52" t="s">
        <v>280</v>
      </c>
      <c r="B13" s="53">
        <v>7.97</v>
      </c>
      <c r="C13" s="53">
        <v>2.94</v>
      </c>
      <c r="D13" s="53">
        <v>11.7</v>
      </c>
      <c r="E13" s="53">
        <v>4.8499999999999996</v>
      </c>
      <c r="F13" s="53">
        <v>4.8499999999999996</v>
      </c>
      <c r="G13" s="53">
        <v>10.8</v>
      </c>
      <c r="H13" s="53">
        <v>8.2899999999999991</v>
      </c>
      <c r="I13" s="53">
        <v>2.59</v>
      </c>
      <c r="J13" s="53">
        <v>0.22</v>
      </c>
      <c r="K13" s="53">
        <v>334.78</v>
      </c>
      <c r="L13" s="53">
        <v>25.18</v>
      </c>
      <c r="M13" s="53">
        <v>101.76</v>
      </c>
      <c r="N13" s="53">
        <v>39.9</v>
      </c>
      <c r="O13" s="53">
        <v>0.4</v>
      </c>
      <c r="P13" s="53">
        <v>0.4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281</v>
      </c>
      <c r="B14" s="53">
        <v>7.96</v>
      </c>
      <c r="C14" s="53">
        <v>2.98</v>
      </c>
      <c r="D14" s="53">
        <v>11.69</v>
      </c>
      <c r="E14" s="53">
        <v>5.12</v>
      </c>
      <c r="F14" s="53">
        <v>5.0999999999999996</v>
      </c>
      <c r="G14" s="53">
        <v>7.86</v>
      </c>
      <c r="H14" s="53">
        <v>1.91</v>
      </c>
      <c r="I14" s="53">
        <v>2.56</v>
      </c>
      <c r="J14" s="53">
        <v>0.61</v>
      </c>
      <c r="K14" s="53">
        <v>329.58</v>
      </c>
      <c r="L14" s="53">
        <v>25.14</v>
      </c>
      <c r="M14" s="53">
        <v>101.75</v>
      </c>
      <c r="N14" s="53">
        <v>40.299999999999997</v>
      </c>
      <c r="O14" s="53">
        <v>0.2</v>
      </c>
      <c r="P14" s="53">
        <v>0.37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282</v>
      </c>
      <c r="B15" s="53">
        <v>7.96</v>
      </c>
      <c r="C15" s="53">
        <v>2.98</v>
      </c>
      <c r="D15" s="53">
        <v>11.71</v>
      </c>
      <c r="E15" s="53">
        <v>4.97</v>
      </c>
      <c r="F15" s="53">
        <v>4.79</v>
      </c>
      <c r="G15" s="53">
        <v>6.2</v>
      </c>
      <c r="H15" s="53">
        <v>0.42</v>
      </c>
      <c r="I15" s="53">
        <v>2.19</v>
      </c>
      <c r="J15" s="53">
        <v>0.5</v>
      </c>
      <c r="K15" s="53">
        <v>347.23</v>
      </c>
      <c r="L15" s="53">
        <v>25.03</v>
      </c>
      <c r="M15" s="53">
        <v>101.76</v>
      </c>
      <c r="N15" s="53">
        <v>45.2</v>
      </c>
      <c r="O15" s="53">
        <v>5</v>
      </c>
      <c r="P15" s="53">
        <v>0.33</v>
      </c>
      <c r="Q15" s="53">
        <v>9.64</v>
      </c>
      <c r="R15" s="43"/>
      <c r="S15" s="43"/>
      <c r="T15" s="43"/>
      <c r="U15" s="43"/>
    </row>
    <row r="16" spans="1:21" s="11" customFormat="1" x14ac:dyDescent="0.25">
      <c r="A16" s="52" t="s">
        <v>283</v>
      </c>
      <c r="B16" s="53">
        <v>7.99</v>
      </c>
      <c r="C16" s="53">
        <v>2.98</v>
      </c>
      <c r="D16" s="53">
        <v>11.74</v>
      </c>
      <c r="E16" s="53">
        <v>4.92</v>
      </c>
      <c r="F16" s="53">
        <v>3.99</v>
      </c>
      <c r="G16" s="53">
        <v>4.8499999999999996</v>
      </c>
      <c r="H16" s="53">
        <v>0.1</v>
      </c>
      <c r="I16" s="53">
        <v>1.78</v>
      </c>
      <c r="J16" s="53">
        <v>0.37</v>
      </c>
      <c r="K16" s="53">
        <v>355.37</v>
      </c>
      <c r="L16" s="53">
        <v>24.99</v>
      </c>
      <c r="M16" s="53">
        <v>101.76</v>
      </c>
      <c r="N16" s="53">
        <v>45.9</v>
      </c>
      <c r="O16" s="53">
        <v>7</v>
      </c>
      <c r="P16" s="53">
        <v>0.35</v>
      </c>
      <c r="Q16" s="53">
        <v>9.64</v>
      </c>
      <c r="R16" s="43"/>
      <c r="S16" s="43"/>
      <c r="T16" s="43"/>
      <c r="U16" s="43"/>
    </row>
    <row r="17" spans="1:21" s="11" customFormat="1" x14ac:dyDescent="0.25">
      <c r="A17" s="52" t="s">
        <v>284</v>
      </c>
      <c r="B17" s="53">
        <v>7.98</v>
      </c>
      <c r="C17" s="53">
        <v>2.98</v>
      </c>
      <c r="D17" s="53">
        <v>11.72</v>
      </c>
      <c r="E17" s="53">
        <v>4.83</v>
      </c>
      <c r="F17" s="53">
        <v>4.49</v>
      </c>
      <c r="G17" s="53">
        <v>3.39</v>
      </c>
      <c r="H17" s="53">
        <v>1.2</v>
      </c>
      <c r="I17" s="53">
        <v>1.62</v>
      </c>
      <c r="J17" s="53">
        <v>0.44</v>
      </c>
      <c r="K17" s="53">
        <v>353.27</v>
      </c>
      <c r="L17" s="53">
        <v>25.03</v>
      </c>
      <c r="M17" s="53">
        <v>101.76</v>
      </c>
      <c r="N17" s="53">
        <v>74.099999999999994</v>
      </c>
      <c r="O17" s="53">
        <v>6</v>
      </c>
      <c r="P17" s="53">
        <v>0.36</v>
      </c>
      <c r="Q17" s="53">
        <v>9.73</v>
      </c>
      <c r="R17" s="43"/>
      <c r="S17" s="43"/>
      <c r="T17" s="43"/>
      <c r="U17" s="43"/>
    </row>
    <row r="18" spans="1:21" s="11" customFormat="1" x14ac:dyDescent="0.25">
      <c r="A18" s="52" t="s">
        <v>285</v>
      </c>
      <c r="B18" s="53">
        <v>7.99</v>
      </c>
      <c r="C18" s="53">
        <v>3.07</v>
      </c>
      <c r="D18" s="53">
        <v>11.78</v>
      </c>
      <c r="E18" s="53">
        <v>5.03</v>
      </c>
      <c r="F18" s="53">
        <v>4.7300000000000004</v>
      </c>
      <c r="G18" s="53">
        <v>4.33</v>
      </c>
      <c r="H18" s="53">
        <v>5.29</v>
      </c>
      <c r="I18" s="53">
        <v>1.56</v>
      </c>
      <c r="J18" s="53">
        <v>0.43</v>
      </c>
      <c r="K18" s="53">
        <v>353.73</v>
      </c>
      <c r="L18" s="53">
        <v>25.05</v>
      </c>
      <c r="M18" s="53">
        <v>101.76</v>
      </c>
      <c r="N18" s="53">
        <v>81.3</v>
      </c>
      <c r="O18" s="53">
        <v>0.2</v>
      </c>
      <c r="P18" s="53">
        <v>0.42</v>
      </c>
      <c r="Q18" s="53">
        <v>9.7100000000000009</v>
      </c>
      <c r="R18" s="43"/>
      <c r="S18" s="43"/>
      <c r="T18" s="43"/>
      <c r="U18" s="43"/>
    </row>
    <row r="19" spans="1:21" s="11" customFormat="1" x14ac:dyDescent="0.25">
      <c r="A19" s="52" t="s">
        <v>286</v>
      </c>
      <c r="B19" s="53">
        <v>7.95</v>
      </c>
      <c r="C19" s="53">
        <v>3</v>
      </c>
      <c r="D19" s="53">
        <v>11.72</v>
      </c>
      <c r="E19" s="53">
        <v>4.8499999999999996</v>
      </c>
      <c r="F19" s="53">
        <v>4.97</v>
      </c>
      <c r="G19" s="53">
        <v>6.81</v>
      </c>
      <c r="H19" s="53">
        <v>4</v>
      </c>
      <c r="I19" s="53">
        <v>1.79</v>
      </c>
      <c r="J19" s="53">
        <v>0.39</v>
      </c>
      <c r="K19" s="53">
        <v>3.29</v>
      </c>
      <c r="L19" s="53">
        <v>24.99</v>
      </c>
      <c r="M19" s="53">
        <v>101.76</v>
      </c>
      <c r="N19" s="53">
        <v>162.80000000000001</v>
      </c>
      <c r="O19" s="53">
        <v>0.2</v>
      </c>
      <c r="P19" s="53">
        <v>0.48</v>
      </c>
      <c r="Q19" s="53">
        <v>9.73</v>
      </c>
      <c r="R19" s="43"/>
      <c r="S19" s="43"/>
      <c r="T19" s="43"/>
      <c r="U19" s="43"/>
    </row>
    <row r="20" spans="1:21" s="11" customFormat="1" x14ac:dyDescent="0.25">
      <c r="A20" s="52" t="s">
        <v>287</v>
      </c>
      <c r="B20" s="53">
        <v>8.01</v>
      </c>
      <c r="C20" s="53">
        <v>3.09</v>
      </c>
      <c r="D20" s="53">
        <v>11.82</v>
      </c>
      <c r="E20" s="53">
        <v>4.58</v>
      </c>
      <c r="F20" s="53">
        <v>4.21</v>
      </c>
      <c r="G20" s="53">
        <v>6.53</v>
      </c>
      <c r="H20" s="53">
        <v>8.25</v>
      </c>
      <c r="I20" s="53">
        <v>1.75</v>
      </c>
      <c r="J20" s="53">
        <v>0.38</v>
      </c>
      <c r="K20" s="53">
        <v>356.66</v>
      </c>
      <c r="L20" s="53">
        <v>25.49</v>
      </c>
      <c r="M20" s="53">
        <v>101.76</v>
      </c>
      <c r="N20" s="53">
        <v>215.4</v>
      </c>
      <c r="O20" s="53">
        <v>0.2</v>
      </c>
      <c r="P20" s="53">
        <v>0.61</v>
      </c>
      <c r="Q20" s="53">
        <v>9.66</v>
      </c>
      <c r="R20" s="43"/>
      <c r="S20" s="43"/>
      <c r="T20" s="43"/>
      <c r="U20" s="43"/>
    </row>
    <row r="21" spans="1:21" s="11" customFormat="1" x14ac:dyDescent="0.25">
      <c r="A21" s="52" t="s">
        <v>288</v>
      </c>
      <c r="B21" s="53">
        <v>7.97</v>
      </c>
      <c r="C21" s="53">
        <v>3.02</v>
      </c>
      <c r="D21" s="53">
        <v>11.74</v>
      </c>
      <c r="E21" s="53">
        <v>3.91</v>
      </c>
      <c r="F21" s="53">
        <v>4.72</v>
      </c>
      <c r="G21" s="53">
        <v>7.63</v>
      </c>
      <c r="H21" s="53">
        <v>12.02</v>
      </c>
      <c r="I21" s="53">
        <v>2.5</v>
      </c>
      <c r="J21" s="53">
        <v>0.3</v>
      </c>
      <c r="K21" s="53">
        <v>353.8</v>
      </c>
      <c r="L21" s="53">
        <v>26.19</v>
      </c>
      <c r="M21" s="53">
        <v>101.8</v>
      </c>
      <c r="N21" s="53">
        <v>185.8</v>
      </c>
      <c r="O21" s="53">
        <v>0</v>
      </c>
      <c r="P21" s="53">
        <v>0.65</v>
      </c>
      <c r="Q21" s="53">
        <v>9.8000000000000007</v>
      </c>
      <c r="R21" s="43"/>
      <c r="S21" s="43"/>
      <c r="T21" s="43"/>
      <c r="U21" s="43"/>
    </row>
    <row r="22" spans="1:21" s="11" customFormat="1" x14ac:dyDescent="0.25">
      <c r="A22" s="52" t="s">
        <v>289</v>
      </c>
      <c r="B22" s="53">
        <v>7.96</v>
      </c>
      <c r="C22" s="53">
        <v>3.02</v>
      </c>
      <c r="D22" s="53">
        <v>11.73</v>
      </c>
      <c r="E22" s="53">
        <v>4.07</v>
      </c>
      <c r="F22" s="53">
        <v>5.8</v>
      </c>
      <c r="G22" s="53">
        <v>10.39</v>
      </c>
      <c r="H22" s="53">
        <v>5.45</v>
      </c>
      <c r="I22" s="53">
        <v>2.5</v>
      </c>
      <c r="J22" s="53">
        <v>0.37</v>
      </c>
      <c r="K22" s="53">
        <v>353.11</v>
      </c>
      <c r="L22" s="53">
        <v>27</v>
      </c>
      <c r="M22" s="53">
        <v>101.78</v>
      </c>
      <c r="N22" s="53">
        <v>304.7</v>
      </c>
      <c r="O22" s="53">
        <v>0</v>
      </c>
      <c r="P22" s="53">
        <v>0.6</v>
      </c>
      <c r="Q22" s="53">
        <v>9.7200000000000006</v>
      </c>
      <c r="R22" s="43"/>
      <c r="S22" s="43"/>
      <c r="T22" s="43"/>
      <c r="U22" s="43"/>
    </row>
    <row r="23" spans="1:21" s="11" customFormat="1" x14ac:dyDescent="0.25">
      <c r="A23" s="52" t="s">
        <v>290</v>
      </c>
      <c r="B23" s="53">
        <v>7.96</v>
      </c>
      <c r="C23" s="53">
        <v>3</v>
      </c>
      <c r="D23" s="53">
        <v>11.73</v>
      </c>
      <c r="E23" s="53">
        <v>3.78</v>
      </c>
      <c r="F23" s="53">
        <v>5.04</v>
      </c>
      <c r="G23" s="53">
        <v>7.81</v>
      </c>
      <c r="H23" s="53">
        <v>2.0699999999999998</v>
      </c>
      <c r="I23" s="53">
        <v>2.0499999999999998</v>
      </c>
      <c r="J23" s="53">
        <v>0.28999999999999998</v>
      </c>
      <c r="K23" s="53">
        <v>351.61</v>
      </c>
      <c r="L23" s="53">
        <v>27.24</v>
      </c>
      <c r="M23" s="53">
        <v>101.7</v>
      </c>
      <c r="N23" s="53">
        <v>239.6</v>
      </c>
      <c r="O23" s="53">
        <v>0</v>
      </c>
      <c r="P23" s="53">
        <v>0.52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291</v>
      </c>
      <c r="B24" s="53">
        <v>7.96</v>
      </c>
      <c r="C24" s="53">
        <v>2.98</v>
      </c>
      <c r="D24" s="53">
        <v>11.72</v>
      </c>
      <c r="E24" s="53">
        <v>4.26</v>
      </c>
      <c r="F24" s="53">
        <v>4.5199999999999996</v>
      </c>
      <c r="G24" s="53">
        <v>8.74</v>
      </c>
      <c r="H24" s="53">
        <v>3.33</v>
      </c>
      <c r="I24" s="53">
        <v>1.67</v>
      </c>
      <c r="J24" s="53">
        <v>0.24</v>
      </c>
      <c r="K24" s="53">
        <v>349.69</v>
      </c>
      <c r="L24" s="53">
        <v>27.49</v>
      </c>
      <c r="M24" s="53">
        <v>101.69</v>
      </c>
      <c r="N24" s="53">
        <v>211</v>
      </c>
      <c r="O24" s="53">
        <v>0</v>
      </c>
      <c r="P24" s="53">
        <v>0.47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292</v>
      </c>
      <c r="B25" s="53">
        <v>7.97</v>
      </c>
      <c r="C25" s="53">
        <v>2.99</v>
      </c>
      <c r="D25" s="53">
        <v>11.72</v>
      </c>
      <c r="E25" s="53">
        <v>3.95</v>
      </c>
      <c r="F25" s="53">
        <v>4.71</v>
      </c>
      <c r="G25" s="53">
        <v>9.0500000000000007</v>
      </c>
      <c r="H25" s="53">
        <v>6.16</v>
      </c>
      <c r="I25" s="53">
        <v>1.42</v>
      </c>
      <c r="J25" s="53">
        <v>0.3</v>
      </c>
      <c r="K25" s="53">
        <v>349.01</v>
      </c>
      <c r="L25" s="53">
        <v>27.22</v>
      </c>
      <c r="M25" s="53">
        <v>101.68</v>
      </c>
      <c r="N25" s="53">
        <v>121.1</v>
      </c>
      <c r="O25" s="53">
        <v>0</v>
      </c>
      <c r="P25" s="53">
        <v>0.4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293</v>
      </c>
      <c r="B26" s="53">
        <v>7.94</v>
      </c>
      <c r="C26" s="53">
        <v>2.95</v>
      </c>
      <c r="D26" s="53">
        <v>11.68</v>
      </c>
      <c r="E26" s="53">
        <v>4.29</v>
      </c>
      <c r="F26" s="53">
        <v>5.43</v>
      </c>
      <c r="G26" s="53">
        <v>10.64</v>
      </c>
      <c r="H26" s="53">
        <v>3.29</v>
      </c>
      <c r="I26" s="53">
        <v>1.37</v>
      </c>
      <c r="J26" s="53">
        <v>0.19</v>
      </c>
      <c r="K26" s="53">
        <v>357.66</v>
      </c>
      <c r="L26" s="53">
        <v>27.12</v>
      </c>
      <c r="M26" s="53">
        <v>101.67</v>
      </c>
      <c r="N26" s="53">
        <v>87.2</v>
      </c>
      <c r="O26" s="53">
        <v>0</v>
      </c>
      <c r="P26" s="53">
        <v>0.39</v>
      </c>
      <c r="Q26" s="53">
        <v>9.64</v>
      </c>
      <c r="R26" s="43"/>
      <c r="S26" s="43"/>
      <c r="T26" s="43"/>
      <c r="U26" s="43"/>
    </row>
    <row r="27" spans="1:21" s="11" customFormat="1" x14ac:dyDescent="0.25">
      <c r="A27" s="52" t="s">
        <v>294</v>
      </c>
      <c r="B27" s="53">
        <v>7.94</v>
      </c>
      <c r="C27" s="53">
        <v>2.97</v>
      </c>
      <c r="D27" s="53">
        <v>11.69</v>
      </c>
      <c r="E27" s="53">
        <v>4.4400000000000004</v>
      </c>
      <c r="F27" s="53">
        <v>4.7699999999999996</v>
      </c>
      <c r="G27" s="53">
        <v>10.94</v>
      </c>
      <c r="H27" s="53">
        <v>2.3199999999999998</v>
      </c>
      <c r="I27" s="53">
        <v>1.41</v>
      </c>
      <c r="J27" s="53">
        <v>0.12</v>
      </c>
      <c r="K27" s="53">
        <v>329.55</v>
      </c>
      <c r="L27" s="53">
        <v>26.71</v>
      </c>
      <c r="M27" s="53">
        <v>101.7</v>
      </c>
      <c r="N27" s="53">
        <v>41.1</v>
      </c>
      <c r="O27" s="53">
        <v>0</v>
      </c>
      <c r="P27" s="53">
        <v>0.38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295</v>
      </c>
      <c r="B28" s="53">
        <v>7.95</v>
      </c>
      <c r="C28" s="53">
        <v>2.94</v>
      </c>
      <c r="D28" s="53">
        <v>11.69</v>
      </c>
      <c r="E28" s="53">
        <v>4.68</v>
      </c>
      <c r="F28" s="53">
        <v>4.26</v>
      </c>
      <c r="G28" s="53">
        <v>8.9600000000000009</v>
      </c>
      <c r="H28" s="53">
        <v>63.75</v>
      </c>
      <c r="I28" s="53">
        <v>1.72</v>
      </c>
      <c r="J28" s="53">
        <v>0.18</v>
      </c>
      <c r="K28" s="53">
        <v>353.98</v>
      </c>
      <c r="L28" s="53">
        <v>26.2</v>
      </c>
      <c r="M28" s="53">
        <v>101.79</v>
      </c>
      <c r="N28" s="53">
        <v>39.6</v>
      </c>
      <c r="O28" s="53">
        <v>0</v>
      </c>
      <c r="P28" s="53">
        <v>0.36</v>
      </c>
      <c r="Q28" s="53">
        <v>9.58</v>
      </c>
      <c r="R28" s="43"/>
      <c r="S28" s="43"/>
      <c r="T28" s="43"/>
      <c r="U28" s="43"/>
    </row>
    <row r="29" spans="1:21" s="11" customFormat="1" x14ac:dyDescent="0.25">
      <c r="A29" s="52" t="s">
        <v>296</v>
      </c>
      <c r="B29" s="53">
        <v>8</v>
      </c>
      <c r="C29" s="53">
        <v>3</v>
      </c>
      <c r="D29" s="53">
        <v>11.74</v>
      </c>
      <c r="E29" s="53">
        <v>3.16</v>
      </c>
      <c r="F29" s="53">
        <v>3.97</v>
      </c>
      <c r="G29" s="53">
        <v>9.41</v>
      </c>
      <c r="H29" s="53">
        <v>133</v>
      </c>
      <c r="I29" s="53">
        <v>1.94</v>
      </c>
      <c r="J29" s="53">
        <v>0.28999999999999998</v>
      </c>
      <c r="K29" s="53">
        <v>327.93</v>
      </c>
      <c r="L29" s="53">
        <v>26.42</v>
      </c>
      <c r="M29" s="53">
        <v>101.75</v>
      </c>
      <c r="N29" s="53">
        <v>39.799999999999997</v>
      </c>
      <c r="O29" s="53">
        <v>0</v>
      </c>
      <c r="P29" s="53">
        <v>0.35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297</v>
      </c>
      <c r="B30" s="53">
        <v>7.95</v>
      </c>
      <c r="C30" s="53">
        <v>3</v>
      </c>
      <c r="D30" s="53">
        <v>11.71</v>
      </c>
      <c r="E30" s="53">
        <v>3.5</v>
      </c>
      <c r="F30" s="53">
        <v>4.5599999999999996</v>
      </c>
      <c r="G30" s="53">
        <v>9.86</v>
      </c>
      <c r="H30" s="53">
        <v>20.8</v>
      </c>
      <c r="I30" s="53">
        <v>1.9</v>
      </c>
      <c r="J30" s="53">
        <v>0.18</v>
      </c>
      <c r="K30" s="53">
        <v>344.18</v>
      </c>
      <c r="L30" s="53">
        <v>26.52</v>
      </c>
      <c r="M30" s="53">
        <v>101.75</v>
      </c>
      <c r="N30" s="53">
        <v>40</v>
      </c>
      <c r="O30" s="53">
        <v>0</v>
      </c>
      <c r="P30" s="53">
        <v>0.34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298</v>
      </c>
      <c r="B31" s="53">
        <v>7.93</v>
      </c>
      <c r="C31" s="53">
        <v>2.93</v>
      </c>
      <c r="D31" s="53">
        <v>11.66</v>
      </c>
      <c r="E31" s="53">
        <v>3.72</v>
      </c>
      <c r="F31" s="53">
        <v>5.26</v>
      </c>
      <c r="G31" s="53">
        <v>7.16</v>
      </c>
      <c r="H31" s="53">
        <v>43.54</v>
      </c>
      <c r="I31" s="53">
        <v>1.56</v>
      </c>
      <c r="J31" s="53">
        <v>0.12</v>
      </c>
      <c r="K31" s="53">
        <v>357.62</v>
      </c>
      <c r="L31" s="53">
        <v>26.58</v>
      </c>
      <c r="M31" s="53">
        <v>101.73</v>
      </c>
      <c r="N31" s="53">
        <v>40</v>
      </c>
      <c r="O31" s="53">
        <v>0</v>
      </c>
      <c r="P31" s="53">
        <v>0.33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299</v>
      </c>
      <c r="B32" s="53">
        <v>7.95</v>
      </c>
      <c r="C32" s="53">
        <v>2.94</v>
      </c>
      <c r="D32" s="53">
        <v>11.67</v>
      </c>
      <c r="E32" s="53">
        <v>3.47</v>
      </c>
      <c r="F32" s="53">
        <v>4.55</v>
      </c>
      <c r="G32" s="53">
        <v>8.07</v>
      </c>
      <c r="H32" s="53">
        <v>2.2200000000000002</v>
      </c>
      <c r="I32" s="53">
        <v>1.37</v>
      </c>
      <c r="J32" s="53">
        <v>0.17</v>
      </c>
      <c r="K32" s="53">
        <v>359.7</v>
      </c>
      <c r="L32" s="53">
        <v>26.43</v>
      </c>
      <c r="M32" s="53">
        <v>101.73</v>
      </c>
      <c r="N32" s="53">
        <v>40</v>
      </c>
      <c r="O32" s="53">
        <v>0</v>
      </c>
      <c r="P32" s="53">
        <v>0.31</v>
      </c>
      <c r="Q32" s="53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2.93</v>
      </c>
      <c r="D34" s="28">
        <f t="shared" si="0"/>
        <v>11.66</v>
      </c>
      <c r="E34" s="28">
        <f t="shared" si="0"/>
        <v>3.16</v>
      </c>
      <c r="F34" s="28">
        <f t="shared" si="0"/>
        <v>3.86</v>
      </c>
      <c r="G34" s="28">
        <f t="shared" si="0"/>
        <v>3.39</v>
      </c>
      <c r="H34" s="28">
        <f t="shared" si="0"/>
        <v>0.1</v>
      </c>
      <c r="I34" s="28">
        <f t="shared" si="0"/>
        <v>1.37</v>
      </c>
      <c r="J34" s="28">
        <f t="shared" si="0"/>
        <v>0.12</v>
      </c>
      <c r="K34" s="28">
        <f t="shared" si="0"/>
        <v>3.29</v>
      </c>
      <c r="L34" s="28">
        <f t="shared" si="0"/>
        <v>24.99</v>
      </c>
      <c r="M34" s="28">
        <f t="shared" si="0"/>
        <v>101.67</v>
      </c>
      <c r="N34" s="28">
        <f t="shared" si="0"/>
        <v>39.6</v>
      </c>
      <c r="O34" s="28">
        <f t="shared" si="0"/>
        <v>0</v>
      </c>
      <c r="P34" s="28">
        <f t="shared" si="0"/>
        <v>0.31</v>
      </c>
      <c r="Q34" s="28">
        <f t="shared" si="0"/>
        <v>9.58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8.01</v>
      </c>
      <c r="C35" s="29">
        <f t="shared" si="1"/>
        <v>3.09</v>
      </c>
      <c r="D35" s="29">
        <f t="shared" si="1"/>
        <v>11.82</v>
      </c>
      <c r="E35" s="29">
        <f t="shared" si="1"/>
        <v>5.65</v>
      </c>
      <c r="F35" s="29">
        <f t="shared" si="1"/>
        <v>5.8</v>
      </c>
      <c r="G35" s="29">
        <f t="shared" si="1"/>
        <v>15.4</v>
      </c>
      <c r="H35" s="29">
        <f t="shared" si="1"/>
        <v>133</v>
      </c>
      <c r="I35" s="29">
        <f t="shared" si="1"/>
        <v>3.59</v>
      </c>
      <c r="J35" s="29">
        <f t="shared" si="1"/>
        <v>0.61</v>
      </c>
      <c r="K35" s="29">
        <f t="shared" si="1"/>
        <v>359.7</v>
      </c>
      <c r="L35" s="29">
        <f t="shared" si="1"/>
        <v>27.49</v>
      </c>
      <c r="M35" s="29">
        <f t="shared" si="1"/>
        <v>101.8</v>
      </c>
      <c r="N35" s="29">
        <f t="shared" si="1"/>
        <v>304.7</v>
      </c>
      <c r="O35" s="29">
        <f t="shared" si="1"/>
        <v>7</v>
      </c>
      <c r="P35" s="29">
        <f t="shared" si="1"/>
        <v>0.68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7.9674999999999985</v>
      </c>
      <c r="C36" s="28">
        <f t="shared" si="2"/>
        <v>2.9937500000000004</v>
      </c>
      <c r="D36" s="28">
        <f t="shared" si="2"/>
        <v>11.723333333333334</v>
      </c>
      <c r="E36" s="28">
        <f t="shared" si="2"/>
        <v>4.413333333333334</v>
      </c>
      <c r="F36" s="28">
        <f t="shared" si="2"/>
        <v>4.6670833333333341</v>
      </c>
      <c r="G36" s="28">
        <f t="shared" si="2"/>
        <v>8.3812499999999996</v>
      </c>
      <c r="H36" s="28">
        <f t="shared" si="2"/>
        <v>14.043333333333337</v>
      </c>
      <c r="I36" s="28">
        <f t="shared" si="2"/>
        <v>2.0716666666666663</v>
      </c>
      <c r="J36" s="28">
        <f t="shared" si="2"/>
        <v>0.32500000000000001</v>
      </c>
      <c r="K36" s="28">
        <f t="shared" si="2"/>
        <v>333.52916666666664</v>
      </c>
      <c r="L36" s="28">
        <f t="shared" si="2"/>
        <v>25.927083333333332</v>
      </c>
      <c r="M36" s="28">
        <f t="shared" si="2"/>
        <v>101.74333333333334</v>
      </c>
      <c r="N36" s="28">
        <f t="shared" si="2"/>
        <v>93.991666666666674</v>
      </c>
      <c r="O36" s="28">
        <f t="shared" si="2"/>
        <v>1.0166666666666666</v>
      </c>
      <c r="P36" s="28">
        <f t="shared" si="2"/>
        <v>0.44291666666666668</v>
      </c>
      <c r="Q36" s="28">
        <f t="shared" si="2"/>
        <v>9.6662500000000016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2.0903505010861936E-2</v>
      </c>
      <c r="C37" s="28">
        <f t="shared" ref="C37:Q37" si="3">STDEV(C9:C32)</f>
        <v>4.1683330001332605E-2</v>
      </c>
      <c r="D37" s="28">
        <f t="shared" si="3"/>
        <v>3.7493960866375187E-2</v>
      </c>
      <c r="E37" s="28">
        <f t="shared" si="3"/>
        <v>0.61248365846286468</v>
      </c>
      <c r="F37" s="28">
        <f t="shared" si="3"/>
        <v>0.45992890912539441</v>
      </c>
      <c r="G37" s="28">
        <f t="shared" si="3"/>
        <v>2.5457540311185842</v>
      </c>
      <c r="H37" s="28">
        <f t="shared" si="3"/>
        <v>29.348380692558869</v>
      </c>
      <c r="I37" s="28">
        <f t="shared" si="3"/>
        <v>0.63329137923588996</v>
      </c>
      <c r="J37" s="28">
        <f t="shared" si="3"/>
        <v>0.13223825664965155</v>
      </c>
      <c r="K37" s="28">
        <f t="shared" si="3"/>
        <v>71.060362027288747</v>
      </c>
      <c r="L37" s="28">
        <f t="shared" si="3"/>
        <v>0.90843142004640942</v>
      </c>
      <c r="M37" s="28">
        <f t="shared" si="3"/>
        <v>3.3188089359924247E-2</v>
      </c>
      <c r="N37" s="28">
        <f t="shared" si="3"/>
        <v>80.223811474750008</v>
      </c>
      <c r="O37" s="28">
        <f t="shared" si="3"/>
        <v>2.0275636840192282</v>
      </c>
      <c r="P37" s="28">
        <f t="shared" si="3"/>
        <v>0.11113951931524234</v>
      </c>
      <c r="Q37" s="28">
        <f t="shared" si="3"/>
        <v>6.3094993944603925E-2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300</v>
      </c>
      <c r="B9" s="53">
        <v>7.97</v>
      </c>
      <c r="C9" s="53">
        <v>3</v>
      </c>
      <c r="D9" s="53">
        <v>11.74</v>
      </c>
      <c r="E9" s="53">
        <v>3.18</v>
      </c>
      <c r="F9" s="53">
        <v>3.99</v>
      </c>
      <c r="G9" s="53">
        <v>11.48</v>
      </c>
      <c r="H9" s="53">
        <v>1.03</v>
      </c>
      <c r="I9" s="53">
        <v>1.35</v>
      </c>
      <c r="J9" s="53">
        <v>0.28000000000000003</v>
      </c>
      <c r="K9" s="53">
        <v>166.45</v>
      </c>
      <c r="L9" s="53">
        <v>26.3</v>
      </c>
      <c r="M9" s="53">
        <v>101.78</v>
      </c>
      <c r="N9" s="53">
        <v>40.1</v>
      </c>
      <c r="O9" s="53">
        <v>0</v>
      </c>
      <c r="P9" s="53">
        <v>0.28000000000000003</v>
      </c>
      <c r="Q9" s="53">
        <v>9.6</v>
      </c>
      <c r="R9" s="43"/>
      <c r="S9" s="43"/>
      <c r="T9" s="43"/>
      <c r="U9" s="43"/>
    </row>
    <row r="10" spans="1:21" s="11" customFormat="1" x14ac:dyDescent="0.25">
      <c r="A10" s="52" t="s">
        <v>301</v>
      </c>
      <c r="B10" s="53">
        <v>7.96</v>
      </c>
      <c r="C10" s="53">
        <v>2.97</v>
      </c>
      <c r="D10" s="53">
        <v>11.71</v>
      </c>
      <c r="E10" s="53">
        <v>3.3</v>
      </c>
      <c r="F10" s="53">
        <v>4.8899999999999997</v>
      </c>
      <c r="G10" s="53">
        <v>12.53</v>
      </c>
      <c r="H10" s="53">
        <v>0.55000000000000004</v>
      </c>
      <c r="I10" s="53">
        <v>1.93</v>
      </c>
      <c r="J10" s="53">
        <v>0.1</v>
      </c>
      <c r="K10" s="53">
        <v>152.34</v>
      </c>
      <c r="L10" s="53">
        <v>26.19</v>
      </c>
      <c r="M10" s="53">
        <v>101.78</v>
      </c>
      <c r="N10" s="53">
        <v>39.9</v>
      </c>
      <c r="O10" s="53">
        <v>0</v>
      </c>
      <c r="P10" s="53">
        <v>0.27</v>
      </c>
      <c r="Q10" s="53">
        <v>9.59</v>
      </c>
      <c r="R10" s="43"/>
      <c r="S10" s="43"/>
      <c r="T10" s="43"/>
      <c r="U10" s="43"/>
    </row>
    <row r="11" spans="1:21" s="11" customFormat="1" x14ac:dyDescent="0.25">
      <c r="A11" s="52" t="s">
        <v>302</v>
      </c>
      <c r="B11" s="53">
        <v>7.96</v>
      </c>
      <c r="C11" s="53">
        <v>2.93</v>
      </c>
      <c r="D11" s="53">
        <v>11.68</v>
      </c>
      <c r="E11" s="53">
        <v>3.23</v>
      </c>
      <c r="F11" s="53">
        <v>5.46</v>
      </c>
      <c r="G11" s="53">
        <v>11.95</v>
      </c>
      <c r="H11" s="53">
        <v>0.06</v>
      </c>
      <c r="I11" s="53">
        <v>1.8</v>
      </c>
      <c r="J11" s="53">
        <v>0.12</v>
      </c>
      <c r="K11" s="53">
        <v>345.79</v>
      </c>
      <c r="L11" s="53">
        <v>26.13</v>
      </c>
      <c r="M11" s="53">
        <v>101.78</v>
      </c>
      <c r="N11" s="53">
        <v>40</v>
      </c>
      <c r="O11" s="53">
        <v>0</v>
      </c>
      <c r="P11" s="53">
        <v>0.26</v>
      </c>
      <c r="Q11" s="53">
        <v>9.5399999999999991</v>
      </c>
      <c r="R11" s="43"/>
      <c r="S11" s="43"/>
      <c r="T11" s="43"/>
      <c r="U11" s="43"/>
    </row>
    <row r="12" spans="1:21" s="11" customFormat="1" x14ac:dyDescent="0.25">
      <c r="A12" s="52" t="s">
        <v>303</v>
      </c>
      <c r="B12" s="53">
        <v>7.93</v>
      </c>
      <c r="C12" s="53">
        <v>2.92</v>
      </c>
      <c r="D12" s="53">
        <v>11.66</v>
      </c>
      <c r="E12" s="53">
        <v>3.63</v>
      </c>
      <c r="F12" s="53">
        <v>5.03</v>
      </c>
      <c r="G12" s="53">
        <v>13.24</v>
      </c>
      <c r="H12" s="53">
        <v>2.48</v>
      </c>
      <c r="I12" s="53">
        <v>1.57</v>
      </c>
      <c r="J12" s="53">
        <v>0.08</v>
      </c>
      <c r="K12" s="53">
        <v>336.47</v>
      </c>
      <c r="L12" s="53">
        <v>25.84</v>
      </c>
      <c r="M12" s="53">
        <v>101.78</v>
      </c>
      <c r="N12" s="53">
        <v>39.799999999999997</v>
      </c>
      <c r="O12" s="53">
        <v>0</v>
      </c>
      <c r="P12" s="53">
        <v>0.26</v>
      </c>
      <c r="Q12" s="53">
        <v>9.5500000000000007</v>
      </c>
      <c r="R12" s="43"/>
      <c r="S12" s="43"/>
      <c r="T12" s="43"/>
      <c r="U12" s="43"/>
    </row>
    <row r="13" spans="1:21" s="11" customFormat="1" x14ac:dyDescent="0.25">
      <c r="A13" s="52" t="s">
        <v>304</v>
      </c>
      <c r="B13" s="53">
        <v>7.98</v>
      </c>
      <c r="C13" s="53">
        <v>2.94</v>
      </c>
      <c r="D13" s="53">
        <v>11.71</v>
      </c>
      <c r="E13" s="53">
        <v>3.88</v>
      </c>
      <c r="F13" s="53">
        <v>3.84</v>
      </c>
      <c r="G13" s="53">
        <v>14.94</v>
      </c>
      <c r="H13" s="53">
        <v>5.19</v>
      </c>
      <c r="I13" s="53">
        <v>1.56</v>
      </c>
      <c r="J13" s="53">
        <v>0.1</v>
      </c>
      <c r="K13" s="53">
        <v>350.09</v>
      </c>
      <c r="L13" s="53">
        <v>25.8</v>
      </c>
      <c r="M13" s="53">
        <v>101.78</v>
      </c>
      <c r="N13" s="53">
        <v>40</v>
      </c>
      <c r="O13" s="53">
        <v>0</v>
      </c>
      <c r="P13" s="53">
        <v>0.24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305</v>
      </c>
      <c r="B14" s="53">
        <v>7.96</v>
      </c>
      <c r="C14" s="53">
        <v>2.9</v>
      </c>
      <c r="D14" s="53">
        <v>11.67</v>
      </c>
      <c r="E14" s="53">
        <v>4.0599999999999996</v>
      </c>
      <c r="F14" s="53">
        <v>5.2</v>
      </c>
      <c r="G14" s="53">
        <v>12.2</v>
      </c>
      <c r="H14" s="53">
        <v>0.83</v>
      </c>
      <c r="I14" s="53">
        <v>1.89</v>
      </c>
      <c r="J14" s="53">
        <v>0.16</v>
      </c>
      <c r="K14" s="53">
        <v>338.89</v>
      </c>
      <c r="L14" s="53">
        <v>25.93</v>
      </c>
      <c r="M14" s="53">
        <v>101.78</v>
      </c>
      <c r="N14" s="53">
        <v>41</v>
      </c>
      <c r="O14" s="53">
        <v>0</v>
      </c>
      <c r="P14" s="53">
        <v>0.26</v>
      </c>
      <c r="Q14" s="53">
        <v>9.59</v>
      </c>
      <c r="R14" s="43"/>
      <c r="S14" s="43"/>
      <c r="T14" s="43"/>
      <c r="U14" s="43"/>
    </row>
    <row r="15" spans="1:21" s="11" customFormat="1" x14ac:dyDescent="0.25">
      <c r="A15" s="52" t="s">
        <v>306</v>
      </c>
      <c r="B15" s="53">
        <v>7.94</v>
      </c>
      <c r="C15" s="53">
        <v>2.92</v>
      </c>
      <c r="D15" s="53">
        <v>11.66</v>
      </c>
      <c r="E15" s="53">
        <v>4.4000000000000004</v>
      </c>
      <c r="F15" s="53">
        <v>5.0199999999999996</v>
      </c>
      <c r="G15" s="53">
        <v>14.58</v>
      </c>
      <c r="H15" s="53">
        <v>3.75</v>
      </c>
      <c r="I15" s="53">
        <v>1.82</v>
      </c>
      <c r="J15" s="53">
        <v>0.1</v>
      </c>
      <c r="K15" s="53">
        <v>350.63</v>
      </c>
      <c r="L15" s="53">
        <v>26.35</v>
      </c>
      <c r="M15" s="53">
        <v>101.73</v>
      </c>
      <c r="N15" s="53">
        <v>124.6</v>
      </c>
      <c r="O15" s="53">
        <v>0</v>
      </c>
      <c r="P15" s="53">
        <v>0.26</v>
      </c>
      <c r="Q15" s="53">
        <v>9.5299999999999994</v>
      </c>
      <c r="R15" s="43"/>
      <c r="S15" s="43"/>
      <c r="T15" s="43"/>
      <c r="U15" s="43"/>
    </row>
    <row r="16" spans="1:21" s="11" customFormat="1" x14ac:dyDescent="0.25">
      <c r="A16" s="52" t="s">
        <v>307</v>
      </c>
      <c r="B16" s="53">
        <v>7.96</v>
      </c>
      <c r="C16" s="53">
        <v>2.93</v>
      </c>
      <c r="D16" s="53">
        <v>11.68</v>
      </c>
      <c r="E16" s="53">
        <v>3.85</v>
      </c>
      <c r="F16" s="53">
        <v>4.72</v>
      </c>
      <c r="G16" s="53">
        <v>12.55</v>
      </c>
      <c r="H16" s="53">
        <v>7.14</v>
      </c>
      <c r="I16" s="53">
        <v>1.83</v>
      </c>
      <c r="J16" s="53">
        <v>0.12</v>
      </c>
      <c r="K16" s="53">
        <v>351.91</v>
      </c>
      <c r="L16" s="53">
        <v>26.96</v>
      </c>
      <c r="M16" s="53">
        <v>101.72</v>
      </c>
      <c r="N16" s="53">
        <v>155.69999999999999</v>
      </c>
      <c r="O16" s="53">
        <v>0</v>
      </c>
      <c r="P16" s="53">
        <v>0.27</v>
      </c>
      <c r="Q16" s="53">
        <v>9.5500000000000007</v>
      </c>
      <c r="R16" s="43"/>
      <c r="S16" s="43"/>
      <c r="T16" s="43"/>
      <c r="U16" s="43"/>
    </row>
    <row r="17" spans="1:21" s="11" customFormat="1" x14ac:dyDescent="0.25">
      <c r="A17" s="52" t="s">
        <v>308</v>
      </c>
      <c r="B17" s="53">
        <v>7.97</v>
      </c>
      <c r="C17" s="53">
        <v>2.99</v>
      </c>
      <c r="D17" s="53">
        <v>11.73</v>
      </c>
      <c r="E17" s="53">
        <v>4.24</v>
      </c>
      <c r="F17" s="53">
        <v>4.16</v>
      </c>
      <c r="G17" s="53">
        <v>16.23</v>
      </c>
      <c r="H17" s="53">
        <v>8.41</v>
      </c>
      <c r="I17" s="53">
        <v>1.72</v>
      </c>
      <c r="J17" s="53">
        <v>0.18</v>
      </c>
      <c r="K17" s="53">
        <v>352.05</v>
      </c>
      <c r="L17" s="53">
        <v>28.32</v>
      </c>
      <c r="M17" s="53">
        <v>101.7</v>
      </c>
      <c r="N17" s="53">
        <v>349.8</v>
      </c>
      <c r="O17" s="53">
        <v>0</v>
      </c>
      <c r="P17" s="53">
        <v>0.27</v>
      </c>
      <c r="Q17" s="53">
        <v>9.58</v>
      </c>
      <c r="R17" s="43"/>
      <c r="S17" s="43"/>
      <c r="T17" s="43"/>
      <c r="U17" s="43"/>
    </row>
    <row r="18" spans="1:21" s="11" customFormat="1" x14ac:dyDescent="0.25">
      <c r="A18" s="52" t="s">
        <v>309</v>
      </c>
      <c r="B18" s="53">
        <v>7.98</v>
      </c>
      <c r="C18" s="53">
        <v>3.01</v>
      </c>
      <c r="D18" s="53">
        <v>11.75</v>
      </c>
      <c r="E18" s="53">
        <v>4.29</v>
      </c>
      <c r="F18" s="53">
        <v>4.99</v>
      </c>
      <c r="G18" s="53">
        <v>25.81</v>
      </c>
      <c r="H18" s="53">
        <v>8.41</v>
      </c>
      <c r="I18" s="53">
        <v>1.67</v>
      </c>
      <c r="J18" s="53">
        <v>0.25</v>
      </c>
      <c r="K18" s="53">
        <v>345.63</v>
      </c>
      <c r="L18" s="53">
        <v>28.39</v>
      </c>
      <c r="M18" s="53">
        <v>99.58</v>
      </c>
      <c r="N18" s="53">
        <v>335.4</v>
      </c>
      <c r="O18" s="53">
        <v>0</v>
      </c>
      <c r="P18" s="53">
        <v>0.32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310</v>
      </c>
      <c r="B19" s="53">
        <v>7.98</v>
      </c>
      <c r="C19" s="53">
        <v>3.03</v>
      </c>
      <c r="D19" s="53">
        <v>11.75</v>
      </c>
      <c r="E19" s="53">
        <v>4.82</v>
      </c>
      <c r="F19" s="53">
        <v>5.79</v>
      </c>
      <c r="G19" s="53">
        <v>26.48</v>
      </c>
      <c r="H19" s="53">
        <v>8.41</v>
      </c>
      <c r="I19" s="53">
        <v>1.51</v>
      </c>
      <c r="J19" s="53">
        <v>0.33</v>
      </c>
      <c r="K19" s="53">
        <v>354.57</v>
      </c>
      <c r="L19" s="53">
        <v>28.63</v>
      </c>
      <c r="M19" s="53">
        <v>96.09</v>
      </c>
      <c r="N19" s="53">
        <v>457.5</v>
      </c>
      <c r="O19" s="53">
        <v>0</v>
      </c>
      <c r="P19" s="53">
        <v>0.35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311</v>
      </c>
      <c r="B20" s="53">
        <v>7.94</v>
      </c>
      <c r="C20" s="53">
        <v>2.95</v>
      </c>
      <c r="D20" s="53">
        <v>11.68</v>
      </c>
      <c r="E20" s="53">
        <v>4.41</v>
      </c>
      <c r="F20" s="53">
        <v>6.1</v>
      </c>
      <c r="G20" s="53">
        <v>26.19</v>
      </c>
      <c r="H20" s="53">
        <v>15.1</v>
      </c>
      <c r="I20" s="53">
        <v>1.18</v>
      </c>
      <c r="J20" s="53">
        <v>0.32</v>
      </c>
      <c r="K20" s="53">
        <v>346.12</v>
      </c>
      <c r="L20" s="53">
        <v>28.87</v>
      </c>
      <c r="M20" s="53">
        <v>96.33</v>
      </c>
      <c r="N20" s="53">
        <v>534.70000000000005</v>
      </c>
      <c r="O20" s="53">
        <v>0</v>
      </c>
      <c r="P20" s="53">
        <v>0.37</v>
      </c>
      <c r="Q20" s="53">
        <v>9.5500000000000007</v>
      </c>
      <c r="R20" s="43"/>
      <c r="S20" s="43"/>
      <c r="T20" s="43"/>
      <c r="U20" s="43"/>
    </row>
    <row r="21" spans="1:21" s="11" customFormat="1" x14ac:dyDescent="0.25">
      <c r="A21" s="52" t="s">
        <v>312</v>
      </c>
      <c r="B21" s="53">
        <v>7.96</v>
      </c>
      <c r="C21" s="53">
        <v>2.96</v>
      </c>
      <c r="D21" s="53">
        <v>11.71</v>
      </c>
      <c r="E21" s="53">
        <v>3.91</v>
      </c>
      <c r="F21" s="53">
        <v>5.65</v>
      </c>
      <c r="G21" s="53">
        <v>24.03</v>
      </c>
      <c r="H21" s="53">
        <v>17.75</v>
      </c>
      <c r="I21" s="53">
        <v>1.06</v>
      </c>
      <c r="J21" s="53">
        <v>0.23</v>
      </c>
      <c r="K21" s="53">
        <v>337.83</v>
      </c>
      <c r="L21" s="53">
        <v>29.05</v>
      </c>
      <c r="M21" s="53">
        <v>93.17</v>
      </c>
      <c r="N21" s="53">
        <v>698.5</v>
      </c>
      <c r="O21" s="53">
        <v>0</v>
      </c>
      <c r="P21" s="53">
        <v>0.34</v>
      </c>
      <c r="Q21" s="53">
        <v>9.5500000000000007</v>
      </c>
      <c r="R21" s="43"/>
      <c r="S21" s="43"/>
      <c r="T21" s="43"/>
      <c r="U21" s="43"/>
    </row>
    <row r="22" spans="1:21" s="11" customFormat="1" x14ac:dyDescent="0.25">
      <c r="A22" s="52" t="s">
        <v>313</v>
      </c>
      <c r="B22" s="53">
        <v>7.98</v>
      </c>
      <c r="C22" s="53">
        <v>2.97</v>
      </c>
      <c r="D22" s="53">
        <v>11.72</v>
      </c>
      <c r="E22" s="53">
        <v>4</v>
      </c>
      <c r="F22" s="53">
        <v>5.5</v>
      </c>
      <c r="G22" s="53">
        <v>26.53</v>
      </c>
      <c r="H22" s="53">
        <v>21.83</v>
      </c>
      <c r="I22" s="53">
        <v>1.06</v>
      </c>
      <c r="J22" s="53">
        <v>0.25</v>
      </c>
      <c r="K22" s="53">
        <v>350.84</v>
      </c>
      <c r="L22" s="53">
        <v>28.87</v>
      </c>
      <c r="M22" s="53">
        <v>94.63</v>
      </c>
      <c r="N22" s="53">
        <v>306</v>
      </c>
      <c r="O22" s="53">
        <v>0</v>
      </c>
      <c r="P22" s="53">
        <v>0.31</v>
      </c>
      <c r="Q22" s="53">
        <v>9.57</v>
      </c>
      <c r="R22" s="43"/>
      <c r="S22" s="43"/>
      <c r="T22" s="43"/>
      <c r="U22" s="43"/>
    </row>
    <row r="23" spans="1:21" s="11" customFormat="1" x14ac:dyDescent="0.25">
      <c r="A23" s="52" t="s">
        <v>314</v>
      </c>
      <c r="B23" s="53">
        <v>7.95</v>
      </c>
      <c r="C23" s="53">
        <v>2.93</v>
      </c>
      <c r="D23" s="53">
        <v>11.67</v>
      </c>
      <c r="E23" s="53">
        <v>3.66</v>
      </c>
      <c r="F23" s="53">
        <v>6.12</v>
      </c>
      <c r="G23" s="53">
        <v>24.3</v>
      </c>
      <c r="H23" s="53">
        <v>6.09</v>
      </c>
      <c r="I23" s="53">
        <v>1.03</v>
      </c>
      <c r="J23" s="53">
        <v>0.26</v>
      </c>
      <c r="K23" s="53">
        <v>339.66</v>
      </c>
      <c r="L23" s="53">
        <v>29.41</v>
      </c>
      <c r="M23" s="53">
        <v>92.25</v>
      </c>
      <c r="N23" s="53">
        <v>270.10000000000002</v>
      </c>
      <c r="O23" s="53">
        <v>0</v>
      </c>
      <c r="P23" s="53">
        <v>0.31</v>
      </c>
      <c r="Q23" s="53">
        <v>9.6</v>
      </c>
      <c r="R23" s="43"/>
      <c r="S23" s="43"/>
      <c r="T23" s="43"/>
      <c r="U23" s="43"/>
    </row>
    <row r="24" spans="1:21" s="11" customFormat="1" x14ac:dyDescent="0.25">
      <c r="A24" s="52" t="s">
        <v>315</v>
      </c>
      <c r="B24" s="53">
        <v>7.94</v>
      </c>
      <c r="C24" s="53">
        <v>2.93</v>
      </c>
      <c r="D24" s="53">
        <v>11.67</v>
      </c>
      <c r="E24" s="53">
        <v>4.58</v>
      </c>
      <c r="F24" s="53">
        <v>6.33</v>
      </c>
      <c r="G24" s="53">
        <v>21.24</v>
      </c>
      <c r="H24" s="53">
        <v>9.5399999999999991</v>
      </c>
      <c r="I24" s="53">
        <v>0.94</v>
      </c>
      <c r="J24" s="53">
        <v>0.28000000000000003</v>
      </c>
      <c r="K24" s="53">
        <v>357.91</v>
      </c>
      <c r="L24" s="53">
        <v>29.32</v>
      </c>
      <c r="M24" s="53">
        <v>90.29</v>
      </c>
      <c r="N24" s="53">
        <v>161.19999999999999</v>
      </c>
      <c r="O24" s="53">
        <v>0</v>
      </c>
      <c r="P24" s="53">
        <v>0.31</v>
      </c>
      <c r="Q24" s="53">
        <v>9.6</v>
      </c>
      <c r="R24" s="43"/>
      <c r="S24" s="43"/>
      <c r="T24" s="43"/>
      <c r="U24" s="43"/>
    </row>
    <row r="25" spans="1:21" s="11" customFormat="1" x14ac:dyDescent="0.25">
      <c r="A25" s="52" t="s">
        <v>316</v>
      </c>
      <c r="B25" s="53">
        <v>7.97</v>
      </c>
      <c r="C25" s="53">
        <v>2.98</v>
      </c>
      <c r="D25" s="53">
        <v>11.71</v>
      </c>
      <c r="E25" s="53">
        <v>4.68</v>
      </c>
      <c r="F25" s="53">
        <v>6.15</v>
      </c>
      <c r="G25" s="53">
        <v>27.03</v>
      </c>
      <c r="H25" s="53">
        <v>4.4000000000000004</v>
      </c>
      <c r="I25" s="53">
        <v>0.88</v>
      </c>
      <c r="J25" s="53">
        <v>0.28999999999999998</v>
      </c>
      <c r="K25" s="53">
        <v>358.32</v>
      </c>
      <c r="L25" s="53">
        <v>29.37</v>
      </c>
      <c r="M25" s="53">
        <v>92.56</v>
      </c>
      <c r="N25" s="53">
        <v>127.9</v>
      </c>
      <c r="O25" s="53">
        <v>0</v>
      </c>
      <c r="P25" s="53">
        <v>0.32</v>
      </c>
      <c r="Q25" s="53">
        <v>9.5299999999999994</v>
      </c>
      <c r="R25" s="43"/>
      <c r="S25" s="43"/>
      <c r="T25" s="43"/>
      <c r="U25" s="43"/>
    </row>
    <row r="26" spans="1:21" s="11" customFormat="1" x14ac:dyDescent="0.25">
      <c r="A26" s="52" t="s">
        <v>317</v>
      </c>
      <c r="B26" s="53">
        <v>7.99</v>
      </c>
      <c r="C26" s="53">
        <v>2.99</v>
      </c>
      <c r="D26" s="53">
        <v>11.7</v>
      </c>
      <c r="E26" s="53">
        <v>4.46</v>
      </c>
      <c r="F26" s="53">
        <v>4.49</v>
      </c>
      <c r="G26" s="53">
        <v>24.49</v>
      </c>
      <c r="H26" s="53">
        <v>11.14</v>
      </c>
      <c r="I26" s="53">
        <v>0.96</v>
      </c>
      <c r="J26" s="53">
        <v>0.22</v>
      </c>
      <c r="K26" s="53">
        <v>359.56</v>
      </c>
      <c r="L26" s="53">
        <v>28.97</v>
      </c>
      <c r="M26" s="53">
        <v>97.52</v>
      </c>
      <c r="N26" s="53">
        <v>109.4</v>
      </c>
      <c r="O26" s="53">
        <v>0</v>
      </c>
      <c r="P26" s="53">
        <v>0.34</v>
      </c>
      <c r="Q26" s="53">
        <v>9.57</v>
      </c>
      <c r="R26" s="43"/>
      <c r="S26" s="43"/>
      <c r="T26" s="43"/>
      <c r="U26" s="43"/>
    </row>
    <row r="27" spans="1:21" s="11" customFormat="1" x14ac:dyDescent="0.25">
      <c r="A27" s="52" t="s">
        <v>318</v>
      </c>
      <c r="B27" s="53">
        <v>7.94</v>
      </c>
      <c r="C27" s="53">
        <v>3.01</v>
      </c>
      <c r="D27" s="53">
        <v>11.7</v>
      </c>
      <c r="E27" s="53">
        <v>4.75</v>
      </c>
      <c r="F27" s="53">
        <v>4.68</v>
      </c>
      <c r="G27" s="53">
        <v>24.39</v>
      </c>
      <c r="H27" s="53">
        <v>27.7</v>
      </c>
      <c r="I27" s="53">
        <v>1.37</v>
      </c>
      <c r="J27" s="53">
        <v>0.14000000000000001</v>
      </c>
      <c r="K27" s="53">
        <v>356.85</v>
      </c>
      <c r="L27" s="53">
        <v>27.95</v>
      </c>
      <c r="M27" s="53">
        <v>100.84</v>
      </c>
      <c r="N27" s="53">
        <v>42.2</v>
      </c>
      <c r="O27" s="53">
        <v>0</v>
      </c>
      <c r="P27" s="53">
        <v>0.37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319</v>
      </c>
      <c r="B28" s="53">
        <v>7.95</v>
      </c>
      <c r="C28" s="53">
        <v>3</v>
      </c>
      <c r="D28" s="53">
        <v>11.7</v>
      </c>
      <c r="E28" s="53">
        <v>4.53</v>
      </c>
      <c r="F28" s="53">
        <v>4.71</v>
      </c>
      <c r="G28" s="53">
        <v>25.14</v>
      </c>
      <c r="H28" s="53">
        <v>53.01</v>
      </c>
      <c r="I28" s="53">
        <v>1.74</v>
      </c>
      <c r="J28" s="53">
        <v>0.1</v>
      </c>
      <c r="K28" s="53">
        <v>347.7</v>
      </c>
      <c r="L28" s="53">
        <v>27.35</v>
      </c>
      <c r="M28" s="53">
        <v>101.74</v>
      </c>
      <c r="N28" s="53">
        <v>39.6</v>
      </c>
      <c r="O28" s="53">
        <v>0</v>
      </c>
      <c r="P28" s="53">
        <v>0.38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320</v>
      </c>
      <c r="B29" s="53">
        <v>7.98</v>
      </c>
      <c r="C29" s="53">
        <v>2.96</v>
      </c>
      <c r="D29" s="53">
        <v>11.72</v>
      </c>
      <c r="E29" s="53">
        <v>4.8</v>
      </c>
      <c r="F29" s="53">
        <v>3.94</v>
      </c>
      <c r="G29" s="53">
        <v>23.94</v>
      </c>
      <c r="H29" s="53">
        <v>9.77</v>
      </c>
      <c r="I29" s="53">
        <v>1.94</v>
      </c>
      <c r="J29" s="53">
        <v>0.23</v>
      </c>
      <c r="K29" s="53">
        <v>243.67</v>
      </c>
      <c r="L29" s="53">
        <v>27.17</v>
      </c>
      <c r="M29" s="53">
        <v>101.75</v>
      </c>
      <c r="N29" s="53">
        <v>39.6</v>
      </c>
      <c r="O29" s="53">
        <v>0</v>
      </c>
      <c r="P29" s="53">
        <v>0.38</v>
      </c>
      <c r="Q29" s="53">
        <v>9.6</v>
      </c>
      <c r="R29" s="43"/>
      <c r="S29" s="43"/>
      <c r="T29" s="43"/>
      <c r="U29" s="43"/>
    </row>
    <row r="30" spans="1:21" s="11" customFormat="1" x14ac:dyDescent="0.25">
      <c r="A30" s="52" t="s">
        <v>321</v>
      </c>
      <c r="B30" s="53">
        <v>7.98</v>
      </c>
      <c r="C30" s="53">
        <v>2.95</v>
      </c>
      <c r="D30" s="53">
        <v>11.71</v>
      </c>
      <c r="E30" s="53">
        <v>4.78</v>
      </c>
      <c r="F30" s="53">
        <v>4.16</v>
      </c>
      <c r="G30" s="53">
        <v>26.22</v>
      </c>
      <c r="H30" s="53">
        <v>13.24</v>
      </c>
      <c r="I30" s="53">
        <v>2.76</v>
      </c>
      <c r="J30" s="53">
        <v>0.05</v>
      </c>
      <c r="K30" s="53">
        <v>190.06</v>
      </c>
      <c r="L30" s="53">
        <v>26.5</v>
      </c>
      <c r="M30" s="53">
        <v>101.75</v>
      </c>
      <c r="N30" s="53">
        <v>39.4</v>
      </c>
      <c r="O30" s="53">
        <v>0</v>
      </c>
      <c r="P30" s="53">
        <v>0.38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322</v>
      </c>
      <c r="B31" s="53">
        <v>7.96</v>
      </c>
      <c r="C31" s="53">
        <v>2.98</v>
      </c>
      <c r="D31" s="53">
        <v>11.71</v>
      </c>
      <c r="E31" s="53">
        <v>4.88</v>
      </c>
      <c r="F31" s="53">
        <v>8.5399999999999991</v>
      </c>
      <c r="G31" s="53">
        <v>27.7</v>
      </c>
      <c r="H31" s="53">
        <v>25.98</v>
      </c>
      <c r="I31" s="53">
        <v>3.04</v>
      </c>
      <c r="J31" s="53">
        <v>0.17</v>
      </c>
      <c r="K31" s="53">
        <v>223.46</v>
      </c>
      <c r="L31" s="53">
        <v>26.24</v>
      </c>
      <c r="M31" s="53">
        <v>101.75</v>
      </c>
      <c r="N31" s="53">
        <v>39.299999999999997</v>
      </c>
      <c r="O31" s="53">
        <v>0</v>
      </c>
      <c r="P31" s="53">
        <v>0.39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323</v>
      </c>
      <c r="B32" s="53">
        <v>7.96</v>
      </c>
      <c r="C32" s="53">
        <v>2.94</v>
      </c>
      <c r="D32" s="53">
        <v>11.69</v>
      </c>
      <c r="E32" s="53">
        <v>4.83</v>
      </c>
      <c r="F32" s="53">
        <v>5.0199999999999996</v>
      </c>
      <c r="G32" s="53">
        <v>21.15</v>
      </c>
      <c r="H32" s="53">
        <v>36.729999999999997</v>
      </c>
      <c r="I32" s="53">
        <v>2.93</v>
      </c>
      <c r="J32" s="53">
        <v>0.08</v>
      </c>
      <c r="K32" s="53">
        <v>313.11</v>
      </c>
      <c r="L32" s="53">
        <v>26.08</v>
      </c>
      <c r="M32" s="53">
        <v>101.77</v>
      </c>
      <c r="N32" s="53">
        <v>39.299999999999997</v>
      </c>
      <c r="O32" s="53">
        <v>0</v>
      </c>
      <c r="P32" s="53">
        <v>0.38</v>
      </c>
      <c r="Q32" s="53">
        <v>9.59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</v>
      </c>
      <c r="D34" s="28">
        <f t="shared" si="0"/>
        <v>11.66</v>
      </c>
      <c r="E34" s="28">
        <f t="shared" si="0"/>
        <v>3.18</v>
      </c>
      <c r="F34" s="28">
        <f t="shared" si="0"/>
        <v>3.84</v>
      </c>
      <c r="G34" s="28">
        <f t="shared" si="0"/>
        <v>11.48</v>
      </c>
      <c r="H34" s="28">
        <f t="shared" si="0"/>
        <v>0.06</v>
      </c>
      <c r="I34" s="28">
        <f t="shared" si="0"/>
        <v>0.88</v>
      </c>
      <c r="J34" s="28">
        <f t="shared" si="0"/>
        <v>0.05</v>
      </c>
      <c r="K34" s="28">
        <f t="shared" si="0"/>
        <v>152.34</v>
      </c>
      <c r="L34" s="28">
        <f t="shared" si="0"/>
        <v>25.8</v>
      </c>
      <c r="M34" s="28">
        <f t="shared" si="0"/>
        <v>90.29</v>
      </c>
      <c r="N34" s="28">
        <f t="shared" si="0"/>
        <v>39.299999999999997</v>
      </c>
      <c r="O34" s="28">
        <f t="shared" si="0"/>
        <v>0</v>
      </c>
      <c r="P34" s="28">
        <f t="shared" si="0"/>
        <v>0.24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7.99</v>
      </c>
      <c r="C35" s="29">
        <f t="shared" si="1"/>
        <v>3.03</v>
      </c>
      <c r="D35" s="29">
        <f t="shared" si="1"/>
        <v>11.75</v>
      </c>
      <c r="E35" s="29">
        <f t="shared" si="1"/>
        <v>4.88</v>
      </c>
      <c r="F35" s="29">
        <f t="shared" si="1"/>
        <v>8.5399999999999991</v>
      </c>
      <c r="G35" s="29">
        <f t="shared" si="1"/>
        <v>27.7</v>
      </c>
      <c r="H35" s="29">
        <f t="shared" si="1"/>
        <v>53.01</v>
      </c>
      <c r="I35" s="29">
        <f t="shared" si="1"/>
        <v>3.04</v>
      </c>
      <c r="J35" s="29">
        <f t="shared" si="1"/>
        <v>0.33</v>
      </c>
      <c r="K35" s="29">
        <f t="shared" si="1"/>
        <v>359.56</v>
      </c>
      <c r="L35" s="29">
        <f t="shared" si="1"/>
        <v>29.41</v>
      </c>
      <c r="M35" s="29">
        <f t="shared" si="1"/>
        <v>101.78</v>
      </c>
      <c r="N35" s="29">
        <f t="shared" si="1"/>
        <v>698.5</v>
      </c>
      <c r="O35" s="29">
        <f t="shared" si="1"/>
        <v>0</v>
      </c>
      <c r="P35" s="29">
        <f t="shared" si="1"/>
        <v>0.39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7.9620833333333332</v>
      </c>
      <c r="C36" s="28">
        <f t="shared" si="2"/>
        <v>2.9620833333333336</v>
      </c>
      <c r="D36" s="28">
        <f t="shared" si="2"/>
        <v>11.701249999999996</v>
      </c>
      <c r="E36" s="28">
        <f t="shared" si="2"/>
        <v>4.2145833333333327</v>
      </c>
      <c r="F36" s="28">
        <f t="shared" si="2"/>
        <v>5.1866666666666665</v>
      </c>
      <c r="G36" s="28">
        <f t="shared" si="2"/>
        <v>20.597499999999993</v>
      </c>
      <c r="H36" s="28">
        <f t="shared" si="2"/>
        <v>12.439166666666667</v>
      </c>
      <c r="I36" s="28">
        <f t="shared" si="2"/>
        <v>1.6475</v>
      </c>
      <c r="J36" s="28">
        <f t="shared" si="2"/>
        <v>0.18500000000000003</v>
      </c>
      <c r="K36" s="28">
        <f t="shared" si="2"/>
        <v>315.41291666666672</v>
      </c>
      <c r="L36" s="28">
        <f t="shared" si="2"/>
        <v>27.499583333333337</v>
      </c>
      <c r="M36" s="28">
        <f t="shared" si="2"/>
        <v>99.077083333333334</v>
      </c>
      <c r="N36" s="28">
        <f t="shared" si="2"/>
        <v>171.29166666666666</v>
      </c>
      <c r="O36" s="28">
        <f t="shared" si="2"/>
        <v>0</v>
      </c>
      <c r="P36" s="28">
        <f t="shared" si="2"/>
        <v>0.31749999999999995</v>
      </c>
      <c r="Q36" s="28">
        <f t="shared" si="2"/>
        <v>9.5854166666666654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1.6412923504696413E-2</v>
      </c>
      <c r="C37" s="28">
        <f t="shared" ref="C37:Q37" si="3">STDEV(C9:C32)</f>
        <v>3.4386444076581708E-2</v>
      </c>
      <c r="D37" s="28">
        <f t="shared" si="3"/>
        <v>2.6426682826594054E-2</v>
      </c>
      <c r="E37" s="28">
        <f t="shared" si="3"/>
        <v>0.53807207507082133</v>
      </c>
      <c r="F37" s="28">
        <f t="shared" si="3"/>
        <v>1.0265758476676181</v>
      </c>
      <c r="G37" s="28">
        <f t="shared" si="3"/>
        <v>6.0394638762926398</v>
      </c>
      <c r="H37" s="28">
        <f t="shared" si="3"/>
        <v>12.78945656685077</v>
      </c>
      <c r="I37" s="28">
        <f t="shared" si="3"/>
        <v>0.59697971708316488</v>
      </c>
      <c r="J37" s="28">
        <f t="shared" si="3"/>
        <v>8.5516334569840285E-2</v>
      </c>
      <c r="K37" s="28">
        <f t="shared" si="3"/>
        <v>65.683178276591335</v>
      </c>
      <c r="L37" s="28">
        <f t="shared" si="3"/>
        <v>1.3385828949552085</v>
      </c>
      <c r="M37" s="28">
        <f t="shared" si="3"/>
        <v>3.8658622742136579</v>
      </c>
      <c r="N37" s="28">
        <f t="shared" si="3"/>
        <v>185.76272597676541</v>
      </c>
      <c r="O37" s="28">
        <f t="shared" si="3"/>
        <v>0</v>
      </c>
      <c r="P37" s="28">
        <f t="shared" si="3"/>
        <v>4.936553982019426E-2</v>
      </c>
      <c r="Q37" s="28">
        <f t="shared" si="3"/>
        <v>3.2834124172039771E-2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324</v>
      </c>
      <c r="B9" s="53">
        <v>7.95</v>
      </c>
      <c r="C9" s="53">
        <v>2.96</v>
      </c>
      <c r="D9" s="53">
        <v>11.69</v>
      </c>
      <c r="E9" s="53">
        <v>4.41</v>
      </c>
      <c r="F9" s="53">
        <v>4.58</v>
      </c>
      <c r="G9" s="53">
        <v>19.260000000000002</v>
      </c>
      <c r="H9" s="53">
        <v>70.510000000000005</v>
      </c>
      <c r="I9" s="53">
        <v>2.77</v>
      </c>
      <c r="J9" s="53">
        <v>0.21</v>
      </c>
      <c r="K9" s="53">
        <v>171.3</v>
      </c>
      <c r="L9" s="53">
        <v>25.89</v>
      </c>
      <c r="M9" s="53">
        <v>101.77</v>
      </c>
      <c r="N9" s="53">
        <v>39.299999999999997</v>
      </c>
      <c r="O9" s="53">
        <v>0</v>
      </c>
      <c r="P9" s="53">
        <v>0.36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325</v>
      </c>
      <c r="B10" s="53">
        <v>7.97</v>
      </c>
      <c r="C10" s="53">
        <v>2.99</v>
      </c>
      <c r="D10" s="53">
        <v>11.72</v>
      </c>
      <c r="E10" s="53">
        <v>4.1500000000000004</v>
      </c>
      <c r="F10" s="53">
        <v>3.75</v>
      </c>
      <c r="G10" s="53">
        <v>17.36</v>
      </c>
      <c r="H10" s="53">
        <v>19.739999999999998</v>
      </c>
      <c r="I10" s="53">
        <v>2.89</v>
      </c>
      <c r="J10" s="53">
        <v>0.14000000000000001</v>
      </c>
      <c r="K10" s="53">
        <v>141.65</v>
      </c>
      <c r="L10" s="53">
        <v>25.74</v>
      </c>
      <c r="M10" s="53">
        <v>101.76</v>
      </c>
      <c r="N10" s="53">
        <v>39.6</v>
      </c>
      <c r="O10" s="53">
        <v>0</v>
      </c>
      <c r="P10" s="53">
        <v>0.32</v>
      </c>
      <c r="Q10" s="53">
        <v>9.6</v>
      </c>
      <c r="R10" s="43"/>
      <c r="S10" s="43"/>
      <c r="T10" s="43"/>
      <c r="U10" s="43"/>
    </row>
    <row r="11" spans="1:21" s="11" customFormat="1" x14ac:dyDescent="0.25">
      <c r="A11" s="52" t="s">
        <v>326</v>
      </c>
      <c r="B11" s="53">
        <v>7.96</v>
      </c>
      <c r="C11" s="53">
        <v>2.97</v>
      </c>
      <c r="D11" s="53">
        <v>11.71</v>
      </c>
      <c r="E11" s="53">
        <v>4.2699999999999996</v>
      </c>
      <c r="F11" s="53">
        <v>4.1100000000000003</v>
      </c>
      <c r="G11" s="53">
        <v>12.38</v>
      </c>
      <c r="H11" s="53">
        <v>7.01</v>
      </c>
      <c r="I11" s="53">
        <v>3.07</v>
      </c>
      <c r="J11" s="53">
        <v>0.11</v>
      </c>
      <c r="K11" s="53">
        <v>169.27</v>
      </c>
      <c r="L11" s="53">
        <v>25.76</v>
      </c>
      <c r="M11" s="53">
        <v>101.76</v>
      </c>
      <c r="N11" s="53">
        <v>39.6</v>
      </c>
      <c r="O11" s="53">
        <v>0</v>
      </c>
      <c r="P11" s="53">
        <v>0.31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327</v>
      </c>
      <c r="B12" s="53">
        <v>7.95</v>
      </c>
      <c r="C12" s="53">
        <v>2.93</v>
      </c>
      <c r="D12" s="53">
        <v>11.67</v>
      </c>
      <c r="E12" s="53">
        <v>4.49</v>
      </c>
      <c r="F12" s="53">
        <v>4.32</v>
      </c>
      <c r="G12" s="53">
        <v>12.84</v>
      </c>
      <c r="H12" s="53">
        <v>13.51</v>
      </c>
      <c r="I12" s="53">
        <v>2.91</v>
      </c>
      <c r="J12" s="53">
        <v>0.21</v>
      </c>
      <c r="K12" s="53">
        <v>275.14</v>
      </c>
      <c r="L12" s="53">
        <v>25.61</v>
      </c>
      <c r="M12" s="53">
        <v>101.8</v>
      </c>
      <c r="N12" s="53">
        <v>39.6</v>
      </c>
      <c r="O12" s="53">
        <v>0</v>
      </c>
      <c r="P12" s="53">
        <v>0.3</v>
      </c>
      <c r="Q12" s="53">
        <v>9.56</v>
      </c>
      <c r="R12" s="43"/>
      <c r="S12" s="43"/>
      <c r="T12" s="43"/>
      <c r="U12" s="43"/>
    </row>
    <row r="13" spans="1:21" s="11" customFormat="1" x14ac:dyDescent="0.25">
      <c r="A13" s="52" t="s">
        <v>328</v>
      </c>
      <c r="B13" s="53">
        <v>7.96</v>
      </c>
      <c r="C13" s="53">
        <v>2.94</v>
      </c>
      <c r="D13" s="53">
        <v>11.66</v>
      </c>
      <c r="E13" s="53">
        <v>3.65</v>
      </c>
      <c r="F13" s="53">
        <v>4.54</v>
      </c>
      <c r="G13" s="53">
        <v>13.07</v>
      </c>
      <c r="H13" s="53">
        <v>25.85</v>
      </c>
      <c r="I13" s="53">
        <v>2.9</v>
      </c>
      <c r="J13" s="53">
        <v>0.3</v>
      </c>
      <c r="K13" s="53">
        <v>144.47999999999999</v>
      </c>
      <c r="L13" s="53">
        <v>25.44</v>
      </c>
      <c r="M13" s="53">
        <v>101.8</v>
      </c>
      <c r="N13" s="53">
        <v>39.6</v>
      </c>
      <c r="O13" s="53">
        <v>0</v>
      </c>
      <c r="P13" s="53">
        <v>0.28000000000000003</v>
      </c>
      <c r="Q13" s="53">
        <v>9.58</v>
      </c>
      <c r="R13" s="43"/>
      <c r="S13" s="43"/>
      <c r="T13" s="43"/>
      <c r="U13" s="43"/>
    </row>
    <row r="14" spans="1:21" s="11" customFormat="1" x14ac:dyDescent="0.25">
      <c r="A14" s="52" t="s">
        <v>329</v>
      </c>
      <c r="B14" s="53">
        <v>7.99</v>
      </c>
      <c r="C14" s="53">
        <v>3.01</v>
      </c>
      <c r="D14" s="53">
        <v>11.74</v>
      </c>
      <c r="E14" s="53">
        <v>3.66</v>
      </c>
      <c r="F14" s="53">
        <v>3.84</v>
      </c>
      <c r="G14" s="53">
        <v>11.8</v>
      </c>
      <c r="H14" s="53">
        <v>13.97</v>
      </c>
      <c r="I14" s="53">
        <v>3.25</v>
      </c>
      <c r="J14" s="53">
        <v>0.21</v>
      </c>
      <c r="K14" s="53">
        <v>330.62</v>
      </c>
      <c r="L14" s="53">
        <v>25.38</v>
      </c>
      <c r="M14" s="53">
        <v>101.8</v>
      </c>
      <c r="N14" s="53">
        <v>42.7</v>
      </c>
      <c r="O14" s="53">
        <v>0</v>
      </c>
      <c r="P14" s="53">
        <v>0.27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330</v>
      </c>
      <c r="B15" s="53">
        <v>8.01</v>
      </c>
      <c r="C15" s="53">
        <v>3.02</v>
      </c>
      <c r="D15" s="53">
        <v>11.75</v>
      </c>
      <c r="E15" s="53">
        <v>4.0599999999999996</v>
      </c>
      <c r="F15" s="53">
        <v>4.41</v>
      </c>
      <c r="G15" s="53">
        <v>15.83</v>
      </c>
      <c r="H15" s="53">
        <v>20.100000000000001</v>
      </c>
      <c r="I15" s="53">
        <v>3.79</v>
      </c>
      <c r="J15" s="53">
        <v>0.89</v>
      </c>
      <c r="K15" s="53">
        <v>140.43</v>
      </c>
      <c r="L15" s="53">
        <v>25.7</v>
      </c>
      <c r="M15" s="53">
        <v>101.8</v>
      </c>
      <c r="N15" s="53">
        <v>87.7</v>
      </c>
      <c r="O15" s="53">
        <v>0</v>
      </c>
      <c r="P15" s="53">
        <v>0.28000000000000003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331</v>
      </c>
      <c r="B16" s="53">
        <v>7.95</v>
      </c>
      <c r="C16" s="53">
        <v>2.96</v>
      </c>
      <c r="D16" s="53">
        <v>11.69</v>
      </c>
      <c r="E16" s="53">
        <v>4.01</v>
      </c>
      <c r="F16" s="53">
        <v>4.5199999999999996</v>
      </c>
      <c r="G16" s="53">
        <v>14.26</v>
      </c>
      <c r="H16" s="53">
        <v>22.09</v>
      </c>
      <c r="I16" s="53">
        <v>3.72</v>
      </c>
      <c r="J16" s="53">
        <v>0.22</v>
      </c>
      <c r="K16" s="53">
        <v>359.07</v>
      </c>
      <c r="L16" s="53">
        <v>28.29</v>
      </c>
      <c r="M16" s="53">
        <v>101.76</v>
      </c>
      <c r="N16" s="53">
        <v>415.1</v>
      </c>
      <c r="O16" s="53">
        <v>0</v>
      </c>
      <c r="P16" s="53">
        <v>0.28999999999999998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332</v>
      </c>
      <c r="B17" s="53">
        <v>7.96</v>
      </c>
      <c r="C17" s="53">
        <v>2.96</v>
      </c>
      <c r="D17" s="53">
        <v>11.69</v>
      </c>
      <c r="E17" s="53">
        <v>5.22</v>
      </c>
      <c r="F17" s="53">
        <v>4.8099999999999996</v>
      </c>
      <c r="G17" s="53">
        <v>15.13</v>
      </c>
      <c r="H17" s="53">
        <v>10.95</v>
      </c>
      <c r="I17" s="53">
        <v>3.01</v>
      </c>
      <c r="J17" s="53">
        <v>0.31</v>
      </c>
      <c r="K17" s="53">
        <v>351.47</v>
      </c>
      <c r="L17" s="53">
        <v>30.33</v>
      </c>
      <c r="M17" s="53">
        <v>89.91</v>
      </c>
      <c r="N17" s="53">
        <v>607.29999999999995</v>
      </c>
      <c r="O17" s="53">
        <v>0</v>
      </c>
      <c r="P17" s="53">
        <v>0.31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333</v>
      </c>
      <c r="B18" s="53">
        <v>7.97</v>
      </c>
      <c r="C18" s="53">
        <v>3.01</v>
      </c>
      <c r="D18" s="53">
        <v>11.74</v>
      </c>
      <c r="E18" s="53">
        <v>5.2</v>
      </c>
      <c r="F18" s="53">
        <v>6.07</v>
      </c>
      <c r="G18" s="53">
        <v>16.55</v>
      </c>
      <c r="H18" s="53">
        <v>5.69</v>
      </c>
      <c r="I18" s="53">
        <v>1.99</v>
      </c>
      <c r="J18" s="53">
        <v>0.3</v>
      </c>
      <c r="K18" s="53">
        <v>352.2</v>
      </c>
      <c r="L18" s="53">
        <v>31.59</v>
      </c>
      <c r="M18" s="53">
        <v>80.709999999999994</v>
      </c>
      <c r="N18" s="53">
        <v>846.2</v>
      </c>
      <c r="O18" s="53">
        <v>0</v>
      </c>
      <c r="P18" s="53">
        <v>0.32</v>
      </c>
      <c r="Q18" s="53">
        <v>9.58</v>
      </c>
      <c r="R18" s="43"/>
      <c r="S18" s="43"/>
      <c r="T18" s="43"/>
      <c r="U18" s="43"/>
    </row>
    <row r="19" spans="1:21" s="11" customFormat="1" x14ac:dyDescent="0.25">
      <c r="A19" s="52" t="s">
        <v>334</v>
      </c>
      <c r="B19" s="53">
        <v>7.96</v>
      </c>
      <c r="C19" s="53">
        <v>2.96</v>
      </c>
      <c r="D19" s="53">
        <v>11.7</v>
      </c>
      <c r="E19" s="53">
        <v>4.93</v>
      </c>
      <c r="F19" s="53">
        <v>6.23</v>
      </c>
      <c r="G19" s="53">
        <v>16.89</v>
      </c>
      <c r="H19" s="53">
        <v>5.7</v>
      </c>
      <c r="I19" s="53">
        <v>1.46</v>
      </c>
      <c r="J19" s="53">
        <v>0.36</v>
      </c>
      <c r="K19" s="53">
        <v>351.09</v>
      </c>
      <c r="L19" s="53">
        <v>32.57</v>
      </c>
      <c r="M19" s="53">
        <v>76.89</v>
      </c>
      <c r="N19" s="53">
        <v>937.2</v>
      </c>
      <c r="O19" s="53">
        <v>0</v>
      </c>
      <c r="P19" s="53">
        <v>0.35</v>
      </c>
      <c r="Q19" s="53">
        <v>9.6</v>
      </c>
      <c r="R19" s="43"/>
      <c r="S19" s="43"/>
      <c r="T19" s="43"/>
      <c r="U19" s="43"/>
    </row>
    <row r="20" spans="1:21" s="11" customFormat="1" x14ac:dyDescent="0.25">
      <c r="A20" s="52" t="s">
        <v>335</v>
      </c>
      <c r="B20" s="53">
        <v>7.57</v>
      </c>
      <c r="C20" s="53">
        <v>2.63</v>
      </c>
      <c r="D20" s="53">
        <v>11.06</v>
      </c>
      <c r="E20" s="18" t="s">
        <v>12</v>
      </c>
      <c r="F20" s="53">
        <v>7.4</v>
      </c>
      <c r="G20" s="54" t="s">
        <v>12</v>
      </c>
      <c r="H20" s="54" t="s">
        <v>12</v>
      </c>
      <c r="I20" s="53">
        <v>1.07</v>
      </c>
      <c r="J20" s="53">
        <v>0.33</v>
      </c>
      <c r="K20" s="53">
        <v>347.9</v>
      </c>
      <c r="L20" s="53">
        <v>30.55</v>
      </c>
      <c r="M20" s="53">
        <v>76.23</v>
      </c>
      <c r="N20" s="53">
        <v>939.1</v>
      </c>
      <c r="O20" s="53">
        <v>0</v>
      </c>
      <c r="P20" s="53">
        <v>0.36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336</v>
      </c>
      <c r="B21" s="53">
        <v>3.14</v>
      </c>
      <c r="C21" s="53">
        <v>1.05</v>
      </c>
      <c r="D21" s="53">
        <v>4.3499999999999996</v>
      </c>
      <c r="E21" s="53">
        <v>4.51</v>
      </c>
      <c r="F21" s="53">
        <v>6.25</v>
      </c>
      <c r="G21" s="54" t="s">
        <v>12</v>
      </c>
      <c r="H21" s="54" t="s">
        <v>12</v>
      </c>
      <c r="I21" s="53">
        <v>2.89</v>
      </c>
      <c r="J21" s="53">
        <v>0.27</v>
      </c>
      <c r="K21" s="53">
        <v>337.47</v>
      </c>
      <c r="L21" s="53">
        <v>30.4</v>
      </c>
      <c r="M21" s="53">
        <v>73.66</v>
      </c>
      <c r="N21" s="53">
        <v>999.3</v>
      </c>
      <c r="O21" s="53">
        <v>0</v>
      </c>
      <c r="P21" s="53">
        <v>0.35</v>
      </c>
      <c r="Q21" s="53">
        <v>9.6</v>
      </c>
      <c r="R21" s="43"/>
      <c r="S21" s="43"/>
      <c r="T21" s="43"/>
      <c r="U21" s="43"/>
    </row>
    <row r="22" spans="1:21" s="11" customFormat="1" x14ac:dyDescent="0.25">
      <c r="A22" s="52" t="s">
        <v>337</v>
      </c>
      <c r="B22" s="53">
        <v>5.04</v>
      </c>
      <c r="C22" s="53">
        <v>3.94</v>
      </c>
      <c r="D22" s="53">
        <v>9.2100000000000009</v>
      </c>
      <c r="E22" s="53">
        <v>4.5</v>
      </c>
      <c r="F22" s="53">
        <v>10.77</v>
      </c>
      <c r="G22" s="54" t="s">
        <v>12</v>
      </c>
      <c r="H22" s="54" t="s">
        <v>12</v>
      </c>
      <c r="I22" s="53">
        <v>5.83</v>
      </c>
      <c r="J22" s="53">
        <v>0.21</v>
      </c>
      <c r="K22" s="53">
        <v>333.98</v>
      </c>
      <c r="L22" s="53">
        <v>30.02</v>
      </c>
      <c r="M22" s="53">
        <v>74.94</v>
      </c>
      <c r="N22" s="53">
        <v>793.1</v>
      </c>
      <c r="O22" s="53">
        <v>0</v>
      </c>
      <c r="P22" s="53">
        <v>0.3</v>
      </c>
      <c r="Q22" s="53">
        <v>9.4700000000000006</v>
      </c>
      <c r="R22" s="43"/>
      <c r="S22" s="43"/>
      <c r="T22" s="43"/>
      <c r="U22" s="43"/>
    </row>
    <row r="23" spans="1:21" s="11" customFormat="1" x14ac:dyDescent="0.25">
      <c r="A23" s="52" t="s">
        <v>338</v>
      </c>
      <c r="B23" s="53">
        <v>4.78</v>
      </c>
      <c r="C23" s="53">
        <v>3.73</v>
      </c>
      <c r="D23" s="53">
        <v>8.7200000000000006</v>
      </c>
      <c r="E23" s="53">
        <v>3.97</v>
      </c>
      <c r="F23" s="53">
        <v>7.5</v>
      </c>
      <c r="G23" s="53">
        <v>75.73</v>
      </c>
      <c r="H23" s="54" t="s">
        <v>12</v>
      </c>
      <c r="I23" s="53">
        <v>3.74</v>
      </c>
      <c r="J23" s="53">
        <v>0.21</v>
      </c>
      <c r="K23" s="53">
        <v>351.77</v>
      </c>
      <c r="L23" s="53">
        <v>29.97</v>
      </c>
      <c r="M23" s="53">
        <v>75.59</v>
      </c>
      <c r="N23" s="53">
        <v>204.7</v>
      </c>
      <c r="O23" s="53">
        <v>0</v>
      </c>
      <c r="P23" s="53">
        <v>0.28000000000000003</v>
      </c>
      <c r="Q23" s="53">
        <v>9.51</v>
      </c>
      <c r="R23" s="43"/>
      <c r="S23" s="43"/>
      <c r="T23" s="43"/>
      <c r="U23" s="43"/>
    </row>
    <row r="24" spans="1:21" s="11" customFormat="1" x14ac:dyDescent="0.25">
      <c r="A24" s="52" t="s">
        <v>339</v>
      </c>
      <c r="B24" s="53">
        <v>4.2300000000000004</v>
      </c>
      <c r="C24" s="53">
        <v>3.11</v>
      </c>
      <c r="D24" s="53">
        <v>7.2</v>
      </c>
      <c r="E24" s="53">
        <v>5.22</v>
      </c>
      <c r="F24" s="53">
        <v>4.79</v>
      </c>
      <c r="G24" s="53">
        <v>75.73</v>
      </c>
      <c r="H24" s="54" t="s">
        <v>12</v>
      </c>
      <c r="I24" s="53">
        <v>2.0699999999999998</v>
      </c>
      <c r="J24" s="53">
        <v>0.31</v>
      </c>
      <c r="K24" s="53">
        <v>352.66</v>
      </c>
      <c r="L24" s="53">
        <v>29.47</v>
      </c>
      <c r="M24" s="53">
        <v>73.28</v>
      </c>
      <c r="N24" s="53">
        <v>146.1</v>
      </c>
      <c r="O24" s="53">
        <v>0</v>
      </c>
      <c r="P24" s="53">
        <v>0.28999999999999998</v>
      </c>
      <c r="Q24" s="53">
        <v>9.5299999999999994</v>
      </c>
      <c r="R24" s="43"/>
      <c r="S24" s="43"/>
      <c r="T24" s="43"/>
      <c r="U24" s="43"/>
    </row>
    <row r="25" spans="1:21" s="11" customFormat="1" x14ac:dyDescent="0.25">
      <c r="A25" s="52" t="s">
        <v>340</v>
      </c>
      <c r="B25" s="53">
        <v>4.22</v>
      </c>
      <c r="C25" s="53">
        <v>3.11</v>
      </c>
      <c r="D25" s="53">
        <v>7.2</v>
      </c>
      <c r="E25" s="53">
        <v>4.84</v>
      </c>
      <c r="F25" s="53">
        <v>5.56</v>
      </c>
      <c r="G25" s="53">
        <v>69.040000000000006</v>
      </c>
      <c r="H25" s="54" t="s">
        <v>12</v>
      </c>
      <c r="I25" s="53">
        <v>1.68</v>
      </c>
      <c r="J25" s="53">
        <v>0.25</v>
      </c>
      <c r="K25" s="53">
        <v>351.8</v>
      </c>
      <c r="L25" s="53">
        <v>29.11</v>
      </c>
      <c r="M25" s="53">
        <v>77.209999999999994</v>
      </c>
      <c r="N25" s="53">
        <v>107.7</v>
      </c>
      <c r="O25" s="53">
        <v>0</v>
      </c>
      <c r="P25" s="53">
        <v>0.28999999999999998</v>
      </c>
      <c r="Q25" s="53">
        <v>9.58</v>
      </c>
      <c r="R25" s="43"/>
      <c r="S25" s="43"/>
      <c r="T25" s="43"/>
      <c r="U25" s="43"/>
    </row>
    <row r="26" spans="1:21" s="11" customFormat="1" x14ac:dyDescent="0.25">
      <c r="A26" s="52" t="s">
        <v>341</v>
      </c>
      <c r="B26" s="53">
        <v>4.26</v>
      </c>
      <c r="C26" s="53">
        <v>3.14</v>
      </c>
      <c r="D26" s="53">
        <v>7.25</v>
      </c>
      <c r="E26" s="53">
        <v>4.8899999999999997</v>
      </c>
      <c r="F26" s="53">
        <v>4.4400000000000004</v>
      </c>
      <c r="G26" s="53">
        <v>44.88</v>
      </c>
      <c r="H26" s="54" t="s">
        <v>12</v>
      </c>
      <c r="I26" s="53">
        <v>1.31</v>
      </c>
      <c r="J26" s="53">
        <v>0.22</v>
      </c>
      <c r="K26" s="53">
        <v>359.58</v>
      </c>
      <c r="L26" s="53">
        <v>28.56</v>
      </c>
      <c r="M26" s="53">
        <v>82.49</v>
      </c>
      <c r="N26" s="53">
        <v>78</v>
      </c>
      <c r="O26" s="53">
        <v>0</v>
      </c>
      <c r="P26" s="53">
        <v>0.31</v>
      </c>
      <c r="Q26" s="53">
        <v>9.5500000000000007</v>
      </c>
      <c r="R26" s="43"/>
      <c r="S26" s="43"/>
      <c r="T26" s="43"/>
      <c r="U26" s="43"/>
    </row>
    <row r="27" spans="1:21" s="11" customFormat="1" x14ac:dyDescent="0.25">
      <c r="A27" s="52" t="s">
        <v>342</v>
      </c>
      <c r="B27" s="53">
        <v>4.29</v>
      </c>
      <c r="C27" s="53">
        <v>3.18</v>
      </c>
      <c r="D27" s="53">
        <v>7.29</v>
      </c>
      <c r="E27" s="53">
        <v>4.99</v>
      </c>
      <c r="F27" s="53">
        <v>3.53</v>
      </c>
      <c r="G27" s="55" t="s">
        <v>8</v>
      </c>
      <c r="H27" s="55" t="s">
        <v>8</v>
      </c>
      <c r="I27" s="53">
        <v>1.69</v>
      </c>
      <c r="J27" s="53">
        <v>0.19</v>
      </c>
      <c r="K27" s="53">
        <v>354.05</v>
      </c>
      <c r="L27" s="53">
        <v>27.79</v>
      </c>
      <c r="M27" s="53">
        <v>89.14</v>
      </c>
      <c r="N27" s="53">
        <v>40.799999999999997</v>
      </c>
      <c r="O27" s="53">
        <v>0</v>
      </c>
      <c r="P27" s="53">
        <v>0.37</v>
      </c>
      <c r="Q27" s="53">
        <v>9.67</v>
      </c>
      <c r="R27" s="43"/>
      <c r="S27" s="43"/>
      <c r="T27" s="43"/>
      <c r="U27" s="43"/>
    </row>
    <row r="28" spans="1:21" s="11" customFormat="1" x14ac:dyDescent="0.25">
      <c r="A28" s="52" t="s">
        <v>343</v>
      </c>
      <c r="B28" s="53">
        <v>4.2699999999999996</v>
      </c>
      <c r="C28" s="53">
        <v>3.17</v>
      </c>
      <c r="D28" s="53">
        <v>7.27</v>
      </c>
      <c r="E28" s="53">
        <v>5.23</v>
      </c>
      <c r="F28" s="53">
        <v>4.71</v>
      </c>
      <c r="G28" s="53">
        <v>49.57</v>
      </c>
      <c r="H28" s="53">
        <v>42.49</v>
      </c>
      <c r="I28" s="53">
        <v>2.36</v>
      </c>
      <c r="J28" s="53">
        <v>0.16</v>
      </c>
      <c r="K28" s="53">
        <v>356.04</v>
      </c>
      <c r="L28" s="53">
        <v>26.94</v>
      </c>
      <c r="M28" s="53">
        <v>95.23</v>
      </c>
      <c r="N28" s="53">
        <v>38.5</v>
      </c>
      <c r="O28" s="53">
        <v>0</v>
      </c>
      <c r="P28" s="53">
        <v>0.51</v>
      </c>
      <c r="Q28" s="53">
        <v>9.67</v>
      </c>
      <c r="R28" s="43"/>
      <c r="S28" s="43"/>
      <c r="T28" s="43"/>
      <c r="U28" s="43"/>
    </row>
    <row r="29" spans="1:21" s="11" customFormat="1" x14ac:dyDescent="0.25">
      <c r="A29" s="52" t="s">
        <v>344</v>
      </c>
      <c r="B29" s="53">
        <v>4.28</v>
      </c>
      <c r="C29" s="53">
        <v>3.19</v>
      </c>
      <c r="D29" s="53">
        <v>7.29</v>
      </c>
      <c r="E29" s="53">
        <v>4.5199999999999996</v>
      </c>
      <c r="F29" s="53">
        <v>4.32</v>
      </c>
      <c r="G29" s="53">
        <v>49.61</v>
      </c>
      <c r="H29" s="53">
        <v>42.49</v>
      </c>
      <c r="I29" s="53">
        <v>2.5499999999999998</v>
      </c>
      <c r="J29" s="53">
        <v>0.2</v>
      </c>
      <c r="K29" s="53">
        <v>353.36</v>
      </c>
      <c r="L29" s="53">
        <v>26.49</v>
      </c>
      <c r="M29" s="53">
        <v>96.33</v>
      </c>
      <c r="N29" s="53">
        <v>38.4</v>
      </c>
      <c r="O29" s="53">
        <v>0</v>
      </c>
      <c r="P29" s="53">
        <v>0.68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345</v>
      </c>
      <c r="B30" s="53">
        <v>4.3099999999999996</v>
      </c>
      <c r="C30" s="53">
        <v>3.22</v>
      </c>
      <c r="D30" s="53">
        <v>7.33</v>
      </c>
      <c r="E30" s="53">
        <v>4.6500000000000004</v>
      </c>
      <c r="F30" s="53">
        <v>4.0199999999999996</v>
      </c>
      <c r="G30" s="53">
        <v>49.61</v>
      </c>
      <c r="H30" s="53">
        <v>14.77</v>
      </c>
      <c r="I30" s="53">
        <v>3.55</v>
      </c>
      <c r="J30" s="53">
        <v>0.19</v>
      </c>
      <c r="K30" s="53">
        <v>358.9</v>
      </c>
      <c r="L30" s="53">
        <v>25.92</v>
      </c>
      <c r="M30" s="53">
        <v>97.46</v>
      </c>
      <c r="N30" s="53">
        <v>38.299999999999997</v>
      </c>
      <c r="O30" s="53">
        <v>0</v>
      </c>
      <c r="P30" s="53">
        <v>0.81</v>
      </c>
      <c r="Q30" s="53">
        <v>9.9</v>
      </c>
      <c r="R30" s="43"/>
      <c r="S30" s="43"/>
      <c r="T30" s="43"/>
      <c r="U30" s="43"/>
    </row>
    <row r="31" spans="1:21" s="11" customFormat="1" x14ac:dyDescent="0.25">
      <c r="A31" s="52" t="s">
        <v>346</v>
      </c>
      <c r="B31" s="53">
        <v>4.3499999999999996</v>
      </c>
      <c r="C31" s="53">
        <v>3.26</v>
      </c>
      <c r="D31" s="53">
        <v>7.38</v>
      </c>
      <c r="E31" s="53">
        <v>4.79</v>
      </c>
      <c r="F31" s="53">
        <v>3.39</v>
      </c>
      <c r="G31" s="53">
        <v>49.24</v>
      </c>
      <c r="H31" s="53">
        <v>14.77</v>
      </c>
      <c r="I31" s="53">
        <v>3.73</v>
      </c>
      <c r="J31" s="53">
        <v>0.2</v>
      </c>
      <c r="K31" s="53">
        <v>353.05</v>
      </c>
      <c r="L31" s="53">
        <v>25.56</v>
      </c>
      <c r="M31" s="53">
        <v>100.43</v>
      </c>
      <c r="N31" s="53">
        <v>38.5</v>
      </c>
      <c r="O31" s="53">
        <v>0</v>
      </c>
      <c r="P31" s="53">
        <v>0.79</v>
      </c>
      <c r="Q31" s="53">
        <v>9.91</v>
      </c>
      <c r="R31" s="43"/>
      <c r="S31" s="43"/>
      <c r="T31" s="43"/>
      <c r="U31" s="43"/>
    </row>
    <row r="32" spans="1:21" s="11" customFormat="1" x14ac:dyDescent="0.25">
      <c r="A32" s="52" t="s">
        <v>347</v>
      </c>
      <c r="B32" s="53">
        <v>4.3499999999999996</v>
      </c>
      <c r="C32" s="53">
        <v>3.24</v>
      </c>
      <c r="D32" s="53">
        <v>7.37</v>
      </c>
      <c r="E32" s="53">
        <v>4.71</v>
      </c>
      <c r="F32" s="53">
        <v>3.9</v>
      </c>
      <c r="G32" s="53">
        <v>38.32</v>
      </c>
      <c r="H32" s="53">
        <v>4.72</v>
      </c>
      <c r="I32" s="53">
        <v>3.74</v>
      </c>
      <c r="J32" s="53">
        <v>0.19</v>
      </c>
      <c r="K32" s="53">
        <v>358.57</v>
      </c>
      <c r="L32" s="53">
        <v>25.09</v>
      </c>
      <c r="M32" s="53">
        <v>101.75</v>
      </c>
      <c r="N32" s="53">
        <v>38.200000000000003</v>
      </c>
      <c r="O32" s="53">
        <v>0</v>
      </c>
      <c r="P32" s="53">
        <v>0.73</v>
      </c>
      <c r="Q32" s="53">
        <v>9.9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3.14</v>
      </c>
      <c r="C34" s="28">
        <f t="shared" si="0"/>
        <v>1.05</v>
      </c>
      <c r="D34" s="28">
        <f t="shared" si="0"/>
        <v>4.3499999999999996</v>
      </c>
      <c r="E34" s="28">
        <f t="shared" si="0"/>
        <v>3.65</v>
      </c>
      <c r="F34" s="28">
        <f t="shared" si="0"/>
        <v>3.39</v>
      </c>
      <c r="G34" s="28">
        <f t="shared" si="0"/>
        <v>11.8</v>
      </c>
      <c r="H34" s="28">
        <f t="shared" si="0"/>
        <v>4.72</v>
      </c>
      <c r="I34" s="28">
        <f t="shared" si="0"/>
        <v>1.07</v>
      </c>
      <c r="J34" s="28">
        <f t="shared" si="0"/>
        <v>0.11</v>
      </c>
      <c r="K34" s="28">
        <f t="shared" si="0"/>
        <v>140.43</v>
      </c>
      <c r="L34" s="28">
        <f t="shared" si="0"/>
        <v>25.09</v>
      </c>
      <c r="M34" s="28">
        <f t="shared" si="0"/>
        <v>73.28</v>
      </c>
      <c r="N34" s="28">
        <f t="shared" si="0"/>
        <v>38.200000000000003</v>
      </c>
      <c r="O34" s="28">
        <f t="shared" si="0"/>
        <v>0</v>
      </c>
      <c r="P34" s="28">
        <f t="shared" si="0"/>
        <v>0.27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8.01</v>
      </c>
      <c r="C35" s="29">
        <f t="shared" si="1"/>
        <v>3.94</v>
      </c>
      <c r="D35" s="29">
        <f t="shared" si="1"/>
        <v>11.75</v>
      </c>
      <c r="E35" s="29">
        <f t="shared" si="1"/>
        <v>5.23</v>
      </c>
      <c r="F35" s="29">
        <f t="shared" si="1"/>
        <v>10.77</v>
      </c>
      <c r="G35" s="29">
        <f t="shared" si="1"/>
        <v>75.73</v>
      </c>
      <c r="H35" s="29">
        <f t="shared" si="1"/>
        <v>70.510000000000005</v>
      </c>
      <c r="I35" s="29">
        <f t="shared" si="1"/>
        <v>5.83</v>
      </c>
      <c r="J35" s="29">
        <f t="shared" si="1"/>
        <v>0.89</v>
      </c>
      <c r="K35" s="29">
        <f t="shared" si="1"/>
        <v>359.58</v>
      </c>
      <c r="L35" s="29">
        <f t="shared" si="1"/>
        <v>32.57</v>
      </c>
      <c r="M35" s="29">
        <f t="shared" si="1"/>
        <v>101.8</v>
      </c>
      <c r="N35" s="29">
        <f t="shared" si="1"/>
        <v>999.3</v>
      </c>
      <c r="O35" s="29">
        <f t="shared" si="1"/>
        <v>0</v>
      </c>
      <c r="P35" s="29">
        <f t="shared" si="1"/>
        <v>0.81</v>
      </c>
      <c r="Q35" s="29">
        <f t="shared" si="1"/>
        <v>9.91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6.1133333333333333</v>
      </c>
      <c r="C36" s="28">
        <f t="shared" si="2"/>
        <v>3.0283333333333329</v>
      </c>
      <c r="D36" s="28">
        <f t="shared" si="2"/>
        <v>9.4866666666666664</v>
      </c>
      <c r="E36" s="28">
        <f t="shared" si="2"/>
        <v>4.5595652173913042</v>
      </c>
      <c r="F36" s="28">
        <f t="shared" si="2"/>
        <v>5.0733333333333341</v>
      </c>
      <c r="G36" s="28">
        <f t="shared" si="2"/>
        <v>33.355000000000004</v>
      </c>
      <c r="H36" s="28">
        <f t="shared" si="2"/>
        <v>20.897499999999997</v>
      </c>
      <c r="I36" s="28">
        <f t="shared" si="2"/>
        <v>2.8320833333333328</v>
      </c>
      <c r="J36" s="28">
        <f t="shared" si="2"/>
        <v>0.25791666666666674</v>
      </c>
      <c r="K36" s="28">
        <f t="shared" si="2"/>
        <v>306.49374999999998</v>
      </c>
      <c r="L36" s="28">
        <f t="shared" si="2"/>
        <v>27.840416666666666</v>
      </c>
      <c r="M36" s="28">
        <f t="shared" si="2"/>
        <v>90.645833333333329</v>
      </c>
      <c r="N36" s="28">
        <f t="shared" si="2"/>
        <v>276.44166666666666</v>
      </c>
      <c r="O36" s="28">
        <f t="shared" si="2"/>
        <v>0</v>
      </c>
      <c r="P36" s="28">
        <f t="shared" si="2"/>
        <v>0.39416666666666672</v>
      </c>
      <c r="Q36" s="28">
        <f t="shared" si="2"/>
        <v>9.6383333333333336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1.8857305507799689</v>
      </c>
      <c r="C37" s="28">
        <f t="shared" ref="C37:Q37" si="3">STDEV(C9:C32)</f>
        <v>0.49641906093337601</v>
      </c>
      <c r="D37" s="28">
        <f t="shared" si="3"/>
        <v>2.3524375270855895</v>
      </c>
      <c r="E37" s="28">
        <f t="shared" si="3"/>
        <v>0.48374935528140933</v>
      </c>
      <c r="F37" s="28">
        <f t="shared" si="3"/>
        <v>1.6510936208851195</v>
      </c>
      <c r="G37" s="28">
        <f t="shared" si="3"/>
        <v>22.728037982331763</v>
      </c>
      <c r="H37" s="28">
        <f t="shared" si="3"/>
        <v>17.540836734127979</v>
      </c>
      <c r="I37" s="28">
        <f t="shared" si="3"/>
        <v>1.0524546015889724</v>
      </c>
      <c r="J37" s="28">
        <f t="shared" si="3"/>
        <v>0.14811802481589573</v>
      </c>
      <c r="K37" s="28">
        <f t="shared" si="3"/>
        <v>82.239632612765703</v>
      </c>
      <c r="L37" s="28">
        <f t="shared" si="3"/>
        <v>2.3200308827904528</v>
      </c>
      <c r="M37" s="28">
        <f t="shared" si="3"/>
        <v>11.646650541704249</v>
      </c>
      <c r="N37" s="28">
        <f t="shared" si="3"/>
        <v>356.20272307709297</v>
      </c>
      <c r="O37" s="28">
        <f t="shared" si="3"/>
        <v>0</v>
      </c>
      <c r="P37" s="28">
        <f t="shared" si="3"/>
        <v>0.17212019730072523</v>
      </c>
      <c r="Q37" s="28">
        <f t="shared" si="3"/>
        <v>0.11491647880721584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COUNT(G9:G32)+4</f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348</v>
      </c>
      <c r="B9" s="53">
        <v>4.28</v>
      </c>
      <c r="C9" s="53">
        <v>3.19</v>
      </c>
      <c r="D9" s="53">
        <v>7.27</v>
      </c>
      <c r="E9" s="53">
        <v>4.9000000000000004</v>
      </c>
      <c r="F9" s="53">
        <v>4.4400000000000004</v>
      </c>
      <c r="G9" s="53">
        <v>37.380000000000003</v>
      </c>
      <c r="H9" s="53">
        <v>15.32</v>
      </c>
      <c r="I9" s="53">
        <v>3.41</v>
      </c>
      <c r="J9" s="53">
        <v>0.18</v>
      </c>
      <c r="K9" s="53">
        <v>8.6999999999999993</v>
      </c>
      <c r="L9" s="53">
        <v>24.9</v>
      </c>
      <c r="M9" s="53">
        <v>101.77</v>
      </c>
      <c r="N9" s="53">
        <v>38.1</v>
      </c>
      <c r="O9" s="53">
        <v>0</v>
      </c>
      <c r="P9" s="53">
        <v>0.64</v>
      </c>
      <c r="Q9" s="53">
        <v>9.8000000000000007</v>
      </c>
      <c r="R9" s="43"/>
      <c r="S9" s="43"/>
      <c r="T9" s="43"/>
      <c r="U9" s="43"/>
    </row>
    <row r="10" spans="1:21" s="11" customFormat="1" x14ac:dyDescent="0.25">
      <c r="A10" s="52" t="s">
        <v>349</v>
      </c>
      <c r="B10" s="53">
        <v>4.3</v>
      </c>
      <c r="C10" s="53">
        <v>3.22</v>
      </c>
      <c r="D10" s="53">
        <v>7.31</v>
      </c>
      <c r="E10" s="53">
        <v>4.9000000000000004</v>
      </c>
      <c r="F10" s="53">
        <v>3.63</v>
      </c>
      <c r="G10" s="53">
        <v>29.37</v>
      </c>
      <c r="H10" s="53">
        <v>15.32</v>
      </c>
      <c r="I10" s="53">
        <v>2.71</v>
      </c>
      <c r="J10" s="53">
        <v>0.16</v>
      </c>
      <c r="K10" s="53">
        <v>357.44</v>
      </c>
      <c r="L10" s="53">
        <v>24.66</v>
      </c>
      <c r="M10" s="53">
        <v>101.78</v>
      </c>
      <c r="N10" s="53">
        <v>38.1</v>
      </c>
      <c r="O10" s="53">
        <v>0</v>
      </c>
      <c r="P10" s="53">
        <v>0.47</v>
      </c>
      <c r="Q10" s="53">
        <v>9.7200000000000006</v>
      </c>
      <c r="R10" s="43"/>
      <c r="S10" s="43"/>
      <c r="T10" s="43"/>
      <c r="U10" s="43"/>
    </row>
    <row r="11" spans="1:21" s="11" customFormat="1" x14ac:dyDescent="0.25">
      <c r="A11" s="52" t="s">
        <v>350</v>
      </c>
      <c r="B11" s="53">
        <v>4.33</v>
      </c>
      <c r="C11" s="53">
        <v>3.18</v>
      </c>
      <c r="D11" s="53">
        <v>7.32</v>
      </c>
      <c r="E11" s="53">
        <v>4.6100000000000003</v>
      </c>
      <c r="F11" s="53">
        <v>3.57</v>
      </c>
      <c r="G11" s="53">
        <v>25.43</v>
      </c>
      <c r="H11" s="53">
        <v>8.76</v>
      </c>
      <c r="I11" s="53">
        <v>2.57</v>
      </c>
      <c r="J11" s="53">
        <v>0.1</v>
      </c>
      <c r="K11" s="53">
        <v>340.22</v>
      </c>
      <c r="L11" s="53">
        <v>24.42</v>
      </c>
      <c r="M11" s="53">
        <v>101.78</v>
      </c>
      <c r="N11" s="53">
        <v>38.200000000000003</v>
      </c>
      <c r="O11" s="53">
        <v>0</v>
      </c>
      <c r="P11" s="53">
        <v>0.43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351</v>
      </c>
      <c r="B12" s="53">
        <v>4.28</v>
      </c>
      <c r="C12" s="53">
        <v>3.19</v>
      </c>
      <c r="D12" s="53">
        <v>7.29</v>
      </c>
      <c r="E12" s="53">
        <v>4.84</v>
      </c>
      <c r="F12" s="53">
        <v>3.89</v>
      </c>
      <c r="G12" s="53">
        <v>21.99</v>
      </c>
      <c r="H12" s="53">
        <v>4.4000000000000004</v>
      </c>
      <c r="I12" s="53">
        <v>2.83</v>
      </c>
      <c r="J12" s="53">
        <v>0.1</v>
      </c>
      <c r="K12" s="53">
        <v>350.39</v>
      </c>
      <c r="L12" s="53">
        <v>24.06</v>
      </c>
      <c r="M12" s="53">
        <v>101.81</v>
      </c>
      <c r="N12" s="53">
        <v>38.1</v>
      </c>
      <c r="O12" s="53">
        <v>0</v>
      </c>
      <c r="P12" s="53">
        <v>0.4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352</v>
      </c>
      <c r="B13" s="53">
        <v>4.25</v>
      </c>
      <c r="C13" s="53">
        <v>3.15</v>
      </c>
      <c r="D13" s="53">
        <v>7.25</v>
      </c>
      <c r="E13" s="53">
        <v>4.6399999999999997</v>
      </c>
      <c r="F13" s="53">
        <v>3.97</v>
      </c>
      <c r="G13" s="53">
        <v>21.99</v>
      </c>
      <c r="H13" s="53">
        <v>4.4000000000000004</v>
      </c>
      <c r="I13" s="53">
        <v>2.75</v>
      </c>
      <c r="J13" s="53">
        <v>0.14000000000000001</v>
      </c>
      <c r="K13" s="53">
        <v>359.31</v>
      </c>
      <c r="L13" s="53">
        <v>23.95</v>
      </c>
      <c r="M13" s="53">
        <v>101.82</v>
      </c>
      <c r="N13" s="53">
        <v>38.4</v>
      </c>
      <c r="O13" s="53">
        <v>0</v>
      </c>
      <c r="P13" s="53">
        <v>0.36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353</v>
      </c>
      <c r="B14" s="53">
        <v>4.26</v>
      </c>
      <c r="C14" s="53">
        <v>3.11</v>
      </c>
      <c r="D14" s="53">
        <v>7.23</v>
      </c>
      <c r="E14" s="53">
        <v>4.66</v>
      </c>
      <c r="F14" s="53">
        <v>3.71</v>
      </c>
      <c r="G14" s="53">
        <v>15.78</v>
      </c>
      <c r="H14" s="53">
        <v>3.4</v>
      </c>
      <c r="I14" s="53">
        <v>2.56</v>
      </c>
      <c r="J14" s="53">
        <v>0.15</v>
      </c>
      <c r="K14" s="53">
        <v>341.78</v>
      </c>
      <c r="L14" s="53">
        <v>23.91</v>
      </c>
      <c r="M14" s="53">
        <v>101.81</v>
      </c>
      <c r="N14" s="53">
        <v>40.299999999999997</v>
      </c>
      <c r="O14" s="53">
        <v>0</v>
      </c>
      <c r="P14" s="53">
        <v>0.31</v>
      </c>
      <c r="Q14" s="53">
        <v>9.58</v>
      </c>
      <c r="R14" s="43"/>
      <c r="S14" s="43"/>
      <c r="T14" s="43"/>
      <c r="U14" s="43"/>
    </row>
    <row r="15" spans="1:21" s="11" customFormat="1" x14ac:dyDescent="0.25">
      <c r="A15" s="52" t="s">
        <v>354</v>
      </c>
      <c r="B15" s="53">
        <v>4.3</v>
      </c>
      <c r="C15" s="53">
        <v>3.18</v>
      </c>
      <c r="D15" s="53">
        <v>7.29</v>
      </c>
      <c r="E15" s="53">
        <v>5.01</v>
      </c>
      <c r="F15" s="53">
        <v>3.57</v>
      </c>
      <c r="G15" s="53">
        <v>15.69</v>
      </c>
      <c r="H15" s="53">
        <v>5.4</v>
      </c>
      <c r="I15" s="53">
        <v>2.21</v>
      </c>
      <c r="J15" s="53">
        <v>0.18</v>
      </c>
      <c r="K15" s="53">
        <v>348.22</v>
      </c>
      <c r="L15" s="53">
        <v>24.1</v>
      </c>
      <c r="M15" s="53">
        <v>101.78</v>
      </c>
      <c r="N15" s="53">
        <v>82.3</v>
      </c>
      <c r="O15" s="53">
        <v>0</v>
      </c>
      <c r="P15" s="53">
        <v>0.28999999999999998</v>
      </c>
      <c r="Q15" s="53">
        <v>9.6</v>
      </c>
      <c r="R15" s="43"/>
      <c r="S15" s="43"/>
      <c r="T15" s="43"/>
      <c r="U15" s="43"/>
    </row>
    <row r="16" spans="1:21" s="11" customFormat="1" x14ac:dyDescent="0.25">
      <c r="A16" s="52" t="s">
        <v>355</v>
      </c>
      <c r="B16" s="53">
        <v>4.29</v>
      </c>
      <c r="C16" s="53">
        <v>3.17</v>
      </c>
      <c r="D16" s="53">
        <v>7.28</v>
      </c>
      <c r="E16" s="53">
        <v>4.63</v>
      </c>
      <c r="F16" s="53">
        <v>4.0999999999999996</v>
      </c>
      <c r="G16" s="53">
        <v>13.68</v>
      </c>
      <c r="H16" s="53">
        <v>5.4</v>
      </c>
      <c r="I16" s="53">
        <v>2.16</v>
      </c>
      <c r="J16" s="53">
        <v>0.2</v>
      </c>
      <c r="K16" s="53">
        <v>355.23</v>
      </c>
      <c r="L16" s="53">
        <v>24.72</v>
      </c>
      <c r="M16" s="53">
        <v>101.78</v>
      </c>
      <c r="N16" s="53">
        <v>114.9</v>
      </c>
      <c r="O16" s="53">
        <v>0</v>
      </c>
      <c r="P16" s="53">
        <v>0.35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356</v>
      </c>
      <c r="B17" s="53">
        <v>4.29</v>
      </c>
      <c r="C17" s="53">
        <v>3.19</v>
      </c>
      <c r="D17" s="53">
        <v>7.3</v>
      </c>
      <c r="E17" s="53">
        <v>3.42</v>
      </c>
      <c r="F17" s="53">
        <v>4.1900000000000004</v>
      </c>
      <c r="G17" s="53">
        <v>21.94</v>
      </c>
      <c r="H17" s="53">
        <v>10.57</v>
      </c>
      <c r="I17" s="53">
        <v>2.0299999999999998</v>
      </c>
      <c r="J17" s="53">
        <v>0.2</v>
      </c>
      <c r="K17" s="53">
        <v>354.65</v>
      </c>
      <c r="L17" s="53">
        <v>26.98</v>
      </c>
      <c r="M17" s="53">
        <v>101.75</v>
      </c>
      <c r="N17" s="53">
        <v>384.8</v>
      </c>
      <c r="O17" s="53">
        <v>0</v>
      </c>
      <c r="P17" s="53">
        <v>0.44</v>
      </c>
      <c r="Q17" s="53">
        <v>9.64</v>
      </c>
      <c r="R17" s="43"/>
      <c r="S17" s="43"/>
      <c r="T17" s="43"/>
      <c r="U17" s="43"/>
    </row>
    <row r="18" spans="1:21" s="11" customFormat="1" x14ac:dyDescent="0.25">
      <c r="A18" s="52" t="s">
        <v>357</v>
      </c>
      <c r="B18" s="53">
        <v>4.29</v>
      </c>
      <c r="C18" s="53">
        <v>3.22</v>
      </c>
      <c r="D18" s="53">
        <v>7.31</v>
      </c>
      <c r="E18" s="53">
        <v>3.68</v>
      </c>
      <c r="F18" s="53">
        <v>4.5999999999999996</v>
      </c>
      <c r="G18" s="53">
        <v>32.81</v>
      </c>
      <c r="H18" s="53">
        <v>12</v>
      </c>
      <c r="I18" s="53">
        <v>2.2000000000000002</v>
      </c>
      <c r="J18" s="53">
        <v>0.47</v>
      </c>
      <c r="K18" s="53">
        <v>323.68</v>
      </c>
      <c r="L18" s="53">
        <v>32.51</v>
      </c>
      <c r="M18" s="53">
        <v>84.9</v>
      </c>
      <c r="N18" s="53">
        <v>790.2</v>
      </c>
      <c r="O18" s="53">
        <v>0</v>
      </c>
      <c r="P18" s="53">
        <v>0.47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358</v>
      </c>
      <c r="B19" s="53">
        <v>4.3099999999999996</v>
      </c>
      <c r="C19" s="53">
        <v>3.24</v>
      </c>
      <c r="D19" s="53">
        <v>7.33</v>
      </c>
      <c r="E19" s="53">
        <v>3.6</v>
      </c>
      <c r="F19" s="53">
        <v>3.85</v>
      </c>
      <c r="G19" s="53">
        <v>34.61</v>
      </c>
      <c r="H19" s="53">
        <v>18.71</v>
      </c>
      <c r="I19" s="53">
        <v>2.13</v>
      </c>
      <c r="J19" s="53">
        <v>0.62</v>
      </c>
      <c r="K19" s="53">
        <v>322.41000000000003</v>
      </c>
      <c r="L19" s="53">
        <v>33.799999999999997</v>
      </c>
      <c r="M19" s="53">
        <v>65.87</v>
      </c>
      <c r="N19" s="53">
        <v>837.6</v>
      </c>
      <c r="O19" s="53">
        <v>0</v>
      </c>
      <c r="P19" s="53">
        <v>0.47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359</v>
      </c>
      <c r="B20" s="53">
        <v>4.29</v>
      </c>
      <c r="C20" s="53">
        <v>3.19</v>
      </c>
      <c r="D20" s="53">
        <v>7.29</v>
      </c>
      <c r="E20" s="53">
        <v>3.67</v>
      </c>
      <c r="F20" s="53">
        <v>3.78</v>
      </c>
      <c r="G20" s="53">
        <v>34.61</v>
      </c>
      <c r="H20" s="53">
        <v>18.71</v>
      </c>
      <c r="I20" s="53">
        <v>1.86</v>
      </c>
      <c r="J20" s="53">
        <v>0.54</v>
      </c>
      <c r="K20" s="53">
        <v>328.08</v>
      </c>
      <c r="L20" s="53">
        <v>32.36</v>
      </c>
      <c r="M20" s="53">
        <v>71.34</v>
      </c>
      <c r="N20" s="53">
        <v>658.9</v>
      </c>
      <c r="O20" s="53">
        <v>0</v>
      </c>
      <c r="P20" s="53">
        <v>0.47</v>
      </c>
      <c r="Q20" s="53">
        <v>9.64</v>
      </c>
      <c r="R20" s="43"/>
      <c r="S20" s="43"/>
      <c r="T20" s="43"/>
      <c r="U20" s="43"/>
    </row>
    <row r="21" spans="1:21" s="11" customFormat="1" x14ac:dyDescent="0.25">
      <c r="A21" s="52" t="s">
        <v>360</v>
      </c>
      <c r="B21" s="53">
        <v>4.2699999999999996</v>
      </c>
      <c r="C21" s="53">
        <v>3.21</v>
      </c>
      <c r="D21" s="53">
        <v>7.3</v>
      </c>
      <c r="E21" s="53">
        <v>4.54</v>
      </c>
      <c r="F21" s="53">
        <v>4.4000000000000004</v>
      </c>
      <c r="G21" s="53">
        <v>34.01</v>
      </c>
      <c r="H21" s="53">
        <v>17.62</v>
      </c>
      <c r="I21" s="53">
        <v>1.73</v>
      </c>
      <c r="J21" s="53">
        <v>0.52</v>
      </c>
      <c r="K21" s="53">
        <v>324.62</v>
      </c>
      <c r="L21" s="53">
        <v>32.86</v>
      </c>
      <c r="M21" s="53">
        <v>69.53</v>
      </c>
      <c r="N21" s="53">
        <v>667</v>
      </c>
      <c r="O21" s="53">
        <v>0</v>
      </c>
      <c r="P21" s="53">
        <v>0.47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361</v>
      </c>
      <c r="B22" s="53">
        <v>4.28</v>
      </c>
      <c r="C22" s="53">
        <v>3.2</v>
      </c>
      <c r="D22" s="53">
        <v>7.29</v>
      </c>
      <c r="E22" s="53">
        <v>4.5599999999999996</v>
      </c>
      <c r="F22" s="53">
        <v>4.37</v>
      </c>
      <c r="G22" s="53">
        <v>38.65</v>
      </c>
      <c r="H22" s="53">
        <v>11.26</v>
      </c>
      <c r="I22" s="53">
        <v>1.55</v>
      </c>
      <c r="J22" s="53">
        <v>1.61</v>
      </c>
      <c r="K22" s="53">
        <v>337.91</v>
      </c>
      <c r="L22" s="53">
        <v>31.13</v>
      </c>
      <c r="M22" s="53">
        <v>78.27</v>
      </c>
      <c r="N22" s="53">
        <v>334.8</v>
      </c>
      <c r="O22" s="53">
        <v>0</v>
      </c>
      <c r="P22" s="53">
        <v>0.5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362</v>
      </c>
      <c r="B23" s="53">
        <v>4.3099999999999996</v>
      </c>
      <c r="C23" s="53">
        <v>3.22</v>
      </c>
      <c r="D23" s="53">
        <v>7.32</v>
      </c>
      <c r="E23" s="53">
        <v>4.6100000000000003</v>
      </c>
      <c r="F23" s="53">
        <v>3.71</v>
      </c>
      <c r="G23" s="53">
        <v>41.74</v>
      </c>
      <c r="H23" s="53">
        <v>11.26</v>
      </c>
      <c r="I23" s="53">
        <v>1.73</v>
      </c>
      <c r="J23" s="53">
        <v>1.45</v>
      </c>
      <c r="K23" s="53">
        <v>339.12</v>
      </c>
      <c r="L23" s="53">
        <v>29.05</v>
      </c>
      <c r="M23" s="53">
        <v>84.58</v>
      </c>
      <c r="N23" s="53">
        <v>267.39999999999998</v>
      </c>
      <c r="O23" s="53">
        <v>0</v>
      </c>
      <c r="P23" s="53">
        <v>0.54</v>
      </c>
      <c r="Q23" s="53">
        <v>9.66</v>
      </c>
      <c r="R23" s="43"/>
      <c r="S23" s="43"/>
      <c r="T23" s="43"/>
      <c r="U23" s="43"/>
    </row>
    <row r="24" spans="1:21" s="11" customFormat="1" x14ac:dyDescent="0.25">
      <c r="A24" s="52" t="s">
        <v>363</v>
      </c>
      <c r="B24" s="53">
        <v>4.3</v>
      </c>
      <c r="C24" s="53">
        <v>3.21</v>
      </c>
      <c r="D24" s="53">
        <v>7.32</v>
      </c>
      <c r="E24" s="53">
        <v>4.7</v>
      </c>
      <c r="F24" s="53">
        <v>4.2300000000000004</v>
      </c>
      <c r="G24" s="53">
        <v>41.74</v>
      </c>
      <c r="H24" s="53">
        <v>11.78</v>
      </c>
      <c r="I24" s="53">
        <v>2.13</v>
      </c>
      <c r="J24" s="53">
        <v>0.18</v>
      </c>
      <c r="K24" s="53">
        <v>338.67</v>
      </c>
      <c r="L24" s="53">
        <v>27.46</v>
      </c>
      <c r="M24" s="53">
        <v>94.51</v>
      </c>
      <c r="N24" s="53">
        <v>180.4</v>
      </c>
      <c r="O24" s="53">
        <v>0</v>
      </c>
      <c r="P24" s="53">
        <v>0.54</v>
      </c>
      <c r="Q24" s="53">
        <v>9.7100000000000009</v>
      </c>
      <c r="R24" s="43"/>
      <c r="S24" s="43"/>
      <c r="T24" s="43"/>
      <c r="U24" s="43"/>
    </row>
    <row r="25" spans="1:21" s="11" customFormat="1" x14ac:dyDescent="0.25">
      <c r="A25" s="52" t="s">
        <v>364</v>
      </c>
      <c r="B25" s="53">
        <v>4.3</v>
      </c>
      <c r="C25" s="53">
        <v>3.24</v>
      </c>
      <c r="D25" s="53">
        <v>7.33</v>
      </c>
      <c r="E25" s="53">
        <v>4.74</v>
      </c>
      <c r="F25" s="53">
        <v>4.75</v>
      </c>
      <c r="G25" s="53">
        <v>38.76</v>
      </c>
      <c r="H25" s="53">
        <v>12.14</v>
      </c>
      <c r="I25" s="53">
        <v>2.38</v>
      </c>
      <c r="J25" s="53">
        <v>0.13</v>
      </c>
      <c r="K25" s="53">
        <v>350.82</v>
      </c>
      <c r="L25" s="53">
        <v>26.42</v>
      </c>
      <c r="M25" s="53">
        <v>93.62</v>
      </c>
      <c r="N25" s="53">
        <v>119.7</v>
      </c>
      <c r="O25" s="53">
        <v>0</v>
      </c>
      <c r="P25" s="53">
        <v>0.53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365</v>
      </c>
      <c r="B26" s="53">
        <v>4.26</v>
      </c>
      <c r="C26" s="53">
        <v>3.21</v>
      </c>
      <c r="D26" s="53">
        <v>7.28</v>
      </c>
      <c r="E26" s="53">
        <v>4.6900000000000004</v>
      </c>
      <c r="F26" s="53">
        <v>4.45</v>
      </c>
      <c r="G26" s="53">
        <v>38.76</v>
      </c>
      <c r="H26" s="53">
        <v>14.33</v>
      </c>
      <c r="I26" s="53">
        <v>2.2799999999999998</v>
      </c>
      <c r="J26" s="53">
        <v>0.53</v>
      </c>
      <c r="K26" s="53">
        <v>326.97000000000003</v>
      </c>
      <c r="L26" s="53">
        <v>26.96</v>
      </c>
      <c r="M26" s="53">
        <v>91.44</v>
      </c>
      <c r="N26" s="53">
        <v>85</v>
      </c>
      <c r="O26" s="53">
        <v>0</v>
      </c>
      <c r="P26" s="53">
        <v>0.53</v>
      </c>
      <c r="Q26" s="53">
        <v>9.6</v>
      </c>
      <c r="R26" s="43"/>
      <c r="S26" s="43"/>
      <c r="T26" s="43"/>
      <c r="U26" s="43"/>
    </row>
    <row r="27" spans="1:21" s="11" customFormat="1" x14ac:dyDescent="0.25">
      <c r="A27" s="52" t="s">
        <v>366</v>
      </c>
      <c r="B27" s="53">
        <v>4.3</v>
      </c>
      <c r="C27" s="53">
        <v>3.24</v>
      </c>
      <c r="D27" s="53">
        <v>7.33</v>
      </c>
      <c r="E27" s="53">
        <v>4.76</v>
      </c>
      <c r="F27" s="53">
        <v>3.62</v>
      </c>
      <c r="G27" s="53">
        <v>37.880000000000003</v>
      </c>
      <c r="H27" s="53">
        <v>14.33</v>
      </c>
      <c r="I27" s="53">
        <v>2.04</v>
      </c>
      <c r="J27" s="53">
        <v>0.23</v>
      </c>
      <c r="K27" s="53">
        <v>352.41</v>
      </c>
      <c r="L27" s="53">
        <v>26.24</v>
      </c>
      <c r="M27" s="53">
        <v>94.96</v>
      </c>
      <c r="N27" s="53">
        <v>43.2</v>
      </c>
      <c r="O27" s="53">
        <v>0</v>
      </c>
      <c r="P27" s="53">
        <v>0.55000000000000004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367</v>
      </c>
      <c r="B28" s="53">
        <v>4.3099999999999996</v>
      </c>
      <c r="C28" s="53">
        <v>3.2</v>
      </c>
      <c r="D28" s="53">
        <v>7.32</v>
      </c>
      <c r="E28" s="53">
        <v>4.95</v>
      </c>
      <c r="F28" s="53">
        <v>3.98</v>
      </c>
      <c r="G28" s="53">
        <v>37.880000000000003</v>
      </c>
      <c r="H28" s="53">
        <v>6.86</v>
      </c>
      <c r="I28" s="53">
        <v>2.0699999999999998</v>
      </c>
      <c r="J28" s="53">
        <v>0.3</v>
      </c>
      <c r="K28" s="53">
        <v>333.8</v>
      </c>
      <c r="L28" s="53">
        <v>25.66</v>
      </c>
      <c r="M28" s="53">
        <v>97.11</v>
      </c>
      <c r="N28" s="53">
        <v>37.799999999999997</v>
      </c>
      <c r="O28" s="53">
        <v>0</v>
      </c>
      <c r="P28" s="53">
        <v>0.51</v>
      </c>
      <c r="Q28" s="53">
        <v>9.7200000000000006</v>
      </c>
      <c r="R28" s="43"/>
      <c r="S28" s="43"/>
      <c r="T28" s="43"/>
      <c r="U28" s="43"/>
    </row>
    <row r="29" spans="1:21" s="11" customFormat="1" x14ac:dyDescent="0.25">
      <c r="A29" s="52" t="s">
        <v>368</v>
      </c>
      <c r="B29" s="53">
        <v>4.2699999999999996</v>
      </c>
      <c r="C29" s="53">
        <v>3.21</v>
      </c>
      <c r="D29" s="53">
        <v>7.29</v>
      </c>
      <c r="E29" s="53">
        <v>3.94</v>
      </c>
      <c r="F29" s="53">
        <v>4.43</v>
      </c>
      <c r="G29" s="53">
        <v>44.25</v>
      </c>
      <c r="H29" s="53">
        <v>3.29</v>
      </c>
      <c r="I29" s="53">
        <v>2.15</v>
      </c>
      <c r="J29" s="53">
        <v>0.24</v>
      </c>
      <c r="K29" s="53">
        <v>344.65</v>
      </c>
      <c r="L29" s="53">
        <v>25.36</v>
      </c>
      <c r="M29" s="53">
        <v>97.52</v>
      </c>
      <c r="N29" s="53">
        <v>37.799999999999997</v>
      </c>
      <c r="O29" s="53">
        <v>0</v>
      </c>
      <c r="P29" s="53">
        <v>0.56999999999999995</v>
      </c>
      <c r="Q29" s="53">
        <v>9.73</v>
      </c>
      <c r="R29" s="43"/>
      <c r="S29" s="43"/>
      <c r="T29" s="43"/>
      <c r="U29" s="43"/>
    </row>
    <row r="30" spans="1:21" s="11" customFormat="1" x14ac:dyDescent="0.25">
      <c r="A30" s="52" t="s">
        <v>369</v>
      </c>
      <c r="B30" s="53">
        <v>4.28</v>
      </c>
      <c r="C30" s="53">
        <v>3.22</v>
      </c>
      <c r="D30" s="53">
        <v>7.31</v>
      </c>
      <c r="E30" s="53">
        <v>3.94</v>
      </c>
      <c r="F30" s="53">
        <v>3.99</v>
      </c>
      <c r="G30" s="53">
        <v>48.69</v>
      </c>
      <c r="H30" s="53">
        <v>24.17</v>
      </c>
      <c r="I30" s="53">
        <v>2.48</v>
      </c>
      <c r="J30" s="53">
        <v>0.28000000000000003</v>
      </c>
      <c r="K30" s="53">
        <v>336.27</v>
      </c>
      <c r="L30" s="53">
        <v>25.04</v>
      </c>
      <c r="M30" s="53">
        <v>99.68</v>
      </c>
      <c r="N30" s="53">
        <v>37.799999999999997</v>
      </c>
      <c r="O30" s="53">
        <v>0</v>
      </c>
      <c r="P30" s="53">
        <v>0.61</v>
      </c>
      <c r="Q30" s="53">
        <v>9.73</v>
      </c>
      <c r="R30" s="43"/>
      <c r="S30" s="43"/>
      <c r="T30" s="43"/>
      <c r="U30" s="43"/>
    </row>
    <row r="31" spans="1:21" s="11" customFormat="1" x14ac:dyDescent="0.25">
      <c r="A31" s="52" t="s">
        <v>370</v>
      </c>
      <c r="B31" s="53">
        <v>4.32</v>
      </c>
      <c r="C31" s="53">
        <v>3.25</v>
      </c>
      <c r="D31" s="53">
        <v>7.35</v>
      </c>
      <c r="E31" s="53">
        <v>3.68</v>
      </c>
      <c r="F31" s="53">
        <v>3.78</v>
      </c>
      <c r="G31" s="53">
        <v>48.69</v>
      </c>
      <c r="H31" s="53">
        <v>24.17</v>
      </c>
      <c r="I31" s="53">
        <v>2.52</v>
      </c>
      <c r="J31" s="53">
        <v>0.21</v>
      </c>
      <c r="K31" s="53">
        <v>348.1</v>
      </c>
      <c r="L31" s="53">
        <v>25.06</v>
      </c>
      <c r="M31" s="53">
        <v>99.95</v>
      </c>
      <c r="N31" s="53">
        <v>38</v>
      </c>
      <c r="O31" s="53">
        <v>0</v>
      </c>
      <c r="P31" s="53">
        <v>0.6</v>
      </c>
      <c r="Q31" s="53">
        <v>9.8000000000000007</v>
      </c>
      <c r="R31" s="43"/>
      <c r="S31" s="43"/>
      <c r="T31" s="43"/>
      <c r="U31" s="43"/>
    </row>
    <row r="32" spans="1:21" s="11" customFormat="1" x14ac:dyDescent="0.25">
      <c r="A32" s="52" t="s">
        <v>371</v>
      </c>
      <c r="B32" s="53">
        <v>4.3</v>
      </c>
      <c r="C32" s="53">
        <v>3.22</v>
      </c>
      <c r="D32" s="53">
        <v>7.31</v>
      </c>
      <c r="E32" s="53">
        <v>4.16</v>
      </c>
      <c r="F32" s="53">
        <v>3.53</v>
      </c>
      <c r="G32" s="53">
        <v>44.62</v>
      </c>
      <c r="H32" s="53">
        <v>16.05</v>
      </c>
      <c r="I32" s="53">
        <v>2.85</v>
      </c>
      <c r="J32" s="53">
        <v>0.21</v>
      </c>
      <c r="K32" s="53">
        <v>353.23</v>
      </c>
      <c r="L32" s="53">
        <v>24.81</v>
      </c>
      <c r="M32" s="53">
        <v>101.74</v>
      </c>
      <c r="N32" s="53">
        <v>37.9</v>
      </c>
      <c r="O32" s="53">
        <v>0</v>
      </c>
      <c r="P32" s="53">
        <v>0.59</v>
      </c>
      <c r="Q32" s="53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4.25</v>
      </c>
      <c r="C34" s="28">
        <f t="shared" si="0"/>
        <v>3.11</v>
      </c>
      <c r="D34" s="28">
        <f t="shared" si="0"/>
        <v>7.23</v>
      </c>
      <c r="E34" s="28">
        <f t="shared" si="0"/>
        <v>3.42</v>
      </c>
      <c r="F34" s="28">
        <f t="shared" si="0"/>
        <v>3.53</v>
      </c>
      <c r="G34" s="28">
        <f t="shared" si="0"/>
        <v>13.68</v>
      </c>
      <c r="H34" s="28">
        <f t="shared" si="0"/>
        <v>3.29</v>
      </c>
      <c r="I34" s="28">
        <f t="shared" si="0"/>
        <v>1.55</v>
      </c>
      <c r="J34" s="28">
        <f t="shared" si="0"/>
        <v>0.1</v>
      </c>
      <c r="K34" s="28">
        <f t="shared" si="0"/>
        <v>8.6999999999999993</v>
      </c>
      <c r="L34" s="28">
        <f t="shared" si="0"/>
        <v>23.91</v>
      </c>
      <c r="M34" s="28">
        <f t="shared" si="0"/>
        <v>65.87</v>
      </c>
      <c r="N34" s="28">
        <f t="shared" si="0"/>
        <v>37.799999999999997</v>
      </c>
      <c r="O34" s="28">
        <f t="shared" si="0"/>
        <v>0</v>
      </c>
      <c r="P34" s="28">
        <f t="shared" si="0"/>
        <v>0.28999999999999998</v>
      </c>
      <c r="Q34" s="28">
        <f t="shared" si="0"/>
        <v>9.58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4.33</v>
      </c>
      <c r="C35" s="29">
        <f t="shared" si="1"/>
        <v>3.25</v>
      </c>
      <c r="D35" s="29">
        <f t="shared" si="1"/>
        <v>7.35</v>
      </c>
      <c r="E35" s="29">
        <f t="shared" si="1"/>
        <v>5.01</v>
      </c>
      <c r="F35" s="29">
        <f t="shared" si="1"/>
        <v>4.75</v>
      </c>
      <c r="G35" s="29">
        <f t="shared" si="1"/>
        <v>48.69</v>
      </c>
      <c r="H35" s="29">
        <f t="shared" si="1"/>
        <v>24.17</v>
      </c>
      <c r="I35" s="29">
        <f t="shared" si="1"/>
        <v>3.41</v>
      </c>
      <c r="J35" s="29">
        <f t="shared" si="1"/>
        <v>1.61</v>
      </c>
      <c r="K35" s="29">
        <f t="shared" si="1"/>
        <v>359.31</v>
      </c>
      <c r="L35" s="29">
        <f t="shared" si="1"/>
        <v>33.799999999999997</v>
      </c>
      <c r="M35" s="29">
        <f t="shared" si="1"/>
        <v>101.82</v>
      </c>
      <c r="N35" s="29">
        <f t="shared" si="1"/>
        <v>837.6</v>
      </c>
      <c r="O35" s="29">
        <f t="shared" si="1"/>
        <v>0</v>
      </c>
      <c r="P35" s="29">
        <f t="shared" si="1"/>
        <v>0.64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4.2904166666666672</v>
      </c>
      <c r="C36" s="28">
        <f t="shared" si="2"/>
        <v>3.2025000000000001</v>
      </c>
      <c r="D36" s="28">
        <f t="shared" si="2"/>
        <v>7.3008333333333333</v>
      </c>
      <c r="E36" s="28">
        <f t="shared" si="2"/>
        <v>4.4095833333333339</v>
      </c>
      <c r="F36" s="28">
        <f t="shared" si="2"/>
        <v>4.0225</v>
      </c>
      <c r="G36" s="28">
        <f t="shared" si="2"/>
        <v>33.372916666666676</v>
      </c>
      <c r="H36" s="28">
        <f t="shared" si="2"/>
        <v>12.068750000000001</v>
      </c>
      <c r="I36" s="28">
        <f t="shared" si="2"/>
        <v>2.3054166666666664</v>
      </c>
      <c r="J36" s="28">
        <f t="shared" si="2"/>
        <v>0.37208333333333338</v>
      </c>
      <c r="K36" s="28">
        <f t="shared" si="2"/>
        <v>328.19499999999994</v>
      </c>
      <c r="L36" s="28">
        <f t="shared" si="2"/>
        <v>26.934166666666659</v>
      </c>
      <c r="M36" s="28">
        <f t="shared" si="2"/>
        <v>93.379166666666649</v>
      </c>
      <c r="N36" s="28">
        <f t="shared" si="2"/>
        <v>207.77916666666661</v>
      </c>
      <c r="O36" s="28">
        <f t="shared" si="2"/>
        <v>0</v>
      </c>
      <c r="P36" s="28">
        <f t="shared" si="2"/>
        <v>0.48499999999999993</v>
      </c>
      <c r="Q36" s="28">
        <f t="shared" si="2"/>
        <v>9.6716666666666651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1.9666605256597802E-2</v>
      </c>
      <c r="C37" s="28">
        <f t="shared" ref="C37:Q37" si="3">STDEV(C9:C32)</f>
        <v>3.1102914724312099E-2</v>
      </c>
      <c r="D37" s="28">
        <f t="shared" si="3"/>
        <v>2.7013147630876592E-2</v>
      </c>
      <c r="E37" s="28">
        <f t="shared" si="3"/>
        <v>0.49989980880229951</v>
      </c>
      <c r="F37" s="28">
        <f t="shared" si="3"/>
        <v>0.36476615498986059</v>
      </c>
      <c r="G37" s="28">
        <f t="shared" si="3"/>
        <v>10.382637044255812</v>
      </c>
      <c r="H37" s="28">
        <f t="shared" si="3"/>
        <v>6.1135326103866383</v>
      </c>
      <c r="I37" s="28">
        <f t="shared" si="3"/>
        <v>0.42379218827224802</v>
      </c>
      <c r="J37" s="28">
        <f t="shared" si="3"/>
        <v>0.38836311075731872</v>
      </c>
      <c r="K37" s="28">
        <f t="shared" si="3"/>
        <v>68.97832432066609</v>
      </c>
      <c r="L37" s="28">
        <f t="shared" si="3"/>
        <v>3.2065380446650695</v>
      </c>
      <c r="M37" s="28">
        <f t="shared" si="3"/>
        <v>11.452151085833497</v>
      </c>
      <c r="N37" s="28">
        <f t="shared" si="3"/>
        <v>263.13981401721503</v>
      </c>
      <c r="O37" s="28">
        <f t="shared" si="3"/>
        <v>0</v>
      </c>
      <c r="P37" s="28">
        <f t="shared" si="3"/>
        <v>9.3761955759391377E-2</v>
      </c>
      <c r="Q37" s="28">
        <f t="shared" si="3"/>
        <v>7.032017872724669E-2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372</v>
      </c>
      <c r="B9" s="53">
        <v>4.29</v>
      </c>
      <c r="C9" s="53">
        <v>3.23</v>
      </c>
      <c r="D9" s="53">
        <v>7.32</v>
      </c>
      <c r="E9" s="53">
        <v>4.82</v>
      </c>
      <c r="F9" s="53">
        <v>4.2300000000000004</v>
      </c>
      <c r="G9" s="53">
        <v>44.62</v>
      </c>
      <c r="H9" s="53">
        <v>14.75</v>
      </c>
      <c r="I9" s="53">
        <v>2.88</v>
      </c>
      <c r="J9" s="53">
        <v>0.21</v>
      </c>
      <c r="K9" s="53">
        <v>332.45</v>
      </c>
      <c r="L9" s="53">
        <v>24.46</v>
      </c>
      <c r="M9" s="53">
        <v>101.75</v>
      </c>
      <c r="N9" s="53">
        <v>37.799999999999997</v>
      </c>
      <c r="O9" s="53">
        <v>0</v>
      </c>
      <c r="P9" s="53">
        <v>0.56000000000000005</v>
      </c>
      <c r="Q9" s="53">
        <v>9.81</v>
      </c>
      <c r="R9" s="43"/>
      <c r="S9" s="43"/>
      <c r="T9" s="43"/>
      <c r="U9" s="43"/>
    </row>
    <row r="10" spans="1:21" s="11" customFormat="1" x14ac:dyDescent="0.25">
      <c r="A10" s="52" t="s">
        <v>373</v>
      </c>
      <c r="B10" s="53">
        <v>4.26</v>
      </c>
      <c r="C10" s="53">
        <v>3.2</v>
      </c>
      <c r="D10" s="53">
        <v>7.28</v>
      </c>
      <c r="E10" s="53">
        <v>4.8099999999999996</v>
      </c>
      <c r="F10" s="53">
        <v>4.05</v>
      </c>
      <c r="G10" s="53">
        <v>44.26</v>
      </c>
      <c r="H10" s="53">
        <v>17.559999999999999</v>
      </c>
      <c r="I10" s="53">
        <v>2.77</v>
      </c>
      <c r="J10" s="53">
        <v>0.21</v>
      </c>
      <c r="K10" s="53">
        <v>320.81</v>
      </c>
      <c r="L10" s="53">
        <v>24.1</v>
      </c>
      <c r="M10" s="53">
        <v>101.75</v>
      </c>
      <c r="N10" s="53">
        <v>37.799999999999997</v>
      </c>
      <c r="O10" s="53">
        <v>0</v>
      </c>
      <c r="P10" s="53">
        <v>0.51</v>
      </c>
      <c r="Q10" s="53">
        <v>9.7200000000000006</v>
      </c>
      <c r="R10" s="43"/>
      <c r="S10" s="43"/>
      <c r="T10" s="43"/>
      <c r="U10" s="43"/>
    </row>
    <row r="11" spans="1:21" s="11" customFormat="1" x14ac:dyDescent="0.25">
      <c r="A11" s="52" t="s">
        <v>374</v>
      </c>
      <c r="B11" s="53">
        <v>4.28</v>
      </c>
      <c r="C11" s="53">
        <v>3.23</v>
      </c>
      <c r="D11" s="53">
        <v>7.29</v>
      </c>
      <c r="E11" s="53">
        <v>4.7300000000000004</v>
      </c>
      <c r="F11" s="53">
        <v>3.43</v>
      </c>
      <c r="G11" s="53">
        <v>43.23</v>
      </c>
      <c r="H11" s="53">
        <v>17.559999999999999</v>
      </c>
      <c r="I11" s="53">
        <v>2.7</v>
      </c>
      <c r="J11" s="53">
        <v>0.2</v>
      </c>
      <c r="K11" s="53">
        <v>330.4</v>
      </c>
      <c r="L11" s="53">
        <v>23.86</v>
      </c>
      <c r="M11" s="53">
        <v>101.79</v>
      </c>
      <c r="N11" s="53">
        <v>37.700000000000003</v>
      </c>
      <c r="O11" s="53">
        <v>0</v>
      </c>
      <c r="P11" s="53">
        <v>0.48</v>
      </c>
      <c r="Q11" s="53">
        <v>9.7100000000000009</v>
      </c>
      <c r="R11" s="43"/>
      <c r="S11" s="43"/>
      <c r="T11" s="43"/>
      <c r="U11" s="43"/>
    </row>
    <row r="12" spans="1:21" s="11" customFormat="1" x14ac:dyDescent="0.25">
      <c r="A12" s="52" t="s">
        <v>375</v>
      </c>
      <c r="B12" s="53">
        <v>4.29</v>
      </c>
      <c r="C12" s="53">
        <v>3.19</v>
      </c>
      <c r="D12" s="53">
        <v>7.29</v>
      </c>
      <c r="E12" s="53">
        <v>5.46</v>
      </c>
      <c r="F12" s="53">
        <v>3.45</v>
      </c>
      <c r="G12" s="53">
        <v>42.02</v>
      </c>
      <c r="H12" s="53">
        <v>17.11</v>
      </c>
      <c r="I12" s="53">
        <v>2.52</v>
      </c>
      <c r="J12" s="53">
        <v>0.15</v>
      </c>
      <c r="K12" s="53">
        <v>351.05</v>
      </c>
      <c r="L12" s="53">
        <v>23.89</v>
      </c>
      <c r="M12" s="53">
        <v>101.78</v>
      </c>
      <c r="N12" s="53">
        <v>37.799999999999997</v>
      </c>
      <c r="O12" s="53">
        <v>0</v>
      </c>
      <c r="P12" s="53">
        <v>0.43</v>
      </c>
      <c r="Q12" s="53">
        <v>9.69</v>
      </c>
      <c r="R12" s="43"/>
      <c r="S12" s="43"/>
      <c r="T12" s="43"/>
      <c r="U12" s="43"/>
    </row>
    <row r="13" spans="1:21" s="11" customFormat="1" x14ac:dyDescent="0.25">
      <c r="A13" s="52" t="s">
        <v>376</v>
      </c>
      <c r="B13" s="53">
        <v>4.2699999999999996</v>
      </c>
      <c r="C13" s="53">
        <v>3.19</v>
      </c>
      <c r="D13" s="53">
        <v>7.28</v>
      </c>
      <c r="E13" s="53">
        <v>5.36</v>
      </c>
      <c r="F13" s="53">
        <v>3.55</v>
      </c>
      <c r="G13" s="53">
        <v>43.01</v>
      </c>
      <c r="H13" s="53">
        <v>17.11</v>
      </c>
      <c r="I13" s="53">
        <v>3.56</v>
      </c>
      <c r="J13" s="53">
        <v>0.09</v>
      </c>
      <c r="K13" s="53">
        <v>320.7</v>
      </c>
      <c r="L13" s="53">
        <v>23.37</v>
      </c>
      <c r="M13" s="53">
        <v>101.82</v>
      </c>
      <c r="N13" s="53">
        <v>37.700000000000003</v>
      </c>
      <c r="O13" s="53">
        <v>0</v>
      </c>
      <c r="P13" s="53">
        <v>0.45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377</v>
      </c>
      <c r="B14" s="53">
        <v>4.25</v>
      </c>
      <c r="C14" s="53">
        <v>3.2</v>
      </c>
      <c r="D14" s="53">
        <v>7.27</v>
      </c>
      <c r="E14" s="53">
        <v>5.38</v>
      </c>
      <c r="F14" s="53">
        <v>3.84</v>
      </c>
      <c r="G14" s="53">
        <v>43.01</v>
      </c>
      <c r="H14" s="53">
        <v>15.18</v>
      </c>
      <c r="I14" s="53">
        <v>3.71</v>
      </c>
      <c r="J14" s="53">
        <v>0.17</v>
      </c>
      <c r="K14" s="53">
        <v>359.05</v>
      </c>
      <c r="L14" s="53">
        <v>23.15</v>
      </c>
      <c r="M14" s="53">
        <v>101.83</v>
      </c>
      <c r="N14" s="53">
        <v>40.700000000000003</v>
      </c>
      <c r="O14" s="53">
        <v>0</v>
      </c>
      <c r="P14" s="53">
        <v>0.45</v>
      </c>
      <c r="Q14" s="53">
        <v>9.66</v>
      </c>
      <c r="R14" s="43"/>
      <c r="S14" s="43"/>
      <c r="T14" s="43"/>
      <c r="U14" s="43"/>
    </row>
    <row r="15" spans="1:21" s="11" customFormat="1" x14ac:dyDescent="0.25">
      <c r="A15" s="52" t="s">
        <v>378</v>
      </c>
      <c r="B15" s="53">
        <v>4.2699999999999996</v>
      </c>
      <c r="C15" s="53">
        <v>3.19</v>
      </c>
      <c r="D15" s="53">
        <v>7.28</v>
      </c>
      <c r="E15" s="53">
        <v>5.15</v>
      </c>
      <c r="F15" s="53">
        <v>3.6</v>
      </c>
      <c r="G15" s="53">
        <v>43.98</v>
      </c>
      <c r="H15" s="53">
        <v>12.48</v>
      </c>
      <c r="I15" s="53">
        <v>3.29</v>
      </c>
      <c r="J15" s="53">
        <v>0.16</v>
      </c>
      <c r="K15" s="53">
        <v>352.67</v>
      </c>
      <c r="L15" s="53">
        <v>23.75</v>
      </c>
      <c r="M15" s="53">
        <v>101.83</v>
      </c>
      <c r="N15" s="53">
        <v>107.5</v>
      </c>
      <c r="O15" s="53">
        <v>0</v>
      </c>
      <c r="P15" s="53">
        <v>0.43</v>
      </c>
      <c r="Q15" s="53">
        <v>9.68</v>
      </c>
      <c r="R15" s="43"/>
      <c r="S15" s="43"/>
      <c r="T15" s="43"/>
      <c r="U15" s="43"/>
    </row>
    <row r="16" spans="1:21" s="11" customFormat="1" x14ac:dyDescent="0.25">
      <c r="A16" s="52" t="s">
        <v>379</v>
      </c>
      <c r="B16" s="53">
        <v>4.3099999999999996</v>
      </c>
      <c r="C16" s="53">
        <v>3.19</v>
      </c>
      <c r="D16" s="53">
        <v>7.31</v>
      </c>
      <c r="E16" s="53">
        <v>5.05</v>
      </c>
      <c r="F16" s="53">
        <v>3.32</v>
      </c>
      <c r="G16" s="53">
        <v>43.98</v>
      </c>
      <c r="H16" s="53">
        <v>10.47</v>
      </c>
      <c r="I16" s="53">
        <v>2.99</v>
      </c>
      <c r="J16" s="53">
        <v>0.2</v>
      </c>
      <c r="K16" s="53">
        <v>354.14</v>
      </c>
      <c r="L16" s="53">
        <v>25.3</v>
      </c>
      <c r="M16" s="53">
        <v>101.8</v>
      </c>
      <c r="N16" s="53">
        <v>180.9</v>
      </c>
      <c r="O16" s="53">
        <v>0</v>
      </c>
      <c r="P16" s="53">
        <v>0.45</v>
      </c>
      <c r="Q16" s="53">
        <v>9.7200000000000006</v>
      </c>
      <c r="R16" s="43"/>
      <c r="S16" s="43"/>
      <c r="T16" s="43"/>
      <c r="U16" s="43"/>
    </row>
    <row r="17" spans="1:21" s="11" customFormat="1" x14ac:dyDescent="0.25">
      <c r="A17" s="52" t="s">
        <v>380</v>
      </c>
      <c r="B17" s="53">
        <v>4.34</v>
      </c>
      <c r="C17" s="53">
        <v>3.24</v>
      </c>
      <c r="D17" s="53">
        <v>7.36</v>
      </c>
      <c r="E17" s="53">
        <v>4.34</v>
      </c>
      <c r="F17" s="53">
        <v>4.1500000000000004</v>
      </c>
      <c r="G17" s="53">
        <v>45.34</v>
      </c>
      <c r="H17" s="53">
        <v>12.33</v>
      </c>
      <c r="I17" s="53">
        <v>3.19</v>
      </c>
      <c r="J17" s="53">
        <v>0.24</v>
      </c>
      <c r="K17" s="53">
        <v>349.55</v>
      </c>
      <c r="L17" s="53">
        <v>26.01</v>
      </c>
      <c r="M17" s="53">
        <v>101.75</v>
      </c>
      <c r="N17" s="53">
        <v>170.4</v>
      </c>
      <c r="O17" s="53">
        <v>0</v>
      </c>
      <c r="P17" s="53">
        <v>0.5</v>
      </c>
      <c r="Q17" s="53">
        <v>9.77</v>
      </c>
      <c r="R17" s="43"/>
      <c r="S17" s="43"/>
      <c r="T17" s="43"/>
      <c r="U17" s="43"/>
    </row>
    <row r="18" spans="1:21" s="11" customFormat="1" x14ac:dyDescent="0.25">
      <c r="A18" s="52" t="s">
        <v>381</v>
      </c>
      <c r="B18" s="53">
        <v>4.29</v>
      </c>
      <c r="C18" s="53">
        <v>3.19</v>
      </c>
      <c r="D18" s="53">
        <v>7.3</v>
      </c>
      <c r="E18" s="53">
        <v>4.32</v>
      </c>
      <c r="F18" s="53">
        <v>4.05</v>
      </c>
      <c r="G18" s="53">
        <v>48.74</v>
      </c>
      <c r="H18" s="53">
        <v>12.33</v>
      </c>
      <c r="I18" s="53">
        <v>3.22</v>
      </c>
      <c r="J18" s="53">
        <v>0.5</v>
      </c>
      <c r="K18" s="53">
        <v>323.27</v>
      </c>
      <c r="L18" s="53">
        <v>26.89</v>
      </c>
      <c r="M18" s="53">
        <v>92.81</v>
      </c>
      <c r="N18" s="53">
        <v>243.6</v>
      </c>
      <c r="O18" s="53">
        <v>0</v>
      </c>
      <c r="P18" s="53">
        <v>0.51</v>
      </c>
      <c r="Q18" s="53">
        <v>9.75</v>
      </c>
      <c r="R18" s="43"/>
      <c r="S18" s="43"/>
      <c r="T18" s="43"/>
      <c r="U18" s="43"/>
    </row>
    <row r="19" spans="1:21" s="11" customFormat="1" x14ac:dyDescent="0.25">
      <c r="A19" s="52" t="s">
        <v>382</v>
      </c>
      <c r="B19" s="53">
        <v>4.32</v>
      </c>
      <c r="C19" s="53">
        <v>3.27</v>
      </c>
      <c r="D19" s="53">
        <v>7.36</v>
      </c>
      <c r="E19" s="53">
        <v>4.29</v>
      </c>
      <c r="F19" s="53">
        <v>4.58</v>
      </c>
      <c r="G19" s="53">
        <v>51.54</v>
      </c>
      <c r="H19" s="53">
        <v>12.62</v>
      </c>
      <c r="I19" s="53">
        <v>2.86</v>
      </c>
      <c r="J19" s="53">
        <v>0.56999999999999995</v>
      </c>
      <c r="K19" s="53">
        <v>323.62</v>
      </c>
      <c r="L19" s="53">
        <v>28.09</v>
      </c>
      <c r="M19" s="53">
        <v>86.9</v>
      </c>
      <c r="N19" s="53">
        <v>284.5</v>
      </c>
      <c r="O19" s="53">
        <v>0</v>
      </c>
      <c r="P19" s="53">
        <v>0.5</v>
      </c>
      <c r="Q19" s="53">
        <v>9.7799999999999994</v>
      </c>
      <c r="R19" s="43"/>
      <c r="S19" s="43"/>
      <c r="T19" s="43"/>
      <c r="U19" s="43"/>
    </row>
    <row r="20" spans="1:21" s="11" customFormat="1" x14ac:dyDescent="0.25">
      <c r="A20" s="52" t="s">
        <v>383</v>
      </c>
      <c r="B20" s="53">
        <v>4.29</v>
      </c>
      <c r="C20" s="53">
        <v>3.29</v>
      </c>
      <c r="D20" s="53">
        <v>7.34</v>
      </c>
      <c r="E20" s="53">
        <v>4.84</v>
      </c>
      <c r="F20" s="53">
        <v>6.3</v>
      </c>
      <c r="G20" s="55" t="s">
        <v>8</v>
      </c>
      <c r="H20" s="55" t="s">
        <v>8</v>
      </c>
      <c r="I20" s="53">
        <v>2.4300000000000002</v>
      </c>
      <c r="J20" s="53">
        <v>0.99</v>
      </c>
      <c r="K20" s="53">
        <v>327.89</v>
      </c>
      <c r="L20" s="53">
        <v>29.23</v>
      </c>
      <c r="M20" s="53">
        <v>81.96</v>
      </c>
      <c r="N20" s="53">
        <v>526.20000000000005</v>
      </c>
      <c r="O20" s="53">
        <v>0</v>
      </c>
      <c r="P20" s="53">
        <v>0.5</v>
      </c>
      <c r="Q20" s="53">
        <v>9.67</v>
      </c>
      <c r="R20" s="43"/>
      <c r="S20" s="43"/>
      <c r="T20" s="43"/>
      <c r="U20" s="43"/>
    </row>
    <row r="21" spans="1:21" s="11" customFormat="1" x14ac:dyDescent="0.25">
      <c r="A21" s="52" t="s">
        <v>384</v>
      </c>
      <c r="B21" s="53">
        <v>4.26</v>
      </c>
      <c r="C21" s="53">
        <v>3.18</v>
      </c>
      <c r="D21" s="53">
        <v>7.27</v>
      </c>
      <c r="E21" s="53">
        <v>4.51</v>
      </c>
      <c r="F21" s="53">
        <v>5.96</v>
      </c>
      <c r="G21" s="55" t="s">
        <v>8</v>
      </c>
      <c r="H21" s="55" t="s">
        <v>8</v>
      </c>
      <c r="I21" s="53">
        <v>1.31</v>
      </c>
      <c r="J21" s="53">
        <v>1.37</v>
      </c>
      <c r="K21" s="53">
        <v>324.25</v>
      </c>
      <c r="L21" s="53">
        <v>30</v>
      </c>
      <c r="M21" s="53">
        <v>73.569999999999993</v>
      </c>
      <c r="N21" s="53">
        <v>552.4</v>
      </c>
      <c r="O21" s="53">
        <v>0</v>
      </c>
      <c r="P21" s="53">
        <v>0.43</v>
      </c>
      <c r="Q21" s="53">
        <v>9.57</v>
      </c>
      <c r="R21" s="43"/>
      <c r="S21" s="43"/>
      <c r="T21" s="43"/>
      <c r="U21" s="43"/>
    </row>
    <row r="22" spans="1:21" s="11" customFormat="1" x14ac:dyDescent="0.25">
      <c r="A22" s="52" t="s">
        <v>385</v>
      </c>
      <c r="B22" s="53">
        <v>4.21</v>
      </c>
      <c r="C22" s="53">
        <v>3.21</v>
      </c>
      <c r="D22" s="53">
        <v>7.24</v>
      </c>
      <c r="E22" s="53">
        <v>5.34</v>
      </c>
      <c r="F22" s="53">
        <v>6.59</v>
      </c>
      <c r="G22" s="53">
        <v>94.74</v>
      </c>
      <c r="H22" s="53">
        <v>17.52</v>
      </c>
      <c r="I22" s="53">
        <v>1.01</v>
      </c>
      <c r="J22" s="53">
        <v>1.38</v>
      </c>
      <c r="K22" s="53">
        <v>329.12</v>
      </c>
      <c r="L22" s="53">
        <v>29.96</v>
      </c>
      <c r="M22" s="53">
        <v>73.22</v>
      </c>
      <c r="N22" s="53">
        <v>655.1</v>
      </c>
      <c r="O22" s="53">
        <v>0</v>
      </c>
      <c r="P22" s="53">
        <v>0.35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386</v>
      </c>
      <c r="B23" s="53">
        <v>4.2</v>
      </c>
      <c r="C23" s="53">
        <v>3.18</v>
      </c>
      <c r="D23" s="53">
        <v>7.22</v>
      </c>
      <c r="E23" s="53">
        <v>4.38</v>
      </c>
      <c r="F23" s="53">
        <v>5.76</v>
      </c>
      <c r="G23" s="53">
        <v>94.74</v>
      </c>
      <c r="H23" s="53">
        <v>18.05</v>
      </c>
      <c r="I23" s="53">
        <v>0.89</v>
      </c>
      <c r="J23" s="53">
        <v>1.04</v>
      </c>
      <c r="K23" s="53">
        <v>327.86</v>
      </c>
      <c r="L23" s="53">
        <v>29.87</v>
      </c>
      <c r="M23" s="53">
        <v>75.19</v>
      </c>
      <c r="N23" s="53">
        <v>231.9</v>
      </c>
      <c r="O23" s="53">
        <v>0</v>
      </c>
      <c r="P23" s="53">
        <v>0.34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387</v>
      </c>
      <c r="B24" s="53">
        <v>4.51</v>
      </c>
      <c r="C24" s="53">
        <v>3.77</v>
      </c>
      <c r="D24" s="53">
        <v>7.77</v>
      </c>
      <c r="E24" s="53">
        <v>6.48</v>
      </c>
      <c r="F24" s="53">
        <v>5.05</v>
      </c>
      <c r="G24" s="53">
        <v>78.569999999999993</v>
      </c>
      <c r="H24" s="53">
        <v>18.05</v>
      </c>
      <c r="I24" s="53">
        <v>0.96</v>
      </c>
      <c r="J24" s="53">
        <v>1.41</v>
      </c>
      <c r="K24" s="53">
        <v>329.71</v>
      </c>
      <c r="L24" s="53">
        <v>29.76</v>
      </c>
      <c r="M24" s="53">
        <v>74.69</v>
      </c>
      <c r="N24" s="53">
        <v>241.2</v>
      </c>
      <c r="O24" s="53">
        <v>0</v>
      </c>
      <c r="P24" s="53">
        <v>0.33</v>
      </c>
      <c r="Q24" s="53">
        <v>60.89</v>
      </c>
      <c r="R24" s="43"/>
      <c r="S24" s="43"/>
      <c r="T24" s="43"/>
      <c r="U24" s="43"/>
    </row>
    <row r="25" spans="1:21" s="11" customFormat="1" x14ac:dyDescent="0.25">
      <c r="A25" s="52" t="s">
        <v>388</v>
      </c>
      <c r="B25" s="53">
        <v>4.33</v>
      </c>
      <c r="C25" s="53">
        <v>3.33</v>
      </c>
      <c r="D25" s="53">
        <v>7.4</v>
      </c>
      <c r="E25" s="53">
        <v>4.51</v>
      </c>
      <c r="F25" s="53">
        <v>4.8899999999999997</v>
      </c>
      <c r="G25" s="53">
        <v>65.540000000000006</v>
      </c>
      <c r="H25" s="53">
        <v>14.05</v>
      </c>
      <c r="I25" s="53">
        <v>0.88</v>
      </c>
      <c r="J25" s="53">
        <v>0.98</v>
      </c>
      <c r="K25" s="53">
        <v>338.62</v>
      </c>
      <c r="L25" s="53">
        <v>28.91</v>
      </c>
      <c r="M25" s="53">
        <v>82.1</v>
      </c>
      <c r="N25" s="53">
        <v>129.1</v>
      </c>
      <c r="O25" s="53">
        <v>0</v>
      </c>
      <c r="P25" s="53">
        <v>0.34</v>
      </c>
      <c r="Q25" s="53">
        <v>12.99</v>
      </c>
      <c r="R25" s="43"/>
      <c r="S25" s="43"/>
      <c r="T25" s="43"/>
      <c r="U25" s="43"/>
    </row>
    <row r="26" spans="1:21" s="11" customFormat="1" x14ac:dyDescent="0.25">
      <c r="A26" s="52" t="s">
        <v>389</v>
      </c>
      <c r="B26" s="53">
        <v>4.24</v>
      </c>
      <c r="C26" s="53">
        <v>3.18</v>
      </c>
      <c r="D26" s="53">
        <v>7.24</v>
      </c>
      <c r="E26" s="53">
        <v>4.5999999999999996</v>
      </c>
      <c r="F26" s="53">
        <v>4.8499999999999996</v>
      </c>
      <c r="G26" s="53">
        <v>59.73</v>
      </c>
      <c r="H26" s="53">
        <v>11.5</v>
      </c>
      <c r="I26" s="53">
        <v>0.95</v>
      </c>
      <c r="J26" s="53">
        <v>1.1299999999999999</v>
      </c>
      <c r="K26" s="53">
        <v>335.16</v>
      </c>
      <c r="L26" s="53">
        <v>27.9</v>
      </c>
      <c r="M26" s="53">
        <v>87.73</v>
      </c>
      <c r="N26" s="53">
        <v>90.3</v>
      </c>
      <c r="O26" s="53">
        <v>0</v>
      </c>
      <c r="P26" s="53">
        <v>0.37</v>
      </c>
      <c r="Q26" s="53">
        <v>9.16</v>
      </c>
      <c r="R26" s="43"/>
      <c r="S26" s="43"/>
      <c r="T26" s="43"/>
      <c r="U26" s="43"/>
    </row>
    <row r="27" spans="1:21" s="11" customFormat="1" x14ac:dyDescent="0.25">
      <c r="A27" s="52" t="s">
        <v>390</v>
      </c>
      <c r="B27" s="53">
        <v>4.24</v>
      </c>
      <c r="C27" s="53">
        <v>3.18</v>
      </c>
      <c r="D27" s="53">
        <v>7.25</v>
      </c>
      <c r="E27" s="53">
        <v>4.46</v>
      </c>
      <c r="F27" s="53">
        <v>4.7300000000000004</v>
      </c>
      <c r="G27" s="53">
        <v>56.54</v>
      </c>
      <c r="H27" s="53">
        <v>11.5</v>
      </c>
      <c r="I27" s="53">
        <v>1.1499999999999999</v>
      </c>
      <c r="J27" s="53">
        <v>0.75</v>
      </c>
      <c r="K27" s="53">
        <v>343.75</v>
      </c>
      <c r="L27" s="53">
        <v>26.73</v>
      </c>
      <c r="M27" s="53">
        <v>87.18</v>
      </c>
      <c r="N27" s="53">
        <v>28.5</v>
      </c>
      <c r="O27" s="53">
        <v>0</v>
      </c>
      <c r="P27" s="53">
        <v>0.41</v>
      </c>
      <c r="Q27" s="53">
        <v>9.36</v>
      </c>
      <c r="R27" s="43"/>
      <c r="S27" s="43"/>
      <c r="T27" s="43"/>
      <c r="U27" s="43"/>
    </row>
    <row r="28" spans="1:21" s="11" customFormat="1" x14ac:dyDescent="0.25">
      <c r="A28" s="52" t="s">
        <v>391</v>
      </c>
      <c r="B28" s="53">
        <v>4.3099999999999996</v>
      </c>
      <c r="C28" s="53">
        <v>3.19</v>
      </c>
      <c r="D28" s="53">
        <v>7.3</v>
      </c>
      <c r="E28" s="53">
        <v>4.32</v>
      </c>
      <c r="F28" s="53">
        <v>3.53</v>
      </c>
      <c r="G28" s="53">
        <v>55.33</v>
      </c>
      <c r="H28" s="53">
        <v>10</v>
      </c>
      <c r="I28" s="53">
        <v>1.29</v>
      </c>
      <c r="J28" s="53">
        <v>0.71</v>
      </c>
      <c r="K28" s="53">
        <v>347.18</v>
      </c>
      <c r="L28" s="53">
        <v>26.2</v>
      </c>
      <c r="M28" s="53">
        <v>87.32</v>
      </c>
      <c r="N28" s="53">
        <v>25.9</v>
      </c>
      <c r="O28" s="53">
        <v>0</v>
      </c>
      <c r="P28" s="53">
        <v>0.49</v>
      </c>
      <c r="Q28" s="53">
        <v>9.3800000000000008</v>
      </c>
      <c r="R28" s="43"/>
      <c r="S28" s="43"/>
      <c r="T28" s="43"/>
      <c r="U28" s="43"/>
    </row>
    <row r="29" spans="1:21" s="11" customFormat="1" x14ac:dyDescent="0.25">
      <c r="A29" s="52" t="s">
        <v>392</v>
      </c>
      <c r="B29" s="53">
        <v>4.29</v>
      </c>
      <c r="C29" s="53">
        <v>3.18</v>
      </c>
      <c r="D29" s="53">
        <v>7.27</v>
      </c>
      <c r="E29" s="53">
        <v>3.94</v>
      </c>
      <c r="F29" s="53">
        <v>3.51</v>
      </c>
      <c r="G29" s="53">
        <v>56.29</v>
      </c>
      <c r="H29" s="53">
        <v>32.369999999999997</v>
      </c>
      <c r="I29" s="53">
        <v>1.75</v>
      </c>
      <c r="J29" s="53">
        <v>0.66</v>
      </c>
      <c r="K29" s="53">
        <v>349.2</v>
      </c>
      <c r="L29" s="53">
        <v>25.67</v>
      </c>
      <c r="M29" s="53">
        <v>91.53</v>
      </c>
      <c r="N29" s="53">
        <v>25.8</v>
      </c>
      <c r="O29" s="53">
        <v>0</v>
      </c>
      <c r="P29" s="53">
        <v>0.56999999999999995</v>
      </c>
      <c r="Q29" s="53">
        <v>9.4600000000000009</v>
      </c>
      <c r="R29" s="43"/>
      <c r="S29" s="43"/>
      <c r="T29" s="43"/>
      <c r="U29" s="43"/>
    </row>
    <row r="30" spans="1:21" s="11" customFormat="1" x14ac:dyDescent="0.25">
      <c r="A30" s="52" t="s">
        <v>393</v>
      </c>
      <c r="B30" s="53">
        <v>4.26</v>
      </c>
      <c r="C30" s="53">
        <v>3.22</v>
      </c>
      <c r="D30" s="53">
        <v>7.29</v>
      </c>
      <c r="E30" s="53">
        <v>4.28</v>
      </c>
      <c r="F30" s="53">
        <v>4.51</v>
      </c>
      <c r="G30" s="53">
        <v>58.99</v>
      </c>
      <c r="H30" s="53">
        <v>32.369999999999997</v>
      </c>
      <c r="I30" s="53">
        <v>2.1800000000000002</v>
      </c>
      <c r="J30" s="53">
        <v>0.46</v>
      </c>
      <c r="K30" s="53">
        <v>356.99</v>
      </c>
      <c r="L30" s="53">
        <v>25.17</v>
      </c>
      <c r="M30" s="53">
        <v>97.38</v>
      </c>
      <c r="N30" s="53">
        <v>25.8</v>
      </c>
      <c r="O30" s="53">
        <v>0</v>
      </c>
      <c r="P30" s="53">
        <v>0.75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394</v>
      </c>
      <c r="B31" s="53">
        <v>4.3</v>
      </c>
      <c r="C31" s="53">
        <v>3.26</v>
      </c>
      <c r="D31" s="53">
        <v>7.34</v>
      </c>
      <c r="E31" s="53">
        <v>4.1500000000000004</v>
      </c>
      <c r="F31" s="53">
        <v>4.01</v>
      </c>
      <c r="G31" s="53">
        <v>67.489999999999995</v>
      </c>
      <c r="H31" s="53">
        <v>27.21</v>
      </c>
      <c r="I31" s="53">
        <v>2.97</v>
      </c>
      <c r="J31" s="53">
        <v>0.52</v>
      </c>
      <c r="K31" s="53">
        <v>358.28</v>
      </c>
      <c r="L31" s="53">
        <v>24.42</v>
      </c>
      <c r="M31" s="53">
        <v>101.14</v>
      </c>
      <c r="N31" s="53">
        <v>25.6</v>
      </c>
      <c r="O31" s="53">
        <v>0</v>
      </c>
      <c r="P31" s="53">
        <v>0.72</v>
      </c>
      <c r="Q31" s="53">
        <v>9.7799999999999994</v>
      </c>
      <c r="R31" s="43"/>
      <c r="S31" s="43"/>
      <c r="T31" s="43"/>
      <c r="U31" s="43"/>
    </row>
    <row r="32" spans="1:21" s="11" customFormat="1" x14ac:dyDescent="0.25">
      <c r="A32" s="52" t="s">
        <v>395</v>
      </c>
      <c r="B32" s="53">
        <v>4.33</v>
      </c>
      <c r="C32" s="53">
        <v>3.3</v>
      </c>
      <c r="D32" s="53">
        <v>7.39</v>
      </c>
      <c r="E32" s="53">
        <v>4.0999999999999996</v>
      </c>
      <c r="F32" s="53">
        <v>4.1900000000000004</v>
      </c>
      <c r="G32" s="53">
        <v>68.06</v>
      </c>
      <c r="H32" s="53">
        <v>29.42</v>
      </c>
      <c r="I32" s="53">
        <v>3.35</v>
      </c>
      <c r="J32" s="53">
        <v>0.56999999999999995</v>
      </c>
      <c r="K32" s="53">
        <v>359.97</v>
      </c>
      <c r="L32" s="53">
        <v>24.33</v>
      </c>
      <c r="M32" s="53">
        <v>101.66</v>
      </c>
      <c r="N32" s="53">
        <v>25.6</v>
      </c>
      <c r="O32" s="53">
        <v>0</v>
      </c>
      <c r="P32" s="53">
        <v>0.74</v>
      </c>
      <c r="Q32" s="53">
        <v>9.7899999999999991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</v>
      </c>
      <c r="C34" s="28">
        <f t="shared" si="0"/>
        <v>3.18</v>
      </c>
      <c r="D34" s="28">
        <f t="shared" si="0"/>
        <v>7.22</v>
      </c>
      <c r="E34" s="28">
        <f t="shared" si="0"/>
        <v>3.94</v>
      </c>
      <c r="F34" s="28">
        <f t="shared" si="0"/>
        <v>3.32</v>
      </c>
      <c r="G34" s="28">
        <f t="shared" si="0"/>
        <v>42.02</v>
      </c>
      <c r="H34" s="28">
        <f t="shared" si="0"/>
        <v>10</v>
      </c>
      <c r="I34" s="28">
        <f t="shared" si="0"/>
        <v>0.88</v>
      </c>
      <c r="J34" s="28">
        <f t="shared" si="0"/>
        <v>0.09</v>
      </c>
      <c r="K34" s="28">
        <f t="shared" si="0"/>
        <v>320.7</v>
      </c>
      <c r="L34" s="28">
        <f t="shared" si="0"/>
        <v>23.15</v>
      </c>
      <c r="M34" s="28">
        <f t="shared" si="0"/>
        <v>73.22</v>
      </c>
      <c r="N34" s="28">
        <f t="shared" si="0"/>
        <v>25.6</v>
      </c>
      <c r="O34" s="28">
        <f t="shared" si="0"/>
        <v>0</v>
      </c>
      <c r="P34" s="28">
        <f t="shared" si="0"/>
        <v>0.33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4.51</v>
      </c>
      <c r="C35" s="29">
        <f t="shared" si="1"/>
        <v>3.77</v>
      </c>
      <c r="D35" s="29">
        <f t="shared" si="1"/>
        <v>7.77</v>
      </c>
      <c r="E35" s="29">
        <f t="shared" si="1"/>
        <v>6.48</v>
      </c>
      <c r="F35" s="29">
        <f t="shared" si="1"/>
        <v>6.59</v>
      </c>
      <c r="G35" s="29">
        <f t="shared" si="1"/>
        <v>94.74</v>
      </c>
      <c r="H35" s="29">
        <f t="shared" si="1"/>
        <v>32.369999999999997</v>
      </c>
      <c r="I35" s="29">
        <f t="shared" si="1"/>
        <v>3.71</v>
      </c>
      <c r="J35" s="29">
        <f t="shared" si="1"/>
        <v>1.41</v>
      </c>
      <c r="K35" s="29">
        <f t="shared" si="1"/>
        <v>359.97</v>
      </c>
      <c r="L35" s="29">
        <f t="shared" si="1"/>
        <v>30</v>
      </c>
      <c r="M35" s="29">
        <f t="shared" si="1"/>
        <v>101.83</v>
      </c>
      <c r="N35" s="29">
        <f t="shared" si="1"/>
        <v>655.1</v>
      </c>
      <c r="O35" s="29">
        <f t="shared" si="1"/>
        <v>0</v>
      </c>
      <c r="P35" s="29">
        <f t="shared" si="1"/>
        <v>0.75</v>
      </c>
      <c r="Q35" s="29">
        <f t="shared" si="1"/>
        <v>60.89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4.2891666666666666</v>
      </c>
      <c r="C36" s="28">
        <f t="shared" si="2"/>
        <v>3.2412500000000004</v>
      </c>
      <c r="D36" s="28">
        <f t="shared" si="2"/>
        <v>7.3191666666666668</v>
      </c>
      <c r="E36" s="28">
        <f t="shared" si="2"/>
        <v>4.734166666666666</v>
      </c>
      <c r="F36" s="28">
        <f t="shared" si="2"/>
        <v>4.422083333333334</v>
      </c>
      <c r="G36" s="28">
        <f t="shared" si="2"/>
        <v>56.80681818181818</v>
      </c>
      <c r="H36" s="28">
        <f t="shared" si="2"/>
        <v>17.342727272727277</v>
      </c>
      <c r="I36" s="28">
        <f t="shared" si="2"/>
        <v>2.2837500000000004</v>
      </c>
      <c r="J36" s="28">
        <f t="shared" si="2"/>
        <v>0.61125000000000007</v>
      </c>
      <c r="K36" s="28">
        <f t="shared" si="2"/>
        <v>339.40375</v>
      </c>
      <c r="L36" s="28">
        <f t="shared" si="2"/>
        <v>26.2925</v>
      </c>
      <c r="M36" s="28">
        <f t="shared" si="2"/>
        <v>92.103333333333339</v>
      </c>
      <c r="N36" s="28">
        <f t="shared" si="2"/>
        <v>158.32500000000002</v>
      </c>
      <c r="O36" s="28">
        <f t="shared" si="2"/>
        <v>0</v>
      </c>
      <c r="P36" s="28">
        <f t="shared" si="2"/>
        <v>0.48375000000000007</v>
      </c>
      <c r="Q36" s="28">
        <f t="shared" si="2"/>
        <v>11.912499999999996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5.9191411441236907E-2</v>
      </c>
      <c r="C37" s="28">
        <f t="shared" ref="C37:Q37" si="3">STDEV(C9:C32)</f>
        <v>0.12051745318309347</v>
      </c>
      <c r="D37" s="28">
        <f t="shared" si="3"/>
        <v>0.10660437492721947</v>
      </c>
      <c r="E37" s="28">
        <f t="shared" si="3"/>
        <v>0.57645028192918102</v>
      </c>
      <c r="F37" s="28">
        <f t="shared" si="3"/>
        <v>0.94325052768127926</v>
      </c>
      <c r="G37" s="28">
        <f t="shared" si="3"/>
        <v>15.927414337838304</v>
      </c>
      <c r="H37" s="28">
        <f t="shared" si="3"/>
        <v>6.8451158686622025</v>
      </c>
      <c r="I37" s="28">
        <f t="shared" si="3"/>
        <v>0.98329442934586342</v>
      </c>
      <c r="J37" s="28">
        <f t="shared" si="3"/>
        <v>0.43219673962112476</v>
      </c>
      <c r="K37" s="28">
        <f t="shared" si="3"/>
        <v>13.720512353375533</v>
      </c>
      <c r="L37" s="28">
        <f t="shared" si="3"/>
        <v>2.3652856248150078</v>
      </c>
      <c r="M37" s="28">
        <f t="shared" si="3"/>
        <v>10.69657672450346</v>
      </c>
      <c r="N37" s="28">
        <f t="shared" si="3"/>
        <v>183.31131811163789</v>
      </c>
      <c r="O37" s="28">
        <f t="shared" si="3"/>
        <v>0</v>
      </c>
      <c r="P37" s="28">
        <f t="shared" si="3"/>
        <v>0.11816762228513228</v>
      </c>
      <c r="Q37" s="28">
        <f t="shared" si="3"/>
        <v>10.455706679795162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2" sqref="H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396</v>
      </c>
      <c r="B9" s="53">
        <v>4.32</v>
      </c>
      <c r="C9" s="53">
        <v>3.21</v>
      </c>
      <c r="D9" s="53">
        <v>7.33</v>
      </c>
      <c r="E9" s="53">
        <v>4.33</v>
      </c>
      <c r="F9" s="53">
        <v>3.31</v>
      </c>
      <c r="G9" s="53">
        <v>68.790000000000006</v>
      </c>
      <c r="H9" s="53">
        <v>29.42</v>
      </c>
      <c r="I9" s="53">
        <v>3.33</v>
      </c>
      <c r="J9" s="53">
        <v>0.71</v>
      </c>
      <c r="K9" s="53">
        <v>345.12</v>
      </c>
      <c r="L9" s="53">
        <v>24.09</v>
      </c>
      <c r="M9" s="53">
        <v>100.83</v>
      </c>
      <c r="N9" s="53">
        <v>25.6</v>
      </c>
      <c r="O9" s="53">
        <v>0</v>
      </c>
      <c r="P9" s="53">
        <v>0.68</v>
      </c>
      <c r="Q9" s="53">
        <v>9.7899999999999991</v>
      </c>
      <c r="R9" s="43"/>
      <c r="S9" s="43"/>
      <c r="T9" s="43"/>
      <c r="U9" s="43"/>
    </row>
    <row r="10" spans="1:21" s="11" customFormat="1" x14ac:dyDescent="0.25">
      <c r="A10" s="52" t="s">
        <v>397</v>
      </c>
      <c r="B10" s="53">
        <v>4.3</v>
      </c>
      <c r="C10" s="53">
        <v>3.19</v>
      </c>
      <c r="D10" s="53">
        <v>7.3</v>
      </c>
      <c r="E10" s="53">
        <v>4.3</v>
      </c>
      <c r="F10" s="53">
        <v>4.5</v>
      </c>
      <c r="G10" s="53">
        <v>68.790000000000006</v>
      </c>
      <c r="H10" s="53">
        <v>16.53</v>
      </c>
      <c r="I10" s="53">
        <v>2.83</v>
      </c>
      <c r="J10" s="53">
        <v>0.7</v>
      </c>
      <c r="K10" s="53">
        <v>333.39</v>
      </c>
      <c r="L10" s="53">
        <v>23.76</v>
      </c>
      <c r="M10" s="53">
        <v>101.1</v>
      </c>
      <c r="N10" s="53">
        <v>25.6</v>
      </c>
      <c r="O10" s="53">
        <v>0</v>
      </c>
      <c r="P10" s="53">
        <v>0.56999999999999995</v>
      </c>
      <c r="Q10" s="53">
        <v>9.75</v>
      </c>
      <c r="R10" s="43"/>
      <c r="S10" s="43"/>
      <c r="T10" s="43"/>
      <c r="U10" s="43"/>
    </row>
    <row r="11" spans="1:21" s="11" customFormat="1" x14ac:dyDescent="0.25">
      <c r="A11" s="52" t="s">
        <v>398</v>
      </c>
      <c r="B11" s="53">
        <v>4.24</v>
      </c>
      <c r="C11" s="53">
        <v>3.17</v>
      </c>
      <c r="D11" s="53">
        <v>7.25</v>
      </c>
      <c r="E11" s="53">
        <v>4.07</v>
      </c>
      <c r="F11" s="53">
        <v>4.95</v>
      </c>
      <c r="G11" s="53">
        <v>62.73</v>
      </c>
      <c r="H11" s="53">
        <v>12.78</v>
      </c>
      <c r="I11" s="53">
        <v>2.66</v>
      </c>
      <c r="J11" s="53">
        <v>0.65</v>
      </c>
      <c r="K11" s="53">
        <v>343.8</v>
      </c>
      <c r="L11" s="53">
        <v>23.54</v>
      </c>
      <c r="M11" s="53">
        <v>101.7</v>
      </c>
      <c r="N11" s="53">
        <v>25.7</v>
      </c>
      <c r="O11" s="53">
        <v>0</v>
      </c>
      <c r="P11" s="53">
        <v>0.48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399</v>
      </c>
      <c r="B12" s="53">
        <v>4.24</v>
      </c>
      <c r="C12" s="53">
        <v>3.17</v>
      </c>
      <c r="D12" s="53">
        <v>7.25</v>
      </c>
      <c r="E12" s="53">
        <v>4.3600000000000003</v>
      </c>
      <c r="F12" s="53">
        <v>4.01</v>
      </c>
      <c r="G12" s="53">
        <v>51.9</v>
      </c>
      <c r="H12" s="53">
        <v>21.57</v>
      </c>
      <c r="I12" s="53">
        <v>2.62</v>
      </c>
      <c r="J12" s="53">
        <v>0.56000000000000005</v>
      </c>
      <c r="K12" s="53">
        <v>346.2</v>
      </c>
      <c r="L12" s="53">
        <v>23.38</v>
      </c>
      <c r="M12" s="53">
        <v>101.7</v>
      </c>
      <c r="N12" s="53">
        <v>25.7</v>
      </c>
      <c r="O12" s="53">
        <v>0</v>
      </c>
      <c r="P12" s="53">
        <v>0.4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400</v>
      </c>
      <c r="B13" s="53">
        <v>4.29</v>
      </c>
      <c r="C13" s="53">
        <v>3.16</v>
      </c>
      <c r="D13" s="53">
        <v>7.27</v>
      </c>
      <c r="E13" s="53">
        <v>3.35</v>
      </c>
      <c r="F13" s="53">
        <v>3.37</v>
      </c>
      <c r="G13" s="53">
        <v>44.05</v>
      </c>
      <c r="H13" s="53">
        <v>21.57</v>
      </c>
      <c r="I13" s="53">
        <v>2.79</v>
      </c>
      <c r="J13" s="53">
        <v>0.43</v>
      </c>
      <c r="K13" s="53">
        <v>354.62</v>
      </c>
      <c r="L13" s="53">
        <v>23.39</v>
      </c>
      <c r="M13" s="53">
        <v>101.7</v>
      </c>
      <c r="N13" s="53">
        <v>25.7</v>
      </c>
      <c r="O13" s="53">
        <v>0</v>
      </c>
      <c r="P13" s="53">
        <v>0.33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401</v>
      </c>
      <c r="B14" s="53">
        <v>4.3</v>
      </c>
      <c r="C14" s="53">
        <v>3.18</v>
      </c>
      <c r="D14" s="53">
        <v>7.3</v>
      </c>
      <c r="E14" s="53">
        <v>3.42</v>
      </c>
      <c r="F14" s="53">
        <v>4.33</v>
      </c>
      <c r="G14" s="53">
        <v>39.81</v>
      </c>
      <c r="H14" s="53">
        <v>14.82</v>
      </c>
      <c r="I14" s="53">
        <v>3.51</v>
      </c>
      <c r="J14" s="53">
        <v>0.48</v>
      </c>
      <c r="K14" s="53">
        <v>332.53</v>
      </c>
      <c r="L14" s="53">
        <v>23.29</v>
      </c>
      <c r="M14" s="53">
        <v>101.7</v>
      </c>
      <c r="N14" s="53">
        <v>28</v>
      </c>
      <c r="O14" s="53">
        <v>0</v>
      </c>
      <c r="P14" s="53">
        <v>0.33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402</v>
      </c>
      <c r="B15" s="53">
        <v>4.24</v>
      </c>
      <c r="C15" s="53">
        <v>3.15</v>
      </c>
      <c r="D15" s="53">
        <v>7.23</v>
      </c>
      <c r="E15" s="53">
        <v>3.42</v>
      </c>
      <c r="F15" s="53">
        <v>4.1399999999999997</v>
      </c>
      <c r="G15" s="53">
        <v>48.62</v>
      </c>
      <c r="H15" s="53">
        <v>30.15</v>
      </c>
      <c r="I15" s="53">
        <v>3.11</v>
      </c>
      <c r="J15" s="53">
        <v>0.59</v>
      </c>
      <c r="K15" s="53">
        <v>325.56</v>
      </c>
      <c r="L15" s="53">
        <v>24.13</v>
      </c>
      <c r="M15" s="53">
        <v>101.7</v>
      </c>
      <c r="N15" s="53">
        <v>85.9</v>
      </c>
      <c r="O15" s="53">
        <v>0</v>
      </c>
      <c r="P15" s="53">
        <v>0.33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403</v>
      </c>
      <c r="B16" s="53">
        <v>4.2699999999999996</v>
      </c>
      <c r="C16" s="53">
        <v>3.22</v>
      </c>
      <c r="D16" s="53">
        <v>7.29</v>
      </c>
      <c r="E16" s="53">
        <v>4.9800000000000004</v>
      </c>
      <c r="F16" s="53">
        <v>3.77</v>
      </c>
      <c r="G16" s="53">
        <v>48.62</v>
      </c>
      <c r="H16" s="53">
        <v>30.15</v>
      </c>
      <c r="I16" s="53">
        <v>2.96</v>
      </c>
      <c r="J16" s="53">
        <v>1.43</v>
      </c>
      <c r="K16" s="53">
        <v>325.86</v>
      </c>
      <c r="L16" s="53">
        <v>28.04</v>
      </c>
      <c r="M16" s="53">
        <v>98.37</v>
      </c>
      <c r="N16" s="53">
        <v>324.39999999999998</v>
      </c>
      <c r="O16" s="53">
        <v>0</v>
      </c>
      <c r="P16" s="53">
        <v>0.38</v>
      </c>
      <c r="Q16" s="53">
        <v>9.68</v>
      </c>
      <c r="R16" s="43"/>
      <c r="S16" s="43"/>
      <c r="T16" s="43"/>
      <c r="U16" s="43"/>
    </row>
    <row r="17" spans="1:21" s="11" customFormat="1" x14ac:dyDescent="0.25">
      <c r="A17" s="52" t="s">
        <v>404</v>
      </c>
      <c r="B17" s="53">
        <v>4.33</v>
      </c>
      <c r="C17" s="53">
        <v>3.24</v>
      </c>
      <c r="D17" s="53">
        <v>7.35</v>
      </c>
      <c r="E17" s="53">
        <v>4.3600000000000003</v>
      </c>
      <c r="F17" s="53">
        <v>3.9</v>
      </c>
      <c r="G17" s="53">
        <v>48.56</v>
      </c>
      <c r="H17" s="53">
        <v>18.09</v>
      </c>
      <c r="I17" s="53">
        <v>2.42</v>
      </c>
      <c r="J17" s="53">
        <v>1.25</v>
      </c>
      <c r="K17" s="53">
        <v>327.2</v>
      </c>
      <c r="L17" s="53">
        <v>31.19</v>
      </c>
      <c r="M17" s="53">
        <v>73.650000000000006</v>
      </c>
      <c r="N17" s="53">
        <v>574.6</v>
      </c>
      <c r="O17" s="53">
        <v>0</v>
      </c>
      <c r="P17" s="53">
        <v>0.36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405</v>
      </c>
      <c r="B18" s="53">
        <v>4.2699999999999996</v>
      </c>
      <c r="C18" s="53">
        <v>3.17</v>
      </c>
      <c r="D18" s="53">
        <v>7.26</v>
      </c>
      <c r="E18" s="53">
        <v>4.8</v>
      </c>
      <c r="F18" s="53">
        <v>5.52</v>
      </c>
      <c r="G18" s="53">
        <v>46.73</v>
      </c>
      <c r="H18" s="53">
        <v>11.22</v>
      </c>
      <c r="I18" s="53">
        <v>1.9</v>
      </c>
      <c r="J18" s="53">
        <v>1.51</v>
      </c>
      <c r="K18" s="53">
        <v>325.82</v>
      </c>
      <c r="L18" s="53">
        <v>31.52</v>
      </c>
      <c r="M18" s="53">
        <v>64.72</v>
      </c>
      <c r="N18" s="53">
        <v>693.1</v>
      </c>
      <c r="O18" s="53">
        <v>0</v>
      </c>
      <c r="P18" s="53">
        <v>0.35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406</v>
      </c>
      <c r="B19" s="53">
        <v>4.25</v>
      </c>
      <c r="C19" s="53">
        <v>3.22</v>
      </c>
      <c r="D19" s="53">
        <v>7.28</v>
      </c>
      <c r="E19" s="53">
        <v>4.76</v>
      </c>
      <c r="F19" s="53">
        <v>5.26</v>
      </c>
      <c r="G19" s="53">
        <v>47.39</v>
      </c>
      <c r="H19" s="53">
        <v>7.18</v>
      </c>
      <c r="I19" s="53">
        <v>1.45</v>
      </c>
      <c r="J19" s="53">
        <v>1.64</v>
      </c>
      <c r="K19" s="53">
        <v>325.05</v>
      </c>
      <c r="L19" s="53">
        <v>31.83</v>
      </c>
      <c r="M19" s="53">
        <v>64.319999999999993</v>
      </c>
      <c r="N19" s="53">
        <v>798.4</v>
      </c>
      <c r="O19" s="53">
        <v>0</v>
      </c>
      <c r="P19" s="53">
        <v>0.35</v>
      </c>
      <c r="Q19" s="53">
        <v>9.58</v>
      </c>
      <c r="R19" s="43"/>
      <c r="S19" s="43"/>
      <c r="T19" s="43"/>
      <c r="U19" s="43"/>
    </row>
    <row r="20" spans="1:21" s="11" customFormat="1" x14ac:dyDescent="0.25">
      <c r="A20" s="52" t="s">
        <v>407</v>
      </c>
      <c r="B20" s="53">
        <v>4.24</v>
      </c>
      <c r="C20" s="53">
        <v>3.16</v>
      </c>
      <c r="D20" s="53">
        <v>7.23</v>
      </c>
      <c r="E20" s="53">
        <v>4.6399999999999997</v>
      </c>
      <c r="F20" s="53">
        <v>5.35</v>
      </c>
      <c r="G20" s="53">
        <v>47.39</v>
      </c>
      <c r="H20" s="53">
        <v>4.74</v>
      </c>
      <c r="I20" s="53">
        <v>1.18</v>
      </c>
      <c r="J20" s="53">
        <v>1.69</v>
      </c>
      <c r="K20" s="53">
        <v>323.89999999999998</v>
      </c>
      <c r="L20" s="53">
        <v>33.299999999999997</v>
      </c>
      <c r="M20" s="53">
        <v>61.93</v>
      </c>
      <c r="N20" s="53">
        <v>986.7</v>
      </c>
      <c r="O20" s="53">
        <v>0</v>
      </c>
      <c r="P20" s="53">
        <v>0.36</v>
      </c>
      <c r="Q20" s="53">
        <v>9.58</v>
      </c>
      <c r="R20" s="43"/>
      <c r="S20" s="43"/>
      <c r="T20" s="43"/>
      <c r="U20" s="43"/>
    </row>
    <row r="21" spans="1:21" s="11" customFormat="1" x14ac:dyDescent="0.25">
      <c r="A21" s="52" t="s">
        <v>408</v>
      </c>
      <c r="B21" s="53">
        <v>4.28</v>
      </c>
      <c r="C21" s="53">
        <v>3.16</v>
      </c>
      <c r="D21" s="53">
        <v>7.27</v>
      </c>
      <c r="E21" s="53">
        <v>4.3899999999999997</v>
      </c>
      <c r="F21" s="53">
        <v>4.87</v>
      </c>
      <c r="G21" s="53">
        <v>44.63</v>
      </c>
      <c r="H21" s="53">
        <v>14.74</v>
      </c>
      <c r="I21" s="53">
        <v>1.07</v>
      </c>
      <c r="J21" s="53">
        <v>2.66</v>
      </c>
      <c r="K21" s="53">
        <v>328.31</v>
      </c>
      <c r="L21" s="53">
        <v>31.98</v>
      </c>
      <c r="M21" s="53">
        <v>62.94</v>
      </c>
      <c r="N21" s="53">
        <v>784.6</v>
      </c>
      <c r="O21" s="53">
        <v>0</v>
      </c>
      <c r="P21" s="53">
        <v>0.35</v>
      </c>
      <c r="Q21" s="53">
        <v>9.52</v>
      </c>
      <c r="R21" s="43"/>
      <c r="S21" s="43"/>
      <c r="T21" s="43"/>
      <c r="U21" s="43"/>
    </row>
    <row r="22" spans="1:21" s="11" customFormat="1" x14ac:dyDescent="0.25">
      <c r="A22" s="52" t="s">
        <v>409</v>
      </c>
      <c r="B22" s="53">
        <v>4.29</v>
      </c>
      <c r="C22" s="53">
        <v>3.18</v>
      </c>
      <c r="D22" s="53">
        <v>7.3</v>
      </c>
      <c r="E22" s="53">
        <v>4.5999999999999996</v>
      </c>
      <c r="F22" s="53">
        <v>4.7300000000000004</v>
      </c>
      <c r="G22" s="53">
        <v>40.15</v>
      </c>
      <c r="H22" s="53">
        <v>14.74</v>
      </c>
      <c r="I22" s="53">
        <v>0.93</v>
      </c>
      <c r="J22" s="53">
        <v>2.58</v>
      </c>
      <c r="K22" s="53">
        <v>329.15</v>
      </c>
      <c r="L22" s="53">
        <v>30.96</v>
      </c>
      <c r="M22" s="53">
        <v>64.88</v>
      </c>
      <c r="N22" s="53">
        <v>396.9</v>
      </c>
      <c r="O22" s="53">
        <v>0</v>
      </c>
      <c r="P22" s="53">
        <v>0.34</v>
      </c>
      <c r="Q22" s="53">
        <v>9.56</v>
      </c>
      <c r="R22" s="43"/>
      <c r="S22" s="43"/>
      <c r="T22" s="43"/>
      <c r="U22" s="43"/>
    </row>
    <row r="23" spans="1:21" s="11" customFormat="1" x14ac:dyDescent="0.25">
      <c r="A23" s="52" t="s">
        <v>410</v>
      </c>
      <c r="B23" s="53">
        <v>4.24</v>
      </c>
      <c r="C23" s="53">
        <v>3.2</v>
      </c>
      <c r="D23" s="53">
        <v>7.26</v>
      </c>
      <c r="E23" s="53">
        <v>4.4800000000000004</v>
      </c>
      <c r="F23" s="53">
        <v>6.09</v>
      </c>
      <c r="G23" s="53">
        <v>38.53</v>
      </c>
      <c r="H23" s="53">
        <v>4.74</v>
      </c>
      <c r="I23" s="53">
        <v>0.87</v>
      </c>
      <c r="J23" s="53">
        <v>1.96</v>
      </c>
      <c r="K23" s="53">
        <v>325.87</v>
      </c>
      <c r="L23" s="53">
        <v>31.01</v>
      </c>
      <c r="M23" s="53">
        <v>61.69</v>
      </c>
      <c r="N23" s="53">
        <v>274.2</v>
      </c>
      <c r="O23" s="53">
        <v>0</v>
      </c>
      <c r="P23" s="53">
        <v>0.34</v>
      </c>
      <c r="Q23" s="53">
        <v>9.58</v>
      </c>
      <c r="R23" s="43"/>
      <c r="S23" s="43"/>
      <c r="T23" s="43"/>
      <c r="U23" s="43"/>
    </row>
    <row r="24" spans="1:21" s="11" customFormat="1" x14ac:dyDescent="0.25">
      <c r="A24" s="52" t="s">
        <v>411</v>
      </c>
      <c r="B24" s="53">
        <v>4.24</v>
      </c>
      <c r="C24" s="53">
        <v>3.16</v>
      </c>
      <c r="D24" s="53">
        <v>7.23</v>
      </c>
      <c r="E24" s="53">
        <v>4.32</v>
      </c>
      <c r="F24" s="53">
        <v>5.69</v>
      </c>
      <c r="G24" s="53">
        <v>38.53</v>
      </c>
      <c r="H24" s="53">
        <v>7.53</v>
      </c>
      <c r="I24" s="53">
        <v>0.91</v>
      </c>
      <c r="J24" s="53">
        <v>1.41</v>
      </c>
      <c r="K24" s="53">
        <v>327.45999999999998</v>
      </c>
      <c r="L24" s="53">
        <v>30.35</v>
      </c>
      <c r="M24" s="53">
        <v>66.22</v>
      </c>
      <c r="N24" s="53">
        <v>187.4</v>
      </c>
      <c r="O24" s="53">
        <v>0</v>
      </c>
      <c r="P24" s="53">
        <v>0.36</v>
      </c>
      <c r="Q24" s="53">
        <v>9.58</v>
      </c>
      <c r="R24" s="43"/>
      <c r="S24" s="43"/>
      <c r="T24" s="43"/>
      <c r="U24" s="43"/>
    </row>
    <row r="25" spans="1:21" s="11" customFormat="1" x14ac:dyDescent="0.25">
      <c r="A25" s="52" t="s">
        <v>412</v>
      </c>
      <c r="B25" s="53">
        <v>4.2699999999999996</v>
      </c>
      <c r="C25" s="53">
        <v>3.16</v>
      </c>
      <c r="D25" s="53">
        <v>7.26</v>
      </c>
      <c r="E25" s="53">
        <v>4.2300000000000004</v>
      </c>
      <c r="F25" s="53">
        <v>4.4400000000000004</v>
      </c>
      <c r="G25" s="53">
        <v>37.94</v>
      </c>
      <c r="H25" s="53">
        <v>7.53</v>
      </c>
      <c r="I25" s="53">
        <v>0.9</v>
      </c>
      <c r="J25" s="53">
        <v>0.68</v>
      </c>
      <c r="K25" s="53">
        <v>347.29</v>
      </c>
      <c r="L25" s="53">
        <v>29.76</v>
      </c>
      <c r="M25" s="53">
        <v>69.16</v>
      </c>
      <c r="N25" s="53">
        <v>152.30000000000001</v>
      </c>
      <c r="O25" s="53">
        <v>0</v>
      </c>
      <c r="P25" s="53">
        <v>0.35</v>
      </c>
      <c r="Q25" s="53">
        <v>9.52</v>
      </c>
      <c r="R25" s="43"/>
      <c r="S25" s="43"/>
      <c r="T25" s="43"/>
      <c r="U25" s="43"/>
    </row>
    <row r="26" spans="1:21" s="11" customFormat="1" x14ac:dyDescent="0.25">
      <c r="A26" s="52" t="s">
        <v>413</v>
      </c>
      <c r="B26" s="53">
        <v>4.28</v>
      </c>
      <c r="C26" s="53">
        <v>3.15</v>
      </c>
      <c r="D26" s="53">
        <v>7.26</v>
      </c>
      <c r="E26" s="53">
        <v>4.42</v>
      </c>
      <c r="F26" s="53">
        <v>4.4400000000000004</v>
      </c>
      <c r="G26" s="53">
        <v>36.29</v>
      </c>
      <c r="H26" s="53">
        <v>7.53</v>
      </c>
      <c r="I26" s="53">
        <v>0.83</v>
      </c>
      <c r="J26" s="53">
        <v>0.83</v>
      </c>
      <c r="K26" s="53">
        <v>345.94</v>
      </c>
      <c r="L26" s="53">
        <v>28.22</v>
      </c>
      <c r="M26" s="53">
        <v>75.33</v>
      </c>
      <c r="N26" s="53">
        <v>73</v>
      </c>
      <c r="O26" s="53">
        <v>0</v>
      </c>
      <c r="P26" s="53">
        <v>0.36</v>
      </c>
      <c r="Q26" s="53">
        <v>9.52</v>
      </c>
      <c r="R26" s="43"/>
      <c r="S26" s="43"/>
      <c r="T26" s="43"/>
      <c r="U26" s="43"/>
    </row>
    <row r="27" spans="1:21" s="11" customFormat="1" x14ac:dyDescent="0.25">
      <c r="A27" s="52" t="s">
        <v>414</v>
      </c>
      <c r="B27" s="53">
        <v>4.2300000000000004</v>
      </c>
      <c r="C27" s="53">
        <v>3.17</v>
      </c>
      <c r="D27" s="53">
        <v>7.24</v>
      </c>
      <c r="E27" s="53">
        <v>4.41</v>
      </c>
      <c r="F27" s="53">
        <v>4.8499999999999996</v>
      </c>
      <c r="G27" s="53">
        <v>36.97</v>
      </c>
      <c r="H27" s="53">
        <v>7.53</v>
      </c>
      <c r="I27" s="53">
        <v>1.07</v>
      </c>
      <c r="J27" s="53">
        <v>0.67</v>
      </c>
      <c r="K27" s="53">
        <v>356.3</v>
      </c>
      <c r="L27" s="53">
        <v>27.17</v>
      </c>
      <c r="M27" s="53">
        <v>79.88</v>
      </c>
      <c r="N27" s="53">
        <v>27.7</v>
      </c>
      <c r="O27" s="53">
        <v>0</v>
      </c>
      <c r="P27" s="53">
        <v>0.4</v>
      </c>
      <c r="Q27" s="53">
        <v>9.56</v>
      </c>
      <c r="R27" s="43"/>
      <c r="S27" s="43"/>
      <c r="T27" s="43"/>
      <c r="U27" s="43"/>
    </row>
    <row r="28" spans="1:21" s="11" customFormat="1" x14ac:dyDescent="0.25">
      <c r="A28" s="52" t="s">
        <v>415</v>
      </c>
      <c r="B28" s="53">
        <v>4.24</v>
      </c>
      <c r="C28" s="53">
        <v>3.19</v>
      </c>
      <c r="D28" s="53">
        <v>7.26</v>
      </c>
      <c r="E28" s="53">
        <v>4.3099999999999996</v>
      </c>
      <c r="F28" s="53">
        <v>3.89</v>
      </c>
      <c r="G28" s="53">
        <v>36.97</v>
      </c>
      <c r="H28" s="53">
        <v>27.09</v>
      </c>
      <c r="I28" s="53">
        <v>1.5</v>
      </c>
      <c r="J28" s="53">
        <v>0.74</v>
      </c>
      <c r="K28" s="53">
        <v>340.55</v>
      </c>
      <c r="L28" s="53">
        <v>26.43</v>
      </c>
      <c r="M28" s="53">
        <v>86.7</v>
      </c>
      <c r="N28" s="53">
        <v>25.9</v>
      </c>
      <c r="O28" s="53">
        <v>0</v>
      </c>
      <c r="P28" s="53">
        <v>0.49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416</v>
      </c>
      <c r="B29" s="53">
        <v>4.3</v>
      </c>
      <c r="C29" s="53">
        <v>3.21</v>
      </c>
      <c r="D29" s="53">
        <v>7.32</v>
      </c>
      <c r="E29" s="53">
        <v>4.1900000000000004</v>
      </c>
      <c r="F29" s="53">
        <v>3.78</v>
      </c>
      <c r="G29" s="53">
        <v>43.72</v>
      </c>
      <c r="H29" s="53">
        <v>27.09</v>
      </c>
      <c r="I29" s="53">
        <v>2.17</v>
      </c>
      <c r="J29" s="53">
        <v>0.69</v>
      </c>
      <c r="K29" s="53">
        <v>345.77</v>
      </c>
      <c r="L29" s="53">
        <v>26.16</v>
      </c>
      <c r="M29" s="53">
        <v>92.25</v>
      </c>
      <c r="N29" s="53">
        <v>26.1</v>
      </c>
      <c r="O29" s="53">
        <v>0</v>
      </c>
      <c r="P29" s="53">
        <v>0.54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417</v>
      </c>
      <c r="B30" s="53">
        <v>4.32</v>
      </c>
      <c r="C30" s="53">
        <v>3.23</v>
      </c>
      <c r="D30" s="53">
        <v>7.33</v>
      </c>
      <c r="E30" s="53">
        <v>4.45</v>
      </c>
      <c r="F30" s="53">
        <v>3.62</v>
      </c>
      <c r="G30" s="53">
        <v>48.21</v>
      </c>
      <c r="H30" s="53">
        <v>27.09</v>
      </c>
      <c r="I30" s="53">
        <v>2.5</v>
      </c>
      <c r="J30" s="53">
        <v>0.68</v>
      </c>
      <c r="K30" s="53">
        <v>349.35</v>
      </c>
      <c r="L30" s="53">
        <v>25.98</v>
      </c>
      <c r="M30" s="53">
        <v>92.19</v>
      </c>
      <c r="N30" s="53">
        <v>25.9</v>
      </c>
      <c r="O30" s="53">
        <v>0</v>
      </c>
      <c r="P30" s="53">
        <v>0.56000000000000005</v>
      </c>
      <c r="Q30" s="53">
        <v>9.7200000000000006</v>
      </c>
      <c r="R30" s="43"/>
      <c r="S30" s="43"/>
      <c r="T30" s="43"/>
      <c r="U30" s="43"/>
    </row>
    <row r="31" spans="1:21" s="11" customFormat="1" x14ac:dyDescent="0.25">
      <c r="A31" s="52" t="s">
        <v>418</v>
      </c>
      <c r="B31" s="53">
        <v>4.26</v>
      </c>
      <c r="C31" s="53">
        <v>3.16</v>
      </c>
      <c r="D31" s="53">
        <v>7.25</v>
      </c>
      <c r="E31" s="53">
        <v>4.29</v>
      </c>
      <c r="F31" s="53">
        <v>4.05</v>
      </c>
      <c r="G31" s="53">
        <v>48.21</v>
      </c>
      <c r="H31" s="53">
        <v>11.26</v>
      </c>
      <c r="I31" s="53">
        <v>2.2400000000000002</v>
      </c>
      <c r="J31" s="53">
        <v>0.75</v>
      </c>
      <c r="K31" s="53">
        <v>336.05</v>
      </c>
      <c r="L31" s="53">
        <v>25.56</v>
      </c>
      <c r="M31" s="53">
        <v>90.26</v>
      </c>
      <c r="N31" s="53">
        <v>26</v>
      </c>
      <c r="O31" s="53">
        <v>0</v>
      </c>
      <c r="P31" s="53">
        <v>0.54</v>
      </c>
      <c r="Q31" s="53">
        <v>9.75</v>
      </c>
      <c r="R31" s="43"/>
      <c r="S31" s="43"/>
      <c r="T31" s="43"/>
      <c r="U31" s="43"/>
    </row>
    <row r="32" spans="1:21" s="11" customFormat="1" x14ac:dyDescent="0.25">
      <c r="A32" s="52" t="s">
        <v>419</v>
      </c>
      <c r="B32" s="53">
        <v>4.2699999999999996</v>
      </c>
      <c r="C32" s="53">
        <v>3.25</v>
      </c>
      <c r="D32" s="53">
        <v>7.32</v>
      </c>
      <c r="E32" s="53">
        <v>5.27</v>
      </c>
      <c r="F32" s="53">
        <v>4.2300000000000004</v>
      </c>
      <c r="G32" s="53">
        <v>46.19</v>
      </c>
      <c r="H32" s="53">
        <v>60.8</v>
      </c>
      <c r="I32" s="53">
        <v>2.2999999999999998</v>
      </c>
      <c r="J32" s="53">
        <v>0.73</v>
      </c>
      <c r="K32" s="53">
        <v>350.44</v>
      </c>
      <c r="L32" s="53">
        <v>25.22</v>
      </c>
      <c r="M32" s="53">
        <v>90.35</v>
      </c>
      <c r="N32" s="53">
        <v>26.1</v>
      </c>
      <c r="O32" s="53">
        <v>0</v>
      </c>
      <c r="P32" s="53">
        <v>0.53</v>
      </c>
      <c r="Q32" s="53">
        <v>9.7799999999999994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3.15</v>
      </c>
      <c r="D34" s="28">
        <f t="shared" si="0"/>
        <v>7.23</v>
      </c>
      <c r="E34" s="28">
        <f t="shared" si="0"/>
        <v>3.35</v>
      </c>
      <c r="F34" s="28">
        <f t="shared" si="0"/>
        <v>3.31</v>
      </c>
      <c r="G34" s="28">
        <f t="shared" si="0"/>
        <v>36.29</v>
      </c>
      <c r="H34" s="28">
        <f t="shared" si="0"/>
        <v>4.74</v>
      </c>
      <c r="I34" s="28">
        <f t="shared" si="0"/>
        <v>0.83</v>
      </c>
      <c r="J34" s="28">
        <f t="shared" si="0"/>
        <v>0.43</v>
      </c>
      <c r="K34" s="28">
        <f t="shared" si="0"/>
        <v>323.89999999999998</v>
      </c>
      <c r="L34" s="28">
        <f t="shared" si="0"/>
        <v>23.29</v>
      </c>
      <c r="M34" s="28">
        <f t="shared" si="0"/>
        <v>61.69</v>
      </c>
      <c r="N34" s="28">
        <f t="shared" si="0"/>
        <v>25.6</v>
      </c>
      <c r="O34" s="28">
        <f t="shared" si="0"/>
        <v>0</v>
      </c>
      <c r="P34" s="28">
        <f t="shared" si="0"/>
        <v>0.33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4.33</v>
      </c>
      <c r="C35" s="29">
        <f t="shared" si="1"/>
        <v>3.25</v>
      </c>
      <c r="D35" s="29">
        <f t="shared" si="1"/>
        <v>7.35</v>
      </c>
      <c r="E35" s="29">
        <f t="shared" si="1"/>
        <v>5.27</v>
      </c>
      <c r="F35" s="29">
        <f t="shared" si="1"/>
        <v>6.09</v>
      </c>
      <c r="G35" s="29">
        <f t="shared" si="1"/>
        <v>68.790000000000006</v>
      </c>
      <c r="H35" s="29">
        <f t="shared" si="1"/>
        <v>60.8</v>
      </c>
      <c r="I35" s="29">
        <f t="shared" si="1"/>
        <v>3.51</v>
      </c>
      <c r="J35" s="29">
        <f t="shared" si="1"/>
        <v>2.66</v>
      </c>
      <c r="K35" s="29">
        <f t="shared" si="1"/>
        <v>356.3</v>
      </c>
      <c r="L35" s="29">
        <f t="shared" si="1"/>
        <v>33.299999999999997</v>
      </c>
      <c r="M35" s="29">
        <f t="shared" si="1"/>
        <v>101.7</v>
      </c>
      <c r="N35" s="29">
        <f t="shared" si="1"/>
        <v>986.7</v>
      </c>
      <c r="O35" s="29">
        <f t="shared" si="1"/>
        <v>0</v>
      </c>
      <c r="P35" s="29">
        <f t="shared" si="1"/>
        <v>0.68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4.2712499999999993</v>
      </c>
      <c r="C36" s="28">
        <f t="shared" si="2"/>
        <v>3.1858333333333331</v>
      </c>
      <c r="D36" s="28">
        <f t="shared" si="2"/>
        <v>7.2766666666666673</v>
      </c>
      <c r="E36" s="28">
        <f t="shared" si="2"/>
        <v>4.3395833333333345</v>
      </c>
      <c r="F36" s="28">
        <f t="shared" si="2"/>
        <v>4.4620833333333332</v>
      </c>
      <c r="G36" s="28">
        <f t="shared" si="2"/>
        <v>46.655000000000001</v>
      </c>
      <c r="H36" s="28">
        <f t="shared" si="2"/>
        <v>18.162083333333328</v>
      </c>
      <c r="I36" s="28">
        <f t="shared" si="2"/>
        <v>2.0020833333333332</v>
      </c>
      <c r="J36" s="28">
        <f t="shared" si="2"/>
        <v>1.0841666666666667</v>
      </c>
      <c r="K36" s="28">
        <f t="shared" si="2"/>
        <v>337.14708333333334</v>
      </c>
      <c r="L36" s="28">
        <f t="shared" si="2"/>
        <v>27.510833333333327</v>
      </c>
      <c r="M36" s="28">
        <f t="shared" si="2"/>
        <v>83.55291666666669</v>
      </c>
      <c r="N36" s="28">
        <f t="shared" si="2"/>
        <v>235.22916666666666</v>
      </c>
      <c r="O36" s="28">
        <f t="shared" si="2"/>
        <v>0</v>
      </c>
      <c r="P36" s="28">
        <f t="shared" si="2"/>
        <v>0.42</v>
      </c>
      <c r="Q36" s="28">
        <f t="shared" si="2"/>
        <v>9.6329166666666666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2.9972813768770326E-2</v>
      </c>
      <c r="C37" s="28">
        <f t="shared" ref="C37:Q37" si="3">STDEV(C9:C32)</f>
        <v>2.9769647026089713E-2</v>
      </c>
      <c r="D37" s="28">
        <f t="shared" si="3"/>
        <v>3.4974110507589709E-2</v>
      </c>
      <c r="E37" s="28">
        <f t="shared" si="3"/>
        <v>0.44974852071357574</v>
      </c>
      <c r="F37" s="28">
        <f t="shared" si="3"/>
        <v>0.74299616223870557</v>
      </c>
      <c r="G37" s="28">
        <f t="shared" si="3"/>
        <v>9.0769799612751729</v>
      </c>
      <c r="H37" s="28">
        <f t="shared" si="3"/>
        <v>12.492845249483256</v>
      </c>
      <c r="I37" s="28">
        <f t="shared" si="3"/>
        <v>0.88690953004957351</v>
      </c>
      <c r="J37" s="28">
        <f t="shared" si="3"/>
        <v>0.64133635390532773</v>
      </c>
      <c r="K37" s="28">
        <f t="shared" si="3"/>
        <v>10.762433650420812</v>
      </c>
      <c r="L37" s="28">
        <f t="shared" si="3"/>
        <v>3.3565729373958626</v>
      </c>
      <c r="M37" s="28">
        <f t="shared" si="3"/>
        <v>15.954155647590159</v>
      </c>
      <c r="N37" s="28">
        <f t="shared" si="3"/>
        <v>304.0579971552433</v>
      </c>
      <c r="O37" s="28">
        <f t="shared" si="3"/>
        <v>0</v>
      </c>
      <c r="P37" s="28">
        <f t="shared" si="3"/>
        <v>0.10056362900303914</v>
      </c>
      <c r="Q37" s="28">
        <f t="shared" si="3"/>
        <v>8.0243063721185962E-2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420</v>
      </c>
      <c r="B9" s="53">
        <v>4.2699999999999996</v>
      </c>
      <c r="C9" s="53">
        <v>3.19</v>
      </c>
      <c r="D9" s="53">
        <v>7.26</v>
      </c>
      <c r="E9" s="53">
        <v>5.6</v>
      </c>
      <c r="F9" s="53">
        <v>3.44</v>
      </c>
      <c r="G9" s="53">
        <v>46.19</v>
      </c>
      <c r="H9" s="53">
        <v>60.8</v>
      </c>
      <c r="I9" s="53">
        <v>2.13</v>
      </c>
      <c r="J9" s="53">
        <v>0.7</v>
      </c>
      <c r="K9" s="53">
        <v>342.33</v>
      </c>
      <c r="L9" s="53">
        <v>25.01</v>
      </c>
      <c r="M9" s="53">
        <v>91.82</v>
      </c>
      <c r="N9" s="53">
        <v>26</v>
      </c>
      <c r="O9" s="53">
        <v>0</v>
      </c>
      <c r="P9" s="53">
        <v>0.46</v>
      </c>
      <c r="Q9" s="53">
        <v>9.7200000000000006</v>
      </c>
      <c r="R9" s="43"/>
      <c r="S9" s="43"/>
      <c r="T9" s="43"/>
      <c r="U9" s="43"/>
    </row>
    <row r="10" spans="1:21" s="11" customFormat="1" x14ac:dyDescent="0.25">
      <c r="A10" s="52" t="s">
        <v>421</v>
      </c>
      <c r="B10" s="53">
        <v>4.29</v>
      </c>
      <c r="C10" s="53">
        <v>3.17</v>
      </c>
      <c r="D10" s="53">
        <v>7.28</v>
      </c>
      <c r="E10" s="53">
        <v>5.59</v>
      </c>
      <c r="F10" s="53">
        <v>3.72</v>
      </c>
      <c r="G10" s="53">
        <v>37.96</v>
      </c>
      <c r="H10" s="53">
        <v>8.51</v>
      </c>
      <c r="I10" s="53">
        <v>1.61</v>
      </c>
      <c r="J10" s="53">
        <v>0.72</v>
      </c>
      <c r="K10" s="53">
        <v>340.66</v>
      </c>
      <c r="L10" s="53">
        <v>24.73</v>
      </c>
      <c r="M10" s="53">
        <v>92.54</v>
      </c>
      <c r="N10" s="53">
        <v>26.1</v>
      </c>
      <c r="O10" s="53">
        <v>0</v>
      </c>
      <c r="P10" s="53">
        <v>0.39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422</v>
      </c>
      <c r="B11" s="53">
        <v>4.2699999999999996</v>
      </c>
      <c r="C11" s="53">
        <v>3.16</v>
      </c>
      <c r="D11" s="53">
        <v>7.26</v>
      </c>
      <c r="E11" s="53">
        <v>5.8</v>
      </c>
      <c r="F11" s="53">
        <v>4.51</v>
      </c>
      <c r="G11" s="53">
        <v>36.31</v>
      </c>
      <c r="H11" s="53">
        <v>11.59</v>
      </c>
      <c r="I11" s="53">
        <v>1.52</v>
      </c>
      <c r="J11" s="53">
        <v>0.65</v>
      </c>
      <c r="K11" s="53">
        <v>346.55</v>
      </c>
      <c r="L11" s="53">
        <v>24.6</v>
      </c>
      <c r="M11" s="53">
        <v>94.06</v>
      </c>
      <c r="N11" s="53">
        <v>26.1</v>
      </c>
      <c r="O11" s="53">
        <v>0</v>
      </c>
      <c r="P11" s="53">
        <v>0.38</v>
      </c>
      <c r="Q11" s="53">
        <v>9.57</v>
      </c>
      <c r="R11" s="43"/>
      <c r="S11" s="43"/>
      <c r="T11" s="43"/>
      <c r="U11" s="43"/>
    </row>
    <row r="12" spans="1:21" s="11" customFormat="1" x14ac:dyDescent="0.25">
      <c r="A12" s="52" t="s">
        <v>423</v>
      </c>
      <c r="B12" s="53">
        <v>4.24</v>
      </c>
      <c r="C12" s="53">
        <v>3.2</v>
      </c>
      <c r="D12" s="53">
        <v>7.25</v>
      </c>
      <c r="E12" s="53">
        <v>6.17</v>
      </c>
      <c r="F12" s="53">
        <v>4.59</v>
      </c>
      <c r="G12" s="53">
        <v>32.61</v>
      </c>
      <c r="H12" s="53">
        <v>11.59</v>
      </c>
      <c r="I12" s="53">
        <v>1.48</v>
      </c>
      <c r="J12" s="53">
        <v>0.75</v>
      </c>
      <c r="K12" s="53">
        <v>333.42</v>
      </c>
      <c r="L12" s="53">
        <v>24.27</v>
      </c>
      <c r="M12" s="53">
        <v>95.79</v>
      </c>
      <c r="N12" s="53">
        <v>26.1</v>
      </c>
      <c r="O12" s="53">
        <v>0</v>
      </c>
      <c r="P12" s="53">
        <v>0.34</v>
      </c>
      <c r="Q12" s="53">
        <v>9.52</v>
      </c>
      <c r="R12" s="43"/>
      <c r="S12" s="43"/>
      <c r="T12" s="43"/>
      <c r="U12" s="43"/>
    </row>
    <row r="13" spans="1:21" s="11" customFormat="1" x14ac:dyDescent="0.25">
      <c r="A13" s="52" t="s">
        <v>424</v>
      </c>
      <c r="B13" s="53">
        <v>4.2699999999999996</v>
      </c>
      <c r="C13" s="53">
        <v>3.16</v>
      </c>
      <c r="D13" s="53">
        <v>7.26</v>
      </c>
      <c r="E13" s="53">
        <v>4.45</v>
      </c>
      <c r="F13" s="53">
        <v>4.01</v>
      </c>
      <c r="G13" s="53">
        <v>27.57</v>
      </c>
      <c r="H13" s="53">
        <v>40.659999999999997</v>
      </c>
      <c r="I13" s="53">
        <v>1.4</v>
      </c>
      <c r="J13" s="53">
        <v>0.78</v>
      </c>
      <c r="K13" s="53">
        <v>329.62</v>
      </c>
      <c r="L13" s="53">
        <v>24.12</v>
      </c>
      <c r="M13" s="53">
        <v>96.53</v>
      </c>
      <c r="N13" s="53">
        <v>26.1</v>
      </c>
      <c r="O13" s="53">
        <v>0</v>
      </c>
      <c r="P13" s="53">
        <v>0.3</v>
      </c>
      <c r="Q13" s="53">
        <v>9.52</v>
      </c>
      <c r="R13" s="43"/>
      <c r="S13" s="43"/>
      <c r="T13" s="43"/>
      <c r="U13" s="43"/>
    </row>
    <row r="14" spans="1:21" s="11" customFormat="1" x14ac:dyDescent="0.25">
      <c r="A14" s="52" t="s">
        <v>425</v>
      </c>
      <c r="B14" s="53">
        <v>4.28</v>
      </c>
      <c r="C14" s="53">
        <v>3.22</v>
      </c>
      <c r="D14" s="53">
        <v>7.3</v>
      </c>
      <c r="E14" s="53">
        <v>4.3</v>
      </c>
      <c r="F14" s="53">
        <v>3.72</v>
      </c>
      <c r="G14" s="53">
        <v>25.59</v>
      </c>
      <c r="H14" s="53">
        <v>40.659999999999997</v>
      </c>
      <c r="I14" s="53">
        <v>1.37</v>
      </c>
      <c r="J14" s="53">
        <v>0.71</v>
      </c>
      <c r="K14" s="53">
        <v>336.99</v>
      </c>
      <c r="L14" s="53">
        <v>24.12</v>
      </c>
      <c r="M14" s="53">
        <v>97.75</v>
      </c>
      <c r="N14" s="53">
        <v>27.7</v>
      </c>
      <c r="O14" s="53">
        <v>0</v>
      </c>
      <c r="P14" s="53">
        <v>0.27</v>
      </c>
      <c r="Q14" s="53">
        <v>9.5399999999999991</v>
      </c>
      <c r="R14" s="43"/>
      <c r="S14" s="43"/>
      <c r="T14" s="43"/>
      <c r="U14" s="43"/>
    </row>
    <row r="15" spans="1:21" s="11" customFormat="1" x14ac:dyDescent="0.25">
      <c r="A15" s="52" t="s">
        <v>426</v>
      </c>
      <c r="B15" s="53">
        <v>4.2699999999999996</v>
      </c>
      <c r="C15" s="53">
        <v>3.21</v>
      </c>
      <c r="D15" s="53">
        <v>7.28</v>
      </c>
      <c r="E15" s="53">
        <v>4.45</v>
      </c>
      <c r="F15" s="53">
        <v>4.4800000000000004</v>
      </c>
      <c r="G15" s="53">
        <v>25.21</v>
      </c>
      <c r="H15" s="53">
        <v>9.83</v>
      </c>
      <c r="I15" s="53">
        <v>1.27</v>
      </c>
      <c r="J15" s="53">
        <v>0.82</v>
      </c>
      <c r="K15" s="53">
        <v>332.79</v>
      </c>
      <c r="L15" s="53">
        <v>24.22</v>
      </c>
      <c r="M15" s="53">
        <v>97.76</v>
      </c>
      <c r="N15" s="53">
        <v>55.1</v>
      </c>
      <c r="O15" s="53">
        <v>0</v>
      </c>
      <c r="P15" s="53">
        <v>0.28000000000000003</v>
      </c>
      <c r="Q15" s="53">
        <v>9.52</v>
      </c>
      <c r="R15" s="43"/>
      <c r="S15" s="43"/>
      <c r="T15" s="43"/>
      <c r="U15" s="43"/>
    </row>
    <row r="16" spans="1:21" s="11" customFormat="1" x14ac:dyDescent="0.25">
      <c r="A16" s="52" t="s">
        <v>427</v>
      </c>
      <c r="B16" s="53">
        <v>4.2300000000000004</v>
      </c>
      <c r="C16" s="53">
        <v>3.14</v>
      </c>
      <c r="D16" s="53">
        <v>7.22</v>
      </c>
      <c r="E16" s="53">
        <v>4.47</v>
      </c>
      <c r="F16" s="53">
        <v>4.4400000000000004</v>
      </c>
      <c r="G16" s="53">
        <v>32.93</v>
      </c>
      <c r="H16" s="53">
        <v>31.07</v>
      </c>
      <c r="I16" s="53">
        <v>1.33</v>
      </c>
      <c r="J16" s="53">
        <v>0.78</v>
      </c>
      <c r="K16" s="53">
        <v>335.11</v>
      </c>
      <c r="L16" s="53">
        <v>24.42</v>
      </c>
      <c r="M16" s="53">
        <v>99.43</v>
      </c>
      <c r="N16" s="53">
        <v>70</v>
      </c>
      <c r="O16" s="53">
        <v>0</v>
      </c>
      <c r="P16" s="53">
        <v>0.3</v>
      </c>
      <c r="Q16" s="53">
        <v>9.56</v>
      </c>
      <c r="R16" s="43"/>
      <c r="S16" s="43"/>
      <c r="T16" s="43"/>
      <c r="U16" s="43"/>
    </row>
    <row r="17" spans="1:21" s="11" customFormat="1" x14ac:dyDescent="0.25">
      <c r="A17" s="52" t="s">
        <v>428</v>
      </c>
      <c r="B17" s="53">
        <v>4.2699999999999996</v>
      </c>
      <c r="C17" s="53">
        <v>3.22</v>
      </c>
      <c r="D17" s="53">
        <v>7.29</v>
      </c>
      <c r="E17" s="53">
        <v>3.29</v>
      </c>
      <c r="F17" s="53">
        <v>4.6399999999999997</v>
      </c>
      <c r="G17" s="53">
        <v>32.93</v>
      </c>
      <c r="H17" s="53">
        <v>33.39</v>
      </c>
      <c r="I17" s="53">
        <v>1.36</v>
      </c>
      <c r="J17" s="53">
        <v>0.79</v>
      </c>
      <c r="K17" s="53">
        <v>347.02</v>
      </c>
      <c r="L17" s="53">
        <v>24.59</v>
      </c>
      <c r="M17" s="53">
        <v>100.44</v>
      </c>
      <c r="N17" s="53">
        <v>106.9</v>
      </c>
      <c r="O17" s="53">
        <v>0</v>
      </c>
      <c r="P17" s="53">
        <v>0.31</v>
      </c>
      <c r="Q17" s="53">
        <v>9.56</v>
      </c>
      <c r="R17" s="43"/>
      <c r="S17" s="43"/>
      <c r="T17" s="43"/>
      <c r="U17" s="43"/>
    </row>
    <row r="18" spans="1:21" s="11" customFormat="1" x14ac:dyDescent="0.25">
      <c r="A18" s="52" t="s">
        <v>429</v>
      </c>
      <c r="B18" s="53">
        <v>4.29</v>
      </c>
      <c r="C18" s="53">
        <v>3.22</v>
      </c>
      <c r="D18" s="53">
        <v>7.31</v>
      </c>
      <c r="E18" s="53">
        <v>3.29</v>
      </c>
      <c r="F18" s="53">
        <v>3.91</v>
      </c>
      <c r="G18" s="53">
        <v>32.1</v>
      </c>
      <c r="H18" s="53">
        <v>33.39</v>
      </c>
      <c r="I18" s="53">
        <v>1.2</v>
      </c>
      <c r="J18" s="53">
        <v>2.0699999999999998</v>
      </c>
      <c r="K18" s="53">
        <v>328.3</v>
      </c>
      <c r="L18" s="53">
        <v>26.02</v>
      </c>
      <c r="M18" s="53">
        <v>95.43</v>
      </c>
      <c r="N18" s="53">
        <v>193</v>
      </c>
      <c r="O18" s="53">
        <v>0</v>
      </c>
      <c r="P18" s="53">
        <v>0.35</v>
      </c>
      <c r="Q18" s="53">
        <v>9.5299999999999994</v>
      </c>
      <c r="R18" s="43"/>
      <c r="S18" s="43"/>
      <c r="T18" s="43"/>
      <c r="U18" s="43"/>
    </row>
    <row r="19" spans="1:21" s="11" customFormat="1" x14ac:dyDescent="0.25">
      <c r="A19" s="52" t="s">
        <v>430</v>
      </c>
      <c r="B19" s="53">
        <v>4.3</v>
      </c>
      <c r="C19" s="53">
        <v>3.19</v>
      </c>
      <c r="D19" s="53">
        <v>7.3</v>
      </c>
      <c r="E19" s="53">
        <v>3.47</v>
      </c>
      <c r="F19" s="53">
        <v>3.95</v>
      </c>
      <c r="G19" s="53">
        <v>37.200000000000003</v>
      </c>
      <c r="H19" s="53">
        <v>31.76</v>
      </c>
      <c r="I19" s="53">
        <v>1.1299999999999999</v>
      </c>
      <c r="J19" s="53">
        <v>1.72</v>
      </c>
      <c r="K19" s="53">
        <v>322.64999999999998</v>
      </c>
      <c r="L19" s="53">
        <v>28.47</v>
      </c>
      <c r="M19" s="53">
        <v>87.88</v>
      </c>
      <c r="N19" s="53">
        <v>406.5</v>
      </c>
      <c r="O19" s="53">
        <v>0</v>
      </c>
      <c r="P19" s="53">
        <v>0.38</v>
      </c>
      <c r="Q19" s="53">
        <v>9.56</v>
      </c>
      <c r="R19" s="43"/>
      <c r="S19" s="43"/>
      <c r="T19" s="43"/>
      <c r="U19" s="43"/>
    </row>
    <row r="20" spans="1:21" s="11" customFormat="1" x14ac:dyDescent="0.25">
      <c r="A20" s="52" t="s">
        <v>431</v>
      </c>
      <c r="B20" s="53">
        <v>4.26</v>
      </c>
      <c r="C20" s="53">
        <v>3.24</v>
      </c>
      <c r="D20" s="53">
        <v>7.29</v>
      </c>
      <c r="E20" s="53">
        <v>3.89</v>
      </c>
      <c r="F20" s="53">
        <v>5.32</v>
      </c>
      <c r="G20" s="53">
        <v>38.72</v>
      </c>
      <c r="H20" s="53">
        <v>35.42</v>
      </c>
      <c r="I20" s="53">
        <v>1.1200000000000001</v>
      </c>
      <c r="J20" s="53">
        <v>2.0299999999999998</v>
      </c>
      <c r="K20" s="53">
        <v>320.38</v>
      </c>
      <c r="L20" s="53">
        <v>30.67</v>
      </c>
      <c r="M20" s="53">
        <v>77.239999999999995</v>
      </c>
      <c r="N20" s="53">
        <v>649.5</v>
      </c>
      <c r="O20" s="53">
        <v>0</v>
      </c>
      <c r="P20" s="53">
        <v>0.4</v>
      </c>
      <c r="Q20" s="53">
        <v>9.6</v>
      </c>
      <c r="R20" s="43"/>
      <c r="S20" s="43"/>
      <c r="T20" s="43"/>
      <c r="U20" s="43"/>
    </row>
    <row r="21" spans="1:21" s="11" customFormat="1" x14ac:dyDescent="0.25">
      <c r="A21" s="52" t="s">
        <v>432</v>
      </c>
      <c r="B21" s="53">
        <v>4.2300000000000004</v>
      </c>
      <c r="C21" s="53">
        <v>3.15</v>
      </c>
      <c r="D21" s="53">
        <v>7.23</v>
      </c>
      <c r="E21" s="53">
        <v>4.42</v>
      </c>
      <c r="F21" s="53">
        <v>5.57</v>
      </c>
      <c r="G21" s="53">
        <v>38.72</v>
      </c>
      <c r="H21" s="53">
        <v>35.42</v>
      </c>
      <c r="I21" s="53">
        <v>1.07</v>
      </c>
      <c r="J21" s="53">
        <v>3.09</v>
      </c>
      <c r="K21" s="53">
        <v>329.5</v>
      </c>
      <c r="L21" s="53">
        <v>29.57</v>
      </c>
      <c r="M21" s="53">
        <v>88.38</v>
      </c>
      <c r="N21" s="53">
        <v>252.4</v>
      </c>
      <c r="O21" s="53">
        <v>0</v>
      </c>
      <c r="P21" s="53">
        <v>0.39</v>
      </c>
      <c r="Q21" s="53">
        <v>9.5500000000000007</v>
      </c>
      <c r="R21" s="43"/>
      <c r="S21" s="43"/>
      <c r="T21" s="43"/>
      <c r="U21" s="43"/>
    </row>
    <row r="22" spans="1:21" s="11" customFormat="1" x14ac:dyDescent="0.25">
      <c r="A22" s="52" t="s">
        <v>433</v>
      </c>
      <c r="B22" s="53">
        <v>4.3</v>
      </c>
      <c r="C22" s="53">
        <v>3.2</v>
      </c>
      <c r="D22" s="53">
        <v>7.31</v>
      </c>
      <c r="E22" s="53">
        <v>4.45</v>
      </c>
      <c r="F22" s="53">
        <v>4.38</v>
      </c>
      <c r="G22" s="53">
        <v>37.06</v>
      </c>
      <c r="H22" s="53">
        <v>35.42</v>
      </c>
      <c r="I22" s="53">
        <v>0.95</v>
      </c>
      <c r="J22" s="53">
        <v>1.69</v>
      </c>
      <c r="K22" s="53">
        <v>323.7</v>
      </c>
      <c r="L22" s="53">
        <v>26.87</v>
      </c>
      <c r="M22" s="53">
        <v>94.06</v>
      </c>
      <c r="N22" s="53">
        <v>179.1</v>
      </c>
      <c r="O22" s="53">
        <v>0</v>
      </c>
      <c r="P22" s="53">
        <v>0.39</v>
      </c>
      <c r="Q22" s="53">
        <v>9.56</v>
      </c>
      <c r="R22" s="43"/>
      <c r="S22" s="43"/>
      <c r="T22" s="43"/>
      <c r="U22" s="43"/>
    </row>
    <row r="23" spans="1:21" s="11" customFormat="1" x14ac:dyDescent="0.25">
      <c r="A23" s="52" t="s">
        <v>434</v>
      </c>
      <c r="B23" s="53">
        <v>4.28</v>
      </c>
      <c r="C23" s="53">
        <v>3.21</v>
      </c>
      <c r="D23" s="53">
        <v>7.28</v>
      </c>
      <c r="E23" s="53">
        <v>4.2</v>
      </c>
      <c r="F23" s="53">
        <v>4.8</v>
      </c>
      <c r="G23" s="53">
        <v>40.729999999999997</v>
      </c>
      <c r="H23" s="53">
        <v>37.01</v>
      </c>
      <c r="I23" s="53">
        <v>1.05</v>
      </c>
      <c r="J23" s="53">
        <v>1.66</v>
      </c>
      <c r="K23" s="53">
        <v>324.61</v>
      </c>
      <c r="L23" s="53">
        <v>26.47</v>
      </c>
      <c r="M23" s="53">
        <v>89.77</v>
      </c>
      <c r="N23" s="53">
        <v>98.4</v>
      </c>
      <c r="O23" s="53">
        <v>0</v>
      </c>
      <c r="P23" s="53">
        <v>0.41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435</v>
      </c>
      <c r="B24" s="53">
        <v>4.25</v>
      </c>
      <c r="C24" s="53">
        <v>3.2</v>
      </c>
      <c r="D24" s="53">
        <v>7.26</v>
      </c>
      <c r="E24" s="53">
        <v>5.48</v>
      </c>
      <c r="F24" s="53">
        <v>4.5199999999999996</v>
      </c>
      <c r="G24" s="53">
        <v>40.729999999999997</v>
      </c>
      <c r="H24" s="53">
        <v>15.54</v>
      </c>
      <c r="I24" s="53">
        <v>1.05</v>
      </c>
      <c r="J24" s="53">
        <v>1.67</v>
      </c>
      <c r="K24" s="53">
        <v>327.56</v>
      </c>
      <c r="L24" s="53">
        <v>26.29</v>
      </c>
      <c r="M24" s="53">
        <v>88.9</v>
      </c>
      <c r="N24" s="53">
        <v>88</v>
      </c>
      <c r="O24" s="53">
        <v>0</v>
      </c>
      <c r="P24" s="53">
        <v>0.42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436</v>
      </c>
      <c r="B25" s="53">
        <v>4.24</v>
      </c>
      <c r="C25" s="53">
        <v>3.19</v>
      </c>
      <c r="D25" s="53">
        <v>7.24</v>
      </c>
      <c r="E25" s="53">
        <v>5.01</v>
      </c>
      <c r="F25" s="53">
        <v>4.8600000000000003</v>
      </c>
      <c r="G25" s="53">
        <v>41.23</v>
      </c>
      <c r="H25" s="53">
        <v>11.51</v>
      </c>
      <c r="I25" s="53">
        <v>1.0900000000000001</v>
      </c>
      <c r="J25" s="53">
        <v>1.03</v>
      </c>
      <c r="K25" s="53">
        <v>333.43</v>
      </c>
      <c r="L25" s="53">
        <v>26.77</v>
      </c>
      <c r="M25" s="53">
        <v>89.97</v>
      </c>
      <c r="N25" s="53">
        <v>106.6</v>
      </c>
      <c r="O25" s="53">
        <v>0</v>
      </c>
      <c r="P25" s="53">
        <v>0.43</v>
      </c>
      <c r="Q25" s="53">
        <v>9.66</v>
      </c>
      <c r="R25" s="43"/>
      <c r="S25" s="43"/>
      <c r="T25" s="43"/>
      <c r="U25" s="43"/>
    </row>
    <row r="26" spans="1:21" s="11" customFormat="1" x14ac:dyDescent="0.25">
      <c r="A26" s="52" t="s">
        <v>437</v>
      </c>
      <c r="B26" s="53">
        <v>4.29</v>
      </c>
      <c r="C26" s="53">
        <v>3.24</v>
      </c>
      <c r="D26" s="53">
        <v>7.32</v>
      </c>
      <c r="E26" s="53">
        <v>5.19</v>
      </c>
      <c r="F26" s="53">
        <v>4.0599999999999996</v>
      </c>
      <c r="G26" s="53">
        <v>42.65</v>
      </c>
      <c r="H26" s="53">
        <v>5.3</v>
      </c>
      <c r="I26" s="53">
        <v>1.08</v>
      </c>
      <c r="J26" s="53">
        <v>1.42</v>
      </c>
      <c r="K26" s="53">
        <v>335.81</v>
      </c>
      <c r="L26" s="53">
        <v>26.71</v>
      </c>
      <c r="M26" s="53">
        <v>88.83</v>
      </c>
      <c r="N26" s="53">
        <v>78.7</v>
      </c>
      <c r="O26" s="53">
        <v>0</v>
      </c>
      <c r="P26" s="53">
        <v>0.42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438</v>
      </c>
      <c r="B27" s="53">
        <v>4.28</v>
      </c>
      <c r="C27" s="53">
        <v>3.17</v>
      </c>
      <c r="D27" s="53">
        <v>7.27</v>
      </c>
      <c r="E27" s="53">
        <v>4.91</v>
      </c>
      <c r="F27" s="53">
        <v>4.45</v>
      </c>
      <c r="G27" s="53">
        <v>42.65</v>
      </c>
      <c r="H27" s="53">
        <v>2.54</v>
      </c>
      <c r="I27" s="53">
        <v>1.02</v>
      </c>
      <c r="J27" s="53">
        <v>1.24</v>
      </c>
      <c r="K27" s="53">
        <v>331.94</v>
      </c>
      <c r="L27" s="53">
        <v>25.7</v>
      </c>
      <c r="M27" s="53">
        <v>89.63</v>
      </c>
      <c r="N27" s="53">
        <v>27.1</v>
      </c>
      <c r="O27" s="53">
        <v>0</v>
      </c>
      <c r="P27" s="53">
        <v>0.42</v>
      </c>
      <c r="Q27" s="53">
        <v>9.59</v>
      </c>
      <c r="R27" s="43"/>
      <c r="S27" s="43"/>
      <c r="T27" s="43"/>
      <c r="U27" s="43"/>
    </row>
    <row r="28" spans="1:21" s="11" customFormat="1" x14ac:dyDescent="0.25">
      <c r="A28" s="52" t="s">
        <v>439</v>
      </c>
      <c r="B28" s="53">
        <v>4.25</v>
      </c>
      <c r="C28" s="53">
        <v>3.17</v>
      </c>
      <c r="D28" s="53">
        <v>7.23</v>
      </c>
      <c r="E28" s="53">
        <v>5.15</v>
      </c>
      <c r="F28" s="53">
        <v>4.7699999999999996</v>
      </c>
      <c r="G28" s="53">
        <v>41.6</v>
      </c>
      <c r="H28" s="53">
        <v>10.15</v>
      </c>
      <c r="I28" s="53">
        <v>1.05</v>
      </c>
      <c r="J28" s="53">
        <v>1.36</v>
      </c>
      <c r="K28" s="53">
        <v>325.74</v>
      </c>
      <c r="L28" s="53">
        <v>25.02</v>
      </c>
      <c r="M28" s="53">
        <v>93.65</v>
      </c>
      <c r="N28" s="53">
        <v>26.1</v>
      </c>
      <c r="O28" s="53">
        <v>0</v>
      </c>
      <c r="P28" s="53">
        <v>0.44</v>
      </c>
      <c r="Q28" s="53">
        <v>9.56</v>
      </c>
      <c r="R28" s="43"/>
      <c r="S28" s="43"/>
      <c r="T28" s="43"/>
      <c r="U28" s="43"/>
    </row>
    <row r="29" spans="1:21" s="11" customFormat="1" x14ac:dyDescent="0.25">
      <c r="A29" s="52" t="s">
        <v>440</v>
      </c>
      <c r="B29" s="53">
        <v>4.2300000000000004</v>
      </c>
      <c r="C29" s="53">
        <v>3.22</v>
      </c>
      <c r="D29" s="53">
        <v>7.26</v>
      </c>
      <c r="E29" s="53">
        <v>4.1900000000000004</v>
      </c>
      <c r="F29" s="53">
        <v>4.5</v>
      </c>
      <c r="G29" s="53">
        <v>39.979999999999997</v>
      </c>
      <c r="H29" s="53">
        <v>10.15</v>
      </c>
      <c r="I29" s="53">
        <v>1.06</v>
      </c>
      <c r="J29" s="53">
        <v>2.17</v>
      </c>
      <c r="K29" s="53">
        <v>322.83</v>
      </c>
      <c r="L29" s="53">
        <v>24.68</v>
      </c>
      <c r="M29" s="53">
        <v>93.99</v>
      </c>
      <c r="N29" s="53">
        <v>26.3</v>
      </c>
      <c r="O29" s="53">
        <v>0</v>
      </c>
      <c r="P29" s="53">
        <v>0.43</v>
      </c>
      <c r="Q29" s="53">
        <v>9.57</v>
      </c>
      <c r="R29" s="43"/>
      <c r="S29" s="43"/>
      <c r="T29" s="43"/>
      <c r="U29" s="43"/>
    </row>
    <row r="30" spans="1:21" s="11" customFormat="1" x14ac:dyDescent="0.25">
      <c r="A30" s="52" t="s">
        <v>441</v>
      </c>
      <c r="B30" s="53">
        <v>4.28</v>
      </c>
      <c r="C30" s="53">
        <v>3.16</v>
      </c>
      <c r="D30" s="53">
        <v>7.28</v>
      </c>
      <c r="E30" s="53">
        <v>4.05</v>
      </c>
      <c r="F30" s="53">
        <v>5.15</v>
      </c>
      <c r="G30" s="53">
        <v>39.979999999999997</v>
      </c>
      <c r="H30" s="53">
        <v>10.15</v>
      </c>
      <c r="I30" s="53">
        <v>1.04</v>
      </c>
      <c r="J30" s="53">
        <v>2.2200000000000002</v>
      </c>
      <c r="K30" s="53">
        <v>324.23</v>
      </c>
      <c r="L30" s="53">
        <v>24.16</v>
      </c>
      <c r="M30" s="53">
        <v>90.47</v>
      </c>
      <c r="N30" s="53">
        <v>26.5</v>
      </c>
      <c r="O30" s="53">
        <v>0</v>
      </c>
      <c r="P30" s="53">
        <v>0.42</v>
      </c>
      <c r="Q30" s="53">
        <v>9.5299999999999994</v>
      </c>
      <c r="R30" s="43"/>
      <c r="S30" s="43"/>
      <c r="T30" s="43"/>
      <c r="U30" s="43"/>
    </row>
    <row r="31" spans="1:21" s="11" customFormat="1" x14ac:dyDescent="0.25">
      <c r="A31" s="52" t="s">
        <v>442</v>
      </c>
      <c r="B31" s="53">
        <v>4.29</v>
      </c>
      <c r="C31" s="53">
        <v>3.26</v>
      </c>
      <c r="D31" s="53">
        <v>7.33</v>
      </c>
      <c r="E31" s="53">
        <v>4.3</v>
      </c>
      <c r="F31" s="53">
        <v>4.21</v>
      </c>
      <c r="G31" s="53">
        <v>32.51</v>
      </c>
      <c r="H31" s="53">
        <v>28.98</v>
      </c>
      <c r="I31" s="53">
        <v>0.94</v>
      </c>
      <c r="J31" s="53">
        <v>1.43</v>
      </c>
      <c r="K31" s="53">
        <v>327.13</v>
      </c>
      <c r="L31" s="53">
        <v>23.37</v>
      </c>
      <c r="M31" s="53">
        <v>94.54</v>
      </c>
      <c r="N31" s="53">
        <v>26.2</v>
      </c>
      <c r="O31" s="53">
        <v>0</v>
      </c>
      <c r="P31" s="53">
        <v>0.4</v>
      </c>
      <c r="Q31" s="53">
        <v>9.52</v>
      </c>
      <c r="R31" s="43"/>
      <c r="S31" s="43"/>
      <c r="T31" s="43"/>
      <c r="U31" s="43"/>
    </row>
    <row r="32" spans="1:21" s="11" customFormat="1" x14ac:dyDescent="0.25">
      <c r="A32" s="52" t="s">
        <v>443</v>
      </c>
      <c r="B32" s="53">
        <v>4.26</v>
      </c>
      <c r="C32" s="53">
        <v>3.18</v>
      </c>
      <c r="D32" s="53">
        <v>7.27</v>
      </c>
      <c r="E32" s="53">
        <v>4.09</v>
      </c>
      <c r="F32" s="53">
        <v>5.5</v>
      </c>
      <c r="G32" s="53">
        <v>32.51</v>
      </c>
      <c r="H32" s="53">
        <v>0.57999999999999996</v>
      </c>
      <c r="I32" s="53">
        <v>0.85</v>
      </c>
      <c r="J32" s="53">
        <v>0.84</v>
      </c>
      <c r="K32" s="53">
        <v>347.65</v>
      </c>
      <c r="L32" s="53">
        <v>23.03</v>
      </c>
      <c r="M32" s="53">
        <v>96.43</v>
      </c>
      <c r="N32" s="53">
        <v>26.1</v>
      </c>
      <c r="O32" s="53">
        <v>0</v>
      </c>
      <c r="P32" s="53">
        <v>0.38</v>
      </c>
      <c r="Q32" s="53">
        <v>9.5399999999999991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3.14</v>
      </c>
      <c r="D34" s="28">
        <f t="shared" si="0"/>
        <v>7.22</v>
      </c>
      <c r="E34" s="28">
        <f t="shared" si="0"/>
        <v>3.29</v>
      </c>
      <c r="F34" s="28">
        <f t="shared" si="0"/>
        <v>3.44</v>
      </c>
      <c r="G34" s="28">
        <f t="shared" si="0"/>
        <v>25.21</v>
      </c>
      <c r="H34" s="28">
        <f t="shared" si="0"/>
        <v>0.57999999999999996</v>
      </c>
      <c r="I34" s="28">
        <f t="shared" si="0"/>
        <v>0.85</v>
      </c>
      <c r="J34" s="28">
        <f t="shared" si="0"/>
        <v>0.65</v>
      </c>
      <c r="K34" s="28">
        <f t="shared" si="0"/>
        <v>320.38</v>
      </c>
      <c r="L34" s="28">
        <f t="shared" si="0"/>
        <v>23.03</v>
      </c>
      <c r="M34" s="28">
        <f t="shared" si="0"/>
        <v>77.239999999999995</v>
      </c>
      <c r="N34" s="28">
        <f t="shared" si="0"/>
        <v>26</v>
      </c>
      <c r="O34" s="28">
        <f t="shared" si="0"/>
        <v>0</v>
      </c>
      <c r="P34" s="28">
        <f t="shared" si="0"/>
        <v>0.27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</v>
      </c>
      <c r="C35" s="29">
        <f t="shared" si="1"/>
        <v>3.26</v>
      </c>
      <c r="D35" s="29">
        <f t="shared" si="1"/>
        <v>7.33</v>
      </c>
      <c r="E35" s="29">
        <f t="shared" si="1"/>
        <v>6.17</v>
      </c>
      <c r="F35" s="29">
        <f t="shared" si="1"/>
        <v>5.57</v>
      </c>
      <c r="G35" s="29">
        <f t="shared" si="1"/>
        <v>46.19</v>
      </c>
      <c r="H35" s="29">
        <f t="shared" si="1"/>
        <v>60.8</v>
      </c>
      <c r="I35" s="29">
        <f t="shared" si="1"/>
        <v>2.13</v>
      </c>
      <c r="J35" s="29">
        <f t="shared" si="1"/>
        <v>3.09</v>
      </c>
      <c r="K35" s="29">
        <f t="shared" si="1"/>
        <v>347.65</v>
      </c>
      <c r="L35" s="29">
        <f t="shared" si="1"/>
        <v>30.67</v>
      </c>
      <c r="M35" s="29">
        <f t="shared" si="1"/>
        <v>100.44</v>
      </c>
      <c r="N35" s="29">
        <f t="shared" si="1"/>
        <v>649.5</v>
      </c>
      <c r="O35" s="29">
        <f t="shared" si="1"/>
        <v>0</v>
      </c>
      <c r="P35" s="29">
        <f t="shared" si="1"/>
        <v>0.46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4.267500000000001</v>
      </c>
      <c r="C36" s="28">
        <f t="shared" si="2"/>
        <v>3.194583333333334</v>
      </c>
      <c r="D36" s="28">
        <f t="shared" si="2"/>
        <v>7.2741666666666669</v>
      </c>
      <c r="E36" s="28">
        <f t="shared" si="2"/>
        <v>4.592083333333334</v>
      </c>
      <c r="F36" s="28">
        <f t="shared" si="2"/>
        <v>4.479166666666667</v>
      </c>
      <c r="G36" s="28">
        <f t="shared" si="2"/>
        <v>36.486250000000005</v>
      </c>
      <c r="H36" s="28">
        <f t="shared" si="2"/>
        <v>22.975833333333338</v>
      </c>
      <c r="I36" s="28">
        <f t="shared" si="2"/>
        <v>1.2154166666666668</v>
      </c>
      <c r="J36" s="28">
        <f t="shared" si="2"/>
        <v>1.3475000000000001</v>
      </c>
      <c r="K36" s="28">
        <f t="shared" si="2"/>
        <v>332.08125000000001</v>
      </c>
      <c r="L36" s="28">
        <f t="shared" si="2"/>
        <v>25.578333333333333</v>
      </c>
      <c r="M36" s="28">
        <f t="shared" si="2"/>
        <v>92.720416666666665</v>
      </c>
      <c r="N36" s="28">
        <f t="shared" si="2"/>
        <v>108.35833333333331</v>
      </c>
      <c r="O36" s="28">
        <f t="shared" si="2"/>
        <v>0</v>
      </c>
      <c r="P36" s="28">
        <f t="shared" si="2"/>
        <v>0.37958333333333338</v>
      </c>
      <c r="Q36" s="28">
        <f t="shared" si="2"/>
        <v>9.5733333333333324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2.2116293423234457E-2</v>
      </c>
      <c r="C37" s="28">
        <f t="shared" ref="C37:Q37" si="3">STDEV(C9:C32)</f>
        <v>3.1065032301352255E-2</v>
      </c>
      <c r="D37" s="28">
        <f t="shared" si="3"/>
        <v>2.903021913779508E-2</v>
      </c>
      <c r="E37" s="28">
        <f t="shared" si="3"/>
        <v>0.77944784897731068</v>
      </c>
      <c r="F37" s="28">
        <f t="shared" si="3"/>
        <v>0.55481228056584153</v>
      </c>
      <c r="G37" s="28">
        <f t="shared" si="3"/>
        <v>5.5513937243370028</v>
      </c>
      <c r="H37" s="28">
        <f t="shared" si="3"/>
        <v>15.696213865456373</v>
      </c>
      <c r="I37" s="28">
        <f t="shared" si="3"/>
        <v>0.27794242704852168</v>
      </c>
      <c r="J37" s="28">
        <f t="shared" si="3"/>
        <v>0.64598593335068477</v>
      </c>
      <c r="K37" s="28">
        <f t="shared" si="3"/>
        <v>8.119172324758873</v>
      </c>
      <c r="L37" s="28">
        <f t="shared" si="3"/>
        <v>1.8965705128322876</v>
      </c>
      <c r="M37" s="28">
        <f t="shared" si="3"/>
        <v>4.9038126065042658</v>
      </c>
      <c r="N37" s="28">
        <f t="shared" si="3"/>
        <v>147.59229365020227</v>
      </c>
      <c r="O37" s="28">
        <f t="shared" si="3"/>
        <v>0</v>
      </c>
      <c r="P37" s="28">
        <f t="shared" si="3"/>
        <v>5.3444743237386065E-2</v>
      </c>
      <c r="Q37" s="28">
        <f t="shared" si="3"/>
        <v>5.0188052160949334E-2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444</v>
      </c>
      <c r="B9" s="53">
        <v>4.22</v>
      </c>
      <c r="C9" s="53">
        <v>3.15</v>
      </c>
      <c r="D9" s="53">
        <v>7.22</v>
      </c>
      <c r="E9" s="53">
        <v>3.4</v>
      </c>
      <c r="F9" s="53">
        <v>5.45</v>
      </c>
      <c r="G9" s="53">
        <v>25.82</v>
      </c>
      <c r="H9" s="53">
        <v>15.71</v>
      </c>
      <c r="I9" s="53">
        <v>0.8</v>
      </c>
      <c r="J9" s="53">
        <v>0.79</v>
      </c>
      <c r="K9" s="53">
        <v>351.41</v>
      </c>
      <c r="L9" s="53">
        <v>23.1</v>
      </c>
      <c r="M9" s="53">
        <v>95.96</v>
      </c>
      <c r="N9" s="53">
        <v>26.1</v>
      </c>
      <c r="O9" s="53">
        <v>0</v>
      </c>
      <c r="P9" s="53">
        <v>0.34</v>
      </c>
      <c r="Q9" s="53">
        <v>9.5399999999999991</v>
      </c>
      <c r="R9" s="43"/>
      <c r="S9" s="43"/>
      <c r="T9" s="43"/>
      <c r="U9" s="43"/>
    </row>
    <row r="10" spans="1:21" s="11" customFormat="1" x14ac:dyDescent="0.25">
      <c r="A10" s="52" t="s">
        <v>445</v>
      </c>
      <c r="B10" s="53">
        <v>4.2699999999999996</v>
      </c>
      <c r="C10" s="53">
        <v>3.17</v>
      </c>
      <c r="D10" s="53">
        <v>7.26</v>
      </c>
      <c r="E10" s="53">
        <v>3.27</v>
      </c>
      <c r="F10" s="53">
        <v>4.99</v>
      </c>
      <c r="G10" s="53">
        <v>22.88</v>
      </c>
      <c r="H10" s="53">
        <v>15.71</v>
      </c>
      <c r="I10" s="53">
        <v>0.8</v>
      </c>
      <c r="J10" s="53">
        <v>0.73</v>
      </c>
      <c r="K10" s="53">
        <v>346.39</v>
      </c>
      <c r="L10" s="53">
        <v>23.26</v>
      </c>
      <c r="M10" s="53">
        <v>95.52</v>
      </c>
      <c r="N10" s="53">
        <v>26.1</v>
      </c>
      <c r="O10" s="53">
        <v>0</v>
      </c>
      <c r="P10" s="53">
        <v>0.28999999999999998</v>
      </c>
      <c r="Q10" s="53">
        <v>9.5500000000000007</v>
      </c>
      <c r="R10" s="43"/>
      <c r="S10" s="43"/>
      <c r="T10" s="43"/>
      <c r="U10" s="43"/>
    </row>
    <row r="11" spans="1:21" s="11" customFormat="1" x14ac:dyDescent="0.25">
      <c r="A11" s="52" t="s">
        <v>446</v>
      </c>
      <c r="B11" s="53">
        <v>4.2699999999999996</v>
      </c>
      <c r="C11" s="53">
        <v>3.18</v>
      </c>
      <c r="D11" s="53">
        <v>7.27</v>
      </c>
      <c r="E11" s="53">
        <v>3.26</v>
      </c>
      <c r="F11" s="53">
        <v>5.18</v>
      </c>
      <c r="G11" s="53">
        <v>21.56</v>
      </c>
      <c r="H11" s="53">
        <v>15.71</v>
      </c>
      <c r="I11" s="53">
        <v>0.76</v>
      </c>
      <c r="J11" s="53">
        <v>0.68</v>
      </c>
      <c r="K11" s="53">
        <v>357</v>
      </c>
      <c r="L11" s="53">
        <v>23.24</v>
      </c>
      <c r="M11" s="53">
        <v>99.46</v>
      </c>
      <c r="N11" s="53">
        <v>26.4</v>
      </c>
      <c r="O11" s="53">
        <v>0</v>
      </c>
      <c r="P11" s="53">
        <v>0.27</v>
      </c>
      <c r="Q11" s="53">
        <v>9.5299999999999994</v>
      </c>
      <c r="R11" s="43"/>
      <c r="S11" s="43"/>
      <c r="T11" s="43"/>
      <c r="U11" s="43"/>
    </row>
    <row r="12" spans="1:21" s="11" customFormat="1" x14ac:dyDescent="0.25">
      <c r="A12" s="52" t="s">
        <v>447</v>
      </c>
      <c r="B12" s="53">
        <v>4.2699999999999996</v>
      </c>
      <c r="C12" s="53">
        <v>3.14</v>
      </c>
      <c r="D12" s="53">
        <v>7.26</v>
      </c>
      <c r="E12" s="53">
        <v>3.64</v>
      </c>
      <c r="F12" s="53">
        <v>5.67</v>
      </c>
      <c r="G12" s="53">
        <v>19.16</v>
      </c>
      <c r="H12" s="53">
        <v>10.11</v>
      </c>
      <c r="I12" s="53">
        <v>0.84</v>
      </c>
      <c r="J12" s="53">
        <v>0.92</v>
      </c>
      <c r="K12" s="53">
        <v>344.42</v>
      </c>
      <c r="L12" s="53">
        <v>22.69</v>
      </c>
      <c r="M12" s="53">
        <v>100.29</v>
      </c>
      <c r="N12" s="53">
        <v>26.2</v>
      </c>
      <c r="O12" s="53">
        <v>0</v>
      </c>
      <c r="P12" s="53">
        <v>0.25</v>
      </c>
      <c r="Q12" s="53">
        <v>9.49</v>
      </c>
      <c r="R12" s="43"/>
      <c r="S12" s="43"/>
      <c r="T12" s="43"/>
      <c r="U12" s="43"/>
    </row>
    <row r="13" spans="1:21" s="11" customFormat="1" x14ac:dyDescent="0.25">
      <c r="A13" s="52" t="s">
        <v>448</v>
      </c>
      <c r="B13" s="53">
        <v>4.21</v>
      </c>
      <c r="C13" s="53">
        <v>3.15</v>
      </c>
      <c r="D13" s="53">
        <v>7.21</v>
      </c>
      <c r="E13" s="53">
        <v>3.4</v>
      </c>
      <c r="F13" s="53">
        <v>5.19</v>
      </c>
      <c r="G13" s="53">
        <v>19.16</v>
      </c>
      <c r="H13" s="53">
        <v>10.11</v>
      </c>
      <c r="I13" s="53">
        <v>0.96</v>
      </c>
      <c r="J13" s="53">
        <v>0.85</v>
      </c>
      <c r="K13" s="53">
        <v>332.82</v>
      </c>
      <c r="L13" s="53">
        <v>22.73</v>
      </c>
      <c r="M13" s="53">
        <v>101.75</v>
      </c>
      <c r="N13" s="53">
        <v>26.1</v>
      </c>
      <c r="O13" s="53">
        <v>0.2</v>
      </c>
      <c r="P13" s="53">
        <v>0.25</v>
      </c>
      <c r="Q13" s="53">
        <v>9.49</v>
      </c>
      <c r="R13" s="43"/>
      <c r="S13" s="43"/>
      <c r="T13" s="43"/>
      <c r="U13" s="43"/>
    </row>
    <row r="14" spans="1:21" s="11" customFormat="1" x14ac:dyDescent="0.25">
      <c r="A14" s="52" t="s">
        <v>449</v>
      </c>
      <c r="B14" s="53">
        <v>4.28</v>
      </c>
      <c r="C14" s="53">
        <v>3.18</v>
      </c>
      <c r="D14" s="53">
        <v>7.29</v>
      </c>
      <c r="E14" s="53">
        <v>2.9</v>
      </c>
      <c r="F14" s="53">
        <v>4.8499999999999996</v>
      </c>
      <c r="G14" s="53">
        <v>17.170000000000002</v>
      </c>
      <c r="H14" s="53">
        <v>10.11</v>
      </c>
      <c r="I14" s="53">
        <v>0.9</v>
      </c>
      <c r="J14" s="53">
        <v>0.7</v>
      </c>
      <c r="K14" s="53">
        <v>337.61</v>
      </c>
      <c r="L14" s="53">
        <v>22.61</v>
      </c>
      <c r="M14" s="53">
        <v>101.77</v>
      </c>
      <c r="N14" s="53">
        <v>27.3</v>
      </c>
      <c r="O14" s="53">
        <v>0</v>
      </c>
      <c r="P14" s="53">
        <v>0.24</v>
      </c>
      <c r="Q14" s="53">
        <v>9.52</v>
      </c>
      <c r="R14" s="43"/>
      <c r="S14" s="43"/>
      <c r="T14" s="43"/>
      <c r="U14" s="43"/>
    </row>
    <row r="15" spans="1:21" s="11" customFormat="1" x14ac:dyDescent="0.25">
      <c r="A15" s="52" t="s">
        <v>450</v>
      </c>
      <c r="B15" s="53">
        <v>4.29</v>
      </c>
      <c r="C15" s="53">
        <v>3.2</v>
      </c>
      <c r="D15" s="53">
        <v>7.3</v>
      </c>
      <c r="E15" s="53">
        <v>3.38</v>
      </c>
      <c r="F15" s="53">
        <v>4.5599999999999996</v>
      </c>
      <c r="G15" s="53">
        <v>22.54</v>
      </c>
      <c r="H15" s="53">
        <v>6.48</v>
      </c>
      <c r="I15" s="53">
        <v>0.91</v>
      </c>
      <c r="J15" s="53">
        <v>0.56999999999999995</v>
      </c>
      <c r="K15" s="53">
        <v>356.95</v>
      </c>
      <c r="L15" s="53">
        <v>22.87</v>
      </c>
      <c r="M15" s="53">
        <v>101.76</v>
      </c>
      <c r="N15" s="53">
        <v>44.6</v>
      </c>
      <c r="O15" s="53">
        <v>0.2</v>
      </c>
      <c r="P15" s="53">
        <v>0.26</v>
      </c>
      <c r="Q15" s="53">
        <v>9.5</v>
      </c>
      <c r="R15" s="43"/>
      <c r="S15" s="43"/>
      <c r="T15" s="43"/>
      <c r="U15" s="43"/>
    </row>
    <row r="16" spans="1:21" s="11" customFormat="1" x14ac:dyDescent="0.25">
      <c r="A16" s="52" t="s">
        <v>451</v>
      </c>
      <c r="B16" s="53">
        <v>4.29</v>
      </c>
      <c r="C16" s="53">
        <v>3.17</v>
      </c>
      <c r="D16" s="53">
        <v>7.29</v>
      </c>
      <c r="E16" s="53">
        <v>3.43</v>
      </c>
      <c r="F16" s="53">
        <v>4.6100000000000003</v>
      </c>
      <c r="G16" s="53">
        <v>22.54</v>
      </c>
      <c r="H16" s="53">
        <v>1.2</v>
      </c>
      <c r="I16" s="53">
        <v>0.93</v>
      </c>
      <c r="J16" s="53">
        <v>0.64</v>
      </c>
      <c r="K16" s="53">
        <v>357.1</v>
      </c>
      <c r="L16" s="53">
        <v>23.27</v>
      </c>
      <c r="M16" s="53">
        <v>101.77</v>
      </c>
      <c r="N16" s="53">
        <v>76.7</v>
      </c>
      <c r="O16" s="53">
        <v>0</v>
      </c>
      <c r="P16" s="53">
        <v>0.39</v>
      </c>
      <c r="Q16" s="53">
        <v>9.52</v>
      </c>
      <c r="R16" s="43"/>
      <c r="S16" s="43"/>
      <c r="T16" s="43"/>
      <c r="U16" s="43"/>
    </row>
    <row r="17" spans="1:21" s="11" customFormat="1" x14ac:dyDescent="0.25">
      <c r="A17" s="52" t="s">
        <v>452</v>
      </c>
      <c r="B17" s="53">
        <v>4.22</v>
      </c>
      <c r="C17" s="53">
        <v>3.12</v>
      </c>
      <c r="D17" s="53">
        <v>7.21</v>
      </c>
      <c r="E17" s="53">
        <v>3.79</v>
      </c>
      <c r="F17" s="53">
        <v>4.8899999999999997</v>
      </c>
      <c r="G17" s="53">
        <v>20.47</v>
      </c>
      <c r="H17" s="53">
        <v>32.72</v>
      </c>
      <c r="I17" s="53">
        <v>1.24</v>
      </c>
      <c r="J17" s="53">
        <v>0.67</v>
      </c>
      <c r="K17" s="53">
        <v>357.04</v>
      </c>
      <c r="L17" s="53">
        <v>24.97</v>
      </c>
      <c r="M17" s="53">
        <v>101.7</v>
      </c>
      <c r="N17" s="53">
        <v>250.8</v>
      </c>
      <c r="O17" s="53">
        <v>0</v>
      </c>
      <c r="P17" s="53">
        <v>0.49</v>
      </c>
      <c r="Q17" s="53">
        <v>9.56</v>
      </c>
      <c r="R17" s="43"/>
      <c r="S17" s="43"/>
      <c r="T17" s="43"/>
      <c r="U17" s="43"/>
    </row>
    <row r="18" spans="1:21" s="11" customFormat="1" x14ac:dyDescent="0.25">
      <c r="A18" s="52" t="s">
        <v>453</v>
      </c>
      <c r="B18" s="53">
        <v>4.24</v>
      </c>
      <c r="C18" s="53">
        <v>3.19</v>
      </c>
      <c r="D18" s="53">
        <v>7.25</v>
      </c>
      <c r="E18" s="53">
        <v>3.48</v>
      </c>
      <c r="F18" s="53">
        <v>5.16</v>
      </c>
      <c r="G18" s="53">
        <v>22.34</v>
      </c>
      <c r="H18" s="53">
        <v>32.72</v>
      </c>
      <c r="I18" s="53">
        <v>1.34</v>
      </c>
      <c r="J18" s="53">
        <v>0.79</v>
      </c>
      <c r="K18" s="53">
        <v>344.85</v>
      </c>
      <c r="L18" s="53">
        <v>28.78</v>
      </c>
      <c r="M18" s="53">
        <v>93.4</v>
      </c>
      <c r="N18" s="53">
        <v>557.1</v>
      </c>
      <c r="O18" s="53">
        <v>0.2</v>
      </c>
      <c r="P18" s="53">
        <v>0.48</v>
      </c>
      <c r="Q18" s="53">
        <v>9.56</v>
      </c>
      <c r="R18" s="43"/>
      <c r="S18" s="43"/>
      <c r="T18" s="43"/>
      <c r="U18" s="43"/>
    </row>
    <row r="19" spans="1:21" s="11" customFormat="1" x14ac:dyDescent="0.25">
      <c r="A19" s="52" t="s">
        <v>454</v>
      </c>
      <c r="B19" s="53">
        <v>4.2699999999999996</v>
      </c>
      <c r="C19" s="53">
        <v>3.18</v>
      </c>
      <c r="D19" s="53">
        <v>7.28</v>
      </c>
      <c r="E19" s="53">
        <v>3.76</v>
      </c>
      <c r="F19" s="53">
        <v>5.68</v>
      </c>
      <c r="G19" s="53">
        <v>29.96</v>
      </c>
      <c r="H19" s="53">
        <v>8.91</v>
      </c>
      <c r="I19" s="53">
        <v>1.25</v>
      </c>
      <c r="J19" s="53">
        <v>1.22</v>
      </c>
      <c r="K19" s="53">
        <v>336.01</v>
      </c>
      <c r="L19" s="53">
        <v>30.55</v>
      </c>
      <c r="M19" s="53">
        <v>79.62</v>
      </c>
      <c r="N19" s="53">
        <v>888.6</v>
      </c>
      <c r="O19" s="53">
        <v>0</v>
      </c>
      <c r="P19" s="53">
        <v>0.45</v>
      </c>
      <c r="Q19" s="53">
        <v>9.51</v>
      </c>
      <c r="R19" s="43"/>
      <c r="S19" s="43"/>
      <c r="T19" s="43"/>
      <c r="U19" s="43"/>
    </row>
    <row r="20" spans="1:21" s="11" customFormat="1" x14ac:dyDescent="0.25">
      <c r="A20" s="52" t="s">
        <v>455</v>
      </c>
      <c r="B20" s="53">
        <v>4.28</v>
      </c>
      <c r="C20" s="53">
        <v>3.18</v>
      </c>
      <c r="D20" s="53">
        <v>7.29</v>
      </c>
      <c r="E20" s="53">
        <v>3.93</v>
      </c>
      <c r="F20" s="53">
        <v>5.98</v>
      </c>
      <c r="G20" s="53">
        <v>30.6</v>
      </c>
      <c r="H20" s="53">
        <v>21.9</v>
      </c>
      <c r="I20" s="53">
        <v>1.1299999999999999</v>
      </c>
      <c r="J20" s="53">
        <v>0.81</v>
      </c>
      <c r="K20" s="53">
        <v>345.18</v>
      </c>
      <c r="L20" s="53">
        <v>30.07</v>
      </c>
      <c r="M20" s="53">
        <v>78.73</v>
      </c>
      <c r="N20" s="53">
        <v>494.9</v>
      </c>
      <c r="O20" s="53">
        <v>0</v>
      </c>
      <c r="P20" s="53">
        <v>0.41</v>
      </c>
      <c r="Q20" s="53">
        <v>9.51</v>
      </c>
      <c r="R20" s="43"/>
      <c r="S20" s="43"/>
      <c r="T20" s="43"/>
      <c r="U20" s="43"/>
    </row>
    <row r="21" spans="1:21" s="11" customFormat="1" x14ac:dyDescent="0.25">
      <c r="A21" s="52" t="s">
        <v>456</v>
      </c>
      <c r="B21" s="53">
        <v>4.24</v>
      </c>
      <c r="C21" s="53">
        <v>3.19</v>
      </c>
      <c r="D21" s="53">
        <v>7.26</v>
      </c>
      <c r="E21" s="53">
        <v>4.45</v>
      </c>
      <c r="F21" s="53">
        <v>6.18</v>
      </c>
      <c r="G21" s="53">
        <v>33.49</v>
      </c>
      <c r="H21" s="53">
        <v>21.9</v>
      </c>
      <c r="I21" s="53">
        <v>1.01</v>
      </c>
      <c r="J21" s="53">
        <v>0.68</v>
      </c>
      <c r="K21" s="53">
        <v>344.85</v>
      </c>
      <c r="L21" s="53">
        <v>27.84</v>
      </c>
      <c r="M21" s="53">
        <v>82.1</v>
      </c>
      <c r="N21" s="53">
        <v>272.10000000000002</v>
      </c>
      <c r="O21" s="53">
        <v>0</v>
      </c>
      <c r="P21" s="53">
        <v>0.4</v>
      </c>
      <c r="Q21" s="53">
        <v>9.59</v>
      </c>
      <c r="R21" s="43"/>
      <c r="S21" s="43"/>
      <c r="T21" s="43"/>
      <c r="U21" s="43"/>
    </row>
    <row r="22" spans="1:21" s="11" customFormat="1" x14ac:dyDescent="0.25">
      <c r="A22" s="52" t="s">
        <v>457</v>
      </c>
      <c r="B22" s="53">
        <v>4.24</v>
      </c>
      <c r="C22" s="53">
        <v>3.18</v>
      </c>
      <c r="D22" s="53">
        <v>7.25</v>
      </c>
      <c r="E22" s="53">
        <v>4.18</v>
      </c>
      <c r="F22" s="53">
        <v>5.13</v>
      </c>
      <c r="G22" s="53">
        <v>33.49</v>
      </c>
      <c r="H22" s="53">
        <v>21.9</v>
      </c>
      <c r="I22" s="53">
        <v>1.04</v>
      </c>
      <c r="J22" s="53">
        <v>0.57999999999999996</v>
      </c>
      <c r="K22" s="53">
        <v>359.26</v>
      </c>
      <c r="L22" s="53">
        <v>26.25</v>
      </c>
      <c r="M22" s="53">
        <v>99.73</v>
      </c>
      <c r="N22" s="53">
        <v>201.5</v>
      </c>
      <c r="O22" s="53">
        <v>0.2</v>
      </c>
      <c r="P22" s="53">
        <v>0.41</v>
      </c>
      <c r="Q22" s="53">
        <v>9.5399999999999991</v>
      </c>
      <c r="R22" s="43"/>
      <c r="S22" s="43"/>
      <c r="T22" s="43"/>
      <c r="U22" s="43"/>
    </row>
    <row r="23" spans="1:21" s="11" customFormat="1" x14ac:dyDescent="0.25">
      <c r="A23" s="52" t="s">
        <v>458</v>
      </c>
      <c r="B23" s="53">
        <v>4.29</v>
      </c>
      <c r="C23" s="53">
        <v>3.18</v>
      </c>
      <c r="D23" s="53">
        <v>7.28</v>
      </c>
      <c r="E23" s="53">
        <v>4.43</v>
      </c>
      <c r="F23" s="53">
        <v>5.13</v>
      </c>
      <c r="G23" s="53">
        <v>29.35</v>
      </c>
      <c r="H23" s="53">
        <v>7.56</v>
      </c>
      <c r="I23" s="53">
        <v>1.1100000000000001</v>
      </c>
      <c r="J23" s="53">
        <v>0.65</v>
      </c>
      <c r="K23" s="53">
        <v>358.41</v>
      </c>
      <c r="L23" s="53">
        <v>27.32</v>
      </c>
      <c r="M23" s="53">
        <v>91.67</v>
      </c>
      <c r="N23" s="53">
        <v>266.5</v>
      </c>
      <c r="O23" s="53">
        <v>0</v>
      </c>
      <c r="P23" s="53">
        <v>0.43</v>
      </c>
      <c r="Q23" s="53">
        <v>9.5299999999999994</v>
      </c>
      <c r="R23" s="43"/>
      <c r="S23" s="43"/>
      <c r="T23" s="43"/>
      <c r="U23" s="43"/>
    </row>
    <row r="24" spans="1:21" s="11" customFormat="1" x14ac:dyDescent="0.25">
      <c r="A24" s="52" t="s">
        <v>459</v>
      </c>
      <c r="B24" s="53">
        <v>4.2699999999999996</v>
      </c>
      <c r="C24" s="53">
        <v>3.2</v>
      </c>
      <c r="D24" s="53">
        <v>7.29</v>
      </c>
      <c r="E24" s="53">
        <v>4.1399999999999997</v>
      </c>
      <c r="F24" s="53">
        <v>5.39</v>
      </c>
      <c r="G24" s="53">
        <v>30.56</v>
      </c>
      <c r="H24" s="53">
        <v>20.28</v>
      </c>
      <c r="I24" s="53">
        <v>1.22</v>
      </c>
      <c r="J24" s="53">
        <v>0.56000000000000005</v>
      </c>
      <c r="K24" s="53">
        <v>358.33</v>
      </c>
      <c r="L24" s="53">
        <v>27.15</v>
      </c>
      <c r="M24" s="53">
        <v>86.81</v>
      </c>
      <c r="N24" s="53">
        <v>194.8</v>
      </c>
      <c r="O24" s="53">
        <v>0</v>
      </c>
      <c r="P24" s="53">
        <v>0.45</v>
      </c>
      <c r="Q24" s="53">
        <v>9.5500000000000007</v>
      </c>
      <c r="R24" s="43"/>
      <c r="S24" s="43"/>
      <c r="T24" s="43"/>
      <c r="U24" s="43"/>
    </row>
    <row r="25" spans="1:21" s="11" customFormat="1" x14ac:dyDescent="0.25">
      <c r="A25" s="52" t="s">
        <v>460</v>
      </c>
      <c r="B25" s="53">
        <v>4.2300000000000004</v>
      </c>
      <c r="C25" s="53">
        <v>3.22</v>
      </c>
      <c r="D25" s="53">
        <v>7.26</v>
      </c>
      <c r="E25" s="53">
        <v>3.2</v>
      </c>
      <c r="F25" s="53">
        <v>4.6900000000000004</v>
      </c>
      <c r="G25" s="53">
        <v>30.64</v>
      </c>
      <c r="H25" s="53">
        <v>20.28</v>
      </c>
      <c r="I25" s="53">
        <v>1.39</v>
      </c>
      <c r="J25" s="53">
        <v>0.53</v>
      </c>
      <c r="K25" s="53">
        <v>16.86</v>
      </c>
      <c r="L25" s="53">
        <v>26.8</v>
      </c>
      <c r="M25" s="53">
        <v>91.82</v>
      </c>
      <c r="N25" s="53">
        <v>121</v>
      </c>
      <c r="O25" s="53">
        <v>0</v>
      </c>
      <c r="P25" s="53">
        <v>0.47</v>
      </c>
      <c r="Q25" s="53">
        <v>9.5500000000000007</v>
      </c>
      <c r="R25" s="43"/>
      <c r="S25" s="43"/>
      <c r="T25" s="43"/>
      <c r="U25" s="43"/>
    </row>
    <row r="26" spans="1:21" s="11" customFormat="1" x14ac:dyDescent="0.25">
      <c r="A26" s="52" t="s">
        <v>461</v>
      </c>
      <c r="B26" s="53">
        <v>4.24</v>
      </c>
      <c r="C26" s="53">
        <v>3.15</v>
      </c>
      <c r="D26" s="53">
        <v>7.23</v>
      </c>
      <c r="E26" s="53">
        <v>3.29</v>
      </c>
      <c r="F26" s="53">
        <v>4.57</v>
      </c>
      <c r="G26" s="53">
        <v>34.58</v>
      </c>
      <c r="H26" s="53">
        <v>35.93</v>
      </c>
      <c r="I26" s="53">
        <v>1.77</v>
      </c>
      <c r="J26" s="53">
        <v>0.42</v>
      </c>
      <c r="K26" s="53">
        <v>335.17</v>
      </c>
      <c r="L26" s="53">
        <v>25.16</v>
      </c>
      <c r="M26" s="53">
        <v>101.73</v>
      </c>
      <c r="N26" s="53">
        <v>37.4</v>
      </c>
      <c r="O26" s="53">
        <v>0</v>
      </c>
      <c r="P26" s="53">
        <v>0.49</v>
      </c>
      <c r="Q26" s="53">
        <v>9.58</v>
      </c>
      <c r="R26" s="43"/>
      <c r="S26" s="43"/>
      <c r="T26" s="43"/>
      <c r="U26" s="43"/>
    </row>
    <row r="27" spans="1:21" s="11" customFormat="1" x14ac:dyDescent="0.25">
      <c r="A27" s="52" t="s">
        <v>462</v>
      </c>
      <c r="B27" s="53">
        <v>4.29</v>
      </c>
      <c r="C27" s="53">
        <v>3.23</v>
      </c>
      <c r="D27" s="53">
        <v>7.31</v>
      </c>
      <c r="E27" s="53">
        <v>3.01</v>
      </c>
      <c r="F27" s="53">
        <v>3.77</v>
      </c>
      <c r="G27" s="53">
        <v>34.58</v>
      </c>
      <c r="H27" s="53">
        <v>35.93</v>
      </c>
      <c r="I27" s="53">
        <v>2.77</v>
      </c>
      <c r="J27" s="53">
        <v>0.47</v>
      </c>
      <c r="K27" s="53">
        <v>28.59</v>
      </c>
      <c r="L27" s="53">
        <v>24.88</v>
      </c>
      <c r="M27" s="53">
        <v>101.75</v>
      </c>
      <c r="N27" s="53">
        <v>26.9</v>
      </c>
      <c r="O27" s="53">
        <v>0</v>
      </c>
      <c r="P27" s="53">
        <v>0.56000000000000005</v>
      </c>
      <c r="Q27" s="53">
        <v>9.57</v>
      </c>
      <c r="R27" s="43"/>
      <c r="S27" s="43"/>
      <c r="T27" s="43"/>
      <c r="U27" s="43"/>
    </row>
    <row r="28" spans="1:21" s="11" customFormat="1" x14ac:dyDescent="0.25">
      <c r="A28" s="52" t="s">
        <v>463</v>
      </c>
      <c r="B28" s="53">
        <v>4.29</v>
      </c>
      <c r="C28" s="53">
        <v>3.18</v>
      </c>
      <c r="D28" s="53">
        <v>7.26</v>
      </c>
      <c r="E28" s="53">
        <v>5.54</v>
      </c>
      <c r="F28" s="53">
        <v>4.3499999999999996</v>
      </c>
      <c r="G28" s="53">
        <v>33.83</v>
      </c>
      <c r="H28" s="53">
        <v>15.72</v>
      </c>
      <c r="I28" s="53">
        <v>3.75</v>
      </c>
      <c r="J28" s="53">
        <v>0.39</v>
      </c>
      <c r="K28" s="53">
        <v>345.16</v>
      </c>
      <c r="L28" s="53">
        <v>24.21</v>
      </c>
      <c r="M28" s="53">
        <v>101.72</v>
      </c>
      <c r="N28" s="53">
        <v>26.5</v>
      </c>
      <c r="O28" s="53">
        <v>0</v>
      </c>
      <c r="P28" s="53">
        <v>0.53</v>
      </c>
      <c r="Q28" s="53">
        <v>9.58</v>
      </c>
      <c r="R28" s="43"/>
      <c r="S28" s="43"/>
      <c r="T28" s="43"/>
      <c r="U28" s="43"/>
    </row>
    <row r="29" spans="1:21" s="11" customFormat="1" x14ac:dyDescent="0.25">
      <c r="A29" s="52" t="s">
        <v>464</v>
      </c>
      <c r="B29" s="53">
        <v>4.21</v>
      </c>
      <c r="C29" s="53">
        <v>3.16</v>
      </c>
      <c r="D29" s="53">
        <v>7.22</v>
      </c>
      <c r="E29" s="53">
        <v>4.76</v>
      </c>
      <c r="F29" s="53">
        <v>4.9800000000000004</v>
      </c>
      <c r="G29" s="53">
        <v>30.64</v>
      </c>
      <c r="H29" s="53">
        <v>25.59</v>
      </c>
      <c r="I29" s="53">
        <v>4.8899999999999997</v>
      </c>
      <c r="J29" s="53">
        <v>0.36</v>
      </c>
      <c r="K29" s="53">
        <v>356.81</v>
      </c>
      <c r="L29" s="53">
        <v>24.24</v>
      </c>
      <c r="M29" s="53">
        <v>101.72</v>
      </c>
      <c r="N29" s="53">
        <v>26.3</v>
      </c>
      <c r="O29" s="53">
        <v>0</v>
      </c>
      <c r="P29" s="53">
        <v>0.47</v>
      </c>
      <c r="Q29" s="53">
        <v>9.52</v>
      </c>
      <c r="R29" s="43"/>
      <c r="S29" s="43"/>
      <c r="T29" s="43"/>
      <c r="U29" s="43"/>
    </row>
    <row r="30" spans="1:21" s="11" customFormat="1" x14ac:dyDescent="0.25">
      <c r="A30" s="52" t="s">
        <v>465</v>
      </c>
      <c r="B30" s="53">
        <v>4.2300000000000004</v>
      </c>
      <c r="C30" s="53">
        <v>3.2</v>
      </c>
      <c r="D30" s="53">
        <v>7.26</v>
      </c>
      <c r="E30" s="53">
        <v>4.62</v>
      </c>
      <c r="F30" s="53">
        <v>4.83</v>
      </c>
      <c r="G30" s="53">
        <v>34.18</v>
      </c>
      <c r="H30" s="53">
        <v>25.59</v>
      </c>
      <c r="I30" s="53">
        <v>4.24</v>
      </c>
      <c r="J30" s="53">
        <v>0.47</v>
      </c>
      <c r="K30" s="53">
        <v>138.19</v>
      </c>
      <c r="L30" s="53">
        <v>24.22</v>
      </c>
      <c r="M30" s="53">
        <v>101.73</v>
      </c>
      <c r="N30" s="53">
        <v>26.1</v>
      </c>
      <c r="O30" s="53">
        <v>0</v>
      </c>
      <c r="P30" s="53">
        <v>0.45</v>
      </c>
      <c r="Q30" s="53">
        <v>9.5500000000000007</v>
      </c>
      <c r="R30" s="43"/>
      <c r="S30" s="43"/>
      <c r="T30" s="43"/>
      <c r="U30" s="43"/>
    </row>
    <row r="31" spans="1:21" s="11" customFormat="1" x14ac:dyDescent="0.25">
      <c r="A31" s="52" t="s">
        <v>466</v>
      </c>
      <c r="B31" s="53">
        <v>4.28</v>
      </c>
      <c r="C31" s="53">
        <v>3.19</v>
      </c>
      <c r="D31" s="53">
        <v>7.29</v>
      </c>
      <c r="E31" s="53">
        <v>4.59</v>
      </c>
      <c r="F31" s="53">
        <v>3.55</v>
      </c>
      <c r="G31" s="53">
        <v>34.18</v>
      </c>
      <c r="H31" s="53">
        <v>12.64</v>
      </c>
      <c r="I31" s="53">
        <v>3.38</v>
      </c>
      <c r="J31" s="53">
        <v>0.38</v>
      </c>
      <c r="K31" s="53">
        <v>145.41</v>
      </c>
      <c r="L31" s="53">
        <v>23.84</v>
      </c>
      <c r="M31" s="53">
        <v>101.77</v>
      </c>
      <c r="N31" s="53">
        <v>26.1</v>
      </c>
      <c r="O31" s="53">
        <v>0</v>
      </c>
      <c r="P31" s="53">
        <v>0.37</v>
      </c>
      <c r="Q31" s="53">
        <v>9.59</v>
      </c>
      <c r="R31" s="43"/>
      <c r="S31" s="43"/>
      <c r="T31" s="43"/>
      <c r="U31" s="43"/>
    </row>
    <row r="32" spans="1:21" s="11" customFormat="1" x14ac:dyDescent="0.25">
      <c r="A32" s="52" t="s">
        <v>467</v>
      </c>
      <c r="B32" s="53">
        <v>4.29</v>
      </c>
      <c r="C32" s="53">
        <v>3.18</v>
      </c>
      <c r="D32" s="53">
        <v>7.29</v>
      </c>
      <c r="E32" s="53">
        <v>4.42</v>
      </c>
      <c r="F32" s="53">
        <v>3.72</v>
      </c>
      <c r="G32" s="53">
        <v>33.81</v>
      </c>
      <c r="H32" s="53">
        <v>19.38</v>
      </c>
      <c r="I32" s="53">
        <v>1.96</v>
      </c>
      <c r="J32" s="53">
        <v>0.27</v>
      </c>
      <c r="K32" s="53">
        <v>344.72</v>
      </c>
      <c r="L32" s="53">
        <v>23.71</v>
      </c>
      <c r="M32" s="53">
        <v>101.77</v>
      </c>
      <c r="N32" s="53">
        <v>26.1</v>
      </c>
      <c r="O32" s="53">
        <v>0</v>
      </c>
      <c r="P32" s="53">
        <v>0.36</v>
      </c>
      <c r="Q32" s="53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4.21</v>
      </c>
      <c r="C34" s="28">
        <f t="shared" si="0"/>
        <v>3.12</v>
      </c>
      <c r="D34" s="28">
        <f t="shared" si="0"/>
        <v>7.21</v>
      </c>
      <c r="E34" s="28">
        <f t="shared" si="0"/>
        <v>2.9</v>
      </c>
      <c r="F34" s="28">
        <f t="shared" si="0"/>
        <v>3.55</v>
      </c>
      <c r="G34" s="28">
        <f t="shared" si="0"/>
        <v>17.170000000000002</v>
      </c>
      <c r="H34" s="28">
        <f t="shared" si="0"/>
        <v>1.2</v>
      </c>
      <c r="I34" s="28">
        <f t="shared" si="0"/>
        <v>0.76</v>
      </c>
      <c r="J34" s="28">
        <f t="shared" si="0"/>
        <v>0.27</v>
      </c>
      <c r="K34" s="28">
        <f t="shared" si="0"/>
        <v>16.86</v>
      </c>
      <c r="L34" s="28">
        <f t="shared" si="0"/>
        <v>22.61</v>
      </c>
      <c r="M34" s="28">
        <f t="shared" si="0"/>
        <v>78.73</v>
      </c>
      <c r="N34" s="28">
        <f t="shared" si="0"/>
        <v>26.1</v>
      </c>
      <c r="O34" s="28">
        <f t="shared" si="0"/>
        <v>0</v>
      </c>
      <c r="P34" s="28">
        <f t="shared" si="0"/>
        <v>0.24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4.29</v>
      </c>
      <c r="C35" s="29">
        <f t="shared" si="1"/>
        <v>3.23</v>
      </c>
      <c r="D35" s="29">
        <f t="shared" si="1"/>
        <v>7.31</v>
      </c>
      <c r="E35" s="29">
        <f t="shared" si="1"/>
        <v>5.54</v>
      </c>
      <c r="F35" s="29">
        <f t="shared" si="1"/>
        <v>6.18</v>
      </c>
      <c r="G35" s="29">
        <f t="shared" si="1"/>
        <v>34.58</v>
      </c>
      <c r="H35" s="29">
        <f t="shared" si="1"/>
        <v>35.93</v>
      </c>
      <c r="I35" s="29">
        <f t="shared" si="1"/>
        <v>4.8899999999999997</v>
      </c>
      <c r="J35" s="29">
        <f t="shared" si="1"/>
        <v>1.22</v>
      </c>
      <c r="K35" s="29">
        <f t="shared" si="1"/>
        <v>359.26</v>
      </c>
      <c r="L35" s="29">
        <f t="shared" si="1"/>
        <v>30.55</v>
      </c>
      <c r="M35" s="29">
        <f t="shared" si="1"/>
        <v>101.77</v>
      </c>
      <c r="N35" s="29">
        <f t="shared" si="1"/>
        <v>888.6</v>
      </c>
      <c r="O35" s="29">
        <f t="shared" si="1"/>
        <v>0.2</v>
      </c>
      <c r="P35" s="29">
        <f t="shared" si="1"/>
        <v>0.56000000000000005</v>
      </c>
      <c r="Q35" s="29">
        <f t="shared" si="1"/>
        <v>9.6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4.2587500000000009</v>
      </c>
      <c r="C36" s="28">
        <f t="shared" si="2"/>
        <v>3.1779166666666669</v>
      </c>
      <c r="D36" s="28">
        <f t="shared" si="2"/>
        <v>7.263749999999999</v>
      </c>
      <c r="E36" s="28">
        <f t="shared" si="2"/>
        <v>3.8445833333333344</v>
      </c>
      <c r="F36" s="28">
        <f t="shared" si="2"/>
        <v>4.9374999999999991</v>
      </c>
      <c r="G36" s="28">
        <f t="shared" si="2"/>
        <v>27.813749999999999</v>
      </c>
      <c r="H36" s="28">
        <f t="shared" si="2"/>
        <v>18.50375</v>
      </c>
      <c r="I36" s="28">
        <f t="shared" si="2"/>
        <v>1.6829166666666666</v>
      </c>
      <c r="J36" s="28">
        <f t="shared" si="2"/>
        <v>0.63041666666666674</v>
      </c>
      <c r="K36" s="28">
        <f t="shared" si="2"/>
        <v>304.10583333333335</v>
      </c>
      <c r="L36" s="28">
        <f t="shared" si="2"/>
        <v>25.156666666666666</v>
      </c>
      <c r="M36" s="28">
        <f t="shared" si="2"/>
        <v>96.502083333333317</v>
      </c>
      <c r="N36" s="28">
        <f t="shared" si="2"/>
        <v>155.09166666666667</v>
      </c>
      <c r="O36" s="28">
        <f t="shared" si="2"/>
        <v>3.3333333333333333E-2</v>
      </c>
      <c r="P36" s="28">
        <f t="shared" si="2"/>
        <v>0.39624999999999994</v>
      </c>
      <c r="Q36" s="28">
        <f t="shared" si="2"/>
        <v>9.5429166666666703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2.8485312767780158E-2</v>
      </c>
      <c r="C37" s="28">
        <f t="shared" ref="C37:Q37" si="3">STDEV(C9:C32)</f>
        <v>2.4668086523960964E-2</v>
      </c>
      <c r="D37" s="28">
        <f t="shared" si="3"/>
        <v>2.9014614008925861E-2</v>
      </c>
      <c r="E37" s="28">
        <f t="shared" si="3"/>
        <v>0.6616315746544319</v>
      </c>
      <c r="F37" s="28">
        <f t="shared" si="3"/>
        <v>0.66003458407414062</v>
      </c>
      <c r="G37" s="28">
        <f t="shared" si="3"/>
        <v>5.9617161320487719</v>
      </c>
      <c r="H37" s="28">
        <f t="shared" si="3"/>
        <v>9.524276447469699</v>
      </c>
      <c r="I37" s="28">
        <f t="shared" si="3"/>
        <v>1.1972013711938376</v>
      </c>
      <c r="J37" s="28">
        <f t="shared" si="3"/>
        <v>0.21111462303206488</v>
      </c>
      <c r="K37" s="28">
        <f t="shared" si="3"/>
        <v>104.66596336074049</v>
      </c>
      <c r="L37" s="28">
        <f t="shared" si="3"/>
        <v>2.3902567929475453</v>
      </c>
      <c r="M37" s="28">
        <f t="shared" si="3"/>
        <v>7.580702031942784</v>
      </c>
      <c r="N37" s="28">
        <f t="shared" si="3"/>
        <v>217.33265209504683</v>
      </c>
      <c r="O37" s="28">
        <f t="shared" si="3"/>
        <v>7.6138698762688112E-2</v>
      </c>
      <c r="P37" s="28">
        <f t="shared" si="3"/>
        <v>9.5225704421698878E-2</v>
      </c>
      <c r="Q37" s="28">
        <f t="shared" si="3"/>
        <v>3.1961820520966855E-2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468</v>
      </c>
      <c r="B9" s="53">
        <v>4.28</v>
      </c>
      <c r="C9" s="53">
        <v>3.14</v>
      </c>
      <c r="D9" s="53">
        <v>7.26</v>
      </c>
      <c r="E9" s="53">
        <v>3.65</v>
      </c>
      <c r="F9" s="53">
        <v>4.46</v>
      </c>
      <c r="G9" s="53">
        <v>33.81</v>
      </c>
      <c r="H9" s="53">
        <v>29.81</v>
      </c>
      <c r="I9" s="53">
        <v>3.93</v>
      </c>
      <c r="J9" s="53">
        <v>0.35</v>
      </c>
      <c r="K9" s="53">
        <v>115.95</v>
      </c>
      <c r="L9" s="53">
        <v>23.28</v>
      </c>
      <c r="M9" s="53">
        <v>101.78</v>
      </c>
      <c r="N9" s="53">
        <v>26.1</v>
      </c>
      <c r="O9" s="53">
        <v>0</v>
      </c>
      <c r="P9" s="53">
        <v>0.38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469</v>
      </c>
      <c r="B10" s="53">
        <v>4.2300000000000004</v>
      </c>
      <c r="C10" s="53">
        <v>3.15</v>
      </c>
      <c r="D10" s="53">
        <v>7.22</v>
      </c>
      <c r="E10" s="53">
        <v>3.71</v>
      </c>
      <c r="F10" s="53">
        <v>4.5</v>
      </c>
      <c r="G10" s="53">
        <v>32.54</v>
      </c>
      <c r="H10" s="53">
        <v>29.81</v>
      </c>
      <c r="I10" s="53">
        <v>3.7</v>
      </c>
      <c r="J10" s="53">
        <v>0.34</v>
      </c>
      <c r="K10" s="53">
        <v>211.77</v>
      </c>
      <c r="L10" s="53">
        <v>23.01</v>
      </c>
      <c r="M10" s="53">
        <v>101.78</v>
      </c>
      <c r="N10" s="53">
        <v>26</v>
      </c>
      <c r="O10" s="53">
        <v>0</v>
      </c>
      <c r="P10" s="53">
        <v>0.4</v>
      </c>
      <c r="Q10" s="53">
        <v>9.59</v>
      </c>
      <c r="R10" s="43"/>
      <c r="S10" s="43"/>
      <c r="T10" s="43"/>
      <c r="U10" s="43"/>
    </row>
    <row r="11" spans="1:21" s="11" customFormat="1" x14ac:dyDescent="0.25">
      <c r="A11" s="52" t="s">
        <v>470</v>
      </c>
      <c r="B11" s="53">
        <v>4.2699999999999996</v>
      </c>
      <c r="C11" s="53">
        <v>3.17</v>
      </c>
      <c r="D11" s="53">
        <v>7.27</v>
      </c>
      <c r="E11" s="53">
        <v>3.9</v>
      </c>
      <c r="F11" s="53">
        <v>3.99</v>
      </c>
      <c r="G11" s="53">
        <v>33.68</v>
      </c>
      <c r="H11" s="53">
        <v>16.3</v>
      </c>
      <c r="I11" s="53">
        <v>3.75</v>
      </c>
      <c r="J11" s="53">
        <v>0.45</v>
      </c>
      <c r="K11" s="53">
        <v>345.27</v>
      </c>
      <c r="L11" s="53">
        <v>22.94</v>
      </c>
      <c r="M11" s="53">
        <v>101.78</v>
      </c>
      <c r="N11" s="53">
        <v>25.8</v>
      </c>
      <c r="O11" s="53">
        <v>0</v>
      </c>
      <c r="P11" s="53">
        <v>0.38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471</v>
      </c>
      <c r="B12" s="53">
        <v>4.3</v>
      </c>
      <c r="C12" s="53">
        <v>3.2</v>
      </c>
      <c r="D12" s="53">
        <v>7.3</v>
      </c>
      <c r="E12" s="53">
        <v>4.3099999999999996</v>
      </c>
      <c r="F12" s="53">
        <v>4.04</v>
      </c>
      <c r="G12" s="53">
        <v>33.68</v>
      </c>
      <c r="H12" s="53">
        <v>7.14</v>
      </c>
      <c r="I12" s="53">
        <v>2.56</v>
      </c>
      <c r="J12" s="53">
        <v>0.38</v>
      </c>
      <c r="K12" s="53">
        <v>353.3</v>
      </c>
      <c r="L12" s="53">
        <v>22.62</v>
      </c>
      <c r="M12" s="53">
        <v>101.78</v>
      </c>
      <c r="N12" s="53">
        <v>25.9</v>
      </c>
      <c r="O12" s="53">
        <v>0</v>
      </c>
      <c r="P12" s="53">
        <v>0.34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472</v>
      </c>
      <c r="B13" s="53">
        <v>4.28</v>
      </c>
      <c r="C13" s="53">
        <v>3.15</v>
      </c>
      <c r="D13" s="53">
        <v>7.27</v>
      </c>
      <c r="E13" s="53">
        <v>4.6900000000000004</v>
      </c>
      <c r="F13" s="53">
        <v>4.57</v>
      </c>
      <c r="G13" s="53">
        <v>38.380000000000003</v>
      </c>
      <c r="H13" s="53">
        <v>28.86</v>
      </c>
      <c r="I13" s="53">
        <v>2.74</v>
      </c>
      <c r="J13" s="53">
        <v>0.28999999999999998</v>
      </c>
      <c r="K13" s="53">
        <v>272.23</v>
      </c>
      <c r="L13" s="53">
        <v>22.26</v>
      </c>
      <c r="M13" s="53">
        <v>101.79</v>
      </c>
      <c r="N13" s="53">
        <v>26</v>
      </c>
      <c r="O13" s="53">
        <v>0</v>
      </c>
      <c r="P13" s="53">
        <v>0.34</v>
      </c>
      <c r="Q13" s="53">
        <v>9.57</v>
      </c>
      <c r="R13" s="43"/>
      <c r="S13" s="43"/>
      <c r="T13" s="43"/>
      <c r="U13" s="43"/>
    </row>
    <row r="14" spans="1:21" s="11" customFormat="1" x14ac:dyDescent="0.25">
      <c r="A14" s="52" t="s">
        <v>473</v>
      </c>
      <c r="B14" s="53">
        <v>4.2300000000000004</v>
      </c>
      <c r="C14" s="53">
        <v>3.17</v>
      </c>
      <c r="D14" s="53">
        <v>7.24</v>
      </c>
      <c r="E14" s="53">
        <v>4.4400000000000004</v>
      </c>
      <c r="F14" s="53">
        <v>4.28</v>
      </c>
      <c r="G14" s="53">
        <v>38.380000000000003</v>
      </c>
      <c r="H14" s="53">
        <v>28.86</v>
      </c>
      <c r="I14" s="53">
        <v>2.86</v>
      </c>
      <c r="J14" s="53">
        <v>0.49</v>
      </c>
      <c r="K14" s="53">
        <v>264.87</v>
      </c>
      <c r="L14" s="53">
        <v>22.27</v>
      </c>
      <c r="M14" s="53">
        <v>101.78</v>
      </c>
      <c r="N14" s="53">
        <v>29</v>
      </c>
      <c r="O14" s="53">
        <v>0</v>
      </c>
      <c r="P14" s="53">
        <v>0.33</v>
      </c>
      <c r="Q14" s="53">
        <v>9.5399999999999991</v>
      </c>
      <c r="R14" s="43"/>
      <c r="S14" s="43"/>
      <c r="T14" s="43"/>
      <c r="U14" s="43"/>
    </row>
    <row r="15" spans="1:21" s="11" customFormat="1" x14ac:dyDescent="0.25">
      <c r="A15" s="52" t="s">
        <v>474</v>
      </c>
      <c r="B15" s="53">
        <v>4.26</v>
      </c>
      <c r="C15" s="53">
        <v>3.15</v>
      </c>
      <c r="D15" s="53">
        <v>7.25</v>
      </c>
      <c r="E15" s="53">
        <v>4.24</v>
      </c>
      <c r="F15" s="53">
        <v>3.72</v>
      </c>
      <c r="G15" s="53">
        <v>34.26</v>
      </c>
      <c r="H15" s="53">
        <v>26.01</v>
      </c>
      <c r="I15" s="53">
        <v>2.5499999999999998</v>
      </c>
      <c r="J15" s="53">
        <v>0.78</v>
      </c>
      <c r="K15" s="53">
        <v>358.69</v>
      </c>
      <c r="L15" s="53">
        <v>23.48</v>
      </c>
      <c r="M15" s="53">
        <v>101.51</v>
      </c>
      <c r="N15" s="53">
        <v>104.4</v>
      </c>
      <c r="O15" s="53">
        <v>0</v>
      </c>
      <c r="P15" s="53">
        <v>0.33</v>
      </c>
      <c r="Q15" s="53">
        <v>9.57</v>
      </c>
      <c r="R15" s="43"/>
      <c r="S15" s="43"/>
      <c r="T15" s="43"/>
      <c r="U15" s="43"/>
    </row>
    <row r="16" spans="1:21" s="11" customFormat="1" x14ac:dyDescent="0.25">
      <c r="A16" s="52" t="s">
        <v>475</v>
      </c>
      <c r="B16" s="53">
        <v>4.28</v>
      </c>
      <c r="C16" s="53">
        <v>3.17</v>
      </c>
      <c r="D16" s="53">
        <v>7.27</v>
      </c>
      <c r="E16" s="53">
        <v>4.88</v>
      </c>
      <c r="F16" s="53">
        <v>3.94</v>
      </c>
      <c r="G16" s="53">
        <v>34.36</v>
      </c>
      <c r="H16" s="53">
        <v>26.01</v>
      </c>
      <c r="I16" s="53">
        <v>2.16</v>
      </c>
      <c r="J16" s="53">
        <v>0.32</v>
      </c>
      <c r="K16" s="53">
        <v>131.88</v>
      </c>
      <c r="L16" s="53">
        <v>25.73</v>
      </c>
      <c r="M16" s="53">
        <v>101.21</v>
      </c>
      <c r="N16" s="53">
        <v>322.3</v>
      </c>
      <c r="O16" s="53">
        <v>0</v>
      </c>
      <c r="P16" s="53">
        <v>0.3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476</v>
      </c>
      <c r="B17" s="53">
        <v>4.2699999999999996</v>
      </c>
      <c r="C17" s="53">
        <v>3.17</v>
      </c>
      <c r="D17" s="53">
        <v>7.25</v>
      </c>
      <c r="E17" s="53">
        <v>5.33</v>
      </c>
      <c r="F17" s="53">
        <v>3.97</v>
      </c>
      <c r="G17" s="53">
        <v>34.36</v>
      </c>
      <c r="H17" s="53">
        <v>16.87</v>
      </c>
      <c r="I17" s="53">
        <v>2.79</v>
      </c>
      <c r="J17" s="53">
        <v>0.47</v>
      </c>
      <c r="K17" s="53">
        <v>359.86</v>
      </c>
      <c r="L17" s="53">
        <v>28.7</v>
      </c>
      <c r="M17" s="53">
        <v>90.05</v>
      </c>
      <c r="N17" s="53">
        <v>524.70000000000005</v>
      </c>
      <c r="O17" s="53">
        <v>0</v>
      </c>
      <c r="P17" s="53">
        <v>0.31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477</v>
      </c>
      <c r="B18" s="53">
        <v>4.22</v>
      </c>
      <c r="C18" s="53">
        <v>3.17</v>
      </c>
      <c r="D18" s="53">
        <v>7.23</v>
      </c>
      <c r="E18" s="53">
        <v>5.18</v>
      </c>
      <c r="F18" s="53">
        <v>4.63</v>
      </c>
      <c r="G18" s="53">
        <v>37.049999999999997</v>
      </c>
      <c r="H18" s="53">
        <v>21.5</v>
      </c>
      <c r="I18" s="53">
        <v>2.99</v>
      </c>
      <c r="J18" s="53">
        <v>0.46</v>
      </c>
      <c r="K18" s="53">
        <v>348.96</v>
      </c>
      <c r="L18" s="53">
        <v>28.95</v>
      </c>
      <c r="M18" s="53">
        <v>75.91</v>
      </c>
      <c r="N18" s="53">
        <v>634</v>
      </c>
      <c r="O18" s="53">
        <v>0</v>
      </c>
      <c r="P18" s="53">
        <v>0.43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478</v>
      </c>
      <c r="B19" s="53">
        <v>4.26</v>
      </c>
      <c r="C19" s="53">
        <v>3.19</v>
      </c>
      <c r="D19" s="53">
        <v>7.28</v>
      </c>
      <c r="E19" s="53">
        <v>5.22</v>
      </c>
      <c r="F19" s="53">
        <v>4.54</v>
      </c>
      <c r="G19" s="53">
        <v>38.409999999999997</v>
      </c>
      <c r="H19" s="53">
        <v>21.5</v>
      </c>
      <c r="I19" s="53">
        <v>2.94</v>
      </c>
      <c r="J19" s="53">
        <v>0.44</v>
      </c>
      <c r="K19" s="53">
        <v>30.2</v>
      </c>
      <c r="L19" s="53">
        <v>29.83</v>
      </c>
      <c r="M19" s="53">
        <v>72.41</v>
      </c>
      <c r="N19" s="53">
        <v>797</v>
      </c>
      <c r="O19" s="53">
        <v>0</v>
      </c>
      <c r="P19" s="53">
        <v>0.45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479</v>
      </c>
      <c r="B20" s="53">
        <v>4.33</v>
      </c>
      <c r="C20" s="53">
        <v>3.29</v>
      </c>
      <c r="D20" s="53">
        <v>7.38</v>
      </c>
      <c r="E20" s="53">
        <v>5.03</v>
      </c>
      <c r="F20" s="53">
        <v>4.6900000000000004</v>
      </c>
      <c r="G20" s="53">
        <v>40.44</v>
      </c>
      <c r="H20" s="53">
        <v>9.4700000000000006</v>
      </c>
      <c r="I20" s="53">
        <v>2.68</v>
      </c>
      <c r="J20" s="53">
        <v>0.34</v>
      </c>
      <c r="K20" s="53">
        <v>352.3</v>
      </c>
      <c r="L20" s="53">
        <v>30.76</v>
      </c>
      <c r="M20" s="53">
        <v>69.8</v>
      </c>
      <c r="N20" s="53">
        <v>939.3</v>
      </c>
      <c r="O20" s="53">
        <v>0</v>
      </c>
      <c r="P20" s="53">
        <v>0.42</v>
      </c>
      <c r="Q20" s="53">
        <v>9.57</v>
      </c>
      <c r="R20" s="43"/>
      <c r="S20" s="43"/>
      <c r="T20" s="43"/>
      <c r="U20" s="43"/>
    </row>
    <row r="21" spans="1:21" s="11" customFormat="1" x14ac:dyDescent="0.25">
      <c r="A21" s="52" t="s">
        <v>480</v>
      </c>
      <c r="B21" s="53">
        <v>4.2699999999999996</v>
      </c>
      <c r="C21" s="53">
        <v>3.19</v>
      </c>
      <c r="D21" s="53">
        <v>7.28</v>
      </c>
      <c r="E21" s="53">
        <v>4.13</v>
      </c>
      <c r="F21" s="53">
        <v>4.57</v>
      </c>
      <c r="G21" s="53">
        <v>40.44</v>
      </c>
      <c r="H21" s="53">
        <v>8.9</v>
      </c>
      <c r="I21" s="53">
        <v>2.59</v>
      </c>
      <c r="J21" s="53">
        <v>1.23</v>
      </c>
      <c r="K21" s="53">
        <v>244.8</v>
      </c>
      <c r="L21" s="53">
        <v>30.07</v>
      </c>
      <c r="M21" s="53">
        <v>70.819999999999993</v>
      </c>
      <c r="N21" s="53">
        <v>876.8</v>
      </c>
      <c r="O21" s="53">
        <v>0</v>
      </c>
      <c r="P21" s="53">
        <v>0.39</v>
      </c>
      <c r="Q21" s="53">
        <v>9.57</v>
      </c>
      <c r="R21" s="43"/>
      <c r="S21" s="43"/>
      <c r="T21" s="43"/>
      <c r="U21" s="43"/>
    </row>
    <row r="22" spans="1:21" s="11" customFormat="1" x14ac:dyDescent="0.25">
      <c r="A22" s="52" t="s">
        <v>481</v>
      </c>
      <c r="B22" s="53">
        <v>4.24</v>
      </c>
      <c r="C22" s="53">
        <v>3.17</v>
      </c>
      <c r="D22" s="53">
        <v>7.25</v>
      </c>
      <c r="E22" s="53">
        <v>4.3499999999999996</v>
      </c>
      <c r="F22" s="53">
        <v>4.51</v>
      </c>
      <c r="G22" s="53">
        <v>39.619999999999997</v>
      </c>
      <c r="H22" s="53">
        <v>26.64</v>
      </c>
      <c r="I22" s="53">
        <v>2.99</v>
      </c>
      <c r="J22" s="53">
        <v>0.81</v>
      </c>
      <c r="K22" s="53">
        <v>142.72999999999999</v>
      </c>
      <c r="L22" s="53">
        <v>29.75</v>
      </c>
      <c r="M22" s="53">
        <v>74.510000000000005</v>
      </c>
      <c r="N22" s="53">
        <v>616.70000000000005</v>
      </c>
      <c r="O22" s="53">
        <v>0</v>
      </c>
      <c r="P22" s="53">
        <v>0.35</v>
      </c>
      <c r="Q22" s="53">
        <v>9.65</v>
      </c>
      <c r="R22" s="43"/>
      <c r="S22" s="43"/>
      <c r="T22" s="43"/>
      <c r="U22" s="43"/>
    </row>
    <row r="23" spans="1:21" s="11" customFormat="1" x14ac:dyDescent="0.25">
      <c r="A23" s="52" t="s">
        <v>482</v>
      </c>
      <c r="B23" s="53">
        <v>4.24</v>
      </c>
      <c r="C23" s="53">
        <v>3.15</v>
      </c>
      <c r="D23" s="53">
        <v>7.22</v>
      </c>
      <c r="E23" s="53">
        <v>3.99</v>
      </c>
      <c r="F23" s="53">
        <v>4.66</v>
      </c>
      <c r="G23" s="53">
        <v>39.619999999999997</v>
      </c>
      <c r="H23" s="53">
        <v>26.64</v>
      </c>
      <c r="I23" s="53">
        <v>2.89</v>
      </c>
      <c r="J23" s="53">
        <v>0.48</v>
      </c>
      <c r="K23" s="53">
        <v>358.57</v>
      </c>
      <c r="L23" s="53">
        <v>28.21</v>
      </c>
      <c r="M23" s="53">
        <v>76.67</v>
      </c>
      <c r="N23" s="53">
        <v>154.80000000000001</v>
      </c>
      <c r="O23" s="53">
        <v>0</v>
      </c>
      <c r="P23" s="53">
        <v>0.4</v>
      </c>
      <c r="Q23" s="53">
        <v>9.66</v>
      </c>
      <c r="R23" s="43"/>
      <c r="S23" s="43"/>
      <c r="T23" s="43"/>
      <c r="U23" s="43"/>
    </row>
    <row r="24" spans="1:21" s="11" customFormat="1" x14ac:dyDescent="0.25">
      <c r="A24" s="52" t="s">
        <v>483</v>
      </c>
      <c r="B24" s="53">
        <v>4.29</v>
      </c>
      <c r="C24" s="53">
        <v>3.17</v>
      </c>
      <c r="D24" s="53">
        <v>7.28</v>
      </c>
      <c r="E24" s="53">
        <v>3.96</v>
      </c>
      <c r="F24" s="53">
        <v>4.0199999999999996</v>
      </c>
      <c r="G24" s="53">
        <v>38.28</v>
      </c>
      <c r="H24" s="53">
        <v>19.579999999999998</v>
      </c>
      <c r="I24" s="53">
        <v>2.48</v>
      </c>
      <c r="J24" s="53">
        <v>0.87</v>
      </c>
      <c r="K24" s="53">
        <v>336.46</v>
      </c>
      <c r="L24" s="53">
        <v>29.05</v>
      </c>
      <c r="M24" s="53">
        <v>78.67</v>
      </c>
      <c r="N24" s="53">
        <v>188.6</v>
      </c>
      <c r="O24" s="53">
        <v>0</v>
      </c>
      <c r="P24" s="53">
        <v>0.44</v>
      </c>
      <c r="Q24" s="53">
        <v>9.64</v>
      </c>
      <c r="R24" s="43"/>
      <c r="S24" s="43"/>
      <c r="T24" s="43"/>
      <c r="U24" s="43"/>
    </row>
    <row r="25" spans="1:21" s="11" customFormat="1" x14ac:dyDescent="0.25">
      <c r="A25" s="52" t="s">
        <v>484</v>
      </c>
      <c r="B25" s="53">
        <v>4.2699999999999996</v>
      </c>
      <c r="C25" s="53">
        <v>3.19</v>
      </c>
      <c r="D25" s="53">
        <v>7.27</v>
      </c>
      <c r="E25" s="53">
        <v>4.0599999999999996</v>
      </c>
      <c r="F25" s="53">
        <v>5.21</v>
      </c>
      <c r="G25" s="53">
        <v>38.67</v>
      </c>
      <c r="H25" s="53">
        <v>16.690000000000001</v>
      </c>
      <c r="I25" s="53">
        <v>2.15</v>
      </c>
      <c r="J25" s="53">
        <v>0.53</v>
      </c>
      <c r="K25" s="53">
        <v>345.94</v>
      </c>
      <c r="L25" s="53">
        <v>29.03</v>
      </c>
      <c r="M25" s="53">
        <v>74.92</v>
      </c>
      <c r="N25" s="53">
        <v>109.1</v>
      </c>
      <c r="O25" s="53">
        <v>0</v>
      </c>
      <c r="P25" s="53">
        <v>0.39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485</v>
      </c>
      <c r="B26" s="53">
        <v>4.2300000000000004</v>
      </c>
      <c r="C26" s="53">
        <v>3.16</v>
      </c>
      <c r="D26" s="53">
        <v>7.23</v>
      </c>
      <c r="E26" s="53">
        <v>4.37</v>
      </c>
      <c r="F26" s="53">
        <v>5.14</v>
      </c>
      <c r="G26" s="53">
        <v>38.67</v>
      </c>
      <c r="H26" s="53">
        <v>16.690000000000001</v>
      </c>
      <c r="I26" s="53">
        <v>2.17</v>
      </c>
      <c r="J26" s="53">
        <v>0.36</v>
      </c>
      <c r="K26" s="53">
        <v>350.11</v>
      </c>
      <c r="L26" s="53">
        <v>27.69</v>
      </c>
      <c r="M26" s="53">
        <v>79.39</v>
      </c>
      <c r="N26" s="53">
        <v>76.400000000000006</v>
      </c>
      <c r="O26" s="53">
        <v>0</v>
      </c>
      <c r="P26" s="53">
        <v>0.4</v>
      </c>
      <c r="Q26" s="53">
        <v>9.57</v>
      </c>
      <c r="R26" s="43"/>
      <c r="S26" s="43"/>
      <c r="T26" s="43"/>
      <c r="U26" s="43"/>
    </row>
    <row r="27" spans="1:21" s="11" customFormat="1" x14ac:dyDescent="0.25">
      <c r="A27" s="52" t="s">
        <v>486</v>
      </c>
      <c r="B27" s="53">
        <v>4.2300000000000004</v>
      </c>
      <c r="C27" s="53">
        <v>3.18</v>
      </c>
      <c r="D27" s="53">
        <v>7.24</v>
      </c>
      <c r="E27" s="53">
        <v>4.2699999999999996</v>
      </c>
      <c r="F27" s="53">
        <v>4.6900000000000004</v>
      </c>
      <c r="G27" s="53">
        <v>37.450000000000003</v>
      </c>
      <c r="H27" s="53">
        <v>9.74</v>
      </c>
      <c r="I27" s="53">
        <v>2.19</v>
      </c>
      <c r="J27" s="53">
        <v>0.38</v>
      </c>
      <c r="K27" s="53">
        <v>208.94</v>
      </c>
      <c r="L27" s="53">
        <v>26.65</v>
      </c>
      <c r="M27" s="53">
        <v>88.68</v>
      </c>
      <c r="N27" s="53">
        <v>27.8</v>
      </c>
      <c r="O27" s="53">
        <v>0</v>
      </c>
      <c r="P27" s="53">
        <v>0.51</v>
      </c>
      <c r="Q27" s="53">
        <v>9.59</v>
      </c>
      <c r="R27" s="43"/>
      <c r="S27" s="43"/>
      <c r="T27" s="43"/>
      <c r="U27" s="43"/>
    </row>
    <row r="28" spans="1:21" s="11" customFormat="1" x14ac:dyDescent="0.25">
      <c r="A28" s="52" t="s">
        <v>487</v>
      </c>
      <c r="B28" s="53">
        <v>4.29</v>
      </c>
      <c r="C28" s="53">
        <v>3.2</v>
      </c>
      <c r="D28" s="53">
        <v>7.29</v>
      </c>
      <c r="E28" s="53">
        <v>4.96</v>
      </c>
      <c r="F28" s="53">
        <v>4.3</v>
      </c>
      <c r="G28" s="53">
        <v>45.81</v>
      </c>
      <c r="H28" s="53">
        <v>6.11</v>
      </c>
      <c r="I28" s="53">
        <v>2.5299999999999998</v>
      </c>
      <c r="J28" s="53">
        <v>0.3</v>
      </c>
      <c r="K28" s="53">
        <v>236.16</v>
      </c>
      <c r="L28" s="53">
        <v>25.59</v>
      </c>
      <c r="M28" s="53">
        <v>92.75</v>
      </c>
      <c r="N28" s="53">
        <v>26.1</v>
      </c>
      <c r="O28" s="53">
        <v>0</v>
      </c>
      <c r="P28" s="53">
        <v>0.96</v>
      </c>
      <c r="Q28" s="53">
        <v>9.58</v>
      </c>
      <c r="R28" s="43"/>
      <c r="S28" s="43"/>
      <c r="T28" s="43"/>
      <c r="U28" s="43"/>
    </row>
    <row r="29" spans="1:21" s="11" customFormat="1" x14ac:dyDescent="0.25">
      <c r="A29" s="52" t="s">
        <v>488</v>
      </c>
      <c r="B29" s="53">
        <v>4.3099999999999996</v>
      </c>
      <c r="C29" s="53">
        <v>3.19</v>
      </c>
      <c r="D29" s="53">
        <v>7.31</v>
      </c>
      <c r="E29" s="53">
        <v>4.6399999999999997</v>
      </c>
      <c r="F29" s="53">
        <v>4.03</v>
      </c>
      <c r="G29" s="53">
        <v>53.38</v>
      </c>
      <c r="H29" s="53">
        <v>6.11</v>
      </c>
      <c r="I29" s="53">
        <v>3.37</v>
      </c>
      <c r="J29" s="53">
        <v>0.5</v>
      </c>
      <c r="K29" s="53">
        <v>324.41000000000003</v>
      </c>
      <c r="L29" s="53">
        <v>25.2</v>
      </c>
      <c r="M29" s="53">
        <v>95.85</v>
      </c>
      <c r="N29" s="53">
        <v>26.1</v>
      </c>
      <c r="O29" s="53">
        <v>0</v>
      </c>
      <c r="P29" s="53">
        <v>1.05</v>
      </c>
      <c r="Q29" s="53">
        <v>9.67</v>
      </c>
      <c r="R29" s="43"/>
      <c r="S29" s="43"/>
      <c r="T29" s="43"/>
      <c r="U29" s="43"/>
    </row>
    <row r="30" spans="1:21" s="11" customFormat="1" x14ac:dyDescent="0.25">
      <c r="A30" s="52" t="s">
        <v>489</v>
      </c>
      <c r="B30" s="53">
        <v>4.3</v>
      </c>
      <c r="C30" s="53">
        <v>3.21</v>
      </c>
      <c r="D30" s="53">
        <v>7.31</v>
      </c>
      <c r="E30" s="53">
        <v>4.8600000000000003</v>
      </c>
      <c r="F30" s="53">
        <v>4.6100000000000003</v>
      </c>
      <c r="G30" s="53">
        <v>59.77</v>
      </c>
      <c r="H30" s="53">
        <v>6.11</v>
      </c>
      <c r="I30" s="53">
        <v>3.55</v>
      </c>
      <c r="J30" s="53">
        <v>0.33</v>
      </c>
      <c r="K30" s="53">
        <v>263.88</v>
      </c>
      <c r="L30" s="53">
        <v>24.78</v>
      </c>
      <c r="M30" s="53">
        <v>97.95</v>
      </c>
      <c r="N30" s="53">
        <v>26.1</v>
      </c>
      <c r="O30" s="53">
        <v>0</v>
      </c>
      <c r="P30" s="53">
        <v>0.94</v>
      </c>
      <c r="Q30" s="53">
        <v>9.76</v>
      </c>
      <c r="R30" s="43"/>
      <c r="S30" s="43"/>
      <c r="T30" s="43"/>
      <c r="U30" s="43"/>
    </row>
    <row r="31" spans="1:21" s="11" customFormat="1" x14ac:dyDescent="0.25">
      <c r="A31" s="52" t="s">
        <v>490</v>
      </c>
      <c r="B31" s="53">
        <v>4.2699999999999996</v>
      </c>
      <c r="C31" s="53">
        <v>3.25</v>
      </c>
      <c r="D31" s="53">
        <v>7.32</v>
      </c>
      <c r="E31" s="53">
        <v>5.08</v>
      </c>
      <c r="F31" s="53">
        <v>4.41</v>
      </c>
      <c r="G31" s="53">
        <v>59.77</v>
      </c>
      <c r="H31" s="53">
        <v>22.42</v>
      </c>
      <c r="I31" s="53">
        <v>3.4</v>
      </c>
      <c r="J31" s="53">
        <v>0.23</v>
      </c>
      <c r="K31" s="53">
        <v>346.4</v>
      </c>
      <c r="L31" s="53">
        <v>24.34</v>
      </c>
      <c r="M31" s="53">
        <v>101.76</v>
      </c>
      <c r="N31" s="53">
        <v>26.1</v>
      </c>
      <c r="O31" s="53">
        <v>0</v>
      </c>
      <c r="P31" s="53">
        <v>1</v>
      </c>
      <c r="Q31" s="53">
        <v>9.9</v>
      </c>
      <c r="R31" s="43"/>
      <c r="S31" s="43"/>
      <c r="T31" s="43"/>
      <c r="U31" s="43"/>
    </row>
    <row r="32" spans="1:21" s="11" customFormat="1" x14ac:dyDescent="0.25">
      <c r="A32" s="52" t="s">
        <v>491</v>
      </c>
      <c r="B32" s="53">
        <v>4.34</v>
      </c>
      <c r="C32" s="53">
        <v>3.24</v>
      </c>
      <c r="D32" s="53">
        <v>7.36</v>
      </c>
      <c r="E32" s="53">
        <v>4.8499999999999996</v>
      </c>
      <c r="F32" s="53">
        <v>3.72</v>
      </c>
      <c r="G32" s="53">
        <v>61.49</v>
      </c>
      <c r="H32" s="53">
        <v>24.61</v>
      </c>
      <c r="I32" s="53">
        <v>3.95</v>
      </c>
      <c r="J32" s="53">
        <v>0.44</v>
      </c>
      <c r="K32" s="53">
        <v>356.79</v>
      </c>
      <c r="L32" s="53">
        <v>23.82</v>
      </c>
      <c r="M32" s="53">
        <v>101.76</v>
      </c>
      <c r="N32" s="53">
        <v>26.1</v>
      </c>
      <c r="O32" s="53">
        <v>0</v>
      </c>
      <c r="P32" s="53">
        <v>0.91</v>
      </c>
      <c r="Q32" s="53">
        <v>10.08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4.22</v>
      </c>
      <c r="C34" s="28">
        <f t="shared" si="0"/>
        <v>3.14</v>
      </c>
      <c r="D34" s="28">
        <f t="shared" si="0"/>
        <v>7.22</v>
      </c>
      <c r="E34" s="28">
        <f t="shared" si="0"/>
        <v>3.65</v>
      </c>
      <c r="F34" s="28">
        <f t="shared" si="0"/>
        <v>3.72</v>
      </c>
      <c r="G34" s="28">
        <f t="shared" si="0"/>
        <v>32.54</v>
      </c>
      <c r="H34" s="28">
        <f t="shared" si="0"/>
        <v>6.11</v>
      </c>
      <c r="I34" s="28">
        <f t="shared" si="0"/>
        <v>2.15</v>
      </c>
      <c r="J34" s="28">
        <f t="shared" si="0"/>
        <v>0.23</v>
      </c>
      <c r="K34" s="28">
        <f t="shared" si="0"/>
        <v>30.2</v>
      </c>
      <c r="L34" s="28">
        <f t="shared" si="0"/>
        <v>22.26</v>
      </c>
      <c r="M34" s="28">
        <f t="shared" si="0"/>
        <v>69.8</v>
      </c>
      <c r="N34" s="28">
        <f t="shared" si="0"/>
        <v>25.8</v>
      </c>
      <c r="O34" s="28">
        <f t="shared" si="0"/>
        <v>0</v>
      </c>
      <c r="P34" s="28">
        <f t="shared" si="0"/>
        <v>0.3</v>
      </c>
      <c r="Q34" s="28">
        <f t="shared" si="0"/>
        <v>9.5399999999999991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4.34</v>
      </c>
      <c r="C35" s="29">
        <f t="shared" si="1"/>
        <v>3.29</v>
      </c>
      <c r="D35" s="29">
        <f t="shared" si="1"/>
        <v>7.38</v>
      </c>
      <c r="E35" s="29">
        <f t="shared" si="1"/>
        <v>5.33</v>
      </c>
      <c r="F35" s="29">
        <f t="shared" si="1"/>
        <v>5.21</v>
      </c>
      <c r="G35" s="29">
        <f t="shared" si="1"/>
        <v>61.49</v>
      </c>
      <c r="H35" s="29">
        <f t="shared" si="1"/>
        <v>29.81</v>
      </c>
      <c r="I35" s="29">
        <f t="shared" si="1"/>
        <v>3.95</v>
      </c>
      <c r="J35" s="29">
        <f t="shared" si="1"/>
        <v>1.23</v>
      </c>
      <c r="K35" s="29">
        <f t="shared" si="1"/>
        <v>359.86</v>
      </c>
      <c r="L35" s="29">
        <f t="shared" si="1"/>
        <v>30.76</v>
      </c>
      <c r="M35" s="29">
        <f t="shared" si="1"/>
        <v>101.79</v>
      </c>
      <c r="N35" s="29">
        <f t="shared" si="1"/>
        <v>939.3</v>
      </c>
      <c r="O35" s="29">
        <f t="shared" si="1"/>
        <v>0</v>
      </c>
      <c r="P35" s="29">
        <f t="shared" si="1"/>
        <v>1.05</v>
      </c>
      <c r="Q35" s="29">
        <f t="shared" si="1"/>
        <v>10.08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4.2704166666666676</v>
      </c>
      <c r="C36" s="28">
        <f t="shared" si="2"/>
        <v>3.1841666666666661</v>
      </c>
      <c r="D36" s="28">
        <f t="shared" si="2"/>
        <v>7.2741666666666669</v>
      </c>
      <c r="E36" s="28">
        <f t="shared" si="2"/>
        <v>4.5041666666666664</v>
      </c>
      <c r="F36" s="28">
        <f t="shared" si="2"/>
        <v>4.383333333333332</v>
      </c>
      <c r="G36" s="28">
        <f t="shared" si="2"/>
        <v>40.929999999999993</v>
      </c>
      <c r="H36" s="28">
        <f t="shared" si="2"/>
        <v>18.849166666666665</v>
      </c>
      <c r="I36" s="28">
        <f t="shared" si="2"/>
        <v>2.9129166666666664</v>
      </c>
      <c r="J36" s="28">
        <f t="shared" si="2"/>
        <v>0.48208333333333336</v>
      </c>
      <c r="K36" s="28">
        <f t="shared" si="2"/>
        <v>277.51958333333329</v>
      </c>
      <c r="L36" s="28">
        <f t="shared" si="2"/>
        <v>26.167083333333334</v>
      </c>
      <c r="M36" s="28">
        <f t="shared" si="2"/>
        <v>89.804583333333355</v>
      </c>
      <c r="N36" s="28">
        <f t="shared" si="2"/>
        <v>235.88333333333344</v>
      </c>
      <c r="O36" s="28">
        <f t="shared" si="2"/>
        <v>0</v>
      </c>
      <c r="P36" s="28">
        <f t="shared" si="2"/>
        <v>0.50624999999999998</v>
      </c>
      <c r="Q36" s="28">
        <f t="shared" si="2"/>
        <v>9.6449999999999996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3.2232736082472298E-2</v>
      </c>
      <c r="C37" s="28">
        <f t="shared" ref="C37:Q37" si="3">STDEV(C9:C32)</f>
        <v>3.525271086297347E-2</v>
      </c>
      <c r="D37" s="28">
        <f t="shared" si="3"/>
        <v>4.0851445258523522E-2</v>
      </c>
      <c r="E37" s="28">
        <f t="shared" si="3"/>
        <v>0.49951208077541048</v>
      </c>
      <c r="F37" s="28">
        <f t="shared" si="3"/>
        <v>0.39329894224497286</v>
      </c>
      <c r="G37" s="28">
        <f t="shared" si="3"/>
        <v>8.6881283319852418</v>
      </c>
      <c r="H37" s="28">
        <f t="shared" si="3"/>
        <v>8.4411599845079195</v>
      </c>
      <c r="I37" s="28">
        <f t="shared" si="3"/>
        <v>0.5639725491829225</v>
      </c>
      <c r="J37" s="28">
        <f t="shared" si="3"/>
        <v>0.22751930958027297</v>
      </c>
      <c r="K37" s="28">
        <f t="shared" si="3"/>
        <v>94.742284645341343</v>
      </c>
      <c r="L37" s="28">
        <f t="shared" si="3"/>
        <v>2.8830637073397769</v>
      </c>
      <c r="M37" s="28">
        <f t="shared" si="3"/>
        <v>12.58575177114686</v>
      </c>
      <c r="N37" s="28">
        <f t="shared" si="3"/>
        <v>309.90271638562371</v>
      </c>
      <c r="O37" s="28">
        <f t="shared" si="3"/>
        <v>0</v>
      </c>
      <c r="P37" s="28">
        <f t="shared" si="3"/>
        <v>0.24960512292680284</v>
      </c>
      <c r="Q37" s="28">
        <f t="shared" si="3"/>
        <v>0.11846848782986835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492</v>
      </c>
      <c r="B9" s="53">
        <v>4.32</v>
      </c>
      <c r="C9" s="53">
        <v>3.22</v>
      </c>
      <c r="D9" s="53">
        <v>7.34</v>
      </c>
      <c r="E9" s="53">
        <v>4.0599999999999996</v>
      </c>
      <c r="F9" s="53">
        <v>3.53</v>
      </c>
      <c r="G9" s="53">
        <v>61.8</v>
      </c>
      <c r="H9" s="53">
        <v>31.74</v>
      </c>
      <c r="I9" s="53">
        <v>1.68</v>
      </c>
      <c r="J9" s="53">
        <v>0.48</v>
      </c>
      <c r="K9" s="53">
        <v>317.77999999999997</v>
      </c>
      <c r="L9" s="53">
        <v>23.52</v>
      </c>
      <c r="M9" s="53">
        <v>101.78</v>
      </c>
      <c r="N9" s="53">
        <v>26.1</v>
      </c>
      <c r="O9" s="53">
        <v>0</v>
      </c>
      <c r="P9" s="53">
        <v>0.63</v>
      </c>
      <c r="Q9" s="53">
        <v>10.08</v>
      </c>
      <c r="R9" s="43"/>
      <c r="S9" s="43"/>
      <c r="T9" s="43"/>
      <c r="U9" s="43"/>
    </row>
    <row r="10" spans="1:21" s="11" customFormat="1" x14ac:dyDescent="0.25">
      <c r="A10" s="52" t="s">
        <v>493</v>
      </c>
      <c r="B10" s="53">
        <v>4.3</v>
      </c>
      <c r="C10" s="53">
        <v>3.23</v>
      </c>
      <c r="D10" s="53">
        <v>7.32</v>
      </c>
      <c r="E10" s="53">
        <v>4.3</v>
      </c>
      <c r="F10" s="53">
        <v>5.81</v>
      </c>
      <c r="G10" s="53">
        <v>61.8</v>
      </c>
      <c r="H10" s="53">
        <v>31.74</v>
      </c>
      <c r="I10" s="53">
        <v>3.13</v>
      </c>
      <c r="J10" s="53">
        <v>0.4</v>
      </c>
      <c r="K10" s="53">
        <v>236.16</v>
      </c>
      <c r="L10" s="53">
        <v>23.35</v>
      </c>
      <c r="M10" s="53">
        <v>101.79</v>
      </c>
      <c r="N10" s="53">
        <v>26</v>
      </c>
      <c r="O10" s="53">
        <v>0</v>
      </c>
      <c r="P10" s="53">
        <v>0.49</v>
      </c>
      <c r="Q10" s="53">
        <v>10.050000000000001</v>
      </c>
      <c r="R10" s="43"/>
      <c r="S10" s="43"/>
      <c r="T10" s="43"/>
      <c r="U10" s="43"/>
    </row>
    <row r="11" spans="1:21" s="11" customFormat="1" x14ac:dyDescent="0.25">
      <c r="A11" s="52" t="s">
        <v>494</v>
      </c>
      <c r="B11" s="53">
        <v>4.3</v>
      </c>
      <c r="C11" s="53">
        <v>3.28</v>
      </c>
      <c r="D11" s="53">
        <v>7.35</v>
      </c>
      <c r="E11" s="53">
        <v>4.07</v>
      </c>
      <c r="F11" s="53">
        <v>4.25</v>
      </c>
      <c r="G11" s="53">
        <v>45.78</v>
      </c>
      <c r="H11" s="53">
        <v>9.26</v>
      </c>
      <c r="I11" s="53">
        <v>2.8</v>
      </c>
      <c r="J11" s="53">
        <v>0.43</v>
      </c>
      <c r="K11" s="53">
        <v>301.67</v>
      </c>
      <c r="L11" s="53">
        <v>23.05</v>
      </c>
      <c r="M11" s="53">
        <v>101.8</v>
      </c>
      <c r="N11" s="53">
        <v>26.1</v>
      </c>
      <c r="O11" s="53">
        <v>0</v>
      </c>
      <c r="P11" s="53">
        <v>0.48</v>
      </c>
      <c r="Q11" s="53">
        <v>9.9600000000000009</v>
      </c>
      <c r="R11" s="43"/>
      <c r="S11" s="43"/>
      <c r="T11" s="43"/>
      <c r="U11" s="43"/>
    </row>
    <row r="12" spans="1:21" s="11" customFormat="1" x14ac:dyDescent="0.25">
      <c r="A12" s="52" t="s">
        <v>495</v>
      </c>
      <c r="B12" s="53">
        <v>4.3499999999999996</v>
      </c>
      <c r="C12" s="53">
        <v>3.31</v>
      </c>
      <c r="D12" s="53">
        <v>7.4</v>
      </c>
      <c r="E12" s="53">
        <v>4.66</v>
      </c>
      <c r="F12" s="53">
        <v>3.78</v>
      </c>
      <c r="G12" s="53">
        <v>41.6</v>
      </c>
      <c r="H12" s="53">
        <v>13.14</v>
      </c>
      <c r="I12" s="53">
        <v>2.81</v>
      </c>
      <c r="J12" s="53">
        <v>0.47</v>
      </c>
      <c r="K12" s="53">
        <v>298.33999999999997</v>
      </c>
      <c r="L12" s="53">
        <v>22.96</v>
      </c>
      <c r="M12" s="53">
        <v>101.83</v>
      </c>
      <c r="N12" s="53">
        <v>26.1</v>
      </c>
      <c r="O12" s="53">
        <v>0</v>
      </c>
      <c r="P12" s="53">
        <v>0.39</v>
      </c>
      <c r="Q12" s="53">
        <v>9.89</v>
      </c>
      <c r="R12" s="43"/>
      <c r="S12" s="43"/>
      <c r="T12" s="43"/>
      <c r="U12" s="43"/>
    </row>
    <row r="13" spans="1:21" s="11" customFormat="1" x14ac:dyDescent="0.25">
      <c r="A13" s="52" t="s">
        <v>496</v>
      </c>
      <c r="B13" s="53">
        <v>4.32</v>
      </c>
      <c r="C13" s="53">
        <v>3.22</v>
      </c>
      <c r="D13" s="53">
        <v>7.34</v>
      </c>
      <c r="E13" s="53">
        <v>4.8</v>
      </c>
      <c r="F13" s="53">
        <v>3.35</v>
      </c>
      <c r="G13" s="53">
        <v>30.57</v>
      </c>
      <c r="H13" s="53">
        <v>13.14</v>
      </c>
      <c r="I13" s="53">
        <v>0.84</v>
      </c>
      <c r="J13" s="53">
        <v>0.31</v>
      </c>
      <c r="K13" s="53">
        <v>194.68</v>
      </c>
      <c r="L13" s="53">
        <v>22.77</v>
      </c>
      <c r="M13" s="53">
        <v>101.82</v>
      </c>
      <c r="N13" s="53">
        <v>26</v>
      </c>
      <c r="O13" s="53">
        <v>0</v>
      </c>
      <c r="P13" s="53">
        <v>0.27</v>
      </c>
      <c r="Q13" s="53">
        <v>9.9</v>
      </c>
      <c r="R13" s="43"/>
      <c r="S13" s="43"/>
      <c r="T13" s="43"/>
      <c r="U13" s="43"/>
    </row>
    <row r="14" spans="1:21" s="11" customFormat="1" x14ac:dyDescent="0.25">
      <c r="A14" s="52" t="s">
        <v>497</v>
      </c>
      <c r="B14" s="53">
        <v>4.3099999999999996</v>
      </c>
      <c r="C14" s="53">
        <v>3.2</v>
      </c>
      <c r="D14" s="53">
        <v>7.32</v>
      </c>
      <c r="E14" s="53">
        <v>4.9400000000000004</v>
      </c>
      <c r="F14" s="53">
        <v>4.24</v>
      </c>
      <c r="G14" s="53">
        <v>30.92</v>
      </c>
      <c r="H14" s="53">
        <v>6.67</v>
      </c>
      <c r="I14" s="53">
        <v>3.08</v>
      </c>
      <c r="J14" s="53">
        <v>0.4</v>
      </c>
      <c r="K14" s="53">
        <v>337.65</v>
      </c>
      <c r="L14" s="53">
        <v>22.7</v>
      </c>
      <c r="M14" s="53">
        <v>101.83</v>
      </c>
      <c r="N14" s="53">
        <v>29.1</v>
      </c>
      <c r="O14" s="53">
        <v>0</v>
      </c>
      <c r="P14" s="53">
        <v>0.37</v>
      </c>
      <c r="Q14" s="53">
        <v>9.86</v>
      </c>
      <c r="R14" s="43"/>
      <c r="S14" s="43"/>
      <c r="T14" s="43"/>
      <c r="U14" s="43"/>
    </row>
    <row r="15" spans="1:21" s="11" customFormat="1" x14ac:dyDescent="0.25">
      <c r="A15" s="52" t="s">
        <v>498</v>
      </c>
      <c r="B15" s="53">
        <v>4.3</v>
      </c>
      <c r="C15" s="53">
        <v>3.19</v>
      </c>
      <c r="D15" s="53">
        <v>7.31</v>
      </c>
      <c r="E15" s="53">
        <v>4.82</v>
      </c>
      <c r="F15" s="53">
        <v>4.42</v>
      </c>
      <c r="G15" s="53">
        <v>30.92</v>
      </c>
      <c r="H15" s="53">
        <v>8.4700000000000006</v>
      </c>
      <c r="I15" s="53">
        <v>3.18</v>
      </c>
      <c r="J15" s="53">
        <v>0.56000000000000005</v>
      </c>
      <c r="K15" s="53">
        <v>123.76</v>
      </c>
      <c r="L15" s="53">
        <v>25.34</v>
      </c>
      <c r="M15" s="53">
        <v>101.83</v>
      </c>
      <c r="N15" s="53">
        <v>164.7</v>
      </c>
      <c r="O15" s="53">
        <v>0</v>
      </c>
      <c r="P15" s="53">
        <v>0.37</v>
      </c>
      <c r="Q15" s="53">
        <v>9.84</v>
      </c>
      <c r="R15" s="43"/>
      <c r="S15" s="43"/>
      <c r="T15" s="43"/>
      <c r="U15" s="43"/>
    </row>
    <row r="16" spans="1:21" s="11" customFormat="1" x14ac:dyDescent="0.25">
      <c r="A16" s="52" t="s">
        <v>499</v>
      </c>
      <c r="B16" s="53">
        <v>4.28</v>
      </c>
      <c r="C16" s="53">
        <v>3.19</v>
      </c>
      <c r="D16" s="53">
        <v>7.28</v>
      </c>
      <c r="E16" s="53">
        <v>4.93</v>
      </c>
      <c r="F16" s="53">
        <v>4.21</v>
      </c>
      <c r="G16" s="53">
        <v>35.049999999999997</v>
      </c>
      <c r="H16" s="53">
        <v>8.4700000000000006</v>
      </c>
      <c r="I16" s="53">
        <v>3.68</v>
      </c>
      <c r="J16" s="53">
        <v>0.8</v>
      </c>
      <c r="K16" s="53">
        <v>154.77000000000001</v>
      </c>
      <c r="L16" s="53">
        <v>27.86</v>
      </c>
      <c r="M16" s="53">
        <v>89.16</v>
      </c>
      <c r="N16" s="53">
        <v>379.6</v>
      </c>
      <c r="O16" s="53">
        <v>0</v>
      </c>
      <c r="P16" s="53">
        <v>0.45</v>
      </c>
      <c r="Q16" s="53">
        <v>9.8699999999999992</v>
      </c>
      <c r="R16" s="43"/>
      <c r="S16" s="43"/>
      <c r="T16" s="43"/>
      <c r="U16" s="43"/>
    </row>
    <row r="17" spans="1:21" s="11" customFormat="1" x14ac:dyDescent="0.25">
      <c r="A17" s="52" t="s">
        <v>500</v>
      </c>
      <c r="B17" s="53">
        <v>4.32</v>
      </c>
      <c r="C17" s="53">
        <v>3.23</v>
      </c>
      <c r="D17" s="53">
        <v>7.34</v>
      </c>
      <c r="E17" s="53">
        <v>3.75</v>
      </c>
      <c r="F17" s="53">
        <v>3.85</v>
      </c>
      <c r="G17" s="53">
        <v>38.020000000000003</v>
      </c>
      <c r="H17" s="53">
        <v>13.86</v>
      </c>
      <c r="I17" s="53">
        <v>3.11</v>
      </c>
      <c r="J17" s="53">
        <v>0.95</v>
      </c>
      <c r="K17" s="53">
        <v>351.66</v>
      </c>
      <c r="L17" s="53">
        <v>33.39</v>
      </c>
      <c r="M17" s="53">
        <v>74.62</v>
      </c>
      <c r="N17" s="53">
        <v>583.9</v>
      </c>
      <c r="O17" s="53">
        <v>0</v>
      </c>
      <c r="P17" s="53">
        <v>0.86</v>
      </c>
      <c r="Q17" s="53">
        <v>9.82</v>
      </c>
      <c r="R17" s="43"/>
      <c r="S17" s="43"/>
      <c r="T17" s="43"/>
      <c r="U17" s="43"/>
    </row>
    <row r="18" spans="1:21" s="11" customFormat="1" x14ac:dyDescent="0.25">
      <c r="A18" s="52" t="s">
        <v>501</v>
      </c>
      <c r="B18" s="53">
        <v>4.32</v>
      </c>
      <c r="C18" s="53">
        <v>3.27</v>
      </c>
      <c r="D18" s="53">
        <v>7.35</v>
      </c>
      <c r="E18" s="53">
        <v>3.98</v>
      </c>
      <c r="F18" s="53">
        <v>3.99</v>
      </c>
      <c r="G18" s="53">
        <v>46.74</v>
      </c>
      <c r="H18" s="53">
        <v>13.86</v>
      </c>
      <c r="I18" s="53">
        <v>4.54</v>
      </c>
      <c r="J18" s="53">
        <v>0.56000000000000005</v>
      </c>
      <c r="K18" s="53">
        <v>352.12</v>
      </c>
      <c r="L18" s="53">
        <v>34.43</v>
      </c>
      <c r="M18" s="53">
        <v>66.11</v>
      </c>
      <c r="N18" s="53">
        <v>798.1</v>
      </c>
      <c r="O18" s="53">
        <v>0</v>
      </c>
      <c r="P18" s="53">
        <v>0.77</v>
      </c>
      <c r="Q18" s="53">
        <v>9.85</v>
      </c>
      <c r="R18" s="43"/>
      <c r="S18" s="43"/>
      <c r="T18" s="43"/>
      <c r="U18" s="43"/>
    </row>
    <row r="19" spans="1:21" s="11" customFormat="1" x14ac:dyDescent="0.25">
      <c r="A19" s="52" t="s">
        <v>502</v>
      </c>
      <c r="B19" s="53">
        <v>4.3099999999999996</v>
      </c>
      <c r="C19" s="53">
        <v>3.35</v>
      </c>
      <c r="D19" s="53">
        <v>7.4</v>
      </c>
      <c r="E19" s="53">
        <v>3.76</v>
      </c>
      <c r="F19" s="53">
        <v>5.21</v>
      </c>
      <c r="G19" s="53">
        <v>52.09</v>
      </c>
      <c r="H19" s="53">
        <v>3.33</v>
      </c>
      <c r="I19" s="53">
        <v>5.05</v>
      </c>
      <c r="J19" s="53">
        <v>0.78</v>
      </c>
      <c r="K19" s="53">
        <v>342.16</v>
      </c>
      <c r="L19" s="53">
        <v>34.78</v>
      </c>
      <c r="M19" s="53">
        <v>62.99</v>
      </c>
      <c r="N19" s="53">
        <v>680.7</v>
      </c>
      <c r="O19" s="53">
        <v>0</v>
      </c>
      <c r="P19" s="53">
        <v>0.7</v>
      </c>
      <c r="Q19" s="53">
        <v>9.84</v>
      </c>
      <c r="R19" s="43"/>
      <c r="S19" s="43"/>
      <c r="T19" s="43"/>
      <c r="U19" s="43"/>
    </row>
    <row r="20" spans="1:21" s="11" customFormat="1" x14ac:dyDescent="0.25">
      <c r="A20" s="52" t="s">
        <v>503</v>
      </c>
      <c r="B20" s="53">
        <v>4.2300000000000004</v>
      </c>
      <c r="C20" s="53">
        <v>3.24</v>
      </c>
      <c r="D20" s="53">
        <v>7.28</v>
      </c>
      <c r="E20" s="53">
        <v>3.76</v>
      </c>
      <c r="F20" s="53">
        <v>35.07</v>
      </c>
      <c r="G20" s="59" t="s">
        <v>14</v>
      </c>
      <c r="H20" s="59" t="s">
        <v>14</v>
      </c>
      <c r="I20" s="53">
        <v>4.66</v>
      </c>
      <c r="J20" s="53">
        <v>0.92</v>
      </c>
      <c r="K20" s="53">
        <v>355.4</v>
      </c>
      <c r="L20" s="53">
        <v>31.39</v>
      </c>
      <c r="M20" s="53">
        <v>66.58</v>
      </c>
      <c r="N20" s="53">
        <v>651.4</v>
      </c>
      <c r="O20" s="53">
        <v>0</v>
      </c>
      <c r="P20" s="53">
        <v>0.73</v>
      </c>
      <c r="Q20" s="53">
        <v>9.7200000000000006</v>
      </c>
      <c r="R20" s="43"/>
      <c r="S20" s="43"/>
      <c r="T20" s="43"/>
      <c r="U20" s="43"/>
    </row>
    <row r="21" spans="1:21" s="11" customFormat="1" x14ac:dyDescent="0.25">
      <c r="A21" s="52" t="s">
        <v>504</v>
      </c>
      <c r="B21" s="53">
        <v>4.25</v>
      </c>
      <c r="C21" s="53">
        <v>3.25</v>
      </c>
      <c r="D21" s="53">
        <v>7.28</v>
      </c>
      <c r="E21" s="53">
        <v>4.79</v>
      </c>
      <c r="F21" s="53">
        <v>42.03</v>
      </c>
      <c r="G21" s="59" t="s">
        <v>14</v>
      </c>
      <c r="H21" s="59" t="s">
        <v>14</v>
      </c>
      <c r="I21" s="53">
        <v>3.54</v>
      </c>
      <c r="J21" s="53">
        <v>1.01</v>
      </c>
      <c r="K21" s="53">
        <v>152.94999999999999</v>
      </c>
      <c r="L21" s="53">
        <v>30</v>
      </c>
      <c r="M21" s="53">
        <v>68.81</v>
      </c>
      <c r="N21" s="53">
        <v>288.5</v>
      </c>
      <c r="O21" s="53">
        <v>0</v>
      </c>
      <c r="P21" s="53">
        <v>0.52</v>
      </c>
      <c r="Q21" s="53">
        <v>9.5399999999999991</v>
      </c>
      <c r="R21" s="43"/>
      <c r="S21" s="43"/>
      <c r="T21" s="43"/>
      <c r="U21" s="43"/>
    </row>
    <row r="22" spans="1:21" s="11" customFormat="1" x14ac:dyDescent="0.25">
      <c r="A22" s="52" t="s">
        <v>505</v>
      </c>
      <c r="B22" s="53">
        <v>4.26</v>
      </c>
      <c r="C22" s="53">
        <v>3.24</v>
      </c>
      <c r="D22" s="53">
        <v>7.3</v>
      </c>
      <c r="E22" s="53">
        <v>5.63</v>
      </c>
      <c r="F22" s="53">
        <v>7.82</v>
      </c>
      <c r="G22" s="59" t="s">
        <v>14</v>
      </c>
      <c r="H22" s="59" t="s">
        <v>14</v>
      </c>
      <c r="I22" s="53">
        <v>3.32</v>
      </c>
      <c r="J22" s="53">
        <v>0.88</v>
      </c>
      <c r="K22" s="53">
        <v>116.16</v>
      </c>
      <c r="L22" s="53">
        <v>30.53</v>
      </c>
      <c r="M22" s="53">
        <v>69.58</v>
      </c>
      <c r="N22" s="53">
        <v>349.2</v>
      </c>
      <c r="O22" s="53">
        <v>0</v>
      </c>
      <c r="P22" s="53">
        <v>0.54</v>
      </c>
      <c r="Q22" s="53">
        <v>9.6</v>
      </c>
      <c r="R22" s="43"/>
      <c r="S22" s="43"/>
      <c r="T22" s="43"/>
      <c r="U22" s="43"/>
    </row>
    <row r="23" spans="1:21" s="11" customFormat="1" x14ac:dyDescent="0.25">
      <c r="A23" s="52" t="s">
        <v>506</v>
      </c>
      <c r="B23" s="53">
        <v>4.22</v>
      </c>
      <c r="C23" s="53">
        <v>3.17</v>
      </c>
      <c r="D23" s="53">
        <v>7.22</v>
      </c>
      <c r="E23" s="53">
        <v>4.9000000000000004</v>
      </c>
      <c r="F23" s="53">
        <v>7.39</v>
      </c>
      <c r="G23" s="53">
        <v>75</v>
      </c>
      <c r="H23" s="53">
        <v>15.35</v>
      </c>
      <c r="I23" s="53">
        <v>4.21</v>
      </c>
      <c r="J23" s="53">
        <v>0.74</v>
      </c>
      <c r="K23" s="53">
        <v>347.39</v>
      </c>
      <c r="L23" s="53">
        <v>29.47</v>
      </c>
      <c r="M23" s="53">
        <v>68.95</v>
      </c>
      <c r="N23" s="53">
        <v>159.4</v>
      </c>
      <c r="O23" s="53">
        <v>0</v>
      </c>
      <c r="P23" s="53">
        <v>0.6</v>
      </c>
      <c r="Q23" s="53">
        <v>9.65</v>
      </c>
      <c r="R23" s="43"/>
      <c r="S23" s="43"/>
      <c r="T23" s="43"/>
      <c r="U23" s="43"/>
    </row>
    <row r="24" spans="1:21" s="11" customFormat="1" x14ac:dyDescent="0.25">
      <c r="A24" s="52" t="s">
        <v>507</v>
      </c>
      <c r="B24" s="53">
        <v>4.25</v>
      </c>
      <c r="C24" s="53">
        <v>3.27</v>
      </c>
      <c r="D24" s="53">
        <v>7.31</v>
      </c>
      <c r="E24" s="53">
        <v>4.92</v>
      </c>
      <c r="F24" s="53">
        <v>5.07</v>
      </c>
      <c r="G24" s="53">
        <v>74.489999999999995</v>
      </c>
      <c r="H24" s="53">
        <v>15.25</v>
      </c>
      <c r="I24" s="53">
        <v>3.69</v>
      </c>
      <c r="J24" s="53">
        <v>0.95</v>
      </c>
      <c r="K24" s="53">
        <v>339.25</v>
      </c>
      <c r="L24" s="53">
        <v>30.01</v>
      </c>
      <c r="M24" s="53">
        <v>68.03</v>
      </c>
      <c r="N24" s="53">
        <v>137</v>
      </c>
      <c r="O24" s="53">
        <v>0</v>
      </c>
      <c r="P24" s="53">
        <v>0.78</v>
      </c>
      <c r="Q24" s="53">
        <v>9.7200000000000006</v>
      </c>
      <c r="R24" s="43"/>
      <c r="S24" s="43"/>
      <c r="T24" s="43"/>
      <c r="U24" s="43"/>
    </row>
    <row r="25" spans="1:21" s="11" customFormat="1" x14ac:dyDescent="0.25">
      <c r="A25" s="52" t="s">
        <v>508</v>
      </c>
      <c r="B25" s="53">
        <v>4.2699999999999996</v>
      </c>
      <c r="C25" s="53">
        <v>3.21</v>
      </c>
      <c r="D25" s="53">
        <v>7.28</v>
      </c>
      <c r="E25" s="53">
        <v>4.04</v>
      </c>
      <c r="F25" s="53">
        <v>6.08</v>
      </c>
      <c r="G25" s="53">
        <v>70.73</v>
      </c>
      <c r="H25" s="53">
        <v>19.68</v>
      </c>
      <c r="I25" s="53">
        <v>2.77</v>
      </c>
      <c r="J25" s="53">
        <v>1.04</v>
      </c>
      <c r="K25" s="53">
        <v>123.46</v>
      </c>
      <c r="L25" s="53">
        <v>29.26</v>
      </c>
      <c r="M25" s="53">
        <v>69.459999999999994</v>
      </c>
      <c r="N25" s="53">
        <v>119.6</v>
      </c>
      <c r="O25" s="53">
        <v>0</v>
      </c>
      <c r="P25" s="53">
        <v>0.5</v>
      </c>
      <c r="Q25" s="53">
        <v>9.6999999999999993</v>
      </c>
      <c r="R25" s="43"/>
      <c r="S25" s="43"/>
      <c r="T25" s="43"/>
      <c r="U25" s="43"/>
    </row>
    <row r="26" spans="1:21" s="11" customFormat="1" x14ac:dyDescent="0.25">
      <c r="A26" s="52" t="s">
        <v>509</v>
      </c>
      <c r="B26" s="53">
        <v>4.28</v>
      </c>
      <c r="C26" s="53">
        <v>3.22</v>
      </c>
      <c r="D26" s="53">
        <v>7.3</v>
      </c>
      <c r="E26" s="53">
        <v>4.18</v>
      </c>
      <c r="F26" s="53">
        <v>6.39</v>
      </c>
      <c r="G26" s="53">
        <v>69.010000000000005</v>
      </c>
      <c r="H26" s="53">
        <v>22.16</v>
      </c>
      <c r="I26" s="53">
        <v>2.4700000000000002</v>
      </c>
      <c r="J26" s="53">
        <v>0.59</v>
      </c>
      <c r="K26" s="53">
        <v>359.88</v>
      </c>
      <c r="L26" s="53">
        <v>28.43</v>
      </c>
      <c r="M26" s="53">
        <v>85.79</v>
      </c>
      <c r="N26" s="53">
        <v>90</v>
      </c>
      <c r="O26" s="53">
        <v>0</v>
      </c>
      <c r="P26" s="53">
        <v>0.71</v>
      </c>
      <c r="Q26" s="53">
        <v>9.77</v>
      </c>
      <c r="R26" s="43"/>
      <c r="S26" s="43"/>
      <c r="T26" s="43"/>
      <c r="U26" s="43"/>
    </row>
    <row r="27" spans="1:21" s="11" customFormat="1" x14ac:dyDescent="0.25">
      <c r="A27" s="52" t="s">
        <v>510</v>
      </c>
      <c r="B27" s="53">
        <v>4.2699999999999996</v>
      </c>
      <c r="C27" s="53">
        <v>3.27</v>
      </c>
      <c r="D27" s="53">
        <v>7.31</v>
      </c>
      <c r="E27" s="53">
        <v>3.93</v>
      </c>
      <c r="F27" s="53">
        <v>4.01</v>
      </c>
      <c r="G27" s="53">
        <v>93.54</v>
      </c>
      <c r="H27" s="53">
        <v>19.420000000000002</v>
      </c>
      <c r="I27" s="53">
        <v>4.59</v>
      </c>
      <c r="J27" s="53">
        <v>0.4</v>
      </c>
      <c r="K27" s="53">
        <v>287.25</v>
      </c>
      <c r="L27" s="53">
        <v>27.14</v>
      </c>
      <c r="M27" s="53">
        <v>90.98</v>
      </c>
      <c r="N27" s="53">
        <v>28.2</v>
      </c>
      <c r="O27" s="53">
        <v>0</v>
      </c>
      <c r="P27" s="53">
        <v>1.03</v>
      </c>
      <c r="Q27" s="53">
        <v>9.8699999999999992</v>
      </c>
      <c r="R27" s="43"/>
      <c r="S27" s="43"/>
      <c r="T27" s="43"/>
      <c r="U27" s="43"/>
    </row>
    <row r="28" spans="1:21" s="11" customFormat="1" x14ac:dyDescent="0.25">
      <c r="A28" s="52" t="s">
        <v>511</v>
      </c>
      <c r="B28" s="53">
        <v>4.2699999999999996</v>
      </c>
      <c r="C28" s="53">
        <v>3.27</v>
      </c>
      <c r="D28" s="53">
        <v>7.33</v>
      </c>
      <c r="E28" s="53">
        <v>4.26</v>
      </c>
      <c r="F28" s="53">
        <v>4.28</v>
      </c>
      <c r="G28" s="53">
        <v>95.72</v>
      </c>
      <c r="H28" s="53">
        <v>39.94</v>
      </c>
      <c r="I28" s="53">
        <v>4.26</v>
      </c>
      <c r="J28" s="53">
        <v>0.43</v>
      </c>
      <c r="K28" s="53">
        <v>306.52999999999997</v>
      </c>
      <c r="L28" s="53">
        <v>26.58</v>
      </c>
      <c r="M28" s="53">
        <v>97.92</v>
      </c>
      <c r="N28" s="53">
        <v>26.1</v>
      </c>
      <c r="O28" s="53">
        <v>0</v>
      </c>
      <c r="P28" s="53">
        <v>1.28</v>
      </c>
      <c r="Q28" s="53">
        <v>9.8699999999999992</v>
      </c>
      <c r="R28" s="43"/>
      <c r="S28" s="43"/>
      <c r="T28" s="43"/>
      <c r="U28" s="43"/>
    </row>
    <row r="29" spans="1:21" s="11" customFormat="1" x14ac:dyDescent="0.25">
      <c r="A29" s="52" t="s">
        <v>512</v>
      </c>
      <c r="B29" s="53">
        <v>4.29</v>
      </c>
      <c r="C29" s="53">
        <v>3.26</v>
      </c>
      <c r="D29" s="53">
        <v>7.34</v>
      </c>
      <c r="E29" s="53">
        <v>3.63</v>
      </c>
      <c r="F29" s="53">
        <v>4.49</v>
      </c>
      <c r="G29" s="53">
        <v>104.41</v>
      </c>
      <c r="H29" s="53">
        <v>36.74</v>
      </c>
      <c r="I29" s="53">
        <v>4.57</v>
      </c>
      <c r="J29" s="53">
        <v>0.38</v>
      </c>
      <c r="K29" s="53">
        <v>274.43</v>
      </c>
      <c r="L29" s="53">
        <v>26.08</v>
      </c>
      <c r="M29" s="53">
        <v>98.1</v>
      </c>
      <c r="N29" s="53">
        <v>26.1</v>
      </c>
      <c r="O29" s="53">
        <v>0</v>
      </c>
      <c r="P29" s="53">
        <v>0.9</v>
      </c>
      <c r="Q29" s="53">
        <v>9.84</v>
      </c>
      <c r="R29" s="43"/>
      <c r="S29" s="43"/>
      <c r="T29" s="43"/>
      <c r="U29" s="43"/>
    </row>
    <row r="30" spans="1:21" s="11" customFormat="1" x14ac:dyDescent="0.25">
      <c r="A30" s="52" t="s">
        <v>513</v>
      </c>
      <c r="B30" s="53">
        <v>4.3</v>
      </c>
      <c r="C30" s="53">
        <v>3.18</v>
      </c>
      <c r="D30" s="53">
        <v>7.29</v>
      </c>
      <c r="E30" s="53">
        <v>3.66</v>
      </c>
      <c r="F30" s="53">
        <v>4.4000000000000004</v>
      </c>
      <c r="G30" s="53">
        <v>103.81</v>
      </c>
      <c r="H30" s="53">
        <v>23</v>
      </c>
      <c r="I30" s="53">
        <v>2.66</v>
      </c>
      <c r="J30" s="53">
        <v>0.26</v>
      </c>
      <c r="K30" s="53">
        <v>332.61</v>
      </c>
      <c r="L30" s="53">
        <v>25.8</v>
      </c>
      <c r="M30" s="53">
        <v>99.8</v>
      </c>
      <c r="N30" s="53">
        <v>26.1</v>
      </c>
      <c r="O30" s="53">
        <v>0</v>
      </c>
      <c r="P30" s="53">
        <v>0.71</v>
      </c>
      <c r="Q30" s="53">
        <v>9.81</v>
      </c>
      <c r="R30" s="43"/>
      <c r="S30" s="43"/>
      <c r="T30" s="43"/>
      <c r="U30" s="43"/>
    </row>
    <row r="31" spans="1:21" s="11" customFormat="1" x14ac:dyDescent="0.25">
      <c r="A31" s="52" t="s">
        <v>514</v>
      </c>
      <c r="B31" s="53">
        <v>4.29</v>
      </c>
      <c r="C31" s="53">
        <v>3.26</v>
      </c>
      <c r="D31" s="53">
        <v>7.34</v>
      </c>
      <c r="E31" s="53">
        <v>3.75</v>
      </c>
      <c r="F31" s="53">
        <v>5.16</v>
      </c>
      <c r="G31" s="53">
        <v>98.47</v>
      </c>
      <c r="H31" s="53">
        <v>20.65</v>
      </c>
      <c r="I31" s="53">
        <v>4.18</v>
      </c>
      <c r="J31" s="53">
        <v>0.44</v>
      </c>
      <c r="K31" s="53">
        <v>328.42</v>
      </c>
      <c r="L31" s="53">
        <v>25.25</v>
      </c>
      <c r="M31" s="53">
        <v>101.77</v>
      </c>
      <c r="N31" s="53">
        <v>26.1</v>
      </c>
      <c r="O31" s="53">
        <v>0</v>
      </c>
      <c r="P31" s="53">
        <v>1.01</v>
      </c>
      <c r="Q31" s="53">
        <v>9.7899999999999991</v>
      </c>
      <c r="R31" s="43"/>
      <c r="S31" s="43"/>
      <c r="T31" s="43"/>
      <c r="U31" s="43"/>
    </row>
    <row r="32" spans="1:21" s="11" customFormat="1" x14ac:dyDescent="0.25">
      <c r="A32" s="52" t="s">
        <v>515</v>
      </c>
      <c r="B32" s="53">
        <v>4.28</v>
      </c>
      <c r="C32" s="53">
        <v>3.29</v>
      </c>
      <c r="D32" s="53">
        <v>7.34</v>
      </c>
      <c r="E32" s="53">
        <v>3.78</v>
      </c>
      <c r="F32" s="53">
        <v>4.4000000000000004</v>
      </c>
      <c r="G32" s="53">
        <v>93</v>
      </c>
      <c r="H32" s="53">
        <v>3.27</v>
      </c>
      <c r="I32" s="53">
        <v>4.6500000000000004</v>
      </c>
      <c r="J32" s="53">
        <v>0.53</v>
      </c>
      <c r="K32" s="53">
        <v>330.26</v>
      </c>
      <c r="L32" s="53">
        <v>24.61</v>
      </c>
      <c r="M32" s="53">
        <v>101.8</v>
      </c>
      <c r="N32" s="53">
        <v>26.1</v>
      </c>
      <c r="O32" s="53">
        <v>0</v>
      </c>
      <c r="P32" s="53">
        <v>1.1399999999999999</v>
      </c>
      <c r="Q32" s="53">
        <v>9.8699999999999992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4.22</v>
      </c>
      <c r="C34" s="28">
        <f t="shared" si="0"/>
        <v>3.17</v>
      </c>
      <c r="D34" s="28">
        <f t="shared" si="0"/>
        <v>7.22</v>
      </c>
      <c r="E34" s="28">
        <f t="shared" si="0"/>
        <v>3.63</v>
      </c>
      <c r="F34" s="28">
        <f t="shared" si="0"/>
        <v>3.35</v>
      </c>
      <c r="G34" s="28">
        <f t="shared" si="0"/>
        <v>30.57</v>
      </c>
      <c r="H34" s="28">
        <f t="shared" si="0"/>
        <v>3.27</v>
      </c>
      <c r="I34" s="28">
        <f t="shared" si="0"/>
        <v>0.84</v>
      </c>
      <c r="J34" s="28">
        <f t="shared" si="0"/>
        <v>0.26</v>
      </c>
      <c r="K34" s="28">
        <f t="shared" si="0"/>
        <v>116.16</v>
      </c>
      <c r="L34" s="28">
        <f t="shared" si="0"/>
        <v>22.7</v>
      </c>
      <c r="M34" s="28">
        <f t="shared" si="0"/>
        <v>62.99</v>
      </c>
      <c r="N34" s="28">
        <f t="shared" si="0"/>
        <v>26</v>
      </c>
      <c r="O34" s="28">
        <f t="shared" si="0"/>
        <v>0</v>
      </c>
      <c r="P34" s="28">
        <f t="shared" si="0"/>
        <v>0.27</v>
      </c>
      <c r="Q34" s="28">
        <f t="shared" si="0"/>
        <v>9.5399999999999991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4.3499999999999996</v>
      </c>
      <c r="C35" s="29">
        <f t="shared" si="1"/>
        <v>3.35</v>
      </c>
      <c r="D35" s="29">
        <f t="shared" si="1"/>
        <v>7.4</v>
      </c>
      <c r="E35" s="29">
        <f t="shared" si="1"/>
        <v>5.63</v>
      </c>
      <c r="F35" s="29">
        <f t="shared" si="1"/>
        <v>42.03</v>
      </c>
      <c r="G35" s="29">
        <f t="shared" si="1"/>
        <v>104.41</v>
      </c>
      <c r="H35" s="29">
        <f t="shared" si="1"/>
        <v>39.94</v>
      </c>
      <c r="I35" s="29">
        <f t="shared" si="1"/>
        <v>5.05</v>
      </c>
      <c r="J35" s="29">
        <f t="shared" si="1"/>
        <v>1.04</v>
      </c>
      <c r="K35" s="29">
        <f t="shared" si="1"/>
        <v>359.88</v>
      </c>
      <c r="L35" s="29">
        <f t="shared" si="1"/>
        <v>34.78</v>
      </c>
      <c r="M35" s="29">
        <f t="shared" si="1"/>
        <v>101.83</v>
      </c>
      <c r="N35" s="29">
        <f t="shared" si="1"/>
        <v>798.1</v>
      </c>
      <c r="O35" s="29">
        <f t="shared" si="1"/>
        <v>0</v>
      </c>
      <c r="P35" s="29">
        <f t="shared" si="1"/>
        <v>1.28</v>
      </c>
      <c r="Q35" s="29">
        <f t="shared" si="1"/>
        <v>10.08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4.2870833333333342</v>
      </c>
      <c r="C36" s="28">
        <f t="shared" si="2"/>
        <v>3.2425000000000015</v>
      </c>
      <c r="D36" s="28">
        <f t="shared" si="2"/>
        <v>7.319583333333334</v>
      </c>
      <c r="E36" s="28">
        <f t="shared" si="2"/>
        <v>4.3041666666666663</v>
      </c>
      <c r="F36" s="28">
        <f t="shared" si="2"/>
        <v>7.6345833333333326</v>
      </c>
      <c r="G36" s="28">
        <f t="shared" si="2"/>
        <v>64.450952380952387</v>
      </c>
      <c r="H36" s="28">
        <f t="shared" si="2"/>
        <v>17.578095238095237</v>
      </c>
      <c r="I36" s="28">
        <f t="shared" si="2"/>
        <v>3.4779166666666677</v>
      </c>
      <c r="J36" s="28">
        <f t="shared" si="2"/>
        <v>0.61291666666666667</v>
      </c>
      <c r="K36" s="28">
        <f t="shared" si="2"/>
        <v>277.69749999999999</v>
      </c>
      <c r="L36" s="28">
        <f t="shared" si="2"/>
        <v>27.445833333333336</v>
      </c>
      <c r="M36" s="28">
        <f t="shared" si="2"/>
        <v>87.213750000000005</v>
      </c>
      <c r="N36" s="28">
        <f t="shared" si="2"/>
        <v>196.67500000000007</v>
      </c>
      <c r="O36" s="28">
        <f t="shared" si="2"/>
        <v>0</v>
      </c>
      <c r="P36" s="28">
        <f t="shared" si="2"/>
        <v>0.67624999999999991</v>
      </c>
      <c r="Q36" s="28">
        <f t="shared" si="2"/>
        <v>9.8212500000000009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3.1134933081203412E-2</v>
      </c>
      <c r="C37" s="28">
        <f t="shared" ref="C37:Q37" si="3">STDEV(C9:C32)</f>
        <v>4.3162987364880889E-2</v>
      </c>
      <c r="D37" s="28">
        <f t="shared" si="3"/>
        <v>3.9284820242038498E-2</v>
      </c>
      <c r="E37" s="28">
        <f t="shared" si="3"/>
        <v>0.55009814671064949</v>
      </c>
      <c r="F37" s="28">
        <f t="shared" si="3"/>
        <v>9.6450672137611893</v>
      </c>
      <c r="G37" s="28">
        <f t="shared" si="3"/>
        <v>26.005078716428038</v>
      </c>
      <c r="H37" s="28">
        <f t="shared" si="3"/>
        <v>10.428899088133718</v>
      </c>
      <c r="I37" s="28">
        <f t="shared" si="3"/>
        <v>1.0287475676622537</v>
      </c>
      <c r="J37" s="28">
        <f t="shared" si="3"/>
        <v>0.24374753807749677</v>
      </c>
      <c r="K37" s="28">
        <f t="shared" si="3"/>
        <v>84.688325372201334</v>
      </c>
      <c r="L37" s="28">
        <f t="shared" si="3"/>
        <v>3.7493975361460139</v>
      </c>
      <c r="M37" s="28">
        <f t="shared" si="3"/>
        <v>15.618794367683961</v>
      </c>
      <c r="N37" s="28">
        <f t="shared" si="3"/>
        <v>245.71566503476788</v>
      </c>
      <c r="O37" s="28">
        <f t="shared" si="3"/>
        <v>0</v>
      </c>
      <c r="P37" s="28">
        <f t="shared" si="3"/>
        <v>0.26094831238988797</v>
      </c>
      <c r="Q37" s="28">
        <f t="shared" si="3"/>
        <v>0.12487602547779325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516</v>
      </c>
      <c r="B9" s="53">
        <v>4.3</v>
      </c>
      <c r="C9" s="53">
        <v>3.24</v>
      </c>
      <c r="D9" s="53">
        <v>7.33</v>
      </c>
      <c r="E9" s="53">
        <v>5.15</v>
      </c>
      <c r="F9" s="53">
        <v>4.17</v>
      </c>
      <c r="G9" s="53">
        <v>82.12</v>
      </c>
      <c r="H9" s="53">
        <v>50.68</v>
      </c>
      <c r="I9" s="53">
        <v>3.19</v>
      </c>
      <c r="J9" s="53">
        <v>0.4</v>
      </c>
      <c r="K9" s="53">
        <v>332.8</v>
      </c>
      <c r="L9" s="53">
        <v>24.47</v>
      </c>
      <c r="M9" s="53">
        <v>101.8</v>
      </c>
      <c r="N9" s="53">
        <v>26.1</v>
      </c>
      <c r="O9" s="53">
        <v>0</v>
      </c>
      <c r="P9" s="53">
        <v>0.85</v>
      </c>
      <c r="Q9" s="53">
        <v>9.8800000000000008</v>
      </c>
      <c r="R9" s="43"/>
      <c r="S9" s="43"/>
      <c r="T9" s="43"/>
      <c r="U9" s="43"/>
    </row>
    <row r="10" spans="1:21" s="11" customFormat="1" x14ac:dyDescent="0.25">
      <c r="A10" s="52" t="s">
        <v>517</v>
      </c>
      <c r="B10" s="53">
        <v>4.3</v>
      </c>
      <c r="C10" s="53">
        <v>3.18</v>
      </c>
      <c r="D10" s="53">
        <v>7.29</v>
      </c>
      <c r="E10" s="53">
        <v>5.05</v>
      </c>
      <c r="F10" s="53">
        <v>5.52</v>
      </c>
      <c r="G10" s="53">
        <v>79.11</v>
      </c>
      <c r="H10" s="53">
        <v>48.39</v>
      </c>
      <c r="I10" s="53">
        <v>1.81</v>
      </c>
      <c r="J10" s="53">
        <v>0.43</v>
      </c>
      <c r="K10" s="53">
        <v>347.86</v>
      </c>
      <c r="L10" s="53">
        <v>24.29</v>
      </c>
      <c r="M10" s="53">
        <v>101.83</v>
      </c>
      <c r="N10" s="53">
        <v>26.1</v>
      </c>
      <c r="O10" s="53">
        <v>0</v>
      </c>
      <c r="P10" s="53">
        <v>0.61</v>
      </c>
      <c r="Q10" s="53">
        <v>9.86</v>
      </c>
      <c r="R10" s="43"/>
      <c r="S10" s="43"/>
      <c r="T10" s="43"/>
      <c r="U10" s="43"/>
    </row>
    <row r="11" spans="1:21" s="11" customFormat="1" x14ac:dyDescent="0.25">
      <c r="A11" s="52" t="s">
        <v>518</v>
      </c>
      <c r="B11" s="53">
        <v>4.26</v>
      </c>
      <c r="C11" s="53">
        <v>3.18</v>
      </c>
      <c r="D11" s="53">
        <v>7.24</v>
      </c>
      <c r="E11" s="53">
        <v>5.07</v>
      </c>
      <c r="F11" s="53">
        <v>4.82</v>
      </c>
      <c r="G11" s="53">
        <v>70.47</v>
      </c>
      <c r="H11" s="53">
        <v>31.98</v>
      </c>
      <c r="I11" s="53">
        <v>3.72</v>
      </c>
      <c r="J11" s="53">
        <v>0.45</v>
      </c>
      <c r="K11" s="53">
        <v>306.45</v>
      </c>
      <c r="L11" s="53">
        <v>24.08</v>
      </c>
      <c r="M11" s="53">
        <v>101.83</v>
      </c>
      <c r="N11" s="53">
        <v>26.1</v>
      </c>
      <c r="O11" s="53">
        <v>0</v>
      </c>
      <c r="P11" s="53">
        <v>0.73</v>
      </c>
      <c r="Q11" s="53">
        <v>9.83</v>
      </c>
      <c r="R11" s="43"/>
      <c r="S11" s="43"/>
      <c r="T11" s="43"/>
      <c r="U11" s="43"/>
    </row>
    <row r="12" spans="1:21" s="11" customFormat="1" x14ac:dyDescent="0.25">
      <c r="A12" s="52" t="s">
        <v>519</v>
      </c>
      <c r="B12" s="53">
        <v>4.26</v>
      </c>
      <c r="C12" s="53">
        <v>3.2</v>
      </c>
      <c r="D12" s="53">
        <v>7.28</v>
      </c>
      <c r="E12" s="53">
        <v>5.03</v>
      </c>
      <c r="F12" s="53">
        <v>4.6100000000000003</v>
      </c>
      <c r="G12" s="53">
        <v>63.8</v>
      </c>
      <c r="H12" s="53">
        <v>19.149999999999999</v>
      </c>
      <c r="I12" s="53">
        <v>3.58</v>
      </c>
      <c r="J12" s="53">
        <v>0.53</v>
      </c>
      <c r="K12" s="53">
        <v>348.06</v>
      </c>
      <c r="L12" s="53">
        <v>24.01</v>
      </c>
      <c r="M12" s="53">
        <v>101.86</v>
      </c>
      <c r="N12" s="53">
        <v>26.1</v>
      </c>
      <c r="O12" s="53">
        <v>0</v>
      </c>
      <c r="P12" s="53">
        <v>0.8</v>
      </c>
      <c r="Q12" s="53">
        <v>9.76</v>
      </c>
      <c r="R12" s="43"/>
      <c r="S12" s="43"/>
      <c r="T12" s="43"/>
      <c r="U12" s="43"/>
    </row>
    <row r="13" spans="1:21" s="11" customFormat="1" x14ac:dyDescent="0.25">
      <c r="A13" s="52" t="s">
        <v>520</v>
      </c>
      <c r="B13" s="53">
        <v>4.2699999999999996</v>
      </c>
      <c r="C13" s="53">
        <v>3.19</v>
      </c>
      <c r="D13" s="53">
        <v>7.28</v>
      </c>
      <c r="E13" s="53">
        <v>4.54</v>
      </c>
      <c r="F13" s="53">
        <v>3.87</v>
      </c>
      <c r="G13" s="53">
        <v>62.8</v>
      </c>
      <c r="H13" s="53">
        <v>20.37</v>
      </c>
      <c r="I13" s="53">
        <v>3.96</v>
      </c>
      <c r="J13" s="53">
        <v>0.45</v>
      </c>
      <c r="K13" s="53">
        <v>346.84</v>
      </c>
      <c r="L13" s="53">
        <v>23.8</v>
      </c>
      <c r="M13" s="53">
        <v>101.87</v>
      </c>
      <c r="N13" s="53">
        <v>26.1</v>
      </c>
      <c r="O13" s="53">
        <v>0</v>
      </c>
      <c r="P13" s="53">
        <v>0.71</v>
      </c>
      <c r="Q13" s="53">
        <v>9.83</v>
      </c>
      <c r="R13" s="43"/>
      <c r="S13" s="43"/>
      <c r="T13" s="43"/>
      <c r="U13" s="43"/>
    </row>
    <row r="14" spans="1:21" s="11" customFormat="1" x14ac:dyDescent="0.25">
      <c r="A14" s="52" t="s">
        <v>521</v>
      </c>
      <c r="B14" s="53">
        <v>4.33</v>
      </c>
      <c r="C14" s="53">
        <v>3.25</v>
      </c>
      <c r="D14" s="53">
        <v>7.36</v>
      </c>
      <c r="E14" s="53">
        <v>4.34</v>
      </c>
      <c r="F14" s="53">
        <v>4.12</v>
      </c>
      <c r="G14" s="53">
        <v>59.82</v>
      </c>
      <c r="H14" s="53">
        <v>18.52</v>
      </c>
      <c r="I14" s="53">
        <v>2.0099999999999998</v>
      </c>
      <c r="J14" s="53">
        <v>0.37</v>
      </c>
      <c r="K14" s="53">
        <v>300.87</v>
      </c>
      <c r="L14" s="53">
        <v>23.72</v>
      </c>
      <c r="M14" s="53">
        <v>101.88</v>
      </c>
      <c r="N14" s="53">
        <v>29.1</v>
      </c>
      <c r="O14" s="53">
        <v>0</v>
      </c>
      <c r="P14" s="53">
        <v>0.77</v>
      </c>
      <c r="Q14" s="53">
        <v>9.85</v>
      </c>
      <c r="R14" s="43"/>
      <c r="S14" s="43"/>
      <c r="T14" s="43"/>
      <c r="U14" s="43"/>
    </row>
    <row r="15" spans="1:21" s="11" customFormat="1" x14ac:dyDescent="0.25">
      <c r="A15" s="52" t="s">
        <v>522</v>
      </c>
      <c r="B15" s="53">
        <v>4.3099999999999996</v>
      </c>
      <c r="C15" s="53">
        <v>3.23</v>
      </c>
      <c r="D15" s="53">
        <v>7.33</v>
      </c>
      <c r="E15" s="53">
        <v>4.51</v>
      </c>
      <c r="F15" s="53">
        <v>4.5</v>
      </c>
      <c r="G15" s="53">
        <v>61.6</v>
      </c>
      <c r="H15" s="53">
        <v>32.380000000000003</v>
      </c>
      <c r="I15" s="53">
        <v>4.17</v>
      </c>
      <c r="J15" s="53">
        <v>0.55000000000000004</v>
      </c>
      <c r="K15" s="53">
        <v>355.93</v>
      </c>
      <c r="L15" s="53">
        <v>25.91</v>
      </c>
      <c r="M15" s="53">
        <v>101.88</v>
      </c>
      <c r="N15" s="53">
        <v>145.9</v>
      </c>
      <c r="O15" s="53">
        <v>0</v>
      </c>
      <c r="P15" s="53">
        <v>0.69</v>
      </c>
      <c r="Q15" s="53">
        <v>9.84</v>
      </c>
      <c r="R15" s="43"/>
      <c r="S15" s="43"/>
      <c r="T15" s="43"/>
      <c r="U15" s="43"/>
    </row>
    <row r="16" spans="1:21" s="11" customFormat="1" x14ac:dyDescent="0.25">
      <c r="A16" s="52" t="s">
        <v>523</v>
      </c>
      <c r="B16" s="53">
        <v>4.29</v>
      </c>
      <c r="C16" s="53">
        <v>3.25</v>
      </c>
      <c r="D16" s="53">
        <v>7.33</v>
      </c>
      <c r="E16" s="53">
        <v>4.88</v>
      </c>
      <c r="F16" s="53">
        <v>4.62</v>
      </c>
      <c r="G16" s="53">
        <v>65.819999999999993</v>
      </c>
      <c r="H16" s="53">
        <v>29.51</v>
      </c>
      <c r="I16" s="53">
        <v>4.66</v>
      </c>
      <c r="J16" s="53">
        <v>0.87</v>
      </c>
      <c r="K16" s="53">
        <v>356.82</v>
      </c>
      <c r="L16" s="53">
        <v>31.29</v>
      </c>
      <c r="M16" s="53">
        <v>93.42</v>
      </c>
      <c r="N16" s="53">
        <v>358.9</v>
      </c>
      <c r="O16" s="53">
        <v>0</v>
      </c>
      <c r="P16" s="53">
        <v>0.78</v>
      </c>
      <c r="Q16" s="53">
        <v>9.94</v>
      </c>
      <c r="R16" s="43"/>
      <c r="S16" s="43"/>
      <c r="T16" s="43"/>
      <c r="U16" s="43"/>
    </row>
    <row r="17" spans="1:21" s="11" customFormat="1" x14ac:dyDescent="0.25">
      <c r="A17" s="52" t="s">
        <v>524</v>
      </c>
      <c r="B17" s="53">
        <v>4.34</v>
      </c>
      <c r="C17" s="53">
        <v>3.36</v>
      </c>
      <c r="D17" s="53">
        <v>7.42</v>
      </c>
      <c r="E17" s="53">
        <v>4.04</v>
      </c>
      <c r="F17" s="53">
        <v>4.49</v>
      </c>
      <c r="G17" s="53">
        <v>73.77</v>
      </c>
      <c r="H17" s="53">
        <v>21.77</v>
      </c>
      <c r="I17" s="53">
        <v>3.88</v>
      </c>
      <c r="J17" s="53">
        <v>1.03</v>
      </c>
      <c r="K17" s="53">
        <v>356.66</v>
      </c>
      <c r="L17" s="53">
        <v>34.35</v>
      </c>
      <c r="M17" s="53">
        <v>68.23</v>
      </c>
      <c r="N17" s="53">
        <v>581.6</v>
      </c>
      <c r="O17" s="53">
        <v>0</v>
      </c>
      <c r="P17" s="53">
        <v>0.72</v>
      </c>
      <c r="Q17" s="53">
        <v>9.99</v>
      </c>
      <c r="R17" s="43"/>
      <c r="S17" s="43"/>
      <c r="T17" s="43"/>
      <c r="U17" s="43"/>
    </row>
    <row r="18" spans="1:21" s="11" customFormat="1" x14ac:dyDescent="0.25">
      <c r="A18" s="52" t="s">
        <v>525</v>
      </c>
      <c r="B18" s="53">
        <v>4.32</v>
      </c>
      <c r="C18" s="53">
        <v>3.24</v>
      </c>
      <c r="D18" s="53">
        <v>7.35</v>
      </c>
      <c r="E18" s="53">
        <v>3.83</v>
      </c>
      <c r="F18" s="53">
        <v>4.22</v>
      </c>
      <c r="G18" s="53">
        <v>76.739999999999995</v>
      </c>
      <c r="H18" s="53">
        <v>19.95</v>
      </c>
      <c r="I18" s="53">
        <v>3.52</v>
      </c>
      <c r="J18" s="53">
        <v>1.02</v>
      </c>
      <c r="K18" s="53">
        <v>339.54</v>
      </c>
      <c r="L18" s="53">
        <v>36.270000000000003</v>
      </c>
      <c r="M18" s="53">
        <v>59.29</v>
      </c>
      <c r="N18" s="53">
        <v>645</v>
      </c>
      <c r="O18" s="53">
        <v>0</v>
      </c>
      <c r="P18" s="53">
        <v>0.7</v>
      </c>
      <c r="Q18" s="53">
        <v>9.92</v>
      </c>
      <c r="R18" s="43"/>
      <c r="S18" s="43"/>
      <c r="T18" s="43"/>
      <c r="U18" s="43"/>
    </row>
    <row r="19" spans="1:21" s="11" customFormat="1" x14ac:dyDescent="0.25">
      <c r="A19" s="52" t="s">
        <v>526</v>
      </c>
      <c r="B19" s="53">
        <v>4.32</v>
      </c>
      <c r="C19" s="53">
        <v>3.27</v>
      </c>
      <c r="D19" s="53">
        <v>7.36</v>
      </c>
      <c r="E19" s="53">
        <v>3.75</v>
      </c>
      <c r="F19" s="53">
        <v>3.92</v>
      </c>
      <c r="G19" s="53">
        <v>77.540000000000006</v>
      </c>
      <c r="H19" s="53">
        <v>7.8</v>
      </c>
      <c r="I19" s="53">
        <v>4.1100000000000003</v>
      </c>
      <c r="J19" s="53">
        <v>0.96</v>
      </c>
      <c r="K19" s="53">
        <v>327.61</v>
      </c>
      <c r="L19" s="53">
        <v>32.729999999999997</v>
      </c>
      <c r="M19" s="53">
        <v>70.11</v>
      </c>
      <c r="N19" s="53">
        <v>371.7</v>
      </c>
      <c r="O19" s="53">
        <v>0</v>
      </c>
      <c r="P19" s="53">
        <v>0.74</v>
      </c>
      <c r="Q19" s="53">
        <v>9.93</v>
      </c>
      <c r="R19" s="43"/>
      <c r="S19" s="43"/>
      <c r="T19" s="43"/>
      <c r="U19" s="43"/>
    </row>
    <row r="20" spans="1:21" s="11" customFormat="1" x14ac:dyDescent="0.25">
      <c r="A20" s="52" t="s">
        <v>527</v>
      </c>
      <c r="B20" s="53">
        <v>4.3099999999999996</v>
      </c>
      <c r="C20" s="53">
        <v>3.29</v>
      </c>
      <c r="D20" s="53">
        <v>7.36</v>
      </c>
      <c r="E20" s="53">
        <v>3.83</v>
      </c>
      <c r="F20" s="53">
        <v>4.41</v>
      </c>
      <c r="G20" s="53">
        <v>77.900000000000006</v>
      </c>
      <c r="H20" s="53">
        <v>24.69</v>
      </c>
      <c r="I20" s="53">
        <v>4.01</v>
      </c>
      <c r="J20" s="53">
        <v>1.34</v>
      </c>
      <c r="K20" s="53">
        <v>339.55</v>
      </c>
      <c r="L20" s="53">
        <v>31.22</v>
      </c>
      <c r="M20" s="53">
        <v>71.3</v>
      </c>
      <c r="N20" s="53">
        <v>602</v>
      </c>
      <c r="O20" s="53">
        <v>0</v>
      </c>
      <c r="P20" s="53">
        <v>0.77</v>
      </c>
      <c r="Q20" s="53">
        <v>9.9499999999999993</v>
      </c>
      <c r="R20" s="43"/>
      <c r="S20" s="43"/>
      <c r="T20" s="43"/>
      <c r="U20" s="43"/>
    </row>
    <row r="21" spans="1:21" s="11" customFormat="1" x14ac:dyDescent="0.25">
      <c r="A21" s="52" t="s">
        <v>528</v>
      </c>
      <c r="B21" s="53">
        <v>4.29</v>
      </c>
      <c r="C21" s="53">
        <v>3.3</v>
      </c>
      <c r="D21" s="53">
        <v>7.35</v>
      </c>
      <c r="E21" s="53">
        <v>4.55</v>
      </c>
      <c r="F21" s="53">
        <v>4.8600000000000003</v>
      </c>
      <c r="G21" s="53">
        <v>82.61</v>
      </c>
      <c r="H21" s="53">
        <v>23.96</v>
      </c>
      <c r="I21" s="53">
        <v>3.7</v>
      </c>
      <c r="J21" s="53">
        <v>1.26</v>
      </c>
      <c r="K21" s="53">
        <v>341.04</v>
      </c>
      <c r="L21" s="53">
        <v>32.799999999999997</v>
      </c>
      <c r="M21" s="53">
        <v>70.650000000000006</v>
      </c>
      <c r="N21" s="53">
        <v>369.8</v>
      </c>
      <c r="O21" s="53">
        <v>0</v>
      </c>
      <c r="P21" s="53">
        <v>0.72</v>
      </c>
      <c r="Q21" s="53">
        <v>9.92</v>
      </c>
      <c r="R21" s="43"/>
      <c r="S21" s="43"/>
      <c r="T21" s="43"/>
      <c r="U21" s="43"/>
    </row>
    <row r="22" spans="1:21" s="11" customFormat="1" x14ac:dyDescent="0.25">
      <c r="A22" s="52" t="s">
        <v>529</v>
      </c>
      <c r="B22" s="53">
        <v>4.3</v>
      </c>
      <c r="C22" s="53">
        <v>3.25</v>
      </c>
      <c r="D22" s="53">
        <v>7.33</v>
      </c>
      <c r="E22" s="53">
        <v>4.63</v>
      </c>
      <c r="F22" s="53">
        <v>5.53</v>
      </c>
      <c r="G22" s="53">
        <v>84.86</v>
      </c>
      <c r="H22" s="53">
        <v>22.85</v>
      </c>
      <c r="I22" s="53">
        <v>2.98</v>
      </c>
      <c r="J22" s="53">
        <v>1.78</v>
      </c>
      <c r="K22" s="53">
        <v>339.78</v>
      </c>
      <c r="L22" s="53">
        <v>32.24</v>
      </c>
      <c r="M22" s="53">
        <v>72.37</v>
      </c>
      <c r="N22" s="53">
        <v>340.1</v>
      </c>
      <c r="O22" s="53">
        <v>0</v>
      </c>
      <c r="P22" s="53">
        <v>0.67</v>
      </c>
      <c r="Q22" s="53">
        <v>9.8800000000000008</v>
      </c>
      <c r="R22" s="43"/>
      <c r="S22" s="43"/>
      <c r="T22" s="43"/>
      <c r="U22" s="43"/>
    </row>
    <row r="23" spans="1:21" s="11" customFormat="1" x14ac:dyDescent="0.25">
      <c r="A23" s="52" t="s">
        <v>530</v>
      </c>
      <c r="B23" s="53">
        <v>4.32</v>
      </c>
      <c r="C23" s="53">
        <v>3.29</v>
      </c>
      <c r="D23" s="53">
        <v>7.36</v>
      </c>
      <c r="E23" s="53">
        <v>4.25</v>
      </c>
      <c r="F23" s="53">
        <v>4.5599999999999996</v>
      </c>
      <c r="G23" s="53">
        <v>83.4</v>
      </c>
      <c r="H23" s="53">
        <v>22.05</v>
      </c>
      <c r="I23" s="53">
        <v>3.36</v>
      </c>
      <c r="J23" s="53">
        <v>1.23</v>
      </c>
      <c r="K23" s="53">
        <v>330.92</v>
      </c>
      <c r="L23" s="53">
        <v>31.54</v>
      </c>
      <c r="M23" s="53">
        <v>75.75</v>
      </c>
      <c r="N23" s="53">
        <v>205.6</v>
      </c>
      <c r="O23" s="53">
        <v>0</v>
      </c>
      <c r="P23" s="53">
        <v>0.61</v>
      </c>
      <c r="Q23" s="53">
        <v>9.8000000000000007</v>
      </c>
      <c r="R23" s="43"/>
      <c r="S23" s="43"/>
      <c r="T23" s="43"/>
      <c r="U23" s="43"/>
    </row>
    <row r="24" spans="1:21" s="11" customFormat="1" x14ac:dyDescent="0.25">
      <c r="A24" s="52" t="s">
        <v>531</v>
      </c>
      <c r="B24" s="53">
        <v>4.2300000000000004</v>
      </c>
      <c r="C24" s="53">
        <v>3.25</v>
      </c>
      <c r="D24" s="53">
        <v>7.27</v>
      </c>
      <c r="E24" s="53">
        <v>4.45</v>
      </c>
      <c r="F24" s="53">
        <v>7</v>
      </c>
      <c r="G24" s="53">
        <v>75.95</v>
      </c>
      <c r="H24" s="53">
        <v>16.690000000000001</v>
      </c>
      <c r="I24" s="53">
        <v>3.96</v>
      </c>
      <c r="J24" s="53">
        <v>1.45</v>
      </c>
      <c r="K24" s="53">
        <v>359.44</v>
      </c>
      <c r="L24" s="53">
        <v>31.57</v>
      </c>
      <c r="M24" s="53">
        <v>65.64</v>
      </c>
      <c r="N24" s="53">
        <v>152.6</v>
      </c>
      <c r="O24" s="53">
        <v>0</v>
      </c>
      <c r="P24" s="53">
        <v>0.62</v>
      </c>
      <c r="Q24" s="53">
        <v>9.7799999999999994</v>
      </c>
      <c r="R24" s="43"/>
      <c r="S24" s="43"/>
      <c r="T24" s="43"/>
      <c r="U24" s="43"/>
    </row>
    <row r="25" spans="1:21" s="11" customFormat="1" x14ac:dyDescent="0.25">
      <c r="A25" s="52" t="s">
        <v>532</v>
      </c>
      <c r="B25" s="53">
        <v>4.28</v>
      </c>
      <c r="C25" s="53">
        <v>3.25</v>
      </c>
      <c r="D25" s="53">
        <v>7.32</v>
      </c>
      <c r="E25" s="53">
        <v>3.66</v>
      </c>
      <c r="F25" s="53">
        <v>5.73</v>
      </c>
      <c r="G25" s="53">
        <v>76.94</v>
      </c>
      <c r="H25" s="53">
        <v>14.55</v>
      </c>
      <c r="I25" s="53">
        <v>2.56</v>
      </c>
      <c r="J25" s="53">
        <v>0.68</v>
      </c>
      <c r="K25" s="53">
        <v>356.76</v>
      </c>
      <c r="L25" s="53">
        <v>30.61</v>
      </c>
      <c r="M25" s="53">
        <v>69.95</v>
      </c>
      <c r="N25" s="53">
        <v>104</v>
      </c>
      <c r="O25" s="53">
        <v>0</v>
      </c>
      <c r="P25" s="53">
        <v>0.63</v>
      </c>
      <c r="Q25" s="53">
        <v>9.75</v>
      </c>
      <c r="R25" s="43"/>
      <c r="S25" s="43"/>
      <c r="T25" s="43"/>
      <c r="U25" s="43"/>
    </row>
    <row r="26" spans="1:21" s="11" customFormat="1" x14ac:dyDescent="0.25">
      <c r="A26" s="52" t="s">
        <v>533</v>
      </c>
      <c r="B26" s="53">
        <v>4.29</v>
      </c>
      <c r="C26" s="53">
        <v>3.3</v>
      </c>
      <c r="D26" s="53">
        <v>7.35</v>
      </c>
      <c r="E26" s="53">
        <v>4</v>
      </c>
      <c r="F26" s="53">
        <v>4.68</v>
      </c>
      <c r="G26" s="53">
        <v>75.03</v>
      </c>
      <c r="H26" s="53">
        <v>44.07</v>
      </c>
      <c r="I26" s="53">
        <v>2.2799999999999998</v>
      </c>
      <c r="J26" s="53">
        <v>1.01</v>
      </c>
      <c r="K26" s="53">
        <v>345.71</v>
      </c>
      <c r="L26" s="53">
        <v>29.73</v>
      </c>
      <c r="M26" s="53">
        <v>78.400000000000006</v>
      </c>
      <c r="N26" s="53">
        <v>59.7</v>
      </c>
      <c r="O26" s="53">
        <v>0</v>
      </c>
      <c r="P26" s="53">
        <v>0.86</v>
      </c>
      <c r="Q26" s="53">
        <v>9.67</v>
      </c>
      <c r="R26" s="43"/>
      <c r="S26" s="43"/>
      <c r="T26" s="43"/>
      <c r="U26" s="43"/>
    </row>
    <row r="27" spans="1:21" s="11" customFormat="1" x14ac:dyDescent="0.25">
      <c r="A27" s="52" t="s">
        <v>534</v>
      </c>
      <c r="B27" s="53">
        <v>4.3099999999999996</v>
      </c>
      <c r="C27" s="53">
        <v>3.28</v>
      </c>
      <c r="D27" s="53">
        <v>7.36</v>
      </c>
      <c r="E27" s="53">
        <v>4.2699999999999996</v>
      </c>
      <c r="F27" s="53">
        <v>4.9800000000000004</v>
      </c>
      <c r="G27" s="53">
        <v>85.18</v>
      </c>
      <c r="H27" s="53">
        <v>42.36</v>
      </c>
      <c r="I27" s="53">
        <v>4.29</v>
      </c>
      <c r="J27" s="53">
        <v>0.61</v>
      </c>
      <c r="K27" s="53">
        <v>331.72</v>
      </c>
      <c r="L27" s="53">
        <v>28.06</v>
      </c>
      <c r="M27" s="53">
        <v>82.2</v>
      </c>
      <c r="N27" s="53">
        <v>27.2</v>
      </c>
      <c r="O27" s="53">
        <v>0</v>
      </c>
      <c r="P27" s="53">
        <v>1.19</v>
      </c>
      <c r="Q27" s="53">
        <v>9.9499999999999993</v>
      </c>
      <c r="R27" s="43"/>
      <c r="S27" s="43"/>
      <c r="T27" s="43"/>
      <c r="U27" s="43"/>
    </row>
    <row r="28" spans="1:21" s="11" customFormat="1" x14ac:dyDescent="0.25">
      <c r="A28" s="52" t="s">
        <v>535</v>
      </c>
      <c r="B28" s="53">
        <v>4.32</v>
      </c>
      <c r="C28" s="53">
        <v>3.35</v>
      </c>
      <c r="D28" s="53">
        <v>7.41</v>
      </c>
      <c r="E28" s="53">
        <v>4.12</v>
      </c>
      <c r="F28" s="53">
        <v>4.34</v>
      </c>
      <c r="G28" s="53">
        <v>93.32</v>
      </c>
      <c r="H28" s="53">
        <v>30.41</v>
      </c>
      <c r="I28" s="53">
        <v>4.17</v>
      </c>
      <c r="J28" s="53">
        <v>0.51</v>
      </c>
      <c r="K28" s="53">
        <v>268.54000000000002</v>
      </c>
      <c r="L28" s="53">
        <v>27.6</v>
      </c>
      <c r="M28" s="53">
        <v>100.93</v>
      </c>
      <c r="N28" s="53">
        <v>26.4</v>
      </c>
      <c r="O28" s="53">
        <v>0</v>
      </c>
      <c r="P28" s="53">
        <v>1.06</v>
      </c>
      <c r="Q28" s="53">
        <v>10.050000000000001</v>
      </c>
      <c r="R28" s="43"/>
      <c r="S28" s="43"/>
      <c r="T28" s="43"/>
      <c r="U28" s="43"/>
    </row>
    <row r="29" spans="1:21" s="11" customFormat="1" x14ac:dyDescent="0.25">
      <c r="A29" s="52" t="s">
        <v>536</v>
      </c>
      <c r="B29" s="53">
        <v>4.34</v>
      </c>
      <c r="C29" s="53">
        <v>3.36</v>
      </c>
      <c r="D29" s="53">
        <v>7.43</v>
      </c>
      <c r="E29" s="53">
        <v>4.08</v>
      </c>
      <c r="F29" s="53">
        <v>4.2</v>
      </c>
      <c r="G29" s="53">
        <v>92.93</v>
      </c>
      <c r="H29" s="53">
        <v>23.62</v>
      </c>
      <c r="I29" s="53">
        <v>3.81</v>
      </c>
      <c r="J29" s="53">
        <v>0.36</v>
      </c>
      <c r="K29" s="53">
        <v>209.56</v>
      </c>
      <c r="L29" s="53">
        <v>26.95</v>
      </c>
      <c r="M29" s="53">
        <v>101.8</v>
      </c>
      <c r="N29" s="53">
        <v>26.1</v>
      </c>
      <c r="O29" s="53">
        <v>0</v>
      </c>
      <c r="P29" s="53">
        <v>0.72</v>
      </c>
      <c r="Q29" s="53">
        <v>10.06</v>
      </c>
      <c r="R29" s="43"/>
      <c r="S29" s="43"/>
      <c r="T29" s="43"/>
      <c r="U29" s="43"/>
    </row>
    <row r="30" spans="1:21" s="11" customFormat="1" x14ac:dyDescent="0.25">
      <c r="A30" s="52" t="s">
        <v>537</v>
      </c>
      <c r="B30" s="53">
        <v>4.33</v>
      </c>
      <c r="C30" s="53">
        <v>3.29</v>
      </c>
      <c r="D30" s="53">
        <v>7.37</v>
      </c>
      <c r="E30" s="53">
        <v>4.05</v>
      </c>
      <c r="F30" s="53">
        <v>4.16</v>
      </c>
      <c r="G30" s="53">
        <v>88.34</v>
      </c>
      <c r="H30" s="53">
        <v>17.920000000000002</v>
      </c>
      <c r="I30" s="53">
        <v>2.58</v>
      </c>
      <c r="J30" s="53">
        <v>0.52</v>
      </c>
      <c r="K30" s="53">
        <v>354.77</v>
      </c>
      <c r="L30" s="53">
        <v>26.12</v>
      </c>
      <c r="M30" s="53">
        <v>101.8</v>
      </c>
      <c r="N30" s="53">
        <v>26.1</v>
      </c>
      <c r="O30" s="53">
        <v>0</v>
      </c>
      <c r="P30" s="53">
        <v>0.79</v>
      </c>
      <c r="Q30" s="53">
        <v>10</v>
      </c>
      <c r="R30" s="43"/>
      <c r="S30" s="43"/>
      <c r="T30" s="43"/>
      <c r="U30" s="43"/>
    </row>
    <row r="31" spans="1:21" s="11" customFormat="1" x14ac:dyDescent="0.25">
      <c r="A31" s="52" t="s">
        <v>538</v>
      </c>
      <c r="B31" s="53">
        <v>4.32</v>
      </c>
      <c r="C31" s="53">
        <v>3.26</v>
      </c>
      <c r="D31" s="53">
        <v>7.35</v>
      </c>
      <c r="E31" s="53">
        <v>4.28</v>
      </c>
      <c r="F31" s="53">
        <v>3.71</v>
      </c>
      <c r="G31" s="53">
        <v>75.44</v>
      </c>
      <c r="H31" s="53">
        <v>11.09</v>
      </c>
      <c r="I31" s="53">
        <v>3.38</v>
      </c>
      <c r="J31" s="53">
        <v>0.33</v>
      </c>
      <c r="K31" s="53">
        <v>342.19</v>
      </c>
      <c r="L31" s="53">
        <v>25.88</v>
      </c>
      <c r="M31" s="53">
        <v>101.8</v>
      </c>
      <c r="N31" s="53">
        <v>26.1</v>
      </c>
      <c r="O31" s="53">
        <v>0</v>
      </c>
      <c r="P31" s="53">
        <v>0.82</v>
      </c>
      <c r="Q31" s="53">
        <v>9.98</v>
      </c>
      <c r="R31" s="43"/>
      <c r="S31" s="43"/>
      <c r="T31" s="43"/>
      <c r="U31" s="43"/>
    </row>
    <row r="32" spans="1:21" s="11" customFormat="1" x14ac:dyDescent="0.25">
      <c r="A32" s="52" t="s">
        <v>539</v>
      </c>
      <c r="B32" s="53">
        <v>4.26</v>
      </c>
      <c r="C32" s="53">
        <v>3.17</v>
      </c>
      <c r="D32" s="53">
        <v>7.25</v>
      </c>
      <c r="E32" s="53">
        <v>4.38</v>
      </c>
      <c r="F32" s="53">
        <v>4.1900000000000004</v>
      </c>
      <c r="G32" s="53">
        <v>69.94</v>
      </c>
      <c r="H32" s="53">
        <v>20.02</v>
      </c>
      <c r="I32" s="53">
        <v>3.1</v>
      </c>
      <c r="J32" s="53">
        <v>0.47</v>
      </c>
      <c r="K32" s="53">
        <v>308.56</v>
      </c>
      <c r="L32" s="53">
        <v>25.39</v>
      </c>
      <c r="M32" s="53">
        <v>101.82</v>
      </c>
      <c r="N32" s="53">
        <v>26.1</v>
      </c>
      <c r="O32" s="53">
        <v>0</v>
      </c>
      <c r="P32" s="53">
        <v>0.89</v>
      </c>
      <c r="Q32" s="53">
        <v>10.09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3.17</v>
      </c>
      <c r="D34" s="28">
        <f t="shared" si="0"/>
        <v>7.24</v>
      </c>
      <c r="E34" s="28">
        <f t="shared" si="0"/>
        <v>3.66</v>
      </c>
      <c r="F34" s="28">
        <f t="shared" si="0"/>
        <v>3.71</v>
      </c>
      <c r="G34" s="28">
        <f t="shared" si="0"/>
        <v>59.82</v>
      </c>
      <c r="H34" s="28">
        <f t="shared" si="0"/>
        <v>7.8</v>
      </c>
      <c r="I34" s="28">
        <f t="shared" si="0"/>
        <v>1.81</v>
      </c>
      <c r="J34" s="28">
        <f t="shared" si="0"/>
        <v>0.33</v>
      </c>
      <c r="K34" s="28">
        <f t="shared" si="0"/>
        <v>209.56</v>
      </c>
      <c r="L34" s="28">
        <f t="shared" si="0"/>
        <v>23.72</v>
      </c>
      <c r="M34" s="28">
        <f t="shared" si="0"/>
        <v>59.29</v>
      </c>
      <c r="N34" s="28">
        <f t="shared" si="0"/>
        <v>26.1</v>
      </c>
      <c r="O34" s="28">
        <f t="shared" si="0"/>
        <v>0</v>
      </c>
      <c r="P34" s="28">
        <f t="shared" si="0"/>
        <v>0.61</v>
      </c>
      <c r="Q34" s="28">
        <f t="shared" si="0"/>
        <v>9.67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4.34</v>
      </c>
      <c r="C35" s="29">
        <f t="shared" si="1"/>
        <v>3.36</v>
      </c>
      <c r="D35" s="29">
        <f t="shared" si="1"/>
        <v>7.43</v>
      </c>
      <c r="E35" s="29">
        <f t="shared" si="1"/>
        <v>5.15</v>
      </c>
      <c r="F35" s="29">
        <f t="shared" si="1"/>
        <v>7</v>
      </c>
      <c r="G35" s="29">
        <f t="shared" si="1"/>
        <v>93.32</v>
      </c>
      <c r="H35" s="29">
        <f t="shared" si="1"/>
        <v>50.68</v>
      </c>
      <c r="I35" s="29">
        <f t="shared" si="1"/>
        <v>4.66</v>
      </c>
      <c r="J35" s="29">
        <f t="shared" si="1"/>
        <v>1.78</v>
      </c>
      <c r="K35" s="29">
        <f t="shared" si="1"/>
        <v>359.44</v>
      </c>
      <c r="L35" s="29">
        <f t="shared" si="1"/>
        <v>36.270000000000003</v>
      </c>
      <c r="M35" s="29">
        <f t="shared" si="1"/>
        <v>101.88</v>
      </c>
      <c r="N35" s="29">
        <f t="shared" si="1"/>
        <v>645</v>
      </c>
      <c r="O35" s="29">
        <f t="shared" si="1"/>
        <v>0</v>
      </c>
      <c r="P35" s="29">
        <f t="shared" si="1"/>
        <v>1.19</v>
      </c>
      <c r="Q35" s="29">
        <f t="shared" si="1"/>
        <v>10.09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4.3000000000000016</v>
      </c>
      <c r="C36" s="28">
        <f t="shared" si="2"/>
        <v>3.2595833333333335</v>
      </c>
      <c r="D36" s="28">
        <f t="shared" si="2"/>
        <v>7.336666666666666</v>
      </c>
      <c r="E36" s="28">
        <f t="shared" si="2"/>
        <v>4.3641666666666659</v>
      </c>
      <c r="F36" s="28">
        <f t="shared" si="2"/>
        <v>4.6337500000000009</v>
      </c>
      <c r="G36" s="28">
        <f t="shared" si="2"/>
        <v>76.476250000000007</v>
      </c>
      <c r="H36" s="28">
        <f t="shared" si="2"/>
        <v>25.615833333333331</v>
      </c>
      <c r="I36" s="28">
        <f t="shared" si="2"/>
        <v>3.4495833333333334</v>
      </c>
      <c r="J36" s="28">
        <f t="shared" si="2"/>
        <v>0.77541666666666664</v>
      </c>
      <c r="K36" s="28">
        <f t="shared" si="2"/>
        <v>331.16583333333341</v>
      </c>
      <c r="L36" s="28">
        <f t="shared" si="2"/>
        <v>28.526250000000001</v>
      </c>
      <c r="M36" s="28">
        <f t="shared" si="2"/>
        <v>87.433750000000018</v>
      </c>
      <c r="N36" s="28">
        <f t="shared" si="2"/>
        <v>177.27083333333337</v>
      </c>
      <c r="O36" s="28">
        <f t="shared" si="2"/>
        <v>0</v>
      </c>
      <c r="P36" s="28">
        <f t="shared" si="2"/>
        <v>0.76874999999999993</v>
      </c>
      <c r="Q36" s="28">
        <f t="shared" si="2"/>
        <v>9.8962500000000002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2.8437574653509292E-2</v>
      </c>
      <c r="C37" s="28">
        <f t="shared" ref="C37:Q37" si="3">STDEV(C9:C32)</f>
        <v>5.3607199927416145E-2</v>
      </c>
      <c r="D37" s="28">
        <f t="shared" si="3"/>
        <v>4.9314136492196757E-2</v>
      </c>
      <c r="E37" s="28">
        <f t="shared" si="3"/>
        <v>0.43790922889752304</v>
      </c>
      <c r="F37" s="28">
        <f t="shared" si="3"/>
        <v>0.72184433164667072</v>
      </c>
      <c r="G37" s="28">
        <f t="shared" si="3"/>
        <v>9.3683137606183351</v>
      </c>
      <c r="H37" s="28">
        <f t="shared" si="3"/>
        <v>11.243908076846751</v>
      </c>
      <c r="I37" s="28">
        <f t="shared" si="3"/>
        <v>0.75333160991209724</v>
      </c>
      <c r="J37" s="28">
        <f t="shared" si="3"/>
        <v>0.40812380012918159</v>
      </c>
      <c r="K37" s="28">
        <f t="shared" si="3"/>
        <v>33.720955414370614</v>
      </c>
      <c r="L37" s="28">
        <f t="shared" si="3"/>
        <v>3.8203025289947377</v>
      </c>
      <c r="M37" s="28">
        <f t="shared" si="3"/>
        <v>15.818198878534286</v>
      </c>
      <c r="N37" s="28">
        <f t="shared" si="3"/>
        <v>207.62827041984485</v>
      </c>
      <c r="O37" s="28">
        <f t="shared" si="3"/>
        <v>0</v>
      </c>
      <c r="P37" s="28">
        <f t="shared" si="3"/>
        <v>0.13536785630916651</v>
      </c>
      <c r="Q37" s="28">
        <f t="shared" si="3"/>
        <v>0.10516291708789176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540</v>
      </c>
      <c r="B9" s="53">
        <v>4.3</v>
      </c>
      <c r="C9" s="53">
        <v>3.24</v>
      </c>
      <c r="D9" s="53">
        <v>7.33</v>
      </c>
      <c r="E9" s="53">
        <v>4.4000000000000004</v>
      </c>
      <c r="F9" s="53">
        <v>4.4800000000000004</v>
      </c>
      <c r="G9" s="53">
        <v>257.55</v>
      </c>
      <c r="H9" s="53">
        <v>18.920000000000002</v>
      </c>
      <c r="I9" s="53">
        <v>2.72</v>
      </c>
      <c r="J9" s="53">
        <v>0.35</v>
      </c>
      <c r="K9" s="53">
        <v>232.64</v>
      </c>
      <c r="L9" s="53">
        <v>25.33</v>
      </c>
      <c r="M9" s="53">
        <v>101.83</v>
      </c>
      <c r="N9" s="53">
        <v>26</v>
      </c>
      <c r="O9" s="53">
        <v>0</v>
      </c>
      <c r="P9" s="53">
        <v>0.51</v>
      </c>
      <c r="Q9" s="53">
        <v>10.11</v>
      </c>
      <c r="R9" s="43"/>
      <c r="S9" s="43"/>
      <c r="T9" s="43"/>
      <c r="U9" s="43"/>
    </row>
    <row r="10" spans="1:21" s="11" customFormat="1" x14ac:dyDescent="0.25">
      <c r="A10" s="52" t="s">
        <v>541</v>
      </c>
      <c r="B10" s="53">
        <v>4.33</v>
      </c>
      <c r="C10" s="53">
        <v>3.29</v>
      </c>
      <c r="D10" s="53">
        <v>7.38</v>
      </c>
      <c r="E10" s="53">
        <v>4.2300000000000004</v>
      </c>
      <c r="F10" s="53">
        <v>5.52</v>
      </c>
      <c r="G10" s="53">
        <v>232.07</v>
      </c>
      <c r="H10" s="53">
        <v>15.42</v>
      </c>
      <c r="I10" s="53">
        <v>2.7</v>
      </c>
      <c r="J10" s="53">
        <v>0.48</v>
      </c>
      <c r="K10" s="53">
        <v>344.43</v>
      </c>
      <c r="L10" s="53">
        <v>24.95</v>
      </c>
      <c r="M10" s="53">
        <v>101.83</v>
      </c>
      <c r="N10" s="53">
        <v>26.1</v>
      </c>
      <c r="O10" s="53">
        <v>0</v>
      </c>
      <c r="P10" s="53">
        <v>0.44</v>
      </c>
      <c r="Q10" s="53">
        <v>10.09</v>
      </c>
      <c r="R10" s="43"/>
      <c r="S10" s="43"/>
      <c r="T10" s="43"/>
      <c r="U10" s="43"/>
    </row>
    <row r="11" spans="1:21" s="11" customFormat="1" x14ac:dyDescent="0.25">
      <c r="A11" s="52" t="s">
        <v>542</v>
      </c>
      <c r="B11" s="53">
        <v>4.3499999999999996</v>
      </c>
      <c r="C11" s="53">
        <v>3.27</v>
      </c>
      <c r="D11" s="53">
        <v>7.39</v>
      </c>
      <c r="E11" s="53">
        <v>4.53</v>
      </c>
      <c r="F11" s="53">
        <v>3.62</v>
      </c>
      <c r="G11" s="53">
        <v>38.46</v>
      </c>
      <c r="H11" s="53">
        <v>14.67</v>
      </c>
      <c r="I11" s="53">
        <v>1.46</v>
      </c>
      <c r="J11" s="53">
        <v>0.46</v>
      </c>
      <c r="K11" s="53">
        <v>345.02</v>
      </c>
      <c r="L11" s="53">
        <v>24.87</v>
      </c>
      <c r="M11" s="53">
        <v>101.83</v>
      </c>
      <c r="N11" s="53">
        <v>26.1</v>
      </c>
      <c r="O11" s="53">
        <v>0</v>
      </c>
      <c r="P11" s="53">
        <v>0.42</v>
      </c>
      <c r="Q11" s="53">
        <v>10.1</v>
      </c>
      <c r="R11" s="43"/>
      <c r="S11" s="43"/>
      <c r="T11" s="43"/>
      <c r="U11" s="43"/>
    </row>
    <row r="12" spans="1:21" s="11" customFormat="1" x14ac:dyDescent="0.25">
      <c r="A12" s="52" t="s">
        <v>543</v>
      </c>
      <c r="B12" s="53">
        <v>4.3</v>
      </c>
      <c r="C12" s="53">
        <v>3.24</v>
      </c>
      <c r="D12" s="53">
        <v>7.33</v>
      </c>
      <c r="E12" s="53">
        <v>4.62</v>
      </c>
      <c r="F12" s="53">
        <v>4.07</v>
      </c>
      <c r="G12" s="53">
        <v>40.43</v>
      </c>
      <c r="H12" s="53">
        <v>9.42</v>
      </c>
      <c r="I12" s="53">
        <v>2.4700000000000002</v>
      </c>
      <c r="J12" s="53">
        <v>0.43</v>
      </c>
      <c r="K12" s="53">
        <v>337.02</v>
      </c>
      <c r="L12" s="53">
        <v>24.83</v>
      </c>
      <c r="M12" s="53">
        <v>101.85</v>
      </c>
      <c r="N12" s="53">
        <v>26.1</v>
      </c>
      <c r="O12" s="53">
        <v>0</v>
      </c>
      <c r="P12" s="53">
        <v>0.47</v>
      </c>
      <c r="Q12" s="53">
        <v>10.09</v>
      </c>
      <c r="R12" s="43"/>
      <c r="S12" s="43"/>
      <c r="T12" s="43"/>
      <c r="U12" s="43"/>
    </row>
    <row r="13" spans="1:21" s="11" customFormat="1" x14ac:dyDescent="0.25">
      <c r="A13" s="52" t="s">
        <v>544</v>
      </c>
      <c r="B13" s="53">
        <v>4.28</v>
      </c>
      <c r="C13" s="53">
        <v>3.2</v>
      </c>
      <c r="D13" s="53">
        <v>7.29</v>
      </c>
      <c r="E13" s="53">
        <v>3.97</v>
      </c>
      <c r="F13" s="53">
        <v>4.32</v>
      </c>
      <c r="G13" s="53">
        <v>49.86</v>
      </c>
      <c r="H13" s="53">
        <v>13.1</v>
      </c>
      <c r="I13" s="53">
        <v>3.09</v>
      </c>
      <c r="J13" s="53">
        <v>0.55000000000000004</v>
      </c>
      <c r="K13" s="53">
        <v>353.76</v>
      </c>
      <c r="L13" s="53">
        <v>24.72</v>
      </c>
      <c r="M13" s="53">
        <v>101.84</v>
      </c>
      <c r="N13" s="53">
        <v>26.1</v>
      </c>
      <c r="O13" s="53">
        <v>0</v>
      </c>
      <c r="P13" s="53">
        <v>0.48</v>
      </c>
      <c r="Q13" s="53">
        <v>10.039999999999999</v>
      </c>
      <c r="R13" s="43"/>
      <c r="S13" s="43"/>
      <c r="T13" s="43"/>
      <c r="U13" s="43"/>
    </row>
    <row r="14" spans="1:21" s="11" customFormat="1" x14ac:dyDescent="0.25">
      <c r="A14" s="52" t="s">
        <v>545</v>
      </c>
      <c r="B14" s="53">
        <v>4.33</v>
      </c>
      <c r="C14" s="53">
        <v>3.25</v>
      </c>
      <c r="D14" s="53">
        <v>7.36</v>
      </c>
      <c r="E14" s="53">
        <v>4.24</v>
      </c>
      <c r="F14" s="53">
        <v>3.72</v>
      </c>
      <c r="G14" s="53">
        <v>49.48</v>
      </c>
      <c r="H14" s="53">
        <v>12.76</v>
      </c>
      <c r="I14" s="53">
        <v>3.07</v>
      </c>
      <c r="J14" s="53">
        <v>0.42</v>
      </c>
      <c r="K14" s="53">
        <v>351.36</v>
      </c>
      <c r="L14" s="53">
        <v>24.59</v>
      </c>
      <c r="M14" s="53">
        <v>101.86</v>
      </c>
      <c r="N14" s="53">
        <v>27.7</v>
      </c>
      <c r="O14" s="53">
        <v>0</v>
      </c>
      <c r="P14" s="53">
        <v>0.67</v>
      </c>
      <c r="Q14" s="53">
        <v>10.050000000000001</v>
      </c>
      <c r="R14" s="43"/>
      <c r="S14" s="43"/>
      <c r="T14" s="43"/>
      <c r="U14" s="43"/>
    </row>
    <row r="15" spans="1:21" s="11" customFormat="1" x14ac:dyDescent="0.25">
      <c r="A15" s="52" t="s">
        <v>546</v>
      </c>
      <c r="B15" s="53">
        <v>4.37</v>
      </c>
      <c r="C15" s="53">
        <v>3.27</v>
      </c>
      <c r="D15" s="53">
        <v>7.4</v>
      </c>
      <c r="E15" s="53">
        <v>4.37</v>
      </c>
      <c r="F15" s="53">
        <v>3.7</v>
      </c>
      <c r="G15" s="53">
        <v>101.34</v>
      </c>
      <c r="H15" s="53">
        <v>10.16</v>
      </c>
      <c r="I15" s="53">
        <v>2.9</v>
      </c>
      <c r="J15" s="53">
        <v>0.56000000000000005</v>
      </c>
      <c r="K15" s="53">
        <v>353.46</v>
      </c>
      <c r="L15" s="53">
        <v>26.41</v>
      </c>
      <c r="M15" s="53">
        <v>101.83</v>
      </c>
      <c r="N15" s="53">
        <v>114.4</v>
      </c>
      <c r="O15" s="53">
        <v>0</v>
      </c>
      <c r="P15" s="53">
        <v>0.86</v>
      </c>
      <c r="Q15" s="53">
        <v>10.18</v>
      </c>
      <c r="R15" s="43"/>
      <c r="S15" s="43"/>
      <c r="T15" s="43"/>
      <c r="U15" s="43"/>
    </row>
    <row r="16" spans="1:21" s="11" customFormat="1" x14ac:dyDescent="0.25">
      <c r="A16" s="52" t="s">
        <v>547</v>
      </c>
      <c r="B16" s="53">
        <v>4.34</v>
      </c>
      <c r="C16" s="53">
        <v>3.27</v>
      </c>
      <c r="D16" s="53">
        <v>7.38</v>
      </c>
      <c r="E16" s="53">
        <v>4.78</v>
      </c>
      <c r="F16" s="53">
        <v>5.48</v>
      </c>
      <c r="G16" s="53">
        <v>143.80000000000001</v>
      </c>
      <c r="H16" s="53">
        <v>29.74</v>
      </c>
      <c r="I16" s="53">
        <v>4.6399999999999997</v>
      </c>
      <c r="J16" s="53">
        <v>1.1499999999999999</v>
      </c>
      <c r="K16" s="53">
        <v>344.13</v>
      </c>
      <c r="L16" s="53">
        <v>31.76</v>
      </c>
      <c r="M16" s="53">
        <v>97.89</v>
      </c>
      <c r="N16" s="53">
        <v>317</v>
      </c>
      <c r="O16" s="53">
        <v>0</v>
      </c>
      <c r="P16" s="53">
        <v>0.86</v>
      </c>
      <c r="Q16" s="53">
        <v>10.27</v>
      </c>
      <c r="R16" s="43"/>
      <c r="S16" s="43"/>
      <c r="T16" s="43"/>
      <c r="U16" s="43"/>
    </row>
    <row r="17" spans="1:21" s="11" customFormat="1" x14ac:dyDescent="0.25">
      <c r="A17" s="52" t="s">
        <v>548</v>
      </c>
      <c r="B17" s="53">
        <v>4.47</v>
      </c>
      <c r="C17" s="53">
        <v>3.53</v>
      </c>
      <c r="D17" s="53">
        <v>7.61</v>
      </c>
      <c r="E17" s="53">
        <v>5.05</v>
      </c>
      <c r="F17" s="53">
        <v>4.12</v>
      </c>
      <c r="G17" s="53">
        <v>203.29</v>
      </c>
      <c r="H17" s="53">
        <v>28.15</v>
      </c>
      <c r="I17" s="53">
        <v>4.67</v>
      </c>
      <c r="J17" s="53">
        <v>1.1299999999999999</v>
      </c>
      <c r="K17" s="53">
        <v>338.09</v>
      </c>
      <c r="L17" s="53">
        <v>33.67</v>
      </c>
      <c r="M17" s="53">
        <v>72.510000000000005</v>
      </c>
      <c r="N17" s="53">
        <v>451.4</v>
      </c>
      <c r="O17" s="53">
        <v>0</v>
      </c>
      <c r="P17" s="53">
        <v>0.79</v>
      </c>
      <c r="Q17" s="53">
        <v>10.3</v>
      </c>
      <c r="R17" s="43"/>
      <c r="S17" s="43"/>
      <c r="T17" s="43"/>
      <c r="U17" s="43"/>
    </row>
    <row r="18" spans="1:21" s="11" customFormat="1" x14ac:dyDescent="0.25">
      <c r="A18" s="52" t="s">
        <v>549</v>
      </c>
      <c r="B18" s="53">
        <v>4.34</v>
      </c>
      <c r="C18" s="53">
        <v>3.3</v>
      </c>
      <c r="D18" s="53">
        <v>7.39</v>
      </c>
      <c r="E18" s="53">
        <v>4.75</v>
      </c>
      <c r="F18" s="53">
        <v>4.29</v>
      </c>
      <c r="G18" s="53">
        <v>198.78</v>
      </c>
      <c r="H18" s="53">
        <v>43.44</v>
      </c>
      <c r="I18" s="53">
        <v>4.88</v>
      </c>
      <c r="J18" s="53">
        <v>1.29</v>
      </c>
      <c r="K18" s="53">
        <v>339.74</v>
      </c>
      <c r="L18" s="53">
        <v>34.68</v>
      </c>
      <c r="M18" s="53">
        <v>64.47</v>
      </c>
      <c r="N18" s="53">
        <v>508.3</v>
      </c>
      <c r="O18" s="53">
        <v>0</v>
      </c>
      <c r="P18" s="53">
        <v>0.75</v>
      </c>
      <c r="Q18" s="53">
        <v>10.29</v>
      </c>
      <c r="R18" s="43"/>
      <c r="S18" s="43"/>
      <c r="T18" s="43"/>
      <c r="U18" s="43"/>
    </row>
    <row r="19" spans="1:21" s="11" customFormat="1" x14ac:dyDescent="0.25">
      <c r="A19" s="52" t="s">
        <v>550</v>
      </c>
      <c r="B19" s="53">
        <v>4.34</v>
      </c>
      <c r="C19" s="53">
        <v>3.3</v>
      </c>
      <c r="D19" s="53">
        <v>7.4</v>
      </c>
      <c r="E19" s="53">
        <v>4.51</v>
      </c>
      <c r="F19" s="53">
        <v>3.91</v>
      </c>
      <c r="G19" s="53">
        <v>155.6</v>
      </c>
      <c r="H19" s="53">
        <v>42.52</v>
      </c>
      <c r="I19" s="53">
        <v>3.82</v>
      </c>
      <c r="J19" s="53">
        <v>1.27</v>
      </c>
      <c r="K19" s="53">
        <v>342.67</v>
      </c>
      <c r="L19" s="53">
        <v>34</v>
      </c>
      <c r="M19" s="53">
        <v>67.239999999999995</v>
      </c>
      <c r="N19" s="53">
        <v>740.8</v>
      </c>
      <c r="O19" s="53">
        <v>0</v>
      </c>
      <c r="P19" s="53">
        <v>0.81</v>
      </c>
      <c r="Q19" s="53">
        <v>10.17</v>
      </c>
      <c r="R19" s="43"/>
      <c r="S19" s="43"/>
      <c r="T19" s="43"/>
      <c r="U19" s="43"/>
    </row>
    <row r="20" spans="1:21" s="11" customFormat="1" x14ac:dyDescent="0.25">
      <c r="A20" s="52" t="s">
        <v>551</v>
      </c>
      <c r="B20" s="53">
        <v>4.34</v>
      </c>
      <c r="C20" s="53">
        <v>3.26</v>
      </c>
      <c r="D20" s="53">
        <v>7.37</v>
      </c>
      <c r="E20" s="53">
        <v>4.72</v>
      </c>
      <c r="F20" s="53">
        <v>4.03</v>
      </c>
      <c r="G20" s="53">
        <v>123.04</v>
      </c>
      <c r="H20" s="53">
        <v>35.79</v>
      </c>
      <c r="I20" s="53">
        <v>4.5599999999999996</v>
      </c>
      <c r="J20" s="53">
        <v>1.37</v>
      </c>
      <c r="K20" s="53">
        <v>354.22</v>
      </c>
      <c r="L20" s="53">
        <v>35.24</v>
      </c>
      <c r="M20" s="53">
        <v>62.29</v>
      </c>
      <c r="N20" s="53">
        <v>801</v>
      </c>
      <c r="O20" s="53">
        <v>0</v>
      </c>
      <c r="P20" s="53">
        <v>0.76</v>
      </c>
      <c r="Q20" s="53">
        <v>10.119999999999999</v>
      </c>
      <c r="R20" s="43"/>
      <c r="S20" s="43"/>
      <c r="T20" s="43"/>
      <c r="U20" s="43"/>
    </row>
    <row r="21" spans="1:21" s="11" customFormat="1" x14ac:dyDescent="0.25">
      <c r="A21" s="52" t="s">
        <v>552</v>
      </c>
      <c r="B21" s="53">
        <v>4.26</v>
      </c>
      <c r="C21" s="53">
        <v>3.22</v>
      </c>
      <c r="D21" s="53">
        <v>7.29</v>
      </c>
      <c r="E21" s="53">
        <v>5.21</v>
      </c>
      <c r="F21" s="53">
        <v>4.8600000000000003</v>
      </c>
      <c r="G21" s="53">
        <v>119.86</v>
      </c>
      <c r="H21" s="53">
        <v>29.43</v>
      </c>
      <c r="I21" s="53">
        <v>4.67</v>
      </c>
      <c r="J21" s="53">
        <v>1.71</v>
      </c>
      <c r="K21" s="53">
        <v>339.86</v>
      </c>
      <c r="L21" s="53">
        <v>34.409999999999997</v>
      </c>
      <c r="M21" s="53">
        <v>66.069999999999993</v>
      </c>
      <c r="N21" s="53">
        <v>509.1</v>
      </c>
      <c r="O21" s="53">
        <v>0</v>
      </c>
      <c r="P21" s="53">
        <v>0.71</v>
      </c>
      <c r="Q21" s="53">
        <v>9.98</v>
      </c>
      <c r="R21" s="43"/>
      <c r="S21" s="43"/>
      <c r="T21" s="43"/>
      <c r="U21" s="43"/>
    </row>
    <row r="22" spans="1:21" s="11" customFormat="1" x14ac:dyDescent="0.25">
      <c r="A22" s="52" t="s">
        <v>553</v>
      </c>
      <c r="B22" s="53">
        <v>4.26</v>
      </c>
      <c r="C22" s="53">
        <v>3.24</v>
      </c>
      <c r="D22" s="53">
        <v>7.29</v>
      </c>
      <c r="E22" s="53">
        <v>6</v>
      </c>
      <c r="F22" s="53">
        <v>4.9800000000000004</v>
      </c>
      <c r="G22" s="53">
        <v>111.99</v>
      </c>
      <c r="H22" s="59" t="s">
        <v>14</v>
      </c>
      <c r="I22" s="53">
        <v>4.13</v>
      </c>
      <c r="J22" s="53">
        <v>1.65</v>
      </c>
      <c r="K22" s="53">
        <v>342.55</v>
      </c>
      <c r="L22" s="53">
        <v>33.450000000000003</v>
      </c>
      <c r="M22" s="53">
        <v>65.760000000000005</v>
      </c>
      <c r="N22" s="53">
        <v>480.9</v>
      </c>
      <c r="O22" s="53">
        <v>0</v>
      </c>
      <c r="P22" s="53">
        <v>0.7</v>
      </c>
      <c r="Q22" s="53">
        <v>9.85</v>
      </c>
      <c r="R22" s="43"/>
      <c r="S22" s="43"/>
      <c r="T22" s="43"/>
      <c r="U22" s="43"/>
    </row>
    <row r="23" spans="1:21" s="11" customFormat="1" x14ac:dyDescent="0.25">
      <c r="A23" s="52" t="s">
        <v>554</v>
      </c>
      <c r="B23" s="53">
        <v>4.28</v>
      </c>
      <c r="C23" s="53">
        <v>3.2</v>
      </c>
      <c r="D23" s="53">
        <v>7.29</v>
      </c>
      <c r="E23" s="53">
        <v>4.87</v>
      </c>
      <c r="F23" s="53">
        <v>5.46</v>
      </c>
      <c r="G23" s="53">
        <v>110</v>
      </c>
      <c r="H23" s="59" t="s">
        <v>14</v>
      </c>
      <c r="I23" s="53">
        <v>3.84</v>
      </c>
      <c r="J23" s="53">
        <v>1.26</v>
      </c>
      <c r="K23" s="53">
        <v>355.99</v>
      </c>
      <c r="L23" s="53">
        <v>32.43</v>
      </c>
      <c r="M23" s="53">
        <v>68.87</v>
      </c>
      <c r="N23" s="53">
        <v>228.7</v>
      </c>
      <c r="O23" s="53">
        <v>0</v>
      </c>
      <c r="P23" s="53">
        <v>0.67</v>
      </c>
      <c r="Q23" s="53">
        <v>9.66</v>
      </c>
      <c r="R23" s="43"/>
      <c r="S23" s="43"/>
      <c r="T23" s="43"/>
      <c r="U23" s="43"/>
    </row>
    <row r="24" spans="1:21" s="11" customFormat="1" x14ac:dyDescent="0.25">
      <c r="A24" s="52" t="s">
        <v>555</v>
      </c>
      <c r="B24" s="53">
        <v>4.29</v>
      </c>
      <c r="C24" s="53">
        <v>3.27</v>
      </c>
      <c r="D24" s="53">
        <v>7.34</v>
      </c>
      <c r="E24" s="53">
        <v>4.92</v>
      </c>
      <c r="F24" s="53">
        <v>6.15</v>
      </c>
      <c r="G24" s="53">
        <v>99.42</v>
      </c>
      <c r="H24" s="53">
        <v>31.07</v>
      </c>
      <c r="I24" s="53">
        <v>3.03</v>
      </c>
      <c r="J24" s="53">
        <v>1.5</v>
      </c>
      <c r="K24" s="53">
        <v>344.67</v>
      </c>
      <c r="L24" s="53">
        <v>31.99</v>
      </c>
      <c r="M24" s="53">
        <v>70.819999999999993</v>
      </c>
      <c r="N24" s="53">
        <v>194.4</v>
      </c>
      <c r="O24" s="53">
        <v>0</v>
      </c>
      <c r="P24" s="53">
        <v>0.64</v>
      </c>
      <c r="Q24" s="53">
        <v>9.67</v>
      </c>
      <c r="R24" s="43"/>
      <c r="S24" s="43"/>
      <c r="T24" s="43"/>
      <c r="U24" s="43"/>
    </row>
    <row r="25" spans="1:21" s="11" customFormat="1" x14ac:dyDescent="0.25">
      <c r="A25" s="52" t="s">
        <v>556</v>
      </c>
      <c r="B25" s="53">
        <v>4.2300000000000004</v>
      </c>
      <c r="C25" s="53">
        <v>3.23</v>
      </c>
      <c r="D25" s="53">
        <v>7.27</v>
      </c>
      <c r="E25" s="53">
        <v>3.66</v>
      </c>
      <c r="F25" s="53">
        <v>5.46</v>
      </c>
      <c r="G25" s="53">
        <v>98.33</v>
      </c>
      <c r="H25" s="53">
        <v>34.97</v>
      </c>
      <c r="I25" s="53">
        <v>3.22</v>
      </c>
      <c r="J25" s="53">
        <v>0.93</v>
      </c>
      <c r="K25" s="53">
        <v>342.83</v>
      </c>
      <c r="L25" s="53">
        <v>30.83</v>
      </c>
      <c r="M25" s="53">
        <v>75.709999999999994</v>
      </c>
      <c r="N25" s="53">
        <v>97.8</v>
      </c>
      <c r="O25" s="53">
        <v>0</v>
      </c>
      <c r="P25" s="53">
        <v>0.69</v>
      </c>
      <c r="Q25" s="53">
        <v>9.69</v>
      </c>
      <c r="R25" s="43"/>
      <c r="S25" s="43"/>
      <c r="T25" s="43"/>
      <c r="U25" s="43"/>
    </row>
    <row r="26" spans="1:21" s="11" customFormat="1" x14ac:dyDescent="0.25">
      <c r="A26" s="52" t="s">
        <v>557</v>
      </c>
      <c r="B26" s="53">
        <v>4.25</v>
      </c>
      <c r="C26" s="53">
        <v>3.22</v>
      </c>
      <c r="D26" s="53">
        <v>7.28</v>
      </c>
      <c r="E26" s="53">
        <v>3.51</v>
      </c>
      <c r="F26" s="53">
        <v>5.56</v>
      </c>
      <c r="G26" s="53">
        <v>97.1</v>
      </c>
      <c r="H26" s="59" t="s">
        <v>14</v>
      </c>
      <c r="I26" s="53">
        <v>2.87</v>
      </c>
      <c r="J26" s="53">
        <v>0.51</v>
      </c>
      <c r="K26" s="53">
        <v>136.37</v>
      </c>
      <c r="L26" s="53">
        <v>29.78</v>
      </c>
      <c r="M26" s="53">
        <v>79.63</v>
      </c>
      <c r="N26" s="53">
        <v>64</v>
      </c>
      <c r="O26" s="53">
        <v>0</v>
      </c>
      <c r="P26" s="53">
        <v>0.65</v>
      </c>
      <c r="Q26" s="53">
        <v>9.67</v>
      </c>
      <c r="R26" s="43"/>
      <c r="S26" s="43"/>
      <c r="T26" s="43"/>
      <c r="U26" s="43"/>
    </row>
    <row r="27" spans="1:21" s="11" customFormat="1" x14ac:dyDescent="0.25">
      <c r="A27" s="52" t="s">
        <v>558</v>
      </c>
      <c r="B27" s="53">
        <v>4.2699999999999996</v>
      </c>
      <c r="C27" s="53">
        <v>3.22</v>
      </c>
      <c r="D27" s="53">
        <v>7.28</v>
      </c>
      <c r="E27" s="53">
        <v>3.86</v>
      </c>
      <c r="F27" s="53">
        <v>7.01</v>
      </c>
      <c r="G27" s="53">
        <v>95.39</v>
      </c>
      <c r="H27" s="59" t="s">
        <v>14</v>
      </c>
      <c r="I27" s="53">
        <v>2.91</v>
      </c>
      <c r="J27" s="53">
        <v>0.88</v>
      </c>
      <c r="K27" s="53">
        <v>118.63</v>
      </c>
      <c r="L27" s="53">
        <v>29.24</v>
      </c>
      <c r="M27" s="53">
        <v>86.78</v>
      </c>
      <c r="N27" s="53">
        <v>27.1</v>
      </c>
      <c r="O27" s="53">
        <v>0</v>
      </c>
      <c r="P27" s="53">
        <v>0.67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559</v>
      </c>
      <c r="B28" s="53">
        <v>4.29</v>
      </c>
      <c r="C28" s="53">
        <v>3.18</v>
      </c>
      <c r="D28" s="53">
        <v>7.29</v>
      </c>
      <c r="E28" s="53">
        <v>3.67</v>
      </c>
      <c r="F28" s="53">
        <v>10.4</v>
      </c>
      <c r="G28" s="53">
        <v>90.2</v>
      </c>
      <c r="H28" s="53">
        <v>24.2</v>
      </c>
      <c r="I28" s="53">
        <v>6.82</v>
      </c>
      <c r="J28" s="53">
        <v>0.74</v>
      </c>
      <c r="K28" s="53">
        <v>118.1</v>
      </c>
      <c r="L28" s="53">
        <v>28.81</v>
      </c>
      <c r="M28" s="53">
        <v>88.1</v>
      </c>
      <c r="N28" s="53">
        <v>26.1</v>
      </c>
      <c r="O28" s="53">
        <v>0</v>
      </c>
      <c r="P28" s="53">
        <v>0.53</v>
      </c>
      <c r="Q28" s="53">
        <v>9.65</v>
      </c>
      <c r="R28" s="43"/>
      <c r="S28" s="43"/>
      <c r="T28" s="43"/>
      <c r="U28" s="43"/>
    </row>
    <row r="29" spans="1:21" s="11" customFormat="1" x14ac:dyDescent="0.25">
      <c r="A29" s="52" t="s">
        <v>560</v>
      </c>
      <c r="B29" s="53">
        <v>4.2300000000000004</v>
      </c>
      <c r="C29" s="53">
        <v>3.19</v>
      </c>
      <c r="D29" s="53">
        <v>7.24</v>
      </c>
      <c r="E29" s="53">
        <v>3.58</v>
      </c>
      <c r="F29" s="53">
        <v>4.9400000000000004</v>
      </c>
      <c r="G29" s="53">
        <v>89.45</v>
      </c>
      <c r="H29" s="53">
        <v>18.02</v>
      </c>
      <c r="I29" s="53">
        <v>7.18</v>
      </c>
      <c r="J29" s="53">
        <v>1.03</v>
      </c>
      <c r="K29" s="53">
        <v>114.02</v>
      </c>
      <c r="L29" s="53">
        <v>28.53</v>
      </c>
      <c r="M29" s="53">
        <v>90</v>
      </c>
      <c r="N29" s="53">
        <v>26.1</v>
      </c>
      <c r="O29" s="53">
        <v>0</v>
      </c>
      <c r="P29" s="53">
        <v>0.56000000000000005</v>
      </c>
      <c r="Q29" s="53">
        <v>9.64</v>
      </c>
      <c r="R29" s="43"/>
      <c r="S29" s="43"/>
      <c r="T29" s="43"/>
      <c r="U29" s="43"/>
    </row>
    <row r="30" spans="1:21" s="11" customFormat="1" x14ac:dyDescent="0.25">
      <c r="A30" s="52" t="s">
        <v>561</v>
      </c>
      <c r="B30" s="53">
        <v>4.25</v>
      </c>
      <c r="C30" s="53">
        <v>3.27</v>
      </c>
      <c r="D30" s="53">
        <v>7.31</v>
      </c>
      <c r="E30" s="53">
        <v>3.48</v>
      </c>
      <c r="F30" s="53">
        <v>4.6100000000000003</v>
      </c>
      <c r="G30" s="53">
        <v>83.47</v>
      </c>
      <c r="H30" s="53">
        <v>32.24</v>
      </c>
      <c r="I30" s="53">
        <v>4.97</v>
      </c>
      <c r="J30" s="53">
        <v>0.33</v>
      </c>
      <c r="K30" s="53">
        <v>357.89</v>
      </c>
      <c r="L30" s="53">
        <v>28.05</v>
      </c>
      <c r="M30" s="53">
        <v>100.46</v>
      </c>
      <c r="N30" s="53">
        <v>26.4</v>
      </c>
      <c r="O30" s="53">
        <v>0</v>
      </c>
      <c r="P30" s="53">
        <v>1.28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562</v>
      </c>
      <c r="B31" s="53">
        <v>4.32</v>
      </c>
      <c r="C31" s="53">
        <v>3.25</v>
      </c>
      <c r="D31" s="53">
        <v>7.34</v>
      </c>
      <c r="E31" s="53">
        <v>3.66</v>
      </c>
      <c r="F31" s="53">
        <v>4.28</v>
      </c>
      <c r="G31" s="53">
        <v>100.34</v>
      </c>
      <c r="H31" s="53">
        <v>41.43</v>
      </c>
      <c r="I31" s="53">
        <v>5.55</v>
      </c>
      <c r="J31" s="53">
        <v>0.3</v>
      </c>
      <c r="K31" s="53">
        <v>320.52999999999997</v>
      </c>
      <c r="L31" s="53">
        <v>27.3</v>
      </c>
      <c r="M31" s="53">
        <v>101.51</v>
      </c>
      <c r="N31" s="53">
        <v>26.2</v>
      </c>
      <c r="O31" s="53">
        <v>0</v>
      </c>
      <c r="P31" s="53">
        <v>1.01</v>
      </c>
      <c r="Q31" s="53">
        <v>9.83</v>
      </c>
      <c r="R31" s="43"/>
      <c r="S31" s="43"/>
      <c r="T31" s="43"/>
      <c r="U31" s="43"/>
    </row>
    <row r="32" spans="1:21" s="11" customFormat="1" x14ac:dyDescent="0.25">
      <c r="A32" s="52" t="s">
        <v>563</v>
      </c>
      <c r="B32" s="53">
        <v>4.33</v>
      </c>
      <c r="C32" s="53">
        <v>3.24</v>
      </c>
      <c r="D32" s="53">
        <v>7.35</v>
      </c>
      <c r="E32" s="53">
        <v>3.75</v>
      </c>
      <c r="F32" s="53">
        <v>4.49</v>
      </c>
      <c r="G32" s="53">
        <v>100.09</v>
      </c>
      <c r="H32" s="53">
        <v>40.67</v>
      </c>
      <c r="I32" s="53">
        <v>5.04</v>
      </c>
      <c r="J32" s="53">
        <v>0.39</v>
      </c>
      <c r="K32" s="53">
        <v>294.25</v>
      </c>
      <c r="L32" s="53">
        <v>27.07</v>
      </c>
      <c r="M32" s="53">
        <v>101.78</v>
      </c>
      <c r="N32" s="53">
        <v>26.2</v>
      </c>
      <c r="O32" s="53">
        <v>0</v>
      </c>
      <c r="P32" s="53">
        <v>0.69</v>
      </c>
      <c r="Q32" s="53">
        <v>9.94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3.18</v>
      </c>
      <c r="D34" s="28">
        <f t="shared" si="0"/>
        <v>7.24</v>
      </c>
      <c r="E34" s="28">
        <f t="shared" si="0"/>
        <v>3.48</v>
      </c>
      <c r="F34" s="28">
        <f t="shared" si="0"/>
        <v>3.62</v>
      </c>
      <c r="G34" s="28">
        <f t="shared" si="0"/>
        <v>38.46</v>
      </c>
      <c r="H34" s="28">
        <f t="shared" si="0"/>
        <v>9.42</v>
      </c>
      <c r="I34" s="28">
        <f t="shared" si="0"/>
        <v>1.46</v>
      </c>
      <c r="J34" s="28">
        <f t="shared" si="0"/>
        <v>0.3</v>
      </c>
      <c r="K34" s="28">
        <f t="shared" si="0"/>
        <v>114.02</v>
      </c>
      <c r="L34" s="28">
        <f t="shared" si="0"/>
        <v>24.59</v>
      </c>
      <c r="M34" s="28">
        <f t="shared" si="0"/>
        <v>62.29</v>
      </c>
      <c r="N34" s="28">
        <f t="shared" si="0"/>
        <v>26</v>
      </c>
      <c r="O34" s="28">
        <f t="shared" si="0"/>
        <v>0</v>
      </c>
      <c r="P34" s="28">
        <f t="shared" si="0"/>
        <v>0.42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4.47</v>
      </c>
      <c r="C35" s="29">
        <f t="shared" si="1"/>
        <v>3.53</v>
      </c>
      <c r="D35" s="29">
        <f t="shared" si="1"/>
        <v>7.61</v>
      </c>
      <c r="E35" s="29">
        <f t="shared" si="1"/>
        <v>6</v>
      </c>
      <c r="F35" s="29">
        <f t="shared" si="1"/>
        <v>10.4</v>
      </c>
      <c r="G35" s="29">
        <f t="shared" si="1"/>
        <v>257.55</v>
      </c>
      <c r="H35" s="29">
        <f t="shared" si="1"/>
        <v>43.44</v>
      </c>
      <c r="I35" s="29">
        <f t="shared" si="1"/>
        <v>7.18</v>
      </c>
      <c r="J35" s="29">
        <f t="shared" si="1"/>
        <v>1.71</v>
      </c>
      <c r="K35" s="29">
        <f t="shared" si="1"/>
        <v>357.89</v>
      </c>
      <c r="L35" s="29">
        <f t="shared" si="1"/>
        <v>35.24</v>
      </c>
      <c r="M35" s="29">
        <f t="shared" si="1"/>
        <v>101.86</v>
      </c>
      <c r="N35" s="29">
        <f t="shared" si="1"/>
        <v>801</v>
      </c>
      <c r="O35" s="29">
        <f t="shared" si="1"/>
        <v>0</v>
      </c>
      <c r="P35" s="29">
        <f t="shared" si="1"/>
        <v>1.28</v>
      </c>
      <c r="Q35" s="29">
        <f t="shared" si="1"/>
        <v>10.3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4.3062500000000004</v>
      </c>
      <c r="C36" s="28">
        <f t="shared" si="2"/>
        <v>3.2562499999999996</v>
      </c>
      <c r="D36" s="28">
        <f t="shared" si="2"/>
        <v>7.3416666666666677</v>
      </c>
      <c r="E36" s="28">
        <f t="shared" si="2"/>
        <v>4.3475000000000001</v>
      </c>
      <c r="F36" s="28">
        <f t="shared" si="2"/>
        <v>4.9775</v>
      </c>
      <c r="G36" s="28">
        <f t="shared" si="2"/>
        <v>116.22249999999997</v>
      </c>
      <c r="H36" s="28">
        <f t="shared" si="2"/>
        <v>26.306000000000001</v>
      </c>
      <c r="I36" s="28">
        <f t="shared" si="2"/>
        <v>3.9670833333333335</v>
      </c>
      <c r="J36" s="28">
        <f t="shared" si="2"/>
        <v>0.86208333333333342</v>
      </c>
      <c r="K36" s="28">
        <f t="shared" si="2"/>
        <v>300.92625000000004</v>
      </c>
      <c r="L36" s="28">
        <f t="shared" si="2"/>
        <v>29.455833333333331</v>
      </c>
      <c r="M36" s="28">
        <f t="shared" si="2"/>
        <v>86.365000000000009</v>
      </c>
      <c r="N36" s="28">
        <f t="shared" si="2"/>
        <v>201</v>
      </c>
      <c r="O36" s="28">
        <f t="shared" si="2"/>
        <v>0</v>
      </c>
      <c r="P36" s="28">
        <f t="shared" si="2"/>
        <v>0.6925</v>
      </c>
      <c r="Q36" s="28">
        <f t="shared" si="2"/>
        <v>9.9462499999999974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5.3063743456009671E-2</v>
      </c>
      <c r="C37" s="28">
        <f t="shared" ref="C37:Q37" si="3">STDEV(C9:C32)</f>
        <v>6.6972577126436686E-2</v>
      </c>
      <c r="D37" s="28">
        <f t="shared" si="3"/>
        <v>7.3819207272354567E-2</v>
      </c>
      <c r="E37" s="28">
        <f t="shared" si="3"/>
        <v>0.63942399351155477</v>
      </c>
      <c r="F37" s="28">
        <f t="shared" si="3"/>
        <v>1.428593866283423</v>
      </c>
      <c r="G37" s="28">
        <f t="shared" si="3"/>
        <v>57.283008198425392</v>
      </c>
      <c r="H37" s="28">
        <f t="shared" si="3"/>
        <v>11.52724297160062</v>
      </c>
      <c r="I37" s="28">
        <f t="shared" si="3"/>
        <v>1.3826926445437391</v>
      </c>
      <c r="J37" s="28">
        <f t="shared" si="3"/>
        <v>0.45691764234275067</v>
      </c>
      <c r="K37" s="28">
        <f t="shared" si="3"/>
        <v>85.85326034235969</v>
      </c>
      <c r="L37" s="28">
        <f t="shared" si="3"/>
        <v>3.677170363752297</v>
      </c>
      <c r="M37" s="28">
        <f t="shared" si="3"/>
        <v>15.674254714963782</v>
      </c>
      <c r="N37" s="28">
        <f t="shared" si="3"/>
        <v>246.63008385205069</v>
      </c>
      <c r="O37" s="28">
        <f t="shared" si="3"/>
        <v>0</v>
      </c>
      <c r="P37" s="28">
        <f t="shared" si="3"/>
        <v>0.19220120797702087</v>
      </c>
      <c r="Q37" s="28">
        <f t="shared" si="3"/>
        <v>0.23459145801565959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564</v>
      </c>
      <c r="B9" s="53">
        <v>4.32</v>
      </c>
      <c r="C9" s="53">
        <v>3.18</v>
      </c>
      <c r="D9" s="53">
        <v>7.3</v>
      </c>
      <c r="E9" s="53">
        <v>3.75</v>
      </c>
      <c r="F9" s="53">
        <v>5.05</v>
      </c>
      <c r="G9" s="53">
        <v>96.8</v>
      </c>
      <c r="H9" s="53">
        <v>33.700000000000003</v>
      </c>
      <c r="I9" s="53">
        <v>1.86</v>
      </c>
      <c r="J9" s="53">
        <v>0.49</v>
      </c>
      <c r="K9" s="53">
        <v>340.34</v>
      </c>
      <c r="L9" s="53">
        <v>26.52</v>
      </c>
      <c r="M9" s="53">
        <v>101.78</v>
      </c>
      <c r="N9" s="53">
        <v>26.1</v>
      </c>
      <c r="O9" s="53">
        <v>0</v>
      </c>
      <c r="P9" s="53">
        <v>0.6</v>
      </c>
      <c r="Q9" s="53">
        <v>9.92</v>
      </c>
      <c r="R9" s="43"/>
      <c r="S9" s="43"/>
      <c r="T9" s="43"/>
      <c r="U9" s="43"/>
    </row>
    <row r="10" spans="1:21" s="11" customFormat="1" x14ac:dyDescent="0.25">
      <c r="A10" s="52" t="s">
        <v>565</v>
      </c>
      <c r="B10" s="53">
        <v>4.2300000000000004</v>
      </c>
      <c r="C10" s="53">
        <v>3.16</v>
      </c>
      <c r="D10" s="53">
        <v>7.23</v>
      </c>
      <c r="E10" s="53">
        <v>3.82</v>
      </c>
      <c r="F10" s="53">
        <v>4.97</v>
      </c>
      <c r="G10" s="53">
        <v>85.4</v>
      </c>
      <c r="H10" s="53">
        <v>48.09</v>
      </c>
      <c r="I10" s="53">
        <v>9.93</v>
      </c>
      <c r="J10" s="53">
        <v>3.15</v>
      </c>
      <c r="K10" s="53">
        <v>340.71</v>
      </c>
      <c r="L10" s="53">
        <v>26.23</v>
      </c>
      <c r="M10" s="53">
        <v>101.82</v>
      </c>
      <c r="N10" s="53">
        <v>28.6</v>
      </c>
      <c r="O10" s="53">
        <v>0</v>
      </c>
      <c r="P10" s="53">
        <v>0.62</v>
      </c>
      <c r="Q10" s="53">
        <v>9.82</v>
      </c>
      <c r="R10" s="43"/>
      <c r="S10" s="43"/>
      <c r="T10" s="43"/>
      <c r="U10" s="43"/>
    </row>
    <row r="11" spans="1:21" s="11" customFormat="1" x14ac:dyDescent="0.25">
      <c r="A11" s="52" t="s">
        <v>566</v>
      </c>
      <c r="B11" s="53">
        <v>4.28</v>
      </c>
      <c r="C11" s="53">
        <v>3.19</v>
      </c>
      <c r="D11" s="53">
        <v>7.28</v>
      </c>
      <c r="E11" s="53">
        <v>3.48</v>
      </c>
      <c r="F11" s="53">
        <v>4.34</v>
      </c>
      <c r="G11" s="53">
        <v>75.52</v>
      </c>
      <c r="H11" s="53">
        <v>42.99</v>
      </c>
      <c r="I11" s="53">
        <v>8.86</v>
      </c>
      <c r="J11" s="53">
        <v>0.57999999999999996</v>
      </c>
      <c r="K11" s="53">
        <v>340.16</v>
      </c>
      <c r="L11" s="53">
        <v>23.02</v>
      </c>
      <c r="M11" s="53">
        <v>101.82</v>
      </c>
      <c r="N11" s="53">
        <v>26.7</v>
      </c>
      <c r="O11" s="53">
        <v>0</v>
      </c>
      <c r="P11" s="53">
        <v>0.5</v>
      </c>
      <c r="Q11" s="53">
        <v>9.69</v>
      </c>
      <c r="R11" s="43"/>
      <c r="S11" s="43"/>
      <c r="T11" s="43"/>
      <c r="U11" s="43"/>
    </row>
    <row r="12" spans="1:21" s="11" customFormat="1" x14ac:dyDescent="0.25">
      <c r="A12" s="52" t="s">
        <v>567</v>
      </c>
      <c r="B12" s="53">
        <v>4.29</v>
      </c>
      <c r="C12" s="53">
        <v>3.16</v>
      </c>
      <c r="D12" s="53">
        <v>7.27</v>
      </c>
      <c r="E12" s="53">
        <v>5.46</v>
      </c>
      <c r="F12" s="53">
        <v>4.58</v>
      </c>
      <c r="G12" s="53">
        <v>52.28</v>
      </c>
      <c r="H12" s="53">
        <v>9.8699999999999992</v>
      </c>
      <c r="I12" s="53">
        <v>3.62</v>
      </c>
      <c r="J12" s="53">
        <v>0.36</v>
      </c>
      <c r="K12" s="53">
        <v>337.14</v>
      </c>
      <c r="L12" s="53">
        <v>23.25</v>
      </c>
      <c r="M12" s="53">
        <v>101.8</v>
      </c>
      <c r="N12" s="53">
        <v>26.3</v>
      </c>
      <c r="O12" s="53">
        <v>0</v>
      </c>
      <c r="P12" s="53">
        <v>0.33</v>
      </c>
      <c r="Q12" s="53">
        <v>9.68</v>
      </c>
      <c r="R12" s="43"/>
      <c r="S12" s="43"/>
      <c r="T12" s="43"/>
      <c r="U12" s="43"/>
    </row>
    <row r="13" spans="1:21" s="11" customFormat="1" x14ac:dyDescent="0.25">
      <c r="A13" s="52" t="s">
        <v>568</v>
      </c>
      <c r="B13" s="53">
        <v>4.2699999999999996</v>
      </c>
      <c r="C13" s="53">
        <v>3.16</v>
      </c>
      <c r="D13" s="53">
        <v>7.26</v>
      </c>
      <c r="E13" s="53">
        <v>5.67</v>
      </c>
      <c r="F13" s="53">
        <v>4.97</v>
      </c>
      <c r="G13" s="53">
        <v>40.11</v>
      </c>
      <c r="H13" s="53">
        <v>7.4</v>
      </c>
      <c r="I13" s="53">
        <v>8.0500000000000007</v>
      </c>
      <c r="J13" s="53">
        <v>0.41</v>
      </c>
      <c r="K13" s="53">
        <v>262.72000000000003</v>
      </c>
      <c r="L13" s="53">
        <v>23.07</v>
      </c>
      <c r="M13" s="53">
        <v>101.82</v>
      </c>
      <c r="N13" s="53">
        <v>26.2</v>
      </c>
      <c r="O13" s="53">
        <v>0</v>
      </c>
      <c r="P13" s="53">
        <v>0.42</v>
      </c>
      <c r="Q13" s="53">
        <v>9.65</v>
      </c>
      <c r="R13" s="43"/>
      <c r="S13" s="43"/>
      <c r="T13" s="43"/>
      <c r="U13" s="43"/>
    </row>
    <row r="14" spans="1:21" s="11" customFormat="1" x14ac:dyDescent="0.25">
      <c r="A14" s="52" t="s">
        <v>569</v>
      </c>
      <c r="B14" s="53">
        <v>4.24</v>
      </c>
      <c r="C14" s="53">
        <v>3.19</v>
      </c>
      <c r="D14" s="53">
        <v>7.26</v>
      </c>
      <c r="E14" s="53">
        <v>5.36</v>
      </c>
      <c r="F14" s="53">
        <v>4.93</v>
      </c>
      <c r="G14" s="53">
        <v>33.03</v>
      </c>
      <c r="H14" s="53">
        <v>8.7200000000000006</v>
      </c>
      <c r="I14" s="53">
        <v>6.99</v>
      </c>
      <c r="J14" s="53">
        <v>0.71</v>
      </c>
      <c r="K14" s="53">
        <v>331.08</v>
      </c>
      <c r="L14" s="53">
        <v>23.41</v>
      </c>
      <c r="M14" s="53">
        <v>101.81</v>
      </c>
      <c r="N14" s="53">
        <v>29.3</v>
      </c>
      <c r="O14" s="53">
        <v>0</v>
      </c>
      <c r="P14" s="53">
        <v>0.4</v>
      </c>
      <c r="Q14" s="53">
        <v>9.6</v>
      </c>
      <c r="R14" s="43"/>
      <c r="S14" s="43"/>
      <c r="T14" s="43"/>
      <c r="U14" s="43"/>
    </row>
    <row r="15" spans="1:21" s="11" customFormat="1" x14ac:dyDescent="0.25">
      <c r="A15" s="52" t="s">
        <v>570</v>
      </c>
      <c r="B15" s="53">
        <v>4.2699999999999996</v>
      </c>
      <c r="C15" s="53">
        <v>3.23</v>
      </c>
      <c r="D15" s="53">
        <v>7.3</v>
      </c>
      <c r="E15" s="53">
        <v>5.28</v>
      </c>
      <c r="F15" s="53">
        <v>4.24</v>
      </c>
      <c r="G15" s="53">
        <v>31.13</v>
      </c>
      <c r="H15" s="53">
        <v>8.32</v>
      </c>
      <c r="I15" s="53">
        <v>7.84</v>
      </c>
      <c r="J15" s="53">
        <v>1.1299999999999999</v>
      </c>
      <c r="K15" s="53">
        <v>332.61</v>
      </c>
      <c r="L15" s="53">
        <v>25.12</v>
      </c>
      <c r="M15" s="53">
        <v>101.83</v>
      </c>
      <c r="N15" s="53">
        <v>130.69999999999999</v>
      </c>
      <c r="O15" s="53">
        <v>0</v>
      </c>
      <c r="P15" s="53">
        <v>0.45</v>
      </c>
      <c r="Q15" s="53">
        <v>9.66</v>
      </c>
      <c r="R15" s="43"/>
      <c r="S15" s="43"/>
      <c r="T15" s="43"/>
      <c r="U15" s="43"/>
    </row>
    <row r="16" spans="1:21" s="11" customFormat="1" x14ac:dyDescent="0.25">
      <c r="A16" s="52" t="s">
        <v>571</v>
      </c>
      <c r="B16" s="53">
        <v>4.3099999999999996</v>
      </c>
      <c r="C16" s="53">
        <v>3.27</v>
      </c>
      <c r="D16" s="53">
        <v>7.36</v>
      </c>
      <c r="E16" s="53">
        <v>5.29</v>
      </c>
      <c r="F16" s="53">
        <v>3.57</v>
      </c>
      <c r="G16" s="53">
        <v>36.11</v>
      </c>
      <c r="H16" s="53">
        <v>5.18</v>
      </c>
      <c r="I16" s="53">
        <v>5.25</v>
      </c>
      <c r="J16" s="53">
        <v>1.31</v>
      </c>
      <c r="K16" s="53">
        <v>341.01</v>
      </c>
      <c r="L16" s="53">
        <v>30.2</v>
      </c>
      <c r="M16" s="53">
        <v>90.65</v>
      </c>
      <c r="N16" s="53">
        <v>320.60000000000002</v>
      </c>
      <c r="O16" s="53">
        <v>0</v>
      </c>
      <c r="P16" s="53">
        <v>0.43</v>
      </c>
      <c r="Q16" s="53">
        <v>9.75</v>
      </c>
      <c r="R16" s="43"/>
      <c r="S16" s="43"/>
      <c r="T16" s="43"/>
      <c r="U16" s="43"/>
    </row>
    <row r="17" spans="1:21" s="11" customFormat="1" x14ac:dyDescent="0.25">
      <c r="A17" s="52" t="s">
        <v>572</v>
      </c>
      <c r="B17" s="53">
        <v>4.3099999999999996</v>
      </c>
      <c r="C17" s="53">
        <v>3.21</v>
      </c>
      <c r="D17" s="53">
        <v>7.32</v>
      </c>
      <c r="E17" s="53">
        <v>4.33</v>
      </c>
      <c r="F17" s="53">
        <v>4.32</v>
      </c>
      <c r="G17" s="53">
        <v>40.11</v>
      </c>
      <c r="H17" s="53">
        <v>18.37</v>
      </c>
      <c r="I17" s="53">
        <v>6.02</v>
      </c>
      <c r="J17" s="53">
        <v>1.31</v>
      </c>
      <c r="K17" s="53">
        <v>337.02</v>
      </c>
      <c r="L17" s="53">
        <v>32.56</v>
      </c>
      <c r="M17" s="53">
        <v>67.459999999999994</v>
      </c>
      <c r="N17" s="53">
        <v>392.2</v>
      </c>
      <c r="O17" s="53">
        <v>0</v>
      </c>
      <c r="P17" s="53">
        <v>0.56000000000000005</v>
      </c>
      <c r="Q17" s="53">
        <v>9.77</v>
      </c>
      <c r="R17" s="43"/>
      <c r="S17" s="43"/>
      <c r="T17" s="43"/>
      <c r="U17" s="43"/>
    </row>
    <row r="18" spans="1:21" s="11" customFormat="1" x14ac:dyDescent="0.25">
      <c r="A18" s="52" t="s">
        <v>573</v>
      </c>
      <c r="B18" s="53">
        <v>4.2699999999999996</v>
      </c>
      <c r="C18" s="53">
        <v>3.24</v>
      </c>
      <c r="D18" s="53">
        <v>7.3</v>
      </c>
      <c r="E18" s="53">
        <v>4.13</v>
      </c>
      <c r="F18" s="53">
        <v>4.0599999999999996</v>
      </c>
      <c r="G18" s="53">
        <v>67.81</v>
      </c>
      <c r="H18" s="53">
        <v>30.18</v>
      </c>
      <c r="I18" s="53">
        <v>6.02</v>
      </c>
      <c r="J18" s="53">
        <v>1.53</v>
      </c>
      <c r="K18" s="53">
        <v>341.42</v>
      </c>
      <c r="L18" s="53">
        <v>34.119999999999997</v>
      </c>
      <c r="M18" s="53">
        <v>67.3</v>
      </c>
      <c r="N18" s="53">
        <v>577.4</v>
      </c>
      <c r="O18" s="53">
        <v>0</v>
      </c>
      <c r="P18" s="53">
        <v>0.67</v>
      </c>
      <c r="Q18" s="53">
        <v>9.92</v>
      </c>
      <c r="R18" s="43"/>
      <c r="S18" s="43"/>
      <c r="T18" s="43"/>
      <c r="U18" s="43"/>
    </row>
    <row r="19" spans="1:21" s="11" customFormat="1" x14ac:dyDescent="0.25">
      <c r="A19" s="52" t="s">
        <v>574</v>
      </c>
      <c r="B19" s="53">
        <v>4.29</v>
      </c>
      <c r="C19" s="53">
        <v>3.27</v>
      </c>
      <c r="D19" s="53">
        <v>7.34</v>
      </c>
      <c r="E19" s="53">
        <v>4.0199999999999996</v>
      </c>
      <c r="F19" s="53">
        <v>4.34</v>
      </c>
      <c r="G19" s="53">
        <v>80.39</v>
      </c>
      <c r="H19" s="53">
        <v>41.91</v>
      </c>
      <c r="I19" s="53">
        <v>6.13</v>
      </c>
      <c r="J19" s="53">
        <v>1.55</v>
      </c>
      <c r="K19" s="53">
        <v>336.69</v>
      </c>
      <c r="L19" s="53">
        <v>33.18</v>
      </c>
      <c r="M19" s="53">
        <v>73.89</v>
      </c>
      <c r="N19" s="53">
        <v>758.4</v>
      </c>
      <c r="O19" s="53">
        <v>0</v>
      </c>
      <c r="P19" s="53">
        <v>0.64</v>
      </c>
      <c r="Q19" s="53">
        <v>9.9700000000000006</v>
      </c>
      <c r="R19" s="43"/>
      <c r="S19" s="43"/>
      <c r="T19" s="43"/>
      <c r="U19" s="43"/>
    </row>
    <row r="20" spans="1:21" s="11" customFormat="1" x14ac:dyDescent="0.25">
      <c r="A20" s="52" t="s">
        <v>575</v>
      </c>
      <c r="B20" s="53">
        <v>4.3</v>
      </c>
      <c r="C20" s="53">
        <v>3.27</v>
      </c>
      <c r="D20" s="53">
        <v>7.34</v>
      </c>
      <c r="E20" s="53">
        <v>4</v>
      </c>
      <c r="F20" s="53">
        <v>4.28</v>
      </c>
      <c r="G20" s="53">
        <v>78.3</v>
      </c>
      <c r="H20" s="53">
        <v>38.270000000000003</v>
      </c>
      <c r="I20" s="53">
        <v>5.1100000000000003</v>
      </c>
      <c r="J20" s="53">
        <v>1.25</v>
      </c>
      <c r="K20" s="53">
        <v>347.8</v>
      </c>
      <c r="L20" s="53">
        <v>34.6</v>
      </c>
      <c r="M20" s="53">
        <v>64.16</v>
      </c>
      <c r="N20" s="53">
        <v>810.2</v>
      </c>
      <c r="O20" s="53">
        <v>0</v>
      </c>
      <c r="P20" s="53">
        <v>0.6</v>
      </c>
      <c r="Q20" s="53">
        <v>9.8699999999999992</v>
      </c>
      <c r="R20" s="43"/>
      <c r="S20" s="43"/>
      <c r="T20" s="43"/>
      <c r="U20" s="43"/>
    </row>
    <row r="21" spans="1:21" s="11" customFormat="1" x14ac:dyDescent="0.25">
      <c r="A21" s="52" t="s">
        <v>576</v>
      </c>
      <c r="B21" s="53">
        <v>4.29</v>
      </c>
      <c r="C21" s="53">
        <v>3.22</v>
      </c>
      <c r="D21" s="53">
        <v>7.31</v>
      </c>
      <c r="E21" s="53">
        <v>3.84</v>
      </c>
      <c r="F21" s="53">
        <v>4.71</v>
      </c>
      <c r="G21" s="53">
        <v>64.95</v>
      </c>
      <c r="H21" s="53">
        <v>18.63</v>
      </c>
      <c r="I21" s="53">
        <v>5.03</v>
      </c>
      <c r="J21" s="53">
        <v>2.08</v>
      </c>
      <c r="K21" s="53">
        <v>356.3</v>
      </c>
      <c r="L21" s="53">
        <v>33.51</v>
      </c>
      <c r="M21" s="53">
        <v>65.459999999999994</v>
      </c>
      <c r="N21" s="53">
        <v>754.6</v>
      </c>
      <c r="O21" s="53">
        <v>0</v>
      </c>
      <c r="P21" s="53">
        <v>0.61</v>
      </c>
      <c r="Q21" s="53">
        <v>9.8000000000000007</v>
      </c>
      <c r="R21" s="43"/>
      <c r="S21" s="43"/>
      <c r="T21" s="43"/>
      <c r="U21" s="43"/>
    </row>
    <row r="22" spans="1:21" s="11" customFormat="1" x14ac:dyDescent="0.25">
      <c r="A22" s="52" t="s">
        <v>577</v>
      </c>
      <c r="B22" s="53">
        <v>4.26</v>
      </c>
      <c r="C22" s="53">
        <v>3.25</v>
      </c>
      <c r="D22" s="53">
        <v>7.31</v>
      </c>
      <c r="E22" s="53">
        <v>4.53</v>
      </c>
      <c r="F22" s="53">
        <v>5.12</v>
      </c>
      <c r="G22" s="53">
        <v>64.17</v>
      </c>
      <c r="H22" s="53">
        <v>18.63</v>
      </c>
      <c r="I22" s="53">
        <v>5.69</v>
      </c>
      <c r="J22" s="53">
        <v>1.24</v>
      </c>
      <c r="K22" s="53">
        <v>336.45</v>
      </c>
      <c r="L22" s="53">
        <v>33.47</v>
      </c>
      <c r="M22" s="53">
        <v>69.3</v>
      </c>
      <c r="N22" s="53">
        <v>592.9</v>
      </c>
      <c r="O22" s="53">
        <v>0</v>
      </c>
      <c r="P22" s="53">
        <v>0.61</v>
      </c>
      <c r="Q22" s="53">
        <v>9.77</v>
      </c>
      <c r="R22" s="43"/>
      <c r="S22" s="43"/>
      <c r="T22" s="43"/>
      <c r="U22" s="43"/>
    </row>
    <row r="23" spans="1:21" s="11" customFormat="1" x14ac:dyDescent="0.25">
      <c r="A23" s="52" t="s">
        <v>578</v>
      </c>
      <c r="B23" s="53">
        <v>4.2699999999999996</v>
      </c>
      <c r="C23" s="53">
        <v>3.32</v>
      </c>
      <c r="D23" s="53">
        <v>7.35</v>
      </c>
      <c r="E23" s="53">
        <v>3.41</v>
      </c>
      <c r="F23" s="53">
        <v>5.04</v>
      </c>
      <c r="G23" s="53">
        <v>61.3</v>
      </c>
      <c r="H23" s="53">
        <v>18.63</v>
      </c>
      <c r="I23" s="53">
        <v>4.42</v>
      </c>
      <c r="J23" s="53">
        <v>1.92</v>
      </c>
      <c r="K23" s="53">
        <v>342.46</v>
      </c>
      <c r="L23" s="53">
        <v>33.17</v>
      </c>
      <c r="M23" s="53">
        <v>66.62</v>
      </c>
      <c r="N23" s="53">
        <v>284.5</v>
      </c>
      <c r="O23" s="53">
        <v>0</v>
      </c>
      <c r="P23" s="53">
        <v>0.61</v>
      </c>
      <c r="Q23" s="53">
        <v>9.7200000000000006</v>
      </c>
      <c r="R23" s="43"/>
      <c r="S23" s="43"/>
      <c r="T23" s="43"/>
      <c r="U23" s="43"/>
    </row>
    <row r="24" spans="1:21" s="11" customFormat="1" x14ac:dyDescent="0.25">
      <c r="A24" s="52" t="s">
        <v>579</v>
      </c>
      <c r="B24" s="53">
        <v>4.3099999999999996</v>
      </c>
      <c r="C24" s="53">
        <v>3.31</v>
      </c>
      <c r="D24" s="53">
        <v>7.38</v>
      </c>
      <c r="E24" s="53">
        <v>4.46</v>
      </c>
      <c r="F24" s="53">
        <v>5.47</v>
      </c>
      <c r="G24" s="53">
        <v>61.39</v>
      </c>
      <c r="H24" s="53">
        <v>20.02</v>
      </c>
      <c r="I24" s="53">
        <v>4.2</v>
      </c>
      <c r="J24" s="53">
        <v>1.46</v>
      </c>
      <c r="K24" s="53">
        <v>343.8</v>
      </c>
      <c r="L24" s="53">
        <v>32.020000000000003</v>
      </c>
      <c r="M24" s="53">
        <v>73.83</v>
      </c>
      <c r="N24" s="53">
        <v>195.6</v>
      </c>
      <c r="O24" s="53">
        <v>0</v>
      </c>
      <c r="P24" s="53">
        <v>0.67</v>
      </c>
      <c r="Q24" s="53">
        <v>9.65</v>
      </c>
      <c r="R24" s="43"/>
      <c r="S24" s="43"/>
      <c r="T24" s="43"/>
      <c r="U24" s="43"/>
    </row>
    <row r="25" spans="1:21" s="11" customFormat="1" x14ac:dyDescent="0.25">
      <c r="A25" s="52" t="s">
        <v>580</v>
      </c>
      <c r="B25" s="53">
        <v>4.28</v>
      </c>
      <c r="C25" s="53">
        <v>3.22</v>
      </c>
      <c r="D25" s="53">
        <v>7.31</v>
      </c>
      <c r="E25" s="53">
        <v>4.9800000000000004</v>
      </c>
      <c r="F25" s="53">
        <v>5.08</v>
      </c>
      <c r="G25" s="53">
        <v>64.72</v>
      </c>
      <c r="H25" s="53">
        <v>18.53</v>
      </c>
      <c r="I25" s="53">
        <v>4.68</v>
      </c>
      <c r="J25" s="53">
        <v>1.97</v>
      </c>
      <c r="K25" s="53">
        <v>119.8</v>
      </c>
      <c r="L25" s="53">
        <v>29.15</v>
      </c>
      <c r="M25" s="53">
        <v>92.83</v>
      </c>
      <c r="N25" s="53">
        <v>91.5</v>
      </c>
      <c r="O25" s="53">
        <v>0.6</v>
      </c>
      <c r="P25" s="53">
        <v>0.62</v>
      </c>
      <c r="Q25" s="53">
        <v>9.67</v>
      </c>
      <c r="R25" s="43"/>
      <c r="S25" s="43"/>
      <c r="T25" s="43"/>
      <c r="U25" s="43"/>
    </row>
    <row r="26" spans="1:21" s="11" customFormat="1" x14ac:dyDescent="0.25">
      <c r="A26" s="52" t="s">
        <v>581</v>
      </c>
      <c r="B26" s="53">
        <v>4.22</v>
      </c>
      <c r="C26" s="53">
        <v>3.15</v>
      </c>
      <c r="D26" s="53">
        <v>7.22</v>
      </c>
      <c r="E26" s="53">
        <v>4.75</v>
      </c>
      <c r="F26" s="53">
        <v>5.23</v>
      </c>
      <c r="G26" s="53">
        <v>62.53</v>
      </c>
      <c r="H26" s="53">
        <v>7.84</v>
      </c>
      <c r="I26" s="53">
        <v>5.19</v>
      </c>
      <c r="J26" s="53">
        <v>2.15</v>
      </c>
      <c r="K26" s="53">
        <v>155.75</v>
      </c>
      <c r="L26" s="53">
        <v>26.6</v>
      </c>
      <c r="M26" s="53">
        <v>93.84</v>
      </c>
      <c r="N26" s="53">
        <v>45.8</v>
      </c>
      <c r="O26" s="53">
        <v>0</v>
      </c>
      <c r="P26" s="53">
        <v>0.52</v>
      </c>
      <c r="Q26" s="53">
        <v>9.65</v>
      </c>
      <c r="R26" s="43"/>
      <c r="S26" s="43"/>
      <c r="T26" s="43"/>
      <c r="U26" s="43"/>
    </row>
    <row r="27" spans="1:21" s="11" customFormat="1" x14ac:dyDescent="0.25">
      <c r="A27" s="52" t="s">
        <v>582</v>
      </c>
      <c r="B27" s="53">
        <v>4.22</v>
      </c>
      <c r="C27" s="53">
        <v>3.16</v>
      </c>
      <c r="D27" s="53">
        <v>7.22</v>
      </c>
      <c r="E27" s="53">
        <v>4.74</v>
      </c>
      <c r="F27" s="53">
        <v>4.87</v>
      </c>
      <c r="G27" s="53">
        <v>44.19</v>
      </c>
      <c r="H27" s="53">
        <v>0.54</v>
      </c>
      <c r="I27" s="53">
        <v>5.34</v>
      </c>
      <c r="J27" s="53">
        <v>1.26</v>
      </c>
      <c r="K27" s="53">
        <v>157.97</v>
      </c>
      <c r="L27" s="53">
        <v>24.78</v>
      </c>
      <c r="M27" s="53">
        <v>101.26</v>
      </c>
      <c r="N27" s="53">
        <v>26.5</v>
      </c>
      <c r="O27" s="53">
        <v>0</v>
      </c>
      <c r="P27" s="53">
        <v>0.45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583</v>
      </c>
      <c r="B28" s="53">
        <v>4.28</v>
      </c>
      <c r="C28" s="53">
        <v>3.2</v>
      </c>
      <c r="D28" s="53">
        <v>7.3</v>
      </c>
      <c r="E28" s="53">
        <v>4.9400000000000004</v>
      </c>
      <c r="F28" s="53">
        <v>4.91</v>
      </c>
      <c r="G28" s="53">
        <v>37.619999999999997</v>
      </c>
      <c r="H28" s="53">
        <v>9.73</v>
      </c>
      <c r="I28" s="53">
        <v>4.3600000000000003</v>
      </c>
      <c r="J28" s="53">
        <v>0.76</v>
      </c>
      <c r="K28" s="53">
        <v>168.42</v>
      </c>
      <c r="L28" s="53">
        <v>24.94</v>
      </c>
      <c r="M28" s="53">
        <v>101.05</v>
      </c>
      <c r="N28" s="53">
        <v>26.1</v>
      </c>
      <c r="O28" s="53">
        <v>0</v>
      </c>
      <c r="P28" s="53">
        <v>0.49</v>
      </c>
      <c r="Q28" s="53">
        <v>9.65</v>
      </c>
      <c r="R28" s="43"/>
      <c r="S28" s="43"/>
      <c r="T28" s="43"/>
      <c r="U28" s="43"/>
    </row>
    <row r="29" spans="1:21" s="11" customFormat="1" x14ac:dyDescent="0.25">
      <c r="A29" s="52" t="s">
        <v>584</v>
      </c>
      <c r="B29" s="53">
        <v>4.29</v>
      </c>
      <c r="C29" s="53">
        <v>3.21</v>
      </c>
      <c r="D29" s="53">
        <v>7.3</v>
      </c>
      <c r="E29" s="53">
        <v>4.41</v>
      </c>
      <c r="F29" s="53">
        <v>4.16</v>
      </c>
      <c r="G29" s="53">
        <v>35.93</v>
      </c>
      <c r="H29" s="53">
        <v>35.03</v>
      </c>
      <c r="I29" s="53">
        <v>2.2400000000000002</v>
      </c>
      <c r="J29" s="53">
        <v>0.45</v>
      </c>
      <c r="K29" s="53">
        <v>262.83999999999997</v>
      </c>
      <c r="L29" s="53">
        <v>24.74</v>
      </c>
      <c r="M29" s="53">
        <v>101.8</v>
      </c>
      <c r="N29" s="53">
        <v>26.5</v>
      </c>
      <c r="O29" s="53">
        <v>0</v>
      </c>
      <c r="P29" s="53">
        <v>0.46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585</v>
      </c>
      <c r="B30" s="53">
        <v>4.22</v>
      </c>
      <c r="C30" s="53">
        <v>3.14</v>
      </c>
      <c r="D30" s="53">
        <v>7.22</v>
      </c>
      <c r="E30" s="53">
        <v>4.0599999999999996</v>
      </c>
      <c r="F30" s="53">
        <v>4.6900000000000004</v>
      </c>
      <c r="G30" s="53">
        <v>31.42</v>
      </c>
      <c r="H30" s="53">
        <v>4.25</v>
      </c>
      <c r="I30" s="53">
        <v>3.44</v>
      </c>
      <c r="J30" s="53">
        <v>0.54</v>
      </c>
      <c r="K30" s="53">
        <v>300.25</v>
      </c>
      <c r="L30" s="53">
        <v>24.22</v>
      </c>
      <c r="M30" s="53">
        <v>101.8</v>
      </c>
      <c r="N30" s="53">
        <v>26.1</v>
      </c>
      <c r="O30" s="53">
        <v>0</v>
      </c>
      <c r="P30" s="53">
        <v>0.44</v>
      </c>
      <c r="Q30" s="53">
        <v>9.64</v>
      </c>
      <c r="R30" s="43"/>
      <c r="S30" s="43"/>
      <c r="T30" s="43"/>
      <c r="U30" s="43"/>
    </row>
    <row r="31" spans="1:21" s="11" customFormat="1" x14ac:dyDescent="0.25">
      <c r="A31" s="52" t="s">
        <v>586</v>
      </c>
      <c r="B31" s="53">
        <v>4.25</v>
      </c>
      <c r="C31" s="53">
        <v>3.19</v>
      </c>
      <c r="D31" s="53">
        <v>7.26</v>
      </c>
      <c r="E31" s="53">
        <v>4.63</v>
      </c>
      <c r="F31" s="53">
        <v>3.93</v>
      </c>
      <c r="G31" s="53">
        <v>27.49</v>
      </c>
      <c r="H31" s="53">
        <v>4.25</v>
      </c>
      <c r="I31" s="53">
        <v>3.05</v>
      </c>
      <c r="J31" s="53">
        <v>0.35</v>
      </c>
      <c r="K31" s="53">
        <v>329.32</v>
      </c>
      <c r="L31" s="53">
        <v>23.97</v>
      </c>
      <c r="M31" s="53">
        <v>101.83</v>
      </c>
      <c r="N31" s="53">
        <v>26.1</v>
      </c>
      <c r="O31" s="53">
        <v>0</v>
      </c>
      <c r="P31" s="53">
        <v>0.42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587</v>
      </c>
      <c r="B32" s="53">
        <v>4.29</v>
      </c>
      <c r="C32" s="53">
        <v>3.15</v>
      </c>
      <c r="D32" s="53">
        <v>7.27</v>
      </c>
      <c r="E32" s="53">
        <v>4.4400000000000004</v>
      </c>
      <c r="F32" s="53">
        <v>4.22</v>
      </c>
      <c r="G32" s="53">
        <v>25.51</v>
      </c>
      <c r="H32" s="53">
        <v>4.25</v>
      </c>
      <c r="I32" s="53">
        <v>2.91</v>
      </c>
      <c r="J32" s="53">
        <v>0.38</v>
      </c>
      <c r="K32" s="53">
        <v>341.69</v>
      </c>
      <c r="L32" s="53">
        <v>23.84</v>
      </c>
      <c r="M32" s="53">
        <v>101.83</v>
      </c>
      <c r="N32" s="53">
        <v>26.1</v>
      </c>
      <c r="O32" s="53">
        <v>0</v>
      </c>
      <c r="P32" s="53">
        <v>0.39</v>
      </c>
      <c r="Q32" s="53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4.22</v>
      </c>
      <c r="C34" s="28">
        <f t="shared" si="0"/>
        <v>3.14</v>
      </c>
      <c r="D34" s="28">
        <f t="shared" si="0"/>
        <v>7.22</v>
      </c>
      <c r="E34" s="28">
        <f t="shared" si="0"/>
        <v>3.41</v>
      </c>
      <c r="F34" s="28">
        <f t="shared" si="0"/>
        <v>3.57</v>
      </c>
      <c r="G34" s="28">
        <f t="shared" si="0"/>
        <v>25.51</v>
      </c>
      <c r="H34" s="28">
        <f t="shared" si="0"/>
        <v>0.54</v>
      </c>
      <c r="I34" s="28">
        <f t="shared" si="0"/>
        <v>1.86</v>
      </c>
      <c r="J34" s="28">
        <f t="shared" si="0"/>
        <v>0.35</v>
      </c>
      <c r="K34" s="28">
        <f t="shared" si="0"/>
        <v>119.8</v>
      </c>
      <c r="L34" s="28">
        <f t="shared" si="0"/>
        <v>23.02</v>
      </c>
      <c r="M34" s="28">
        <f t="shared" si="0"/>
        <v>64.16</v>
      </c>
      <c r="N34" s="28">
        <f t="shared" si="0"/>
        <v>26.1</v>
      </c>
      <c r="O34" s="28">
        <f t="shared" si="0"/>
        <v>0</v>
      </c>
      <c r="P34" s="28">
        <f t="shared" si="0"/>
        <v>0.33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4.32</v>
      </c>
      <c r="C35" s="29">
        <f t="shared" si="1"/>
        <v>3.32</v>
      </c>
      <c r="D35" s="29">
        <f t="shared" si="1"/>
        <v>7.38</v>
      </c>
      <c r="E35" s="29">
        <f t="shared" si="1"/>
        <v>5.67</v>
      </c>
      <c r="F35" s="29">
        <f t="shared" si="1"/>
        <v>5.47</v>
      </c>
      <c r="G35" s="29">
        <f t="shared" si="1"/>
        <v>96.8</v>
      </c>
      <c r="H35" s="29">
        <f t="shared" si="1"/>
        <v>48.09</v>
      </c>
      <c r="I35" s="29">
        <f t="shared" si="1"/>
        <v>9.93</v>
      </c>
      <c r="J35" s="29">
        <f t="shared" si="1"/>
        <v>3.15</v>
      </c>
      <c r="K35" s="29">
        <f t="shared" si="1"/>
        <v>356.3</v>
      </c>
      <c r="L35" s="29">
        <f t="shared" si="1"/>
        <v>34.6</v>
      </c>
      <c r="M35" s="29">
        <f t="shared" si="1"/>
        <v>101.83</v>
      </c>
      <c r="N35" s="29">
        <f t="shared" si="1"/>
        <v>810.2</v>
      </c>
      <c r="O35" s="29">
        <f t="shared" si="1"/>
        <v>0.6</v>
      </c>
      <c r="P35" s="29">
        <f t="shared" si="1"/>
        <v>0.67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4.2733333333333343</v>
      </c>
      <c r="C36" s="28">
        <f t="shared" si="2"/>
        <v>3.2104166666666671</v>
      </c>
      <c r="D36" s="28">
        <f t="shared" si="2"/>
        <v>7.2920833333333341</v>
      </c>
      <c r="E36" s="28">
        <f t="shared" si="2"/>
        <v>4.4908333333333328</v>
      </c>
      <c r="F36" s="28">
        <f t="shared" si="2"/>
        <v>4.6283333333333339</v>
      </c>
      <c r="G36" s="28">
        <f t="shared" si="2"/>
        <v>54.092083333333328</v>
      </c>
      <c r="H36" s="28">
        <f t="shared" si="2"/>
        <v>18.888749999999998</v>
      </c>
      <c r="I36" s="28">
        <f t="shared" si="2"/>
        <v>5.2595833333333326</v>
      </c>
      <c r="J36" s="28">
        <f t="shared" si="2"/>
        <v>1.1808333333333334</v>
      </c>
      <c r="K36" s="28">
        <f t="shared" si="2"/>
        <v>300.15625</v>
      </c>
      <c r="L36" s="28">
        <f t="shared" si="2"/>
        <v>27.903750000000002</v>
      </c>
      <c r="M36" s="28">
        <f t="shared" si="2"/>
        <v>89.482916666666654</v>
      </c>
      <c r="N36" s="28">
        <f t="shared" si="2"/>
        <v>219.79166666666674</v>
      </c>
      <c r="O36" s="28">
        <f t="shared" si="2"/>
        <v>2.4999999999999998E-2</v>
      </c>
      <c r="P36" s="28">
        <f t="shared" si="2"/>
        <v>0.52124999999999999</v>
      </c>
      <c r="Q36" s="28">
        <f t="shared" si="2"/>
        <v>9.7258333333333322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3.0024144873123673E-2</v>
      </c>
      <c r="C37" s="28">
        <f t="shared" ref="C37:Q37" si="3">STDEV(C9:C32)</f>
        <v>5.1201152047727315E-2</v>
      </c>
      <c r="D37" s="28">
        <f t="shared" si="3"/>
        <v>4.4719334080235498E-2</v>
      </c>
      <c r="E37" s="28">
        <f t="shared" si="3"/>
        <v>0.63808760926807762</v>
      </c>
      <c r="F37" s="28">
        <f t="shared" si="3"/>
        <v>0.47497063219663949</v>
      </c>
      <c r="G37" s="28">
        <f t="shared" si="3"/>
        <v>20.498454232107324</v>
      </c>
      <c r="H37" s="28">
        <f t="shared" si="3"/>
        <v>14.371396807396707</v>
      </c>
      <c r="I37" s="28">
        <f t="shared" si="3"/>
        <v>2.0264629265677745</v>
      </c>
      <c r="J37" s="28">
        <f t="shared" si="3"/>
        <v>0.72118812999146031</v>
      </c>
      <c r="K37" s="28">
        <f t="shared" si="3"/>
        <v>72.549377297090899</v>
      </c>
      <c r="L37" s="28">
        <f t="shared" si="3"/>
        <v>4.2948855453697403</v>
      </c>
      <c r="M37" s="28">
        <f t="shared" si="3"/>
        <v>15.589813697513867</v>
      </c>
      <c r="N37" s="28">
        <f t="shared" si="3"/>
        <v>274.92853603716037</v>
      </c>
      <c r="O37" s="28">
        <f t="shared" si="3"/>
        <v>0.1224744871391589</v>
      </c>
      <c r="P37" s="28">
        <f t="shared" si="3"/>
        <v>0.10100850157934399</v>
      </c>
      <c r="Q37" s="28">
        <f t="shared" si="3"/>
        <v>0.10635938529617259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588</v>
      </c>
      <c r="B9" s="53">
        <v>4.29</v>
      </c>
      <c r="C9" s="53">
        <v>3.15</v>
      </c>
      <c r="D9" s="53">
        <v>7.27</v>
      </c>
      <c r="E9" s="53">
        <v>4.2</v>
      </c>
      <c r="F9" s="53">
        <v>4.3</v>
      </c>
      <c r="G9" s="53">
        <v>24.39</v>
      </c>
      <c r="H9" s="53">
        <v>12.52</v>
      </c>
      <c r="I9" s="53">
        <v>1.54</v>
      </c>
      <c r="J9" s="53">
        <v>0.77</v>
      </c>
      <c r="K9" s="53">
        <v>342.61</v>
      </c>
      <c r="L9" s="53">
        <v>23.78</v>
      </c>
      <c r="M9" s="53">
        <v>101.82</v>
      </c>
      <c r="N9" s="53">
        <v>26</v>
      </c>
      <c r="O9" s="53">
        <v>0</v>
      </c>
      <c r="P9" s="53">
        <v>0.39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589</v>
      </c>
      <c r="B10" s="53">
        <v>4.28</v>
      </c>
      <c r="C10" s="53">
        <v>3.17</v>
      </c>
      <c r="D10" s="53">
        <v>7.26</v>
      </c>
      <c r="E10" s="53">
        <v>4.22</v>
      </c>
      <c r="F10" s="53">
        <v>4.68</v>
      </c>
      <c r="G10" s="53">
        <v>22.86</v>
      </c>
      <c r="H10" s="53">
        <v>22.48</v>
      </c>
      <c r="I10" s="53">
        <v>3.15</v>
      </c>
      <c r="J10" s="53">
        <v>0.62</v>
      </c>
      <c r="K10" s="53">
        <v>339.22</v>
      </c>
      <c r="L10" s="53">
        <v>23.75</v>
      </c>
      <c r="M10" s="53">
        <v>101.83</v>
      </c>
      <c r="N10" s="53">
        <v>26.1</v>
      </c>
      <c r="O10" s="53">
        <v>0</v>
      </c>
      <c r="P10" s="53">
        <v>0.39</v>
      </c>
      <c r="Q10" s="53">
        <v>9.64</v>
      </c>
      <c r="R10" s="43"/>
      <c r="S10" s="43"/>
      <c r="T10" s="43"/>
      <c r="U10" s="43"/>
    </row>
    <row r="11" spans="1:21" s="11" customFormat="1" x14ac:dyDescent="0.25">
      <c r="A11" s="52" t="s">
        <v>590</v>
      </c>
      <c r="B11" s="53">
        <v>4.24</v>
      </c>
      <c r="C11" s="53">
        <v>3.22</v>
      </c>
      <c r="D11" s="53">
        <v>7.26</v>
      </c>
      <c r="E11" s="53">
        <v>4.1900000000000004</v>
      </c>
      <c r="F11" s="53">
        <v>4.54</v>
      </c>
      <c r="G11" s="53">
        <v>22.99</v>
      </c>
      <c r="H11" s="53">
        <v>36.590000000000003</v>
      </c>
      <c r="I11" s="53">
        <v>2.91</v>
      </c>
      <c r="J11" s="53">
        <v>1.08</v>
      </c>
      <c r="K11" s="53">
        <v>339.14</v>
      </c>
      <c r="L11" s="53">
        <v>24.02</v>
      </c>
      <c r="M11" s="53">
        <v>101.82</v>
      </c>
      <c r="N11" s="53">
        <v>26.1</v>
      </c>
      <c r="O11" s="53">
        <v>0</v>
      </c>
      <c r="P11" s="53">
        <v>0.46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591</v>
      </c>
      <c r="B12" s="53">
        <v>4.2699999999999996</v>
      </c>
      <c r="C12" s="53">
        <v>3.22</v>
      </c>
      <c r="D12" s="53">
        <v>7.3</v>
      </c>
      <c r="E12" s="53">
        <v>4.7699999999999996</v>
      </c>
      <c r="F12" s="53">
        <v>3.99</v>
      </c>
      <c r="G12" s="53">
        <v>44.23</v>
      </c>
      <c r="H12" s="53">
        <v>34.57</v>
      </c>
      <c r="I12" s="53">
        <v>3.22</v>
      </c>
      <c r="J12" s="53">
        <v>1.1200000000000001</v>
      </c>
      <c r="K12" s="53">
        <v>337.37</v>
      </c>
      <c r="L12" s="53">
        <v>24.3</v>
      </c>
      <c r="M12" s="53">
        <v>101.83</v>
      </c>
      <c r="N12" s="53">
        <v>26.2</v>
      </c>
      <c r="O12" s="53">
        <v>0</v>
      </c>
      <c r="P12" s="53">
        <v>0.56000000000000005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592</v>
      </c>
      <c r="B13" s="53">
        <v>4.29</v>
      </c>
      <c r="C13" s="53">
        <v>3.25</v>
      </c>
      <c r="D13" s="53">
        <v>7.33</v>
      </c>
      <c r="E13" s="53">
        <v>4.3600000000000003</v>
      </c>
      <c r="F13" s="53">
        <v>3.92</v>
      </c>
      <c r="G13" s="53">
        <v>53.77</v>
      </c>
      <c r="H13" s="53">
        <v>43.16</v>
      </c>
      <c r="I13" s="53">
        <v>2.59</v>
      </c>
      <c r="J13" s="53">
        <v>1.23</v>
      </c>
      <c r="K13" s="53">
        <v>340.07</v>
      </c>
      <c r="L13" s="53">
        <v>24.41</v>
      </c>
      <c r="M13" s="53">
        <v>101.82</v>
      </c>
      <c r="N13" s="53">
        <v>26.1</v>
      </c>
      <c r="O13" s="53">
        <v>0</v>
      </c>
      <c r="P13" s="53">
        <v>0.56000000000000005</v>
      </c>
      <c r="Q13" s="53">
        <v>9.68</v>
      </c>
      <c r="R13" s="43"/>
      <c r="S13" s="43"/>
      <c r="T13" s="43"/>
      <c r="U13" s="43"/>
    </row>
    <row r="14" spans="1:21" s="11" customFormat="1" x14ac:dyDescent="0.25">
      <c r="A14" s="52" t="s">
        <v>593</v>
      </c>
      <c r="B14" s="53">
        <v>4.28</v>
      </c>
      <c r="C14" s="53">
        <v>3.19</v>
      </c>
      <c r="D14" s="53">
        <v>7.29</v>
      </c>
      <c r="E14" s="53">
        <v>4.53</v>
      </c>
      <c r="F14" s="53">
        <v>3.75</v>
      </c>
      <c r="G14" s="53">
        <v>61.99</v>
      </c>
      <c r="H14" s="59" t="s">
        <v>14</v>
      </c>
      <c r="I14" s="53">
        <v>3.46</v>
      </c>
      <c r="J14" s="53">
        <v>1</v>
      </c>
      <c r="K14" s="53">
        <v>352.11</v>
      </c>
      <c r="L14" s="53">
        <v>24.17</v>
      </c>
      <c r="M14" s="53">
        <v>101.83</v>
      </c>
      <c r="N14" s="53">
        <v>28.6</v>
      </c>
      <c r="O14" s="53">
        <v>0</v>
      </c>
      <c r="P14" s="53">
        <v>0.61</v>
      </c>
      <c r="Q14" s="53">
        <v>9.7799999999999994</v>
      </c>
      <c r="R14" s="43"/>
      <c r="S14" s="43"/>
      <c r="T14" s="43"/>
      <c r="U14" s="43"/>
    </row>
    <row r="15" spans="1:21" s="11" customFormat="1" x14ac:dyDescent="0.25">
      <c r="A15" s="52" t="s">
        <v>594</v>
      </c>
      <c r="B15" s="53">
        <v>4.25</v>
      </c>
      <c r="C15" s="53">
        <v>3.2</v>
      </c>
      <c r="D15" s="53">
        <v>7.27</v>
      </c>
      <c r="E15" s="53">
        <v>4.1399999999999997</v>
      </c>
      <c r="F15" s="53">
        <v>3.9</v>
      </c>
      <c r="G15" s="53">
        <v>68.59</v>
      </c>
      <c r="H15" s="59" t="s">
        <v>14</v>
      </c>
      <c r="I15" s="53">
        <v>3.71</v>
      </c>
      <c r="J15" s="53">
        <v>1.1499999999999999</v>
      </c>
      <c r="K15" s="53">
        <v>345.16</v>
      </c>
      <c r="L15" s="53">
        <v>26.67</v>
      </c>
      <c r="M15" s="53">
        <v>101.8</v>
      </c>
      <c r="N15" s="53">
        <v>139.19999999999999</v>
      </c>
      <c r="O15" s="53">
        <v>0</v>
      </c>
      <c r="P15" s="53">
        <v>0.62</v>
      </c>
      <c r="Q15" s="53">
        <v>9.85</v>
      </c>
      <c r="R15" s="43"/>
      <c r="S15" s="43"/>
      <c r="T15" s="43"/>
      <c r="U15" s="43"/>
    </row>
    <row r="16" spans="1:21" s="11" customFormat="1" x14ac:dyDescent="0.25">
      <c r="A16" s="52" t="s">
        <v>595</v>
      </c>
      <c r="B16" s="53">
        <v>4.32</v>
      </c>
      <c r="C16" s="53">
        <v>3.27</v>
      </c>
      <c r="D16" s="53">
        <v>7.36</v>
      </c>
      <c r="E16" s="53">
        <v>4.76</v>
      </c>
      <c r="F16" s="53">
        <v>4.0199999999999996</v>
      </c>
      <c r="G16" s="53">
        <v>68.03</v>
      </c>
      <c r="H16" s="53">
        <v>47.64</v>
      </c>
      <c r="I16" s="53">
        <v>3.86</v>
      </c>
      <c r="J16" s="53">
        <v>1.1100000000000001</v>
      </c>
      <c r="K16" s="53">
        <v>347.18</v>
      </c>
      <c r="L16" s="53">
        <v>30.29</v>
      </c>
      <c r="M16" s="53">
        <v>91.12</v>
      </c>
      <c r="N16" s="53">
        <v>352.8</v>
      </c>
      <c r="O16" s="53">
        <v>0</v>
      </c>
      <c r="P16" s="53">
        <v>0.92</v>
      </c>
      <c r="Q16" s="53">
        <v>9.91</v>
      </c>
      <c r="R16" s="43"/>
      <c r="S16" s="43"/>
      <c r="T16" s="43"/>
      <c r="U16" s="43"/>
    </row>
    <row r="17" spans="1:21" s="11" customFormat="1" x14ac:dyDescent="0.25">
      <c r="A17" s="52" t="s">
        <v>596</v>
      </c>
      <c r="B17" s="53">
        <v>4.34</v>
      </c>
      <c r="C17" s="53">
        <v>3.25</v>
      </c>
      <c r="D17" s="53">
        <v>7.37</v>
      </c>
      <c r="E17" s="53">
        <v>4.6100000000000003</v>
      </c>
      <c r="F17" s="53">
        <v>3.88</v>
      </c>
      <c r="G17" s="53">
        <v>70.63</v>
      </c>
      <c r="H17" s="53">
        <v>42.71</v>
      </c>
      <c r="I17" s="53">
        <v>3.15</v>
      </c>
      <c r="J17" s="53">
        <v>1.41</v>
      </c>
      <c r="K17" s="53">
        <v>119.1</v>
      </c>
      <c r="L17" s="53">
        <v>30.51</v>
      </c>
      <c r="M17" s="53">
        <v>80.180000000000007</v>
      </c>
      <c r="N17" s="53">
        <v>590.79999999999995</v>
      </c>
      <c r="O17" s="53">
        <v>0</v>
      </c>
      <c r="P17" s="53">
        <v>0.61</v>
      </c>
      <c r="Q17" s="53">
        <v>9.98</v>
      </c>
      <c r="R17" s="43"/>
      <c r="S17" s="43"/>
      <c r="T17" s="43"/>
      <c r="U17" s="43"/>
    </row>
    <row r="18" spans="1:21" s="11" customFormat="1" x14ac:dyDescent="0.25">
      <c r="A18" s="52" t="s">
        <v>597</v>
      </c>
      <c r="B18" s="53">
        <v>4.3</v>
      </c>
      <c r="C18" s="53">
        <v>3.25</v>
      </c>
      <c r="D18" s="53">
        <v>7.34</v>
      </c>
      <c r="E18" s="53">
        <v>5.1100000000000003</v>
      </c>
      <c r="F18" s="53">
        <v>4.1100000000000003</v>
      </c>
      <c r="G18" s="53">
        <v>68.55</v>
      </c>
      <c r="H18" s="59" t="s">
        <v>14</v>
      </c>
      <c r="I18" s="53">
        <v>5.0999999999999996</v>
      </c>
      <c r="J18" s="53">
        <v>1.21</v>
      </c>
      <c r="K18" s="53">
        <v>119.47</v>
      </c>
      <c r="L18" s="53">
        <v>31.55</v>
      </c>
      <c r="M18" s="53">
        <v>77.77</v>
      </c>
      <c r="N18" s="53">
        <v>740.8</v>
      </c>
      <c r="O18" s="53">
        <v>0</v>
      </c>
      <c r="P18" s="53">
        <v>0.57999999999999996</v>
      </c>
      <c r="Q18" s="53">
        <v>9.98</v>
      </c>
      <c r="R18" s="43"/>
      <c r="S18" s="43"/>
      <c r="T18" s="43"/>
      <c r="U18" s="43"/>
    </row>
    <row r="19" spans="1:21" s="11" customFormat="1" x14ac:dyDescent="0.25">
      <c r="A19" s="52" t="s">
        <v>598</v>
      </c>
      <c r="B19" s="53">
        <v>4.28</v>
      </c>
      <c r="C19" s="53">
        <v>3.29</v>
      </c>
      <c r="D19" s="53">
        <v>7.35</v>
      </c>
      <c r="E19" s="53">
        <v>4.46</v>
      </c>
      <c r="F19" s="53">
        <v>4.2699999999999996</v>
      </c>
      <c r="G19" s="53">
        <v>51.51</v>
      </c>
      <c r="H19" s="59" t="s">
        <v>14</v>
      </c>
      <c r="I19" s="53">
        <v>6.2</v>
      </c>
      <c r="J19" s="53">
        <v>1.78</v>
      </c>
      <c r="K19" s="53">
        <v>118.67</v>
      </c>
      <c r="L19" s="53">
        <v>30.56</v>
      </c>
      <c r="M19" s="53">
        <v>75.28</v>
      </c>
      <c r="N19" s="53">
        <v>864.7</v>
      </c>
      <c r="O19" s="53">
        <v>0</v>
      </c>
      <c r="P19" s="53">
        <v>0.55000000000000004</v>
      </c>
      <c r="Q19" s="53">
        <v>9.89</v>
      </c>
      <c r="R19" s="43"/>
      <c r="S19" s="43"/>
      <c r="T19" s="43"/>
      <c r="U19" s="43"/>
    </row>
    <row r="20" spans="1:21" s="11" customFormat="1" x14ac:dyDescent="0.25">
      <c r="A20" s="52" t="s">
        <v>599</v>
      </c>
      <c r="B20" s="53">
        <v>4.24</v>
      </c>
      <c r="C20" s="53">
        <v>3.22</v>
      </c>
      <c r="D20" s="53">
        <v>7.26</v>
      </c>
      <c r="E20" s="53">
        <v>4.78</v>
      </c>
      <c r="F20" s="53">
        <v>18.04</v>
      </c>
      <c r="G20" s="53">
        <v>46.54</v>
      </c>
      <c r="H20" s="59" t="s">
        <v>14</v>
      </c>
      <c r="I20" s="53">
        <v>6.55</v>
      </c>
      <c r="J20" s="53">
        <v>1.39</v>
      </c>
      <c r="K20" s="53">
        <v>120.51</v>
      </c>
      <c r="L20" s="53">
        <v>32.29</v>
      </c>
      <c r="M20" s="53">
        <v>73.849999999999994</v>
      </c>
      <c r="N20" s="53">
        <v>811.7</v>
      </c>
      <c r="O20" s="53">
        <v>0</v>
      </c>
      <c r="P20" s="53">
        <v>0.47</v>
      </c>
      <c r="Q20" s="53">
        <v>9.81</v>
      </c>
      <c r="R20" s="43"/>
      <c r="S20" s="43"/>
      <c r="T20" s="43"/>
      <c r="U20" s="43"/>
    </row>
    <row r="21" spans="1:21" s="11" customFormat="1" x14ac:dyDescent="0.25">
      <c r="A21" s="52" t="s">
        <v>600</v>
      </c>
      <c r="B21" s="53">
        <v>4.2699999999999996</v>
      </c>
      <c r="C21" s="53">
        <v>3.23</v>
      </c>
      <c r="D21" s="53">
        <v>7.3</v>
      </c>
      <c r="E21" s="53">
        <v>4.66</v>
      </c>
      <c r="F21" s="53">
        <v>15.24</v>
      </c>
      <c r="G21" s="53">
        <v>40.76</v>
      </c>
      <c r="H21" s="59" t="s">
        <v>14</v>
      </c>
      <c r="I21" s="53">
        <v>3</v>
      </c>
      <c r="J21" s="53">
        <v>0.64</v>
      </c>
      <c r="K21" s="53">
        <v>115.64</v>
      </c>
      <c r="L21" s="53">
        <v>31.25</v>
      </c>
      <c r="M21" s="53">
        <v>75.540000000000006</v>
      </c>
      <c r="N21" s="53">
        <v>610</v>
      </c>
      <c r="O21" s="53">
        <v>0</v>
      </c>
      <c r="P21" s="53">
        <v>0.41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601</v>
      </c>
      <c r="B22" s="53">
        <v>4.28</v>
      </c>
      <c r="C22" s="53">
        <v>3.19</v>
      </c>
      <c r="D22" s="53">
        <v>7.29</v>
      </c>
      <c r="E22" s="53">
        <v>5.32</v>
      </c>
      <c r="F22" s="53">
        <v>24.21</v>
      </c>
      <c r="G22" s="53">
        <v>39.89</v>
      </c>
      <c r="H22" s="59" t="s">
        <v>14</v>
      </c>
      <c r="I22" s="53">
        <v>1.43</v>
      </c>
      <c r="J22" s="53">
        <v>1.28</v>
      </c>
      <c r="K22" s="53">
        <v>113.64</v>
      </c>
      <c r="L22" s="53">
        <v>31.96</v>
      </c>
      <c r="M22" s="53">
        <v>68.97</v>
      </c>
      <c r="N22" s="53">
        <v>469.3</v>
      </c>
      <c r="O22" s="53">
        <v>0</v>
      </c>
      <c r="P22" s="53">
        <v>0.34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602</v>
      </c>
      <c r="B23" s="53">
        <v>4.25</v>
      </c>
      <c r="C23" s="53">
        <v>3.28</v>
      </c>
      <c r="D23" s="53">
        <v>7.3</v>
      </c>
      <c r="E23" s="53">
        <v>4.95</v>
      </c>
      <c r="F23" s="53">
        <v>14.87</v>
      </c>
      <c r="G23" s="53">
        <v>33.119999999999997</v>
      </c>
      <c r="H23" s="59" t="s">
        <v>14</v>
      </c>
      <c r="I23" s="53">
        <v>2.0299999999999998</v>
      </c>
      <c r="J23" s="53">
        <v>1.58</v>
      </c>
      <c r="K23" s="53">
        <v>358.75</v>
      </c>
      <c r="L23" s="53">
        <v>31.69</v>
      </c>
      <c r="M23" s="53">
        <v>68.48</v>
      </c>
      <c r="N23" s="53">
        <v>194.2</v>
      </c>
      <c r="O23" s="53">
        <v>0</v>
      </c>
      <c r="P23" s="53">
        <v>0.44</v>
      </c>
      <c r="Q23" s="53">
        <v>9.6</v>
      </c>
      <c r="R23" s="43"/>
      <c r="S23" s="43"/>
      <c r="T23" s="43"/>
      <c r="U23" s="43"/>
    </row>
    <row r="24" spans="1:21" s="11" customFormat="1" x14ac:dyDescent="0.25">
      <c r="A24" s="52" t="s">
        <v>603</v>
      </c>
      <c r="B24" s="53">
        <v>4.2300000000000004</v>
      </c>
      <c r="C24" s="53">
        <v>3.24</v>
      </c>
      <c r="D24" s="53">
        <v>7.28</v>
      </c>
      <c r="E24" s="53">
        <v>4.72</v>
      </c>
      <c r="F24" s="53">
        <v>6.94</v>
      </c>
      <c r="G24" s="53">
        <v>51.51</v>
      </c>
      <c r="H24" s="59" t="s">
        <v>14</v>
      </c>
      <c r="I24" s="53">
        <v>2.34</v>
      </c>
      <c r="J24" s="53">
        <v>1.35</v>
      </c>
      <c r="K24" s="53">
        <v>119.13</v>
      </c>
      <c r="L24" s="53">
        <v>31.46</v>
      </c>
      <c r="M24" s="53">
        <v>67.5</v>
      </c>
      <c r="N24" s="53">
        <v>214.7</v>
      </c>
      <c r="O24" s="53">
        <v>0</v>
      </c>
      <c r="P24" s="53">
        <v>0.46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604</v>
      </c>
      <c r="B25" s="53">
        <v>4.26</v>
      </c>
      <c r="C25" s="53">
        <v>3.26</v>
      </c>
      <c r="D25" s="53">
        <v>7.3</v>
      </c>
      <c r="E25" s="53">
        <v>4.96</v>
      </c>
      <c r="F25" s="53">
        <v>8.85</v>
      </c>
      <c r="G25" s="53">
        <v>49.25</v>
      </c>
      <c r="H25" s="59" t="s">
        <v>14</v>
      </c>
      <c r="I25" s="53">
        <v>2.94</v>
      </c>
      <c r="J25" s="53">
        <v>0.57999999999999996</v>
      </c>
      <c r="K25" s="53">
        <v>350.69</v>
      </c>
      <c r="L25" s="53">
        <v>31.93</v>
      </c>
      <c r="M25" s="53">
        <v>76.66</v>
      </c>
      <c r="N25" s="53">
        <v>197</v>
      </c>
      <c r="O25" s="53">
        <v>0</v>
      </c>
      <c r="P25" s="53">
        <v>0.67</v>
      </c>
      <c r="Q25" s="53">
        <v>9.6</v>
      </c>
      <c r="R25" s="43"/>
      <c r="S25" s="43"/>
      <c r="T25" s="43"/>
      <c r="U25" s="43"/>
    </row>
    <row r="26" spans="1:21" s="11" customFormat="1" x14ac:dyDescent="0.25">
      <c r="A26" s="52" t="s">
        <v>605</v>
      </c>
      <c r="B26" s="53">
        <v>4.24</v>
      </c>
      <c r="C26" s="53">
        <v>3.25</v>
      </c>
      <c r="D26" s="53">
        <v>7.28</v>
      </c>
      <c r="E26" s="53">
        <v>4.79</v>
      </c>
      <c r="F26" s="53">
        <v>7.73</v>
      </c>
      <c r="G26" s="53">
        <v>30.67</v>
      </c>
      <c r="H26" s="59" t="s">
        <v>14</v>
      </c>
      <c r="I26" s="53">
        <v>3.06</v>
      </c>
      <c r="J26" s="53">
        <v>0.49</v>
      </c>
      <c r="K26" s="53">
        <v>358.78</v>
      </c>
      <c r="L26" s="53">
        <v>30.36</v>
      </c>
      <c r="M26" s="53">
        <v>90.86</v>
      </c>
      <c r="N26" s="53">
        <v>63.9</v>
      </c>
      <c r="O26" s="53">
        <v>0</v>
      </c>
      <c r="P26" s="53">
        <v>0.89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606</v>
      </c>
      <c r="B27" s="53">
        <v>4.21</v>
      </c>
      <c r="C27" s="53">
        <v>3.19</v>
      </c>
      <c r="D27" s="53">
        <v>7.23</v>
      </c>
      <c r="E27" s="53">
        <v>5.16</v>
      </c>
      <c r="F27" s="53">
        <v>5.64</v>
      </c>
      <c r="G27" s="53">
        <v>118.16</v>
      </c>
      <c r="H27" s="59" t="s">
        <v>14</v>
      </c>
      <c r="I27" s="53">
        <v>3.4</v>
      </c>
      <c r="J27" s="53">
        <v>0.89</v>
      </c>
      <c r="K27" s="53">
        <v>338.59</v>
      </c>
      <c r="L27" s="53">
        <v>28.54</v>
      </c>
      <c r="M27" s="53">
        <v>101.42</v>
      </c>
      <c r="N27" s="53">
        <v>28.2</v>
      </c>
      <c r="O27" s="53">
        <v>0.4</v>
      </c>
      <c r="P27" s="53">
        <v>0.61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607</v>
      </c>
      <c r="B28" s="53">
        <v>4.2</v>
      </c>
      <c r="C28" s="53">
        <v>3.19</v>
      </c>
      <c r="D28" s="53">
        <v>7.23</v>
      </c>
      <c r="E28" s="53">
        <v>4.82</v>
      </c>
      <c r="F28" s="53">
        <v>6.86</v>
      </c>
      <c r="G28" s="53">
        <v>111.93</v>
      </c>
      <c r="H28" s="53">
        <v>92.9</v>
      </c>
      <c r="I28" s="53">
        <v>3.24</v>
      </c>
      <c r="J28" s="53">
        <v>0.6</v>
      </c>
      <c r="K28" s="53">
        <v>348.51</v>
      </c>
      <c r="L28" s="53">
        <v>26.14</v>
      </c>
      <c r="M28" s="53">
        <v>101.95</v>
      </c>
      <c r="N28" s="53">
        <v>27.9</v>
      </c>
      <c r="O28" s="53">
        <v>0</v>
      </c>
      <c r="P28" s="53">
        <v>0.62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608</v>
      </c>
      <c r="B29" s="53">
        <v>4.29</v>
      </c>
      <c r="C29" s="53">
        <v>3.28</v>
      </c>
      <c r="D29" s="53">
        <v>7.34</v>
      </c>
      <c r="E29" s="53">
        <v>4.28</v>
      </c>
      <c r="F29" s="53">
        <v>4.33</v>
      </c>
      <c r="G29" s="53">
        <v>86.47</v>
      </c>
      <c r="H29" s="53">
        <v>27.29</v>
      </c>
      <c r="I29" s="53">
        <v>2.98</v>
      </c>
      <c r="J29" s="53">
        <v>0.48</v>
      </c>
      <c r="K29" s="53">
        <v>332.78</v>
      </c>
      <c r="L29" s="53">
        <v>25.39</v>
      </c>
      <c r="M29" s="53">
        <v>101.94</v>
      </c>
      <c r="N29" s="53">
        <v>27.3</v>
      </c>
      <c r="O29" s="53">
        <v>0</v>
      </c>
      <c r="P29" s="53">
        <v>1.01</v>
      </c>
      <c r="Q29" s="53">
        <v>9.67</v>
      </c>
      <c r="R29" s="43"/>
      <c r="S29" s="43"/>
      <c r="T29" s="43"/>
      <c r="U29" s="43"/>
    </row>
    <row r="30" spans="1:21" s="11" customFormat="1" x14ac:dyDescent="0.25">
      <c r="A30" s="52" t="s">
        <v>609</v>
      </c>
      <c r="B30" s="53">
        <v>4.26</v>
      </c>
      <c r="C30" s="53">
        <v>3.14</v>
      </c>
      <c r="D30" s="53">
        <v>7.25</v>
      </c>
      <c r="E30" s="53">
        <v>4.6100000000000003</v>
      </c>
      <c r="F30" s="53">
        <v>4.1399999999999997</v>
      </c>
      <c r="G30" s="53">
        <v>60.14</v>
      </c>
      <c r="H30" s="53">
        <v>26.69</v>
      </c>
      <c r="I30" s="53">
        <v>3.37</v>
      </c>
      <c r="J30" s="53">
        <v>0.61</v>
      </c>
      <c r="K30" s="53">
        <v>351.3</v>
      </c>
      <c r="L30" s="53">
        <v>25.68</v>
      </c>
      <c r="M30" s="53">
        <v>101.92</v>
      </c>
      <c r="N30" s="53">
        <v>27.2</v>
      </c>
      <c r="O30" s="53">
        <v>0</v>
      </c>
      <c r="P30" s="53">
        <v>1.3</v>
      </c>
      <c r="Q30" s="53">
        <v>9.7799999999999994</v>
      </c>
      <c r="R30" s="43"/>
      <c r="S30" s="43"/>
      <c r="T30" s="43"/>
      <c r="U30" s="43"/>
    </row>
    <row r="31" spans="1:21" s="11" customFormat="1" x14ac:dyDescent="0.25">
      <c r="A31" s="52" t="s">
        <v>610</v>
      </c>
      <c r="B31" s="53">
        <v>4.26</v>
      </c>
      <c r="C31" s="53">
        <v>3.26</v>
      </c>
      <c r="D31" s="53">
        <v>7.31</v>
      </c>
      <c r="E31" s="53">
        <v>4.68</v>
      </c>
      <c r="F31" s="53">
        <v>4.5599999999999996</v>
      </c>
      <c r="G31" s="53">
        <v>52.68</v>
      </c>
      <c r="H31" s="53">
        <v>26.08</v>
      </c>
      <c r="I31" s="53">
        <v>4.4000000000000004</v>
      </c>
      <c r="J31" s="53">
        <v>0.43</v>
      </c>
      <c r="K31" s="53">
        <v>159.94999999999999</v>
      </c>
      <c r="L31" s="53">
        <v>25.38</v>
      </c>
      <c r="M31" s="53">
        <v>101.91</v>
      </c>
      <c r="N31" s="53">
        <v>27.3</v>
      </c>
      <c r="O31" s="53">
        <v>0</v>
      </c>
      <c r="P31" s="53">
        <v>0.74</v>
      </c>
      <c r="Q31" s="53">
        <v>9.83</v>
      </c>
      <c r="R31" s="43"/>
      <c r="S31" s="43"/>
      <c r="T31" s="43"/>
      <c r="U31" s="43"/>
    </row>
    <row r="32" spans="1:21" s="11" customFormat="1" x14ac:dyDescent="0.25">
      <c r="A32" s="52" t="s">
        <v>611</v>
      </c>
      <c r="B32" s="53">
        <v>4.25</v>
      </c>
      <c r="C32" s="53">
        <v>3.16</v>
      </c>
      <c r="D32" s="53">
        <v>7.23</v>
      </c>
      <c r="E32" s="53">
        <v>5.22</v>
      </c>
      <c r="F32" s="53">
        <v>4.13</v>
      </c>
      <c r="G32" s="53">
        <v>45.85</v>
      </c>
      <c r="H32" s="53">
        <v>25.12</v>
      </c>
      <c r="I32" s="53">
        <v>3.42</v>
      </c>
      <c r="J32" s="53">
        <v>0.3</v>
      </c>
      <c r="K32" s="53">
        <v>254.02</v>
      </c>
      <c r="L32" s="53">
        <v>25.05</v>
      </c>
      <c r="M32" s="53">
        <v>100.83</v>
      </c>
      <c r="N32" s="53">
        <v>26.2</v>
      </c>
      <c r="O32" s="53">
        <v>0</v>
      </c>
      <c r="P32" s="53">
        <v>0.56000000000000005</v>
      </c>
      <c r="Q32" s="53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</v>
      </c>
      <c r="C34" s="28">
        <f t="shared" si="0"/>
        <v>3.14</v>
      </c>
      <c r="D34" s="28">
        <f t="shared" si="0"/>
        <v>7.23</v>
      </c>
      <c r="E34" s="28">
        <f t="shared" si="0"/>
        <v>4.1399999999999997</v>
      </c>
      <c r="F34" s="28">
        <f t="shared" si="0"/>
        <v>3.75</v>
      </c>
      <c r="G34" s="28">
        <f t="shared" si="0"/>
        <v>22.86</v>
      </c>
      <c r="H34" s="28">
        <f t="shared" si="0"/>
        <v>12.52</v>
      </c>
      <c r="I34" s="28">
        <f t="shared" si="0"/>
        <v>1.43</v>
      </c>
      <c r="J34" s="28">
        <f t="shared" si="0"/>
        <v>0.3</v>
      </c>
      <c r="K34" s="28">
        <f t="shared" si="0"/>
        <v>113.64</v>
      </c>
      <c r="L34" s="28">
        <f t="shared" si="0"/>
        <v>23.75</v>
      </c>
      <c r="M34" s="28">
        <f t="shared" si="0"/>
        <v>67.5</v>
      </c>
      <c r="N34" s="28">
        <f t="shared" si="0"/>
        <v>26</v>
      </c>
      <c r="O34" s="28">
        <f t="shared" si="0"/>
        <v>0</v>
      </c>
      <c r="P34" s="28">
        <f t="shared" si="0"/>
        <v>0.34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4.34</v>
      </c>
      <c r="C35" s="29">
        <f t="shared" si="1"/>
        <v>3.29</v>
      </c>
      <c r="D35" s="29">
        <f t="shared" si="1"/>
        <v>7.37</v>
      </c>
      <c r="E35" s="29">
        <f t="shared" si="1"/>
        <v>5.32</v>
      </c>
      <c r="F35" s="29">
        <f t="shared" si="1"/>
        <v>24.21</v>
      </c>
      <c r="G35" s="29">
        <f t="shared" si="1"/>
        <v>118.16</v>
      </c>
      <c r="H35" s="29">
        <f t="shared" si="1"/>
        <v>92.9</v>
      </c>
      <c r="I35" s="29">
        <f t="shared" si="1"/>
        <v>6.55</v>
      </c>
      <c r="J35" s="29">
        <f t="shared" si="1"/>
        <v>1.78</v>
      </c>
      <c r="K35" s="29">
        <f t="shared" si="1"/>
        <v>358.78</v>
      </c>
      <c r="L35" s="29">
        <f t="shared" si="1"/>
        <v>32.29</v>
      </c>
      <c r="M35" s="29">
        <f t="shared" si="1"/>
        <v>101.95</v>
      </c>
      <c r="N35" s="29">
        <f t="shared" si="1"/>
        <v>864.7</v>
      </c>
      <c r="O35" s="29">
        <f t="shared" si="1"/>
        <v>0.4</v>
      </c>
      <c r="P35" s="29">
        <f t="shared" si="1"/>
        <v>1.3</v>
      </c>
      <c r="Q35" s="29">
        <f t="shared" si="1"/>
        <v>9.98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4.265833333333334</v>
      </c>
      <c r="C36" s="28">
        <f t="shared" si="2"/>
        <v>3.2229166666666664</v>
      </c>
      <c r="D36" s="28">
        <f t="shared" si="2"/>
        <v>7.2916666666666652</v>
      </c>
      <c r="E36" s="28">
        <f t="shared" si="2"/>
        <v>4.6791666666666671</v>
      </c>
      <c r="F36" s="28">
        <f t="shared" si="2"/>
        <v>7.1208333333333327</v>
      </c>
      <c r="G36" s="28">
        <f t="shared" si="2"/>
        <v>55.187916666666666</v>
      </c>
      <c r="H36" s="28">
        <f t="shared" si="2"/>
        <v>36.479166666666664</v>
      </c>
      <c r="I36" s="28">
        <f t="shared" si="2"/>
        <v>3.3770833333333337</v>
      </c>
      <c r="J36" s="28">
        <f t="shared" si="2"/>
        <v>0.96249999999999991</v>
      </c>
      <c r="K36" s="28">
        <f t="shared" si="2"/>
        <v>267.59958333333333</v>
      </c>
      <c r="L36" s="28">
        <f t="shared" si="2"/>
        <v>27.96374999999999</v>
      </c>
      <c r="M36" s="28">
        <f t="shared" si="2"/>
        <v>90.372083333333322</v>
      </c>
      <c r="N36" s="28">
        <f t="shared" si="2"/>
        <v>232.17916666666659</v>
      </c>
      <c r="O36" s="28">
        <f t="shared" si="2"/>
        <v>1.6666666666666666E-2</v>
      </c>
      <c r="P36" s="28">
        <f t="shared" si="2"/>
        <v>0.61541666666666672</v>
      </c>
      <c r="Q36" s="28">
        <f t="shared" si="2"/>
        <v>9.7254166666666677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3.2156771775389559E-2</v>
      </c>
      <c r="C37" s="28">
        <f t="shared" ref="C37:Q37" si="3">STDEV(C9:C32)</f>
        <v>4.3286624770914717E-2</v>
      </c>
      <c r="D37" s="28">
        <f t="shared" si="3"/>
        <v>4.0824829046386235E-2</v>
      </c>
      <c r="E37" s="28">
        <f t="shared" si="3"/>
        <v>0.33897436951546323</v>
      </c>
      <c r="F37" s="28">
        <f t="shared" si="3"/>
        <v>5.4163190746890635</v>
      </c>
      <c r="G37" s="28">
        <f t="shared" si="3"/>
        <v>24.591746402465787</v>
      </c>
      <c r="H37" s="28">
        <f t="shared" si="3"/>
        <v>20.410444945634765</v>
      </c>
      <c r="I37" s="28">
        <f t="shared" si="3"/>
        <v>1.2164863128187509</v>
      </c>
      <c r="J37" s="28">
        <f t="shared" si="3"/>
        <v>0.40418732204801805</v>
      </c>
      <c r="K37" s="28">
        <f t="shared" si="3"/>
        <v>106.37760398812165</v>
      </c>
      <c r="L37" s="28">
        <f t="shared" si="3"/>
        <v>3.2847404933565443</v>
      </c>
      <c r="M37" s="28">
        <f t="shared" si="3"/>
        <v>13.698739700573128</v>
      </c>
      <c r="N37" s="28">
        <f t="shared" si="3"/>
        <v>286.0695977633639</v>
      </c>
      <c r="O37" s="28">
        <f t="shared" si="3"/>
        <v>8.1649658092772623E-2</v>
      </c>
      <c r="P37" s="28">
        <f t="shared" si="3"/>
        <v>0.22319769296506484</v>
      </c>
      <c r="Q37" s="28">
        <f t="shared" si="3"/>
        <v>0.12624955158479717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612</v>
      </c>
      <c r="B9" s="53">
        <v>4.26</v>
      </c>
      <c r="C9" s="53">
        <v>3.22</v>
      </c>
      <c r="D9" s="53">
        <v>7.27</v>
      </c>
      <c r="E9" s="53">
        <v>4.96</v>
      </c>
      <c r="F9" s="53">
        <v>4.2300000000000004</v>
      </c>
      <c r="G9" s="53">
        <v>37.18</v>
      </c>
      <c r="H9" s="53">
        <v>16.68</v>
      </c>
      <c r="I9" s="53">
        <v>2.4</v>
      </c>
      <c r="J9" s="53">
        <v>3.87</v>
      </c>
      <c r="K9" s="53">
        <v>112.08</v>
      </c>
      <c r="L9" s="53">
        <v>25.12</v>
      </c>
      <c r="M9" s="53">
        <v>101.99</v>
      </c>
      <c r="N9" s="53">
        <v>30.8</v>
      </c>
      <c r="O9" s="53">
        <v>5.8</v>
      </c>
      <c r="P9" s="53">
        <v>0.55000000000000004</v>
      </c>
      <c r="Q9" s="53">
        <v>9.75</v>
      </c>
      <c r="R9" s="43"/>
      <c r="S9" s="43"/>
      <c r="T9" s="43"/>
      <c r="U9" s="43"/>
    </row>
    <row r="10" spans="1:21" s="11" customFormat="1" x14ac:dyDescent="0.25">
      <c r="A10" s="52" t="s">
        <v>613</v>
      </c>
      <c r="B10" s="53">
        <v>4.2699999999999996</v>
      </c>
      <c r="C10" s="53">
        <v>3.2</v>
      </c>
      <c r="D10" s="53">
        <v>7.28</v>
      </c>
      <c r="E10" s="53">
        <v>4.88</v>
      </c>
      <c r="F10" s="53">
        <v>4.6100000000000003</v>
      </c>
      <c r="G10" s="53">
        <v>32.15</v>
      </c>
      <c r="H10" s="53">
        <v>11.11</v>
      </c>
      <c r="I10" s="53">
        <v>5.47</v>
      </c>
      <c r="J10" s="53">
        <v>2</v>
      </c>
      <c r="K10" s="53">
        <v>139.69</v>
      </c>
      <c r="L10" s="53">
        <v>21.26</v>
      </c>
      <c r="M10" s="53">
        <v>102.03</v>
      </c>
      <c r="N10" s="53">
        <v>26.9</v>
      </c>
      <c r="O10" s="53">
        <v>0.4</v>
      </c>
      <c r="P10" s="53">
        <v>0.45</v>
      </c>
      <c r="Q10" s="53">
        <v>9.7100000000000009</v>
      </c>
      <c r="R10" s="43"/>
      <c r="S10" s="43"/>
      <c r="T10" s="43"/>
      <c r="U10" s="43"/>
    </row>
    <row r="11" spans="1:21" s="11" customFormat="1" x14ac:dyDescent="0.25">
      <c r="A11" s="52" t="s">
        <v>614</v>
      </c>
      <c r="B11" s="53">
        <v>4.24</v>
      </c>
      <c r="C11" s="53">
        <v>3.17</v>
      </c>
      <c r="D11" s="53">
        <v>7.24</v>
      </c>
      <c r="E11" s="53">
        <v>5.0599999999999996</v>
      </c>
      <c r="F11" s="53">
        <v>4.5999999999999996</v>
      </c>
      <c r="G11" s="53">
        <v>28.89</v>
      </c>
      <c r="H11" s="53">
        <v>23.45</v>
      </c>
      <c r="I11" s="53">
        <v>5.29</v>
      </c>
      <c r="J11" s="53">
        <v>0.91</v>
      </c>
      <c r="K11" s="53">
        <v>174.09</v>
      </c>
      <c r="L11" s="53">
        <v>21.46</v>
      </c>
      <c r="M11" s="53">
        <v>102.03</v>
      </c>
      <c r="N11" s="53">
        <v>26.5</v>
      </c>
      <c r="O11" s="53">
        <v>0.4</v>
      </c>
      <c r="P11" s="53">
        <v>0.42</v>
      </c>
      <c r="Q11" s="53">
        <v>9.66</v>
      </c>
      <c r="R11" s="43"/>
      <c r="S11" s="43"/>
      <c r="T11" s="43"/>
      <c r="U11" s="43"/>
    </row>
    <row r="12" spans="1:21" s="11" customFormat="1" x14ac:dyDescent="0.25">
      <c r="A12" s="52" t="s">
        <v>615</v>
      </c>
      <c r="B12" s="53">
        <v>4.2</v>
      </c>
      <c r="C12" s="53">
        <v>3.13</v>
      </c>
      <c r="D12" s="53">
        <v>7.19</v>
      </c>
      <c r="E12" s="53">
        <v>5.52</v>
      </c>
      <c r="F12" s="53">
        <v>4.7300000000000004</v>
      </c>
      <c r="G12" s="53">
        <v>21.21</v>
      </c>
      <c r="H12" s="53">
        <v>16.48</v>
      </c>
      <c r="I12" s="53">
        <v>5.09</v>
      </c>
      <c r="J12" s="53">
        <v>0.61</v>
      </c>
      <c r="K12" s="53">
        <v>203.48</v>
      </c>
      <c r="L12" s="53">
        <v>21.66</v>
      </c>
      <c r="M12" s="53">
        <v>102.03</v>
      </c>
      <c r="N12" s="53">
        <v>26.8</v>
      </c>
      <c r="O12" s="53">
        <v>0</v>
      </c>
      <c r="P12" s="53">
        <v>0.38</v>
      </c>
      <c r="Q12" s="53">
        <v>9.59</v>
      </c>
      <c r="R12" s="43"/>
      <c r="S12" s="43"/>
      <c r="T12" s="43"/>
      <c r="U12" s="43"/>
    </row>
    <row r="13" spans="1:21" s="11" customFormat="1" x14ac:dyDescent="0.25">
      <c r="A13" s="52" t="s">
        <v>616</v>
      </c>
      <c r="B13" s="53">
        <v>4.25</v>
      </c>
      <c r="C13" s="53">
        <v>3.16</v>
      </c>
      <c r="D13" s="53">
        <v>7.25</v>
      </c>
      <c r="E13" s="53">
        <v>5.29</v>
      </c>
      <c r="F13" s="53">
        <v>3.81</v>
      </c>
      <c r="G13" s="53">
        <v>15.55</v>
      </c>
      <c r="H13" s="53">
        <v>3.6</v>
      </c>
      <c r="I13" s="53">
        <v>4.29</v>
      </c>
      <c r="J13" s="53">
        <v>0.17</v>
      </c>
      <c r="K13" s="53">
        <v>273.89999999999998</v>
      </c>
      <c r="L13" s="53">
        <v>21.76</v>
      </c>
      <c r="M13" s="53">
        <v>102.05</v>
      </c>
      <c r="N13" s="53">
        <v>26.5</v>
      </c>
      <c r="O13" s="53">
        <v>0</v>
      </c>
      <c r="P13" s="53">
        <v>0.34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617</v>
      </c>
      <c r="B14" s="53">
        <v>4.26</v>
      </c>
      <c r="C14" s="53">
        <v>3.15</v>
      </c>
      <c r="D14" s="53">
        <v>7.24</v>
      </c>
      <c r="E14" s="53">
        <v>5.14</v>
      </c>
      <c r="F14" s="53">
        <v>3.73</v>
      </c>
      <c r="G14" s="53">
        <v>10.99</v>
      </c>
      <c r="H14" s="53">
        <v>1.46</v>
      </c>
      <c r="I14" s="53">
        <v>2.73</v>
      </c>
      <c r="J14" s="53">
        <v>0.55000000000000004</v>
      </c>
      <c r="K14" s="53">
        <v>333.28</v>
      </c>
      <c r="L14" s="53">
        <v>21.86</v>
      </c>
      <c r="M14" s="53">
        <v>102.05</v>
      </c>
      <c r="N14" s="53">
        <v>27.9</v>
      </c>
      <c r="O14" s="53">
        <v>0</v>
      </c>
      <c r="P14" s="53">
        <v>0.3</v>
      </c>
      <c r="Q14" s="53">
        <v>9.6300000000000008</v>
      </c>
      <c r="R14" s="43"/>
      <c r="S14" s="43"/>
      <c r="T14" s="43"/>
      <c r="U14" s="43"/>
    </row>
    <row r="15" spans="1:21" s="11" customFormat="1" x14ac:dyDescent="0.25">
      <c r="A15" s="52" t="s">
        <v>618</v>
      </c>
      <c r="B15" s="53">
        <v>4.26</v>
      </c>
      <c r="C15" s="53">
        <v>3.21</v>
      </c>
      <c r="D15" s="53">
        <v>7.26</v>
      </c>
      <c r="E15" s="53">
        <v>5.57</v>
      </c>
      <c r="F15" s="53">
        <v>4.17</v>
      </c>
      <c r="G15" s="53">
        <v>7.94</v>
      </c>
      <c r="H15" s="53">
        <v>3.18</v>
      </c>
      <c r="I15" s="53">
        <v>3.55</v>
      </c>
      <c r="J15" s="53">
        <v>0.77</v>
      </c>
      <c r="K15" s="53">
        <v>351.07</v>
      </c>
      <c r="L15" s="53">
        <v>22.32</v>
      </c>
      <c r="M15" s="53">
        <v>102.05</v>
      </c>
      <c r="N15" s="53">
        <v>45.5</v>
      </c>
      <c r="O15" s="53">
        <v>0</v>
      </c>
      <c r="P15" s="53">
        <v>0.34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619</v>
      </c>
      <c r="B16" s="53">
        <v>4.22</v>
      </c>
      <c r="C16" s="53">
        <v>3.15</v>
      </c>
      <c r="D16" s="53">
        <v>7.22</v>
      </c>
      <c r="E16" s="53">
        <v>5.87</v>
      </c>
      <c r="F16" s="53">
        <v>3.83</v>
      </c>
      <c r="G16" s="53">
        <v>6.26</v>
      </c>
      <c r="H16" s="53">
        <v>4.07</v>
      </c>
      <c r="I16" s="53">
        <v>3.82</v>
      </c>
      <c r="J16" s="53">
        <v>1.48</v>
      </c>
      <c r="K16" s="53">
        <v>354.28</v>
      </c>
      <c r="L16" s="53">
        <v>23.2</v>
      </c>
      <c r="M16" s="53">
        <v>102.03</v>
      </c>
      <c r="N16" s="53">
        <v>106.5</v>
      </c>
      <c r="O16" s="53">
        <v>0</v>
      </c>
      <c r="P16" s="53">
        <v>0.4</v>
      </c>
      <c r="Q16" s="53">
        <v>9.7200000000000006</v>
      </c>
      <c r="R16" s="43"/>
      <c r="S16" s="43"/>
      <c r="T16" s="43"/>
      <c r="U16" s="43"/>
    </row>
    <row r="17" spans="1:21" s="11" customFormat="1" x14ac:dyDescent="0.25">
      <c r="A17" s="52" t="s">
        <v>620</v>
      </c>
      <c r="B17" s="53">
        <v>4.26</v>
      </c>
      <c r="C17" s="53">
        <v>3.2</v>
      </c>
      <c r="D17" s="53">
        <v>7.28</v>
      </c>
      <c r="E17" s="53">
        <v>4.03</v>
      </c>
      <c r="F17" s="53">
        <v>3.5</v>
      </c>
      <c r="G17" s="53">
        <v>4.95</v>
      </c>
      <c r="H17" s="53">
        <v>4.2300000000000004</v>
      </c>
      <c r="I17" s="53">
        <v>3.7</v>
      </c>
      <c r="J17" s="53">
        <v>1.58</v>
      </c>
      <c r="K17" s="53">
        <v>341.91</v>
      </c>
      <c r="L17" s="53">
        <v>24.13</v>
      </c>
      <c r="M17" s="53">
        <v>101.97</v>
      </c>
      <c r="N17" s="53">
        <v>118.5</v>
      </c>
      <c r="O17" s="53">
        <v>0</v>
      </c>
      <c r="P17" s="53">
        <v>0.5</v>
      </c>
      <c r="Q17" s="53">
        <v>9.8000000000000007</v>
      </c>
      <c r="R17" s="43"/>
      <c r="S17" s="43"/>
      <c r="T17" s="43"/>
      <c r="U17" s="43"/>
    </row>
    <row r="18" spans="1:21" s="11" customFormat="1" x14ac:dyDescent="0.25">
      <c r="A18" s="52" t="s">
        <v>621</v>
      </c>
      <c r="B18" s="53">
        <v>4.29</v>
      </c>
      <c r="C18" s="53">
        <v>3.2</v>
      </c>
      <c r="D18" s="53">
        <v>7.3</v>
      </c>
      <c r="E18" s="53">
        <v>4.04</v>
      </c>
      <c r="F18" s="53">
        <v>3.58</v>
      </c>
      <c r="G18" s="53">
        <v>16.47</v>
      </c>
      <c r="H18" s="53">
        <v>11.22</v>
      </c>
      <c r="I18" s="53">
        <v>3.62</v>
      </c>
      <c r="J18" s="53">
        <v>1.38</v>
      </c>
      <c r="K18" s="53">
        <v>344.65</v>
      </c>
      <c r="L18" s="53">
        <v>27.24</v>
      </c>
      <c r="M18" s="53">
        <v>101.94</v>
      </c>
      <c r="N18" s="53">
        <v>326.2</v>
      </c>
      <c r="O18" s="53">
        <v>0</v>
      </c>
      <c r="P18" s="53">
        <v>0.57999999999999996</v>
      </c>
      <c r="Q18" s="53">
        <v>9.9600000000000009</v>
      </c>
      <c r="R18" s="43"/>
      <c r="S18" s="43"/>
      <c r="T18" s="43"/>
      <c r="U18" s="43"/>
    </row>
    <row r="19" spans="1:21" s="11" customFormat="1" x14ac:dyDescent="0.25">
      <c r="A19" s="52" t="s">
        <v>622</v>
      </c>
      <c r="B19" s="53">
        <v>4.33</v>
      </c>
      <c r="C19" s="53">
        <v>3.26</v>
      </c>
      <c r="D19" s="53">
        <v>7.36</v>
      </c>
      <c r="E19" s="53">
        <v>4.0999999999999996</v>
      </c>
      <c r="F19" s="53">
        <v>4.32</v>
      </c>
      <c r="G19" s="53">
        <v>19.46</v>
      </c>
      <c r="H19" s="53">
        <v>14.34</v>
      </c>
      <c r="I19" s="53">
        <v>4.1100000000000003</v>
      </c>
      <c r="J19" s="53">
        <v>0.99</v>
      </c>
      <c r="K19" s="53">
        <v>346.83</v>
      </c>
      <c r="L19" s="53">
        <v>29.18</v>
      </c>
      <c r="M19" s="53">
        <v>86.54</v>
      </c>
      <c r="N19" s="53">
        <v>454.1</v>
      </c>
      <c r="O19" s="53">
        <v>0</v>
      </c>
      <c r="P19" s="53">
        <v>0.63</v>
      </c>
      <c r="Q19" s="53">
        <v>9.9700000000000006</v>
      </c>
      <c r="R19" s="43"/>
      <c r="S19" s="43"/>
      <c r="T19" s="43"/>
      <c r="U19" s="43"/>
    </row>
    <row r="20" spans="1:21" s="11" customFormat="1" x14ac:dyDescent="0.25">
      <c r="A20" s="52" t="s">
        <v>623</v>
      </c>
      <c r="B20" s="53">
        <v>4.3099999999999996</v>
      </c>
      <c r="C20" s="53">
        <v>3.37</v>
      </c>
      <c r="D20" s="53">
        <v>7.41</v>
      </c>
      <c r="E20" s="53">
        <v>5.03</v>
      </c>
      <c r="F20" s="53">
        <v>4.63</v>
      </c>
      <c r="G20" s="53">
        <v>24.16</v>
      </c>
      <c r="H20" s="53">
        <v>14.99</v>
      </c>
      <c r="I20" s="53">
        <v>4.32</v>
      </c>
      <c r="J20" s="53">
        <v>1.1200000000000001</v>
      </c>
      <c r="K20" s="53">
        <v>344.95</v>
      </c>
      <c r="L20" s="53">
        <v>32.21</v>
      </c>
      <c r="M20" s="53">
        <v>74.209999999999994</v>
      </c>
      <c r="N20" s="53">
        <v>840.1</v>
      </c>
      <c r="O20" s="53">
        <v>0</v>
      </c>
      <c r="P20" s="53">
        <v>0.66</v>
      </c>
      <c r="Q20" s="53">
        <v>9.9600000000000009</v>
      </c>
      <c r="R20" s="43"/>
      <c r="S20" s="43"/>
      <c r="T20" s="43"/>
      <c r="U20" s="43"/>
    </row>
    <row r="21" spans="1:21" s="11" customFormat="1" x14ac:dyDescent="0.25">
      <c r="A21" s="52" t="s">
        <v>624</v>
      </c>
      <c r="B21" s="53">
        <v>4.3099999999999996</v>
      </c>
      <c r="C21" s="53">
        <v>3.32</v>
      </c>
      <c r="D21" s="53">
        <v>7.38</v>
      </c>
      <c r="E21" s="53">
        <v>5.07</v>
      </c>
      <c r="F21" s="53">
        <v>4.2300000000000004</v>
      </c>
      <c r="G21" s="53">
        <v>49.49</v>
      </c>
      <c r="H21" s="53">
        <v>35.39</v>
      </c>
      <c r="I21" s="53">
        <v>4.67</v>
      </c>
      <c r="J21" s="53">
        <v>0.9</v>
      </c>
      <c r="K21" s="53">
        <v>342.26</v>
      </c>
      <c r="L21" s="53">
        <v>31.75</v>
      </c>
      <c r="M21" s="53">
        <v>75.34</v>
      </c>
      <c r="N21" s="53">
        <v>568</v>
      </c>
      <c r="O21" s="53">
        <v>0</v>
      </c>
      <c r="P21" s="53">
        <v>0.72</v>
      </c>
      <c r="Q21" s="53">
        <v>9.9</v>
      </c>
      <c r="R21" s="43"/>
      <c r="S21" s="43"/>
      <c r="T21" s="43"/>
      <c r="U21" s="43"/>
    </row>
    <row r="22" spans="1:21" s="11" customFormat="1" x14ac:dyDescent="0.25">
      <c r="A22" s="52" t="s">
        <v>625</v>
      </c>
      <c r="B22" s="53">
        <v>4.3</v>
      </c>
      <c r="C22" s="53">
        <v>3.3</v>
      </c>
      <c r="D22" s="53">
        <v>7.36</v>
      </c>
      <c r="E22" s="53">
        <v>5.53</v>
      </c>
      <c r="F22" s="53">
        <v>4.2300000000000004</v>
      </c>
      <c r="G22" s="53">
        <v>56.62</v>
      </c>
      <c r="H22" s="53">
        <v>34.24</v>
      </c>
      <c r="I22" s="53">
        <v>4.58</v>
      </c>
      <c r="J22" s="53">
        <v>1.03</v>
      </c>
      <c r="K22" s="53">
        <v>353.95</v>
      </c>
      <c r="L22" s="53">
        <v>29.75</v>
      </c>
      <c r="M22" s="53">
        <v>75.03</v>
      </c>
      <c r="N22" s="53">
        <v>492.1</v>
      </c>
      <c r="O22" s="53">
        <v>0</v>
      </c>
      <c r="P22" s="53">
        <v>0.67</v>
      </c>
      <c r="Q22" s="53">
        <v>9.8699999999999992</v>
      </c>
      <c r="R22" s="43"/>
      <c r="S22" s="43"/>
      <c r="T22" s="43"/>
      <c r="U22" s="43"/>
    </row>
    <row r="23" spans="1:21" s="11" customFormat="1" x14ac:dyDescent="0.25">
      <c r="A23" s="52" t="s">
        <v>626</v>
      </c>
      <c r="B23" s="53">
        <v>4.28</v>
      </c>
      <c r="C23" s="53">
        <v>3.26</v>
      </c>
      <c r="D23" s="53">
        <v>7.32</v>
      </c>
      <c r="E23" s="53">
        <v>5.09</v>
      </c>
      <c r="F23" s="53">
        <v>4.9400000000000004</v>
      </c>
      <c r="G23" s="53">
        <v>56.39</v>
      </c>
      <c r="H23" s="53">
        <v>30.45</v>
      </c>
      <c r="I23" s="53">
        <v>5.19</v>
      </c>
      <c r="J23" s="53">
        <v>1.1499999999999999</v>
      </c>
      <c r="K23" s="53">
        <v>138.72</v>
      </c>
      <c r="L23" s="53">
        <v>28.93</v>
      </c>
      <c r="M23" s="53">
        <v>83.76</v>
      </c>
      <c r="N23" s="53">
        <v>291.2</v>
      </c>
      <c r="O23" s="53">
        <v>0</v>
      </c>
      <c r="P23" s="53">
        <v>0.65</v>
      </c>
      <c r="Q23" s="53">
        <v>9.84</v>
      </c>
      <c r="R23" s="43"/>
      <c r="S23" s="43"/>
      <c r="T23" s="43"/>
      <c r="U23" s="43"/>
    </row>
    <row r="24" spans="1:21" s="11" customFormat="1" x14ac:dyDescent="0.25">
      <c r="A24" s="52" t="s">
        <v>627</v>
      </c>
      <c r="B24" s="53">
        <v>4.21</v>
      </c>
      <c r="C24" s="53">
        <v>3.17</v>
      </c>
      <c r="D24" s="53">
        <v>7.2</v>
      </c>
      <c r="E24" s="53">
        <v>4.68</v>
      </c>
      <c r="F24" s="53">
        <v>5.9</v>
      </c>
      <c r="G24" s="53">
        <v>55.53</v>
      </c>
      <c r="H24" s="53">
        <v>27.69</v>
      </c>
      <c r="I24" s="53">
        <v>5.79</v>
      </c>
      <c r="J24" s="53">
        <v>0.89</v>
      </c>
      <c r="K24" s="53">
        <v>137.56</v>
      </c>
      <c r="L24" s="53">
        <v>27.95</v>
      </c>
      <c r="M24" s="53">
        <v>90.34</v>
      </c>
      <c r="N24" s="53">
        <v>163.4</v>
      </c>
      <c r="O24" s="53">
        <v>0</v>
      </c>
      <c r="P24" s="53">
        <v>0.62</v>
      </c>
      <c r="Q24" s="53">
        <v>9.66</v>
      </c>
      <c r="R24" s="43"/>
      <c r="S24" s="43"/>
      <c r="T24" s="43"/>
      <c r="U24" s="43"/>
    </row>
    <row r="25" spans="1:21" s="11" customFormat="1" x14ac:dyDescent="0.25">
      <c r="A25" s="52" t="s">
        <v>628</v>
      </c>
      <c r="B25" s="53">
        <v>4.21</v>
      </c>
      <c r="C25" s="53">
        <v>3.14</v>
      </c>
      <c r="D25" s="53">
        <v>7.21</v>
      </c>
      <c r="E25" s="53">
        <v>4.66</v>
      </c>
      <c r="F25" s="53">
        <v>5.74</v>
      </c>
      <c r="G25" s="53">
        <v>53.43</v>
      </c>
      <c r="H25" s="53">
        <v>22.08</v>
      </c>
      <c r="I25" s="53">
        <v>4.8499999999999996</v>
      </c>
      <c r="J25" s="53">
        <v>0.76</v>
      </c>
      <c r="K25" s="53">
        <v>200.59</v>
      </c>
      <c r="L25" s="53">
        <v>27.53</v>
      </c>
      <c r="M25" s="53">
        <v>92.1</v>
      </c>
      <c r="N25" s="53">
        <v>98.6</v>
      </c>
      <c r="O25" s="53">
        <v>0</v>
      </c>
      <c r="P25" s="53">
        <v>0.57999999999999996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629</v>
      </c>
      <c r="B26" s="53">
        <v>4.25</v>
      </c>
      <c r="C26" s="53">
        <v>3.12</v>
      </c>
      <c r="D26" s="53">
        <v>7.23</v>
      </c>
      <c r="E26" s="53">
        <v>4.26</v>
      </c>
      <c r="F26" s="53">
        <v>6.3</v>
      </c>
      <c r="G26" s="53">
        <v>48.05</v>
      </c>
      <c r="H26" s="53">
        <v>20.36</v>
      </c>
      <c r="I26" s="53">
        <v>4.01</v>
      </c>
      <c r="J26" s="53">
        <v>0.34</v>
      </c>
      <c r="K26" s="53">
        <v>348.65</v>
      </c>
      <c r="L26" s="53">
        <v>27.16</v>
      </c>
      <c r="M26" s="53">
        <v>96.06</v>
      </c>
      <c r="N26" s="53">
        <v>50.9</v>
      </c>
      <c r="O26" s="53">
        <v>0</v>
      </c>
      <c r="P26" s="53">
        <v>0.72</v>
      </c>
      <c r="Q26" s="53">
        <v>9.6</v>
      </c>
      <c r="R26" s="43"/>
      <c r="S26" s="43"/>
      <c r="T26" s="43"/>
      <c r="U26" s="43"/>
    </row>
    <row r="27" spans="1:21" s="11" customFormat="1" x14ac:dyDescent="0.25">
      <c r="A27" s="52" t="s">
        <v>630</v>
      </c>
      <c r="B27" s="53">
        <v>4.2699999999999996</v>
      </c>
      <c r="C27" s="53">
        <v>3.19</v>
      </c>
      <c r="D27" s="53">
        <v>7.27</v>
      </c>
      <c r="E27" s="53">
        <v>4.67</v>
      </c>
      <c r="F27" s="53">
        <v>6.55</v>
      </c>
      <c r="G27" s="53">
        <v>47.23</v>
      </c>
      <c r="H27" s="53">
        <v>18.57</v>
      </c>
      <c r="I27" s="53">
        <v>2.69</v>
      </c>
      <c r="J27" s="53">
        <v>0.45</v>
      </c>
      <c r="K27" s="53">
        <v>197.75</v>
      </c>
      <c r="L27" s="53">
        <v>26.74</v>
      </c>
      <c r="M27" s="53">
        <v>100.85</v>
      </c>
      <c r="N27" s="53">
        <v>26.6</v>
      </c>
      <c r="O27" s="53">
        <v>0</v>
      </c>
      <c r="P27" s="53">
        <v>0.99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631</v>
      </c>
      <c r="B28" s="53">
        <v>4.2300000000000004</v>
      </c>
      <c r="C28" s="53">
        <v>3.22</v>
      </c>
      <c r="D28" s="53">
        <v>7.27</v>
      </c>
      <c r="E28" s="53">
        <v>4.5999999999999996</v>
      </c>
      <c r="F28" s="53">
        <v>6.68</v>
      </c>
      <c r="G28" s="53">
        <v>46.78</v>
      </c>
      <c r="H28" s="53">
        <v>20.05</v>
      </c>
      <c r="I28" s="53">
        <v>3.72</v>
      </c>
      <c r="J28" s="53">
        <v>0.34</v>
      </c>
      <c r="K28" s="53">
        <v>308.41000000000003</v>
      </c>
      <c r="L28" s="53">
        <v>26.52</v>
      </c>
      <c r="M28" s="53">
        <v>100.3</v>
      </c>
      <c r="N28" s="53">
        <v>27.1</v>
      </c>
      <c r="O28" s="53">
        <v>0</v>
      </c>
      <c r="P28" s="53">
        <v>0.7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632</v>
      </c>
      <c r="B29" s="53">
        <v>4.22</v>
      </c>
      <c r="C29" s="53">
        <v>3.15</v>
      </c>
      <c r="D29" s="53">
        <v>7.22</v>
      </c>
      <c r="E29" s="53">
        <v>4.55</v>
      </c>
      <c r="F29" s="53">
        <v>4.18</v>
      </c>
      <c r="G29" s="53">
        <v>44.11</v>
      </c>
      <c r="H29" s="53">
        <v>19.22</v>
      </c>
      <c r="I29" s="53">
        <v>4.9800000000000004</v>
      </c>
      <c r="J29" s="53">
        <v>0.87</v>
      </c>
      <c r="K29" s="53">
        <v>113.44</v>
      </c>
      <c r="L29" s="53">
        <v>25.09</v>
      </c>
      <c r="M29" s="53">
        <v>101.98</v>
      </c>
      <c r="N29" s="53">
        <v>27</v>
      </c>
      <c r="O29" s="53">
        <v>0</v>
      </c>
      <c r="P29" s="53">
        <v>0.7</v>
      </c>
      <c r="Q29" s="53">
        <v>9.64</v>
      </c>
      <c r="R29" s="43"/>
      <c r="S29" s="43"/>
      <c r="T29" s="43"/>
      <c r="U29" s="43"/>
    </row>
    <row r="30" spans="1:21" s="11" customFormat="1" x14ac:dyDescent="0.25">
      <c r="A30" s="52" t="s">
        <v>633</v>
      </c>
      <c r="B30" s="53">
        <v>4.26</v>
      </c>
      <c r="C30" s="53">
        <v>3.16</v>
      </c>
      <c r="D30" s="53">
        <v>7.26</v>
      </c>
      <c r="E30" s="53">
        <v>4.82</v>
      </c>
      <c r="F30" s="53">
        <v>3.88</v>
      </c>
      <c r="G30" s="53">
        <v>39.51</v>
      </c>
      <c r="H30" s="53">
        <v>17.55</v>
      </c>
      <c r="I30" s="53">
        <v>5.19</v>
      </c>
      <c r="J30" s="53">
        <v>1.47</v>
      </c>
      <c r="K30" s="53">
        <v>117.59</v>
      </c>
      <c r="L30" s="53">
        <v>24.52</v>
      </c>
      <c r="M30" s="53">
        <v>101.98</v>
      </c>
      <c r="N30" s="53">
        <v>26.2</v>
      </c>
      <c r="O30" s="53">
        <v>0</v>
      </c>
      <c r="P30" s="53">
        <v>0.55000000000000004</v>
      </c>
      <c r="Q30" s="53">
        <v>9.66</v>
      </c>
      <c r="R30" s="43"/>
      <c r="S30" s="43"/>
      <c r="T30" s="43"/>
      <c r="U30" s="43"/>
    </row>
    <row r="31" spans="1:21" s="11" customFormat="1" x14ac:dyDescent="0.25">
      <c r="A31" s="52" t="s">
        <v>634</v>
      </c>
      <c r="B31" s="53">
        <v>4.2699999999999996</v>
      </c>
      <c r="C31" s="53">
        <v>3.16</v>
      </c>
      <c r="D31" s="53">
        <v>7.26</v>
      </c>
      <c r="E31" s="53">
        <v>4.75</v>
      </c>
      <c r="F31" s="53">
        <v>3.85</v>
      </c>
      <c r="G31" s="53">
        <v>36.17</v>
      </c>
      <c r="H31" s="53">
        <v>13.67</v>
      </c>
      <c r="I31" s="53">
        <v>5.62</v>
      </c>
      <c r="J31" s="53">
        <v>1.59</v>
      </c>
      <c r="K31" s="53">
        <v>112.46</v>
      </c>
      <c r="L31" s="53">
        <v>24.5</v>
      </c>
      <c r="M31" s="53">
        <v>101.95</v>
      </c>
      <c r="N31" s="53">
        <v>26.5</v>
      </c>
      <c r="O31" s="53">
        <v>0</v>
      </c>
      <c r="P31" s="53">
        <v>0.52</v>
      </c>
      <c r="Q31" s="53">
        <v>9.68</v>
      </c>
      <c r="R31" s="43"/>
      <c r="S31" s="43"/>
      <c r="T31" s="43"/>
      <c r="U31" s="43"/>
    </row>
    <row r="32" spans="1:21" s="11" customFormat="1" x14ac:dyDescent="0.25">
      <c r="A32" s="52" t="s">
        <v>635</v>
      </c>
      <c r="B32" s="53">
        <v>4.22</v>
      </c>
      <c r="C32" s="53">
        <v>3.12</v>
      </c>
      <c r="D32" s="53">
        <v>7.2</v>
      </c>
      <c r="E32" s="53">
        <v>5</v>
      </c>
      <c r="F32" s="53">
        <v>4.6900000000000004</v>
      </c>
      <c r="G32" s="53">
        <v>30.59</v>
      </c>
      <c r="H32" s="53">
        <v>10.52</v>
      </c>
      <c r="I32" s="53">
        <v>7.35</v>
      </c>
      <c r="J32" s="53">
        <v>1.36</v>
      </c>
      <c r="K32" s="53">
        <v>120.35</v>
      </c>
      <c r="L32" s="53">
        <v>24.22</v>
      </c>
      <c r="M32" s="53">
        <v>101.95</v>
      </c>
      <c r="N32" s="53">
        <v>26.1</v>
      </c>
      <c r="O32" s="53">
        <v>0</v>
      </c>
      <c r="P32" s="53">
        <v>0.52</v>
      </c>
      <c r="Q32" s="53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</v>
      </c>
      <c r="C34" s="28">
        <f t="shared" si="0"/>
        <v>3.12</v>
      </c>
      <c r="D34" s="28">
        <f t="shared" si="0"/>
        <v>7.19</v>
      </c>
      <c r="E34" s="28">
        <f t="shared" si="0"/>
        <v>4.03</v>
      </c>
      <c r="F34" s="28">
        <f t="shared" si="0"/>
        <v>3.5</v>
      </c>
      <c r="G34" s="28">
        <f t="shared" si="0"/>
        <v>4.95</v>
      </c>
      <c r="H34" s="28">
        <f t="shared" si="0"/>
        <v>1.46</v>
      </c>
      <c r="I34" s="28">
        <f t="shared" si="0"/>
        <v>2.4</v>
      </c>
      <c r="J34" s="28">
        <f t="shared" si="0"/>
        <v>0.17</v>
      </c>
      <c r="K34" s="28">
        <f t="shared" si="0"/>
        <v>112.08</v>
      </c>
      <c r="L34" s="28">
        <f t="shared" si="0"/>
        <v>21.26</v>
      </c>
      <c r="M34" s="28">
        <f t="shared" si="0"/>
        <v>74.209999999999994</v>
      </c>
      <c r="N34" s="28">
        <f t="shared" si="0"/>
        <v>26.1</v>
      </c>
      <c r="O34" s="28">
        <f t="shared" si="0"/>
        <v>0</v>
      </c>
      <c r="P34" s="28">
        <f t="shared" si="0"/>
        <v>0.3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4.33</v>
      </c>
      <c r="C35" s="29">
        <f t="shared" si="1"/>
        <v>3.37</v>
      </c>
      <c r="D35" s="29">
        <f t="shared" si="1"/>
        <v>7.41</v>
      </c>
      <c r="E35" s="29">
        <f t="shared" si="1"/>
        <v>5.87</v>
      </c>
      <c r="F35" s="29">
        <f t="shared" si="1"/>
        <v>6.68</v>
      </c>
      <c r="G35" s="29">
        <f t="shared" si="1"/>
        <v>56.62</v>
      </c>
      <c r="H35" s="29">
        <f t="shared" si="1"/>
        <v>35.39</v>
      </c>
      <c r="I35" s="29">
        <f t="shared" si="1"/>
        <v>7.35</v>
      </c>
      <c r="J35" s="29">
        <f t="shared" si="1"/>
        <v>3.87</v>
      </c>
      <c r="K35" s="29">
        <f t="shared" si="1"/>
        <v>354.28</v>
      </c>
      <c r="L35" s="29">
        <f t="shared" si="1"/>
        <v>32.21</v>
      </c>
      <c r="M35" s="29">
        <f t="shared" si="1"/>
        <v>102.05</v>
      </c>
      <c r="N35" s="29">
        <f t="shared" si="1"/>
        <v>840.1</v>
      </c>
      <c r="O35" s="29">
        <f t="shared" si="1"/>
        <v>5.8</v>
      </c>
      <c r="P35" s="29">
        <f t="shared" si="1"/>
        <v>0.99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4.2574999999999994</v>
      </c>
      <c r="C36" s="28">
        <f t="shared" si="2"/>
        <v>3.1970833333333331</v>
      </c>
      <c r="D36" s="28">
        <f t="shared" si="2"/>
        <v>7.2699999999999987</v>
      </c>
      <c r="E36" s="28">
        <f t="shared" si="2"/>
        <v>4.882083333333334</v>
      </c>
      <c r="F36" s="28">
        <f t="shared" si="2"/>
        <v>4.6212499999999999</v>
      </c>
      <c r="G36" s="28">
        <f t="shared" si="2"/>
        <v>32.879583333333336</v>
      </c>
      <c r="H36" s="28">
        <f t="shared" si="2"/>
        <v>16.441666666666666</v>
      </c>
      <c r="I36" s="28">
        <f t="shared" si="2"/>
        <v>4.4595833333333337</v>
      </c>
      <c r="J36" s="28">
        <f t="shared" si="2"/>
        <v>1.1074999999999999</v>
      </c>
      <c r="K36" s="28">
        <f t="shared" si="2"/>
        <v>242.16416666666666</v>
      </c>
      <c r="L36" s="28">
        <f t="shared" si="2"/>
        <v>25.669166666666669</v>
      </c>
      <c r="M36" s="28">
        <f t="shared" si="2"/>
        <v>95.939999999999955</v>
      </c>
      <c r="N36" s="28">
        <f t="shared" si="2"/>
        <v>161.66666666666663</v>
      </c>
      <c r="O36" s="28">
        <f t="shared" si="2"/>
        <v>0.27500000000000002</v>
      </c>
      <c r="P36" s="28">
        <f t="shared" si="2"/>
        <v>0.56208333333333327</v>
      </c>
      <c r="Q36" s="28">
        <f t="shared" si="2"/>
        <v>9.7225000000000019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3.4797551138225039E-2</v>
      </c>
      <c r="C37" s="28">
        <f t="shared" ref="C37:Q37" si="3">STDEV(C9:C32)</f>
        <v>6.4839545546423002E-2</v>
      </c>
      <c r="D37" s="28">
        <f t="shared" si="3"/>
        <v>5.9124040574989843E-2</v>
      </c>
      <c r="E37" s="28">
        <f t="shared" si="3"/>
        <v>0.48637951872162971</v>
      </c>
      <c r="F37" s="28">
        <f t="shared" si="3"/>
        <v>0.93935367465452146</v>
      </c>
      <c r="G37" s="28">
        <f t="shared" si="3"/>
        <v>17.105418536156932</v>
      </c>
      <c r="H37" s="28">
        <f t="shared" si="3"/>
        <v>9.5411546410305075</v>
      </c>
      <c r="I37" s="28">
        <f t="shared" si="3"/>
        <v>1.1215419477575095</v>
      </c>
      <c r="J37" s="28">
        <f t="shared" si="3"/>
        <v>0.74548058616427182</v>
      </c>
      <c r="K37" s="28">
        <f t="shared" si="3"/>
        <v>101.42523204275923</v>
      </c>
      <c r="L37" s="28">
        <f t="shared" si="3"/>
        <v>3.2485902182018696</v>
      </c>
      <c r="M37" s="28">
        <f t="shared" si="3"/>
        <v>9.7227805112305816</v>
      </c>
      <c r="N37" s="28">
        <f t="shared" si="3"/>
        <v>220.27451187032551</v>
      </c>
      <c r="O37" s="28">
        <f t="shared" si="3"/>
        <v>1.182205014222226</v>
      </c>
      <c r="P37" s="28">
        <f t="shared" si="3"/>
        <v>0.15822326456395569</v>
      </c>
      <c r="Q37" s="28">
        <f t="shared" si="3"/>
        <v>0.12670575293208669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636</v>
      </c>
      <c r="B9" s="53">
        <v>4.22</v>
      </c>
      <c r="C9" s="53">
        <v>3.17</v>
      </c>
      <c r="D9" s="53">
        <v>7.22</v>
      </c>
      <c r="E9" s="53">
        <v>4.8099999999999996</v>
      </c>
      <c r="F9" s="53">
        <v>5.23</v>
      </c>
      <c r="G9" s="53">
        <v>25.27</v>
      </c>
      <c r="H9" s="53">
        <v>9.93</v>
      </c>
      <c r="I9" s="53">
        <v>6.87</v>
      </c>
      <c r="J9" s="53">
        <v>1.57</v>
      </c>
      <c r="K9" s="53">
        <v>115.14</v>
      </c>
      <c r="L9" s="53">
        <v>24.25</v>
      </c>
      <c r="M9" s="53">
        <v>101.98</v>
      </c>
      <c r="N9" s="53">
        <v>26.2</v>
      </c>
      <c r="O9" s="53">
        <v>0</v>
      </c>
      <c r="P9" s="53">
        <v>0.45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637</v>
      </c>
      <c r="B10" s="53">
        <v>4.25</v>
      </c>
      <c r="C10" s="53">
        <v>3.19</v>
      </c>
      <c r="D10" s="53">
        <v>7.26</v>
      </c>
      <c r="E10" s="53">
        <v>4.75</v>
      </c>
      <c r="F10" s="53">
        <v>5.72</v>
      </c>
      <c r="G10" s="53">
        <v>21.95</v>
      </c>
      <c r="H10" s="53">
        <v>9.86</v>
      </c>
      <c r="I10" s="53">
        <v>5.53</v>
      </c>
      <c r="J10" s="53">
        <v>0.89</v>
      </c>
      <c r="K10" s="53">
        <v>113.39</v>
      </c>
      <c r="L10" s="53">
        <v>24.07</v>
      </c>
      <c r="M10" s="53">
        <v>102</v>
      </c>
      <c r="N10" s="53">
        <v>26.1</v>
      </c>
      <c r="O10" s="53">
        <v>0</v>
      </c>
      <c r="P10" s="53">
        <v>0.44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638</v>
      </c>
      <c r="B11" s="53">
        <v>4.26</v>
      </c>
      <c r="C11" s="53">
        <v>3.15</v>
      </c>
      <c r="D11" s="53">
        <v>7.25</v>
      </c>
      <c r="E11" s="53">
        <v>4.5999999999999996</v>
      </c>
      <c r="F11" s="53">
        <v>4.32</v>
      </c>
      <c r="G11" s="53">
        <v>21.76</v>
      </c>
      <c r="H11" s="53">
        <v>12.66</v>
      </c>
      <c r="I11" s="53">
        <v>2.62</v>
      </c>
      <c r="J11" s="53">
        <v>0.93</v>
      </c>
      <c r="K11" s="53">
        <v>122</v>
      </c>
      <c r="L11" s="53">
        <v>23.92</v>
      </c>
      <c r="M11" s="53">
        <v>102.03</v>
      </c>
      <c r="N11" s="53">
        <v>26.1</v>
      </c>
      <c r="O11" s="53">
        <v>0</v>
      </c>
      <c r="P11" s="53">
        <v>0.39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639</v>
      </c>
      <c r="B12" s="53">
        <v>4.26</v>
      </c>
      <c r="C12" s="53">
        <v>3.17</v>
      </c>
      <c r="D12" s="53">
        <v>7.25</v>
      </c>
      <c r="E12" s="53">
        <v>4.91</v>
      </c>
      <c r="F12" s="53">
        <v>4.66</v>
      </c>
      <c r="G12" s="53">
        <v>21.37</v>
      </c>
      <c r="H12" s="53">
        <v>12.27</v>
      </c>
      <c r="I12" s="53">
        <v>4.8</v>
      </c>
      <c r="J12" s="53">
        <v>0.25</v>
      </c>
      <c r="K12" s="53">
        <v>95.78</v>
      </c>
      <c r="L12" s="53">
        <v>23.73</v>
      </c>
      <c r="M12" s="53">
        <v>102.03</v>
      </c>
      <c r="N12" s="53">
        <v>26.1</v>
      </c>
      <c r="O12" s="53">
        <v>0</v>
      </c>
      <c r="P12" s="53">
        <v>0.4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640</v>
      </c>
      <c r="B13" s="53">
        <v>4.21</v>
      </c>
      <c r="C13" s="53">
        <v>3.17</v>
      </c>
      <c r="D13" s="53">
        <v>7.22</v>
      </c>
      <c r="E13" s="53">
        <v>5.18</v>
      </c>
      <c r="F13" s="53">
        <v>4.33</v>
      </c>
      <c r="G13" s="53">
        <v>19.78</v>
      </c>
      <c r="H13" s="53">
        <v>13.35</v>
      </c>
      <c r="I13" s="53">
        <v>4.01</v>
      </c>
      <c r="J13" s="53">
        <v>0.65</v>
      </c>
      <c r="K13" s="53">
        <v>342.43</v>
      </c>
      <c r="L13" s="53">
        <v>23.65</v>
      </c>
      <c r="M13" s="53">
        <v>102.03</v>
      </c>
      <c r="N13" s="53">
        <v>26.1</v>
      </c>
      <c r="O13" s="53">
        <v>0</v>
      </c>
      <c r="P13" s="53">
        <v>0.39</v>
      </c>
      <c r="Q13" s="53">
        <v>9.6</v>
      </c>
      <c r="R13" s="43"/>
      <c r="S13" s="43"/>
      <c r="T13" s="43"/>
      <c r="U13" s="43"/>
    </row>
    <row r="14" spans="1:21" s="11" customFormat="1" x14ac:dyDescent="0.25">
      <c r="A14" s="52" t="s">
        <v>641</v>
      </c>
      <c r="B14" s="53">
        <v>4.24</v>
      </c>
      <c r="C14" s="53">
        <v>3.13</v>
      </c>
      <c r="D14" s="53">
        <v>7.23</v>
      </c>
      <c r="E14" s="53">
        <v>5.12</v>
      </c>
      <c r="F14" s="53">
        <v>4.1100000000000003</v>
      </c>
      <c r="G14" s="53">
        <v>22.04</v>
      </c>
      <c r="H14" s="53">
        <v>13.06</v>
      </c>
      <c r="I14" s="53">
        <v>4.2300000000000004</v>
      </c>
      <c r="J14" s="53">
        <v>0.25</v>
      </c>
      <c r="K14" s="53">
        <v>310.38</v>
      </c>
      <c r="L14" s="53">
        <v>23.64</v>
      </c>
      <c r="M14" s="53">
        <v>102.03</v>
      </c>
      <c r="N14" s="53">
        <v>28.7</v>
      </c>
      <c r="O14" s="53">
        <v>0</v>
      </c>
      <c r="P14" s="53">
        <v>0.4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642</v>
      </c>
      <c r="B15" s="53">
        <v>4.2699999999999996</v>
      </c>
      <c r="C15" s="53">
        <v>3.15</v>
      </c>
      <c r="D15" s="53">
        <v>7.25</v>
      </c>
      <c r="E15" s="53">
        <v>5.14</v>
      </c>
      <c r="F15" s="53">
        <v>4.4400000000000004</v>
      </c>
      <c r="G15" s="53">
        <v>21.57</v>
      </c>
      <c r="H15" s="53">
        <v>10.77</v>
      </c>
      <c r="I15" s="53">
        <v>1.86</v>
      </c>
      <c r="J15" s="53">
        <v>0.49</v>
      </c>
      <c r="K15" s="53">
        <v>133.38999999999999</v>
      </c>
      <c r="L15" s="53">
        <v>24.19</v>
      </c>
      <c r="M15" s="53">
        <v>102.02</v>
      </c>
      <c r="N15" s="53">
        <v>65.3</v>
      </c>
      <c r="O15" s="53">
        <v>0</v>
      </c>
      <c r="P15" s="53">
        <v>0.45</v>
      </c>
      <c r="Q15" s="53">
        <v>9.67</v>
      </c>
      <c r="R15" s="43"/>
      <c r="S15" s="43"/>
      <c r="T15" s="43"/>
      <c r="U15" s="43"/>
    </row>
    <row r="16" spans="1:21" s="11" customFormat="1" x14ac:dyDescent="0.25">
      <c r="A16" s="52" t="s">
        <v>643</v>
      </c>
      <c r="B16" s="53">
        <v>4.28</v>
      </c>
      <c r="C16" s="53">
        <v>3.18</v>
      </c>
      <c r="D16" s="53">
        <v>7.27</v>
      </c>
      <c r="E16" s="53">
        <v>5.19</v>
      </c>
      <c r="F16" s="53">
        <v>4.6399999999999997</v>
      </c>
      <c r="G16" s="53">
        <v>20.239999999999998</v>
      </c>
      <c r="H16" s="53">
        <v>10.52</v>
      </c>
      <c r="I16" s="53">
        <v>4.7300000000000004</v>
      </c>
      <c r="J16" s="53">
        <v>0.79</v>
      </c>
      <c r="K16" s="53">
        <v>346.96</v>
      </c>
      <c r="L16" s="53">
        <v>24.73</v>
      </c>
      <c r="M16" s="53">
        <v>102</v>
      </c>
      <c r="N16" s="53">
        <v>63.1</v>
      </c>
      <c r="O16" s="53">
        <v>0</v>
      </c>
      <c r="P16" s="53">
        <v>0.54</v>
      </c>
      <c r="Q16" s="53">
        <v>9.69</v>
      </c>
      <c r="R16" s="43"/>
      <c r="S16" s="43"/>
      <c r="T16" s="43"/>
      <c r="U16" s="43"/>
    </row>
    <row r="17" spans="1:21" s="11" customFormat="1" x14ac:dyDescent="0.25">
      <c r="A17" s="52" t="s">
        <v>644</v>
      </c>
      <c r="B17" s="53">
        <v>4.2699999999999996</v>
      </c>
      <c r="C17" s="53">
        <v>3.29</v>
      </c>
      <c r="D17" s="53">
        <v>7.33</v>
      </c>
      <c r="E17" s="53">
        <v>4.28</v>
      </c>
      <c r="F17" s="53">
        <v>3.98</v>
      </c>
      <c r="G17" s="53">
        <v>23.39</v>
      </c>
      <c r="H17" s="53">
        <v>11.37</v>
      </c>
      <c r="I17" s="53">
        <v>4.3600000000000003</v>
      </c>
      <c r="J17" s="53">
        <v>0.78</v>
      </c>
      <c r="K17" s="53">
        <v>352.98</v>
      </c>
      <c r="L17" s="53">
        <v>25.33</v>
      </c>
      <c r="M17" s="53">
        <v>101.98</v>
      </c>
      <c r="N17" s="53">
        <v>148.9</v>
      </c>
      <c r="O17" s="53">
        <v>0</v>
      </c>
      <c r="P17" s="53">
        <v>0.61</v>
      </c>
      <c r="Q17" s="53">
        <v>9.81</v>
      </c>
      <c r="R17" s="43"/>
      <c r="S17" s="43"/>
      <c r="T17" s="43"/>
      <c r="U17" s="43"/>
    </row>
    <row r="18" spans="1:21" s="11" customFormat="1" x14ac:dyDescent="0.25">
      <c r="A18" s="52" t="s">
        <v>645</v>
      </c>
      <c r="B18" s="53">
        <v>4.2699999999999996</v>
      </c>
      <c r="C18" s="53">
        <v>3.19</v>
      </c>
      <c r="D18" s="53">
        <v>7.28</v>
      </c>
      <c r="E18" s="53">
        <v>4.32</v>
      </c>
      <c r="F18" s="53">
        <v>3.85</v>
      </c>
      <c r="G18" s="53">
        <v>28.07</v>
      </c>
      <c r="H18" s="53">
        <v>11.36</v>
      </c>
      <c r="I18" s="53">
        <v>5.72</v>
      </c>
      <c r="J18" s="53">
        <v>1.05</v>
      </c>
      <c r="K18" s="53">
        <v>156.36000000000001</v>
      </c>
      <c r="L18" s="53">
        <v>25.54</v>
      </c>
      <c r="M18" s="53">
        <v>101.98</v>
      </c>
      <c r="N18" s="53">
        <v>279.39999999999998</v>
      </c>
      <c r="O18" s="53">
        <v>0</v>
      </c>
      <c r="P18" s="53">
        <v>0.49</v>
      </c>
      <c r="Q18" s="53">
        <v>9.84</v>
      </c>
      <c r="R18" s="43"/>
      <c r="S18" s="43"/>
      <c r="T18" s="43"/>
      <c r="U18" s="43"/>
    </row>
    <row r="19" spans="1:21" s="11" customFormat="1" x14ac:dyDescent="0.25">
      <c r="A19" s="52" t="s">
        <v>646</v>
      </c>
      <c r="B19" s="53">
        <v>4.3</v>
      </c>
      <c r="C19" s="53">
        <v>3.18</v>
      </c>
      <c r="D19" s="53">
        <v>7.3</v>
      </c>
      <c r="E19" s="53">
        <v>4.2300000000000004</v>
      </c>
      <c r="F19" s="53">
        <v>4.0999999999999996</v>
      </c>
      <c r="G19" s="53">
        <v>27.78</v>
      </c>
      <c r="H19" s="53">
        <v>11.28</v>
      </c>
      <c r="I19" s="53">
        <v>5.19</v>
      </c>
      <c r="J19" s="53">
        <v>1.06</v>
      </c>
      <c r="K19" s="53">
        <v>156.54</v>
      </c>
      <c r="L19" s="53">
        <v>26.14</v>
      </c>
      <c r="M19" s="53">
        <v>101.94</v>
      </c>
      <c r="N19" s="53">
        <v>286.60000000000002</v>
      </c>
      <c r="O19" s="53">
        <v>0</v>
      </c>
      <c r="P19" s="53">
        <v>0.47</v>
      </c>
      <c r="Q19" s="53">
        <v>9.85</v>
      </c>
      <c r="R19" s="43"/>
      <c r="S19" s="43"/>
      <c r="T19" s="43"/>
      <c r="U19" s="43"/>
    </row>
    <row r="20" spans="1:21" s="11" customFormat="1" x14ac:dyDescent="0.25">
      <c r="A20" s="52" t="s">
        <v>647</v>
      </c>
      <c r="B20" s="53">
        <v>4.26</v>
      </c>
      <c r="C20" s="53">
        <v>3.22</v>
      </c>
      <c r="D20" s="53">
        <v>7.28</v>
      </c>
      <c r="E20" s="53">
        <v>4.47</v>
      </c>
      <c r="F20" s="53">
        <v>5.69</v>
      </c>
      <c r="G20" s="53">
        <v>24.82</v>
      </c>
      <c r="H20" s="53">
        <v>10.47</v>
      </c>
      <c r="I20" s="53">
        <v>5.54</v>
      </c>
      <c r="J20" s="53">
        <v>1.24</v>
      </c>
      <c r="K20" s="53">
        <v>339.99</v>
      </c>
      <c r="L20" s="53">
        <v>25.84</v>
      </c>
      <c r="M20" s="53">
        <v>101.9</v>
      </c>
      <c r="N20" s="53">
        <v>248.2</v>
      </c>
      <c r="O20" s="53">
        <v>0</v>
      </c>
      <c r="P20" s="53">
        <v>0.44</v>
      </c>
      <c r="Q20" s="55" t="s">
        <v>8</v>
      </c>
      <c r="R20" s="43"/>
      <c r="S20" s="43"/>
      <c r="T20" s="43"/>
      <c r="U20" s="43"/>
    </row>
    <row r="21" spans="1:21" s="11" customFormat="1" x14ac:dyDescent="0.25">
      <c r="A21" s="52" t="s">
        <v>648</v>
      </c>
      <c r="B21" s="53">
        <v>13.12</v>
      </c>
      <c r="C21" s="53">
        <v>26.71</v>
      </c>
      <c r="D21" s="53">
        <v>25.26</v>
      </c>
      <c r="E21" s="53">
        <v>4.29</v>
      </c>
      <c r="F21" s="53">
        <v>5.01</v>
      </c>
      <c r="G21" s="53">
        <v>24.34</v>
      </c>
      <c r="H21" s="53">
        <v>10.16</v>
      </c>
      <c r="I21" s="53">
        <v>4.74</v>
      </c>
      <c r="J21" s="53">
        <v>1.05</v>
      </c>
      <c r="K21" s="53">
        <v>342.96</v>
      </c>
      <c r="L21" s="53">
        <v>27.27</v>
      </c>
      <c r="M21" s="53">
        <v>101.45</v>
      </c>
      <c r="N21" s="53">
        <v>339.7</v>
      </c>
      <c r="O21" s="53">
        <v>0</v>
      </c>
      <c r="P21" s="53">
        <v>0.57999999999999996</v>
      </c>
      <c r="Q21" s="55" t="s">
        <v>8</v>
      </c>
      <c r="R21" s="43"/>
      <c r="S21" s="43"/>
      <c r="T21" s="43"/>
      <c r="U21" s="43"/>
    </row>
    <row r="22" spans="1:21" s="11" customFormat="1" x14ac:dyDescent="0.25">
      <c r="A22" s="52" t="s">
        <v>649</v>
      </c>
      <c r="B22" s="53">
        <v>8.4499999999999993</v>
      </c>
      <c r="C22" s="53">
        <v>28.73</v>
      </c>
      <c r="D22" s="53">
        <v>21.34</v>
      </c>
      <c r="E22" s="53">
        <v>5.36</v>
      </c>
      <c r="F22" s="53">
        <v>5.24</v>
      </c>
      <c r="G22" s="53">
        <v>27.79</v>
      </c>
      <c r="H22" s="53">
        <v>14.34</v>
      </c>
      <c r="I22" s="53">
        <v>2.91</v>
      </c>
      <c r="J22" s="53">
        <v>0.72</v>
      </c>
      <c r="K22" s="53">
        <v>336.06</v>
      </c>
      <c r="L22" s="53">
        <v>28.25</v>
      </c>
      <c r="M22" s="53">
        <v>92.35</v>
      </c>
      <c r="N22" s="53">
        <v>258.10000000000002</v>
      </c>
      <c r="O22" s="53">
        <v>0</v>
      </c>
      <c r="P22" s="53">
        <v>0.68</v>
      </c>
      <c r="Q22" s="55" t="s">
        <v>8</v>
      </c>
      <c r="R22" s="43"/>
      <c r="S22" s="43"/>
      <c r="T22" s="43"/>
      <c r="U22" s="43"/>
    </row>
    <row r="23" spans="1:21" s="11" customFormat="1" x14ac:dyDescent="0.25">
      <c r="A23" s="52" t="s">
        <v>650</v>
      </c>
      <c r="B23" s="53">
        <v>4.3899999999999997</v>
      </c>
      <c r="C23" s="53">
        <v>29.5</v>
      </c>
      <c r="D23" s="53">
        <v>18.11</v>
      </c>
      <c r="E23" s="53">
        <v>4.2300000000000004</v>
      </c>
      <c r="F23" s="53">
        <v>4.78</v>
      </c>
      <c r="G23" s="53">
        <v>48.31</v>
      </c>
      <c r="H23" s="53">
        <v>16.12</v>
      </c>
      <c r="I23" s="53">
        <v>2.23</v>
      </c>
      <c r="J23" s="53">
        <v>0.84</v>
      </c>
      <c r="K23" s="53">
        <v>346.44</v>
      </c>
      <c r="L23" s="53">
        <v>28.31</v>
      </c>
      <c r="M23" s="53">
        <v>94.17</v>
      </c>
      <c r="N23" s="53">
        <v>221</v>
      </c>
      <c r="O23" s="53">
        <v>0</v>
      </c>
      <c r="P23" s="53">
        <v>0.68</v>
      </c>
      <c r="Q23" s="55" t="s">
        <v>8</v>
      </c>
      <c r="R23" s="43"/>
      <c r="S23" s="43"/>
      <c r="T23" s="43"/>
      <c r="U23" s="43"/>
    </row>
    <row r="24" spans="1:21" s="11" customFormat="1" x14ac:dyDescent="0.25">
      <c r="A24" s="52" t="s">
        <v>651</v>
      </c>
      <c r="B24" s="53">
        <v>7.18</v>
      </c>
      <c r="C24" s="53">
        <v>22.81</v>
      </c>
      <c r="D24" s="53">
        <v>16.739999999999998</v>
      </c>
      <c r="E24" s="53">
        <v>4.57</v>
      </c>
      <c r="F24" s="53">
        <v>4.93</v>
      </c>
      <c r="G24" s="53">
        <v>46.63</v>
      </c>
      <c r="H24" s="53">
        <v>15.69</v>
      </c>
      <c r="I24" s="53">
        <v>2.2000000000000002</v>
      </c>
      <c r="J24" s="53">
        <v>0.85</v>
      </c>
      <c r="K24" s="53">
        <v>348.76</v>
      </c>
      <c r="L24" s="53">
        <v>28.91</v>
      </c>
      <c r="M24" s="53">
        <v>90.76</v>
      </c>
      <c r="N24" s="53">
        <v>233.2</v>
      </c>
      <c r="O24" s="53">
        <v>0</v>
      </c>
      <c r="P24" s="53">
        <v>0.69</v>
      </c>
      <c r="Q24" s="55" t="s">
        <v>8</v>
      </c>
      <c r="R24" s="43"/>
      <c r="S24" s="43"/>
      <c r="T24" s="43"/>
      <c r="U24" s="43"/>
    </row>
    <row r="25" spans="1:21" s="11" customFormat="1" x14ac:dyDescent="0.25">
      <c r="A25" s="52" t="s">
        <v>652</v>
      </c>
      <c r="B25" s="53">
        <v>4.04</v>
      </c>
      <c r="C25" s="53">
        <v>23.46</v>
      </c>
      <c r="D25" s="53">
        <v>14.35</v>
      </c>
      <c r="E25" s="53">
        <v>4.17</v>
      </c>
      <c r="F25" s="53">
        <v>4.2300000000000004</v>
      </c>
      <c r="G25" s="53">
        <v>46.19</v>
      </c>
      <c r="H25" s="53">
        <v>17.309999999999999</v>
      </c>
      <c r="I25" s="53">
        <v>2.98</v>
      </c>
      <c r="J25" s="53">
        <v>0.4</v>
      </c>
      <c r="K25" s="53">
        <v>353.63</v>
      </c>
      <c r="L25" s="53">
        <v>28.19</v>
      </c>
      <c r="M25" s="53">
        <v>96.21</v>
      </c>
      <c r="N25" s="53">
        <v>97.5</v>
      </c>
      <c r="O25" s="53">
        <v>0</v>
      </c>
      <c r="P25" s="53">
        <v>0.68</v>
      </c>
      <c r="Q25" s="55" t="s">
        <v>8</v>
      </c>
      <c r="R25" s="43"/>
      <c r="S25" s="43"/>
      <c r="T25" s="43"/>
      <c r="U25" s="43"/>
    </row>
    <row r="26" spans="1:21" s="11" customFormat="1" x14ac:dyDescent="0.25">
      <c r="A26" s="52" t="s">
        <v>653</v>
      </c>
      <c r="B26" s="53">
        <v>5.34</v>
      </c>
      <c r="C26" s="53">
        <v>21.98</v>
      </c>
      <c r="D26" s="53">
        <v>15.14</v>
      </c>
      <c r="E26" s="53">
        <v>4.29</v>
      </c>
      <c r="F26" s="53">
        <v>4.0599999999999996</v>
      </c>
      <c r="G26" s="53">
        <v>41.58</v>
      </c>
      <c r="H26" s="53">
        <v>17.489999999999998</v>
      </c>
      <c r="I26" s="53">
        <v>2.91</v>
      </c>
      <c r="J26" s="53">
        <v>0.61</v>
      </c>
      <c r="K26" s="53">
        <v>340.25</v>
      </c>
      <c r="L26" s="53">
        <v>27.03</v>
      </c>
      <c r="M26" s="53">
        <v>101.96</v>
      </c>
      <c r="N26" s="53">
        <v>47.4</v>
      </c>
      <c r="O26" s="53">
        <v>0</v>
      </c>
      <c r="P26" s="53">
        <v>0.81</v>
      </c>
      <c r="Q26" s="55" t="s">
        <v>8</v>
      </c>
      <c r="R26" s="43"/>
      <c r="S26" s="43"/>
      <c r="T26" s="43"/>
      <c r="U26" s="43"/>
    </row>
    <row r="27" spans="1:21" s="11" customFormat="1" x14ac:dyDescent="0.25">
      <c r="A27" s="52" t="s">
        <v>654</v>
      </c>
      <c r="B27" s="53">
        <v>9.02</v>
      </c>
      <c r="C27" s="53">
        <v>12.69</v>
      </c>
      <c r="D27" s="53">
        <v>12.53</v>
      </c>
      <c r="E27" s="53">
        <v>4.03</v>
      </c>
      <c r="F27" s="53">
        <v>3.94</v>
      </c>
      <c r="G27" s="53">
        <v>44.07</v>
      </c>
      <c r="H27" s="53">
        <v>17.54</v>
      </c>
      <c r="I27" s="53">
        <v>3.83</v>
      </c>
      <c r="J27" s="53">
        <v>0.63</v>
      </c>
      <c r="K27" s="53">
        <v>333.45</v>
      </c>
      <c r="L27" s="53">
        <v>26.17</v>
      </c>
      <c r="M27" s="53">
        <v>101.98</v>
      </c>
      <c r="N27" s="53">
        <v>26.5</v>
      </c>
      <c r="O27" s="53">
        <v>0</v>
      </c>
      <c r="P27" s="53">
        <v>1.53</v>
      </c>
      <c r="Q27" s="55" t="s">
        <v>8</v>
      </c>
      <c r="R27" s="43"/>
      <c r="S27" s="43"/>
      <c r="T27" s="43"/>
      <c r="U27" s="43"/>
    </row>
    <row r="28" spans="1:21" s="11" customFormat="1" x14ac:dyDescent="0.25">
      <c r="A28" s="52" t="s">
        <v>655</v>
      </c>
      <c r="B28" s="53">
        <v>11.52</v>
      </c>
      <c r="C28" s="53">
        <v>9.82</v>
      </c>
      <c r="D28" s="53">
        <v>14.02</v>
      </c>
      <c r="E28" s="53">
        <v>4.9400000000000004</v>
      </c>
      <c r="F28" s="53">
        <v>4.2699999999999996</v>
      </c>
      <c r="G28" s="53">
        <v>48.54</v>
      </c>
      <c r="H28" s="53">
        <v>19.16</v>
      </c>
      <c r="I28" s="53">
        <v>3.98</v>
      </c>
      <c r="J28" s="53">
        <v>0.56000000000000005</v>
      </c>
      <c r="K28" s="53">
        <v>326.04000000000002</v>
      </c>
      <c r="L28" s="53">
        <v>25.87</v>
      </c>
      <c r="M28" s="53">
        <v>101.36</v>
      </c>
      <c r="N28" s="53">
        <v>26.4</v>
      </c>
      <c r="O28" s="53">
        <v>0</v>
      </c>
      <c r="P28" s="53">
        <v>1.1599999999999999</v>
      </c>
      <c r="Q28" s="55" t="s">
        <v>8</v>
      </c>
      <c r="R28" s="43"/>
      <c r="S28" s="43"/>
      <c r="T28" s="43"/>
      <c r="U28" s="43"/>
    </row>
    <row r="29" spans="1:21" s="11" customFormat="1" x14ac:dyDescent="0.25">
      <c r="A29" s="52" t="s">
        <v>656</v>
      </c>
      <c r="B29" s="53">
        <v>13.43</v>
      </c>
      <c r="C29" s="53">
        <v>9.52</v>
      </c>
      <c r="D29" s="53">
        <v>15.29</v>
      </c>
      <c r="E29" s="53">
        <v>4.54</v>
      </c>
      <c r="F29" s="53">
        <v>3.76</v>
      </c>
      <c r="G29" s="53">
        <v>52.69</v>
      </c>
      <c r="H29" s="53">
        <v>21.85</v>
      </c>
      <c r="I29" s="53">
        <v>5.43</v>
      </c>
      <c r="J29" s="53">
        <v>0.38</v>
      </c>
      <c r="K29" s="53">
        <v>104.56</v>
      </c>
      <c r="L29" s="53">
        <v>25.58</v>
      </c>
      <c r="M29" s="53">
        <v>101.96</v>
      </c>
      <c r="N29" s="53">
        <v>26.2</v>
      </c>
      <c r="O29" s="53">
        <v>0</v>
      </c>
      <c r="P29" s="53">
        <v>1.1000000000000001</v>
      </c>
      <c r="Q29" s="55" t="s">
        <v>8</v>
      </c>
      <c r="R29" s="43"/>
      <c r="S29" s="43"/>
      <c r="T29" s="43"/>
      <c r="U29" s="43"/>
    </row>
    <row r="30" spans="1:21" s="11" customFormat="1" x14ac:dyDescent="0.25">
      <c r="A30" s="52" t="s">
        <v>657</v>
      </c>
      <c r="B30" s="53">
        <v>14.61</v>
      </c>
      <c r="C30" s="53">
        <v>8.7100000000000009</v>
      </c>
      <c r="D30" s="53">
        <v>16.27</v>
      </c>
      <c r="E30" s="53">
        <v>4.7300000000000004</v>
      </c>
      <c r="F30" s="53">
        <v>4.5</v>
      </c>
      <c r="G30" s="53">
        <v>52.65</v>
      </c>
      <c r="H30" s="53">
        <v>21.53</v>
      </c>
      <c r="I30" s="53">
        <v>4.99</v>
      </c>
      <c r="J30" s="53">
        <v>0.93</v>
      </c>
      <c r="K30" s="53">
        <v>135.43</v>
      </c>
      <c r="L30" s="53">
        <v>25.49</v>
      </c>
      <c r="M30" s="53">
        <v>101.95</v>
      </c>
      <c r="N30" s="53">
        <v>26.3</v>
      </c>
      <c r="O30" s="53">
        <v>0</v>
      </c>
      <c r="P30" s="53">
        <v>1.08</v>
      </c>
      <c r="Q30" s="55" t="s">
        <v>8</v>
      </c>
      <c r="R30" s="43"/>
      <c r="S30" s="43"/>
      <c r="T30" s="43"/>
      <c r="U30" s="43"/>
    </row>
    <row r="31" spans="1:21" s="11" customFormat="1" x14ac:dyDescent="0.25">
      <c r="A31" s="52" t="s">
        <v>658</v>
      </c>
      <c r="B31" s="53">
        <v>13.21</v>
      </c>
      <c r="C31" s="53">
        <v>7.82</v>
      </c>
      <c r="D31" s="53">
        <v>14.68</v>
      </c>
      <c r="E31" s="53">
        <v>4.41</v>
      </c>
      <c r="F31" s="53">
        <v>3.59</v>
      </c>
      <c r="G31" s="53">
        <v>50.19</v>
      </c>
      <c r="H31" s="53">
        <v>19.190000000000001</v>
      </c>
      <c r="I31" s="53">
        <v>4.54</v>
      </c>
      <c r="J31" s="53">
        <v>0.52</v>
      </c>
      <c r="K31" s="53">
        <v>258.22000000000003</v>
      </c>
      <c r="L31" s="53">
        <v>25.31</v>
      </c>
      <c r="M31" s="53">
        <v>102</v>
      </c>
      <c r="N31" s="53">
        <v>26.3</v>
      </c>
      <c r="O31" s="53">
        <v>0</v>
      </c>
      <c r="P31" s="53">
        <v>0.96</v>
      </c>
      <c r="Q31" s="55" t="s">
        <v>8</v>
      </c>
      <c r="R31" s="43"/>
      <c r="S31" s="43"/>
      <c r="T31" s="43"/>
      <c r="U31" s="43"/>
    </row>
    <row r="32" spans="1:21" s="11" customFormat="1" x14ac:dyDescent="0.25">
      <c r="A32" s="52" t="s">
        <v>659</v>
      </c>
      <c r="B32" s="53">
        <v>12.84</v>
      </c>
      <c r="C32" s="53">
        <v>7.18</v>
      </c>
      <c r="D32" s="53">
        <v>14.04</v>
      </c>
      <c r="E32" s="53">
        <v>4.75</v>
      </c>
      <c r="F32" s="53">
        <v>3.74</v>
      </c>
      <c r="G32" s="53">
        <v>43.54</v>
      </c>
      <c r="H32" s="53">
        <v>17.170000000000002</v>
      </c>
      <c r="I32" s="53">
        <v>2.23</v>
      </c>
      <c r="J32" s="53">
        <v>0.71</v>
      </c>
      <c r="K32" s="53">
        <v>167.41</v>
      </c>
      <c r="L32" s="53">
        <v>25.17</v>
      </c>
      <c r="M32" s="53">
        <v>102</v>
      </c>
      <c r="N32" s="53">
        <v>26.3</v>
      </c>
      <c r="O32" s="53">
        <v>0</v>
      </c>
      <c r="P32" s="53">
        <v>0.56000000000000005</v>
      </c>
      <c r="Q32" s="55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4.04</v>
      </c>
      <c r="C34" s="28">
        <f t="shared" si="0"/>
        <v>3.13</v>
      </c>
      <c r="D34" s="28">
        <f t="shared" si="0"/>
        <v>7.22</v>
      </c>
      <c r="E34" s="28">
        <f t="shared" si="0"/>
        <v>4.03</v>
      </c>
      <c r="F34" s="28">
        <f t="shared" si="0"/>
        <v>3.59</v>
      </c>
      <c r="G34" s="28">
        <f t="shared" si="0"/>
        <v>19.78</v>
      </c>
      <c r="H34" s="28">
        <f t="shared" si="0"/>
        <v>9.86</v>
      </c>
      <c r="I34" s="28">
        <f t="shared" si="0"/>
        <v>1.86</v>
      </c>
      <c r="J34" s="28">
        <f t="shared" si="0"/>
        <v>0.25</v>
      </c>
      <c r="K34" s="28">
        <f t="shared" si="0"/>
        <v>95.78</v>
      </c>
      <c r="L34" s="28">
        <f t="shared" si="0"/>
        <v>23.64</v>
      </c>
      <c r="M34" s="28">
        <f t="shared" si="0"/>
        <v>90.76</v>
      </c>
      <c r="N34" s="28">
        <f t="shared" si="0"/>
        <v>26.1</v>
      </c>
      <c r="O34" s="28">
        <f t="shared" si="0"/>
        <v>0</v>
      </c>
      <c r="P34" s="28">
        <f t="shared" si="0"/>
        <v>0.39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14.61</v>
      </c>
      <c r="C35" s="29">
        <f t="shared" si="1"/>
        <v>29.5</v>
      </c>
      <c r="D35" s="29">
        <f t="shared" si="1"/>
        <v>25.26</v>
      </c>
      <c r="E35" s="29">
        <f t="shared" si="1"/>
        <v>5.36</v>
      </c>
      <c r="F35" s="29">
        <f t="shared" si="1"/>
        <v>5.72</v>
      </c>
      <c r="G35" s="29">
        <f t="shared" si="1"/>
        <v>52.69</v>
      </c>
      <c r="H35" s="29">
        <f t="shared" si="1"/>
        <v>21.85</v>
      </c>
      <c r="I35" s="29">
        <f t="shared" si="1"/>
        <v>6.87</v>
      </c>
      <c r="J35" s="29">
        <f t="shared" si="1"/>
        <v>1.57</v>
      </c>
      <c r="K35" s="29">
        <f t="shared" si="1"/>
        <v>353.63</v>
      </c>
      <c r="L35" s="29">
        <f t="shared" si="1"/>
        <v>28.91</v>
      </c>
      <c r="M35" s="29">
        <f t="shared" si="1"/>
        <v>102.03</v>
      </c>
      <c r="N35" s="29">
        <f t="shared" si="1"/>
        <v>339.7</v>
      </c>
      <c r="O35" s="29">
        <f t="shared" si="1"/>
        <v>0</v>
      </c>
      <c r="P35" s="29">
        <f t="shared" si="1"/>
        <v>1.53</v>
      </c>
      <c r="Q35" s="29">
        <f t="shared" si="1"/>
        <v>9.85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7.0100000000000007</v>
      </c>
      <c r="C36" s="28">
        <f t="shared" si="2"/>
        <v>10.296666666666667</v>
      </c>
      <c r="D36" s="28">
        <f t="shared" si="2"/>
        <v>11.871250000000003</v>
      </c>
      <c r="E36" s="28">
        <f t="shared" si="2"/>
        <v>4.6379166666666682</v>
      </c>
      <c r="F36" s="28">
        <f t="shared" si="2"/>
        <v>4.4633333333333338</v>
      </c>
      <c r="G36" s="28">
        <f t="shared" si="2"/>
        <v>33.523333333333333</v>
      </c>
      <c r="H36" s="28">
        <f t="shared" si="2"/>
        <v>14.352083333333335</v>
      </c>
      <c r="I36" s="28">
        <f t="shared" si="2"/>
        <v>4.1012500000000012</v>
      </c>
      <c r="J36" s="28">
        <f t="shared" si="2"/>
        <v>0.7562500000000002</v>
      </c>
      <c r="K36" s="28">
        <f t="shared" si="2"/>
        <v>249.10625000000005</v>
      </c>
      <c r="L36" s="28">
        <f t="shared" si="2"/>
        <v>25.69083333333333</v>
      </c>
      <c r="M36" s="28">
        <f t="shared" si="2"/>
        <v>100.50291666666665</v>
      </c>
      <c r="N36" s="28">
        <f t="shared" si="2"/>
        <v>108.57083333333334</v>
      </c>
      <c r="O36" s="28">
        <f t="shared" si="2"/>
        <v>0</v>
      </c>
      <c r="P36" s="28">
        <f t="shared" si="2"/>
        <v>0.66583333333333328</v>
      </c>
      <c r="Q36" s="28">
        <f t="shared" si="2"/>
        <v>9.6909090909090896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3.8708284699116104</v>
      </c>
      <c r="C37" s="28">
        <f t="shared" ref="C37:Q37" si="3">STDEV(C9:C32)</f>
        <v>9.5019191044055233</v>
      </c>
      <c r="D37" s="28">
        <f t="shared" si="3"/>
        <v>5.3244426632195907</v>
      </c>
      <c r="E37" s="28">
        <f t="shared" si="3"/>
        <v>0.38001120311479453</v>
      </c>
      <c r="F37" s="28">
        <f t="shared" si="3"/>
        <v>0.59627588206821569</v>
      </c>
      <c r="G37" s="28">
        <f t="shared" si="3"/>
        <v>12.424371444749296</v>
      </c>
      <c r="H37" s="28">
        <f t="shared" si="3"/>
        <v>3.8046115943756913</v>
      </c>
      <c r="I37" s="28">
        <f t="shared" si="3"/>
        <v>1.3470299454403509</v>
      </c>
      <c r="J37" s="28">
        <f t="shared" si="3"/>
        <v>0.31313023405327789</v>
      </c>
      <c r="K37" s="28">
        <f t="shared" si="3"/>
        <v>105.56117302561324</v>
      </c>
      <c r="L37" s="28">
        <f t="shared" si="3"/>
        <v>1.5967818632614097</v>
      </c>
      <c r="M37" s="28">
        <f t="shared" si="3"/>
        <v>3.3702012314667082</v>
      </c>
      <c r="N37" s="28">
        <f t="shared" si="3"/>
        <v>109.28715457818952</v>
      </c>
      <c r="O37" s="28">
        <f t="shared" si="3"/>
        <v>0</v>
      </c>
      <c r="P37" s="28">
        <f t="shared" si="3"/>
        <v>0.2989098550554587</v>
      </c>
      <c r="Q37" s="28">
        <f t="shared" si="3"/>
        <v>9.5964008404666665E-2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COUNT(Q9:Q32)+13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0"/>
      <c r="B8" s="61" t="s">
        <v>22</v>
      </c>
      <c r="C8" s="61" t="s">
        <v>22</v>
      </c>
      <c r="D8" s="29" t="s">
        <v>42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660</v>
      </c>
      <c r="B9" s="53">
        <v>10.71</v>
      </c>
      <c r="C9" s="53">
        <v>6.72</v>
      </c>
      <c r="D9" s="53">
        <v>11.99</v>
      </c>
      <c r="E9" s="53">
        <v>5.7</v>
      </c>
      <c r="F9" s="53">
        <v>4.42</v>
      </c>
      <c r="G9" s="53">
        <v>40.76</v>
      </c>
      <c r="H9" s="53">
        <v>19.329999999999998</v>
      </c>
      <c r="I9" s="53">
        <v>3.78</v>
      </c>
      <c r="J9" s="53">
        <v>0.52</v>
      </c>
      <c r="K9" s="53">
        <v>296.24</v>
      </c>
      <c r="L9" s="53">
        <v>24.83</v>
      </c>
      <c r="M9" s="53">
        <v>102.03</v>
      </c>
      <c r="N9" s="53">
        <v>26.1</v>
      </c>
      <c r="O9" s="53">
        <v>0</v>
      </c>
      <c r="P9" s="53">
        <v>0.73</v>
      </c>
      <c r="Q9" s="55" t="s">
        <v>8</v>
      </c>
      <c r="R9" s="43"/>
      <c r="S9" s="43"/>
      <c r="T9" s="43"/>
      <c r="U9" s="43"/>
    </row>
    <row r="10" spans="1:21" s="11" customFormat="1" x14ac:dyDescent="0.25">
      <c r="A10" s="52" t="s">
        <v>661</v>
      </c>
      <c r="B10" s="53">
        <v>8.68</v>
      </c>
      <c r="C10" s="53">
        <v>6.08</v>
      </c>
      <c r="D10" s="53">
        <v>9.94</v>
      </c>
      <c r="E10" s="53">
        <v>5.4</v>
      </c>
      <c r="F10" s="53">
        <v>6.15</v>
      </c>
      <c r="G10" s="53">
        <v>36.07</v>
      </c>
      <c r="H10" s="53">
        <v>19.149999999999999</v>
      </c>
      <c r="I10" s="53">
        <v>4.01</v>
      </c>
      <c r="J10" s="53">
        <v>2.08</v>
      </c>
      <c r="K10" s="53">
        <v>148.16</v>
      </c>
      <c r="L10" s="53">
        <v>24.78</v>
      </c>
      <c r="M10" s="53">
        <v>102.03</v>
      </c>
      <c r="N10" s="53">
        <v>26.7</v>
      </c>
      <c r="O10" s="53">
        <v>0</v>
      </c>
      <c r="P10" s="53">
        <v>0.63</v>
      </c>
      <c r="Q10" s="55" t="s">
        <v>8</v>
      </c>
      <c r="R10" s="43"/>
      <c r="S10" s="43"/>
      <c r="T10" s="43"/>
      <c r="U10" s="43"/>
    </row>
    <row r="11" spans="1:21" s="11" customFormat="1" x14ac:dyDescent="0.25">
      <c r="A11" s="52" t="s">
        <v>662</v>
      </c>
      <c r="B11" s="53">
        <v>6.77</v>
      </c>
      <c r="C11" s="53">
        <v>5.07</v>
      </c>
      <c r="D11" s="53">
        <v>8.08</v>
      </c>
      <c r="E11" s="53">
        <v>5.36</v>
      </c>
      <c r="F11" s="53">
        <v>3.59</v>
      </c>
      <c r="G11" s="53">
        <v>30.79</v>
      </c>
      <c r="H11" s="53">
        <v>16.77</v>
      </c>
      <c r="I11" s="53">
        <v>5.96</v>
      </c>
      <c r="J11" s="53">
        <v>1.62</v>
      </c>
      <c r="K11" s="53">
        <v>137.38999999999999</v>
      </c>
      <c r="L11" s="53">
        <v>24.24</v>
      </c>
      <c r="M11" s="53">
        <v>102.05</v>
      </c>
      <c r="N11" s="53">
        <v>26.9</v>
      </c>
      <c r="O11" s="53">
        <v>0.6</v>
      </c>
      <c r="P11" s="53">
        <v>0.56999999999999995</v>
      </c>
      <c r="Q11" s="55" t="s">
        <v>8</v>
      </c>
      <c r="R11" s="43"/>
      <c r="S11" s="43"/>
      <c r="T11" s="43"/>
      <c r="U11" s="43"/>
    </row>
    <row r="12" spans="1:21" s="11" customFormat="1" x14ac:dyDescent="0.25">
      <c r="A12" s="52" t="s">
        <v>663</v>
      </c>
      <c r="B12" s="53">
        <v>5.38</v>
      </c>
      <c r="C12" s="53">
        <v>3.94</v>
      </c>
      <c r="D12" s="53">
        <v>6.37</v>
      </c>
      <c r="E12" s="53">
        <v>5.52</v>
      </c>
      <c r="F12" s="53">
        <v>3.78</v>
      </c>
      <c r="G12" s="53">
        <v>24.74</v>
      </c>
      <c r="H12" s="53">
        <v>12.9</v>
      </c>
      <c r="I12" s="53">
        <v>1.6</v>
      </c>
      <c r="J12" s="53">
        <v>0.4</v>
      </c>
      <c r="K12" s="53">
        <v>326.83999999999997</v>
      </c>
      <c r="L12" s="53">
        <v>23.57</v>
      </c>
      <c r="M12" s="53">
        <v>102.08</v>
      </c>
      <c r="N12" s="53">
        <v>26.4</v>
      </c>
      <c r="O12" s="53">
        <v>0</v>
      </c>
      <c r="P12" s="53">
        <v>0.31</v>
      </c>
      <c r="Q12" s="55" t="s">
        <v>8</v>
      </c>
      <c r="R12" s="43"/>
      <c r="S12" s="43"/>
      <c r="T12" s="43"/>
      <c r="U12" s="43"/>
    </row>
    <row r="13" spans="1:21" s="11" customFormat="1" x14ac:dyDescent="0.25">
      <c r="A13" s="52" t="s">
        <v>664</v>
      </c>
      <c r="B13" s="53">
        <v>4.96</v>
      </c>
      <c r="C13" s="53">
        <v>4.53</v>
      </c>
      <c r="D13" s="53">
        <v>6.25</v>
      </c>
      <c r="E13" s="53">
        <v>5.39</v>
      </c>
      <c r="F13" s="53">
        <v>5.23</v>
      </c>
      <c r="G13" s="53">
        <v>19.72</v>
      </c>
      <c r="H13" s="53">
        <v>10.69</v>
      </c>
      <c r="I13" s="53">
        <v>4</v>
      </c>
      <c r="J13" s="53">
        <v>0.93</v>
      </c>
      <c r="K13" s="53">
        <v>199.84</v>
      </c>
      <c r="L13" s="53">
        <v>23.62</v>
      </c>
      <c r="M13" s="53">
        <v>102.08</v>
      </c>
      <c r="N13" s="53">
        <v>26.6</v>
      </c>
      <c r="O13" s="53">
        <v>0</v>
      </c>
      <c r="P13" s="53">
        <v>0.47</v>
      </c>
      <c r="Q13" s="55" t="s">
        <v>8</v>
      </c>
      <c r="R13" s="43"/>
      <c r="S13" s="43"/>
      <c r="T13" s="43"/>
      <c r="U13" s="43"/>
    </row>
    <row r="14" spans="1:21" s="11" customFormat="1" x14ac:dyDescent="0.25">
      <c r="A14" s="52" t="s">
        <v>665</v>
      </c>
      <c r="B14" s="53">
        <v>4.6900000000000004</v>
      </c>
      <c r="C14" s="53">
        <v>4.53</v>
      </c>
      <c r="D14" s="53">
        <v>6.11</v>
      </c>
      <c r="E14" s="53">
        <v>5.21</v>
      </c>
      <c r="F14" s="53">
        <v>3.91</v>
      </c>
      <c r="G14" s="53">
        <v>19.190000000000001</v>
      </c>
      <c r="H14" s="53">
        <v>10.18</v>
      </c>
      <c r="I14" s="53">
        <v>3.69</v>
      </c>
      <c r="J14" s="53">
        <v>0.85</v>
      </c>
      <c r="K14" s="53">
        <v>130.99</v>
      </c>
      <c r="L14" s="53">
        <v>23.66</v>
      </c>
      <c r="M14" s="53">
        <v>102.08</v>
      </c>
      <c r="N14" s="53">
        <v>27.9</v>
      </c>
      <c r="O14" s="53">
        <v>0</v>
      </c>
      <c r="P14" s="53">
        <v>0.42</v>
      </c>
      <c r="Q14" s="55" t="s">
        <v>8</v>
      </c>
      <c r="R14" s="43"/>
      <c r="S14" s="43"/>
      <c r="T14" s="43"/>
      <c r="U14" s="43"/>
    </row>
    <row r="15" spans="1:21" s="11" customFormat="1" x14ac:dyDescent="0.25">
      <c r="A15" s="52" t="s">
        <v>666</v>
      </c>
      <c r="B15" s="53">
        <v>4.7300000000000004</v>
      </c>
      <c r="C15" s="53">
        <v>4.49</v>
      </c>
      <c r="D15" s="53">
        <v>6.07</v>
      </c>
      <c r="E15" s="53">
        <v>5.72</v>
      </c>
      <c r="F15" s="53">
        <v>4.33</v>
      </c>
      <c r="G15" s="53">
        <v>17.16</v>
      </c>
      <c r="H15" s="53">
        <v>10.07</v>
      </c>
      <c r="I15" s="53">
        <v>3.42</v>
      </c>
      <c r="J15" s="53">
        <v>0.4</v>
      </c>
      <c r="K15" s="53">
        <v>268.10000000000002</v>
      </c>
      <c r="L15" s="53">
        <v>23.92</v>
      </c>
      <c r="M15" s="53">
        <v>102.07</v>
      </c>
      <c r="N15" s="53">
        <v>80.3</v>
      </c>
      <c r="O15" s="53">
        <v>0</v>
      </c>
      <c r="P15" s="53">
        <v>0.39</v>
      </c>
      <c r="Q15" s="55" t="s">
        <v>8</v>
      </c>
      <c r="R15" s="43"/>
      <c r="S15" s="43"/>
      <c r="T15" s="43"/>
      <c r="U15" s="43"/>
    </row>
    <row r="16" spans="1:21" s="11" customFormat="1" x14ac:dyDescent="0.25">
      <c r="A16" s="52" t="s">
        <v>667</v>
      </c>
      <c r="B16" s="53">
        <v>4.57</v>
      </c>
      <c r="C16" s="53">
        <v>3.92</v>
      </c>
      <c r="D16" s="53">
        <v>5.68</v>
      </c>
      <c r="E16" s="53">
        <v>5.08</v>
      </c>
      <c r="F16" s="53">
        <v>3.75</v>
      </c>
      <c r="G16" s="53">
        <v>14.2</v>
      </c>
      <c r="H16" s="53">
        <v>9.86</v>
      </c>
      <c r="I16" s="53">
        <v>2.15</v>
      </c>
      <c r="J16" s="53">
        <v>0.56000000000000005</v>
      </c>
      <c r="K16" s="53">
        <v>300.58999999999997</v>
      </c>
      <c r="L16" s="53">
        <v>24.88</v>
      </c>
      <c r="M16" s="53">
        <v>102.05</v>
      </c>
      <c r="N16" s="53">
        <v>154.69999999999999</v>
      </c>
      <c r="O16" s="53">
        <v>0</v>
      </c>
      <c r="P16" s="53">
        <v>0.39</v>
      </c>
      <c r="Q16" s="55" t="s">
        <v>8</v>
      </c>
      <c r="R16" s="43"/>
      <c r="S16" s="43"/>
      <c r="T16" s="43"/>
      <c r="U16" s="43"/>
    </row>
    <row r="17" spans="1:21" s="11" customFormat="1" x14ac:dyDescent="0.25">
      <c r="A17" s="52" t="s">
        <v>668</v>
      </c>
      <c r="B17" s="53">
        <v>4.57</v>
      </c>
      <c r="C17" s="53">
        <v>4.49</v>
      </c>
      <c r="D17" s="53">
        <v>6</v>
      </c>
      <c r="E17" s="53">
        <v>4.21</v>
      </c>
      <c r="F17" s="53">
        <v>4.1399999999999997</v>
      </c>
      <c r="G17" s="53">
        <v>12.77</v>
      </c>
      <c r="H17" s="53">
        <v>9.66</v>
      </c>
      <c r="I17" s="53">
        <v>3.74</v>
      </c>
      <c r="J17" s="53">
        <v>0.7</v>
      </c>
      <c r="K17" s="53">
        <v>122.19</v>
      </c>
      <c r="L17" s="53">
        <v>25.56</v>
      </c>
      <c r="M17" s="53">
        <v>102</v>
      </c>
      <c r="N17" s="53">
        <v>193.4</v>
      </c>
      <c r="O17" s="53">
        <v>0</v>
      </c>
      <c r="P17" s="53">
        <v>0.41</v>
      </c>
      <c r="Q17" s="55" t="s">
        <v>8</v>
      </c>
      <c r="R17" s="43"/>
      <c r="S17" s="43"/>
      <c r="T17" s="43"/>
      <c r="U17" s="43"/>
    </row>
    <row r="18" spans="1:21" s="11" customFormat="1" x14ac:dyDescent="0.25">
      <c r="A18" s="52" t="s">
        <v>669</v>
      </c>
      <c r="B18" s="53">
        <v>4.55</v>
      </c>
      <c r="C18" s="53">
        <v>4.9400000000000004</v>
      </c>
      <c r="D18" s="53">
        <v>6.23</v>
      </c>
      <c r="E18" s="53">
        <v>4.38</v>
      </c>
      <c r="F18" s="53">
        <v>3.7</v>
      </c>
      <c r="G18" s="53">
        <v>16.059999999999999</v>
      </c>
      <c r="H18" s="53">
        <v>8.94</v>
      </c>
      <c r="I18" s="53">
        <v>4.04</v>
      </c>
      <c r="J18" s="53">
        <v>0.67</v>
      </c>
      <c r="K18" s="53">
        <v>334.63</v>
      </c>
      <c r="L18" s="53">
        <v>28.49</v>
      </c>
      <c r="M18" s="53">
        <v>101.97</v>
      </c>
      <c r="N18" s="53">
        <v>421</v>
      </c>
      <c r="O18" s="53">
        <v>0</v>
      </c>
      <c r="P18" s="53">
        <v>0.41</v>
      </c>
      <c r="Q18" s="55" t="s">
        <v>8</v>
      </c>
      <c r="R18" s="43"/>
      <c r="S18" s="43"/>
      <c r="T18" s="43"/>
      <c r="U18" s="43"/>
    </row>
    <row r="19" spans="1:21" s="11" customFormat="1" x14ac:dyDescent="0.25">
      <c r="A19" s="52" t="s">
        <v>670</v>
      </c>
      <c r="B19" s="53">
        <v>5.44</v>
      </c>
      <c r="C19" s="53">
        <v>6.07</v>
      </c>
      <c r="D19" s="53">
        <v>7.54</v>
      </c>
      <c r="E19" s="53">
        <v>4.3600000000000003</v>
      </c>
      <c r="F19" s="53">
        <v>4.0199999999999996</v>
      </c>
      <c r="G19" s="53">
        <v>20.260000000000002</v>
      </c>
      <c r="H19" s="53">
        <v>9.3000000000000007</v>
      </c>
      <c r="I19" s="53">
        <v>4.07</v>
      </c>
      <c r="J19" s="53">
        <v>0.39</v>
      </c>
      <c r="K19" s="53">
        <v>348.16</v>
      </c>
      <c r="L19" s="53">
        <v>28.41</v>
      </c>
      <c r="M19" s="53">
        <v>93.51</v>
      </c>
      <c r="N19" s="53">
        <v>443.8</v>
      </c>
      <c r="O19" s="53">
        <v>0</v>
      </c>
      <c r="P19" s="53">
        <v>0.44</v>
      </c>
      <c r="Q19" s="55" t="s">
        <v>8</v>
      </c>
      <c r="R19" s="43"/>
      <c r="S19" s="43"/>
      <c r="T19" s="43"/>
      <c r="U19" s="43"/>
    </row>
    <row r="20" spans="1:21" s="11" customFormat="1" x14ac:dyDescent="0.25">
      <c r="A20" s="52" t="s">
        <v>671</v>
      </c>
      <c r="B20" s="53">
        <v>6.37</v>
      </c>
      <c r="C20" s="53">
        <v>6.92</v>
      </c>
      <c r="D20" s="53">
        <v>8.7200000000000006</v>
      </c>
      <c r="E20" s="53">
        <v>5.22</v>
      </c>
      <c r="F20" s="53">
        <v>3.79</v>
      </c>
      <c r="G20" s="53">
        <v>19.690000000000001</v>
      </c>
      <c r="H20" s="53">
        <v>8.27</v>
      </c>
      <c r="I20" s="53">
        <v>3.4</v>
      </c>
      <c r="J20" s="53">
        <v>1.21</v>
      </c>
      <c r="K20" s="53">
        <v>339.78</v>
      </c>
      <c r="L20" s="53">
        <v>31.28</v>
      </c>
      <c r="M20" s="53">
        <v>81.06</v>
      </c>
      <c r="N20" s="53">
        <v>614.29999999999995</v>
      </c>
      <c r="O20" s="53">
        <v>0</v>
      </c>
      <c r="P20" s="53">
        <v>0.52</v>
      </c>
      <c r="Q20" s="55" t="s">
        <v>8</v>
      </c>
      <c r="R20" s="43"/>
      <c r="S20" s="43"/>
      <c r="T20" s="43"/>
      <c r="U20" s="43"/>
    </row>
    <row r="21" spans="1:21" s="11" customFormat="1" x14ac:dyDescent="0.25">
      <c r="A21" s="52" t="s">
        <v>672</v>
      </c>
      <c r="B21" s="53">
        <v>7.1</v>
      </c>
      <c r="C21" s="53">
        <v>8.1</v>
      </c>
      <c r="D21" s="53">
        <v>9.92</v>
      </c>
      <c r="E21" s="53">
        <v>4.53</v>
      </c>
      <c r="F21" s="53">
        <v>4.3</v>
      </c>
      <c r="G21" s="53">
        <v>23.34</v>
      </c>
      <c r="H21" s="53">
        <v>11.65</v>
      </c>
      <c r="I21" s="53">
        <v>3.73</v>
      </c>
      <c r="J21" s="53">
        <v>1.31</v>
      </c>
      <c r="K21" s="53">
        <v>329.37</v>
      </c>
      <c r="L21" s="53">
        <v>30.2</v>
      </c>
      <c r="M21" s="53">
        <v>102.05</v>
      </c>
      <c r="N21" s="53">
        <v>161.19999999999999</v>
      </c>
      <c r="O21" s="53">
        <v>0.4</v>
      </c>
      <c r="P21" s="53">
        <v>0.63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673</v>
      </c>
      <c r="B22" s="53">
        <v>6.7</v>
      </c>
      <c r="C22" s="53">
        <v>7.25</v>
      </c>
      <c r="D22" s="53">
        <v>9.16</v>
      </c>
      <c r="E22" s="53">
        <v>4.21</v>
      </c>
      <c r="F22" s="53">
        <v>3.82</v>
      </c>
      <c r="G22" s="53">
        <v>25.76</v>
      </c>
      <c r="H22" s="53">
        <v>11.1</v>
      </c>
      <c r="I22" s="53">
        <v>3.47</v>
      </c>
      <c r="J22" s="53">
        <v>1.1599999999999999</v>
      </c>
      <c r="K22" s="53">
        <v>143.38</v>
      </c>
      <c r="L22" s="53">
        <v>24.95</v>
      </c>
      <c r="M22" s="53">
        <v>102.04</v>
      </c>
      <c r="N22" s="53">
        <v>134.1</v>
      </c>
      <c r="O22" s="53">
        <v>0</v>
      </c>
      <c r="P22" s="53">
        <v>0.48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674</v>
      </c>
      <c r="B23" s="53">
        <v>5.68</v>
      </c>
      <c r="C23" s="53">
        <v>6.21</v>
      </c>
      <c r="D23" s="53">
        <v>7.75</v>
      </c>
      <c r="E23" s="53">
        <v>4.4400000000000004</v>
      </c>
      <c r="F23" s="53">
        <v>3.73</v>
      </c>
      <c r="G23" s="53">
        <v>23.72</v>
      </c>
      <c r="H23" s="53">
        <v>8.1300000000000008</v>
      </c>
      <c r="I23" s="53">
        <v>3.92</v>
      </c>
      <c r="J23" s="53">
        <v>0.84</v>
      </c>
      <c r="K23" s="53">
        <v>157.93</v>
      </c>
      <c r="L23" s="53">
        <v>25.43</v>
      </c>
      <c r="M23" s="53">
        <v>101.99</v>
      </c>
      <c r="N23" s="53">
        <v>151.69999999999999</v>
      </c>
      <c r="O23" s="53">
        <v>0</v>
      </c>
      <c r="P23" s="53">
        <v>0.47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675</v>
      </c>
      <c r="B24" s="53">
        <v>5.57</v>
      </c>
      <c r="C24" s="53">
        <v>5.78</v>
      </c>
      <c r="D24" s="53">
        <v>7.44</v>
      </c>
      <c r="E24" s="53">
        <v>4.2300000000000004</v>
      </c>
      <c r="F24" s="53">
        <v>3.58</v>
      </c>
      <c r="G24" s="53">
        <v>17.04</v>
      </c>
      <c r="H24" s="53">
        <v>6.29</v>
      </c>
      <c r="I24" s="53">
        <v>2.52</v>
      </c>
      <c r="J24" s="53">
        <v>1.43</v>
      </c>
      <c r="K24" s="53">
        <v>165.71</v>
      </c>
      <c r="L24" s="53">
        <v>25.25</v>
      </c>
      <c r="M24" s="53">
        <v>102.04</v>
      </c>
      <c r="N24" s="53">
        <v>74.5</v>
      </c>
      <c r="O24" s="53">
        <v>0.4</v>
      </c>
      <c r="P24" s="53">
        <v>0.43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676</v>
      </c>
      <c r="B25" s="53">
        <v>5.98</v>
      </c>
      <c r="C25" s="53">
        <v>5.81</v>
      </c>
      <c r="D25" s="53">
        <v>7.84</v>
      </c>
      <c r="E25" s="53">
        <v>4.95</v>
      </c>
      <c r="F25" s="53">
        <v>3.84</v>
      </c>
      <c r="G25" s="53">
        <v>14.76</v>
      </c>
      <c r="H25" s="53">
        <v>6.28</v>
      </c>
      <c r="I25" s="53">
        <v>4.34</v>
      </c>
      <c r="J25" s="53">
        <v>1.56</v>
      </c>
      <c r="K25" s="53">
        <v>150.06</v>
      </c>
      <c r="L25" s="53">
        <v>24.35</v>
      </c>
      <c r="M25" s="53">
        <v>102.08</v>
      </c>
      <c r="N25" s="53">
        <v>37.4</v>
      </c>
      <c r="O25" s="53">
        <v>0.8</v>
      </c>
      <c r="P25" s="53">
        <v>0.43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677</v>
      </c>
      <c r="B26" s="53">
        <v>5.87</v>
      </c>
      <c r="C26" s="53">
        <v>6.33</v>
      </c>
      <c r="D26" s="53">
        <v>7.84</v>
      </c>
      <c r="E26" s="53">
        <v>4.7699999999999996</v>
      </c>
      <c r="F26" s="53">
        <v>4</v>
      </c>
      <c r="G26" s="53">
        <v>13.64</v>
      </c>
      <c r="H26" s="53">
        <v>5.93</v>
      </c>
      <c r="I26" s="53">
        <v>5.43</v>
      </c>
      <c r="J26" s="53">
        <v>1.42</v>
      </c>
      <c r="K26" s="53">
        <v>152.25</v>
      </c>
      <c r="L26" s="53">
        <v>23.78</v>
      </c>
      <c r="M26" s="53">
        <v>102.08</v>
      </c>
      <c r="N26" s="53">
        <v>32.1</v>
      </c>
      <c r="O26" s="53">
        <v>0.4</v>
      </c>
      <c r="P26" s="53">
        <v>0.42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678</v>
      </c>
      <c r="B27" s="53">
        <v>5.07</v>
      </c>
      <c r="C27" s="53">
        <v>6.45</v>
      </c>
      <c r="D27" s="53">
        <v>7.28</v>
      </c>
      <c r="E27" s="53">
        <v>4.75</v>
      </c>
      <c r="F27" s="53">
        <v>4.03</v>
      </c>
      <c r="G27" s="53">
        <v>9.86</v>
      </c>
      <c r="H27" s="53">
        <v>4.12</v>
      </c>
      <c r="I27" s="53">
        <v>5.35</v>
      </c>
      <c r="J27" s="53">
        <v>1.25</v>
      </c>
      <c r="K27" s="53">
        <v>156.61000000000001</v>
      </c>
      <c r="L27" s="53">
        <v>23.11</v>
      </c>
      <c r="M27" s="53">
        <v>102.07</v>
      </c>
      <c r="N27" s="53">
        <v>26.6</v>
      </c>
      <c r="O27" s="53">
        <v>0.2</v>
      </c>
      <c r="P27" s="53">
        <v>0.4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679</v>
      </c>
      <c r="B28" s="53">
        <v>3.97</v>
      </c>
      <c r="C28" s="53">
        <v>5.98</v>
      </c>
      <c r="D28" s="53">
        <v>6.31</v>
      </c>
      <c r="E28" s="53">
        <v>4.45</v>
      </c>
      <c r="F28" s="53">
        <v>3.53</v>
      </c>
      <c r="G28" s="53">
        <v>7.01</v>
      </c>
      <c r="H28" s="53">
        <v>3.9</v>
      </c>
      <c r="I28" s="53">
        <v>4.6500000000000004</v>
      </c>
      <c r="J28" s="53">
        <v>1.48</v>
      </c>
      <c r="K28" s="53">
        <v>175.18</v>
      </c>
      <c r="L28" s="53">
        <v>22.79</v>
      </c>
      <c r="M28" s="53">
        <v>102.1</v>
      </c>
      <c r="N28" s="53">
        <v>26.5</v>
      </c>
      <c r="O28" s="53">
        <v>0.2</v>
      </c>
      <c r="P28" s="53">
        <v>0.38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680</v>
      </c>
      <c r="B29" s="53">
        <v>3.65</v>
      </c>
      <c r="C29" s="53">
        <v>5.29</v>
      </c>
      <c r="D29" s="53">
        <v>5.69</v>
      </c>
      <c r="E29" s="53">
        <v>4.5</v>
      </c>
      <c r="F29" s="53">
        <v>3.87</v>
      </c>
      <c r="G29" s="53">
        <v>5.15</v>
      </c>
      <c r="H29" s="53">
        <v>3.67</v>
      </c>
      <c r="I29" s="53">
        <v>3.55</v>
      </c>
      <c r="J29" s="53">
        <v>0.73</v>
      </c>
      <c r="K29" s="53">
        <v>167</v>
      </c>
      <c r="L29" s="53">
        <v>22.93</v>
      </c>
      <c r="M29" s="53">
        <v>102.1</v>
      </c>
      <c r="N29" s="53">
        <v>26.2</v>
      </c>
      <c r="O29" s="53">
        <v>0</v>
      </c>
      <c r="P29" s="53">
        <v>0.38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681</v>
      </c>
      <c r="B30" s="53">
        <v>4.04</v>
      </c>
      <c r="C30" s="53">
        <v>6</v>
      </c>
      <c r="D30" s="53">
        <v>6.38</v>
      </c>
      <c r="E30" s="53">
        <v>4.74</v>
      </c>
      <c r="F30" s="53">
        <v>3.62</v>
      </c>
      <c r="G30" s="53">
        <v>3.82</v>
      </c>
      <c r="H30" s="53">
        <v>3.48</v>
      </c>
      <c r="I30" s="53">
        <v>4.17</v>
      </c>
      <c r="J30" s="53">
        <v>0.89</v>
      </c>
      <c r="K30" s="53">
        <v>162.5</v>
      </c>
      <c r="L30" s="53">
        <v>23.04</v>
      </c>
      <c r="M30" s="53">
        <v>102.1</v>
      </c>
      <c r="N30" s="53">
        <v>26.5</v>
      </c>
      <c r="O30" s="53">
        <v>0</v>
      </c>
      <c r="P30" s="53">
        <v>0.38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682</v>
      </c>
      <c r="B31" s="53">
        <v>4.07</v>
      </c>
      <c r="C31" s="53">
        <v>5.76</v>
      </c>
      <c r="D31" s="53">
        <v>6.26</v>
      </c>
      <c r="E31" s="53">
        <v>4.82</v>
      </c>
      <c r="F31" s="53">
        <v>4.12</v>
      </c>
      <c r="G31" s="53">
        <v>2.93</v>
      </c>
      <c r="H31" s="53">
        <v>3.18</v>
      </c>
      <c r="I31" s="53">
        <v>3.89</v>
      </c>
      <c r="J31" s="53">
        <v>0.9</v>
      </c>
      <c r="K31" s="53">
        <v>159.74</v>
      </c>
      <c r="L31" s="53">
        <v>23</v>
      </c>
      <c r="M31" s="53">
        <v>102.1</v>
      </c>
      <c r="N31" s="53">
        <v>26.6</v>
      </c>
      <c r="O31" s="53">
        <v>0</v>
      </c>
      <c r="P31" s="53">
        <v>0.37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683</v>
      </c>
      <c r="B32" s="53">
        <v>3.69</v>
      </c>
      <c r="C32" s="53">
        <v>5.43</v>
      </c>
      <c r="D32" s="53">
        <v>5.79</v>
      </c>
      <c r="E32" s="53">
        <v>4.76</v>
      </c>
      <c r="F32" s="53">
        <v>3.85</v>
      </c>
      <c r="G32" s="53">
        <v>2.5499999999999998</v>
      </c>
      <c r="H32" s="53">
        <v>3.81</v>
      </c>
      <c r="I32" s="53">
        <v>3.28</v>
      </c>
      <c r="J32" s="53">
        <v>1.1599999999999999</v>
      </c>
      <c r="K32" s="53">
        <v>155.69</v>
      </c>
      <c r="L32" s="53">
        <v>22.95</v>
      </c>
      <c r="M32" s="53">
        <v>102.1</v>
      </c>
      <c r="N32" s="53">
        <v>26.7</v>
      </c>
      <c r="O32" s="53">
        <v>0</v>
      </c>
      <c r="P32" s="53">
        <v>0.33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3.65</v>
      </c>
      <c r="C34" s="28">
        <f t="shared" si="0"/>
        <v>3.92</v>
      </c>
      <c r="D34" s="28">
        <f t="shared" si="0"/>
        <v>5.68</v>
      </c>
      <c r="E34" s="28">
        <f t="shared" si="0"/>
        <v>4.21</v>
      </c>
      <c r="F34" s="28">
        <f t="shared" si="0"/>
        <v>3.53</v>
      </c>
      <c r="G34" s="28">
        <f t="shared" si="0"/>
        <v>2.5499999999999998</v>
      </c>
      <c r="H34" s="28">
        <f t="shared" si="0"/>
        <v>3.18</v>
      </c>
      <c r="I34" s="28">
        <f t="shared" si="0"/>
        <v>1.6</v>
      </c>
      <c r="J34" s="28">
        <f t="shared" si="0"/>
        <v>0.39</v>
      </c>
      <c r="K34" s="28">
        <f t="shared" si="0"/>
        <v>122.19</v>
      </c>
      <c r="L34" s="28">
        <f t="shared" si="0"/>
        <v>22.79</v>
      </c>
      <c r="M34" s="28">
        <f t="shared" si="0"/>
        <v>81.06</v>
      </c>
      <c r="N34" s="28">
        <f t="shared" si="0"/>
        <v>26.1</v>
      </c>
      <c r="O34" s="28">
        <f t="shared" si="0"/>
        <v>0</v>
      </c>
      <c r="P34" s="28">
        <f t="shared" si="0"/>
        <v>0.31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10.71</v>
      </c>
      <c r="C35" s="29">
        <f t="shared" si="1"/>
        <v>8.1</v>
      </c>
      <c r="D35" s="29">
        <f t="shared" si="1"/>
        <v>11.99</v>
      </c>
      <c r="E35" s="29">
        <f t="shared" si="1"/>
        <v>5.72</v>
      </c>
      <c r="F35" s="29">
        <f t="shared" si="1"/>
        <v>6.15</v>
      </c>
      <c r="G35" s="29">
        <f t="shared" si="1"/>
        <v>40.76</v>
      </c>
      <c r="H35" s="29">
        <f t="shared" si="1"/>
        <v>19.329999999999998</v>
      </c>
      <c r="I35" s="29">
        <f t="shared" si="1"/>
        <v>5.96</v>
      </c>
      <c r="J35" s="29">
        <f t="shared" si="1"/>
        <v>2.08</v>
      </c>
      <c r="K35" s="29">
        <f t="shared" si="1"/>
        <v>348.16</v>
      </c>
      <c r="L35" s="29">
        <f t="shared" si="1"/>
        <v>31.28</v>
      </c>
      <c r="M35" s="29">
        <f t="shared" si="1"/>
        <v>102.1</v>
      </c>
      <c r="N35" s="29">
        <f t="shared" si="1"/>
        <v>614.29999999999995</v>
      </c>
      <c r="O35" s="29">
        <f t="shared" si="1"/>
        <v>0.8</v>
      </c>
      <c r="P35" s="29">
        <f t="shared" si="1"/>
        <v>0.73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5.5337500000000013</v>
      </c>
      <c r="C36" s="28">
        <f t="shared" si="2"/>
        <v>5.670416666666668</v>
      </c>
      <c r="D36" s="28">
        <f t="shared" si="2"/>
        <v>7.3599999999999994</v>
      </c>
      <c r="E36" s="28">
        <f t="shared" si="2"/>
        <v>4.8624999999999998</v>
      </c>
      <c r="F36" s="28">
        <f t="shared" si="2"/>
        <v>4.0458333333333343</v>
      </c>
      <c r="G36" s="28">
        <f t="shared" si="2"/>
        <v>17.541250000000002</v>
      </c>
      <c r="H36" s="28">
        <f t="shared" si="2"/>
        <v>9.0274999999999999</v>
      </c>
      <c r="I36" s="28">
        <f t="shared" si="2"/>
        <v>3.8400000000000003</v>
      </c>
      <c r="J36" s="28">
        <f t="shared" si="2"/>
        <v>1.0191666666666668</v>
      </c>
      <c r="K36" s="28">
        <f t="shared" si="2"/>
        <v>209.51374999999996</v>
      </c>
      <c r="L36" s="28">
        <f t="shared" si="2"/>
        <v>24.959166666666672</v>
      </c>
      <c r="M36" s="28">
        <f t="shared" si="2"/>
        <v>100.82749999999997</v>
      </c>
      <c r="N36" s="28">
        <f t="shared" si="2"/>
        <v>117.42499999999995</v>
      </c>
      <c r="O36" s="28">
        <f t="shared" si="2"/>
        <v>0.12500000000000003</v>
      </c>
      <c r="P36" s="28">
        <f t="shared" si="2"/>
        <v>0.44958333333333345</v>
      </c>
      <c r="Q36" s="28">
        <f t="shared" si="2"/>
        <v>9.6199999999999992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1.6364776928300653</v>
      </c>
      <c r="C37" s="28">
        <f t="shared" ref="C37:Q37" si="3">STDEV(C9:C32)</f>
        <v>1.053133953107765</v>
      </c>
      <c r="D37" s="28">
        <f t="shared" si="3"/>
        <v>1.626244005436271</v>
      </c>
      <c r="E37" s="28">
        <f t="shared" si="3"/>
        <v>0.48289210245011832</v>
      </c>
      <c r="F37" s="28">
        <f t="shared" si="3"/>
        <v>0.57592207101659854</v>
      </c>
      <c r="G37" s="28">
        <f t="shared" si="3"/>
        <v>9.9521159264270729</v>
      </c>
      <c r="H37" s="28">
        <f t="shared" si="3"/>
        <v>4.6548723888546855</v>
      </c>
      <c r="I37" s="28">
        <f t="shared" si="3"/>
        <v>0.95650632398645541</v>
      </c>
      <c r="J37" s="28">
        <f t="shared" si="3"/>
        <v>0.44546913879997158</v>
      </c>
      <c r="K37" s="28">
        <f t="shared" si="3"/>
        <v>81.083390183113167</v>
      </c>
      <c r="L37" s="28">
        <f t="shared" si="3"/>
        <v>2.3320711389452615</v>
      </c>
      <c r="M37" s="28">
        <f t="shared" si="3"/>
        <v>4.5572438753187674</v>
      </c>
      <c r="N37" s="28">
        <f t="shared" si="3"/>
        <v>157.68718138743256</v>
      </c>
      <c r="O37" s="28">
        <f t="shared" si="3"/>
        <v>0.22698400633180038</v>
      </c>
      <c r="P37" s="28">
        <f t="shared" si="3"/>
        <v>0.10105870728858786</v>
      </c>
      <c r="Q37" s="28">
        <f t="shared" si="3"/>
        <v>7.3854894587604622E-3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COUNT(Q9:Q32)+12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684</v>
      </c>
      <c r="B9" s="53">
        <v>3.17</v>
      </c>
      <c r="C9" s="53">
        <v>4.3600000000000003</v>
      </c>
      <c r="D9" s="53">
        <v>4.82</v>
      </c>
      <c r="E9" s="53">
        <v>4.0199999999999996</v>
      </c>
      <c r="F9" s="53">
        <v>3.58</v>
      </c>
      <c r="G9" s="53">
        <v>2</v>
      </c>
      <c r="H9" s="53">
        <v>3.72</v>
      </c>
      <c r="I9" s="53">
        <v>3.07</v>
      </c>
      <c r="J9" s="53">
        <v>0.77</v>
      </c>
      <c r="K9" s="53">
        <v>152.6</v>
      </c>
      <c r="L9" s="53">
        <v>22.94</v>
      </c>
      <c r="M9" s="53">
        <v>102.1</v>
      </c>
      <c r="N9" s="53">
        <v>26.8</v>
      </c>
      <c r="O9" s="53">
        <v>0</v>
      </c>
      <c r="P9" s="53">
        <v>0.28000000000000003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685</v>
      </c>
      <c r="B10" s="53">
        <v>2.95</v>
      </c>
      <c r="C10" s="53">
        <v>4.24</v>
      </c>
      <c r="D10" s="53">
        <v>4.57</v>
      </c>
      <c r="E10" s="53">
        <v>3.89</v>
      </c>
      <c r="F10" s="53">
        <v>3.73</v>
      </c>
      <c r="G10" s="53">
        <v>1.8</v>
      </c>
      <c r="H10" s="53">
        <v>3.42</v>
      </c>
      <c r="I10" s="53">
        <v>4.3</v>
      </c>
      <c r="J10" s="53">
        <v>0.9</v>
      </c>
      <c r="K10" s="53">
        <v>169.04</v>
      </c>
      <c r="L10" s="53">
        <v>22.96</v>
      </c>
      <c r="M10" s="53">
        <v>102.1</v>
      </c>
      <c r="N10" s="53">
        <v>26.7</v>
      </c>
      <c r="O10" s="53">
        <v>0</v>
      </c>
      <c r="P10" s="53">
        <v>0.31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686</v>
      </c>
      <c r="B11" s="53">
        <v>2.27</v>
      </c>
      <c r="C11" s="53">
        <v>4.24</v>
      </c>
      <c r="D11" s="53">
        <v>4.01</v>
      </c>
      <c r="E11" s="53">
        <v>3.91</v>
      </c>
      <c r="F11" s="53">
        <v>3.46</v>
      </c>
      <c r="G11" s="53">
        <v>1.65</v>
      </c>
      <c r="H11" s="53">
        <v>2.59</v>
      </c>
      <c r="I11" s="53">
        <v>3.96</v>
      </c>
      <c r="J11" s="53">
        <v>0.7</v>
      </c>
      <c r="K11" s="53">
        <v>158.26</v>
      </c>
      <c r="L11" s="53">
        <v>23.08</v>
      </c>
      <c r="M11" s="53">
        <v>102.1</v>
      </c>
      <c r="N11" s="53">
        <v>26.5</v>
      </c>
      <c r="O11" s="53">
        <v>0</v>
      </c>
      <c r="P11" s="53">
        <v>0.3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687</v>
      </c>
      <c r="B12" s="53">
        <v>2.06</v>
      </c>
      <c r="C12" s="53">
        <v>4.2</v>
      </c>
      <c r="D12" s="53">
        <v>3.85</v>
      </c>
      <c r="E12" s="53">
        <v>4.09</v>
      </c>
      <c r="F12" s="53">
        <v>3.58</v>
      </c>
      <c r="G12" s="53">
        <v>6.58</v>
      </c>
      <c r="H12" s="53">
        <v>1.81</v>
      </c>
      <c r="I12" s="53">
        <v>3.64</v>
      </c>
      <c r="J12" s="53">
        <v>0.96</v>
      </c>
      <c r="K12" s="53">
        <v>160.52000000000001</v>
      </c>
      <c r="L12" s="53">
        <v>23.22</v>
      </c>
      <c r="M12" s="53">
        <v>102.1</v>
      </c>
      <c r="N12" s="53">
        <v>26.8</v>
      </c>
      <c r="O12" s="53">
        <v>0</v>
      </c>
      <c r="P12" s="53">
        <v>0.28000000000000003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688</v>
      </c>
      <c r="B13" s="53">
        <v>2.2200000000000002</v>
      </c>
      <c r="C13" s="53">
        <v>3.57</v>
      </c>
      <c r="D13" s="53">
        <v>3.6</v>
      </c>
      <c r="E13" s="53">
        <v>3.57</v>
      </c>
      <c r="F13" s="53">
        <v>3.26</v>
      </c>
      <c r="G13" s="53">
        <v>6.18</v>
      </c>
      <c r="H13" s="53">
        <v>1.93</v>
      </c>
      <c r="I13" s="53">
        <v>3.31</v>
      </c>
      <c r="J13" s="53">
        <v>1.38</v>
      </c>
      <c r="K13" s="53">
        <v>148.75</v>
      </c>
      <c r="L13" s="53">
        <v>23.26</v>
      </c>
      <c r="M13" s="53">
        <v>102.1</v>
      </c>
      <c r="N13" s="53">
        <v>26.7</v>
      </c>
      <c r="O13" s="53">
        <v>0.2</v>
      </c>
      <c r="P13" s="53">
        <v>0.26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689</v>
      </c>
      <c r="B14" s="53">
        <v>2.52</v>
      </c>
      <c r="C14" s="53">
        <v>4.4400000000000004</v>
      </c>
      <c r="D14" s="53">
        <v>4.34</v>
      </c>
      <c r="E14" s="53">
        <v>3.88</v>
      </c>
      <c r="F14" s="53">
        <v>4.13</v>
      </c>
      <c r="G14" s="53">
        <v>4.8600000000000003</v>
      </c>
      <c r="H14" s="53">
        <v>2.13</v>
      </c>
      <c r="I14" s="53">
        <v>4.25</v>
      </c>
      <c r="J14" s="53">
        <v>1.2</v>
      </c>
      <c r="K14" s="53">
        <v>139.85</v>
      </c>
      <c r="L14" s="53">
        <v>23.12</v>
      </c>
      <c r="M14" s="53">
        <v>102.1</v>
      </c>
      <c r="N14" s="53">
        <v>28.1</v>
      </c>
      <c r="O14" s="53">
        <v>0</v>
      </c>
      <c r="P14" s="53">
        <v>0.27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690</v>
      </c>
      <c r="B15" s="53">
        <v>2.79</v>
      </c>
      <c r="C15" s="53">
        <v>5.23</v>
      </c>
      <c r="D15" s="53">
        <v>4.92</v>
      </c>
      <c r="E15" s="53">
        <v>3.89</v>
      </c>
      <c r="F15" s="53">
        <v>4.18</v>
      </c>
      <c r="G15" s="53">
        <v>3.91</v>
      </c>
      <c r="H15" s="53">
        <v>2.02</v>
      </c>
      <c r="I15" s="53">
        <v>4.55</v>
      </c>
      <c r="J15" s="53">
        <v>1.25</v>
      </c>
      <c r="K15" s="53">
        <v>153.72</v>
      </c>
      <c r="L15" s="53">
        <v>23.39</v>
      </c>
      <c r="M15" s="53">
        <v>102.1</v>
      </c>
      <c r="N15" s="53">
        <v>90.4</v>
      </c>
      <c r="O15" s="53">
        <v>0</v>
      </c>
      <c r="P15" s="53">
        <v>0.27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691</v>
      </c>
      <c r="B16" s="53">
        <v>3.42</v>
      </c>
      <c r="C16" s="53">
        <v>5.42</v>
      </c>
      <c r="D16" s="53">
        <v>5.49</v>
      </c>
      <c r="E16" s="53">
        <v>4.5599999999999996</v>
      </c>
      <c r="F16" s="53">
        <v>3.92</v>
      </c>
      <c r="G16" s="53">
        <v>5.44</v>
      </c>
      <c r="H16" s="53">
        <v>2.23</v>
      </c>
      <c r="I16" s="53">
        <v>4.33</v>
      </c>
      <c r="J16" s="53">
        <v>1.37</v>
      </c>
      <c r="K16" s="53">
        <v>144.07</v>
      </c>
      <c r="L16" s="53">
        <v>25.19</v>
      </c>
      <c r="M16" s="53">
        <v>102.06</v>
      </c>
      <c r="N16" s="53">
        <v>239</v>
      </c>
      <c r="O16" s="53">
        <v>0</v>
      </c>
      <c r="P16" s="53">
        <v>0.28999999999999998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692</v>
      </c>
      <c r="B17" s="53">
        <v>3.73</v>
      </c>
      <c r="C17" s="53">
        <v>4.95</v>
      </c>
      <c r="D17" s="53">
        <v>5.52</v>
      </c>
      <c r="E17" s="53">
        <v>4.6500000000000004</v>
      </c>
      <c r="F17" s="53">
        <v>3.84</v>
      </c>
      <c r="G17" s="53">
        <v>5.39</v>
      </c>
      <c r="H17" s="53">
        <v>2.73</v>
      </c>
      <c r="I17" s="53">
        <v>3.33</v>
      </c>
      <c r="J17" s="53">
        <v>1.63</v>
      </c>
      <c r="K17" s="53">
        <v>145.12</v>
      </c>
      <c r="L17" s="53">
        <v>26.91</v>
      </c>
      <c r="M17" s="53">
        <v>101.17</v>
      </c>
      <c r="N17" s="53">
        <v>376.7</v>
      </c>
      <c r="O17" s="53">
        <v>0</v>
      </c>
      <c r="P17" s="53">
        <v>0.28999999999999998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693</v>
      </c>
      <c r="B18" s="53">
        <v>3.63</v>
      </c>
      <c r="C18" s="53">
        <v>5.17</v>
      </c>
      <c r="D18" s="53">
        <v>5.53</v>
      </c>
      <c r="E18" s="53">
        <v>4.63</v>
      </c>
      <c r="F18" s="53">
        <v>4.04</v>
      </c>
      <c r="G18" s="53">
        <v>8.74</v>
      </c>
      <c r="H18" s="53">
        <v>3.27</v>
      </c>
      <c r="I18" s="53">
        <v>3.46</v>
      </c>
      <c r="J18" s="53">
        <v>0.3</v>
      </c>
      <c r="K18" s="53">
        <v>133.82</v>
      </c>
      <c r="L18" s="53">
        <v>26.89</v>
      </c>
      <c r="M18" s="53">
        <v>98.39</v>
      </c>
      <c r="N18" s="53">
        <v>257.89999999999998</v>
      </c>
      <c r="O18" s="53">
        <v>0</v>
      </c>
      <c r="P18" s="53">
        <v>0.28999999999999998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694</v>
      </c>
      <c r="B19" s="53">
        <v>3.37</v>
      </c>
      <c r="C19" s="53">
        <v>5.52</v>
      </c>
      <c r="D19" s="53">
        <v>5.48</v>
      </c>
      <c r="E19" s="53">
        <v>4.7300000000000004</v>
      </c>
      <c r="F19" s="53">
        <v>4.1100000000000003</v>
      </c>
      <c r="G19" s="53">
        <v>13.3</v>
      </c>
      <c r="H19" s="53">
        <v>3.03</v>
      </c>
      <c r="I19" s="53">
        <v>4.05</v>
      </c>
      <c r="J19" s="53">
        <v>0.52</v>
      </c>
      <c r="K19" s="53">
        <v>125.04</v>
      </c>
      <c r="L19" s="53">
        <v>28.94</v>
      </c>
      <c r="M19" s="53">
        <v>93.92</v>
      </c>
      <c r="N19" s="53">
        <v>727.2</v>
      </c>
      <c r="O19" s="53">
        <v>0</v>
      </c>
      <c r="P19" s="53">
        <v>0.31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695</v>
      </c>
      <c r="B20" s="53">
        <v>3.01</v>
      </c>
      <c r="C20" s="53">
        <v>5.65</v>
      </c>
      <c r="D20" s="53">
        <v>5.36</v>
      </c>
      <c r="E20" s="53">
        <v>6.08</v>
      </c>
      <c r="F20" s="53">
        <v>12.34</v>
      </c>
      <c r="G20" s="53">
        <v>12.35</v>
      </c>
      <c r="H20" s="53">
        <v>3.37</v>
      </c>
      <c r="I20" s="53">
        <v>3.55</v>
      </c>
      <c r="J20" s="53">
        <v>0.57999999999999996</v>
      </c>
      <c r="K20" s="53">
        <v>129.12</v>
      </c>
      <c r="L20" s="53">
        <v>30.37</v>
      </c>
      <c r="M20" s="53">
        <v>81.67</v>
      </c>
      <c r="N20" s="53">
        <v>977</v>
      </c>
      <c r="O20" s="53">
        <v>0</v>
      </c>
      <c r="P20" s="53">
        <v>0.28000000000000003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696</v>
      </c>
      <c r="B21" s="54" t="s">
        <v>12</v>
      </c>
      <c r="C21" s="54" t="s">
        <v>12</v>
      </c>
      <c r="D21" s="54" t="s">
        <v>12</v>
      </c>
      <c r="E21" s="53">
        <v>5.38</v>
      </c>
      <c r="F21" s="53">
        <v>10.31</v>
      </c>
      <c r="G21" s="53">
        <v>9.81</v>
      </c>
      <c r="H21" s="53">
        <v>5.44</v>
      </c>
      <c r="I21" s="53">
        <v>4.1399999999999997</v>
      </c>
      <c r="J21" s="53">
        <v>1.4</v>
      </c>
      <c r="K21" s="53">
        <v>132.94</v>
      </c>
      <c r="L21" s="53">
        <v>30.12</v>
      </c>
      <c r="M21" s="53">
        <v>80.89</v>
      </c>
      <c r="N21" s="53">
        <v>530</v>
      </c>
      <c r="O21" s="53">
        <v>0</v>
      </c>
      <c r="P21" s="53">
        <v>0.27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697</v>
      </c>
      <c r="B22" s="53">
        <v>2.31</v>
      </c>
      <c r="C22" s="53">
        <v>10.029999999999999</v>
      </c>
      <c r="D22" s="53">
        <v>7.03</v>
      </c>
      <c r="E22" s="53">
        <v>5.35</v>
      </c>
      <c r="F22" s="53">
        <v>8.4600000000000009</v>
      </c>
      <c r="G22" s="53">
        <v>18</v>
      </c>
      <c r="H22" s="53">
        <v>5.68</v>
      </c>
      <c r="I22" s="53">
        <v>3.76</v>
      </c>
      <c r="J22" s="53">
        <v>0.55000000000000004</v>
      </c>
      <c r="K22" s="53">
        <v>134.13</v>
      </c>
      <c r="L22" s="53">
        <v>30.18</v>
      </c>
      <c r="M22" s="53">
        <v>79.22</v>
      </c>
      <c r="N22" s="53">
        <v>433.8</v>
      </c>
      <c r="O22" s="53">
        <v>0</v>
      </c>
      <c r="P22" s="53">
        <v>0.27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698</v>
      </c>
      <c r="B23" s="53">
        <v>3.1</v>
      </c>
      <c r="C23" s="53">
        <v>9.4600000000000009</v>
      </c>
      <c r="D23" s="53">
        <v>6.53</v>
      </c>
      <c r="E23" s="53">
        <v>4.62</v>
      </c>
      <c r="F23" s="53">
        <v>5.85</v>
      </c>
      <c r="G23" s="53">
        <v>17.39</v>
      </c>
      <c r="H23" s="53">
        <v>5.04</v>
      </c>
      <c r="I23" s="53">
        <v>2.63</v>
      </c>
      <c r="J23" s="53">
        <v>1.67</v>
      </c>
      <c r="K23" s="53">
        <v>142.47</v>
      </c>
      <c r="L23" s="53">
        <v>29.17</v>
      </c>
      <c r="M23" s="53">
        <v>99.84</v>
      </c>
      <c r="N23" s="53">
        <v>186.2</v>
      </c>
      <c r="O23" s="53">
        <v>0.8</v>
      </c>
      <c r="P23" s="53">
        <v>0.28000000000000003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699</v>
      </c>
      <c r="B24" s="53">
        <v>3.79</v>
      </c>
      <c r="C24" s="53">
        <v>10.54</v>
      </c>
      <c r="D24" s="53">
        <v>7.83</v>
      </c>
      <c r="E24" s="53">
        <v>4.71</v>
      </c>
      <c r="F24" s="53">
        <v>5.56</v>
      </c>
      <c r="G24" s="53">
        <v>15.57</v>
      </c>
      <c r="H24" s="53">
        <v>3.89</v>
      </c>
      <c r="I24" s="53">
        <v>2.66</v>
      </c>
      <c r="J24" s="53">
        <v>0.63</v>
      </c>
      <c r="K24" s="53">
        <v>138.43</v>
      </c>
      <c r="L24" s="53">
        <v>28.24</v>
      </c>
      <c r="M24" s="53">
        <v>99.13</v>
      </c>
      <c r="N24" s="53">
        <v>194.3</v>
      </c>
      <c r="O24" s="53">
        <v>0</v>
      </c>
      <c r="P24" s="53">
        <v>0.32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700</v>
      </c>
      <c r="B25" s="53">
        <v>3.22</v>
      </c>
      <c r="C25" s="53">
        <v>11.85</v>
      </c>
      <c r="D25" s="53">
        <v>8.5299999999999994</v>
      </c>
      <c r="E25" s="53">
        <v>4.1900000000000004</v>
      </c>
      <c r="F25" s="53">
        <v>5.52</v>
      </c>
      <c r="G25" s="53">
        <v>14.66</v>
      </c>
      <c r="H25" s="53">
        <v>3.67</v>
      </c>
      <c r="I25" s="53">
        <v>1.4</v>
      </c>
      <c r="J25" s="53">
        <v>0.44</v>
      </c>
      <c r="K25" s="53">
        <v>139.75</v>
      </c>
      <c r="L25" s="53">
        <v>28.04</v>
      </c>
      <c r="M25" s="53">
        <v>93.4</v>
      </c>
      <c r="N25" s="53">
        <v>96.3</v>
      </c>
      <c r="O25" s="53">
        <v>0</v>
      </c>
      <c r="P25" s="53">
        <v>0.32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701</v>
      </c>
      <c r="B26" s="53">
        <v>5.34</v>
      </c>
      <c r="C26" s="53">
        <v>18.59</v>
      </c>
      <c r="D26" s="53">
        <v>13.44</v>
      </c>
      <c r="E26" s="53">
        <v>4.07</v>
      </c>
      <c r="F26" s="53">
        <v>6.26</v>
      </c>
      <c r="G26" s="53">
        <v>17.54</v>
      </c>
      <c r="H26" s="53">
        <v>4.92</v>
      </c>
      <c r="I26" s="53">
        <v>0.79</v>
      </c>
      <c r="J26" s="53">
        <v>0.53</v>
      </c>
      <c r="K26" s="53">
        <v>128.16999999999999</v>
      </c>
      <c r="L26" s="53">
        <v>27.18</v>
      </c>
      <c r="M26" s="53">
        <v>99.05</v>
      </c>
      <c r="N26" s="53">
        <v>50.9</v>
      </c>
      <c r="O26" s="53">
        <v>0</v>
      </c>
      <c r="P26" s="53">
        <v>0.37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702</v>
      </c>
      <c r="B27" s="53">
        <v>5.94</v>
      </c>
      <c r="C27" s="53">
        <v>13.43</v>
      </c>
      <c r="D27" s="53">
        <v>11.59</v>
      </c>
      <c r="E27" s="53">
        <v>3.81</v>
      </c>
      <c r="F27" s="53">
        <v>4.03</v>
      </c>
      <c r="G27" s="53">
        <v>33.619999999999997</v>
      </c>
      <c r="H27" s="53">
        <v>6.79</v>
      </c>
      <c r="I27" s="53">
        <v>2.33</v>
      </c>
      <c r="J27" s="53">
        <v>1.1399999999999999</v>
      </c>
      <c r="K27" s="53">
        <v>141.63</v>
      </c>
      <c r="L27" s="53">
        <v>26.58</v>
      </c>
      <c r="M27" s="53">
        <v>97.24</v>
      </c>
      <c r="N27" s="53">
        <v>26.5</v>
      </c>
      <c r="O27" s="53">
        <v>0</v>
      </c>
      <c r="P27" s="53">
        <v>0.57999999999999996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703</v>
      </c>
      <c r="B28" s="53">
        <v>7.63</v>
      </c>
      <c r="C28" s="53">
        <v>8.6199999999999992</v>
      </c>
      <c r="D28" s="53">
        <v>10.35</v>
      </c>
      <c r="E28" s="53">
        <v>5.69</v>
      </c>
      <c r="F28" s="53">
        <v>5.91</v>
      </c>
      <c r="G28" s="53">
        <v>32.78</v>
      </c>
      <c r="H28" s="53">
        <v>11.03</v>
      </c>
      <c r="I28" s="53">
        <v>2.04</v>
      </c>
      <c r="J28" s="53">
        <v>0.53</v>
      </c>
      <c r="K28" s="53">
        <v>181.84</v>
      </c>
      <c r="L28" s="53">
        <v>26.17</v>
      </c>
      <c r="M28" s="53">
        <v>100.58</v>
      </c>
      <c r="N28" s="53">
        <v>26.5</v>
      </c>
      <c r="O28" s="53">
        <v>0</v>
      </c>
      <c r="P28" s="53">
        <v>0.5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704</v>
      </c>
      <c r="B29" s="53">
        <v>8.83</v>
      </c>
      <c r="C29" s="53">
        <v>7.58</v>
      </c>
      <c r="D29" s="53">
        <v>10.55</v>
      </c>
      <c r="E29" s="53">
        <v>4.88</v>
      </c>
      <c r="F29" s="53">
        <v>3.81</v>
      </c>
      <c r="G29" s="53">
        <v>29.62</v>
      </c>
      <c r="H29" s="53">
        <v>10.27</v>
      </c>
      <c r="I29" s="53">
        <v>2.36</v>
      </c>
      <c r="J29" s="53">
        <v>0.95</v>
      </c>
      <c r="K29" s="53">
        <v>169.06</v>
      </c>
      <c r="L29" s="53">
        <v>26.05</v>
      </c>
      <c r="M29" s="53">
        <v>102.05</v>
      </c>
      <c r="N29" s="53">
        <v>26.4</v>
      </c>
      <c r="O29" s="53">
        <v>0.2</v>
      </c>
      <c r="P29" s="53">
        <v>0.49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705</v>
      </c>
      <c r="B30" s="53">
        <v>10.99</v>
      </c>
      <c r="C30" s="53">
        <v>6.56</v>
      </c>
      <c r="D30" s="53">
        <v>12.09</v>
      </c>
      <c r="E30" s="53">
        <v>5.22</v>
      </c>
      <c r="F30" s="53">
        <v>3.99</v>
      </c>
      <c r="G30" s="53">
        <v>27.66</v>
      </c>
      <c r="H30" s="53">
        <v>8.83</v>
      </c>
      <c r="I30" s="53">
        <v>1.65</v>
      </c>
      <c r="J30" s="53">
        <v>0.78</v>
      </c>
      <c r="K30" s="53">
        <v>157.53</v>
      </c>
      <c r="L30" s="53">
        <v>25.62</v>
      </c>
      <c r="M30" s="53">
        <v>102.07</v>
      </c>
      <c r="N30" s="53">
        <v>26.2</v>
      </c>
      <c r="O30" s="53">
        <v>0</v>
      </c>
      <c r="P30" s="53">
        <v>0.49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706</v>
      </c>
      <c r="B31" s="53">
        <v>13.12</v>
      </c>
      <c r="C31" s="53">
        <v>6.9</v>
      </c>
      <c r="D31" s="53">
        <v>13.88</v>
      </c>
      <c r="E31" s="53">
        <v>5.38</v>
      </c>
      <c r="F31" s="53">
        <v>3.94</v>
      </c>
      <c r="G31" s="53">
        <v>28.65</v>
      </c>
      <c r="H31" s="53">
        <v>7.33</v>
      </c>
      <c r="I31" s="53">
        <v>3.06</v>
      </c>
      <c r="J31" s="53">
        <v>0.74</v>
      </c>
      <c r="K31" s="53">
        <v>157.19</v>
      </c>
      <c r="L31" s="53">
        <v>25.44</v>
      </c>
      <c r="M31" s="53">
        <v>102.05</v>
      </c>
      <c r="N31" s="53">
        <v>26.3</v>
      </c>
      <c r="O31" s="53">
        <v>0</v>
      </c>
      <c r="P31" s="53">
        <v>0.43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707</v>
      </c>
      <c r="B32" s="53">
        <v>13.11</v>
      </c>
      <c r="C32" s="53">
        <v>6.17</v>
      </c>
      <c r="D32" s="53">
        <v>13.73</v>
      </c>
      <c r="E32" s="53">
        <v>5.25</v>
      </c>
      <c r="F32" s="53">
        <v>4.13</v>
      </c>
      <c r="G32" s="53">
        <v>27.04</v>
      </c>
      <c r="H32" s="53">
        <v>8.35</v>
      </c>
      <c r="I32" s="53">
        <v>3.45</v>
      </c>
      <c r="J32" s="53">
        <v>1.1399999999999999</v>
      </c>
      <c r="K32" s="53">
        <v>143.6</v>
      </c>
      <c r="L32" s="53">
        <v>25.16</v>
      </c>
      <c r="M32" s="53">
        <v>102.05</v>
      </c>
      <c r="N32" s="53">
        <v>26.1</v>
      </c>
      <c r="O32" s="53">
        <v>0</v>
      </c>
      <c r="P32" s="53">
        <v>0.4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2.06</v>
      </c>
      <c r="C34" s="28">
        <f t="shared" si="0"/>
        <v>3.57</v>
      </c>
      <c r="D34" s="28">
        <f t="shared" si="0"/>
        <v>3.6</v>
      </c>
      <c r="E34" s="28">
        <f t="shared" si="0"/>
        <v>3.57</v>
      </c>
      <c r="F34" s="28">
        <f t="shared" si="0"/>
        <v>3.26</v>
      </c>
      <c r="G34" s="28">
        <f t="shared" si="0"/>
        <v>1.65</v>
      </c>
      <c r="H34" s="28">
        <f t="shared" si="0"/>
        <v>1.81</v>
      </c>
      <c r="I34" s="28">
        <f t="shared" si="0"/>
        <v>0.79</v>
      </c>
      <c r="J34" s="28">
        <f t="shared" si="0"/>
        <v>0.3</v>
      </c>
      <c r="K34" s="28">
        <f t="shared" si="0"/>
        <v>125.04</v>
      </c>
      <c r="L34" s="28">
        <f t="shared" si="0"/>
        <v>22.94</v>
      </c>
      <c r="M34" s="28">
        <f t="shared" si="0"/>
        <v>79.22</v>
      </c>
      <c r="N34" s="28">
        <f t="shared" si="0"/>
        <v>26.1</v>
      </c>
      <c r="O34" s="28">
        <f t="shared" si="0"/>
        <v>0</v>
      </c>
      <c r="P34" s="28">
        <f t="shared" si="0"/>
        <v>0.26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13.12</v>
      </c>
      <c r="C35" s="29">
        <f t="shared" si="1"/>
        <v>18.59</v>
      </c>
      <c r="D35" s="29">
        <f t="shared" si="1"/>
        <v>13.88</v>
      </c>
      <c r="E35" s="29">
        <f t="shared" si="1"/>
        <v>6.08</v>
      </c>
      <c r="F35" s="29">
        <f t="shared" si="1"/>
        <v>12.34</v>
      </c>
      <c r="G35" s="29">
        <f t="shared" si="1"/>
        <v>33.619999999999997</v>
      </c>
      <c r="H35" s="29">
        <f t="shared" si="1"/>
        <v>11.03</v>
      </c>
      <c r="I35" s="29">
        <f t="shared" si="1"/>
        <v>4.55</v>
      </c>
      <c r="J35" s="29">
        <f t="shared" si="1"/>
        <v>1.67</v>
      </c>
      <c r="K35" s="29">
        <f t="shared" si="1"/>
        <v>181.84</v>
      </c>
      <c r="L35" s="29">
        <f t="shared" si="1"/>
        <v>30.37</v>
      </c>
      <c r="M35" s="29">
        <f t="shared" si="1"/>
        <v>102.1</v>
      </c>
      <c r="N35" s="29">
        <f t="shared" si="1"/>
        <v>977</v>
      </c>
      <c r="O35" s="29">
        <f t="shared" si="1"/>
        <v>0.8</v>
      </c>
      <c r="P35" s="29">
        <f t="shared" si="1"/>
        <v>0.57999999999999996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4.8921739130434778</v>
      </c>
      <c r="C36" s="28">
        <f t="shared" si="2"/>
        <v>7.2486956521739128</v>
      </c>
      <c r="D36" s="28">
        <f t="shared" si="2"/>
        <v>7.5234782608695649</v>
      </c>
      <c r="E36" s="28">
        <f t="shared" si="2"/>
        <v>4.6020833333333329</v>
      </c>
      <c r="F36" s="28">
        <f t="shared" si="2"/>
        <v>5.0808333333333326</v>
      </c>
      <c r="G36" s="28">
        <f t="shared" si="2"/>
        <v>14.355833333333335</v>
      </c>
      <c r="H36" s="28">
        <f t="shared" si="2"/>
        <v>4.7287499999999998</v>
      </c>
      <c r="I36" s="28">
        <f t="shared" si="2"/>
        <v>3.1695833333333336</v>
      </c>
      <c r="J36" s="28">
        <f t="shared" si="2"/>
        <v>0.91916666666666691</v>
      </c>
      <c r="K36" s="28">
        <f t="shared" si="2"/>
        <v>146.94374999999999</v>
      </c>
      <c r="L36" s="28">
        <f t="shared" si="2"/>
        <v>26.175833333333333</v>
      </c>
      <c r="M36" s="28">
        <f t="shared" si="2"/>
        <v>97.895000000000024</v>
      </c>
      <c r="N36" s="28">
        <f t="shared" si="2"/>
        <v>186.63750000000002</v>
      </c>
      <c r="O36" s="28">
        <f t="shared" si="2"/>
        <v>4.9999999999999996E-2</v>
      </c>
      <c r="P36" s="28">
        <f t="shared" si="2"/>
        <v>0.3395833333333334</v>
      </c>
      <c r="Q36" s="28">
        <f t="shared" si="2"/>
        <v>9.6170833333333352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3.4403804711922881</v>
      </c>
      <c r="C37" s="28">
        <f t="shared" ref="C37:Q37" si="3">STDEV(C9:C32)</f>
        <v>3.6615152158483957</v>
      </c>
      <c r="D37" s="28">
        <f t="shared" si="3"/>
        <v>3.4769652502978317</v>
      </c>
      <c r="E37" s="28">
        <f t="shared" si="3"/>
        <v>0.68558435352413261</v>
      </c>
      <c r="F37" s="28">
        <f t="shared" si="3"/>
        <v>2.2800284450297847</v>
      </c>
      <c r="G37" s="28">
        <f t="shared" si="3"/>
        <v>10.499530389774446</v>
      </c>
      <c r="H37" s="28">
        <f t="shared" si="3"/>
        <v>2.7152953438526395</v>
      </c>
      <c r="I37" s="28">
        <f t="shared" si="3"/>
        <v>1.0059366354262835</v>
      </c>
      <c r="J37" s="28">
        <f t="shared" si="3"/>
        <v>0.39212815858290817</v>
      </c>
      <c r="K37" s="28">
        <f t="shared" si="3"/>
        <v>14.346239565611368</v>
      </c>
      <c r="L37" s="28">
        <f t="shared" si="3"/>
        <v>2.4964982722181892</v>
      </c>
      <c r="M37" s="28">
        <f t="shared" si="3"/>
        <v>7.140750173719721</v>
      </c>
      <c r="N37" s="28">
        <f t="shared" si="3"/>
        <v>253.92028330115559</v>
      </c>
      <c r="O37" s="28">
        <f t="shared" si="3"/>
        <v>0.16939791077198399</v>
      </c>
      <c r="P37" s="28">
        <f t="shared" si="3"/>
        <v>9.1579339167296728E-2</v>
      </c>
      <c r="Q37" s="28">
        <f t="shared" si="3"/>
        <v>5.5003293709019367E-3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 t="shared" ref="C38:D38" si="4">COUNT(C9:C32)+1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708</v>
      </c>
      <c r="B9" s="53">
        <v>12.15</v>
      </c>
      <c r="C9" s="53">
        <v>5.25</v>
      </c>
      <c r="D9" s="53">
        <v>12.49</v>
      </c>
      <c r="E9" s="53">
        <v>5.0599999999999996</v>
      </c>
      <c r="F9" s="53">
        <v>3.66</v>
      </c>
      <c r="G9" s="53">
        <v>22.51</v>
      </c>
      <c r="H9" s="53">
        <v>7.47</v>
      </c>
      <c r="I9" s="53">
        <v>2.99</v>
      </c>
      <c r="J9" s="53">
        <v>1.34</v>
      </c>
      <c r="K9" s="53">
        <v>140.72</v>
      </c>
      <c r="L9" s="53">
        <v>24.81</v>
      </c>
      <c r="M9" s="53">
        <v>102.06</v>
      </c>
      <c r="N9" s="53">
        <v>26.3</v>
      </c>
      <c r="O9" s="53">
        <v>0</v>
      </c>
      <c r="P9" s="53">
        <v>0.35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709</v>
      </c>
      <c r="B10" s="53">
        <v>10.8</v>
      </c>
      <c r="C10" s="53">
        <v>4.51</v>
      </c>
      <c r="D10" s="53">
        <v>11.02</v>
      </c>
      <c r="E10" s="53">
        <v>5.29</v>
      </c>
      <c r="F10" s="53">
        <v>4.63</v>
      </c>
      <c r="G10" s="53">
        <v>20.010000000000002</v>
      </c>
      <c r="H10" s="53">
        <v>5.78</v>
      </c>
      <c r="I10" s="53">
        <v>2.74</v>
      </c>
      <c r="J10" s="53">
        <v>1.35</v>
      </c>
      <c r="K10" s="53">
        <v>133.77000000000001</v>
      </c>
      <c r="L10" s="53">
        <v>24.37</v>
      </c>
      <c r="M10" s="53">
        <v>102.06</v>
      </c>
      <c r="N10" s="53">
        <v>26.2</v>
      </c>
      <c r="O10" s="53">
        <v>0</v>
      </c>
      <c r="P10" s="53">
        <v>0.34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710</v>
      </c>
      <c r="B11" s="53">
        <v>9.4499999999999993</v>
      </c>
      <c r="C11" s="53">
        <v>5.09</v>
      </c>
      <c r="D11" s="53">
        <v>10.02</v>
      </c>
      <c r="E11" s="53">
        <v>5.28</v>
      </c>
      <c r="F11" s="53">
        <v>4.0999999999999996</v>
      </c>
      <c r="G11" s="53">
        <v>14.94</v>
      </c>
      <c r="H11" s="53">
        <v>4.55</v>
      </c>
      <c r="I11" s="53">
        <v>4.29</v>
      </c>
      <c r="J11" s="53">
        <v>1.21</v>
      </c>
      <c r="K11" s="53">
        <v>135.19999999999999</v>
      </c>
      <c r="L11" s="53">
        <v>23.88</v>
      </c>
      <c r="M11" s="53">
        <v>102.08</v>
      </c>
      <c r="N11" s="53">
        <v>26.1</v>
      </c>
      <c r="O11" s="53">
        <v>0</v>
      </c>
      <c r="P11" s="53">
        <v>0.37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711</v>
      </c>
      <c r="B12" s="53">
        <v>7.86</v>
      </c>
      <c r="C12" s="53">
        <v>4.7</v>
      </c>
      <c r="D12" s="53">
        <v>8.6999999999999993</v>
      </c>
      <c r="E12" s="53">
        <v>5.57</v>
      </c>
      <c r="F12" s="53">
        <v>3.69</v>
      </c>
      <c r="G12" s="53">
        <v>13.57</v>
      </c>
      <c r="H12" s="53">
        <v>3.28</v>
      </c>
      <c r="I12" s="53">
        <v>4.4400000000000004</v>
      </c>
      <c r="J12" s="53">
        <v>1.28</v>
      </c>
      <c r="K12" s="53">
        <v>140.88</v>
      </c>
      <c r="L12" s="53">
        <v>23.56</v>
      </c>
      <c r="M12" s="53">
        <v>102.1</v>
      </c>
      <c r="N12" s="53">
        <v>26.1</v>
      </c>
      <c r="O12" s="53">
        <v>0</v>
      </c>
      <c r="P12" s="53">
        <v>0.34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712</v>
      </c>
      <c r="B13" s="53">
        <v>6.68</v>
      </c>
      <c r="C13" s="53">
        <v>4.66</v>
      </c>
      <c r="D13" s="53">
        <v>7.79</v>
      </c>
      <c r="E13" s="53">
        <v>4.67</v>
      </c>
      <c r="F13" s="53">
        <v>3.57</v>
      </c>
      <c r="G13" s="53">
        <v>13.38</v>
      </c>
      <c r="H13" s="53">
        <v>3.89</v>
      </c>
      <c r="I13" s="53">
        <v>4.3899999999999997</v>
      </c>
      <c r="J13" s="53">
        <v>1.02</v>
      </c>
      <c r="K13" s="53">
        <v>131.28</v>
      </c>
      <c r="L13" s="53">
        <v>23.25</v>
      </c>
      <c r="M13" s="53">
        <v>102.08</v>
      </c>
      <c r="N13" s="53">
        <v>26.1</v>
      </c>
      <c r="O13" s="53">
        <v>0</v>
      </c>
      <c r="P13" s="53">
        <v>0.31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713</v>
      </c>
      <c r="B14" s="53">
        <v>6.13</v>
      </c>
      <c r="C14" s="53">
        <v>4.2</v>
      </c>
      <c r="D14" s="53">
        <v>7.09</v>
      </c>
      <c r="E14" s="53">
        <v>4.54</v>
      </c>
      <c r="F14" s="53">
        <v>3.81</v>
      </c>
      <c r="G14" s="53">
        <v>12.22</v>
      </c>
      <c r="H14" s="53">
        <v>4.58</v>
      </c>
      <c r="I14" s="53">
        <v>3.86</v>
      </c>
      <c r="J14" s="53">
        <v>1.46</v>
      </c>
      <c r="K14" s="53">
        <v>141.58000000000001</v>
      </c>
      <c r="L14" s="53">
        <v>23.01</v>
      </c>
      <c r="M14" s="53">
        <v>102.08</v>
      </c>
      <c r="N14" s="53">
        <v>28.7</v>
      </c>
      <c r="O14" s="53">
        <v>0</v>
      </c>
      <c r="P14" s="53">
        <v>0.3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714</v>
      </c>
      <c r="B15" s="53">
        <v>6.2</v>
      </c>
      <c r="C15" s="53">
        <v>5.0199999999999996</v>
      </c>
      <c r="D15" s="53">
        <v>7.6</v>
      </c>
      <c r="E15" s="53">
        <v>5.01</v>
      </c>
      <c r="F15" s="53">
        <v>3.96</v>
      </c>
      <c r="G15" s="53">
        <v>9.7100000000000009</v>
      </c>
      <c r="H15" s="53">
        <v>4.1500000000000004</v>
      </c>
      <c r="I15" s="53">
        <v>4.67</v>
      </c>
      <c r="J15" s="53">
        <v>1.58</v>
      </c>
      <c r="K15" s="53">
        <v>142.41</v>
      </c>
      <c r="L15" s="53">
        <v>23.45</v>
      </c>
      <c r="M15" s="53">
        <v>102.08</v>
      </c>
      <c r="N15" s="53">
        <v>93</v>
      </c>
      <c r="O15" s="53">
        <v>0</v>
      </c>
      <c r="P15" s="53">
        <v>0.3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715</v>
      </c>
      <c r="B16" s="53">
        <v>6.46</v>
      </c>
      <c r="C16" s="53">
        <v>5.32</v>
      </c>
      <c r="D16" s="53">
        <v>7.92</v>
      </c>
      <c r="E16" s="53">
        <v>4.8099999999999996</v>
      </c>
      <c r="F16" s="53">
        <v>3.7</v>
      </c>
      <c r="G16" s="53">
        <v>11.46</v>
      </c>
      <c r="H16" s="53">
        <v>4.5599999999999996</v>
      </c>
      <c r="I16" s="53">
        <v>4.63</v>
      </c>
      <c r="J16" s="53">
        <v>2.13</v>
      </c>
      <c r="K16" s="53">
        <v>136.59</v>
      </c>
      <c r="L16" s="53">
        <v>25.92</v>
      </c>
      <c r="M16" s="53">
        <v>102.04</v>
      </c>
      <c r="N16" s="53">
        <v>355.3</v>
      </c>
      <c r="O16" s="53">
        <v>0</v>
      </c>
      <c r="P16" s="53">
        <v>0.3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716</v>
      </c>
      <c r="B17" s="53">
        <v>6.22</v>
      </c>
      <c r="C17" s="53">
        <v>5.4</v>
      </c>
      <c r="D17" s="53">
        <v>7.81</v>
      </c>
      <c r="E17" s="53">
        <v>5.0599999999999996</v>
      </c>
      <c r="F17" s="53">
        <v>4.2300000000000004</v>
      </c>
      <c r="G17" s="53">
        <v>16.309999999999999</v>
      </c>
      <c r="H17" s="53">
        <v>6.05</v>
      </c>
      <c r="I17" s="53">
        <v>4.55</v>
      </c>
      <c r="J17" s="53">
        <v>0.63</v>
      </c>
      <c r="K17" s="53">
        <v>126.5</v>
      </c>
      <c r="L17" s="53">
        <v>28.88</v>
      </c>
      <c r="M17" s="53">
        <v>91.55</v>
      </c>
      <c r="N17" s="53">
        <v>603.5</v>
      </c>
      <c r="O17" s="53">
        <v>0</v>
      </c>
      <c r="P17" s="53">
        <v>0.3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717</v>
      </c>
      <c r="B18" s="53">
        <v>5.13</v>
      </c>
      <c r="C18" s="53">
        <v>5.44</v>
      </c>
      <c r="D18" s="53">
        <v>6.74</v>
      </c>
      <c r="E18" s="53">
        <v>4.82</v>
      </c>
      <c r="F18" s="53">
        <v>4.0599999999999996</v>
      </c>
      <c r="G18" s="53">
        <v>15.72</v>
      </c>
      <c r="H18" s="53">
        <v>5.72</v>
      </c>
      <c r="I18" s="53">
        <v>3</v>
      </c>
      <c r="J18" s="53">
        <v>0.65</v>
      </c>
      <c r="K18" s="53">
        <v>119.67</v>
      </c>
      <c r="L18" s="53">
        <v>30.02</v>
      </c>
      <c r="M18" s="53">
        <v>81.61</v>
      </c>
      <c r="N18" s="53">
        <v>685.9</v>
      </c>
      <c r="O18" s="53">
        <v>0</v>
      </c>
      <c r="P18" s="53">
        <v>0.31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718</v>
      </c>
      <c r="B19" s="53">
        <v>4.49</v>
      </c>
      <c r="C19" s="53">
        <v>5.5</v>
      </c>
      <c r="D19" s="53">
        <v>6.46</v>
      </c>
      <c r="E19" s="53">
        <v>4.8499999999999996</v>
      </c>
      <c r="F19" s="53">
        <v>4.1500000000000004</v>
      </c>
      <c r="G19" s="53">
        <v>18.21</v>
      </c>
      <c r="H19" s="53">
        <v>3.91</v>
      </c>
      <c r="I19" s="53">
        <v>3.8</v>
      </c>
      <c r="J19" s="53">
        <v>1.08</v>
      </c>
      <c r="K19" s="53">
        <v>123.77</v>
      </c>
      <c r="L19" s="53">
        <v>29.58</v>
      </c>
      <c r="M19" s="53">
        <v>83.53</v>
      </c>
      <c r="N19" s="53">
        <v>828.2</v>
      </c>
      <c r="O19" s="53">
        <v>0</v>
      </c>
      <c r="P19" s="53">
        <v>0.3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719</v>
      </c>
      <c r="B20" s="53">
        <v>3.41</v>
      </c>
      <c r="C20" s="53">
        <v>5.93</v>
      </c>
      <c r="D20" s="53">
        <v>5.57</v>
      </c>
      <c r="E20" s="53">
        <v>4.8600000000000003</v>
      </c>
      <c r="F20" s="53">
        <v>4.25</v>
      </c>
      <c r="G20" s="53">
        <v>17.739999999999998</v>
      </c>
      <c r="H20" s="53">
        <v>4.66</v>
      </c>
      <c r="I20" s="53">
        <v>3.98</v>
      </c>
      <c r="J20" s="53">
        <v>0.28999999999999998</v>
      </c>
      <c r="K20" s="53">
        <v>143.77000000000001</v>
      </c>
      <c r="L20" s="53">
        <v>30.87</v>
      </c>
      <c r="M20" s="53">
        <v>76.72</v>
      </c>
      <c r="N20" s="53">
        <v>928.1</v>
      </c>
      <c r="O20" s="53">
        <v>0</v>
      </c>
      <c r="P20" s="53">
        <v>0.31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720</v>
      </c>
      <c r="B21" s="53">
        <v>2.4500000000000002</v>
      </c>
      <c r="C21" s="53">
        <v>6.08</v>
      </c>
      <c r="D21" s="53">
        <v>5.08</v>
      </c>
      <c r="E21" s="53">
        <v>4.99</v>
      </c>
      <c r="F21" s="53">
        <v>4.87</v>
      </c>
      <c r="G21" s="53">
        <v>20.28</v>
      </c>
      <c r="H21" s="53">
        <v>4.1399999999999997</v>
      </c>
      <c r="I21" s="53">
        <v>3.14</v>
      </c>
      <c r="J21" s="53">
        <v>0.44</v>
      </c>
      <c r="K21" s="53">
        <v>98.76</v>
      </c>
      <c r="L21" s="53">
        <v>31.44</v>
      </c>
      <c r="M21" s="53">
        <v>73.48</v>
      </c>
      <c r="N21" s="53">
        <v>445.7</v>
      </c>
      <c r="O21" s="53">
        <v>0</v>
      </c>
      <c r="P21" s="53">
        <v>0.32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721</v>
      </c>
      <c r="B22" s="53">
        <v>2.39</v>
      </c>
      <c r="C22" s="53">
        <v>13.84</v>
      </c>
      <c r="D22" s="53">
        <v>8.5500000000000007</v>
      </c>
      <c r="E22" s="53">
        <v>6.24</v>
      </c>
      <c r="F22" s="53">
        <v>18.2</v>
      </c>
      <c r="G22" s="53">
        <v>21.92</v>
      </c>
      <c r="H22" s="53">
        <v>3.06</v>
      </c>
      <c r="I22" s="53">
        <v>2.4300000000000002</v>
      </c>
      <c r="J22" s="53">
        <v>0.28999999999999998</v>
      </c>
      <c r="K22" s="53">
        <v>350</v>
      </c>
      <c r="L22" s="53">
        <v>30.83</v>
      </c>
      <c r="M22" s="53">
        <v>74.37</v>
      </c>
      <c r="N22" s="53">
        <v>366</v>
      </c>
      <c r="O22" s="53">
        <v>0</v>
      </c>
      <c r="P22" s="53">
        <v>0.32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722</v>
      </c>
      <c r="B23" s="53">
        <v>1.29</v>
      </c>
      <c r="C23" s="53">
        <v>13.79</v>
      </c>
      <c r="D23" s="53">
        <v>8.19</v>
      </c>
      <c r="E23" s="53">
        <v>5.83</v>
      </c>
      <c r="F23" s="53">
        <v>11.86</v>
      </c>
      <c r="G23" s="53">
        <v>21.32</v>
      </c>
      <c r="H23" s="53">
        <v>2.21</v>
      </c>
      <c r="I23" s="55" t="s">
        <v>8</v>
      </c>
      <c r="J23" s="53">
        <v>0.46</v>
      </c>
      <c r="K23" s="53">
        <v>352.48</v>
      </c>
      <c r="L23" s="53">
        <v>30.9</v>
      </c>
      <c r="M23" s="53">
        <v>70.69</v>
      </c>
      <c r="N23" s="53">
        <v>264.39999999999998</v>
      </c>
      <c r="O23" s="53">
        <v>0</v>
      </c>
      <c r="P23" s="53">
        <v>0.31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723</v>
      </c>
      <c r="B24" s="53">
        <v>1.73</v>
      </c>
      <c r="C24" s="53">
        <v>7.88</v>
      </c>
      <c r="D24" s="53">
        <v>5.29</v>
      </c>
      <c r="E24" s="53">
        <v>4.83</v>
      </c>
      <c r="F24" s="53">
        <v>4.8099999999999996</v>
      </c>
      <c r="G24" s="53">
        <v>20.46</v>
      </c>
      <c r="H24" s="53">
        <v>2.09</v>
      </c>
      <c r="I24" s="55" t="s">
        <v>8</v>
      </c>
      <c r="J24" s="53">
        <v>0.25</v>
      </c>
      <c r="K24" s="53">
        <v>351.89</v>
      </c>
      <c r="L24" s="53">
        <v>30.05</v>
      </c>
      <c r="M24" s="53">
        <v>72.03</v>
      </c>
      <c r="N24" s="53">
        <v>125.7</v>
      </c>
      <c r="O24" s="53">
        <v>0</v>
      </c>
      <c r="P24" s="53">
        <v>0.32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724</v>
      </c>
      <c r="B25" s="53">
        <v>2.16</v>
      </c>
      <c r="C25" s="53">
        <v>6.45</v>
      </c>
      <c r="D25" s="53">
        <v>5.03</v>
      </c>
      <c r="E25" s="53">
        <v>4.34</v>
      </c>
      <c r="F25" s="53">
        <v>5.16</v>
      </c>
      <c r="G25" s="53">
        <v>21.31</v>
      </c>
      <c r="H25" s="53">
        <v>5.54</v>
      </c>
      <c r="I25" s="55" t="s">
        <v>8</v>
      </c>
      <c r="J25" s="53">
        <v>0.67</v>
      </c>
      <c r="K25" s="53">
        <v>124.73</v>
      </c>
      <c r="L25" s="53">
        <v>29.66</v>
      </c>
      <c r="M25" s="53">
        <v>79.34</v>
      </c>
      <c r="N25" s="53">
        <v>100.9</v>
      </c>
      <c r="O25" s="53">
        <v>0</v>
      </c>
      <c r="P25" s="53">
        <v>0.31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725</v>
      </c>
      <c r="B26" s="53">
        <v>3.5</v>
      </c>
      <c r="C26" s="53">
        <v>6.02</v>
      </c>
      <c r="D26" s="53">
        <v>5.91</v>
      </c>
      <c r="E26" s="53">
        <v>4.33</v>
      </c>
      <c r="F26" s="53">
        <v>5.25</v>
      </c>
      <c r="G26" s="53">
        <v>20.87</v>
      </c>
      <c r="H26" s="53">
        <v>6.68</v>
      </c>
      <c r="I26" s="55" t="s">
        <v>8</v>
      </c>
      <c r="J26" s="53">
        <v>0.37</v>
      </c>
      <c r="K26" s="53">
        <v>324.66000000000003</v>
      </c>
      <c r="L26" s="53">
        <v>28.6</v>
      </c>
      <c r="M26" s="53">
        <v>87.89</v>
      </c>
      <c r="N26" s="53">
        <v>53</v>
      </c>
      <c r="O26" s="53">
        <v>0</v>
      </c>
      <c r="P26" s="53">
        <v>0.56999999999999995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726</v>
      </c>
      <c r="B27" s="53">
        <v>4.21</v>
      </c>
      <c r="C27" s="53">
        <v>7.03</v>
      </c>
      <c r="D27" s="53">
        <v>7.04</v>
      </c>
      <c r="E27" s="53">
        <v>4.6500000000000004</v>
      </c>
      <c r="F27" s="53">
        <v>4.75</v>
      </c>
      <c r="G27" s="53">
        <v>24.64</v>
      </c>
      <c r="H27" s="53">
        <v>5.98</v>
      </c>
      <c r="I27" s="55" t="s">
        <v>8</v>
      </c>
      <c r="J27" s="53">
        <v>0.4</v>
      </c>
      <c r="K27" s="53">
        <v>187.07</v>
      </c>
      <c r="L27" s="53">
        <v>27.45</v>
      </c>
      <c r="M27" s="53">
        <v>90.55</v>
      </c>
      <c r="N27" s="53">
        <v>26.4</v>
      </c>
      <c r="O27" s="53">
        <v>0</v>
      </c>
      <c r="P27" s="53">
        <v>0.43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727</v>
      </c>
      <c r="B28" s="53">
        <v>5.03</v>
      </c>
      <c r="C28" s="53">
        <v>7.23</v>
      </c>
      <c r="D28" s="53">
        <v>7.65</v>
      </c>
      <c r="E28" s="53">
        <v>5.03</v>
      </c>
      <c r="F28" s="53">
        <v>4.2699999999999996</v>
      </c>
      <c r="G28" s="53">
        <v>26.84</v>
      </c>
      <c r="H28" s="53">
        <v>4.5</v>
      </c>
      <c r="I28" s="55" t="s">
        <v>8</v>
      </c>
      <c r="J28" s="53">
        <v>0.19</v>
      </c>
      <c r="K28" s="53">
        <v>334.8</v>
      </c>
      <c r="L28" s="53">
        <v>26.91</v>
      </c>
      <c r="M28" s="53">
        <v>94.75</v>
      </c>
      <c r="N28" s="53">
        <v>26.1</v>
      </c>
      <c r="O28" s="53">
        <v>0</v>
      </c>
      <c r="P28" s="53">
        <v>0.43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728</v>
      </c>
      <c r="B29" s="53">
        <v>7.59</v>
      </c>
      <c r="C29" s="53">
        <v>7.39</v>
      </c>
      <c r="D29" s="53">
        <v>9.75</v>
      </c>
      <c r="E29" s="53">
        <v>4.07</v>
      </c>
      <c r="F29" s="53">
        <v>4.32</v>
      </c>
      <c r="G29" s="53">
        <v>26.56</v>
      </c>
      <c r="H29" s="53">
        <v>7.86</v>
      </c>
      <c r="I29" s="55" t="s">
        <v>8</v>
      </c>
      <c r="J29" s="53">
        <v>0.74</v>
      </c>
      <c r="K29" s="53">
        <v>133.72</v>
      </c>
      <c r="L29" s="53">
        <v>26.69</v>
      </c>
      <c r="M29" s="53">
        <v>96.23</v>
      </c>
      <c r="N29" s="53">
        <v>26.1</v>
      </c>
      <c r="O29" s="53">
        <v>0</v>
      </c>
      <c r="P29" s="53">
        <v>0.46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729</v>
      </c>
      <c r="B30" s="53">
        <v>8.9600000000000009</v>
      </c>
      <c r="C30" s="53">
        <v>6.96</v>
      </c>
      <c r="D30" s="53">
        <v>10.46</v>
      </c>
      <c r="E30" s="53">
        <v>4.3</v>
      </c>
      <c r="F30" s="53">
        <v>4.55</v>
      </c>
      <c r="G30" s="53">
        <v>25.03</v>
      </c>
      <c r="H30" s="53">
        <v>8.34</v>
      </c>
      <c r="I30" s="55" t="s">
        <v>8</v>
      </c>
      <c r="J30" s="53">
        <v>0.33</v>
      </c>
      <c r="K30" s="53">
        <v>155.30000000000001</v>
      </c>
      <c r="L30" s="53">
        <v>26.46</v>
      </c>
      <c r="M30" s="53">
        <v>100.89</v>
      </c>
      <c r="N30" s="53">
        <v>26.2</v>
      </c>
      <c r="O30" s="53">
        <v>0</v>
      </c>
      <c r="P30" s="53">
        <v>0.54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730</v>
      </c>
      <c r="B31" s="53">
        <v>9.07</v>
      </c>
      <c r="C31" s="53">
        <v>6.12</v>
      </c>
      <c r="D31" s="53">
        <v>10.47</v>
      </c>
      <c r="E31" s="53">
        <v>4.12</v>
      </c>
      <c r="F31" s="53">
        <v>4.22</v>
      </c>
      <c r="G31" s="53">
        <v>26.05</v>
      </c>
      <c r="H31" s="53">
        <v>8.0500000000000007</v>
      </c>
      <c r="I31" s="55" t="s">
        <v>8</v>
      </c>
      <c r="J31" s="53">
        <v>0.59</v>
      </c>
      <c r="K31" s="53">
        <v>158.19</v>
      </c>
      <c r="L31" s="53">
        <v>25.88</v>
      </c>
      <c r="M31" s="53">
        <v>101.33</v>
      </c>
      <c r="N31" s="53">
        <v>26.1</v>
      </c>
      <c r="O31" s="53">
        <v>0</v>
      </c>
      <c r="P31" s="53">
        <v>0.43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731</v>
      </c>
      <c r="B32" s="53">
        <v>8.83</v>
      </c>
      <c r="C32" s="53">
        <v>6.6</v>
      </c>
      <c r="D32" s="53">
        <v>10.53</v>
      </c>
      <c r="E32" s="53">
        <v>4.67</v>
      </c>
      <c r="F32" s="53">
        <v>4.46</v>
      </c>
      <c r="G32" s="53">
        <v>28.06</v>
      </c>
      <c r="H32" s="53">
        <v>7.44</v>
      </c>
      <c r="I32" s="55" t="s">
        <v>8</v>
      </c>
      <c r="J32" s="53">
        <v>0.31</v>
      </c>
      <c r="K32" s="53">
        <v>98.34</v>
      </c>
      <c r="L32" s="53">
        <v>25.62</v>
      </c>
      <c r="M32" s="53">
        <v>102.05</v>
      </c>
      <c r="N32" s="53">
        <v>26.2</v>
      </c>
      <c r="O32" s="53">
        <v>0</v>
      </c>
      <c r="P32" s="53">
        <v>0.4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1.29</v>
      </c>
      <c r="C34" s="28">
        <f t="shared" si="0"/>
        <v>4.2</v>
      </c>
      <c r="D34" s="28">
        <f t="shared" si="0"/>
        <v>5.03</v>
      </c>
      <c r="E34" s="28">
        <f t="shared" si="0"/>
        <v>4.07</v>
      </c>
      <c r="F34" s="28">
        <f t="shared" si="0"/>
        <v>3.57</v>
      </c>
      <c r="G34" s="28">
        <f t="shared" si="0"/>
        <v>9.7100000000000009</v>
      </c>
      <c r="H34" s="28">
        <f t="shared" si="0"/>
        <v>2.09</v>
      </c>
      <c r="I34" s="28">
        <f t="shared" si="0"/>
        <v>2.4300000000000002</v>
      </c>
      <c r="J34" s="28">
        <f t="shared" si="0"/>
        <v>0.19</v>
      </c>
      <c r="K34" s="28">
        <f t="shared" si="0"/>
        <v>98.34</v>
      </c>
      <c r="L34" s="28">
        <f t="shared" si="0"/>
        <v>23.01</v>
      </c>
      <c r="M34" s="28">
        <f t="shared" si="0"/>
        <v>70.69</v>
      </c>
      <c r="N34" s="28">
        <f t="shared" si="0"/>
        <v>26.1</v>
      </c>
      <c r="O34" s="28">
        <f t="shared" si="0"/>
        <v>0</v>
      </c>
      <c r="P34" s="28">
        <f t="shared" si="0"/>
        <v>0.3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12.15</v>
      </c>
      <c r="C35" s="29">
        <f t="shared" si="1"/>
        <v>13.84</v>
      </c>
      <c r="D35" s="29">
        <f t="shared" si="1"/>
        <v>12.49</v>
      </c>
      <c r="E35" s="29">
        <f t="shared" si="1"/>
        <v>6.24</v>
      </c>
      <c r="F35" s="29">
        <f t="shared" si="1"/>
        <v>18.2</v>
      </c>
      <c r="G35" s="29">
        <f t="shared" si="1"/>
        <v>28.06</v>
      </c>
      <c r="H35" s="29">
        <f t="shared" si="1"/>
        <v>8.34</v>
      </c>
      <c r="I35" s="29">
        <f t="shared" si="1"/>
        <v>4.67</v>
      </c>
      <c r="J35" s="29">
        <f t="shared" si="1"/>
        <v>2.13</v>
      </c>
      <c r="K35" s="29">
        <f t="shared" si="1"/>
        <v>352.48</v>
      </c>
      <c r="L35" s="29">
        <f t="shared" si="1"/>
        <v>31.44</v>
      </c>
      <c r="M35" s="29">
        <f t="shared" si="1"/>
        <v>102.1</v>
      </c>
      <c r="N35" s="29">
        <f t="shared" si="1"/>
        <v>928.1</v>
      </c>
      <c r="O35" s="29">
        <f t="shared" si="1"/>
        <v>0</v>
      </c>
      <c r="P35" s="29">
        <f t="shared" si="1"/>
        <v>0.56999999999999995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5.9245833333333335</v>
      </c>
      <c r="C36" s="28">
        <f t="shared" si="2"/>
        <v>6.517083333333332</v>
      </c>
      <c r="D36" s="28">
        <f t="shared" si="2"/>
        <v>8.048333333333332</v>
      </c>
      <c r="E36" s="28">
        <f t="shared" si="2"/>
        <v>4.8841666666666663</v>
      </c>
      <c r="F36" s="28">
        <f t="shared" si="2"/>
        <v>5.1887499999999989</v>
      </c>
      <c r="G36" s="28">
        <f t="shared" si="2"/>
        <v>19.546666666666667</v>
      </c>
      <c r="H36" s="28">
        <f t="shared" si="2"/>
        <v>5.1870833333333328</v>
      </c>
      <c r="I36" s="28">
        <f t="shared" si="2"/>
        <v>3.7792857142857139</v>
      </c>
      <c r="J36" s="28">
        <f t="shared" si="2"/>
        <v>0.79416666666666658</v>
      </c>
      <c r="K36" s="28">
        <f t="shared" si="2"/>
        <v>178.58666666666667</v>
      </c>
      <c r="L36" s="28">
        <f t="shared" si="2"/>
        <v>27.170416666666672</v>
      </c>
      <c r="M36" s="28">
        <f t="shared" si="2"/>
        <v>91.399583333333354</v>
      </c>
      <c r="N36" s="28">
        <f t="shared" si="2"/>
        <v>215.26249999999996</v>
      </c>
      <c r="O36" s="28">
        <f t="shared" si="2"/>
        <v>0</v>
      </c>
      <c r="P36" s="28">
        <f t="shared" si="2"/>
        <v>0.36125000000000002</v>
      </c>
      <c r="Q36" s="28">
        <f t="shared" si="2"/>
        <v>9.6200000000000028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2.9965791788908782</v>
      </c>
      <c r="C37" s="28">
        <f t="shared" ref="C37:Q37" si="3">STDEV(C9:C32)</f>
        <v>2.4491870508691149</v>
      </c>
      <c r="D37" s="28">
        <f t="shared" si="3"/>
        <v>2.0514229773218573</v>
      </c>
      <c r="E37" s="28">
        <f t="shared" si="3"/>
        <v>0.51521980675762125</v>
      </c>
      <c r="F37" s="28">
        <f t="shared" si="3"/>
        <v>3.2046071623862726</v>
      </c>
      <c r="G37" s="28">
        <f t="shared" si="3"/>
        <v>5.2673676840373176</v>
      </c>
      <c r="H37" s="28">
        <f t="shared" si="3"/>
        <v>1.7931087388319111</v>
      </c>
      <c r="I37" s="28">
        <f t="shared" si="3"/>
        <v>0.77302069119202022</v>
      </c>
      <c r="J37" s="28">
        <f t="shared" si="3"/>
        <v>0.52309211647552134</v>
      </c>
      <c r="K37" s="28">
        <f t="shared" si="3"/>
        <v>87.96711211863645</v>
      </c>
      <c r="L37" s="28">
        <f t="shared" si="3"/>
        <v>2.8200469918480962</v>
      </c>
      <c r="M37" s="28">
        <f t="shared" si="3"/>
        <v>11.785952758582185</v>
      </c>
      <c r="N37" s="28">
        <f t="shared" si="3"/>
        <v>283.1801866265119</v>
      </c>
      <c r="O37" s="28">
        <f t="shared" si="3"/>
        <v>0</v>
      </c>
      <c r="P37" s="28">
        <f t="shared" si="3"/>
        <v>7.7757286810780105E-2</v>
      </c>
      <c r="Q37" s="28">
        <f t="shared" si="3"/>
        <v>5.8976782461962838E-3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COUNT(I9:I32)+10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I39" sqref="I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732</v>
      </c>
      <c r="B9" s="50">
        <v>8.07</v>
      </c>
      <c r="C9" s="50">
        <v>5.67</v>
      </c>
      <c r="D9" s="50">
        <v>9.36</v>
      </c>
      <c r="E9" s="50">
        <v>4.96</v>
      </c>
      <c r="F9" s="50">
        <v>4.42</v>
      </c>
      <c r="G9" s="50">
        <v>27.06</v>
      </c>
      <c r="H9" s="50">
        <v>7.81</v>
      </c>
      <c r="I9" s="55" t="s">
        <v>8</v>
      </c>
      <c r="J9" s="50">
        <v>0.26</v>
      </c>
      <c r="K9" s="50">
        <v>340.27</v>
      </c>
      <c r="L9" s="50">
        <v>24.95</v>
      </c>
      <c r="M9" s="50">
        <v>102.04</v>
      </c>
      <c r="N9" s="50">
        <v>26.1</v>
      </c>
      <c r="O9" s="50">
        <v>0</v>
      </c>
      <c r="P9" s="50">
        <v>0.37</v>
      </c>
      <c r="Q9" s="50">
        <v>9.61</v>
      </c>
      <c r="R9" s="43"/>
      <c r="S9" s="43"/>
      <c r="T9" s="43"/>
      <c r="U9" s="43"/>
    </row>
    <row r="10" spans="1:21" s="11" customFormat="1" x14ac:dyDescent="0.25">
      <c r="A10" s="49" t="s">
        <v>733</v>
      </c>
      <c r="B10" s="50">
        <v>7.49</v>
      </c>
      <c r="C10" s="50">
        <v>5.79</v>
      </c>
      <c r="D10" s="50">
        <v>9.0299999999999994</v>
      </c>
      <c r="E10" s="50">
        <v>4.62</v>
      </c>
      <c r="F10" s="50">
        <v>4.46</v>
      </c>
      <c r="G10" s="50">
        <v>23.26</v>
      </c>
      <c r="H10" s="50">
        <v>9.35</v>
      </c>
      <c r="I10" s="55" t="s">
        <v>8</v>
      </c>
      <c r="J10" s="50">
        <v>0.7</v>
      </c>
      <c r="K10" s="50">
        <v>341.7</v>
      </c>
      <c r="L10" s="50">
        <v>24.6</v>
      </c>
      <c r="M10" s="50">
        <v>102.08</v>
      </c>
      <c r="N10" s="50">
        <v>26.1</v>
      </c>
      <c r="O10" s="50">
        <v>0</v>
      </c>
      <c r="P10" s="50">
        <v>0.28999999999999998</v>
      </c>
      <c r="Q10" s="50">
        <v>9.6300000000000008</v>
      </c>
      <c r="R10" s="43"/>
      <c r="S10" s="43"/>
      <c r="T10" s="43"/>
      <c r="U10" s="43"/>
    </row>
    <row r="11" spans="1:21" s="11" customFormat="1" x14ac:dyDescent="0.25">
      <c r="A11" s="49" t="s">
        <v>734</v>
      </c>
      <c r="B11" s="50">
        <v>6.99</v>
      </c>
      <c r="C11" s="50">
        <v>4.67</v>
      </c>
      <c r="D11" s="50">
        <v>8.0399999999999991</v>
      </c>
      <c r="E11" s="50">
        <v>4.49</v>
      </c>
      <c r="F11" s="50">
        <v>4.34</v>
      </c>
      <c r="G11" s="50">
        <v>20.02</v>
      </c>
      <c r="H11" s="50">
        <v>8.48</v>
      </c>
      <c r="I11" s="55" t="s">
        <v>8</v>
      </c>
      <c r="J11" s="50">
        <v>0.37</v>
      </c>
      <c r="K11" s="50">
        <v>266.06</v>
      </c>
      <c r="L11" s="50">
        <v>24.2</v>
      </c>
      <c r="M11" s="50">
        <v>102.08</v>
      </c>
      <c r="N11" s="50">
        <v>26.1</v>
      </c>
      <c r="O11" s="50">
        <v>0</v>
      </c>
      <c r="P11" s="50">
        <v>0.26</v>
      </c>
      <c r="Q11" s="50">
        <v>9.6199999999999992</v>
      </c>
      <c r="R11" s="43"/>
      <c r="S11" s="43"/>
      <c r="T11" s="43"/>
      <c r="U11" s="43"/>
    </row>
    <row r="12" spans="1:21" s="11" customFormat="1" x14ac:dyDescent="0.25">
      <c r="A12" s="49" t="s">
        <v>735</v>
      </c>
      <c r="B12" s="50">
        <v>6.32</v>
      </c>
      <c r="C12" s="50">
        <v>4.95</v>
      </c>
      <c r="D12" s="50">
        <v>7.57</v>
      </c>
      <c r="E12" s="50">
        <v>4.6500000000000004</v>
      </c>
      <c r="F12" s="50">
        <v>4.0599999999999996</v>
      </c>
      <c r="G12" s="50">
        <v>19.22</v>
      </c>
      <c r="H12" s="50">
        <v>7.12</v>
      </c>
      <c r="I12" s="55" t="s">
        <v>8</v>
      </c>
      <c r="J12" s="50">
        <v>0.27</v>
      </c>
      <c r="K12" s="50">
        <v>107.12</v>
      </c>
      <c r="L12" s="50">
        <v>24.03</v>
      </c>
      <c r="M12" s="50">
        <v>102.08</v>
      </c>
      <c r="N12" s="50">
        <v>26.1</v>
      </c>
      <c r="O12" s="50">
        <v>0</v>
      </c>
      <c r="P12" s="50">
        <v>0.31</v>
      </c>
      <c r="Q12" s="50">
        <v>9.6</v>
      </c>
      <c r="R12" s="43"/>
      <c r="S12" s="43"/>
      <c r="T12" s="43"/>
      <c r="U12" s="43"/>
    </row>
    <row r="13" spans="1:21" s="11" customFormat="1" x14ac:dyDescent="0.25">
      <c r="A13" s="49" t="s">
        <v>736</v>
      </c>
      <c r="B13" s="50">
        <v>5.97</v>
      </c>
      <c r="C13" s="50">
        <v>4.59</v>
      </c>
      <c r="D13" s="50">
        <v>7.12</v>
      </c>
      <c r="E13" s="50">
        <v>4.8099999999999996</v>
      </c>
      <c r="F13" s="50">
        <v>4.32</v>
      </c>
      <c r="G13" s="50">
        <v>16.73</v>
      </c>
      <c r="H13" s="50">
        <v>6.74</v>
      </c>
      <c r="I13" s="55" t="s">
        <v>8</v>
      </c>
      <c r="J13" s="50">
        <v>0.49</v>
      </c>
      <c r="K13" s="50">
        <v>282.3</v>
      </c>
      <c r="L13" s="50">
        <v>23.8</v>
      </c>
      <c r="M13" s="50">
        <v>102.08</v>
      </c>
      <c r="N13" s="50">
        <v>26.1</v>
      </c>
      <c r="O13" s="50">
        <v>0</v>
      </c>
      <c r="P13" s="50">
        <v>0.31</v>
      </c>
      <c r="Q13" s="50">
        <v>9.6199999999999992</v>
      </c>
      <c r="R13" s="43"/>
      <c r="S13" s="43"/>
      <c r="T13" s="43"/>
      <c r="U13" s="43"/>
    </row>
    <row r="14" spans="1:21" s="11" customFormat="1" x14ac:dyDescent="0.25">
      <c r="A14" s="49" t="s">
        <v>737</v>
      </c>
      <c r="B14" s="50">
        <v>6.54</v>
      </c>
      <c r="C14" s="50">
        <v>4.7</v>
      </c>
      <c r="D14" s="50">
        <v>7.45</v>
      </c>
      <c r="E14" s="50">
        <v>5.04</v>
      </c>
      <c r="F14" s="50">
        <v>3.46</v>
      </c>
      <c r="G14" s="50">
        <v>14.22</v>
      </c>
      <c r="H14" s="50">
        <v>7.12</v>
      </c>
      <c r="I14" s="55" t="s">
        <v>8</v>
      </c>
      <c r="J14" s="50">
        <v>1.1200000000000001</v>
      </c>
      <c r="K14" s="50">
        <v>137.02000000000001</v>
      </c>
      <c r="L14" s="50">
        <v>23.73</v>
      </c>
      <c r="M14" s="50">
        <v>102.08</v>
      </c>
      <c r="N14" s="50">
        <v>28.9</v>
      </c>
      <c r="O14" s="50">
        <v>0</v>
      </c>
      <c r="P14" s="50">
        <v>0.28999999999999998</v>
      </c>
      <c r="Q14" s="50">
        <v>9.6199999999999992</v>
      </c>
      <c r="R14" s="43"/>
      <c r="S14" s="43"/>
      <c r="T14" s="43"/>
      <c r="U14" s="43"/>
    </row>
    <row r="15" spans="1:21" s="11" customFormat="1" x14ac:dyDescent="0.25">
      <c r="A15" s="49" t="s">
        <v>738</v>
      </c>
      <c r="B15" s="50">
        <v>7.53</v>
      </c>
      <c r="C15" s="50">
        <v>4.42</v>
      </c>
      <c r="D15" s="50">
        <v>8.33</v>
      </c>
      <c r="E15" s="50">
        <v>4.8099999999999996</v>
      </c>
      <c r="F15" s="50">
        <v>4.04</v>
      </c>
      <c r="G15" s="50">
        <v>15.35</v>
      </c>
      <c r="H15" s="50">
        <v>8.56</v>
      </c>
      <c r="I15" s="55" t="s">
        <v>8</v>
      </c>
      <c r="J15" s="50">
        <v>0.95</v>
      </c>
      <c r="K15" s="50">
        <v>143.32</v>
      </c>
      <c r="L15" s="50">
        <v>25.83</v>
      </c>
      <c r="M15" s="50">
        <v>102.08</v>
      </c>
      <c r="N15" s="50">
        <v>141.19999999999999</v>
      </c>
      <c r="O15" s="50">
        <v>0</v>
      </c>
      <c r="P15" s="50">
        <v>0.4</v>
      </c>
      <c r="Q15" s="50">
        <v>9.61</v>
      </c>
      <c r="R15" s="43"/>
      <c r="S15" s="43"/>
      <c r="T15" s="43"/>
      <c r="U15" s="43"/>
    </row>
    <row r="16" spans="1:21" s="11" customFormat="1" x14ac:dyDescent="0.25">
      <c r="A16" s="49" t="s">
        <v>739</v>
      </c>
      <c r="B16" s="50">
        <v>8.31</v>
      </c>
      <c r="C16" s="50">
        <v>5.0599999999999996</v>
      </c>
      <c r="D16" s="50">
        <v>9.31</v>
      </c>
      <c r="E16" s="50">
        <v>5.21</v>
      </c>
      <c r="F16" s="50">
        <v>4.4800000000000004</v>
      </c>
      <c r="G16" s="50">
        <v>21.36</v>
      </c>
      <c r="H16" s="50">
        <v>9.27</v>
      </c>
      <c r="I16" s="55" t="s">
        <v>8</v>
      </c>
      <c r="J16" s="50">
        <v>0.84</v>
      </c>
      <c r="K16" s="50">
        <v>126.2</v>
      </c>
      <c r="L16" s="50">
        <v>26.92</v>
      </c>
      <c r="M16" s="50">
        <v>100.08</v>
      </c>
      <c r="N16" s="50">
        <v>277.3</v>
      </c>
      <c r="O16" s="50">
        <v>0</v>
      </c>
      <c r="P16" s="50">
        <v>0.31</v>
      </c>
      <c r="Q16" s="50">
        <v>9.6199999999999992</v>
      </c>
      <c r="R16" s="43"/>
      <c r="S16" s="43"/>
      <c r="T16" s="43"/>
      <c r="U16" s="43"/>
    </row>
    <row r="17" spans="1:21" s="11" customFormat="1" x14ac:dyDescent="0.25">
      <c r="A17" s="49" t="s">
        <v>740</v>
      </c>
      <c r="B17" s="50">
        <v>7.87</v>
      </c>
      <c r="C17" s="50">
        <v>5.48</v>
      </c>
      <c r="D17" s="50">
        <v>8.9</v>
      </c>
      <c r="E17" s="50">
        <v>4.4800000000000004</v>
      </c>
      <c r="F17" s="50">
        <v>4.34</v>
      </c>
      <c r="G17" s="50">
        <v>20.65</v>
      </c>
      <c r="H17" s="50">
        <v>8.74</v>
      </c>
      <c r="I17" s="55" t="s">
        <v>8</v>
      </c>
      <c r="J17" s="50">
        <v>1.34</v>
      </c>
      <c r="K17" s="50">
        <v>130.63</v>
      </c>
      <c r="L17" s="50">
        <v>29.76</v>
      </c>
      <c r="M17" s="50">
        <v>90.07</v>
      </c>
      <c r="N17" s="50">
        <v>619.5</v>
      </c>
      <c r="O17" s="50">
        <v>0</v>
      </c>
      <c r="P17" s="50">
        <v>0.32</v>
      </c>
      <c r="Q17" s="50">
        <v>9.61</v>
      </c>
      <c r="R17" s="43"/>
      <c r="S17" s="43"/>
      <c r="T17" s="43"/>
      <c r="U17" s="43"/>
    </row>
    <row r="18" spans="1:21" s="11" customFormat="1" x14ac:dyDescent="0.25">
      <c r="A18" s="49" t="s">
        <v>741</v>
      </c>
      <c r="B18" s="50">
        <v>6.58</v>
      </c>
      <c r="C18" s="50">
        <v>6.04</v>
      </c>
      <c r="D18" s="50">
        <v>8.1</v>
      </c>
      <c r="E18" s="50">
        <v>4.9000000000000004</v>
      </c>
      <c r="F18" s="50">
        <v>4.3600000000000003</v>
      </c>
      <c r="G18" s="50">
        <v>20.88</v>
      </c>
      <c r="H18" s="50">
        <v>8.93</v>
      </c>
      <c r="I18" s="55" t="s">
        <v>8</v>
      </c>
      <c r="J18" s="50">
        <v>0.4</v>
      </c>
      <c r="K18" s="50">
        <v>98.58</v>
      </c>
      <c r="L18" s="50">
        <v>31.58</v>
      </c>
      <c r="M18" s="50">
        <v>80.989999999999995</v>
      </c>
      <c r="N18" s="50">
        <v>754.6</v>
      </c>
      <c r="O18" s="50">
        <v>0</v>
      </c>
      <c r="P18" s="50">
        <v>0.31</v>
      </c>
      <c r="Q18" s="50">
        <v>9.61</v>
      </c>
      <c r="R18" s="43"/>
      <c r="S18" s="43"/>
      <c r="T18" s="43"/>
      <c r="U18" s="43"/>
    </row>
    <row r="19" spans="1:21" s="11" customFormat="1" x14ac:dyDescent="0.25">
      <c r="A19" s="49" t="s">
        <v>742</v>
      </c>
      <c r="B19" s="50">
        <v>4.59</v>
      </c>
      <c r="C19" s="50">
        <v>6.37</v>
      </c>
      <c r="D19" s="50">
        <v>6.64</v>
      </c>
      <c r="E19" s="50">
        <v>4.7699999999999996</v>
      </c>
      <c r="F19" s="50">
        <v>4.51</v>
      </c>
      <c r="G19" s="50">
        <v>20.93</v>
      </c>
      <c r="H19" s="50">
        <v>8.74</v>
      </c>
      <c r="I19" s="55" t="s">
        <v>8</v>
      </c>
      <c r="J19" s="50">
        <v>0.37</v>
      </c>
      <c r="K19" s="50">
        <v>348.77</v>
      </c>
      <c r="L19" s="50">
        <v>33.049999999999997</v>
      </c>
      <c r="M19" s="50">
        <v>75.069999999999993</v>
      </c>
      <c r="N19" s="50">
        <v>900.1</v>
      </c>
      <c r="O19" s="50">
        <v>0</v>
      </c>
      <c r="P19" s="50">
        <v>0.31</v>
      </c>
      <c r="Q19" s="50">
        <v>9.61</v>
      </c>
      <c r="R19" s="43"/>
      <c r="S19" s="43"/>
      <c r="T19" s="43"/>
      <c r="U19" s="43"/>
    </row>
    <row r="20" spans="1:21" s="11" customFormat="1" x14ac:dyDescent="0.25">
      <c r="A20" s="49" t="s">
        <v>743</v>
      </c>
      <c r="B20" s="50">
        <v>3.4</v>
      </c>
      <c r="C20" s="50">
        <v>6.82</v>
      </c>
      <c r="D20" s="50">
        <v>6.17</v>
      </c>
      <c r="E20" s="50">
        <v>5.0999999999999996</v>
      </c>
      <c r="F20" s="50">
        <v>4.49</v>
      </c>
      <c r="G20" s="50">
        <v>28.66</v>
      </c>
      <c r="H20" s="50">
        <v>8.93</v>
      </c>
      <c r="I20" s="55" t="s">
        <v>8</v>
      </c>
      <c r="J20" s="50">
        <v>0.32</v>
      </c>
      <c r="K20" s="50">
        <v>333.85</v>
      </c>
      <c r="L20" s="50">
        <v>32.42</v>
      </c>
      <c r="M20" s="50">
        <v>72.510000000000005</v>
      </c>
      <c r="N20" s="50">
        <v>930.1</v>
      </c>
      <c r="O20" s="50">
        <v>0</v>
      </c>
      <c r="P20" s="50">
        <v>0.31</v>
      </c>
      <c r="Q20" s="50">
        <v>9.6199999999999992</v>
      </c>
      <c r="R20" s="43"/>
      <c r="S20" s="43"/>
      <c r="T20" s="43"/>
      <c r="U20" s="43"/>
    </row>
    <row r="21" spans="1:21" s="11" customFormat="1" x14ac:dyDescent="0.25">
      <c r="A21" s="49" t="s">
        <v>744</v>
      </c>
      <c r="B21" s="50">
        <v>1.82</v>
      </c>
      <c r="C21" s="50">
        <v>6.3</v>
      </c>
      <c r="D21" s="50">
        <v>4.68</v>
      </c>
      <c r="E21" s="50">
        <v>5.78</v>
      </c>
      <c r="F21" s="50">
        <v>4.88</v>
      </c>
      <c r="G21" s="50">
        <v>28.97</v>
      </c>
      <c r="H21" s="50">
        <v>10.66</v>
      </c>
      <c r="I21" s="55" t="s">
        <v>8</v>
      </c>
      <c r="J21" s="50">
        <v>0.27</v>
      </c>
      <c r="K21" s="50">
        <v>350.82</v>
      </c>
      <c r="L21" s="50">
        <v>32.229999999999997</v>
      </c>
      <c r="M21" s="50">
        <v>72.97</v>
      </c>
      <c r="N21" s="50">
        <v>442.5</v>
      </c>
      <c r="O21" s="50">
        <v>0</v>
      </c>
      <c r="P21" s="50">
        <v>0.31</v>
      </c>
      <c r="Q21" s="50">
        <v>9.61</v>
      </c>
      <c r="R21" s="43"/>
      <c r="S21" s="43"/>
      <c r="T21" s="43"/>
      <c r="U21" s="43"/>
    </row>
    <row r="22" spans="1:21" s="11" customFormat="1" x14ac:dyDescent="0.25">
      <c r="A22" s="49" t="s">
        <v>745</v>
      </c>
      <c r="B22" s="50">
        <v>1.56</v>
      </c>
      <c r="C22" s="50">
        <v>6.05</v>
      </c>
      <c r="D22" s="50">
        <v>4.42</v>
      </c>
      <c r="E22" s="50">
        <v>5.73</v>
      </c>
      <c r="F22" s="50">
        <v>6.14</v>
      </c>
      <c r="G22" s="50">
        <v>28.43</v>
      </c>
      <c r="H22" s="50">
        <v>10.039999999999999</v>
      </c>
      <c r="I22" s="55" t="s">
        <v>8</v>
      </c>
      <c r="J22" s="50">
        <v>0.37</v>
      </c>
      <c r="K22" s="50">
        <v>354.59</v>
      </c>
      <c r="L22" s="50">
        <v>32.020000000000003</v>
      </c>
      <c r="M22" s="50">
        <v>71.459999999999994</v>
      </c>
      <c r="N22" s="50">
        <v>484.9</v>
      </c>
      <c r="O22" s="50">
        <v>0</v>
      </c>
      <c r="P22" s="50">
        <v>0.34</v>
      </c>
      <c r="Q22" s="50">
        <v>9.6</v>
      </c>
      <c r="R22" s="43"/>
      <c r="S22" s="43"/>
      <c r="T22" s="43"/>
      <c r="U22" s="43"/>
    </row>
    <row r="23" spans="1:21" s="11" customFormat="1" x14ac:dyDescent="0.25">
      <c r="A23" s="49" t="s">
        <v>746</v>
      </c>
      <c r="B23" s="50">
        <v>2.36</v>
      </c>
      <c r="C23" s="50">
        <v>6.48</v>
      </c>
      <c r="D23" s="50">
        <v>5.27</v>
      </c>
      <c r="E23" s="50">
        <v>5.82</v>
      </c>
      <c r="F23" s="50">
        <v>5.0199999999999996</v>
      </c>
      <c r="G23" s="50">
        <v>26.2</v>
      </c>
      <c r="H23" s="50">
        <v>6.63</v>
      </c>
      <c r="I23" s="55" t="s">
        <v>8</v>
      </c>
      <c r="J23" s="50">
        <v>0.81</v>
      </c>
      <c r="K23" s="50">
        <v>356.66</v>
      </c>
      <c r="L23" s="50">
        <v>32.26</v>
      </c>
      <c r="M23" s="50">
        <v>67.31</v>
      </c>
      <c r="N23" s="50">
        <v>185.2</v>
      </c>
      <c r="O23" s="50">
        <v>0</v>
      </c>
      <c r="P23" s="50">
        <v>0.36</v>
      </c>
      <c r="Q23" s="50">
        <v>9.61</v>
      </c>
      <c r="R23" s="43"/>
      <c r="S23" s="43"/>
      <c r="T23" s="43"/>
      <c r="U23" s="43"/>
    </row>
    <row r="24" spans="1:21" s="11" customFormat="1" x14ac:dyDescent="0.25">
      <c r="A24" s="49" t="s">
        <v>747</v>
      </c>
      <c r="B24" s="50">
        <v>2.38</v>
      </c>
      <c r="C24" s="50">
        <v>6.67</v>
      </c>
      <c r="D24" s="50">
        <v>5.33</v>
      </c>
      <c r="E24" s="50">
        <v>5.84</v>
      </c>
      <c r="F24" s="50">
        <v>5.61</v>
      </c>
      <c r="G24" s="50">
        <v>26.82</v>
      </c>
      <c r="H24" s="50">
        <v>7.51</v>
      </c>
      <c r="I24" s="55" t="s">
        <v>8</v>
      </c>
      <c r="J24" s="50">
        <v>0.36</v>
      </c>
      <c r="K24" s="50">
        <v>354.6</v>
      </c>
      <c r="L24" s="50">
        <v>31.47</v>
      </c>
      <c r="M24" s="50">
        <v>72.5</v>
      </c>
      <c r="N24" s="50">
        <v>118.8</v>
      </c>
      <c r="O24" s="50">
        <v>0</v>
      </c>
      <c r="P24" s="50">
        <v>0.34</v>
      </c>
      <c r="Q24" s="50">
        <v>9.6199999999999992</v>
      </c>
      <c r="R24" s="43"/>
      <c r="S24" s="43"/>
      <c r="T24" s="43"/>
      <c r="U24" s="43"/>
    </row>
    <row r="25" spans="1:21" s="11" customFormat="1" x14ac:dyDescent="0.25">
      <c r="A25" s="49" t="s">
        <v>748</v>
      </c>
      <c r="B25" s="50">
        <v>2.12</v>
      </c>
      <c r="C25" s="50">
        <v>6.45</v>
      </c>
      <c r="D25" s="50">
        <v>4.92</v>
      </c>
      <c r="E25" s="50">
        <v>4.8899999999999997</v>
      </c>
      <c r="F25" s="50">
        <v>4.83</v>
      </c>
      <c r="G25" s="50">
        <v>25.41</v>
      </c>
      <c r="H25" s="50">
        <v>7.45</v>
      </c>
      <c r="I25" s="55" t="s">
        <v>8</v>
      </c>
      <c r="J25" s="50">
        <v>0.31</v>
      </c>
      <c r="K25" s="50">
        <v>348.15</v>
      </c>
      <c r="L25" s="50">
        <v>30.74</v>
      </c>
      <c r="M25" s="50">
        <v>75.38</v>
      </c>
      <c r="N25" s="50">
        <v>83</v>
      </c>
      <c r="O25" s="50">
        <v>0</v>
      </c>
      <c r="P25" s="50">
        <v>0.37</v>
      </c>
      <c r="Q25" s="50">
        <v>9.61</v>
      </c>
      <c r="R25" s="43"/>
      <c r="S25" s="43"/>
      <c r="T25" s="43"/>
      <c r="U25" s="43"/>
    </row>
    <row r="26" spans="1:21" s="11" customFormat="1" x14ac:dyDescent="0.25">
      <c r="A26" s="49" t="s">
        <v>749</v>
      </c>
      <c r="B26" s="50">
        <v>1.38</v>
      </c>
      <c r="C26" s="50">
        <v>5.99</v>
      </c>
      <c r="D26" s="50">
        <v>4.22</v>
      </c>
      <c r="E26" s="50">
        <v>4.9400000000000004</v>
      </c>
      <c r="F26" s="50">
        <v>5.55</v>
      </c>
      <c r="G26" s="50">
        <v>24.06</v>
      </c>
      <c r="H26" s="50">
        <v>7.19</v>
      </c>
      <c r="I26" s="55" t="s">
        <v>8</v>
      </c>
      <c r="J26" s="50">
        <v>0.41</v>
      </c>
      <c r="K26" s="50">
        <v>358.22</v>
      </c>
      <c r="L26" s="50">
        <v>29.58</v>
      </c>
      <c r="M26" s="50">
        <v>87.98</v>
      </c>
      <c r="N26" s="50">
        <v>59.6</v>
      </c>
      <c r="O26" s="50">
        <v>0</v>
      </c>
      <c r="P26" s="50">
        <v>0.52</v>
      </c>
      <c r="Q26" s="50">
        <v>9.61</v>
      </c>
      <c r="R26" s="43"/>
      <c r="S26" s="43"/>
      <c r="T26" s="43"/>
      <c r="U26" s="43"/>
    </row>
    <row r="27" spans="1:21" s="11" customFormat="1" x14ac:dyDescent="0.25">
      <c r="A27" s="49" t="s">
        <v>750</v>
      </c>
      <c r="B27" s="50">
        <v>1.82</v>
      </c>
      <c r="C27" s="50">
        <v>6.81</v>
      </c>
      <c r="D27" s="50">
        <v>5.0199999999999996</v>
      </c>
      <c r="E27" s="50">
        <v>4.96</v>
      </c>
      <c r="F27" s="50">
        <v>7.05</v>
      </c>
      <c r="G27" s="50">
        <v>28.45</v>
      </c>
      <c r="H27" s="50">
        <v>16.8</v>
      </c>
      <c r="I27" s="50">
        <v>1.06</v>
      </c>
      <c r="J27" s="50">
        <v>0.32</v>
      </c>
      <c r="K27" s="50">
        <v>347.89</v>
      </c>
      <c r="L27" s="50">
        <v>27.9</v>
      </c>
      <c r="M27" s="50">
        <v>91.42</v>
      </c>
      <c r="N27" s="50">
        <v>27.1</v>
      </c>
      <c r="O27" s="50">
        <v>0</v>
      </c>
      <c r="P27" s="50">
        <v>0.62</v>
      </c>
      <c r="Q27" s="50">
        <v>9.61</v>
      </c>
      <c r="R27" s="43"/>
      <c r="S27" s="43"/>
      <c r="T27" s="43"/>
      <c r="U27" s="43"/>
    </row>
    <row r="28" spans="1:21" s="11" customFormat="1" x14ac:dyDescent="0.25">
      <c r="A28" s="49" t="s">
        <v>751</v>
      </c>
      <c r="B28" s="50">
        <v>2.16</v>
      </c>
      <c r="C28" s="50">
        <v>7.08</v>
      </c>
      <c r="D28" s="50">
        <v>5.43</v>
      </c>
      <c r="E28" s="50">
        <v>5.17</v>
      </c>
      <c r="F28" s="50">
        <v>7.99</v>
      </c>
      <c r="G28" s="50">
        <v>28.52</v>
      </c>
      <c r="H28" s="50">
        <v>17.21</v>
      </c>
      <c r="I28" s="50">
        <v>1.63</v>
      </c>
      <c r="J28" s="50">
        <v>0.43</v>
      </c>
      <c r="K28" s="50">
        <v>338.37</v>
      </c>
      <c r="L28" s="50">
        <v>27.91</v>
      </c>
      <c r="M28" s="50">
        <v>92.26</v>
      </c>
      <c r="N28" s="50">
        <v>26.3</v>
      </c>
      <c r="O28" s="50">
        <v>0</v>
      </c>
      <c r="P28" s="50">
        <v>0.61</v>
      </c>
      <c r="Q28" s="50">
        <v>9.6199999999999992</v>
      </c>
      <c r="R28" s="43"/>
      <c r="S28" s="43"/>
      <c r="T28" s="43"/>
      <c r="U28" s="43"/>
    </row>
    <row r="29" spans="1:21" s="11" customFormat="1" x14ac:dyDescent="0.25">
      <c r="A29" s="49" t="s">
        <v>752</v>
      </c>
      <c r="B29" s="50">
        <v>7.58</v>
      </c>
      <c r="C29" s="50">
        <v>8.3800000000000008</v>
      </c>
      <c r="D29" s="50">
        <v>10.46</v>
      </c>
      <c r="E29" s="50">
        <v>4.58</v>
      </c>
      <c r="F29" s="50">
        <v>4.6500000000000004</v>
      </c>
      <c r="G29" s="50">
        <v>34.9</v>
      </c>
      <c r="H29" s="50">
        <v>16.73</v>
      </c>
      <c r="I29" s="50">
        <v>2.77</v>
      </c>
      <c r="J29" s="50">
        <v>0.45</v>
      </c>
      <c r="K29" s="50">
        <v>264.8</v>
      </c>
      <c r="L29" s="50">
        <v>27.52</v>
      </c>
      <c r="M29" s="50">
        <v>94.29</v>
      </c>
      <c r="N29" s="50">
        <v>26.1</v>
      </c>
      <c r="O29" s="50">
        <v>0</v>
      </c>
      <c r="P29" s="50">
        <v>0.96</v>
      </c>
      <c r="Q29" s="50">
        <v>9.6199999999999992</v>
      </c>
      <c r="R29" s="43"/>
      <c r="S29" s="43"/>
      <c r="T29" s="43"/>
      <c r="U29" s="43"/>
    </row>
    <row r="30" spans="1:21" s="11" customFormat="1" x14ac:dyDescent="0.25">
      <c r="A30" s="49" t="s">
        <v>753</v>
      </c>
      <c r="B30" s="50">
        <v>7.65</v>
      </c>
      <c r="C30" s="50">
        <v>7.97</v>
      </c>
      <c r="D30" s="50">
        <v>10.29</v>
      </c>
      <c r="E30" s="50">
        <v>4.67</v>
      </c>
      <c r="F30" s="50">
        <v>4.41</v>
      </c>
      <c r="G30" s="50">
        <v>34.31</v>
      </c>
      <c r="H30" s="50">
        <v>17.260000000000002</v>
      </c>
      <c r="I30" s="50">
        <v>2.71</v>
      </c>
      <c r="J30" s="50">
        <v>0.44</v>
      </c>
      <c r="K30" s="50">
        <v>277.10000000000002</v>
      </c>
      <c r="L30" s="50">
        <v>27.17</v>
      </c>
      <c r="M30" s="50">
        <v>97.74</v>
      </c>
      <c r="N30" s="50">
        <v>26.1</v>
      </c>
      <c r="O30" s="50">
        <v>0</v>
      </c>
      <c r="P30" s="50">
        <v>0.63</v>
      </c>
      <c r="Q30" s="50">
        <v>9.6199999999999992</v>
      </c>
      <c r="R30" s="43"/>
      <c r="S30" s="43"/>
      <c r="T30" s="43"/>
      <c r="U30" s="43"/>
    </row>
    <row r="31" spans="1:21" s="11" customFormat="1" x14ac:dyDescent="0.25">
      <c r="A31" s="49" t="s">
        <v>754</v>
      </c>
      <c r="B31" s="50">
        <v>7.4</v>
      </c>
      <c r="C31" s="50">
        <v>7.2</v>
      </c>
      <c r="D31" s="50">
        <v>9.6999999999999993</v>
      </c>
      <c r="E31" s="50">
        <v>4.1100000000000003</v>
      </c>
      <c r="F31" s="50">
        <v>4.7699999999999996</v>
      </c>
      <c r="G31" s="50">
        <v>32.21</v>
      </c>
      <c r="H31" s="50">
        <v>16.79</v>
      </c>
      <c r="I31" s="50">
        <v>1.38</v>
      </c>
      <c r="J31" s="50">
        <v>0.36</v>
      </c>
      <c r="K31" s="50">
        <v>159.62</v>
      </c>
      <c r="L31" s="50">
        <v>26.8</v>
      </c>
      <c r="M31" s="50">
        <v>102.1</v>
      </c>
      <c r="N31" s="50">
        <v>26.2</v>
      </c>
      <c r="O31" s="50">
        <v>0</v>
      </c>
      <c r="P31" s="50">
        <v>0.5</v>
      </c>
      <c r="Q31" s="50">
        <v>9.61</v>
      </c>
      <c r="R31" s="43"/>
      <c r="S31" s="43"/>
      <c r="T31" s="43"/>
      <c r="U31" s="43"/>
    </row>
    <row r="32" spans="1:21" s="11" customFormat="1" x14ac:dyDescent="0.25">
      <c r="A32" s="49" t="s">
        <v>755</v>
      </c>
      <c r="B32" s="50">
        <v>9.6300000000000008</v>
      </c>
      <c r="C32" s="50">
        <v>7.09</v>
      </c>
      <c r="D32" s="50">
        <v>11.43</v>
      </c>
      <c r="E32" s="50">
        <v>4.84</v>
      </c>
      <c r="F32" s="50">
        <v>4.16</v>
      </c>
      <c r="G32" s="50">
        <v>30.44</v>
      </c>
      <c r="H32" s="50">
        <v>15.65</v>
      </c>
      <c r="I32" s="50">
        <v>0.97</v>
      </c>
      <c r="J32" s="50">
        <v>0.57999999999999996</v>
      </c>
      <c r="K32" s="50">
        <v>179.93</v>
      </c>
      <c r="L32" s="50">
        <v>26.14</v>
      </c>
      <c r="M32" s="50">
        <v>102.12</v>
      </c>
      <c r="N32" s="50">
        <v>26.1</v>
      </c>
      <c r="O32" s="50">
        <v>0</v>
      </c>
      <c r="P32" s="50">
        <v>0.48</v>
      </c>
      <c r="Q32" s="50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1.38</v>
      </c>
      <c r="C34" s="28">
        <f t="shared" si="0"/>
        <v>4.42</v>
      </c>
      <c r="D34" s="28">
        <f t="shared" si="0"/>
        <v>4.22</v>
      </c>
      <c r="E34" s="28">
        <f t="shared" si="0"/>
        <v>4.1100000000000003</v>
      </c>
      <c r="F34" s="28">
        <f t="shared" si="0"/>
        <v>3.46</v>
      </c>
      <c r="G34" s="28">
        <f t="shared" si="0"/>
        <v>14.22</v>
      </c>
      <c r="H34" s="28">
        <f t="shared" si="0"/>
        <v>6.63</v>
      </c>
      <c r="I34" s="28">
        <f t="shared" si="0"/>
        <v>0.97</v>
      </c>
      <c r="J34" s="28">
        <f t="shared" si="0"/>
        <v>0.26</v>
      </c>
      <c r="K34" s="28">
        <f t="shared" si="0"/>
        <v>98.58</v>
      </c>
      <c r="L34" s="28">
        <f t="shared" si="0"/>
        <v>23.73</v>
      </c>
      <c r="M34" s="28">
        <f t="shared" si="0"/>
        <v>67.31</v>
      </c>
      <c r="N34" s="28">
        <f t="shared" si="0"/>
        <v>26.1</v>
      </c>
      <c r="O34" s="28">
        <f t="shared" si="0"/>
        <v>0</v>
      </c>
      <c r="P34" s="28">
        <f t="shared" si="0"/>
        <v>0.26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9.6300000000000008</v>
      </c>
      <c r="C35" s="29">
        <f t="shared" si="1"/>
        <v>8.3800000000000008</v>
      </c>
      <c r="D35" s="29">
        <f t="shared" si="1"/>
        <v>11.43</v>
      </c>
      <c r="E35" s="29">
        <f t="shared" si="1"/>
        <v>5.84</v>
      </c>
      <c r="F35" s="29">
        <f t="shared" si="1"/>
        <v>7.99</v>
      </c>
      <c r="G35" s="29">
        <f t="shared" si="1"/>
        <v>34.9</v>
      </c>
      <c r="H35" s="29">
        <f t="shared" si="1"/>
        <v>17.260000000000002</v>
      </c>
      <c r="I35" s="29">
        <f t="shared" si="1"/>
        <v>2.77</v>
      </c>
      <c r="J35" s="29">
        <f t="shared" si="1"/>
        <v>1.34</v>
      </c>
      <c r="K35" s="29">
        <f t="shared" si="1"/>
        <v>358.22</v>
      </c>
      <c r="L35" s="29">
        <f t="shared" si="1"/>
        <v>33.049999999999997</v>
      </c>
      <c r="M35" s="29">
        <f t="shared" si="1"/>
        <v>102.12</v>
      </c>
      <c r="N35" s="29">
        <f t="shared" si="1"/>
        <v>930.1</v>
      </c>
      <c r="O35" s="29">
        <f t="shared" si="1"/>
        <v>0</v>
      </c>
      <c r="P35" s="29">
        <f t="shared" si="1"/>
        <v>0.96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5.3133333333333335</v>
      </c>
      <c r="C36" s="28">
        <f t="shared" si="2"/>
        <v>6.1262499999999998</v>
      </c>
      <c r="D36" s="28">
        <f t="shared" si="2"/>
        <v>7.3829166666666666</v>
      </c>
      <c r="E36" s="28">
        <f t="shared" si="2"/>
        <v>4.9654166666666661</v>
      </c>
      <c r="F36" s="28">
        <f t="shared" si="2"/>
        <v>4.8474999999999993</v>
      </c>
      <c r="G36" s="28">
        <f t="shared" si="2"/>
        <v>24.877500000000008</v>
      </c>
      <c r="H36" s="28">
        <f t="shared" si="2"/>
        <v>10.404583333333331</v>
      </c>
      <c r="I36" s="28">
        <f t="shared" si="2"/>
        <v>1.7533333333333336</v>
      </c>
      <c r="J36" s="28">
        <f t="shared" si="2"/>
        <v>0.52249999999999996</v>
      </c>
      <c r="K36" s="28">
        <f t="shared" si="2"/>
        <v>264.44041666666669</v>
      </c>
      <c r="L36" s="28">
        <f t="shared" si="2"/>
        <v>28.192083333333329</v>
      </c>
      <c r="M36" s="28">
        <f t="shared" si="2"/>
        <v>90.032083333333333</v>
      </c>
      <c r="N36" s="28">
        <f t="shared" si="2"/>
        <v>221.42083333333338</v>
      </c>
      <c r="O36" s="28">
        <f t="shared" si="2"/>
        <v>0</v>
      </c>
      <c r="P36" s="28">
        <f t="shared" si="2"/>
        <v>0.40958333333333335</v>
      </c>
      <c r="Q36" s="28">
        <f t="shared" si="2"/>
        <v>9.6145833333333357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2.7133705442023457</v>
      </c>
      <c r="C37" s="28">
        <f t="shared" ref="C37:Q37" si="3">STDEV(C9:C32)</f>
        <v>1.058127190924568</v>
      </c>
      <c r="D37" s="28">
        <f t="shared" si="3"/>
        <v>2.1519424575438144</v>
      </c>
      <c r="E37" s="28">
        <f t="shared" si="3"/>
        <v>0.44864994746719722</v>
      </c>
      <c r="F37" s="28">
        <f t="shared" si="3"/>
        <v>1.0032566536253207</v>
      </c>
      <c r="G37" s="28">
        <f t="shared" si="3"/>
        <v>5.6945330380759787</v>
      </c>
      <c r="H37" s="28">
        <f t="shared" si="3"/>
        <v>3.8759705423193811</v>
      </c>
      <c r="I37" s="28">
        <f t="shared" si="3"/>
        <v>0.79971661647527681</v>
      </c>
      <c r="J37" s="28">
        <f t="shared" si="3"/>
        <v>0.28906521003429991</v>
      </c>
      <c r="K37" s="28">
        <f t="shared" si="3"/>
        <v>98.443031969241446</v>
      </c>
      <c r="L37" s="28">
        <f t="shared" si="3"/>
        <v>3.1825734448531358</v>
      </c>
      <c r="M37" s="28">
        <f t="shared" si="3"/>
        <v>12.825747195512113</v>
      </c>
      <c r="N37" s="28">
        <f t="shared" si="3"/>
        <v>298.31651119482012</v>
      </c>
      <c r="O37" s="28">
        <f t="shared" si="3"/>
        <v>0</v>
      </c>
      <c r="P37" s="28">
        <f t="shared" si="3"/>
        <v>0.16219899658368306</v>
      </c>
      <c r="Q37" s="28">
        <f t="shared" si="3"/>
        <v>7.7902763620492695E-3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COUNT(I9:I32)+18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I39" sqref="I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756</v>
      </c>
      <c r="B9" s="53">
        <v>9.6199999999999992</v>
      </c>
      <c r="C9" s="53">
        <v>7.17</v>
      </c>
      <c r="D9" s="53">
        <v>11.46</v>
      </c>
      <c r="E9" s="53">
        <v>5.05</v>
      </c>
      <c r="F9" s="53">
        <v>4.51</v>
      </c>
      <c r="G9" s="53">
        <v>31.17</v>
      </c>
      <c r="H9" s="53">
        <v>14.15</v>
      </c>
      <c r="I9" s="53">
        <v>1.73</v>
      </c>
      <c r="J9" s="53">
        <v>0.49</v>
      </c>
      <c r="K9" s="53">
        <v>259.17</v>
      </c>
      <c r="L9" s="53">
        <v>25.9</v>
      </c>
      <c r="M9" s="53">
        <v>102.14</v>
      </c>
      <c r="N9" s="53">
        <v>26.1</v>
      </c>
      <c r="O9" s="53">
        <v>0</v>
      </c>
      <c r="P9" s="53">
        <v>0.44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757</v>
      </c>
      <c r="B10" s="53">
        <v>8.11</v>
      </c>
      <c r="C10" s="53">
        <v>5.69</v>
      </c>
      <c r="D10" s="53">
        <v>9.4499999999999993</v>
      </c>
      <c r="E10" s="53">
        <v>4.41</v>
      </c>
      <c r="F10" s="53">
        <v>5.0999999999999996</v>
      </c>
      <c r="G10" s="53">
        <v>30.02</v>
      </c>
      <c r="H10" s="53">
        <v>14.65</v>
      </c>
      <c r="I10" s="53">
        <v>2.2000000000000002</v>
      </c>
      <c r="J10" s="53">
        <v>0.16</v>
      </c>
      <c r="K10" s="53">
        <v>169.7</v>
      </c>
      <c r="L10" s="53">
        <v>25.36</v>
      </c>
      <c r="M10" s="53">
        <v>102.13</v>
      </c>
      <c r="N10" s="53">
        <v>26.1</v>
      </c>
      <c r="O10" s="53">
        <v>0</v>
      </c>
      <c r="P10" s="53">
        <v>0.42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758</v>
      </c>
      <c r="B11" s="53">
        <v>6.95</v>
      </c>
      <c r="C11" s="53">
        <v>5.32</v>
      </c>
      <c r="D11" s="53">
        <v>8.36</v>
      </c>
      <c r="E11" s="53">
        <v>4.38</v>
      </c>
      <c r="F11" s="53">
        <v>4.18</v>
      </c>
      <c r="G11" s="53">
        <v>26.49</v>
      </c>
      <c r="H11" s="53">
        <v>14.61</v>
      </c>
      <c r="I11" s="53">
        <v>2.2400000000000002</v>
      </c>
      <c r="J11" s="53">
        <v>0.56999999999999995</v>
      </c>
      <c r="K11" s="53">
        <v>245.16</v>
      </c>
      <c r="L11" s="53">
        <v>25.25</v>
      </c>
      <c r="M11" s="53">
        <v>102.18</v>
      </c>
      <c r="N11" s="53">
        <v>26.1</v>
      </c>
      <c r="O11" s="53">
        <v>0</v>
      </c>
      <c r="P11" s="53">
        <v>0.37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759</v>
      </c>
      <c r="B12" s="53">
        <v>6.68</v>
      </c>
      <c r="C12" s="53">
        <v>5.03</v>
      </c>
      <c r="D12" s="53">
        <v>7.98</v>
      </c>
      <c r="E12" s="53">
        <v>4.7</v>
      </c>
      <c r="F12" s="53">
        <v>4.28</v>
      </c>
      <c r="G12" s="53">
        <v>23.57</v>
      </c>
      <c r="H12" s="53">
        <v>14.53</v>
      </c>
      <c r="I12" s="53">
        <v>0.72</v>
      </c>
      <c r="J12" s="53">
        <v>0.35</v>
      </c>
      <c r="K12" s="53">
        <v>247.56</v>
      </c>
      <c r="L12" s="53">
        <v>24.7</v>
      </c>
      <c r="M12" s="53">
        <v>102.18</v>
      </c>
      <c r="N12" s="53">
        <v>26.1</v>
      </c>
      <c r="O12" s="53">
        <v>0</v>
      </c>
      <c r="P12" s="53">
        <v>0.33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760</v>
      </c>
      <c r="B13" s="53">
        <v>6.36</v>
      </c>
      <c r="C13" s="53">
        <v>5.14</v>
      </c>
      <c r="D13" s="53">
        <v>7.71</v>
      </c>
      <c r="E13" s="53">
        <v>5.31</v>
      </c>
      <c r="F13" s="53">
        <v>4.72</v>
      </c>
      <c r="G13" s="53">
        <v>19.579999999999998</v>
      </c>
      <c r="H13" s="53">
        <v>13.33</v>
      </c>
      <c r="I13" s="53">
        <v>2.64</v>
      </c>
      <c r="J13" s="53">
        <v>0.7</v>
      </c>
      <c r="K13" s="53">
        <v>163.18</v>
      </c>
      <c r="L13" s="53">
        <v>24.53</v>
      </c>
      <c r="M13" s="53">
        <v>102.18</v>
      </c>
      <c r="N13" s="53">
        <v>26.1</v>
      </c>
      <c r="O13" s="53">
        <v>0</v>
      </c>
      <c r="P13" s="53">
        <v>0.38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761</v>
      </c>
      <c r="B14" s="53">
        <v>6.8</v>
      </c>
      <c r="C14" s="53">
        <v>4.58</v>
      </c>
      <c r="D14" s="53">
        <v>7.81</v>
      </c>
      <c r="E14" s="53">
        <v>5.07</v>
      </c>
      <c r="F14" s="53">
        <v>4.16</v>
      </c>
      <c r="G14" s="53">
        <v>19.440000000000001</v>
      </c>
      <c r="H14" s="53">
        <v>14.51</v>
      </c>
      <c r="I14" s="53">
        <v>2.61</v>
      </c>
      <c r="J14" s="53">
        <v>0.27</v>
      </c>
      <c r="K14" s="53">
        <v>359.14</v>
      </c>
      <c r="L14" s="53">
        <v>24.37</v>
      </c>
      <c r="M14" s="53">
        <v>102.18</v>
      </c>
      <c r="N14" s="53">
        <v>28.9</v>
      </c>
      <c r="O14" s="53">
        <v>0</v>
      </c>
      <c r="P14" s="53">
        <v>0.38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762</v>
      </c>
      <c r="B15" s="53">
        <v>7.51</v>
      </c>
      <c r="C15" s="53">
        <v>4.6100000000000003</v>
      </c>
      <c r="D15" s="53">
        <v>8.06</v>
      </c>
      <c r="E15" s="53">
        <v>4.82</v>
      </c>
      <c r="F15" s="53">
        <v>4.09</v>
      </c>
      <c r="G15" s="53">
        <v>17.96</v>
      </c>
      <c r="H15" s="53">
        <v>13.55</v>
      </c>
      <c r="I15" s="53">
        <v>2.57</v>
      </c>
      <c r="J15" s="53">
        <v>0.41</v>
      </c>
      <c r="K15" s="53">
        <v>122.65</v>
      </c>
      <c r="L15" s="53">
        <v>26.89</v>
      </c>
      <c r="M15" s="53">
        <v>102.18</v>
      </c>
      <c r="N15" s="53">
        <v>164.7</v>
      </c>
      <c r="O15" s="53">
        <v>0</v>
      </c>
      <c r="P15" s="53">
        <v>0.4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763</v>
      </c>
      <c r="B16" s="53">
        <v>7.96</v>
      </c>
      <c r="C16" s="53">
        <v>4.2300000000000004</v>
      </c>
      <c r="D16" s="53">
        <v>8.57</v>
      </c>
      <c r="E16" s="53">
        <v>4.97</v>
      </c>
      <c r="F16" s="53">
        <v>7.02</v>
      </c>
      <c r="G16" s="53">
        <v>13.77</v>
      </c>
      <c r="H16" s="53">
        <v>10.58</v>
      </c>
      <c r="I16" s="53">
        <v>2.11</v>
      </c>
      <c r="J16" s="53">
        <v>0.51</v>
      </c>
      <c r="K16" s="53">
        <v>116.91</v>
      </c>
      <c r="L16" s="53">
        <v>31.01</v>
      </c>
      <c r="M16" s="53">
        <v>98.99</v>
      </c>
      <c r="N16" s="53">
        <v>397.2</v>
      </c>
      <c r="O16" s="53">
        <v>0</v>
      </c>
      <c r="P16" s="53">
        <v>0.41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764</v>
      </c>
      <c r="B17" s="53">
        <v>8.11</v>
      </c>
      <c r="C17" s="53">
        <v>6.12</v>
      </c>
      <c r="D17" s="53">
        <v>9.1999999999999993</v>
      </c>
      <c r="E17" s="53">
        <v>5.7</v>
      </c>
      <c r="F17" s="53">
        <v>4.87</v>
      </c>
      <c r="G17" s="53">
        <v>18.68</v>
      </c>
      <c r="H17" s="53">
        <v>7.42</v>
      </c>
      <c r="I17" s="53">
        <v>3.53</v>
      </c>
      <c r="J17" s="53">
        <v>0.54</v>
      </c>
      <c r="K17" s="53">
        <v>356.27</v>
      </c>
      <c r="L17" s="53">
        <v>33.31</v>
      </c>
      <c r="M17" s="53">
        <v>76.16</v>
      </c>
      <c r="N17" s="53">
        <v>612.1</v>
      </c>
      <c r="O17" s="53">
        <v>0</v>
      </c>
      <c r="P17" s="53">
        <v>0.39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765</v>
      </c>
      <c r="B18" s="53">
        <v>5.91</v>
      </c>
      <c r="C18" s="53">
        <v>8.2100000000000009</v>
      </c>
      <c r="D18" s="53">
        <v>8.19</v>
      </c>
      <c r="E18" s="53">
        <v>5.55</v>
      </c>
      <c r="F18" s="53">
        <v>5.09</v>
      </c>
      <c r="G18" s="53">
        <v>26.5</v>
      </c>
      <c r="H18" s="53">
        <v>16</v>
      </c>
      <c r="I18" s="53">
        <v>3.2</v>
      </c>
      <c r="J18" s="53">
        <v>0.53</v>
      </c>
      <c r="K18" s="53">
        <v>346.06</v>
      </c>
      <c r="L18" s="53">
        <v>33.869999999999997</v>
      </c>
      <c r="M18" s="53">
        <v>71.209999999999994</v>
      </c>
      <c r="N18" s="53">
        <v>753.4</v>
      </c>
      <c r="O18" s="53">
        <v>0</v>
      </c>
      <c r="P18" s="53">
        <v>0.41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766</v>
      </c>
      <c r="B19" s="53">
        <v>3.81</v>
      </c>
      <c r="C19" s="53">
        <v>9.1199999999999992</v>
      </c>
      <c r="D19" s="53">
        <v>7.79</v>
      </c>
      <c r="E19" s="53">
        <v>5.98</v>
      </c>
      <c r="F19" s="53">
        <v>4.5999999999999996</v>
      </c>
      <c r="G19" s="53">
        <v>38.78</v>
      </c>
      <c r="H19" s="53">
        <v>14.2</v>
      </c>
      <c r="I19" s="53">
        <v>2.65</v>
      </c>
      <c r="J19" s="53">
        <v>0.45</v>
      </c>
      <c r="K19" s="53">
        <v>358.95</v>
      </c>
      <c r="L19" s="53">
        <v>33.31</v>
      </c>
      <c r="M19" s="53">
        <v>69.38</v>
      </c>
      <c r="N19" s="53">
        <v>909.4</v>
      </c>
      <c r="O19" s="53">
        <v>0</v>
      </c>
      <c r="P19" s="53">
        <v>0.45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767</v>
      </c>
      <c r="B20" s="53">
        <v>2.1</v>
      </c>
      <c r="C20" s="53">
        <v>9.16</v>
      </c>
      <c r="D20" s="53">
        <v>6.37</v>
      </c>
      <c r="E20" s="53">
        <v>5.95</v>
      </c>
      <c r="F20" s="53">
        <v>5.08</v>
      </c>
      <c r="G20" s="53">
        <v>38.549999999999997</v>
      </c>
      <c r="H20" s="53">
        <v>9.8800000000000008</v>
      </c>
      <c r="I20" s="53">
        <v>2.4700000000000002</v>
      </c>
      <c r="J20" s="53">
        <v>0.71</v>
      </c>
      <c r="K20" s="53">
        <v>354.14</v>
      </c>
      <c r="L20" s="53">
        <v>33.97</v>
      </c>
      <c r="M20" s="53">
        <v>66.81</v>
      </c>
      <c r="N20" s="53">
        <v>819.2</v>
      </c>
      <c r="O20" s="53">
        <v>0</v>
      </c>
      <c r="P20" s="53">
        <v>0.46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768</v>
      </c>
      <c r="B21" s="53">
        <v>1.87</v>
      </c>
      <c r="C21" s="53">
        <v>9.36</v>
      </c>
      <c r="D21" s="53">
        <v>6.39</v>
      </c>
      <c r="E21" s="53">
        <v>6.32</v>
      </c>
      <c r="F21" s="53">
        <v>5.49</v>
      </c>
      <c r="G21" s="53">
        <v>37.47</v>
      </c>
      <c r="H21" s="53">
        <v>25.76</v>
      </c>
      <c r="I21" s="53">
        <v>2.2200000000000002</v>
      </c>
      <c r="J21" s="53">
        <v>0.6</v>
      </c>
      <c r="K21" s="53">
        <v>350.1</v>
      </c>
      <c r="L21" s="53">
        <v>33.44</v>
      </c>
      <c r="M21" s="53">
        <v>70.55</v>
      </c>
      <c r="N21" s="53">
        <v>435.9</v>
      </c>
      <c r="O21" s="53">
        <v>0</v>
      </c>
      <c r="P21" s="53">
        <v>0.47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769</v>
      </c>
      <c r="B22" s="53">
        <v>1.55</v>
      </c>
      <c r="C22" s="53">
        <v>8.7200000000000006</v>
      </c>
      <c r="D22" s="53">
        <v>5.71</v>
      </c>
      <c r="E22" s="53">
        <v>5.98</v>
      </c>
      <c r="F22" s="53">
        <v>5.53</v>
      </c>
      <c r="G22" s="53">
        <v>44.67</v>
      </c>
      <c r="H22" s="53">
        <v>25.69</v>
      </c>
      <c r="I22" s="55" t="s">
        <v>8</v>
      </c>
      <c r="J22" s="53">
        <v>0.59</v>
      </c>
      <c r="K22" s="53">
        <v>341.78</v>
      </c>
      <c r="L22" s="53">
        <v>33.47</v>
      </c>
      <c r="M22" s="53">
        <v>66.150000000000006</v>
      </c>
      <c r="N22" s="53">
        <v>537.20000000000005</v>
      </c>
      <c r="O22" s="53">
        <v>0</v>
      </c>
      <c r="P22" s="53">
        <v>0.46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770</v>
      </c>
      <c r="B23" s="53">
        <v>1.47</v>
      </c>
      <c r="C23" s="53">
        <v>8.1300000000000008</v>
      </c>
      <c r="D23" s="53">
        <v>5.36</v>
      </c>
      <c r="E23" s="53">
        <v>5.92</v>
      </c>
      <c r="F23" s="53">
        <v>5.76</v>
      </c>
      <c r="G23" s="53">
        <v>43.3</v>
      </c>
      <c r="H23" s="53">
        <v>24.73</v>
      </c>
      <c r="I23" s="55" t="s">
        <v>8</v>
      </c>
      <c r="J23" s="53">
        <v>1.03</v>
      </c>
      <c r="K23" s="53">
        <v>353.48</v>
      </c>
      <c r="L23" s="53">
        <v>32.35</v>
      </c>
      <c r="M23" s="53">
        <v>69.64</v>
      </c>
      <c r="N23" s="53">
        <v>225.9</v>
      </c>
      <c r="O23" s="53">
        <v>0</v>
      </c>
      <c r="P23" s="53">
        <v>0.49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771</v>
      </c>
      <c r="B24" s="53">
        <v>2.65</v>
      </c>
      <c r="C24" s="53">
        <v>9.23</v>
      </c>
      <c r="D24" s="53">
        <v>6.95</v>
      </c>
      <c r="E24" s="53">
        <v>5.89</v>
      </c>
      <c r="F24" s="53">
        <v>5.15</v>
      </c>
      <c r="G24" s="53">
        <v>40.35</v>
      </c>
      <c r="H24" s="53">
        <v>22.07</v>
      </c>
      <c r="I24" s="55" t="s">
        <v>8</v>
      </c>
      <c r="J24" s="53">
        <v>2.63</v>
      </c>
      <c r="K24" s="53">
        <v>338.35</v>
      </c>
      <c r="L24" s="53">
        <v>31.28</v>
      </c>
      <c r="M24" s="53">
        <v>80.89</v>
      </c>
      <c r="N24" s="53">
        <v>235.5</v>
      </c>
      <c r="O24" s="53">
        <v>0</v>
      </c>
      <c r="P24" s="53">
        <v>0.6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772</v>
      </c>
      <c r="B25" s="53">
        <v>2.94</v>
      </c>
      <c r="C25" s="53">
        <v>10.130000000000001</v>
      </c>
      <c r="D25" s="53">
        <v>7.44</v>
      </c>
      <c r="E25" s="53">
        <v>6.45</v>
      </c>
      <c r="F25" s="53">
        <v>5.69</v>
      </c>
      <c r="G25" s="53">
        <v>40.090000000000003</v>
      </c>
      <c r="H25" s="53">
        <v>21.84</v>
      </c>
      <c r="I25" s="55" t="s">
        <v>8</v>
      </c>
      <c r="J25" s="53">
        <v>1.18</v>
      </c>
      <c r="K25" s="53">
        <v>349.81</v>
      </c>
      <c r="L25" s="53">
        <v>31.83</v>
      </c>
      <c r="M25" s="53">
        <v>72.95</v>
      </c>
      <c r="N25" s="53">
        <v>161.80000000000001</v>
      </c>
      <c r="O25" s="53">
        <v>0</v>
      </c>
      <c r="P25" s="53">
        <v>0.49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773</v>
      </c>
      <c r="B26" s="53">
        <v>3.76</v>
      </c>
      <c r="C26" s="53">
        <v>10.17</v>
      </c>
      <c r="D26" s="53">
        <v>8.32</v>
      </c>
      <c r="E26" s="53">
        <v>6.37</v>
      </c>
      <c r="F26" s="53">
        <v>5.09</v>
      </c>
      <c r="G26" s="53">
        <v>42.73</v>
      </c>
      <c r="H26" s="53">
        <v>21.52</v>
      </c>
      <c r="I26" s="55" t="s">
        <v>8</v>
      </c>
      <c r="J26" s="53">
        <v>0.37</v>
      </c>
      <c r="K26" s="53">
        <v>242.25</v>
      </c>
      <c r="L26" s="53">
        <v>28.01</v>
      </c>
      <c r="M26" s="53">
        <v>95.23</v>
      </c>
      <c r="N26" s="53">
        <v>97.1</v>
      </c>
      <c r="O26" s="53">
        <v>0</v>
      </c>
      <c r="P26" s="53">
        <v>0.59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774</v>
      </c>
      <c r="B27" s="53">
        <v>3.74</v>
      </c>
      <c r="C27" s="53">
        <v>10.66</v>
      </c>
      <c r="D27" s="53">
        <v>8.57</v>
      </c>
      <c r="E27" s="53">
        <v>6.34</v>
      </c>
      <c r="F27" s="53">
        <v>4.96</v>
      </c>
      <c r="G27" s="53">
        <v>42.72</v>
      </c>
      <c r="H27" s="53">
        <v>18.98</v>
      </c>
      <c r="I27" s="55" t="s">
        <v>8</v>
      </c>
      <c r="J27" s="53">
        <v>0.4</v>
      </c>
      <c r="K27" s="53">
        <v>168.55</v>
      </c>
      <c r="L27" s="53">
        <v>27.94</v>
      </c>
      <c r="M27" s="53">
        <v>94.18</v>
      </c>
      <c r="N27" s="53">
        <v>26.4</v>
      </c>
      <c r="O27" s="53">
        <v>0</v>
      </c>
      <c r="P27" s="53">
        <v>0.66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775</v>
      </c>
      <c r="B28" s="53">
        <v>3.89</v>
      </c>
      <c r="C28" s="53">
        <v>9.1199999999999992</v>
      </c>
      <c r="D28" s="53">
        <v>7.5</v>
      </c>
      <c r="E28" s="53">
        <v>6.15</v>
      </c>
      <c r="F28" s="53">
        <v>10.69</v>
      </c>
      <c r="G28" s="53">
        <v>46.36</v>
      </c>
      <c r="H28" s="53">
        <v>17</v>
      </c>
      <c r="I28" s="55" t="s">
        <v>8</v>
      </c>
      <c r="J28" s="53">
        <v>0.23</v>
      </c>
      <c r="K28" s="53">
        <v>218.26</v>
      </c>
      <c r="L28" s="53">
        <v>27.48</v>
      </c>
      <c r="M28" s="53">
        <v>96.85</v>
      </c>
      <c r="N28" s="53">
        <v>26.1</v>
      </c>
      <c r="O28" s="53">
        <v>0</v>
      </c>
      <c r="P28" s="53">
        <v>0.71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776</v>
      </c>
      <c r="B29" s="53">
        <v>4.5</v>
      </c>
      <c r="C29" s="53">
        <v>8.09</v>
      </c>
      <c r="D29" s="53">
        <v>7.56</v>
      </c>
      <c r="E29" s="53">
        <v>5.32</v>
      </c>
      <c r="F29" s="53">
        <v>4.8499999999999996</v>
      </c>
      <c r="G29" s="53">
        <v>43.97</v>
      </c>
      <c r="H29" s="53">
        <v>19.260000000000002</v>
      </c>
      <c r="I29" s="55" t="s">
        <v>8</v>
      </c>
      <c r="J29" s="53">
        <v>0.35</v>
      </c>
      <c r="K29" s="53">
        <v>304.91000000000003</v>
      </c>
      <c r="L29" s="53">
        <v>27.14</v>
      </c>
      <c r="M29" s="53">
        <v>100.48</v>
      </c>
      <c r="N29" s="53">
        <v>26.1</v>
      </c>
      <c r="O29" s="53">
        <v>0</v>
      </c>
      <c r="P29" s="53">
        <v>0.69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777</v>
      </c>
      <c r="B30" s="53">
        <v>4.78</v>
      </c>
      <c r="C30" s="53">
        <v>7.49</v>
      </c>
      <c r="D30" s="53">
        <v>7.75</v>
      </c>
      <c r="E30" s="53">
        <v>5.29</v>
      </c>
      <c r="F30" s="53">
        <v>4.63</v>
      </c>
      <c r="G30" s="53">
        <v>41.73</v>
      </c>
      <c r="H30" s="53">
        <v>18.73</v>
      </c>
      <c r="I30" s="55" t="s">
        <v>8</v>
      </c>
      <c r="J30" s="53">
        <v>0.42</v>
      </c>
      <c r="K30" s="53">
        <v>133</v>
      </c>
      <c r="L30" s="53">
        <v>26.73</v>
      </c>
      <c r="M30" s="53">
        <v>102.11</v>
      </c>
      <c r="N30" s="53">
        <v>26.1</v>
      </c>
      <c r="O30" s="53">
        <v>0</v>
      </c>
      <c r="P30" s="53">
        <v>0.57999999999999996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778</v>
      </c>
      <c r="B31" s="53">
        <v>4.8600000000000003</v>
      </c>
      <c r="C31" s="53">
        <v>5.9</v>
      </c>
      <c r="D31" s="53">
        <v>6.82</v>
      </c>
      <c r="E31" s="53">
        <v>5.09</v>
      </c>
      <c r="F31" s="53">
        <v>3.63</v>
      </c>
      <c r="G31" s="53">
        <v>41.18</v>
      </c>
      <c r="H31" s="53">
        <v>15.3</v>
      </c>
      <c r="I31" s="55" t="s">
        <v>8</v>
      </c>
      <c r="J31" s="53">
        <v>0.27</v>
      </c>
      <c r="K31" s="53">
        <v>359.11</v>
      </c>
      <c r="L31" s="53">
        <v>26.01</v>
      </c>
      <c r="M31" s="53">
        <v>102.04</v>
      </c>
      <c r="N31" s="53">
        <v>26.1</v>
      </c>
      <c r="O31" s="53">
        <v>0</v>
      </c>
      <c r="P31" s="53">
        <v>0.55000000000000004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779</v>
      </c>
      <c r="B32" s="53">
        <v>5.27</v>
      </c>
      <c r="C32" s="53">
        <v>5.5</v>
      </c>
      <c r="D32" s="53">
        <v>7.03</v>
      </c>
      <c r="E32" s="53">
        <v>5.05</v>
      </c>
      <c r="F32" s="53">
        <v>4</v>
      </c>
      <c r="G32" s="53">
        <v>36.659999999999997</v>
      </c>
      <c r="H32" s="53">
        <v>12.2</v>
      </c>
      <c r="I32" s="55" t="s">
        <v>8</v>
      </c>
      <c r="J32" s="53">
        <v>0.13</v>
      </c>
      <c r="K32" s="53">
        <v>322.98</v>
      </c>
      <c r="L32" s="53">
        <v>25.61</v>
      </c>
      <c r="M32" s="53">
        <v>102.12</v>
      </c>
      <c r="N32" s="53">
        <v>26.1</v>
      </c>
      <c r="O32" s="53">
        <v>0</v>
      </c>
      <c r="P32" s="53">
        <v>0.41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1.47</v>
      </c>
      <c r="C34" s="28">
        <f t="shared" si="0"/>
        <v>4.2300000000000004</v>
      </c>
      <c r="D34" s="28">
        <f t="shared" si="0"/>
        <v>5.36</v>
      </c>
      <c r="E34" s="28">
        <f t="shared" si="0"/>
        <v>4.38</v>
      </c>
      <c r="F34" s="28">
        <f t="shared" si="0"/>
        <v>3.63</v>
      </c>
      <c r="G34" s="28">
        <f t="shared" si="0"/>
        <v>13.77</v>
      </c>
      <c r="H34" s="28">
        <f t="shared" si="0"/>
        <v>7.42</v>
      </c>
      <c r="I34" s="28">
        <f t="shared" si="0"/>
        <v>0.72</v>
      </c>
      <c r="J34" s="28">
        <f t="shared" si="0"/>
        <v>0.13</v>
      </c>
      <c r="K34" s="28">
        <f t="shared" si="0"/>
        <v>116.91</v>
      </c>
      <c r="L34" s="28">
        <f t="shared" si="0"/>
        <v>24.37</v>
      </c>
      <c r="M34" s="28">
        <f t="shared" si="0"/>
        <v>66.150000000000006</v>
      </c>
      <c r="N34" s="28">
        <f t="shared" si="0"/>
        <v>26.1</v>
      </c>
      <c r="O34" s="28">
        <f t="shared" si="0"/>
        <v>0</v>
      </c>
      <c r="P34" s="28">
        <f t="shared" si="0"/>
        <v>0.33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9.6199999999999992</v>
      </c>
      <c r="C35" s="29">
        <f t="shared" si="1"/>
        <v>10.66</v>
      </c>
      <c r="D35" s="29">
        <f t="shared" si="1"/>
        <v>11.46</v>
      </c>
      <c r="E35" s="29">
        <f t="shared" si="1"/>
        <v>6.45</v>
      </c>
      <c r="F35" s="29">
        <f t="shared" si="1"/>
        <v>10.69</v>
      </c>
      <c r="G35" s="29">
        <f t="shared" si="1"/>
        <v>46.36</v>
      </c>
      <c r="H35" s="29">
        <f t="shared" si="1"/>
        <v>25.76</v>
      </c>
      <c r="I35" s="29">
        <f t="shared" si="1"/>
        <v>3.53</v>
      </c>
      <c r="J35" s="29">
        <f t="shared" si="1"/>
        <v>2.63</v>
      </c>
      <c r="K35" s="29">
        <f t="shared" si="1"/>
        <v>359.14</v>
      </c>
      <c r="L35" s="29">
        <f t="shared" si="1"/>
        <v>33.97</v>
      </c>
      <c r="M35" s="29">
        <f t="shared" si="1"/>
        <v>102.18</v>
      </c>
      <c r="N35" s="29">
        <f t="shared" si="1"/>
        <v>909.4</v>
      </c>
      <c r="O35" s="29">
        <f t="shared" si="1"/>
        <v>0</v>
      </c>
      <c r="P35" s="29">
        <f t="shared" si="1"/>
        <v>0.71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5.05</v>
      </c>
      <c r="C36" s="28">
        <f t="shared" si="2"/>
        <v>7.37</v>
      </c>
      <c r="D36" s="28">
        <f t="shared" si="2"/>
        <v>7.7645833333333334</v>
      </c>
      <c r="E36" s="28">
        <f t="shared" si="2"/>
        <v>5.5025000000000013</v>
      </c>
      <c r="F36" s="28">
        <f t="shared" si="2"/>
        <v>5.1320833333333331</v>
      </c>
      <c r="G36" s="28">
        <f t="shared" si="2"/>
        <v>33.572500000000005</v>
      </c>
      <c r="H36" s="28">
        <f t="shared" si="2"/>
        <v>16.68708333333333</v>
      </c>
      <c r="I36" s="28">
        <f t="shared" si="2"/>
        <v>2.3761538461538461</v>
      </c>
      <c r="J36" s="28">
        <f t="shared" si="2"/>
        <v>0.57874999999999999</v>
      </c>
      <c r="K36" s="28">
        <f t="shared" si="2"/>
        <v>274.22791666666672</v>
      </c>
      <c r="L36" s="28">
        <f t="shared" si="2"/>
        <v>28.90666666666667</v>
      </c>
      <c r="M36" s="28">
        <f t="shared" si="2"/>
        <v>89.621250000000018</v>
      </c>
      <c r="N36" s="28">
        <f t="shared" si="2"/>
        <v>236.07083333333341</v>
      </c>
      <c r="O36" s="28">
        <f t="shared" si="2"/>
        <v>0</v>
      </c>
      <c r="P36" s="28">
        <f t="shared" si="2"/>
        <v>0.48083333333333328</v>
      </c>
      <c r="Q36" s="28">
        <f t="shared" si="2"/>
        <v>9.6195833333333365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2.3473722588756862</v>
      </c>
      <c r="C37" s="28">
        <f t="shared" ref="C37:Q37" si="3">STDEV(C9:C32)</f>
        <v>2.0500689277913713</v>
      </c>
      <c r="D37" s="28">
        <f t="shared" si="3"/>
        <v>1.2681447564014219</v>
      </c>
      <c r="E37" s="28">
        <f t="shared" si="3"/>
        <v>0.63212718863270956</v>
      </c>
      <c r="F37" s="28">
        <f t="shared" si="3"/>
        <v>1.3819550712091135</v>
      </c>
      <c r="G37" s="28">
        <f t="shared" si="3"/>
        <v>10.253756575667422</v>
      </c>
      <c r="H37" s="28">
        <f t="shared" si="3"/>
        <v>4.9638917754087926</v>
      </c>
      <c r="I37" s="28">
        <f t="shared" si="3"/>
        <v>0.68074148864232931</v>
      </c>
      <c r="J37" s="28">
        <f t="shared" si="3"/>
        <v>0.50048943436704396</v>
      </c>
      <c r="K37" s="28">
        <f t="shared" si="3"/>
        <v>87.884873604702122</v>
      </c>
      <c r="L37" s="28">
        <f t="shared" si="3"/>
        <v>3.5402415376535519</v>
      </c>
      <c r="M37" s="28">
        <f t="shared" si="3"/>
        <v>14.73927238853649</v>
      </c>
      <c r="N37" s="28">
        <f t="shared" si="3"/>
        <v>288.68502540819037</v>
      </c>
      <c r="O37" s="28">
        <f t="shared" si="3"/>
        <v>0</v>
      </c>
      <c r="P37" s="28">
        <f t="shared" si="3"/>
        <v>0.10668591311870106</v>
      </c>
      <c r="Q37" s="28">
        <f t="shared" si="3"/>
        <v>4.6430562148756125E-3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6" sqref="G56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01/09/2024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01/09/2024 01:00</v>
      </c>
      <c r="B9" s="24">
        <f>'01'!B36</f>
        <v>8.3116666666666692</v>
      </c>
      <c r="C9" s="24">
        <f>'01'!C36</f>
        <v>3.5108333333333341</v>
      </c>
      <c r="D9" s="24">
        <f>'01'!D36</f>
        <v>12.259583333333332</v>
      </c>
      <c r="E9" s="24">
        <f>'01'!E36</f>
        <v>4.3979166666666663</v>
      </c>
      <c r="F9" s="24">
        <f>'01'!F36</f>
        <v>4.1774999999999993</v>
      </c>
      <c r="G9" s="24">
        <f>'01'!G36</f>
        <v>31.132499999999993</v>
      </c>
      <c r="H9" s="24">
        <f>'01'!H36</f>
        <v>8.5970833333333356</v>
      </c>
      <c r="I9" s="24">
        <f>'01'!I36</f>
        <v>5.6929166666666653</v>
      </c>
      <c r="J9" s="24">
        <f>'01'!J36</f>
        <v>1.2516666666666667</v>
      </c>
      <c r="K9" s="24">
        <f>'01'!K36</f>
        <v>164.03416666666669</v>
      </c>
      <c r="L9" s="24">
        <f>'01'!L36</f>
        <v>28.710833333333337</v>
      </c>
      <c r="M9" s="24">
        <f>'01'!M36</f>
        <v>93.929166666666688</v>
      </c>
      <c r="N9" s="24">
        <f>'01'!N36</f>
        <v>195.9666666666667</v>
      </c>
      <c r="O9" s="24">
        <f>'01'!O36</f>
        <v>1.6666666666666666E-2</v>
      </c>
      <c r="P9" s="30">
        <f>'01'!$P$36</f>
        <v>0.39166666666666661</v>
      </c>
      <c r="Q9" s="24">
        <f>'01'!Q36</f>
        <v>9.6887499999999989</v>
      </c>
      <c r="R9" s="44"/>
      <c r="S9" s="44"/>
      <c r="T9" s="44"/>
      <c r="U9" s="45"/>
    </row>
    <row r="10" spans="1:21" s="34" customFormat="1" x14ac:dyDescent="0.25">
      <c r="A10" s="36" t="str">
        <f>'02'!$B$2</f>
        <v>02/09/2024 01:00</v>
      </c>
      <c r="B10" s="33">
        <f>'02'!B36</f>
        <v>8.3566666666666638</v>
      </c>
      <c r="C10" s="33">
        <f>'02'!C36</f>
        <v>3.7174999999999994</v>
      </c>
      <c r="D10" s="33">
        <f>'02'!D36</f>
        <v>12.408333333333339</v>
      </c>
      <c r="E10" s="33">
        <f>'02'!E36</f>
        <v>4.40625</v>
      </c>
      <c r="F10" s="33">
        <f>'02'!F36</f>
        <v>4.3195833333333331</v>
      </c>
      <c r="G10" s="33">
        <f>'02'!G36</f>
        <v>17.329583333333328</v>
      </c>
      <c r="H10" s="33">
        <f>'02'!H36</f>
        <v>3.4579166666666659</v>
      </c>
      <c r="I10" s="33">
        <f>'02'!I36</f>
        <v>6.1212499999999999</v>
      </c>
      <c r="J10" s="33">
        <f>'02'!J36</f>
        <v>1.7183333333333335</v>
      </c>
      <c r="K10" s="33">
        <f>'02'!K36</f>
        <v>116.21958333333333</v>
      </c>
      <c r="L10" s="33">
        <f>'02'!L36</f>
        <v>28.608750000000004</v>
      </c>
      <c r="M10" s="33">
        <f>'02'!M36</f>
        <v>92.684166666666655</v>
      </c>
      <c r="N10" s="33">
        <f>'02'!N36</f>
        <v>198.73749999999995</v>
      </c>
      <c r="O10" s="33">
        <f>'02'!O36</f>
        <v>0</v>
      </c>
      <c r="P10" s="30">
        <f>'02'!$P$36</f>
        <v>0.30041666666666661</v>
      </c>
      <c r="Q10" s="33">
        <f>'02'!Q36</f>
        <v>9.6075000000000017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03/09/2024 01:00</v>
      </c>
      <c r="B11" s="33">
        <f>'03'!B36</f>
        <v>7.9991666666666674</v>
      </c>
      <c r="C11" s="33">
        <f>'03'!C36</f>
        <v>3.0241666666666673</v>
      </c>
      <c r="D11" s="33">
        <f>'03'!D36</f>
        <v>11.767916666666665</v>
      </c>
      <c r="E11" s="33">
        <f>'03'!E36</f>
        <v>4.9229166666666666</v>
      </c>
      <c r="F11" s="33">
        <f>'03'!F36</f>
        <v>4.0145833333333334</v>
      </c>
      <c r="G11" s="33">
        <f>'03'!G36</f>
        <v>17.347916666666666</v>
      </c>
      <c r="H11" s="33">
        <f>'03'!H36</f>
        <v>4.7087500000000002</v>
      </c>
      <c r="I11" s="33">
        <f>'03'!I36</f>
        <v>5.9049999999999985</v>
      </c>
      <c r="J11" s="33">
        <f>'03'!J36</f>
        <v>0.9437500000000002</v>
      </c>
      <c r="K11" s="33">
        <f>'03'!K36</f>
        <v>141.62041666666667</v>
      </c>
      <c r="L11" s="33">
        <f>'03'!L36</f>
        <v>29.125</v>
      </c>
      <c r="M11" s="33">
        <f>'03'!M36</f>
        <v>88.55916666666667</v>
      </c>
      <c r="N11" s="33">
        <f>'03'!N36</f>
        <v>180.93333333333331</v>
      </c>
      <c r="O11" s="33">
        <f>'03'!O36</f>
        <v>0</v>
      </c>
      <c r="P11" s="30">
        <f>'03'!$P$36</f>
        <v>0.32125000000000004</v>
      </c>
      <c r="Q11" s="33">
        <f>'03'!Q36</f>
        <v>9.6033333333333317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04/09/2024 01:00</v>
      </c>
      <c r="B12" s="33">
        <f>'04'!B36</f>
        <v>8.1379166666666674</v>
      </c>
      <c r="C12" s="33">
        <f>'04'!C36</f>
        <v>3.2041666666666662</v>
      </c>
      <c r="D12" s="33">
        <f>'04'!D36</f>
        <v>11.969999999999999</v>
      </c>
      <c r="E12" s="33">
        <f>'04'!E36</f>
        <v>4.8908695652173915</v>
      </c>
      <c r="F12" s="33">
        <f>'04'!F36</f>
        <v>7.0995833333333325</v>
      </c>
      <c r="G12" s="33">
        <f>'04'!G36</f>
        <v>40.185500000000005</v>
      </c>
      <c r="H12" s="33">
        <f>'04'!H36</f>
        <v>14.856</v>
      </c>
      <c r="I12" s="33">
        <f>'04'!I36</f>
        <v>4.7987499999999992</v>
      </c>
      <c r="J12" s="33">
        <f>'04'!J36</f>
        <v>0.5412499999999999</v>
      </c>
      <c r="K12" s="33">
        <f>'04'!K36</f>
        <v>295.55</v>
      </c>
      <c r="L12" s="33">
        <f>'04'!L36</f>
        <v>29.126666666666665</v>
      </c>
      <c r="M12" s="33">
        <f>'04'!M36</f>
        <v>95.233333333333348</v>
      </c>
      <c r="N12" s="33">
        <f>'04'!N36</f>
        <v>187.80833333333331</v>
      </c>
      <c r="O12" s="33">
        <f>'04'!O36</f>
        <v>0.9</v>
      </c>
      <c r="P12" s="30">
        <f>'04'!$P$36</f>
        <v>0.61625000000000008</v>
      </c>
      <c r="Q12" s="33">
        <f>'04'!Q36</f>
        <v>9.9270833333333339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05/09/2024 01:00</v>
      </c>
      <c r="B13" s="33">
        <f>'05'!B36</f>
        <v>7.9812500000000002</v>
      </c>
      <c r="C13" s="33">
        <f>'05'!C36</f>
        <v>3.0375000000000001</v>
      </c>
      <c r="D13" s="33">
        <f>'05'!D36</f>
        <v>11.757916666666667</v>
      </c>
      <c r="E13" s="33">
        <f>'05'!E36</f>
        <v>4.2987499999999992</v>
      </c>
      <c r="F13" s="33">
        <f>'05'!F36</f>
        <v>6.8679166666666633</v>
      </c>
      <c r="G13" s="33">
        <f>'05'!G36</f>
        <v>30.455833333333334</v>
      </c>
      <c r="H13" s="33">
        <f>'05'!H36</f>
        <v>24.314166666666669</v>
      </c>
      <c r="I13" s="33">
        <f>'05'!I36</f>
        <v>4.1999999999999993</v>
      </c>
      <c r="J13" s="33">
        <f>'05'!J36</f>
        <v>0.54208333333333336</v>
      </c>
      <c r="K13" s="33">
        <f>'05'!K36</f>
        <v>269.79916666666657</v>
      </c>
      <c r="L13" s="33">
        <f>'05'!L36</f>
        <v>28.327083333333334</v>
      </c>
      <c r="M13" s="33">
        <f>'05'!M36</f>
        <v>98.518750000000011</v>
      </c>
      <c r="N13" s="33">
        <f>'05'!N36</f>
        <v>172.5333333333333</v>
      </c>
      <c r="O13" s="33">
        <f>'05'!O36</f>
        <v>1.3499999999999999</v>
      </c>
      <c r="P13" s="30">
        <f>'05'!$P$36</f>
        <v>0.46875</v>
      </c>
      <c r="Q13" s="33">
        <f>'05'!Q36</f>
        <v>9.7058333333333344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06/09/2024 01:00</v>
      </c>
      <c r="B14" s="33">
        <f>'06'!B36</f>
        <v>7.9879166666666661</v>
      </c>
      <c r="C14" s="33">
        <f>'06'!C36</f>
        <v>3.0812499999999989</v>
      </c>
      <c r="D14" s="33">
        <f>'06'!D36</f>
        <v>11.788333333333334</v>
      </c>
      <c r="E14" s="33">
        <f>'06'!E36</f>
        <v>4.3779166666666667</v>
      </c>
      <c r="F14" s="33">
        <f>'06'!F36</f>
        <v>5.3758333333333335</v>
      </c>
      <c r="G14" s="33">
        <f>'06'!G36</f>
        <v>48.412083333333335</v>
      </c>
      <c r="H14" s="33">
        <f>'06'!H36</f>
        <v>25.506666666666664</v>
      </c>
      <c r="I14" s="33">
        <f>'06'!I36</f>
        <v>4.7958333333333334</v>
      </c>
      <c r="J14" s="33">
        <f>'06'!J36</f>
        <v>0.37541666666666673</v>
      </c>
      <c r="K14" s="33">
        <f>'06'!K36</f>
        <v>297.70208333333335</v>
      </c>
      <c r="L14" s="33">
        <f>'06'!L36</f>
        <v>28.895416666666666</v>
      </c>
      <c r="M14" s="33">
        <f>'06'!M36</f>
        <v>95.05916666666667</v>
      </c>
      <c r="N14" s="33">
        <f>'06'!N36</f>
        <v>226.06666666666669</v>
      </c>
      <c r="O14" s="33">
        <f>'06'!O36</f>
        <v>0</v>
      </c>
      <c r="P14" s="30">
        <f>'06'!$P$36</f>
        <v>0.61875000000000013</v>
      </c>
      <c r="Q14" s="33">
        <f>'06'!Q36</f>
        <v>9.814583333333335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07/09/2024 01:00</v>
      </c>
      <c r="B15" s="33">
        <f>'07'!B36</f>
        <v>7.9904166666666656</v>
      </c>
      <c r="C15" s="33">
        <f>'07'!C36</f>
        <v>3.0237499999999997</v>
      </c>
      <c r="D15" s="33">
        <f>'07'!D36</f>
        <v>11.7575</v>
      </c>
      <c r="E15" s="33">
        <f>'07'!E36</f>
        <v>4.8675000000000006</v>
      </c>
      <c r="F15" s="33">
        <f>'07'!F36</f>
        <v>4.1241666666666674</v>
      </c>
      <c r="G15" s="33">
        <f>'07'!G36</f>
        <v>42.738333333333344</v>
      </c>
      <c r="H15" s="33">
        <f>'07'!H36</f>
        <v>123.10249999999998</v>
      </c>
      <c r="I15" s="33">
        <f>'07'!I36</f>
        <v>5.0429166666666667</v>
      </c>
      <c r="J15" s="33">
        <f>'07'!J36</f>
        <v>0.255</v>
      </c>
      <c r="K15" s="33">
        <f>'07'!K36</f>
        <v>310.70833333333331</v>
      </c>
      <c r="L15" s="33">
        <f>'07'!L36</f>
        <v>29.265416666666667</v>
      </c>
      <c r="M15" s="33">
        <f>'07'!M36</f>
        <v>95.862083333333317</v>
      </c>
      <c r="N15" s="33">
        <f>'07'!N36</f>
        <v>218.41250000000005</v>
      </c>
      <c r="O15" s="33">
        <f>'07'!O36</f>
        <v>9.1666666666666674E-2</v>
      </c>
      <c r="P15" s="33">
        <f>'07'!P36</f>
        <v>0.66208333333333347</v>
      </c>
      <c r="Q15" s="33">
        <f>'07'!Q36</f>
        <v>9.7650000000000023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08/09/2024 01:00</v>
      </c>
      <c r="B16" s="33">
        <f>'08'!B36</f>
        <v>8.0366666666666671</v>
      </c>
      <c r="C16" s="33">
        <f>'08'!C36</f>
        <v>3.1029166666666668</v>
      </c>
      <c r="D16" s="33">
        <f>'08'!D36</f>
        <v>11.834999999999999</v>
      </c>
      <c r="E16" s="33">
        <f>'08'!E36</f>
        <v>4.4487499999999995</v>
      </c>
      <c r="F16" s="33">
        <f>'08'!F36</f>
        <v>4.0220833333333337</v>
      </c>
      <c r="G16" s="33">
        <f>'08'!G36</f>
        <v>64.240833333333327</v>
      </c>
      <c r="H16" s="33">
        <f>'08'!H36</f>
        <v>34.606666666666669</v>
      </c>
      <c r="I16" s="33">
        <f>'08'!I36</f>
        <v>6.4154166666666681</v>
      </c>
      <c r="J16" s="33">
        <f>'08'!J36</f>
        <v>0.67291666666666661</v>
      </c>
      <c r="K16" s="33">
        <f>'08'!K36</f>
        <v>333.5245833333334</v>
      </c>
      <c r="L16" s="33">
        <f>'08'!L36</f>
        <v>29.419999999999991</v>
      </c>
      <c r="M16" s="33">
        <f>'08'!M36</f>
        <v>94.308333333333337</v>
      </c>
      <c r="N16" s="33">
        <f>'08'!N36</f>
        <v>215.40833333333333</v>
      </c>
      <c r="O16" s="33">
        <f>'08'!O36</f>
        <v>0.85833333333333328</v>
      </c>
      <c r="P16" s="30">
        <f>'08'!$P$36</f>
        <v>0.99208333333333354</v>
      </c>
      <c r="Q16" s="33">
        <f>'08'!Q36</f>
        <v>10.068333333333333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09/09/2024 01:00</v>
      </c>
      <c r="B17" s="33">
        <f>'09'!B36</f>
        <v>7.9912500000000009</v>
      </c>
      <c r="C17" s="33">
        <f>'09'!C36</f>
        <v>3.057500000000001</v>
      </c>
      <c r="D17" s="33">
        <f>'09'!D36</f>
        <v>11.77708333333333</v>
      </c>
      <c r="E17" s="33">
        <f>'09'!E36</f>
        <v>4.8000000000000007</v>
      </c>
      <c r="F17" s="33">
        <f>'09'!F36</f>
        <v>6.0116666666666667</v>
      </c>
      <c r="G17" s="33">
        <f>'09'!G36</f>
        <v>48.769166666666671</v>
      </c>
      <c r="H17" s="33">
        <f>'09'!H36</f>
        <v>31.387083333333337</v>
      </c>
      <c r="I17" s="33">
        <f>'09'!I36</f>
        <v>3.3608333333333333</v>
      </c>
      <c r="J17" s="33">
        <f>'09'!J36</f>
        <v>1.0650000000000002</v>
      </c>
      <c r="K17" s="33">
        <f>'09'!K36</f>
        <v>342.61999999999995</v>
      </c>
      <c r="L17" s="33">
        <f>'09'!L36</f>
        <v>28.927916666666661</v>
      </c>
      <c r="M17" s="33">
        <f>'09'!M36</f>
        <v>96.567499999999995</v>
      </c>
      <c r="N17" s="33">
        <f>'09'!N36</f>
        <v>197.99166666666665</v>
      </c>
      <c r="O17" s="33">
        <f>'09'!O36</f>
        <v>0.77500000000000002</v>
      </c>
      <c r="P17" s="33">
        <f>'09'!P36</f>
        <v>0.62541666666666662</v>
      </c>
      <c r="Q17" s="33">
        <f>'09'!Q36</f>
        <v>9.8774999999999995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10/09/2024 01:00</v>
      </c>
      <c r="B18" s="33">
        <f>'10'!B36</f>
        <v>7.9674999999999985</v>
      </c>
      <c r="C18" s="33">
        <f>'10'!C36</f>
        <v>2.9937500000000004</v>
      </c>
      <c r="D18" s="33">
        <f>'10'!D36</f>
        <v>11.723333333333334</v>
      </c>
      <c r="E18" s="33">
        <f>'10'!E36</f>
        <v>4.413333333333334</v>
      </c>
      <c r="F18" s="33">
        <f>'10'!F36</f>
        <v>4.6670833333333341</v>
      </c>
      <c r="G18" s="33">
        <f>'10'!G36</f>
        <v>8.3812499999999996</v>
      </c>
      <c r="H18" s="33">
        <f>'10'!H36</f>
        <v>14.043333333333337</v>
      </c>
      <c r="I18" s="33">
        <f>'10'!I36</f>
        <v>2.0716666666666663</v>
      </c>
      <c r="J18" s="33">
        <f>'10'!J36</f>
        <v>0.32500000000000001</v>
      </c>
      <c r="K18" s="33">
        <f>'10'!K36</f>
        <v>333.52916666666664</v>
      </c>
      <c r="L18" s="33">
        <f>'10'!L36</f>
        <v>25.927083333333332</v>
      </c>
      <c r="M18" s="33">
        <f>'10'!M36</f>
        <v>101.74333333333334</v>
      </c>
      <c r="N18" s="33">
        <f>'10'!N36</f>
        <v>93.991666666666674</v>
      </c>
      <c r="O18" s="33">
        <f>'10'!O36</f>
        <v>1.0166666666666666</v>
      </c>
      <c r="P18" s="30">
        <f>'10'!$P$36</f>
        <v>0.44291666666666668</v>
      </c>
      <c r="Q18" s="33">
        <f>'10'!Q36</f>
        <v>9.6662500000000016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11/09/2024 01:00</v>
      </c>
      <c r="B19" s="33">
        <f>'11'!B36</f>
        <v>7.9620833333333332</v>
      </c>
      <c r="C19" s="33">
        <f>'11'!C36</f>
        <v>2.9620833333333336</v>
      </c>
      <c r="D19" s="33">
        <f>'11'!D36</f>
        <v>11.701249999999996</v>
      </c>
      <c r="E19" s="33">
        <f>'11'!E36</f>
        <v>4.2145833333333327</v>
      </c>
      <c r="F19" s="33">
        <f>'11'!F36</f>
        <v>5.1866666666666665</v>
      </c>
      <c r="G19" s="33">
        <f>'11'!G36</f>
        <v>20.597499999999993</v>
      </c>
      <c r="H19" s="33">
        <f>'11'!H36</f>
        <v>12.439166666666667</v>
      </c>
      <c r="I19" s="33">
        <f>'11'!I36</f>
        <v>1.6475</v>
      </c>
      <c r="J19" s="33">
        <f>'11'!J36</f>
        <v>0.18500000000000003</v>
      </c>
      <c r="K19" s="33">
        <f>'11'!K36</f>
        <v>315.41291666666672</v>
      </c>
      <c r="L19" s="33">
        <f>'11'!L36</f>
        <v>27.499583333333337</v>
      </c>
      <c r="M19" s="33">
        <f>'11'!M36</f>
        <v>99.077083333333334</v>
      </c>
      <c r="N19" s="33">
        <f>'11'!N36</f>
        <v>171.29166666666666</v>
      </c>
      <c r="O19" s="33">
        <f>'11'!O36</f>
        <v>0</v>
      </c>
      <c r="P19" s="33">
        <f>'11'!P36</f>
        <v>0.31749999999999995</v>
      </c>
      <c r="Q19" s="33">
        <f>'11'!Q36</f>
        <v>9.5854166666666654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12/09/2024 01:00</v>
      </c>
      <c r="B20" s="33">
        <f>'12'!B36</f>
        <v>6.1133333333333333</v>
      </c>
      <c r="C20" s="33">
        <f>'12'!C36</f>
        <v>3.0283333333333329</v>
      </c>
      <c r="D20" s="33">
        <f>'12'!D36</f>
        <v>9.4866666666666664</v>
      </c>
      <c r="E20" s="33">
        <f>'12'!E36</f>
        <v>4.5595652173913042</v>
      </c>
      <c r="F20" s="33">
        <f>'12'!F36</f>
        <v>5.0733333333333341</v>
      </c>
      <c r="G20" s="33">
        <f>'12'!G36</f>
        <v>33.355000000000004</v>
      </c>
      <c r="H20" s="33">
        <f>'12'!H36</f>
        <v>20.897499999999997</v>
      </c>
      <c r="I20" s="33">
        <f>'12'!I36</f>
        <v>2.8320833333333328</v>
      </c>
      <c r="J20" s="33">
        <f>'12'!J36</f>
        <v>0.25791666666666674</v>
      </c>
      <c r="K20" s="33">
        <f>'12'!K36</f>
        <v>306.49374999999998</v>
      </c>
      <c r="L20" s="33">
        <f>'12'!L36</f>
        <v>27.840416666666666</v>
      </c>
      <c r="M20" s="33">
        <f>'12'!M36</f>
        <v>90.645833333333329</v>
      </c>
      <c r="N20" s="33">
        <f>'12'!N36</f>
        <v>276.44166666666666</v>
      </c>
      <c r="O20" s="33">
        <f>'12'!O36</f>
        <v>0</v>
      </c>
      <c r="P20" s="33">
        <f>'12'!P36</f>
        <v>0.39416666666666672</v>
      </c>
      <c r="Q20" s="33">
        <f>'12'!Q36</f>
        <v>9.6383333333333336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13/09/2024 01:00</v>
      </c>
      <c r="B21" s="33">
        <f>'13'!B36</f>
        <v>4.2904166666666672</v>
      </c>
      <c r="C21" s="33">
        <f>'13'!C36</f>
        <v>3.2025000000000001</v>
      </c>
      <c r="D21" s="33">
        <f>'13'!D36</f>
        <v>7.3008333333333333</v>
      </c>
      <c r="E21" s="33">
        <f>'13'!E36</f>
        <v>4.4095833333333339</v>
      </c>
      <c r="F21" s="33">
        <f>'13'!F36</f>
        <v>4.0225</v>
      </c>
      <c r="G21" s="33">
        <f>'13'!G36</f>
        <v>33.372916666666676</v>
      </c>
      <c r="H21" s="33">
        <f>'13'!H36</f>
        <v>12.068750000000001</v>
      </c>
      <c r="I21" s="33">
        <f>'13'!I36</f>
        <v>2.3054166666666664</v>
      </c>
      <c r="J21" s="33">
        <f>'13'!J36</f>
        <v>0.37208333333333338</v>
      </c>
      <c r="K21" s="33">
        <f>'13'!K36</f>
        <v>328.19499999999994</v>
      </c>
      <c r="L21" s="33">
        <f>'13'!L36</f>
        <v>26.934166666666659</v>
      </c>
      <c r="M21" s="33">
        <f>'13'!M36</f>
        <v>93.379166666666649</v>
      </c>
      <c r="N21" s="33">
        <f>'13'!N36</f>
        <v>207.77916666666661</v>
      </c>
      <c r="O21" s="33">
        <f>'13'!O36</f>
        <v>0</v>
      </c>
      <c r="P21" s="33">
        <f>'13'!P36</f>
        <v>0.48499999999999993</v>
      </c>
      <c r="Q21" s="33">
        <f>'13'!Q36</f>
        <v>9.6716666666666651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14/09/2024 01:00</v>
      </c>
      <c r="B22" s="30">
        <f>'14'!B36</f>
        <v>4.2891666666666666</v>
      </c>
      <c r="C22" s="30">
        <f>'14'!C36</f>
        <v>3.2412500000000004</v>
      </c>
      <c r="D22" s="30">
        <f>'14'!D36</f>
        <v>7.3191666666666668</v>
      </c>
      <c r="E22" s="30">
        <f>'14'!E36</f>
        <v>4.734166666666666</v>
      </c>
      <c r="F22" s="30">
        <f>'14'!F36</f>
        <v>4.422083333333334</v>
      </c>
      <c r="G22" s="30">
        <f>'14'!G36</f>
        <v>56.80681818181818</v>
      </c>
      <c r="H22" s="30">
        <f>'14'!H36</f>
        <v>17.342727272727277</v>
      </c>
      <c r="I22" s="30">
        <f>'14'!I36</f>
        <v>2.2837500000000004</v>
      </c>
      <c r="J22" s="30">
        <f>'14'!J36</f>
        <v>0.61125000000000007</v>
      </c>
      <c r="K22" s="30">
        <f>'14'!K36</f>
        <v>339.40375</v>
      </c>
      <c r="L22" s="30">
        <f>'14'!L36</f>
        <v>26.2925</v>
      </c>
      <c r="M22" s="30">
        <f>'14'!M36</f>
        <v>92.103333333333339</v>
      </c>
      <c r="N22" s="30">
        <f>'14'!N36</f>
        <v>158.32500000000002</v>
      </c>
      <c r="O22" s="30">
        <f>'14'!O36</f>
        <v>0</v>
      </c>
      <c r="P22" s="30">
        <f>'14'!P36</f>
        <v>0.48375000000000007</v>
      </c>
      <c r="Q22" s="30">
        <f>'14'!Q36</f>
        <v>11.912499999999996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15/09/2024 01:00</v>
      </c>
      <c r="B23" s="33">
        <f>'15'!B36</f>
        <v>4.2712499999999993</v>
      </c>
      <c r="C23" s="33">
        <f>'15'!C36</f>
        <v>3.1858333333333331</v>
      </c>
      <c r="D23" s="33">
        <f>'15'!D36</f>
        <v>7.2766666666666673</v>
      </c>
      <c r="E23" s="33">
        <f>'15'!E36</f>
        <v>4.3395833333333345</v>
      </c>
      <c r="F23" s="33">
        <f>'15'!F36</f>
        <v>4.4620833333333332</v>
      </c>
      <c r="G23" s="33">
        <f>'15'!G36</f>
        <v>46.655000000000001</v>
      </c>
      <c r="H23" s="33">
        <f>'15'!H36</f>
        <v>18.162083333333328</v>
      </c>
      <c r="I23" s="33">
        <f>'15'!I36</f>
        <v>2.0020833333333332</v>
      </c>
      <c r="J23" s="33">
        <f>'15'!J36</f>
        <v>1.0841666666666667</v>
      </c>
      <c r="K23" s="33">
        <f>'15'!K36</f>
        <v>337.14708333333334</v>
      </c>
      <c r="L23" s="33">
        <f>'15'!L36</f>
        <v>27.510833333333327</v>
      </c>
      <c r="M23" s="33">
        <f>'15'!M36</f>
        <v>83.55291666666669</v>
      </c>
      <c r="N23" s="33">
        <f>'15'!N36</f>
        <v>235.22916666666666</v>
      </c>
      <c r="O23" s="33">
        <f>'15'!O36</f>
        <v>0</v>
      </c>
      <c r="P23" s="30">
        <f>'15'!P36</f>
        <v>0.42</v>
      </c>
      <c r="Q23" s="30">
        <f>'15'!Q36</f>
        <v>9.6329166666666666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16/09/2024 01:00</v>
      </c>
      <c r="B24" s="33">
        <f>'16'!B36</f>
        <v>4.267500000000001</v>
      </c>
      <c r="C24" s="33">
        <f>'16'!C36</f>
        <v>3.194583333333334</v>
      </c>
      <c r="D24" s="33">
        <f>'16'!D36</f>
        <v>7.2741666666666669</v>
      </c>
      <c r="E24" s="33">
        <f>'16'!E36</f>
        <v>4.592083333333334</v>
      </c>
      <c r="F24" s="33">
        <f>'16'!F36</f>
        <v>4.479166666666667</v>
      </c>
      <c r="G24" s="33">
        <f>'16'!G36</f>
        <v>36.486250000000005</v>
      </c>
      <c r="H24" s="33">
        <f>'16'!H36</f>
        <v>22.975833333333338</v>
      </c>
      <c r="I24" s="33">
        <f>'16'!I36</f>
        <v>1.2154166666666668</v>
      </c>
      <c r="J24" s="33">
        <f>'16'!J36</f>
        <v>1.3475000000000001</v>
      </c>
      <c r="K24" s="33">
        <f>'16'!K36</f>
        <v>332.08125000000001</v>
      </c>
      <c r="L24" s="33">
        <f>'16'!L36</f>
        <v>25.578333333333333</v>
      </c>
      <c r="M24" s="33">
        <f>'16'!M36</f>
        <v>92.720416666666665</v>
      </c>
      <c r="N24" s="33">
        <f>'16'!N36</f>
        <v>108.35833333333331</v>
      </c>
      <c r="O24" s="33">
        <f>'16'!O36</f>
        <v>0</v>
      </c>
      <c r="P24" s="30">
        <f>'16'!P36</f>
        <v>0.37958333333333338</v>
      </c>
      <c r="Q24" s="30">
        <f>'16'!Q36</f>
        <v>9.5733333333333324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17/09/2024 01:00</v>
      </c>
      <c r="B25" s="33">
        <f>'17'!B36</f>
        <v>4.2587500000000009</v>
      </c>
      <c r="C25" s="33">
        <f>'17'!C36</f>
        <v>3.1779166666666669</v>
      </c>
      <c r="D25" s="33">
        <f>'17'!D36</f>
        <v>7.263749999999999</v>
      </c>
      <c r="E25" s="33">
        <f>'17'!E36</f>
        <v>3.8445833333333344</v>
      </c>
      <c r="F25" s="33">
        <f>'17'!F36</f>
        <v>4.9374999999999991</v>
      </c>
      <c r="G25" s="33">
        <f>'17'!G36</f>
        <v>27.813749999999999</v>
      </c>
      <c r="H25" s="33">
        <f>'17'!H36</f>
        <v>18.50375</v>
      </c>
      <c r="I25" s="33">
        <f>'17'!I36</f>
        <v>1.6829166666666666</v>
      </c>
      <c r="J25" s="33">
        <f>'17'!J36</f>
        <v>0.63041666666666674</v>
      </c>
      <c r="K25" s="33">
        <f>'17'!K36</f>
        <v>304.10583333333335</v>
      </c>
      <c r="L25" s="33">
        <f>'17'!L36</f>
        <v>25.156666666666666</v>
      </c>
      <c r="M25" s="33">
        <f>'17'!M36</f>
        <v>96.502083333333317</v>
      </c>
      <c r="N25" s="33">
        <f>'17'!N36</f>
        <v>155.09166666666667</v>
      </c>
      <c r="O25" s="33">
        <f>'17'!O36</f>
        <v>3.3333333333333333E-2</v>
      </c>
      <c r="P25" s="30">
        <f>'17'!P36</f>
        <v>0.39624999999999994</v>
      </c>
      <c r="Q25" s="30">
        <f>'17'!Q36</f>
        <v>9.5429166666666703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18/09/2024 01:00</v>
      </c>
      <c r="B26" s="33">
        <f>'18'!B36</f>
        <v>4.2704166666666676</v>
      </c>
      <c r="C26" s="33">
        <f>'18'!C36</f>
        <v>3.1841666666666661</v>
      </c>
      <c r="D26" s="33">
        <f>'18'!D36</f>
        <v>7.2741666666666669</v>
      </c>
      <c r="E26" s="33">
        <f>'18'!E36</f>
        <v>4.5041666666666664</v>
      </c>
      <c r="F26" s="33">
        <f>'18'!F36</f>
        <v>4.383333333333332</v>
      </c>
      <c r="G26" s="33">
        <f>'18'!G36</f>
        <v>40.929999999999993</v>
      </c>
      <c r="H26" s="33">
        <f>'18'!H36</f>
        <v>18.849166666666665</v>
      </c>
      <c r="I26" s="33">
        <f>'18'!I36</f>
        <v>2.9129166666666664</v>
      </c>
      <c r="J26" s="33">
        <f>'18'!J36</f>
        <v>0.48208333333333336</v>
      </c>
      <c r="K26" s="33">
        <f>'18'!K36</f>
        <v>277.51958333333329</v>
      </c>
      <c r="L26" s="33">
        <f>'18'!L36</f>
        <v>26.167083333333334</v>
      </c>
      <c r="M26" s="33">
        <f>'18'!M36</f>
        <v>89.804583333333355</v>
      </c>
      <c r="N26" s="33">
        <f>'18'!N36</f>
        <v>235.88333333333344</v>
      </c>
      <c r="O26" s="33">
        <f>'18'!O36</f>
        <v>0</v>
      </c>
      <c r="P26" s="30">
        <f>'18'!P36</f>
        <v>0.50624999999999998</v>
      </c>
      <c r="Q26" s="30">
        <f>'18'!Q36</f>
        <v>9.6449999999999996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19/09/2024 01:00</v>
      </c>
      <c r="B27" s="33">
        <f>'19'!B36</f>
        <v>4.2870833333333342</v>
      </c>
      <c r="C27" s="33">
        <f>'19'!C36</f>
        <v>3.2425000000000015</v>
      </c>
      <c r="D27" s="33">
        <f>'19'!D36</f>
        <v>7.319583333333334</v>
      </c>
      <c r="E27" s="33">
        <f>'19'!E36</f>
        <v>4.3041666666666663</v>
      </c>
      <c r="F27" s="33">
        <f>'19'!F36</f>
        <v>7.6345833333333326</v>
      </c>
      <c r="G27" s="33">
        <f>'19'!G36</f>
        <v>64.450952380952387</v>
      </c>
      <c r="H27" s="33">
        <f>'19'!H36</f>
        <v>17.578095238095237</v>
      </c>
      <c r="I27" s="33">
        <f>'19'!I36</f>
        <v>3.4779166666666677</v>
      </c>
      <c r="J27" s="33">
        <f>'19'!J36</f>
        <v>0.61291666666666667</v>
      </c>
      <c r="K27" s="33">
        <f>'19'!K36</f>
        <v>277.69749999999999</v>
      </c>
      <c r="L27" s="33">
        <f>'19'!L36</f>
        <v>27.445833333333336</v>
      </c>
      <c r="M27" s="33">
        <f>'19'!M36</f>
        <v>87.213750000000005</v>
      </c>
      <c r="N27" s="33">
        <f>'19'!N36</f>
        <v>196.67500000000007</v>
      </c>
      <c r="O27" s="33">
        <f>'19'!O36</f>
        <v>0</v>
      </c>
      <c r="P27" s="30">
        <f>'19'!P36</f>
        <v>0.67624999999999991</v>
      </c>
      <c r="Q27" s="30">
        <f>'19'!Q36</f>
        <v>9.8212500000000009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20/09/2024 01:00</v>
      </c>
      <c r="B28" s="33">
        <f>'20'!B36</f>
        <v>4.3000000000000016</v>
      </c>
      <c r="C28" s="33">
        <f>'20'!C36</f>
        <v>3.2595833333333335</v>
      </c>
      <c r="D28" s="33">
        <f>'20'!D36</f>
        <v>7.336666666666666</v>
      </c>
      <c r="E28" s="33">
        <f>'20'!E36</f>
        <v>4.3641666666666659</v>
      </c>
      <c r="F28" s="33">
        <f>'20'!F36</f>
        <v>4.6337500000000009</v>
      </c>
      <c r="G28" s="33">
        <f>'20'!G36</f>
        <v>76.476250000000007</v>
      </c>
      <c r="H28" s="33">
        <f>'20'!H36</f>
        <v>25.615833333333331</v>
      </c>
      <c r="I28" s="33">
        <f>'20'!I36</f>
        <v>3.4495833333333334</v>
      </c>
      <c r="J28" s="33">
        <f>'20'!J36</f>
        <v>0.77541666666666664</v>
      </c>
      <c r="K28" s="33">
        <f>'20'!K36</f>
        <v>331.16583333333341</v>
      </c>
      <c r="L28" s="33">
        <f>'20'!L36</f>
        <v>28.526250000000001</v>
      </c>
      <c r="M28" s="33">
        <f>'20'!M36</f>
        <v>87.433750000000018</v>
      </c>
      <c r="N28" s="33">
        <f>'20'!N36</f>
        <v>177.27083333333337</v>
      </c>
      <c r="O28" s="33">
        <f>'20'!O36</f>
        <v>0</v>
      </c>
      <c r="P28" s="30">
        <f>'20'!P36</f>
        <v>0.76874999999999993</v>
      </c>
      <c r="Q28" s="30">
        <f>'20'!Q36</f>
        <v>9.8962500000000002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21/09/2024 01:00</v>
      </c>
      <c r="B29" s="33">
        <f>'21'!B36</f>
        <v>4.3062500000000004</v>
      </c>
      <c r="C29" s="33">
        <f>'21'!C36</f>
        <v>3.2562499999999996</v>
      </c>
      <c r="D29" s="33">
        <f>'21'!D36</f>
        <v>7.3416666666666677</v>
      </c>
      <c r="E29" s="33">
        <f>'21'!E36</f>
        <v>4.3475000000000001</v>
      </c>
      <c r="F29" s="33">
        <f>'21'!F36</f>
        <v>4.9775</v>
      </c>
      <c r="G29" s="33">
        <f>'21'!G36</f>
        <v>116.22249999999997</v>
      </c>
      <c r="H29" s="33">
        <f>'21'!H36</f>
        <v>26.306000000000001</v>
      </c>
      <c r="I29" s="33">
        <f>'21'!I36</f>
        <v>3.9670833333333335</v>
      </c>
      <c r="J29" s="33">
        <f>'21'!J36</f>
        <v>0.86208333333333342</v>
      </c>
      <c r="K29" s="33">
        <f>'21'!K36</f>
        <v>300.92625000000004</v>
      </c>
      <c r="L29" s="33">
        <f>'21'!L36</f>
        <v>29.455833333333331</v>
      </c>
      <c r="M29" s="33">
        <f>'21'!M36</f>
        <v>86.365000000000009</v>
      </c>
      <c r="N29" s="33">
        <f>'21'!N36</f>
        <v>201</v>
      </c>
      <c r="O29" s="33">
        <f>'21'!O36</f>
        <v>0</v>
      </c>
      <c r="P29" s="30">
        <f>'21'!P36</f>
        <v>0.6925</v>
      </c>
      <c r="Q29" s="30">
        <f>'21'!Q36</f>
        <v>9.9462499999999974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22/09/2024 01:00</v>
      </c>
      <c r="B30" s="33">
        <f>'22'!B36</f>
        <v>4.2733333333333343</v>
      </c>
      <c r="C30" s="33">
        <f>'22'!C36</f>
        <v>3.2104166666666671</v>
      </c>
      <c r="D30" s="33">
        <f>'22'!D36</f>
        <v>7.2920833333333341</v>
      </c>
      <c r="E30" s="33">
        <f>'22'!E36</f>
        <v>4.4908333333333328</v>
      </c>
      <c r="F30" s="33">
        <f>'22'!F36</f>
        <v>4.6283333333333339</v>
      </c>
      <c r="G30" s="33">
        <f>'22'!G36</f>
        <v>54.092083333333328</v>
      </c>
      <c r="H30" s="33">
        <f>'22'!H36</f>
        <v>18.888749999999998</v>
      </c>
      <c r="I30" s="33">
        <f>'22'!I36</f>
        <v>5.2595833333333326</v>
      </c>
      <c r="J30" s="33">
        <f>'22'!J36</f>
        <v>1.1808333333333334</v>
      </c>
      <c r="K30" s="33">
        <f>'22'!K36</f>
        <v>300.15625</v>
      </c>
      <c r="L30" s="33">
        <f>'22'!L36</f>
        <v>27.903750000000002</v>
      </c>
      <c r="M30" s="33">
        <f>'22'!M36</f>
        <v>89.482916666666654</v>
      </c>
      <c r="N30" s="33">
        <f>'22'!N36</f>
        <v>219.79166666666674</v>
      </c>
      <c r="O30" s="33">
        <f>'22'!O36</f>
        <v>2.4999999999999998E-2</v>
      </c>
      <c r="P30" s="30">
        <f>'22'!P36</f>
        <v>0.52124999999999999</v>
      </c>
      <c r="Q30" s="30">
        <f>'22'!Q36</f>
        <v>9.7258333333333322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23/09/2024 01:00</v>
      </c>
      <c r="B31" s="33">
        <f>'23'!B36</f>
        <v>4.265833333333334</v>
      </c>
      <c r="C31" s="33">
        <f>'23'!C36</f>
        <v>3.2229166666666664</v>
      </c>
      <c r="D31" s="33">
        <f>'23'!D36</f>
        <v>7.2916666666666652</v>
      </c>
      <c r="E31" s="33">
        <f>'23'!E36</f>
        <v>4.6791666666666671</v>
      </c>
      <c r="F31" s="33">
        <f>'23'!F36</f>
        <v>7.1208333333333327</v>
      </c>
      <c r="G31" s="33">
        <f>'23'!G36</f>
        <v>55.187916666666666</v>
      </c>
      <c r="H31" s="33">
        <f>'23'!H36</f>
        <v>36.479166666666664</v>
      </c>
      <c r="I31" s="33">
        <f>'23'!I36</f>
        <v>3.3770833333333337</v>
      </c>
      <c r="J31" s="33">
        <f>'23'!J36</f>
        <v>0.96249999999999991</v>
      </c>
      <c r="K31" s="33">
        <f>'23'!K36</f>
        <v>267.59958333333333</v>
      </c>
      <c r="L31" s="33">
        <f>'23'!L36</f>
        <v>27.96374999999999</v>
      </c>
      <c r="M31" s="33">
        <f>'23'!M36</f>
        <v>90.372083333333322</v>
      </c>
      <c r="N31" s="33">
        <f>'23'!N36</f>
        <v>232.17916666666659</v>
      </c>
      <c r="O31" s="33">
        <f>'23'!O36</f>
        <v>1.6666666666666666E-2</v>
      </c>
      <c r="P31" s="33">
        <f>'23'!P36</f>
        <v>0.61541666666666672</v>
      </c>
      <c r="Q31" s="33">
        <f>'23'!Q36</f>
        <v>9.7254166666666677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24/09/2024 01:00</v>
      </c>
      <c r="B32" s="33">
        <f>'24'!B36</f>
        <v>4.2574999999999994</v>
      </c>
      <c r="C32" s="33">
        <f>'24'!C36</f>
        <v>3.1970833333333331</v>
      </c>
      <c r="D32" s="33">
        <f>'24'!D36</f>
        <v>7.2699999999999987</v>
      </c>
      <c r="E32" s="33">
        <f>'24'!E36</f>
        <v>4.882083333333334</v>
      </c>
      <c r="F32" s="33">
        <f>'24'!F36</f>
        <v>4.6212499999999999</v>
      </c>
      <c r="G32" s="33">
        <f>'24'!G36</f>
        <v>32.879583333333336</v>
      </c>
      <c r="H32" s="33">
        <f>'24'!H36</f>
        <v>16.441666666666666</v>
      </c>
      <c r="I32" s="33">
        <f>'24'!I36</f>
        <v>4.4595833333333337</v>
      </c>
      <c r="J32" s="33">
        <f>'24'!J36</f>
        <v>1.1074999999999999</v>
      </c>
      <c r="K32" s="33">
        <f>'24'!K36</f>
        <v>242.16416666666666</v>
      </c>
      <c r="L32" s="33">
        <f>'24'!L36</f>
        <v>25.669166666666669</v>
      </c>
      <c r="M32" s="33">
        <f>'24'!M36</f>
        <v>95.939999999999955</v>
      </c>
      <c r="N32" s="33">
        <f>'24'!N36</f>
        <v>161.66666666666663</v>
      </c>
      <c r="O32" s="33">
        <f>'24'!O36</f>
        <v>0.27500000000000002</v>
      </c>
      <c r="P32" s="33">
        <f>'24'!P36</f>
        <v>0.56208333333333327</v>
      </c>
      <c r="Q32" s="33">
        <f>'24'!Q36</f>
        <v>9.7225000000000019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25/09/2024 01:00</v>
      </c>
      <c r="B33" s="33">
        <f>'25'!B36</f>
        <v>7.0100000000000007</v>
      </c>
      <c r="C33" s="33">
        <f>'25'!C36</f>
        <v>10.296666666666667</v>
      </c>
      <c r="D33" s="33">
        <f>'25'!D36</f>
        <v>11.871250000000003</v>
      </c>
      <c r="E33" s="33">
        <f>'25'!E36</f>
        <v>4.6379166666666682</v>
      </c>
      <c r="F33" s="33">
        <f>'25'!F36</f>
        <v>4.4633333333333338</v>
      </c>
      <c r="G33" s="33">
        <f>'25'!G36</f>
        <v>33.523333333333333</v>
      </c>
      <c r="H33" s="33">
        <f>'25'!H36</f>
        <v>14.352083333333335</v>
      </c>
      <c r="I33" s="33">
        <f>'25'!I36</f>
        <v>4.1012500000000012</v>
      </c>
      <c r="J33" s="33">
        <f>'25'!J36</f>
        <v>0.7562500000000002</v>
      </c>
      <c r="K33" s="33">
        <f>'25'!K36</f>
        <v>249.10625000000005</v>
      </c>
      <c r="L33" s="33">
        <f>'25'!L36</f>
        <v>25.69083333333333</v>
      </c>
      <c r="M33" s="33">
        <f>'25'!M36</f>
        <v>100.50291666666665</v>
      </c>
      <c r="N33" s="33">
        <f>'25'!N36</f>
        <v>108.57083333333334</v>
      </c>
      <c r="O33" s="33">
        <f>'25'!O36</f>
        <v>0</v>
      </c>
      <c r="P33" s="33">
        <f>'25'!P36</f>
        <v>0.66583333333333328</v>
      </c>
      <c r="Q33" s="33">
        <f>'25'!Q36</f>
        <v>9.6909090909090896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26/09/2024 01:00</v>
      </c>
      <c r="B34" s="33">
        <f>'26'!B36</f>
        <v>5.5337500000000013</v>
      </c>
      <c r="C34" s="33">
        <f>'26'!C36</f>
        <v>5.670416666666668</v>
      </c>
      <c r="D34" s="33">
        <f>'26'!D36</f>
        <v>7.3599999999999994</v>
      </c>
      <c r="E34" s="33">
        <f>'26'!E36</f>
        <v>4.8624999999999998</v>
      </c>
      <c r="F34" s="33">
        <f>'26'!F36</f>
        <v>4.0458333333333343</v>
      </c>
      <c r="G34" s="33">
        <f>'26'!G36</f>
        <v>17.541250000000002</v>
      </c>
      <c r="H34" s="33">
        <f>'26'!H36</f>
        <v>9.0274999999999999</v>
      </c>
      <c r="I34" s="33">
        <f>'26'!I36</f>
        <v>3.8400000000000003</v>
      </c>
      <c r="J34" s="33">
        <f>'26'!J36</f>
        <v>1.0191666666666668</v>
      </c>
      <c r="K34" s="33">
        <f>'26'!K36</f>
        <v>209.51374999999996</v>
      </c>
      <c r="L34" s="33">
        <f>'26'!L36</f>
        <v>24.959166666666672</v>
      </c>
      <c r="M34" s="33">
        <f>'26'!M36</f>
        <v>100.82749999999997</v>
      </c>
      <c r="N34" s="33">
        <f>'26'!N36</f>
        <v>117.42499999999995</v>
      </c>
      <c r="O34" s="33">
        <f>'26'!O36</f>
        <v>0.12500000000000003</v>
      </c>
      <c r="P34" s="33">
        <f>'26'!P36</f>
        <v>0.44958333333333345</v>
      </c>
      <c r="Q34" s="33">
        <f>'26'!Q36</f>
        <v>9.6199999999999992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27/09/2024 01:00</v>
      </c>
      <c r="B35" s="33">
        <f>'27'!B36</f>
        <v>4.8921739130434778</v>
      </c>
      <c r="C35" s="33">
        <f>'27'!C36</f>
        <v>7.2486956521739128</v>
      </c>
      <c r="D35" s="33">
        <f>'27'!D36</f>
        <v>7.5234782608695649</v>
      </c>
      <c r="E35" s="33">
        <f>'27'!E36</f>
        <v>4.6020833333333329</v>
      </c>
      <c r="F35" s="33">
        <f>'27'!F36</f>
        <v>5.0808333333333326</v>
      </c>
      <c r="G35" s="33">
        <f>'27'!G36</f>
        <v>14.355833333333335</v>
      </c>
      <c r="H35" s="33">
        <f>'27'!H36</f>
        <v>4.7287499999999998</v>
      </c>
      <c r="I35" s="33">
        <f>'27'!I36</f>
        <v>3.1695833333333336</v>
      </c>
      <c r="J35" s="33">
        <f>'27'!J36</f>
        <v>0.91916666666666691</v>
      </c>
      <c r="K35" s="33">
        <f>'27'!K36</f>
        <v>146.94374999999999</v>
      </c>
      <c r="L35" s="33">
        <f>'27'!L36</f>
        <v>26.175833333333333</v>
      </c>
      <c r="M35" s="33">
        <f>'27'!M36</f>
        <v>97.895000000000024</v>
      </c>
      <c r="N35" s="33">
        <f>'27'!N36</f>
        <v>186.63750000000002</v>
      </c>
      <c r="O35" s="33">
        <f>'27'!O36</f>
        <v>4.9999999999999996E-2</v>
      </c>
      <c r="P35" s="30">
        <f>'27'!P36</f>
        <v>0.3395833333333334</v>
      </c>
      <c r="Q35" s="33">
        <f>'27'!Q36</f>
        <v>9.6170833333333352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28/09/2024 01:00</v>
      </c>
      <c r="B36" s="33">
        <f>'28'!B36</f>
        <v>5.9245833333333335</v>
      </c>
      <c r="C36" s="33">
        <f>'28'!C36</f>
        <v>6.517083333333332</v>
      </c>
      <c r="D36" s="33">
        <f>'28'!D36</f>
        <v>8.048333333333332</v>
      </c>
      <c r="E36" s="33">
        <f>'28'!E36</f>
        <v>4.8841666666666663</v>
      </c>
      <c r="F36" s="33">
        <f>'28'!F36</f>
        <v>5.1887499999999989</v>
      </c>
      <c r="G36" s="33">
        <f>'28'!G36</f>
        <v>19.546666666666667</v>
      </c>
      <c r="H36" s="33">
        <f>'28'!H36</f>
        <v>5.1870833333333328</v>
      </c>
      <c r="I36" s="33">
        <f>'28'!I36</f>
        <v>3.7792857142857139</v>
      </c>
      <c r="J36" s="33">
        <f>'28'!J36</f>
        <v>0.79416666666666658</v>
      </c>
      <c r="K36" s="33">
        <f>'28'!K36</f>
        <v>178.58666666666667</v>
      </c>
      <c r="L36" s="33">
        <f>'28'!L36</f>
        <v>27.170416666666672</v>
      </c>
      <c r="M36" s="33">
        <f>'28'!M36</f>
        <v>91.399583333333354</v>
      </c>
      <c r="N36" s="33">
        <f>'28'!N36</f>
        <v>215.26249999999996</v>
      </c>
      <c r="O36" s="33">
        <f>'28'!O36</f>
        <v>0</v>
      </c>
      <c r="P36" s="30">
        <f>'28'!P36</f>
        <v>0.36125000000000002</v>
      </c>
      <c r="Q36" s="33">
        <f>'28'!Q36</f>
        <v>9.6200000000000028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29/09/2024 01:00</v>
      </c>
      <c r="B37" s="33">
        <f>'29'!B36</f>
        <v>5.3133333333333335</v>
      </c>
      <c r="C37" s="33">
        <f>'29'!C36</f>
        <v>6.1262499999999998</v>
      </c>
      <c r="D37" s="33">
        <f>'29'!D36</f>
        <v>7.3829166666666666</v>
      </c>
      <c r="E37" s="33">
        <f>'29'!E36</f>
        <v>4.9654166666666661</v>
      </c>
      <c r="F37" s="33">
        <f>'29'!F36</f>
        <v>4.8474999999999993</v>
      </c>
      <c r="G37" s="33">
        <f>'29'!G36</f>
        <v>24.877500000000008</v>
      </c>
      <c r="H37" s="33">
        <f>'29'!H36</f>
        <v>10.404583333333331</v>
      </c>
      <c r="I37" s="33">
        <f>'29'!I36</f>
        <v>1.7533333333333336</v>
      </c>
      <c r="J37" s="33">
        <f>'29'!J36</f>
        <v>0.52249999999999996</v>
      </c>
      <c r="K37" s="33">
        <f>'29'!K36</f>
        <v>264.44041666666669</v>
      </c>
      <c r="L37" s="33">
        <f>'29'!L36</f>
        <v>28.192083333333329</v>
      </c>
      <c r="M37" s="33">
        <f>'29'!M36</f>
        <v>90.032083333333333</v>
      </c>
      <c r="N37" s="33">
        <f>'29'!N36</f>
        <v>221.42083333333338</v>
      </c>
      <c r="O37" s="33">
        <f>'29'!O36</f>
        <v>0</v>
      </c>
      <c r="P37" s="33">
        <f>'29'!P36</f>
        <v>0.40958333333333335</v>
      </c>
      <c r="Q37" s="33">
        <f>'29'!Q36</f>
        <v>9.6145833333333357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30/09/2024 01:00</v>
      </c>
      <c r="B38" s="33">
        <f>'30'!B36</f>
        <v>5.05</v>
      </c>
      <c r="C38" s="33">
        <f>'30'!C36</f>
        <v>7.37</v>
      </c>
      <c r="D38" s="33">
        <f>'30'!D36</f>
        <v>7.7645833333333334</v>
      </c>
      <c r="E38" s="33">
        <f>'30'!E36</f>
        <v>5.5025000000000013</v>
      </c>
      <c r="F38" s="33">
        <f>'30'!F36</f>
        <v>5.1320833333333331</v>
      </c>
      <c r="G38" s="33">
        <f>'30'!G36</f>
        <v>33.572500000000005</v>
      </c>
      <c r="H38" s="33">
        <f>'30'!H36</f>
        <v>16.68708333333333</v>
      </c>
      <c r="I38" s="33">
        <f>'30'!I36</f>
        <v>2.3761538461538461</v>
      </c>
      <c r="J38" s="33">
        <f>'30'!J36</f>
        <v>0.57874999999999999</v>
      </c>
      <c r="K38" s="33">
        <f>'30'!K36</f>
        <v>274.22791666666672</v>
      </c>
      <c r="L38" s="33">
        <f>'30'!L36</f>
        <v>28.90666666666667</v>
      </c>
      <c r="M38" s="33">
        <f>'30'!M36</f>
        <v>89.621250000000018</v>
      </c>
      <c r="N38" s="33">
        <f>'30'!N36</f>
        <v>236.07083333333341</v>
      </c>
      <c r="O38" s="33">
        <f>'30'!O36</f>
        <v>0</v>
      </c>
      <c r="P38" s="33">
        <f>'30'!P36</f>
        <v>0.48083333333333328</v>
      </c>
      <c r="Q38" s="33">
        <f>'30'!Q36</f>
        <v>9.6195833333333365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4.2574999999999994</v>
      </c>
      <c r="C40" s="15">
        <f t="shared" si="0"/>
        <v>2.9620833333333336</v>
      </c>
      <c r="D40" s="15">
        <f t="shared" si="0"/>
        <v>7.263749999999999</v>
      </c>
      <c r="E40" s="15">
        <f t="shared" si="0"/>
        <v>3.8445833333333344</v>
      </c>
      <c r="F40" s="15">
        <f t="shared" si="0"/>
        <v>4.0145833333333334</v>
      </c>
      <c r="G40" s="15">
        <f t="shared" si="0"/>
        <v>8.3812499999999996</v>
      </c>
      <c r="H40" s="15">
        <f t="shared" si="0"/>
        <v>3.4579166666666659</v>
      </c>
      <c r="I40" s="15">
        <f t="shared" si="0"/>
        <v>1.2154166666666668</v>
      </c>
      <c r="J40" s="15">
        <f t="shared" si="0"/>
        <v>0.18500000000000003</v>
      </c>
      <c r="K40" s="15">
        <f t="shared" si="0"/>
        <v>116.21958333333333</v>
      </c>
      <c r="L40" s="15">
        <f t="shared" si="0"/>
        <v>24.959166666666672</v>
      </c>
      <c r="M40" s="15">
        <f t="shared" si="0"/>
        <v>83.55291666666669</v>
      </c>
      <c r="N40" s="15">
        <f t="shared" si="0"/>
        <v>93.991666666666674</v>
      </c>
      <c r="O40" s="15">
        <f t="shared" si="0"/>
        <v>0</v>
      </c>
      <c r="P40" s="15">
        <f t="shared" si="0"/>
        <v>0.30041666666666661</v>
      </c>
      <c r="Q40" s="15">
        <f t="shared" si="0"/>
        <v>9.5429166666666703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8.3566666666666638</v>
      </c>
      <c r="C41" s="15">
        <f t="shared" si="1"/>
        <v>10.296666666666667</v>
      </c>
      <c r="D41" s="15">
        <f t="shared" si="1"/>
        <v>12.408333333333339</v>
      </c>
      <c r="E41" s="15">
        <f t="shared" si="1"/>
        <v>5.5025000000000013</v>
      </c>
      <c r="F41" s="15">
        <f t="shared" si="1"/>
        <v>7.6345833333333326</v>
      </c>
      <c r="G41" s="15">
        <f t="shared" si="1"/>
        <v>116.22249999999997</v>
      </c>
      <c r="H41" s="15">
        <f t="shared" si="1"/>
        <v>123.10249999999998</v>
      </c>
      <c r="I41" s="15">
        <f t="shared" si="1"/>
        <v>6.4154166666666681</v>
      </c>
      <c r="J41" s="15">
        <f t="shared" si="1"/>
        <v>1.7183333333333335</v>
      </c>
      <c r="K41" s="15">
        <f t="shared" si="1"/>
        <v>342.61999999999995</v>
      </c>
      <c r="L41" s="15">
        <f t="shared" si="1"/>
        <v>29.455833333333331</v>
      </c>
      <c r="M41" s="15">
        <f t="shared" si="1"/>
        <v>101.74333333333334</v>
      </c>
      <c r="N41" s="15">
        <f t="shared" si="1"/>
        <v>276.44166666666666</v>
      </c>
      <c r="O41" s="15">
        <f t="shared" si="1"/>
        <v>1.3499999999999999</v>
      </c>
      <c r="P41" s="15">
        <f t="shared" si="1"/>
        <v>0.99208333333333354</v>
      </c>
      <c r="Q41" s="15">
        <f t="shared" si="1"/>
        <v>11.912499999999996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5.9965724637681168</v>
      </c>
      <c r="C42" s="15">
        <f t="shared" si="2"/>
        <v>3.984928743961353</v>
      </c>
      <c r="D42" s="15">
        <f t="shared" si="2"/>
        <v>9.2581298309178752</v>
      </c>
      <c r="E42" s="15">
        <f t="shared" si="2"/>
        <v>4.5848339371980664</v>
      </c>
      <c r="F42" s="15">
        <f t="shared" si="2"/>
        <v>5.0007083333333338</v>
      </c>
      <c r="G42" s="15">
        <f t="shared" si="2"/>
        <v>39.591220129870131</v>
      </c>
      <c r="H42" s="15">
        <f t="shared" si="2"/>
        <v>20.917191305916312</v>
      </c>
      <c r="I42" s="15">
        <f t="shared" si="2"/>
        <v>3.6099035409035407</v>
      </c>
      <c r="J42" s="15">
        <f t="shared" si="2"/>
        <v>0.75840277777777787</v>
      </c>
      <c r="K42" s="15">
        <f t="shared" si="2"/>
        <v>272.93983333333341</v>
      </c>
      <c r="L42" s="15">
        <f t="shared" si="2"/>
        <v>27.579111111111114</v>
      </c>
      <c r="M42" s="15">
        <f t="shared" si="2"/>
        <v>93.244541666666677</v>
      </c>
      <c r="N42" s="15">
        <f t="shared" si="2"/>
        <v>190.34069444444444</v>
      </c>
      <c r="O42" s="15">
        <f t="shared" si="2"/>
        <v>0.18444444444444444</v>
      </c>
      <c r="P42" s="15">
        <f t="shared" si="2"/>
        <v>0.51216666666666677</v>
      </c>
      <c r="Q42" s="15">
        <f t="shared" si="2"/>
        <v>9.7848636363636352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1.7278239366858998</v>
      </c>
      <c r="C43" s="15">
        <f t="shared" si="3"/>
        <v>1.7807996368019532</v>
      </c>
      <c r="D43" s="15">
        <f t="shared" si="3"/>
        <v>2.2236389774731729</v>
      </c>
      <c r="E43" s="15">
        <f t="shared" si="3"/>
        <v>0.31214750426658611</v>
      </c>
      <c r="F43" s="15">
        <f t="shared" si="3"/>
        <v>0.98991207878822951</v>
      </c>
      <c r="G43" s="15">
        <f t="shared" si="3"/>
        <v>21.970074739516136</v>
      </c>
      <c r="H43" s="15">
        <f t="shared" si="3"/>
        <v>21.099611392893525</v>
      </c>
      <c r="I43" s="15">
        <f t="shared" si="3"/>
        <v>1.4505916560744747</v>
      </c>
      <c r="J43" s="15">
        <f t="shared" si="3"/>
        <v>0.36367913463786317</v>
      </c>
      <c r="K43" s="15">
        <f t="shared" si="3"/>
        <v>65.070769958748812</v>
      </c>
      <c r="L43" s="15">
        <f t="shared" si="3"/>
        <v>1.4051225503085822</v>
      </c>
      <c r="M43" s="15">
        <f t="shared" si="3"/>
        <v>4.5998099522288429</v>
      </c>
      <c r="N43" s="15">
        <f t="shared" si="3"/>
        <v>42.8172863222564</v>
      </c>
      <c r="O43" s="15">
        <f t="shared" si="3"/>
        <v>0.37542270769204961</v>
      </c>
      <c r="P43" s="15">
        <f t="shared" si="3"/>
        <v>0.15683514571369001</v>
      </c>
      <c r="Q43" s="15">
        <f t="shared" si="3"/>
        <v>0.42139231566866547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2024-10-09T16:38:47Z</dcterms:modified>
  <cp:category/>
</cp:coreProperties>
</file>